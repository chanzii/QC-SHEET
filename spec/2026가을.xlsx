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6\"/>
    </mc:Choice>
  </mc:AlternateContent>
  <xr:revisionPtr revIDLastSave="0" documentId="13_ncr:1_{C5BB9EC1-50CF-4093-9924-79380F026316}" xr6:coauthVersionLast="47" xr6:coauthVersionMax="47" xr10:uidLastSave="{00000000-0000-0000-0000-000000000000}"/>
  <bookViews>
    <workbookView xWindow="36705" yWindow="1275" windowWidth="19620" windowHeight="14145" tabRatio="772" firstSheet="75" activeTab="84" xr2:uid="{248B8E69-6C34-46C8-9649-87D2B01A7065}"/>
  </bookViews>
  <sheets>
    <sheet name="GF01" sheetId="2709" r:id="rId1"/>
    <sheet name="LE01" sheetId="2649" r:id="rId2"/>
    <sheet name="LE02" sheetId="2654" r:id="rId3"/>
    <sheet name="LE03" sheetId="2633" r:id="rId4"/>
    <sheet name="LE04" sheetId="2661" r:id="rId5"/>
    <sheet name="LE05" sheetId="2701" r:id="rId6"/>
    <sheet name="OP01" sheetId="2663" r:id="rId7"/>
    <sheet name="OP02" sheetId="2637" r:id="rId8"/>
    <sheet name="OP03" sheetId="2684" r:id="rId9"/>
    <sheet name="OP04" sheetId="2670" r:id="rId10"/>
    <sheet name="OP05" sheetId="2666" r:id="rId11"/>
    <sheet name="OP06" sheetId="2665" r:id="rId12"/>
    <sheet name="OP07" sheetId="2667" r:id="rId13"/>
    <sheet name="OP08" sheetId="2679" r:id="rId14"/>
    <sheet name="OP09" sheetId="2694" r:id="rId15"/>
    <sheet name="OU01" sheetId="2643" r:id="rId16"/>
    <sheet name="OU02" sheetId="2629" r:id="rId17"/>
    <sheet name="OU03" sheetId="2630" r:id="rId18"/>
    <sheet name="OU04" sheetId="2631" r:id="rId19"/>
    <sheet name="OU05(니트)" sheetId="2636" r:id="rId20"/>
    <sheet name="OU06(완사입)" sheetId="2664" r:id="rId21"/>
    <sheet name="OU07(니트)" sheetId="2690" r:id="rId22"/>
    <sheet name="OU08(심양)" sheetId="2695" r:id="rId23"/>
    <sheet name="OU08(심양)제품" sheetId="2698" r:id="rId24"/>
    <sheet name="OU09" sheetId="2710" r:id="rId25"/>
    <sheet name="OU10(니트)" sheetId="2711" r:id="rId26"/>
    <sheet name="OU11(니트)" sheetId="2712" r:id="rId27"/>
    <sheet name="PT01" sheetId="2635" r:id="rId28"/>
    <sheet name="PT02" sheetId="2678" r:id="rId29"/>
    <sheet name="PT03" sheetId="2647" r:id="rId30"/>
    <sheet name="PT04(완사입)" sheetId="2658" r:id="rId31"/>
    <sheet name="PT05(완사입)" sheetId="2659" r:id="rId32"/>
    <sheet name="PT06(완사입)" sheetId="2662" r:id="rId33"/>
    <sheet name="PT07(완사입)" sheetId="2656" r:id="rId34"/>
    <sheet name="PT08(완사입) " sheetId="2657" r:id="rId35"/>
    <sheet name="PT09(완사입)" sheetId="2672" r:id="rId36"/>
    <sheet name="PT10(완사입)" sheetId="2686" r:id="rId37"/>
    <sheet name="PT11(완사입)" sheetId="2687" r:id="rId38"/>
    <sheet name="PT12(완사입" sheetId="2693" r:id="rId39"/>
    <sheet name="PT13" sheetId="2692" r:id="rId40"/>
    <sheet name="PT14" sheetId="2697" r:id="rId41"/>
    <sheet name="PT15" sheetId="2705" r:id="rId42"/>
    <sheet name="SE01" sheetId="2671" r:id="rId43"/>
    <sheet name="SE02" sheetId="2683" r:id="rId44"/>
    <sheet name="SE03" sheetId="2689" r:id="rId45"/>
    <sheet name="SE04" sheetId="2682" r:id="rId46"/>
    <sheet name="SK01" sheetId="2628" r:id="rId47"/>
    <sheet name="SK02" sheetId="2648" r:id="rId48"/>
    <sheet name="SK03" sheetId="2680" r:id="rId49"/>
    <sheet name="SK04" sheetId="2677" r:id="rId50"/>
    <sheet name="SK05(완사입)" sheetId="2685" r:id="rId51"/>
    <sheet name="SK06" sheetId="2673" r:id="rId52"/>
    <sheet name="SK07" sheetId="2708" r:id="rId53"/>
    <sheet name="TO01" sheetId="2644" r:id="rId54"/>
    <sheet name="TO02" sheetId="2650" r:id="rId55"/>
    <sheet name="TO03" sheetId="2645" r:id="rId56"/>
    <sheet name="TO04" sheetId="2652" r:id="rId57"/>
    <sheet name="TO05" sheetId="2640" r:id="rId58"/>
    <sheet name="TO06" sheetId="2634" r:id="rId59"/>
    <sheet name="TO07" sheetId="2632" r:id="rId60"/>
    <sheet name="TO08" sheetId="2642" r:id="rId61"/>
    <sheet name="TO09" sheetId="2638" r:id="rId62"/>
    <sheet name="TO10" sheetId="2674" r:id="rId63"/>
    <sheet name="TO11" sheetId="2639" r:id="rId64"/>
    <sheet name="TO12" sheetId="2651" r:id="rId65"/>
    <sheet name="TO13" sheetId="2653" r:id="rId66"/>
    <sheet name="TO14" sheetId="2655" r:id="rId67"/>
    <sheet name="TO15" sheetId="2646" r:id="rId68"/>
    <sheet name="TO17" sheetId="2668" r:id="rId69"/>
    <sheet name="TO16" sheetId="2641" r:id="rId70"/>
    <sheet name="TO18" sheetId="2669" r:id="rId71"/>
    <sheet name="TO19" sheetId="2681" r:id="rId72"/>
    <sheet name="TO20" sheetId="2676" r:id="rId73"/>
    <sheet name="TO21" sheetId="2675" r:id="rId74"/>
    <sheet name="TO22(완사입)" sheetId="2688" r:id="rId75"/>
    <sheet name="TO23" sheetId="2691" r:id="rId76"/>
    <sheet name="TO24" sheetId="2696" r:id="rId77"/>
    <sheet name="TO25" sheetId="2702" r:id="rId78"/>
    <sheet name="TO26" sheetId="2699" r:id="rId79"/>
    <sheet name="TO27" sheetId="2700" r:id="rId80"/>
    <sheet name="TO28" sheetId="2706" r:id="rId81"/>
    <sheet name="TO29" sheetId="2703" r:id="rId82"/>
    <sheet name="TO30" sheetId="2704" r:id="rId83"/>
    <sheet name="TO31" sheetId="2707" r:id="rId84"/>
    <sheet name="TO32(니트)" sheetId="2716" r:id="rId85"/>
    <sheet name="TO33" sheetId="2714" r:id="rId86"/>
    <sheet name="TO34" sheetId="2715" r:id="rId87"/>
  </sheets>
  <definedNames>
    <definedName name="_xlnm.Print_Area" localSheetId="0">'GF01'!$A$1:$M$47</definedName>
    <definedName name="_xlnm.Print_Area" localSheetId="1">'LE01'!$A$1:$M$26</definedName>
    <definedName name="_xlnm.Print_Area" localSheetId="2">'LE02'!$A$1:$M$26</definedName>
    <definedName name="_xlnm.Print_Area" localSheetId="3">'LE03'!$A$1:$M$38</definedName>
    <definedName name="_xlnm.Print_Area" localSheetId="4">'LE04'!$A$1:$M$38</definedName>
    <definedName name="_xlnm.Print_Area" localSheetId="5">'LE05'!$A$1:$N$32</definedName>
    <definedName name="_xlnm.Print_Area" localSheetId="6">'OP01'!$A$1:$M$34</definedName>
    <definedName name="_xlnm.Print_Area" localSheetId="7">'OP02'!$A$1:$M$40</definedName>
    <definedName name="_xlnm.Print_Area" localSheetId="8">'OP03'!$A$1:$M$36</definedName>
    <definedName name="_xlnm.Print_Area" localSheetId="9">'OP04'!$A$1:$M$34</definedName>
    <definedName name="_xlnm.Print_Area" localSheetId="10">'OP05'!$A$1:$M$34</definedName>
    <definedName name="_xlnm.Print_Area" localSheetId="11">'OP06'!$A$1:$M$40</definedName>
    <definedName name="_xlnm.Print_Area" localSheetId="12">'OP07'!$A$1:$M$38</definedName>
    <definedName name="_xlnm.Print_Area" localSheetId="13">'OP08'!$A$1:$M$46</definedName>
    <definedName name="_xlnm.Print_Area" localSheetId="14">'OP09'!$A$1:$M$38</definedName>
    <definedName name="_xlnm.Print_Area" localSheetId="15">'OU01'!$A$1:$N$36</definedName>
    <definedName name="_xlnm.Print_Area" localSheetId="16">'OU02'!$A$1:$N$38</definedName>
    <definedName name="_xlnm.Print_Area" localSheetId="17">'OU03'!$A$1:$N$34</definedName>
    <definedName name="_xlnm.Print_Area" localSheetId="18">'OU04'!$A$1:$M$42</definedName>
    <definedName name="_xlnm.Print_Area" localSheetId="19">'OU05(니트)'!$A$1:$N$38</definedName>
    <definedName name="_xlnm.Print_Area" localSheetId="20">'OU06(완사입)'!$A$1:$N$44</definedName>
    <definedName name="_xlnm.Print_Area" localSheetId="21">'OU07(니트)'!$A$1:$M$38</definedName>
    <definedName name="_xlnm.Print_Area" localSheetId="22">'OU08(심양)'!$A$1:$M$38</definedName>
    <definedName name="_xlnm.Print_Area" localSheetId="23">'OU08(심양)제품'!$A$1:$M$38</definedName>
    <definedName name="_xlnm.Print_Area" localSheetId="24">'OU09'!$A$1:$N$38</definedName>
    <definedName name="_xlnm.Print_Area" localSheetId="25">'OU10(니트)'!$A$1:$M$38</definedName>
    <definedName name="_xlnm.Print_Area" localSheetId="26">'OU11(니트)'!$A$1:$M$38</definedName>
    <definedName name="_xlnm.Print_Area" localSheetId="27">'PT01'!$A$1:$N$52</definedName>
    <definedName name="_xlnm.Print_Area" localSheetId="28">'PT02'!$A$1:$N$46</definedName>
    <definedName name="_xlnm.Print_Area" localSheetId="29">'PT03'!$A$1:$M$46</definedName>
    <definedName name="_xlnm.Print_Area" localSheetId="30">'PT04(완사입)'!$A$1:$N$46</definedName>
    <definedName name="_xlnm.Print_Area" localSheetId="31">'PT05(완사입)'!$A$1:$N$46</definedName>
    <definedName name="_xlnm.Print_Area" localSheetId="32">'PT06(완사입)'!$A$1:$N$54</definedName>
    <definedName name="_xlnm.Print_Area" localSheetId="33">'PT07(완사입)'!$A$1:$N$46</definedName>
    <definedName name="_xlnm.Print_Area" localSheetId="34">'PT08(완사입) '!$A$1:$N$46</definedName>
    <definedName name="_xlnm.Print_Area" localSheetId="35">'PT09(완사입)'!$A$1:$N$46</definedName>
    <definedName name="_xlnm.Print_Area" localSheetId="36">'PT10(완사입)'!$A$1:$N$46</definedName>
    <definedName name="_xlnm.Print_Area" localSheetId="37">'PT11(완사입)'!$A$1:$N$46</definedName>
    <definedName name="_xlnm.Print_Area" localSheetId="38">'PT12(완사입'!$A$1:$N$46</definedName>
    <definedName name="_xlnm.Print_Area" localSheetId="39">'PT13'!$A$1:$N$38</definedName>
    <definedName name="_xlnm.Print_Area" localSheetId="40">'PT14'!$A$1:$M$32</definedName>
    <definedName name="_xlnm.Print_Area" localSheetId="41">'PT15'!$A$1:$M$38</definedName>
    <definedName name="_xlnm.Print_Area" localSheetId="42">'SE01'!$A$1:$M$64</definedName>
    <definedName name="_xlnm.Print_Area" localSheetId="43">'SE02'!$A$1:$N$64</definedName>
    <definedName name="_xlnm.Print_Area" localSheetId="44">'SE03'!$A$1:$M$64</definedName>
    <definedName name="_xlnm.Print_Area" localSheetId="45">'SE04'!$A$1:$M$68</definedName>
    <definedName name="_xlnm.Print_Area" localSheetId="46">'SK01'!$A$1:$N$36</definedName>
    <definedName name="_xlnm.Print_Area" localSheetId="47">'SK02'!$A$1:$M$34</definedName>
    <definedName name="_xlnm.Print_Area" localSheetId="48">'SK03'!$A$1:$N$38</definedName>
    <definedName name="_xlnm.Print_Area" localSheetId="49">'SK04'!$A$1:$M$34</definedName>
    <definedName name="_xlnm.Print_Area" localSheetId="50">'SK05(완사입)'!$A$1:$N$48</definedName>
    <definedName name="_xlnm.Print_Area" localSheetId="51">'SK06'!$A$1:$N$40</definedName>
    <definedName name="_xlnm.Print_Area" localSheetId="52">'SK07'!$A$1:$N$38</definedName>
    <definedName name="_xlnm.Print_Area" localSheetId="53">'TO01'!$A$1:$M$30</definedName>
    <definedName name="_xlnm.Print_Area" localSheetId="54">'TO02'!$A$1:$M$30</definedName>
    <definedName name="_xlnm.Print_Area" localSheetId="55">'TO03'!$A$1:$M$30</definedName>
    <definedName name="_xlnm.Print_Area" localSheetId="56">'TO04'!$A$1:$M$30</definedName>
    <definedName name="_xlnm.Print_Area" localSheetId="57">'TO05'!$A$1:$M$30</definedName>
    <definedName name="_xlnm.Print_Area" localSheetId="58">'TO06'!$A$1:$M$32</definedName>
    <definedName name="_xlnm.Print_Area" localSheetId="59">'TO07'!$A$1:$M$30</definedName>
    <definedName name="_xlnm.Print_Area" localSheetId="60">'TO08'!$A$1:$M$38</definedName>
    <definedName name="_xlnm.Print_Area" localSheetId="61">'TO09'!$A$1:$M$30</definedName>
    <definedName name="_xlnm.Print_Area" localSheetId="62">'TO10'!$A$1:$M$30</definedName>
    <definedName name="_xlnm.Print_Area" localSheetId="63">'TO11'!$A$1:$N$32</definedName>
    <definedName name="_xlnm.Print_Area" localSheetId="64">'TO12'!$A$1:$M$34</definedName>
    <definedName name="_xlnm.Print_Area" localSheetId="65">'TO13'!$A$1:$N$34</definedName>
    <definedName name="_xlnm.Print_Area" localSheetId="66">'TO14'!$A$1:$M$30</definedName>
    <definedName name="_xlnm.Print_Area" localSheetId="67">'TO15'!$A$1:$M$32</definedName>
    <definedName name="_xlnm.Print_Area" localSheetId="69">'TO16'!$A$1:$M$34</definedName>
    <definedName name="_xlnm.Print_Area" localSheetId="68">'TO17'!$A$1:$M$30</definedName>
    <definedName name="_xlnm.Print_Area" localSheetId="70">'TO18'!$A$1:$M$26</definedName>
    <definedName name="_xlnm.Print_Area" localSheetId="71">'TO19'!$A$1:$N$34</definedName>
    <definedName name="_xlnm.Print_Area" localSheetId="72">'TO20'!$A$1:$M$30</definedName>
    <definedName name="_xlnm.Print_Area" localSheetId="73">'TO21'!$A$1:$N$36</definedName>
    <definedName name="_xlnm.Print_Area" localSheetId="74">'TO22(완사입)'!$A$1:$M$26</definedName>
    <definedName name="_xlnm.Print_Area" localSheetId="75">'TO23'!$A$1:$N$28</definedName>
    <definedName name="_xlnm.Print_Area" localSheetId="76">'TO24'!$A$1:$N$34</definedName>
    <definedName name="_xlnm.Print_Area" localSheetId="77">'TO25'!$A$1:$N$28</definedName>
    <definedName name="_xlnm.Print_Area" localSheetId="78">'TO26'!$A$1:$M$30</definedName>
    <definedName name="_xlnm.Print_Area" localSheetId="79">'TO27'!$A$1:$M$28</definedName>
    <definedName name="_xlnm.Print_Area" localSheetId="80">'TO28'!$A$1:$N$32</definedName>
    <definedName name="_xlnm.Print_Area" localSheetId="81">'TO29'!$A$1:$N$26</definedName>
    <definedName name="_xlnm.Print_Area" localSheetId="82">'TO30'!$A$1:$M$28</definedName>
    <definedName name="_xlnm.Print_Area" localSheetId="83">'TO31'!$A$1:$N$30</definedName>
    <definedName name="_xlnm.Print_Area" localSheetId="84">'TO32(니트)'!$A$1:$M$38</definedName>
    <definedName name="_xlnm.Print_Area" localSheetId="85">'TO33'!$A$1:$N$26</definedName>
    <definedName name="_xlnm.Print_Area" localSheetId="86">'TO34'!$A$1:$N$30</definedName>
  </definedNames>
  <calcPr calcId="191029"/>
</workbook>
</file>

<file path=xl/calcChain.xml><?xml version="1.0" encoding="utf-8"?>
<calcChain xmlns="http://schemas.openxmlformats.org/spreadsheetml/2006/main">
  <c r="K17" i="2700" l="1"/>
  <c r="L17" i="2700" s="1"/>
  <c r="M17" i="2700" s="1"/>
  <c r="I17" i="2700"/>
  <c r="H17" i="2700" s="1"/>
  <c r="K15" i="2700"/>
  <c r="L15" i="2700" s="1"/>
  <c r="M15" i="2700" s="1"/>
  <c r="I15" i="2700"/>
  <c r="H15" i="2700" s="1"/>
  <c r="K13" i="2700"/>
  <c r="L13" i="2700" s="1"/>
  <c r="M13" i="2700" s="1"/>
  <c r="I13" i="2700"/>
  <c r="H13" i="2700" s="1"/>
  <c r="I9" i="2716"/>
  <c r="H9" i="2716" s="1"/>
  <c r="K9" i="2716"/>
  <c r="L9" i="2716" s="1"/>
  <c r="K5" i="2716"/>
  <c r="L5" i="2716" s="1"/>
  <c r="I5" i="2716"/>
  <c r="H5" i="2716" s="1"/>
  <c r="K17" i="2716" l="1"/>
  <c r="L17" i="2716" s="1"/>
  <c r="I17" i="2716"/>
  <c r="H17" i="2716" s="1"/>
  <c r="K15" i="2716"/>
  <c r="L15" i="2716" s="1"/>
  <c r="I15" i="2716"/>
  <c r="H15" i="2716" s="1"/>
  <c r="K13" i="2716"/>
  <c r="L13" i="2716" s="1"/>
  <c r="I13" i="2716"/>
  <c r="H13" i="2716" s="1"/>
  <c r="K11" i="2716"/>
  <c r="L11" i="2716" s="1"/>
  <c r="I11" i="2716"/>
  <c r="H11" i="2716" s="1"/>
  <c r="K7" i="2716"/>
  <c r="L7" i="2716" s="1"/>
  <c r="I7" i="2716"/>
  <c r="H7" i="2716" s="1"/>
  <c r="K3" i="2716"/>
  <c r="L3" i="2716" s="1"/>
  <c r="I3" i="2716"/>
  <c r="H3" i="2716" s="1"/>
  <c r="L27" i="2715"/>
  <c r="M27" i="2715" s="1"/>
  <c r="N27" i="2715" s="1"/>
  <c r="K27" i="2715"/>
  <c r="I27" i="2715"/>
  <c r="H27" i="2715"/>
  <c r="K25" i="2715"/>
  <c r="L25" i="2715" s="1"/>
  <c r="M25" i="2715" s="1"/>
  <c r="N25" i="2715" s="1"/>
  <c r="I25" i="2715"/>
  <c r="H25" i="2715"/>
  <c r="K23" i="2715"/>
  <c r="L23" i="2715" s="1"/>
  <c r="M23" i="2715" s="1"/>
  <c r="N23" i="2715" s="1"/>
  <c r="I23" i="2715"/>
  <c r="H23" i="2715"/>
  <c r="K21" i="2715"/>
  <c r="L21" i="2715" s="1"/>
  <c r="M21" i="2715" s="1"/>
  <c r="N21" i="2715" s="1"/>
  <c r="I21" i="2715"/>
  <c r="H21" i="2715"/>
  <c r="K19" i="2715"/>
  <c r="L19" i="2715" s="1"/>
  <c r="M19" i="2715" s="1"/>
  <c r="N19" i="2715" s="1"/>
  <c r="I19" i="2715"/>
  <c r="H19" i="2715"/>
  <c r="K17" i="2715"/>
  <c r="L17" i="2715" s="1"/>
  <c r="M17" i="2715" s="1"/>
  <c r="N17" i="2715" s="1"/>
  <c r="I17" i="2715"/>
  <c r="H17" i="2715" s="1"/>
  <c r="K15" i="2715"/>
  <c r="L15" i="2715" s="1"/>
  <c r="M15" i="2715" s="1"/>
  <c r="N15" i="2715" s="1"/>
  <c r="I15" i="2715"/>
  <c r="H15" i="2715"/>
  <c r="K13" i="2715"/>
  <c r="L13" i="2715" s="1"/>
  <c r="M13" i="2715" s="1"/>
  <c r="N13" i="2715" s="1"/>
  <c r="I13" i="2715"/>
  <c r="H13" i="2715"/>
  <c r="L11" i="2715"/>
  <c r="M11" i="2715" s="1"/>
  <c r="N11" i="2715" s="1"/>
  <c r="K11" i="2715"/>
  <c r="I11" i="2715"/>
  <c r="H11" i="2715"/>
  <c r="K9" i="2715"/>
  <c r="L9" i="2715" s="1"/>
  <c r="M9" i="2715" s="1"/>
  <c r="N9" i="2715" s="1"/>
  <c r="I9" i="2715"/>
  <c r="H9" i="2715"/>
  <c r="K7" i="2715"/>
  <c r="L7" i="2715" s="1"/>
  <c r="M7" i="2715" s="1"/>
  <c r="N7" i="2715" s="1"/>
  <c r="I7" i="2715"/>
  <c r="H7" i="2715"/>
  <c r="K5" i="2715"/>
  <c r="L5" i="2715" s="1"/>
  <c r="M5" i="2715" s="1"/>
  <c r="N5" i="2715" s="1"/>
  <c r="I5" i="2715"/>
  <c r="H5" i="2715"/>
  <c r="K3" i="2715"/>
  <c r="L3" i="2715" s="1"/>
  <c r="M3" i="2715" s="1"/>
  <c r="N3" i="2715" s="1"/>
  <c r="I3" i="2715"/>
  <c r="H3" i="2715"/>
  <c r="Q11" i="2714" l="1"/>
  <c r="Q10" i="2714"/>
  <c r="N15" i="2714" l="1"/>
  <c r="M15" i="2714"/>
  <c r="L15" i="2714"/>
  <c r="K15" i="2714"/>
  <c r="H15" i="2714"/>
  <c r="I15" i="2714"/>
  <c r="H13" i="2714"/>
  <c r="I13" i="2714"/>
  <c r="H7" i="2714"/>
  <c r="I7" i="2714"/>
  <c r="N7" i="2714"/>
  <c r="M7" i="2714"/>
  <c r="L7" i="2714"/>
  <c r="K7" i="2714"/>
  <c r="N5" i="2714"/>
  <c r="M5" i="2714"/>
  <c r="L5" i="2714"/>
  <c r="K5" i="2714"/>
  <c r="H5" i="2714"/>
  <c r="I5" i="2714"/>
  <c r="K3" i="2714"/>
  <c r="L3" i="2714" s="1"/>
  <c r="M3" i="2714" s="1"/>
  <c r="N3" i="2714" s="1"/>
  <c r="I3" i="2714"/>
  <c r="H3" i="2714" s="1"/>
  <c r="K13" i="2714"/>
  <c r="L13" i="2714" s="1"/>
  <c r="M13" i="2714" s="1"/>
  <c r="N13" i="2714" s="1"/>
  <c r="K11" i="2714"/>
  <c r="L11" i="2714" s="1"/>
  <c r="M11" i="2714" s="1"/>
  <c r="N11" i="2714" s="1"/>
  <c r="I11" i="2714"/>
  <c r="H11" i="2714" s="1"/>
  <c r="K9" i="2714"/>
  <c r="L9" i="2714" s="1"/>
  <c r="M9" i="2714" s="1"/>
  <c r="N9" i="2714" s="1"/>
  <c r="I9" i="2714"/>
  <c r="H9" i="2714" s="1"/>
  <c r="K39" i="2685"/>
  <c r="K37" i="2685"/>
  <c r="K33" i="2685"/>
  <c r="K21" i="2700"/>
  <c r="L21" i="2700" s="1"/>
  <c r="M21" i="2700" s="1"/>
  <c r="I21" i="2700"/>
  <c r="H21" i="2700" s="1"/>
  <c r="H19" i="2700"/>
  <c r="L19" i="2700"/>
  <c r="M19" i="2700"/>
  <c r="K19" i="2700"/>
  <c r="I19" i="2700"/>
  <c r="K11" i="2700"/>
  <c r="L11" i="2700" s="1"/>
  <c r="M11" i="2700" s="1"/>
  <c r="I11" i="2700"/>
  <c r="H11" i="2700" s="1"/>
  <c r="K5" i="2700"/>
  <c r="L5" i="2700" s="1"/>
  <c r="M5" i="2700" s="1"/>
  <c r="I5" i="2700"/>
  <c r="H5" i="2700" s="1"/>
  <c r="K23" i="2675"/>
  <c r="L23" i="2675" s="1"/>
  <c r="M23" i="2675" s="1"/>
  <c r="N23" i="2675" s="1"/>
  <c r="I23" i="2675"/>
  <c r="H23" i="2675" s="1"/>
  <c r="N27" i="2675"/>
  <c r="M27" i="2675"/>
  <c r="L27" i="2675"/>
  <c r="K27" i="2675"/>
  <c r="H27" i="2675"/>
  <c r="I27" i="2675"/>
  <c r="H9" i="2675"/>
  <c r="I9" i="2675"/>
  <c r="N3" i="2675"/>
  <c r="M3" i="2675"/>
  <c r="L3" i="2675"/>
  <c r="K3" i="2675"/>
  <c r="H3" i="2675"/>
  <c r="I3" i="2675"/>
  <c r="Q31" i="2675"/>
  <c r="Q30" i="2675"/>
  <c r="N11" i="2696"/>
  <c r="K29" i="2696"/>
  <c r="L29" i="2696" s="1"/>
  <c r="M29" i="2696" s="1"/>
  <c r="N29" i="2696" s="1"/>
  <c r="I29" i="2696"/>
  <c r="H29" i="2696" s="1"/>
  <c r="L27" i="2696"/>
  <c r="M27" i="2696"/>
  <c r="N27" i="2696"/>
  <c r="K27" i="2696"/>
  <c r="H27" i="2696"/>
  <c r="I27" i="2696"/>
  <c r="K31" i="2696"/>
  <c r="L31" i="2696"/>
  <c r="M31" i="2696"/>
  <c r="N31" i="2696"/>
  <c r="H31" i="2696"/>
  <c r="I31" i="2696"/>
  <c r="L25" i="2696"/>
  <c r="M25" i="2696"/>
  <c r="N25" i="2696" s="1"/>
  <c r="K25" i="2696"/>
  <c r="H25" i="2696"/>
  <c r="I25" i="2696"/>
  <c r="M31" i="2712"/>
  <c r="L31" i="2712"/>
  <c r="K31" i="2712"/>
  <c r="I31" i="2712"/>
  <c r="H31" i="2712"/>
  <c r="K29" i="2712"/>
  <c r="L29" i="2712" s="1"/>
  <c r="M29" i="2712" s="1"/>
  <c r="I29" i="2712"/>
  <c r="H29" i="2712" s="1"/>
  <c r="K27" i="2712"/>
  <c r="L27" i="2712" s="1"/>
  <c r="M27" i="2712" s="1"/>
  <c r="I27" i="2712"/>
  <c r="H27" i="2712" s="1"/>
  <c r="K25" i="2712"/>
  <c r="L25" i="2712" s="1"/>
  <c r="M25" i="2712" s="1"/>
  <c r="I25" i="2712"/>
  <c r="H25" i="2712"/>
  <c r="K23" i="2712"/>
  <c r="L23" i="2712" s="1"/>
  <c r="M23" i="2712" s="1"/>
  <c r="I23" i="2712"/>
  <c r="H23" i="2712"/>
  <c r="K19" i="2712"/>
  <c r="L19" i="2712" s="1"/>
  <c r="M19" i="2712" s="1"/>
  <c r="I19" i="2712"/>
  <c r="H19" i="2712" s="1"/>
  <c r="K17" i="2712"/>
  <c r="L17" i="2712" s="1"/>
  <c r="M17" i="2712" s="1"/>
  <c r="I17" i="2712"/>
  <c r="H17" i="2712" s="1"/>
  <c r="K15" i="2712"/>
  <c r="L15" i="2712" s="1"/>
  <c r="M15" i="2712" s="1"/>
  <c r="I15" i="2712"/>
  <c r="H15" i="2712"/>
  <c r="K13" i="2712"/>
  <c r="L13" i="2712" s="1"/>
  <c r="M13" i="2712" s="1"/>
  <c r="I13" i="2712"/>
  <c r="H13" i="2712"/>
  <c r="K11" i="2712"/>
  <c r="L11" i="2712" s="1"/>
  <c r="M11" i="2712" s="1"/>
  <c r="I11" i="2712"/>
  <c r="H11" i="2712" s="1"/>
  <c r="K9" i="2712"/>
  <c r="L9" i="2712" s="1"/>
  <c r="M9" i="2712" s="1"/>
  <c r="I9" i="2712"/>
  <c r="H9" i="2712" s="1"/>
  <c r="K7" i="2712"/>
  <c r="L7" i="2712" s="1"/>
  <c r="M7" i="2712" s="1"/>
  <c r="I7" i="2712"/>
  <c r="H7" i="2712"/>
  <c r="K5" i="2712"/>
  <c r="L5" i="2712" s="1"/>
  <c r="M5" i="2712" s="1"/>
  <c r="I5" i="2712"/>
  <c r="H5" i="2712"/>
  <c r="K3" i="2712"/>
  <c r="L3" i="2712" s="1"/>
  <c r="M3" i="2712" s="1"/>
  <c r="I3" i="2712"/>
  <c r="H3" i="2712"/>
  <c r="M23" i="2711" l="1"/>
  <c r="L23" i="2711"/>
  <c r="K23" i="2711"/>
  <c r="H23" i="2711"/>
  <c r="I23" i="2711"/>
  <c r="M5" i="2711"/>
  <c r="L5" i="2711"/>
  <c r="K5" i="2711"/>
  <c r="H5" i="2711"/>
  <c r="I5" i="2711"/>
  <c r="K3" i="2711"/>
  <c r="L3" i="2711" s="1"/>
  <c r="M3" i="2711" s="1"/>
  <c r="I3" i="2711"/>
  <c r="H3" i="2711" s="1"/>
  <c r="K31" i="2711"/>
  <c r="L31" i="2711" s="1"/>
  <c r="M31" i="2711" s="1"/>
  <c r="I31" i="2711"/>
  <c r="H31" i="2711" s="1"/>
  <c r="K29" i="2711"/>
  <c r="L29" i="2711" s="1"/>
  <c r="M29" i="2711" s="1"/>
  <c r="I29" i="2711"/>
  <c r="H29" i="2711"/>
  <c r="K27" i="2711"/>
  <c r="L27" i="2711" s="1"/>
  <c r="M27" i="2711" s="1"/>
  <c r="I27" i="2711"/>
  <c r="H27" i="2711"/>
  <c r="K25" i="2711"/>
  <c r="L25" i="2711" s="1"/>
  <c r="M25" i="2711" s="1"/>
  <c r="I25" i="2711"/>
  <c r="H25" i="2711" s="1"/>
  <c r="K19" i="2711"/>
  <c r="L19" i="2711" s="1"/>
  <c r="M19" i="2711" s="1"/>
  <c r="I19" i="2711"/>
  <c r="H19" i="2711"/>
  <c r="K17" i="2711"/>
  <c r="L17" i="2711" s="1"/>
  <c r="M17" i="2711" s="1"/>
  <c r="I17" i="2711"/>
  <c r="H17" i="2711" s="1"/>
  <c r="K15" i="2711"/>
  <c r="L15" i="2711" s="1"/>
  <c r="M15" i="2711" s="1"/>
  <c r="I15" i="2711"/>
  <c r="H15" i="2711" s="1"/>
  <c r="K13" i="2711"/>
  <c r="L13" i="2711" s="1"/>
  <c r="M13" i="2711" s="1"/>
  <c r="I13" i="2711"/>
  <c r="H13" i="2711"/>
  <c r="K11" i="2711"/>
  <c r="L11" i="2711" s="1"/>
  <c r="M11" i="2711" s="1"/>
  <c r="I11" i="2711"/>
  <c r="H11" i="2711"/>
  <c r="K9" i="2711"/>
  <c r="L9" i="2711" s="1"/>
  <c r="M9" i="2711" s="1"/>
  <c r="I9" i="2711"/>
  <c r="H9" i="2711" s="1"/>
  <c r="K7" i="2711"/>
  <c r="L7" i="2711" s="1"/>
  <c r="M7" i="2711" s="1"/>
  <c r="I7" i="2711"/>
  <c r="H7" i="2711" s="1"/>
  <c r="H3" i="2710"/>
  <c r="H5" i="2710"/>
  <c r="H7" i="2710"/>
  <c r="H9" i="2710"/>
  <c r="H11" i="2710"/>
  <c r="H13" i="2710"/>
  <c r="H15" i="2710"/>
  <c r="H17" i="2710"/>
  <c r="H19" i="2710"/>
  <c r="H21" i="2710"/>
  <c r="H23" i="2710"/>
  <c r="H25" i="2710"/>
  <c r="H27" i="2710"/>
  <c r="H29" i="2710"/>
  <c r="H31" i="2710"/>
  <c r="H33" i="2710"/>
  <c r="H37" i="2710"/>
  <c r="K33" i="2710"/>
  <c r="L33" i="2710" s="1"/>
  <c r="M33" i="2710" s="1"/>
  <c r="N33" i="2710" s="1"/>
  <c r="I33" i="2710"/>
  <c r="L31" i="2710"/>
  <c r="M31" i="2710"/>
  <c r="N31" i="2710"/>
  <c r="K31" i="2710"/>
  <c r="I31" i="2710"/>
  <c r="K37" i="2710"/>
  <c r="L37" i="2710" s="1"/>
  <c r="M37" i="2710" s="1"/>
  <c r="N37" i="2710" s="1"/>
  <c r="I37" i="2710"/>
  <c r="K29" i="2710"/>
  <c r="L29" i="2710" s="1"/>
  <c r="M29" i="2710" s="1"/>
  <c r="N29" i="2710" s="1"/>
  <c r="I29" i="2710"/>
  <c r="L27" i="2710"/>
  <c r="M27" i="2710" s="1"/>
  <c r="N27" i="2710" s="1"/>
  <c r="K27" i="2710"/>
  <c r="I27" i="2710"/>
  <c r="K25" i="2710"/>
  <c r="L25" i="2710" s="1"/>
  <c r="M25" i="2710" s="1"/>
  <c r="N25" i="2710" s="1"/>
  <c r="I25" i="2710"/>
  <c r="K23" i="2710"/>
  <c r="L23" i="2710" s="1"/>
  <c r="M23" i="2710" s="1"/>
  <c r="N23" i="2710" s="1"/>
  <c r="I23" i="2710"/>
  <c r="K21" i="2710"/>
  <c r="L21" i="2710" s="1"/>
  <c r="M21" i="2710" s="1"/>
  <c r="N21" i="2710" s="1"/>
  <c r="I21" i="2710"/>
  <c r="K19" i="2710"/>
  <c r="L19" i="2710" s="1"/>
  <c r="M19" i="2710" s="1"/>
  <c r="N19" i="2710" s="1"/>
  <c r="I19" i="2710"/>
  <c r="L17" i="2710"/>
  <c r="M17" i="2710" s="1"/>
  <c r="N17" i="2710" s="1"/>
  <c r="K17" i="2710"/>
  <c r="I17" i="2710"/>
  <c r="L15" i="2710"/>
  <c r="M15" i="2710" s="1"/>
  <c r="N15" i="2710" s="1"/>
  <c r="K15" i="2710"/>
  <c r="I15" i="2710"/>
  <c r="K13" i="2710"/>
  <c r="L13" i="2710" s="1"/>
  <c r="M13" i="2710" s="1"/>
  <c r="N13" i="2710" s="1"/>
  <c r="I13" i="2710"/>
  <c r="K11" i="2710"/>
  <c r="L11" i="2710" s="1"/>
  <c r="M11" i="2710" s="1"/>
  <c r="N11" i="2710" s="1"/>
  <c r="I11" i="2710"/>
  <c r="K9" i="2710"/>
  <c r="L9" i="2710" s="1"/>
  <c r="M9" i="2710" s="1"/>
  <c r="N9" i="2710" s="1"/>
  <c r="I9" i="2710"/>
  <c r="K7" i="2710"/>
  <c r="L7" i="2710" s="1"/>
  <c r="M7" i="2710" s="1"/>
  <c r="N7" i="2710" s="1"/>
  <c r="I7" i="2710"/>
  <c r="K5" i="2710"/>
  <c r="L5" i="2710" s="1"/>
  <c r="M5" i="2710" s="1"/>
  <c r="N5" i="2710" s="1"/>
  <c r="I5" i="2710"/>
  <c r="K3" i="2710"/>
  <c r="L3" i="2710" s="1"/>
  <c r="M3" i="2710" s="1"/>
  <c r="N3" i="2710" s="1"/>
  <c r="I3" i="2710"/>
  <c r="M5" i="2694"/>
  <c r="M21" i="2694"/>
  <c r="M29" i="2694"/>
  <c r="M35" i="2694"/>
  <c r="M33" i="2694"/>
  <c r="N3" i="2708"/>
  <c r="N5" i="2708"/>
  <c r="N7" i="2708"/>
  <c r="N9" i="2708"/>
  <c r="N11" i="2708"/>
  <c r="N13" i="2708"/>
  <c r="N15" i="2708"/>
  <c r="N19" i="2708"/>
  <c r="N21" i="2708"/>
  <c r="N23" i="2708"/>
  <c r="N25" i="2708"/>
  <c r="N27" i="2708"/>
  <c r="N29" i="2708"/>
  <c r="I3" i="2708"/>
  <c r="H3" i="2708" s="1"/>
  <c r="M15" i="2708"/>
  <c r="L15" i="2708"/>
  <c r="K15" i="2708"/>
  <c r="H15" i="2708"/>
  <c r="I15" i="2708"/>
  <c r="K9" i="2708"/>
  <c r="L9" i="2708" s="1"/>
  <c r="M9" i="2708" s="1"/>
  <c r="I9" i="2708"/>
  <c r="H9" i="2708"/>
  <c r="K7" i="2708"/>
  <c r="L7" i="2708" s="1"/>
  <c r="M7" i="2708" s="1"/>
  <c r="I7" i="2708"/>
  <c r="H7" i="2708" s="1"/>
  <c r="K5" i="2708"/>
  <c r="L5" i="2708" s="1"/>
  <c r="M5" i="2708" s="1"/>
  <c r="I5" i="2708"/>
  <c r="H5" i="2708" s="1"/>
  <c r="K29" i="2708"/>
  <c r="L29" i="2708" s="1"/>
  <c r="M29" i="2708" s="1"/>
  <c r="I29" i="2708"/>
  <c r="H29" i="2708" s="1"/>
  <c r="K27" i="2708"/>
  <c r="L27" i="2708" s="1"/>
  <c r="M27" i="2708" s="1"/>
  <c r="I27" i="2708"/>
  <c r="H27" i="2708" s="1"/>
  <c r="K25" i="2708"/>
  <c r="L25" i="2708" s="1"/>
  <c r="M25" i="2708" s="1"/>
  <c r="I25" i="2708"/>
  <c r="H25" i="2708" s="1"/>
  <c r="K23" i="2708"/>
  <c r="L23" i="2708" s="1"/>
  <c r="M23" i="2708" s="1"/>
  <c r="I23" i="2708"/>
  <c r="H23" i="2708" s="1"/>
  <c r="K21" i="2708"/>
  <c r="L21" i="2708" s="1"/>
  <c r="M21" i="2708" s="1"/>
  <c r="I21" i="2708"/>
  <c r="H21" i="2708"/>
  <c r="K19" i="2708"/>
  <c r="L19" i="2708" s="1"/>
  <c r="M19" i="2708" s="1"/>
  <c r="I19" i="2708"/>
  <c r="H19" i="2708" s="1"/>
  <c r="K13" i="2708"/>
  <c r="L13" i="2708" s="1"/>
  <c r="M13" i="2708" s="1"/>
  <c r="I13" i="2708"/>
  <c r="H13" i="2708" s="1"/>
  <c r="K11" i="2708"/>
  <c r="L11" i="2708" s="1"/>
  <c r="M11" i="2708" s="1"/>
  <c r="I11" i="2708"/>
  <c r="H11" i="2708" s="1"/>
  <c r="K3" i="2708"/>
  <c r="L3" i="2708" s="1"/>
  <c r="M3" i="2708" s="1"/>
  <c r="L27" i="2704"/>
  <c r="M27" i="2704"/>
  <c r="K27" i="2704"/>
  <c r="H27" i="2704"/>
  <c r="I27" i="2704"/>
  <c r="N3" i="2707"/>
  <c r="N5" i="2707"/>
  <c r="N7" i="2707"/>
  <c r="N9" i="2707"/>
  <c r="N11" i="2707"/>
  <c r="N13" i="2707"/>
  <c r="N19" i="2707"/>
  <c r="N21" i="2707"/>
  <c r="N23" i="2707"/>
  <c r="N25" i="2707"/>
  <c r="K25" i="2707"/>
  <c r="L25" i="2707" s="1"/>
  <c r="M25" i="2707" s="1"/>
  <c r="I25" i="2707"/>
  <c r="H25" i="2707" s="1"/>
  <c r="L19" i="2707"/>
  <c r="M19" i="2707" s="1"/>
  <c r="K19" i="2707"/>
  <c r="I19" i="2707"/>
  <c r="H19" i="2707" s="1"/>
  <c r="K11" i="2707"/>
  <c r="L11" i="2707" s="1"/>
  <c r="M11" i="2707" s="1"/>
  <c r="I11" i="2707"/>
  <c r="H11" i="2707" s="1"/>
  <c r="H5" i="2707"/>
  <c r="L5" i="2707"/>
  <c r="M5" i="2707" s="1"/>
  <c r="K5" i="2707"/>
  <c r="I5" i="2707"/>
  <c r="K23" i="2707"/>
  <c r="L23" i="2707" s="1"/>
  <c r="M23" i="2707" s="1"/>
  <c r="I23" i="2707"/>
  <c r="H23" i="2707" s="1"/>
  <c r="K21" i="2707"/>
  <c r="L21" i="2707" s="1"/>
  <c r="M21" i="2707" s="1"/>
  <c r="I21" i="2707"/>
  <c r="H21" i="2707" s="1"/>
  <c r="K17" i="2707"/>
  <c r="L17" i="2707" s="1"/>
  <c r="M17" i="2707" s="1"/>
  <c r="N17" i="2707" s="1"/>
  <c r="I17" i="2707"/>
  <c r="H17" i="2707"/>
  <c r="K15" i="2707"/>
  <c r="L15" i="2707" s="1"/>
  <c r="M15" i="2707" s="1"/>
  <c r="N15" i="2707" s="1"/>
  <c r="I15" i="2707"/>
  <c r="H15" i="2707" s="1"/>
  <c r="L13" i="2707"/>
  <c r="M13" i="2707" s="1"/>
  <c r="K13" i="2707"/>
  <c r="I13" i="2707"/>
  <c r="H13" i="2707"/>
  <c r="K9" i="2707"/>
  <c r="L9" i="2707" s="1"/>
  <c r="M9" i="2707" s="1"/>
  <c r="I9" i="2707"/>
  <c r="H9" i="2707"/>
  <c r="K7" i="2707"/>
  <c r="L7" i="2707" s="1"/>
  <c r="M7" i="2707" s="1"/>
  <c r="I7" i="2707"/>
  <c r="H7" i="2707" s="1"/>
  <c r="K3" i="2707"/>
  <c r="L3" i="2707" s="1"/>
  <c r="M3" i="2707" s="1"/>
  <c r="I3" i="2707"/>
  <c r="H3" i="2707" s="1"/>
  <c r="H7" i="2631"/>
  <c r="I7" i="2631"/>
  <c r="K7" i="2631"/>
  <c r="L7" i="2631" s="1"/>
  <c r="M7" i="2631" s="1"/>
  <c r="H11" i="2706"/>
  <c r="L11" i="2706"/>
  <c r="M11" i="2706" s="1"/>
  <c r="N11" i="2706" s="1"/>
  <c r="N3" i="2706"/>
  <c r="N5" i="2706"/>
  <c r="N7" i="2706"/>
  <c r="N9" i="2706"/>
  <c r="N13" i="2706"/>
  <c r="N15" i="2706"/>
  <c r="N17" i="2706"/>
  <c r="N19" i="2706"/>
  <c r="N21" i="2706"/>
  <c r="N23" i="2706"/>
  <c r="N25" i="2706"/>
  <c r="N27" i="2706"/>
  <c r="N29" i="2706"/>
  <c r="N31" i="2706"/>
  <c r="K31" i="2706"/>
  <c r="L31" i="2706" s="1"/>
  <c r="M31" i="2706" s="1"/>
  <c r="I31" i="2706"/>
  <c r="H31" i="2706" s="1"/>
  <c r="K29" i="2706"/>
  <c r="L29" i="2706" s="1"/>
  <c r="M29" i="2706" s="1"/>
  <c r="I29" i="2706"/>
  <c r="H29" i="2706"/>
  <c r="K27" i="2706"/>
  <c r="L27" i="2706" s="1"/>
  <c r="M27" i="2706" s="1"/>
  <c r="I27" i="2706"/>
  <c r="H27" i="2706"/>
  <c r="K21" i="2706"/>
  <c r="L21" i="2706" s="1"/>
  <c r="M21" i="2706" s="1"/>
  <c r="I21" i="2706"/>
  <c r="H21" i="2706" s="1"/>
  <c r="K19" i="2706"/>
  <c r="L19" i="2706" s="1"/>
  <c r="M19" i="2706" s="1"/>
  <c r="I19" i="2706"/>
  <c r="H19" i="2706" s="1"/>
  <c r="K9" i="2706"/>
  <c r="L9" i="2706" s="1"/>
  <c r="M9" i="2706" s="1"/>
  <c r="I9" i="2706"/>
  <c r="H9" i="2706" s="1"/>
  <c r="M31" i="2631"/>
  <c r="L31" i="2631"/>
  <c r="K31" i="2631"/>
  <c r="I31" i="2631"/>
  <c r="H31" i="2631"/>
  <c r="I29" i="2631"/>
  <c r="H29" i="2631" s="1"/>
  <c r="K29" i="2631"/>
  <c r="L29" i="2631" s="1"/>
  <c r="M29" i="2631" s="1"/>
  <c r="K7" i="2706"/>
  <c r="L7" i="2706" s="1"/>
  <c r="M7" i="2706" s="1"/>
  <c r="I7" i="2706"/>
  <c r="H7" i="2706" s="1"/>
  <c r="H5" i="2706"/>
  <c r="K5" i="2706"/>
  <c r="L5" i="2706" s="1"/>
  <c r="M5" i="2706" s="1"/>
  <c r="I5" i="2706"/>
  <c r="K25" i="2706"/>
  <c r="L25" i="2706" s="1"/>
  <c r="M25" i="2706" s="1"/>
  <c r="I25" i="2706"/>
  <c r="H25" i="2706" s="1"/>
  <c r="K23" i="2706"/>
  <c r="L23" i="2706" s="1"/>
  <c r="M23" i="2706" s="1"/>
  <c r="I23" i="2706"/>
  <c r="H23" i="2706" s="1"/>
  <c r="K17" i="2706"/>
  <c r="L17" i="2706" s="1"/>
  <c r="M17" i="2706" s="1"/>
  <c r="I17" i="2706"/>
  <c r="H17" i="2706"/>
  <c r="K15" i="2706"/>
  <c r="L15" i="2706" s="1"/>
  <c r="M15" i="2706" s="1"/>
  <c r="I15" i="2706"/>
  <c r="H15" i="2706" s="1"/>
  <c r="K13" i="2706"/>
  <c r="L13" i="2706" s="1"/>
  <c r="M13" i="2706" s="1"/>
  <c r="I13" i="2706"/>
  <c r="H13" i="2706" s="1"/>
  <c r="K11" i="2706"/>
  <c r="I11" i="2706"/>
  <c r="K3" i="2706"/>
  <c r="L3" i="2706" s="1"/>
  <c r="M3" i="2706" s="1"/>
  <c r="I3" i="2706"/>
  <c r="H3" i="2706"/>
  <c r="K27" i="2650"/>
  <c r="K17" i="2650"/>
  <c r="L17" i="2650" s="1"/>
  <c r="M17" i="2650" s="1"/>
  <c r="I17" i="2650"/>
  <c r="H17" i="2650" s="1"/>
  <c r="K35" i="2705"/>
  <c r="L35" i="2705" s="1"/>
  <c r="M35" i="2705" s="1"/>
  <c r="I35" i="2705"/>
  <c r="H35" i="2705" s="1"/>
  <c r="K33" i="2705"/>
  <c r="L33" i="2705" s="1"/>
  <c r="M33" i="2705" s="1"/>
  <c r="I33" i="2705"/>
  <c r="H33" i="2705"/>
  <c r="K31" i="2705"/>
  <c r="L31" i="2705" s="1"/>
  <c r="M31" i="2705" s="1"/>
  <c r="I31" i="2705"/>
  <c r="H31" i="2705"/>
  <c r="K29" i="2705"/>
  <c r="L29" i="2705" s="1"/>
  <c r="M29" i="2705" s="1"/>
  <c r="I29" i="2705"/>
  <c r="H29" i="2705" s="1"/>
  <c r="K27" i="2705"/>
  <c r="L27" i="2705" s="1"/>
  <c r="M27" i="2705" s="1"/>
  <c r="I27" i="2705"/>
  <c r="H27" i="2705"/>
  <c r="K25" i="2705"/>
  <c r="L25" i="2705" s="1"/>
  <c r="M25" i="2705" s="1"/>
  <c r="I25" i="2705"/>
  <c r="H25" i="2705" s="1"/>
  <c r="K23" i="2705"/>
  <c r="L23" i="2705" s="1"/>
  <c r="M23" i="2705" s="1"/>
  <c r="I23" i="2705"/>
  <c r="H23" i="2705" s="1"/>
  <c r="K21" i="2705"/>
  <c r="L21" i="2705" s="1"/>
  <c r="M21" i="2705" s="1"/>
  <c r="I21" i="2705"/>
  <c r="H21" i="2705"/>
  <c r="K19" i="2705"/>
  <c r="L19" i="2705" s="1"/>
  <c r="M19" i="2705" s="1"/>
  <c r="I19" i="2705"/>
  <c r="H19" i="2705"/>
  <c r="K17" i="2705"/>
  <c r="L17" i="2705" s="1"/>
  <c r="M17" i="2705" s="1"/>
  <c r="I17" i="2705"/>
  <c r="H17" i="2705"/>
  <c r="K15" i="2705"/>
  <c r="L15" i="2705" s="1"/>
  <c r="M15" i="2705" s="1"/>
  <c r="I15" i="2705"/>
  <c r="H15" i="2705" s="1"/>
  <c r="K9" i="2705"/>
  <c r="L9" i="2705" s="1"/>
  <c r="M9" i="2705" s="1"/>
  <c r="I9" i="2705"/>
  <c r="H9" i="2705" s="1"/>
  <c r="K7" i="2705"/>
  <c r="L7" i="2705" s="1"/>
  <c r="M7" i="2705" s="1"/>
  <c r="I7" i="2705"/>
  <c r="H7" i="2705" s="1"/>
  <c r="K5" i="2705"/>
  <c r="L5" i="2705" s="1"/>
  <c r="M5" i="2705" s="1"/>
  <c r="I5" i="2705"/>
  <c r="H5" i="2705"/>
  <c r="K3" i="2705"/>
  <c r="L3" i="2705" s="1"/>
  <c r="M3" i="2705" s="1"/>
  <c r="I3" i="2705"/>
  <c r="H3" i="2705"/>
  <c r="K25" i="2704"/>
  <c r="L25" i="2704" s="1"/>
  <c r="M25" i="2704" s="1"/>
  <c r="I25" i="2704"/>
  <c r="H25" i="2704" s="1"/>
  <c r="K23" i="2704"/>
  <c r="L23" i="2704" s="1"/>
  <c r="M23" i="2704" s="1"/>
  <c r="I23" i="2704"/>
  <c r="H23" i="2704"/>
  <c r="K21" i="2704"/>
  <c r="L21" i="2704" s="1"/>
  <c r="M21" i="2704" s="1"/>
  <c r="I21" i="2704"/>
  <c r="H21" i="2704"/>
  <c r="K17" i="2704"/>
  <c r="L17" i="2704" s="1"/>
  <c r="M17" i="2704" s="1"/>
  <c r="I17" i="2704"/>
  <c r="H17" i="2704"/>
  <c r="K15" i="2704"/>
  <c r="L15" i="2704" s="1"/>
  <c r="M15" i="2704" s="1"/>
  <c r="I15" i="2704"/>
  <c r="H15" i="2704" s="1"/>
  <c r="K13" i="2704"/>
  <c r="L13" i="2704" s="1"/>
  <c r="M13" i="2704" s="1"/>
  <c r="I13" i="2704"/>
  <c r="H13" i="2704" s="1"/>
  <c r="K9" i="2704"/>
  <c r="L9" i="2704" s="1"/>
  <c r="M9" i="2704" s="1"/>
  <c r="I9" i="2704"/>
  <c r="H9" i="2704"/>
  <c r="K7" i="2704"/>
  <c r="L7" i="2704" s="1"/>
  <c r="M7" i="2704" s="1"/>
  <c r="I7" i="2704"/>
  <c r="H7" i="2704"/>
  <c r="K5" i="2704"/>
  <c r="L5" i="2704" s="1"/>
  <c r="M5" i="2704" s="1"/>
  <c r="I5" i="2704"/>
  <c r="H5" i="2704"/>
  <c r="K3" i="2704"/>
  <c r="L3" i="2704" s="1"/>
  <c r="M3" i="2704" s="1"/>
  <c r="I3" i="2704"/>
  <c r="H3" i="2704" s="1"/>
  <c r="I25" i="2703"/>
  <c r="J25" i="2703" s="1"/>
  <c r="K25" i="2703" s="1"/>
  <c r="L25" i="2703" s="1"/>
  <c r="M25" i="2703" s="1"/>
  <c r="N25" i="2703" s="1"/>
  <c r="I23" i="2703"/>
  <c r="J23" i="2703" s="1"/>
  <c r="K23" i="2703" s="1"/>
  <c r="L23" i="2703" s="1"/>
  <c r="M23" i="2703" s="1"/>
  <c r="N23" i="2703" s="1"/>
  <c r="I21" i="2703"/>
  <c r="J21" i="2703" s="1"/>
  <c r="K21" i="2703" s="1"/>
  <c r="L21" i="2703" s="1"/>
  <c r="M21" i="2703" s="1"/>
  <c r="N21" i="2703" s="1"/>
  <c r="I19" i="2703"/>
  <c r="J19" i="2703" s="1"/>
  <c r="K19" i="2703" s="1"/>
  <c r="L19" i="2703" s="1"/>
  <c r="M19" i="2703" s="1"/>
  <c r="N19" i="2703" s="1"/>
  <c r="I17" i="2703"/>
  <c r="J17" i="2703" s="1"/>
  <c r="K17" i="2703" s="1"/>
  <c r="L17" i="2703" s="1"/>
  <c r="M17" i="2703" s="1"/>
  <c r="N17" i="2703" s="1"/>
  <c r="I15" i="2703"/>
  <c r="J15" i="2703" s="1"/>
  <c r="K15" i="2703" s="1"/>
  <c r="L15" i="2703" s="1"/>
  <c r="M15" i="2703" s="1"/>
  <c r="N15" i="2703" s="1"/>
  <c r="J13" i="2703"/>
  <c r="K13" i="2703" s="1"/>
  <c r="L13" i="2703" s="1"/>
  <c r="M13" i="2703" s="1"/>
  <c r="N13" i="2703" s="1"/>
  <c r="I13" i="2703"/>
  <c r="I11" i="2703"/>
  <c r="J11" i="2703" s="1"/>
  <c r="K11" i="2703" s="1"/>
  <c r="L11" i="2703" s="1"/>
  <c r="M11" i="2703" s="1"/>
  <c r="N11" i="2703" s="1"/>
  <c r="I9" i="2703"/>
  <c r="J9" i="2703" s="1"/>
  <c r="K9" i="2703" s="1"/>
  <c r="L9" i="2703" s="1"/>
  <c r="M9" i="2703" s="1"/>
  <c r="N9" i="2703" s="1"/>
  <c r="I7" i="2703"/>
  <c r="J7" i="2703" s="1"/>
  <c r="K7" i="2703" s="1"/>
  <c r="L7" i="2703" s="1"/>
  <c r="M7" i="2703" s="1"/>
  <c r="N7" i="2703" s="1"/>
  <c r="I5" i="2703"/>
  <c r="J5" i="2703" s="1"/>
  <c r="K5" i="2703" s="1"/>
  <c r="L5" i="2703" s="1"/>
  <c r="M5" i="2703" s="1"/>
  <c r="N5" i="2703" s="1"/>
  <c r="I3" i="2703"/>
  <c r="J3" i="2703" s="1"/>
  <c r="K3" i="2703" s="1"/>
  <c r="L3" i="2703" s="1"/>
  <c r="M3" i="2703" s="1"/>
  <c r="N3" i="2703" s="1"/>
  <c r="L25" i="2702"/>
  <c r="M25" i="2702" s="1"/>
  <c r="N25" i="2702" s="1"/>
  <c r="K25" i="2702"/>
  <c r="I25" i="2702"/>
  <c r="H25" i="2702" s="1"/>
  <c r="K23" i="2702"/>
  <c r="L23" i="2702" s="1"/>
  <c r="M23" i="2702" s="1"/>
  <c r="N23" i="2702" s="1"/>
  <c r="I23" i="2702"/>
  <c r="H23" i="2702"/>
  <c r="K21" i="2702"/>
  <c r="L21" i="2702" s="1"/>
  <c r="M21" i="2702" s="1"/>
  <c r="N21" i="2702" s="1"/>
  <c r="I21" i="2702"/>
  <c r="H21" i="2702" s="1"/>
  <c r="K19" i="2702"/>
  <c r="L19" i="2702" s="1"/>
  <c r="M19" i="2702" s="1"/>
  <c r="N19" i="2702" s="1"/>
  <c r="I19" i="2702"/>
  <c r="H19" i="2702"/>
  <c r="K17" i="2702"/>
  <c r="L17" i="2702" s="1"/>
  <c r="M17" i="2702" s="1"/>
  <c r="N17" i="2702" s="1"/>
  <c r="I17" i="2702"/>
  <c r="H17" i="2702"/>
  <c r="L15" i="2702"/>
  <c r="M15" i="2702" s="1"/>
  <c r="N15" i="2702" s="1"/>
  <c r="K15" i="2702"/>
  <c r="I15" i="2702"/>
  <c r="H15" i="2702"/>
  <c r="K13" i="2702"/>
  <c r="L13" i="2702" s="1"/>
  <c r="M13" i="2702" s="1"/>
  <c r="N13" i="2702" s="1"/>
  <c r="I13" i="2702"/>
  <c r="H13" i="2702"/>
  <c r="K11" i="2702"/>
  <c r="L11" i="2702" s="1"/>
  <c r="M11" i="2702" s="1"/>
  <c r="N11" i="2702" s="1"/>
  <c r="I11" i="2702"/>
  <c r="H11" i="2702"/>
  <c r="K9" i="2702"/>
  <c r="L9" i="2702" s="1"/>
  <c r="M9" i="2702" s="1"/>
  <c r="N9" i="2702" s="1"/>
  <c r="I9" i="2702"/>
  <c r="H9" i="2702"/>
  <c r="K7" i="2702"/>
  <c r="L7" i="2702" s="1"/>
  <c r="M7" i="2702" s="1"/>
  <c r="N7" i="2702" s="1"/>
  <c r="I7" i="2702"/>
  <c r="H7" i="2702"/>
  <c r="K5" i="2702"/>
  <c r="L5" i="2702" s="1"/>
  <c r="M5" i="2702" s="1"/>
  <c r="N5" i="2702" s="1"/>
  <c r="I5" i="2702"/>
  <c r="H5" i="2702" s="1"/>
  <c r="K3" i="2702"/>
  <c r="L3" i="2702" s="1"/>
  <c r="M3" i="2702" s="1"/>
  <c r="N3" i="2702" s="1"/>
  <c r="I3" i="2702"/>
  <c r="H3" i="2702"/>
  <c r="M3" i="2629"/>
  <c r="L27" i="2701"/>
  <c r="M27" i="2701" s="1"/>
  <c r="N27" i="2701" s="1"/>
  <c r="J27" i="2701"/>
  <c r="I27" i="2701"/>
  <c r="H27" i="2701" s="1"/>
  <c r="L25" i="2701"/>
  <c r="M25" i="2701" s="1"/>
  <c r="N25" i="2701" s="1"/>
  <c r="J25" i="2701"/>
  <c r="I25" i="2701"/>
  <c r="H25" i="2701" s="1"/>
  <c r="L23" i="2701"/>
  <c r="M23" i="2701" s="1"/>
  <c r="N23" i="2701" s="1"/>
  <c r="J23" i="2701"/>
  <c r="I23" i="2701"/>
  <c r="H23" i="2701"/>
  <c r="L21" i="2701"/>
  <c r="M21" i="2701" s="1"/>
  <c r="N21" i="2701" s="1"/>
  <c r="J21" i="2701"/>
  <c r="I21" i="2701"/>
  <c r="H21" i="2701"/>
  <c r="L19" i="2701"/>
  <c r="M19" i="2701" s="1"/>
  <c r="N19" i="2701" s="1"/>
  <c r="J19" i="2701"/>
  <c r="I19" i="2701" s="1"/>
  <c r="H19" i="2701" s="1"/>
  <c r="L17" i="2701"/>
  <c r="M17" i="2701" s="1"/>
  <c r="N17" i="2701" s="1"/>
  <c r="J17" i="2701"/>
  <c r="I17" i="2701"/>
  <c r="H17" i="2701" s="1"/>
  <c r="L15" i="2701"/>
  <c r="M15" i="2701" s="1"/>
  <c r="N15" i="2701" s="1"/>
  <c r="J15" i="2701"/>
  <c r="I15" i="2701"/>
  <c r="H15" i="2701"/>
  <c r="N13" i="2701"/>
  <c r="M13" i="2701"/>
  <c r="L13" i="2701"/>
  <c r="J13" i="2701"/>
  <c r="I13" i="2701"/>
  <c r="H13" i="2701"/>
  <c r="L11" i="2701"/>
  <c r="M11" i="2701" s="1"/>
  <c r="N11" i="2701" s="1"/>
  <c r="J11" i="2701"/>
  <c r="I11" i="2701" s="1"/>
  <c r="H11" i="2701" s="1"/>
  <c r="L9" i="2701"/>
  <c r="M9" i="2701" s="1"/>
  <c r="N9" i="2701" s="1"/>
  <c r="J9" i="2701"/>
  <c r="I9" i="2701"/>
  <c r="H9" i="2701" s="1"/>
  <c r="L7" i="2701"/>
  <c r="M7" i="2701" s="1"/>
  <c r="N7" i="2701" s="1"/>
  <c r="J7" i="2701"/>
  <c r="I7" i="2701"/>
  <c r="H7" i="2701"/>
  <c r="L5" i="2701"/>
  <c r="M5" i="2701" s="1"/>
  <c r="N5" i="2701" s="1"/>
  <c r="J5" i="2701"/>
  <c r="I5" i="2701"/>
  <c r="H5" i="2701"/>
  <c r="L3" i="2701"/>
  <c r="M3" i="2701" s="1"/>
  <c r="N3" i="2701" s="1"/>
  <c r="J3" i="2701"/>
  <c r="I3" i="2701" s="1"/>
  <c r="H3" i="2701" s="1"/>
  <c r="K23" i="2700"/>
  <c r="L23" i="2700" s="1"/>
  <c r="M23" i="2700" s="1"/>
  <c r="I23" i="2700"/>
  <c r="H23" i="2700" s="1"/>
  <c r="K9" i="2700"/>
  <c r="L9" i="2700" s="1"/>
  <c r="M9" i="2700" s="1"/>
  <c r="I9" i="2700"/>
  <c r="H9" i="2700" s="1"/>
  <c r="K7" i="2700"/>
  <c r="L7" i="2700" s="1"/>
  <c r="M7" i="2700" s="1"/>
  <c r="I7" i="2700"/>
  <c r="H7" i="2700" s="1"/>
  <c r="K3" i="2700"/>
  <c r="L3" i="2700" s="1"/>
  <c r="M3" i="2700" s="1"/>
  <c r="I3" i="2700"/>
  <c r="H3" i="2700" s="1"/>
  <c r="K25" i="2699"/>
  <c r="L25" i="2699" s="1"/>
  <c r="M25" i="2699" s="1"/>
  <c r="I25" i="2699"/>
  <c r="H25" i="2699"/>
  <c r="K23" i="2699"/>
  <c r="L23" i="2699" s="1"/>
  <c r="M23" i="2699" s="1"/>
  <c r="I23" i="2699"/>
  <c r="H23" i="2699"/>
  <c r="K21" i="2699"/>
  <c r="L21" i="2699" s="1"/>
  <c r="M21" i="2699" s="1"/>
  <c r="I21" i="2699"/>
  <c r="H21" i="2699"/>
  <c r="K19" i="2699"/>
  <c r="L19" i="2699" s="1"/>
  <c r="M19" i="2699" s="1"/>
  <c r="I19" i="2699"/>
  <c r="H19" i="2699"/>
  <c r="K17" i="2699"/>
  <c r="L17" i="2699" s="1"/>
  <c r="M17" i="2699" s="1"/>
  <c r="I17" i="2699"/>
  <c r="H17" i="2699"/>
  <c r="K15" i="2699"/>
  <c r="L15" i="2699" s="1"/>
  <c r="M15" i="2699" s="1"/>
  <c r="I15" i="2699"/>
  <c r="H15" i="2699"/>
  <c r="L13" i="2699"/>
  <c r="M13" i="2699" s="1"/>
  <c r="K13" i="2699"/>
  <c r="I13" i="2699"/>
  <c r="H13" i="2699"/>
  <c r="K11" i="2699"/>
  <c r="L11" i="2699" s="1"/>
  <c r="M11" i="2699" s="1"/>
  <c r="I11" i="2699"/>
  <c r="H11" i="2699"/>
  <c r="K9" i="2699"/>
  <c r="L9" i="2699" s="1"/>
  <c r="M9" i="2699" s="1"/>
  <c r="I9" i="2699"/>
  <c r="H9" i="2699"/>
  <c r="K7" i="2699"/>
  <c r="L7" i="2699" s="1"/>
  <c r="M7" i="2699" s="1"/>
  <c r="I7" i="2699"/>
  <c r="H7" i="2699"/>
  <c r="K5" i="2699"/>
  <c r="L5" i="2699" s="1"/>
  <c r="M5" i="2699" s="1"/>
  <c r="I5" i="2699"/>
  <c r="H5" i="2699"/>
  <c r="K3" i="2699"/>
  <c r="L3" i="2699" s="1"/>
  <c r="M3" i="2699" s="1"/>
  <c r="I3" i="2699"/>
  <c r="H3" i="2699"/>
  <c r="K65" i="2682"/>
  <c r="L65" i="2682" s="1"/>
  <c r="I65" i="2682"/>
  <c r="H65" i="2682" s="1"/>
  <c r="K7" i="2698"/>
  <c r="L7" i="2698" s="1"/>
  <c r="M7" i="2698" s="1"/>
  <c r="K35" i="2698"/>
  <c r="L35" i="2698" s="1"/>
  <c r="M35" i="2698" s="1"/>
  <c r="I35" i="2698"/>
  <c r="H35" i="2698"/>
  <c r="K31" i="2698"/>
  <c r="L31" i="2698" s="1"/>
  <c r="M31" i="2698" s="1"/>
  <c r="I31" i="2698"/>
  <c r="P24" i="2698" s="1"/>
  <c r="P25" i="2698" s="1"/>
  <c r="P26" i="2698" s="1"/>
  <c r="H31" i="2698"/>
  <c r="K29" i="2698"/>
  <c r="L29" i="2698" s="1"/>
  <c r="M29" i="2698" s="1"/>
  <c r="I29" i="2698"/>
  <c r="H29" i="2698"/>
  <c r="K21" i="2698"/>
  <c r="L21" i="2698" s="1"/>
  <c r="M21" i="2698" s="1"/>
  <c r="I21" i="2698"/>
  <c r="H21" i="2698"/>
  <c r="K19" i="2698"/>
  <c r="L19" i="2698" s="1"/>
  <c r="M19" i="2698" s="1"/>
  <c r="I19" i="2698"/>
  <c r="H19" i="2698"/>
  <c r="K17" i="2698"/>
  <c r="L17" i="2698" s="1"/>
  <c r="M17" i="2698" s="1"/>
  <c r="I17" i="2698"/>
  <c r="H17" i="2698"/>
  <c r="L15" i="2698"/>
  <c r="M15" i="2698" s="1"/>
  <c r="K15" i="2698"/>
  <c r="I15" i="2698"/>
  <c r="H15" i="2698"/>
  <c r="K13" i="2698"/>
  <c r="L13" i="2698" s="1"/>
  <c r="M13" i="2698" s="1"/>
  <c r="I13" i="2698"/>
  <c r="H13" i="2698" s="1"/>
  <c r="K11" i="2698"/>
  <c r="L11" i="2698" s="1"/>
  <c r="M11" i="2698" s="1"/>
  <c r="I11" i="2698"/>
  <c r="H11" i="2698"/>
  <c r="K9" i="2698"/>
  <c r="L9" i="2698" s="1"/>
  <c r="M9" i="2698" s="1"/>
  <c r="I9" i="2698"/>
  <c r="H9" i="2698" s="1"/>
  <c r="I7" i="2698"/>
  <c r="H7" i="2698" s="1"/>
  <c r="K5" i="2698"/>
  <c r="L5" i="2698" s="1"/>
  <c r="M5" i="2698" s="1"/>
  <c r="I5" i="2698"/>
  <c r="H5" i="2698"/>
  <c r="K3" i="2698"/>
  <c r="L3" i="2698" s="1"/>
  <c r="M3" i="2698" s="1"/>
  <c r="I3" i="2698"/>
  <c r="H3" i="2698" s="1"/>
  <c r="H35" i="2695"/>
  <c r="I35" i="2695"/>
  <c r="N45" i="2635"/>
  <c r="M45" i="2635"/>
  <c r="L45" i="2635"/>
  <c r="K45" i="2635"/>
  <c r="H45" i="2635"/>
  <c r="I45" i="2635"/>
  <c r="N5" i="2696"/>
  <c r="N9" i="2696"/>
  <c r="N15" i="2696"/>
  <c r="N19" i="2696"/>
  <c r="N21" i="2696"/>
  <c r="N23" i="2696"/>
  <c r="K29" i="2697"/>
  <c r="L29" i="2697" s="1"/>
  <c r="M29" i="2697" s="1"/>
  <c r="I29" i="2697"/>
  <c r="H29" i="2697" s="1"/>
  <c r="K27" i="2697"/>
  <c r="L27" i="2697" s="1"/>
  <c r="M27" i="2697" s="1"/>
  <c r="I27" i="2697"/>
  <c r="H27" i="2697" s="1"/>
  <c r="K25" i="2697"/>
  <c r="L25" i="2697" s="1"/>
  <c r="M25" i="2697" s="1"/>
  <c r="I25" i="2697"/>
  <c r="H25" i="2697"/>
  <c r="K23" i="2697"/>
  <c r="L23" i="2697" s="1"/>
  <c r="M23" i="2697" s="1"/>
  <c r="I23" i="2697"/>
  <c r="H23" i="2697"/>
  <c r="K21" i="2697"/>
  <c r="L21" i="2697" s="1"/>
  <c r="M21" i="2697" s="1"/>
  <c r="I21" i="2697"/>
  <c r="H21" i="2697"/>
  <c r="K19" i="2697"/>
  <c r="L19" i="2697" s="1"/>
  <c r="M19" i="2697" s="1"/>
  <c r="I19" i="2697"/>
  <c r="H19" i="2697" s="1"/>
  <c r="K17" i="2697"/>
  <c r="L17" i="2697" s="1"/>
  <c r="M17" i="2697" s="1"/>
  <c r="I17" i="2697"/>
  <c r="H17" i="2697" s="1"/>
  <c r="K15" i="2697"/>
  <c r="L15" i="2697" s="1"/>
  <c r="M15" i="2697" s="1"/>
  <c r="I15" i="2697"/>
  <c r="H15" i="2697"/>
  <c r="K13" i="2697"/>
  <c r="L13" i="2697" s="1"/>
  <c r="M13" i="2697" s="1"/>
  <c r="I13" i="2697"/>
  <c r="H13" i="2697"/>
  <c r="K9" i="2697"/>
  <c r="L9" i="2697" s="1"/>
  <c r="M9" i="2697" s="1"/>
  <c r="I9" i="2697"/>
  <c r="H9" i="2697" s="1"/>
  <c r="K7" i="2697"/>
  <c r="L7" i="2697" s="1"/>
  <c r="M7" i="2697" s="1"/>
  <c r="I7" i="2697"/>
  <c r="H7" i="2697" s="1"/>
  <c r="K5" i="2697"/>
  <c r="L5" i="2697" s="1"/>
  <c r="M5" i="2697" s="1"/>
  <c r="I5" i="2697"/>
  <c r="H5" i="2697"/>
  <c r="K3" i="2697"/>
  <c r="L3" i="2697" s="1"/>
  <c r="M3" i="2697" s="1"/>
  <c r="I3" i="2697"/>
  <c r="H3" i="2697" s="1"/>
  <c r="K23" i="2696"/>
  <c r="L23" i="2696" s="1"/>
  <c r="M23" i="2696" s="1"/>
  <c r="I23" i="2696"/>
  <c r="H23" i="2696" s="1"/>
  <c r="K21" i="2696"/>
  <c r="L21" i="2696" s="1"/>
  <c r="M21" i="2696" s="1"/>
  <c r="I21" i="2696"/>
  <c r="H21" i="2696"/>
  <c r="K19" i="2696"/>
  <c r="L19" i="2696" s="1"/>
  <c r="M19" i="2696" s="1"/>
  <c r="I19" i="2696"/>
  <c r="H19" i="2696"/>
  <c r="K17" i="2696"/>
  <c r="L17" i="2696" s="1"/>
  <c r="M17" i="2696" s="1"/>
  <c r="N17" i="2696" s="1"/>
  <c r="I17" i="2696"/>
  <c r="H17" i="2696" s="1"/>
  <c r="K15" i="2696"/>
  <c r="L15" i="2696" s="1"/>
  <c r="M15" i="2696" s="1"/>
  <c r="I15" i="2696"/>
  <c r="H15" i="2696"/>
  <c r="K13" i="2696"/>
  <c r="L13" i="2696" s="1"/>
  <c r="M13" i="2696" s="1"/>
  <c r="N13" i="2696" s="1"/>
  <c r="I13" i="2696"/>
  <c r="H13" i="2696" s="1"/>
  <c r="K11" i="2696"/>
  <c r="L11" i="2696" s="1"/>
  <c r="M11" i="2696" s="1"/>
  <c r="I11" i="2696"/>
  <c r="H11" i="2696" s="1"/>
  <c r="K9" i="2696"/>
  <c r="L9" i="2696" s="1"/>
  <c r="M9" i="2696" s="1"/>
  <c r="I9" i="2696"/>
  <c r="H9" i="2696"/>
  <c r="K7" i="2696"/>
  <c r="L7" i="2696" s="1"/>
  <c r="M7" i="2696" s="1"/>
  <c r="N7" i="2696" s="1"/>
  <c r="I7" i="2696"/>
  <c r="H7" i="2696" s="1"/>
  <c r="K5" i="2696"/>
  <c r="L5" i="2696" s="1"/>
  <c r="M5" i="2696" s="1"/>
  <c r="I5" i="2696"/>
  <c r="H5" i="2696"/>
  <c r="K3" i="2696"/>
  <c r="L3" i="2696" s="1"/>
  <c r="M3" i="2696" s="1"/>
  <c r="N3" i="2696" s="1"/>
  <c r="I3" i="2696"/>
  <c r="H3" i="2696" s="1"/>
  <c r="M5" i="2634"/>
  <c r="L5" i="2634"/>
  <c r="K5" i="2634"/>
  <c r="H5" i="2634"/>
  <c r="I5" i="2634"/>
  <c r="L9" i="2634"/>
  <c r="M9" i="2634" s="1"/>
  <c r="K9" i="2634"/>
  <c r="I9" i="2634"/>
  <c r="H9" i="2634"/>
  <c r="M7" i="2634"/>
  <c r="L7" i="2634"/>
  <c r="K7" i="2634"/>
  <c r="H7" i="2634"/>
  <c r="I7" i="2634"/>
  <c r="I29" i="2634"/>
  <c r="I31" i="2695"/>
  <c r="H31" i="2695" s="1"/>
  <c r="K31" i="2695"/>
  <c r="L31" i="2695" s="1"/>
  <c r="M31" i="2695" s="1"/>
  <c r="P16" i="2698" l="1"/>
  <c r="P17" i="2698" s="1"/>
  <c r="K35" i="2695"/>
  <c r="L35" i="2695" s="1"/>
  <c r="M35" i="2695" s="1"/>
  <c r="K13" i="2695"/>
  <c r="L13" i="2695" s="1"/>
  <c r="M13" i="2695" s="1"/>
  <c r="I13" i="2695"/>
  <c r="H13" i="2695" s="1"/>
  <c r="I11" i="2695"/>
  <c r="H11" i="2695" s="1"/>
  <c r="K11" i="2695"/>
  <c r="L11" i="2695" s="1"/>
  <c r="M11" i="2695" s="1"/>
  <c r="K9" i="2695"/>
  <c r="L9" i="2695" s="1"/>
  <c r="M9" i="2695" s="1"/>
  <c r="I9" i="2695"/>
  <c r="H9" i="2695" s="1"/>
  <c r="K5" i="2695"/>
  <c r="L5" i="2695" s="1"/>
  <c r="M5" i="2695" s="1"/>
  <c r="I5" i="2695"/>
  <c r="H5" i="2695" s="1"/>
  <c r="I3" i="2695"/>
  <c r="H3" i="2695" s="1"/>
  <c r="K3" i="2695"/>
  <c r="L3" i="2695" s="1"/>
  <c r="M3" i="2695" s="1"/>
  <c r="K29" i="2695"/>
  <c r="L29" i="2695" s="1"/>
  <c r="M29" i="2695" s="1"/>
  <c r="I29" i="2695"/>
  <c r="H29" i="2695" s="1"/>
  <c r="K21" i="2695"/>
  <c r="L21" i="2695" s="1"/>
  <c r="M21" i="2695" s="1"/>
  <c r="I21" i="2695"/>
  <c r="H21" i="2695" s="1"/>
  <c r="K19" i="2695"/>
  <c r="L19" i="2695" s="1"/>
  <c r="M19" i="2695" s="1"/>
  <c r="I19" i="2695"/>
  <c r="H19" i="2695" s="1"/>
  <c r="K17" i="2695"/>
  <c r="L17" i="2695" s="1"/>
  <c r="M17" i="2695" s="1"/>
  <c r="I17" i="2695"/>
  <c r="H17" i="2695" s="1"/>
  <c r="K15" i="2695"/>
  <c r="L15" i="2695" s="1"/>
  <c r="M15" i="2695" s="1"/>
  <c r="I15" i="2695"/>
  <c r="H15" i="2695" s="1"/>
  <c r="K7" i="2695"/>
  <c r="L7" i="2695" s="1"/>
  <c r="M7" i="2695" s="1"/>
  <c r="I7" i="2695"/>
  <c r="H7" i="2695" s="1"/>
  <c r="M31" i="2684"/>
  <c r="L31" i="2684"/>
  <c r="K31" i="2684"/>
  <c r="H31" i="2684"/>
  <c r="I31" i="2684"/>
  <c r="M29" i="2684"/>
  <c r="L29" i="2684"/>
  <c r="K29" i="2684"/>
  <c r="H29" i="2684"/>
  <c r="I29" i="2684"/>
  <c r="L19" i="2684"/>
  <c r="M19" i="2684" s="1"/>
  <c r="K19" i="2684"/>
  <c r="I19" i="2684"/>
  <c r="H19" i="2684" s="1"/>
  <c r="M15" i="2684"/>
  <c r="L15" i="2684"/>
  <c r="K15" i="2684"/>
  <c r="H15" i="2684"/>
  <c r="I15" i="2684"/>
  <c r="P16" i="2694"/>
  <c r="P15" i="2694"/>
  <c r="K35" i="2694"/>
  <c r="L35" i="2694" s="1"/>
  <c r="I35" i="2694"/>
  <c r="H35" i="2694" s="1"/>
  <c r="K33" i="2694"/>
  <c r="L33" i="2694" s="1"/>
  <c r="I33" i="2694"/>
  <c r="H33" i="2694"/>
  <c r="K29" i="2694"/>
  <c r="L29" i="2694" s="1"/>
  <c r="I29" i="2694"/>
  <c r="H29" i="2694" s="1"/>
  <c r="K27" i="2694"/>
  <c r="L27" i="2694" s="1"/>
  <c r="M27" i="2694" s="1"/>
  <c r="I27" i="2694"/>
  <c r="H27" i="2694" s="1"/>
  <c r="I23" i="2694"/>
  <c r="H23" i="2694" s="1"/>
  <c r="K23" i="2694"/>
  <c r="L23" i="2694" s="1"/>
  <c r="M23" i="2694" s="1"/>
  <c r="K21" i="2694"/>
  <c r="L21" i="2694" s="1"/>
  <c r="I21" i="2694"/>
  <c r="H21" i="2694" s="1"/>
  <c r="P16" i="2695" l="1"/>
  <c r="P17" i="2695" s="1"/>
  <c r="P24" i="2695"/>
  <c r="P25" i="2695" s="1"/>
  <c r="P26" i="2695" s="1"/>
  <c r="K13" i="2694"/>
  <c r="L13" i="2694" s="1"/>
  <c r="I13" i="2694"/>
  <c r="H13" i="2694" s="1"/>
  <c r="K11" i="2694"/>
  <c r="L11" i="2694" s="1"/>
  <c r="I11" i="2694"/>
  <c r="H11" i="2694" s="1"/>
  <c r="K9" i="2694"/>
  <c r="L9" i="2694" s="1"/>
  <c r="M9" i="2694" s="1"/>
  <c r="I9" i="2694"/>
  <c r="H9" i="2694" s="1"/>
  <c r="K5" i="2694"/>
  <c r="L5" i="2694" s="1"/>
  <c r="I5" i="2694"/>
  <c r="H5" i="2694" s="1"/>
  <c r="M37" i="2694"/>
  <c r="K31" i="2694"/>
  <c r="L31" i="2694" s="1"/>
  <c r="M31" i="2694" s="1"/>
  <c r="I31" i="2694"/>
  <c r="H31" i="2694" s="1"/>
  <c r="K19" i="2694"/>
  <c r="L19" i="2694" s="1"/>
  <c r="M19" i="2694" s="1"/>
  <c r="I19" i="2694"/>
  <c r="H19" i="2694" s="1"/>
  <c r="K17" i="2694"/>
  <c r="L17" i="2694" s="1"/>
  <c r="M17" i="2694" s="1"/>
  <c r="I17" i="2694"/>
  <c r="H17" i="2694" s="1"/>
  <c r="K15" i="2694"/>
  <c r="L15" i="2694" s="1"/>
  <c r="M15" i="2694" s="1"/>
  <c r="I15" i="2694"/>
  <c r="H15" i="2694" s="1"/>
  <c r="K7" i="2694"/>
  <c r="L7" i="2694" s="1"/>
  <c r="M7" i="2694" s="1"/>
  <c r="I7" i="2694"/>
  <c r="H7" i="2694" s="1"/>
  <c r="K3" i="2694"/>
  <c r="L3" i="2694" s="1"/>
  <c r="M3" i="2694" s="1"/>
  <c r="I3" i="2694"/>
  <c r="H3" i="2694" s="1"/>
  <c r="K43" i="2693"/>
  <c r="L43" i="2693" s="1"/>
  <c r="M43" i="2693" s="1"/>
  <c r="N43" i="2693" s="1"/>
  <c r="I43" i="2693"/>
  <c r="H43" i="2693" s="1"/>
  <c r="K41" i="2693"/>
  <c r="L41" i="2693" s="1"/>
  <c r="M41" i="2693" s="1"/>
  <c r="N41" i="2693" s="1"/>
  <c r="I41" i="2693"/>
  <c r="H41" i="2693" s="1"/>
  <c r="K39" i="2693"/>
  <c r="L39" i="2693" s="1"/>
  <c r="M39" i="2693" s="1"/>
  <c r="N39" i="2693" s="1"/>
  <c r="I39" i="2693"/>
  <c r="H39" i="2693"/>
  <c r="K37" i="2693"/>
  <c r="L37" i="2693" s="1"/>
  <c r="M37" i="2693" s="1"/>
  <c r="N37" i="2693" s="1"/>
  <c r="I37" i="2693"/>
  <c r="H37" i="2693"/>
  <c r="K27" i="2693"/>
  <c r="L27" i="2693" s="1"/>
  <c r="M27" i="2693" s="1"/>
  <c r="N27" i="2693" s="1"/>
  <c r="I27" i="2693"/>
  <c r="H27" i="2693"/>
  <c r="K25" i="2693"/>
  <c r="L25" i="2693" s="1"/>
  <c r="M25" i="2693" s="1"/>
  <c r="N25" i="2693" s="1"/>
  <c r="I25" i="2693"/>
  <c r="H25" i="2693" s="1"/>
  <c r="K23" i="2693"/>
  <c r="L23" i="2693" s="1"/>
  <c r="M23" i="2693" s="1"/>
  <c r="N23" i="2693" s="1"/>
  <c r="I23" i="2693"/>
  <c r="H23" i="2693" s="1"/>
  <c r="K21" i="2693"/>
  <c r="L21" i="2693" s="1"/>
  <c r="M21" i="2693" s="1"/>
  <c r="N21" i="2693" s="1"/>
  <c r="I21" i="2693"/>
  <c r="H21" i="2693"/>
  <c r="K19" i="2693"/>
  <c r="L19" i="2693" s="1"/>
  <c r="M19" i="2693" s="1"/>
  <c r="N19" i="2693" s="1"/>
  <c r="I19" i="2693"/>
  <c r="H19" i="2693" s="1"/>
  <c r="K17" i="2693"/>
  <c r="L17" i="2693" s="1"/>
  <c r="M17" i="2693" s="1"/>
  <c r="N17" i="2693" s="1"/>
  <c r="I17" i="2693"/>
  <c r="H17" i="2693"/>
  <c r="K15" i="2693"/>
  <c r="L15" i="2693" s="1"/>
  <c r="M15" i="2693" s="1"/>
  <c r="N15" i="2693" s="1"/>
  <c r="I15" i="2693"/>
  <c r="H15" i="2693"/>
  <c r="K13" i="2693"/>
  <c r="L13" i="2693" s="1"/>
  <c r="M13" i="2693" s="1"/>
  <c r="N13" i="2693" s="1"/>
  <c r="I13" i="2693"/>
  <c r="H13" i="2693"/>
  <c r="K11" i="2693"/>
  <c r="L11" i="2693" s="1"/>
  <c r="M11" i="2693" s="1"/>
  <c r="N11" i="2693" s="1"/>
  <c r="I11" i="2693"/>
  <c r="H11" i="2693"/>
  <c r="K9" i="2693"/>
  <c r="L9" i="2693" s="1"/>
  <c r="M9" i="2693" s="1"/>
  <c r="N9" i="2693" s="1"/>
  <c r="I9" i="2693"/>
  <c r="H9" i="2693"/>
  <c r="K3" i="2693"/>
  <c r="L3" i="2693" s="1"/>
  <c r="M3" i="2693" s="1"/>
  <c r="N3" i="2693" s="1"/>
  <c r="I3" i="2693"/>
  <c r="H3" i="2693"/>
  <c r="K35" i="2692"/>
  <c r="L35" i="2692" s="1"/>
  <c r="I35" i="2692"/>
  <c r="H35" i="2692" s="1"/>
  <c r="K33" i="2692"/>
  <c r="L33" i="2692" s="1"/>
  <c r="M33" i="2692" s="1"/>
  <c r="N33" i="2692" s="1"/>
  <c r="I33" i="2692"/>
  <c r="H33" i="2692"/>
  <c r="K31" i="2692"/>
  <c r="L31" i="2692" s="1"/>
  <c r="M31" i="2692" s="1"/>
  <c r="N31" i="2692" s="1"/>
  <c r="I31" i="2692"/>
  <c r="H31" i="2692" s="1"/>
  <c r="K29" i="2692"/>
  <c r="L29" i="2692" s="1"/>
  <c r="M29" i="2692" s="1"/>
  <c r="N29" i="2692" s="1"/>
  <c r="I29" i="2692"/>
  <c r="H29" i="2692"/>
  <c r="K27" i="2692"/>
  <c r="L27" i="2692" s="1"/>
  <c r="M27" i="2692" s="1"/>
  <c r="N27" i="2692" s="1"/>
  <c r="I27" i="2692"/>
  <c r="H27" i="2692"/>
  <c r="K25" i="2692"/>
  <c r="L25" i="2692" s="1"/>
  <c r="M25" i="2692" s="1"/>
  <c r="N25" i="2692" s="1"/>
  <c r="I25" i="2692"/>
  <c r="H25" i="2692" s="1"/>
  <c r="K23" i="2692"/>
  <c r="L23" i="2692" s="1"/>
  <c r="M23" i="2692" s="1"/>
  <c r="N23" i="2692" s="1"/>
  <c r="I23" i="2692"/>
  <c r="H23" i="2692"/>
  <c r="K21" i="2692"/>
  <c r="L21" i="2692" s="1"/>
  <c r="M21" i="2692" s="1"/>
  <c r="N21" i="2692" s="1"/>
  <c r="I21" i="2692"/>
  <c r="H21" i="2692" s="1"/>
  <c r="K19" i="2692"/>
  <c r="L19" i="2692" s="1"/>
  <c r="M19" i="2692" s="1"/>
  <c r="N19" i="2692" s="1"/>
  <c r="I19" i="2692"/>
  <c r="H19" i="2692"/>
  <c r="K17" i="2692"/>
  <c r="L17" i="2692" s="1"/>
  <c r="M17" i="2692" s="1"/>
  <c r="N17" i="2692" s="1"/>
  <c r="I17" i="2692"/>
  <c r="H17" i="2692"/>
  <c r="K15" i="2692"/>
  <c r="L15" i="2692" s="1"/>
  <c r="M15" i="2692" s="1"/>
  <c r="N15" i="2692" s="1"/>
  <c r="I15" i="2692"/>
  <c r="H15" i="2692" s="1"/>
  <c r="K9" i="2692"/>
  <c r="L9" i="2692" s="1"/>
  <c r="M9" i="2692" s="1"/>
  <c r="N9" i="2692" s="1"/>
  <c r="I9" i="2692"/>
  <c r="H9" i="2692"/>
  <c r="K7" i="2692"/>
  <c r="L7" i="2692" s="1"/>
  <c r="M7" i="2692" s="1"/>
  <c r="N7" i="2692" s="1"/>
  <c r="I7" i="2692"/>
  <c r="H7" i="2692"/>
  <c r="K5" i="2692"/>
  <c r="L5" i="2692" s="1"/>
  <c r="M5" i="2692" s="1"/>
  <c r="N5" i="2692" s="1"/>
  <c r="I5" i="2692"/>
  <c r="H5" i="2692"/>
  <c r="K3" i="2692"/>
  <c r="L3" i="2692" s="1"/>
  <c r="M3" i="2692" s="1"/>
  <c r="N3" i="2692" s="1"/>
  <c r="I3" i="2692"/>
  <c r="H3" i="2692"/>
  <c r="K25" i="2691"/>
  <c r="L25" i="2691" s="1"/>
  <c r="M25" i="2691" s="1"/>
  <c r="N25" i="2691" s="1"/>
  <c r="I25" i="2691"/>
  <c r="H25" i="2691" s="1"/>
  <c r="K23" i="2691"/>
  <c r="L23" i="2691" s="1"/>
  <c r="M23" i="2691" s="1"/>
  <c r="N23" i="2691" s="1"/>
  <c r="I23" i="2691"/>
  <c r="H23" i="2691" s="1"/>
  <c r="K21" i="2691"/>
  <c r="L21" i="2691" s="1"/>
  <c r="M21" i="2691" s="1"/>
  <c r="N21" i="2691" s="1"/>
  <c r="I21" i="2691"/>
  <c r="H21" i="2691"/>
  <c r="K17" i="2691"/>
  <c r="L17" i="2691" s="1"/>
  <c r="M17" i="2691" s="1"/>
  <c r="N17" i="2691" s="1"/>
  <c r="I17" i="2691"/>
  <c r="H17" i="2691" s="1"/>
  <c r="K15" i="2691"/>
  <c r="L15" i="2691" s="1"/>
  <c r="M15" i="2691" s="1"/>
  <c r="N15" i="2691" s="1"/>
  <c r="I15" i="2691"/>
  <c r="H15" i="2691"/>
  <c r="K13" i="2691"/>
  <c r="L13" i="2691" s="1"/>
  <c r="M13" i="2691" s="1"/>
  <c r="N13" i="2691" s="1"/>
  <c r="I13" i="2691"/>
  <c r="H13" i="2691" s="1"/>
  <c r="K9" i="2691"/>
  <c r="L9" i="2691" s="1"/>
  <c r="M9" i="2691" s="1"/>
  <c r="N9" i="2691" s="1"/>
  <c r="I9" i="2691"/>
  <c r="H9" i="2691" s="1"/>
  <c r="K7" i="2691"/>
  <c r="L7" i="2691" s="1"/>
  <c r="M7" i="2691" s="1"/>
  <c r="N7" i="2691" s="1"/>
  <c r="I7" i="2691"/>
  <c r="H7" i="2691" s="1"/>
  <c r="K5" i="2691"/>
  <c r="L5" i="2691" s="1"/>
  <c r="M5" i="2691" s="1"/>
  <c r="N5" i="2691" s="1"/>
  <c r="I5" i="2691"/>
  <c r="H5" i="2691"/>
  <c r="K3" i="2691"/>
  <c r="L3" i="2691" s="1"/>
  <c r="M3" i="2691" s="1"/>
  <c r="N3" i="2691" s="1"/>
  <c r="I3" i="2691"/>
  <c r="H3" i="2691" s="1"/>
  <c r="I23" i="2690"/>
  <c r="H23" i="2690" s="1"/>
  <c r="K23" i="2690"/>
  <c r="L23" i="2690" s="1"/>
  <c r="M23" i="2690" s="1"/>
  <c r="M5" i="2690"/>
  <c r="L5" i="2690"/>
  <c r="K5" i="2690"/>
  <c r="H5" i="2690"/>
  <c r="I5" i="2690"/>
  <c r="H19" i="2690"/>
  <c r="I19" i="2690"/>
  <c r="L19" i="2690"/>
  <c r="M19" i="2690" s="1"/>
  <c r="M11" i="2690"/>
  <c r="L11" i="2690"/>
  <c r="K11" i="2690"/>
  <c r="H11" i="2690"/>
  <c r="I11" i="2690"/>
  <c r="K19" i="2690"/>
  <c r="M9" i="2690"/>
  <c r="L9" i="2690"/>
  <c r="H9" i="2690"/>
  <c r="I9" i="2690"/>
  <c r="K9" i="2690"/>
  <c r="K31" i="2690"/>
  <c r="L31" i="2690" s="1"/>
  <c r="M31" i="2690" s="1"/>
  <c r="I31" i="2690"/>
  <c r="H31" i="2690" s="1"/>
  <c r="K29" i="2690"/>
  <c r="L29" i="2690" s="1"/>
  <c r="M29" i="2690" s="1"/>
  <c r="I29" i="2690"/>
  <c r="H29" i="2690" s="1"/>
  <c r="K27" i="2690"/>
  <c r="L27" i="2690" s="1"/>
  <c r="M27" i="2690" s="1"/>
  <c r="I27" i="2690"/>
  <c r="H27" i="2690"/>
  <c r="K25" i="2690"/>
  <c r="L25" i="2690" s="1"/>
  <c r="M25" i="2690" s="1"/>
  <c r="I25" i="2690"/>
  <c r="H25" i="2690"/>
  <c r="K17" i="2690"/>
  <c r="L17" i="2690" s="1"/>
  <c r="M17" i="2690" s="1"/>
  <c r="I17" i="2690"/>
  <c r="H17" i="2690" s="1"/>
  <c r="K15" i="2690"/>
  <c r="L15" i="2690" s="1"/>
  <c r="M15" i="2690" s="1"/>
  <c r="I15" i="2690"/>
  <c r="H15" i="2690" s="1"/>
  <c r="K13" i="2690"/>
  <c r="L13" i="2690" s="1"/>
  <c r="M13" i="2690" s="1"/>
  <c r="I13" i="2690"/>
  <c r="H13" i="2690" s="1"/>
  <c r="K7" i="2690"/>
  <c r="L7" i="2690" s="1"/>
  <c r="M7" i="2690" s="1"/>
  <c r="I7" i="2690"/>
  <c r="H7" i="2690" s="1"/>
  <c r="K3" i="2690"/>
  <c r="L3" i="2690" s="1"/>
  <c r="M3" i="2690" s="1"/>
  <c r="I3" i="2690"/>
  <c r="H3" i="2690"/>
  <c r="Q19" i="2680"/>
  <c r="Q18" i="2680"/>
  <c r="Q16" i="2680"/>
  <c r="Q15" i="2680"/>
  <c r="N29" i="2680"/>
  <c r="M29" i="2680"/>
  <c r="L29" i="2680"/>
  <c r="H17" i="2680"/>
  <c r="L17" i="2680"/>
  <c r="M17" i="2680"/>
  <c r="N17" i="2680" s="1"/>
  <c r="K17" i="2680"/>
  <c r="I17" i="2680"/>
  <c r="I11" i="2680"/>
  <c r="H11" i="2680" s="1"/>
  <c r="K11" i="2680"/>
  <c r="L11" i="2680" s="1"/>
  <c r="M11" i="2680" s="1"/>
  <c r="N11" i="2680" s="1"/>
  <c r="Q12" i="2680"/>
  <c r="N3" i="2680"/>
  <c r="N5" i="2680"/>
  <c r="N7" i="2680"/>
  <c r="N9" i="2680"/>
  <c r="N15" i="2680"/>
  <c r="N21" i="2680"/>
  <c r="N23" i="2680"/>
  <c r="N25" i="2680"/>
  <c r="N27" i="2680"/>
  <c r="N31" i="2680"/>
  <c r="N3" i="2681"/>
  <c r="N5" i="2681"/>
  <c r="N7" i="2681"/>
  <c r="N9" i="2681"/>
  <c r="N11" i="2681"/>
  <c r="N13" i="2681"/>
  <c r="N15" i="2681"/>
  <c r="N17" i="2681"/>
  <c r="N19" i="2681"/>
  <c r="N21" i="2681"/>
  <c r="N23" i="2681"/>
  <c r="N25" i="2681"/>
  <c r="N27" i="2681"/>
  <c r="N29" i="2681"/>
  <c r="N31" i="2681"/>
  <c r="N33" i="2681"/>
  <c r="I61" i="2689"/>
  <c r="H61" i="2689" s="1"/>
  <c r="K61" i="2689"/>
  <c r="L61" i="2689" s="1"/>
  <c r="M61" i="2689" s="1"/>
  <c r="I59" i="2689"/>
  <c r="H59" i="2689" s="1"/>
  <c r="K59" i="2689"/>
  <c r="L59" i="2689" s="1"/>
  <c r="M59" i="2689" s="1"/>
  <c r="M45" i="2689"/>
  <c r="M51" i="2689"/>
  <c r="I57" i="2689"/>
  <c r="H57" i="2689" s="1"/>
  <c r="K57" i="2689"/>
  <c r="L57" i="2689" s="1"/>
  <c r="M57" i="2689" s="1"/>
  <c r="K47" i="2689"/>
  <c r="L47" i="2689" s="1"/>
  <c r="M47" i="2689" s="1"/>
  <c r="I47" i="2689"/>
  <c r="H47" i="2689" s="1"/>
  <c r="K55" i="2689"/>
  <c r="L55" i="2689" s="1"/>
  <c r="M55" i="2689" s="1"/>
  <c r="I55" i="2689"/>
  <c r="H55" i="2689" s="1"/>
  <c r="K53" i="2689"/>
  <c r="L53" i="2689" s="1"/>
  <c r="M53" i="2689" s="1"/>
  <c r="I53" i="2689"/>
  <c r="H53" i="2689"/>
  <c r="K51" i="2689"/>
  <c r="L51" i="2689" s="1"/>
  <c r="I51" i="2689"/>
  <c r="H51" i="2689" s="1"/>
  <c r="K49" i="2689"/>
  <c r="L49" i="2689" s="1"/>
  <c r="M49" i="2689" s="1"/>
  <c r="I49" i="2689"/>
  <c r="H49" i="2689" s="1"/>
  <c r="K45" i="2689"/>
  <c r="L45" i="2689" s="1"/>
  <c r="I45" i="2689"/>
  <c r="H45" i="2689" s="1"/>
  <c r="K31" i="2689"/>
  <c r="L31" i="2689" s="1"/>
  <c r="M31" i="2689" s="1"/>
  <c r="I31" i="2689"/>
  <c r="H31" i="2689" s="1"/>
  <c r="K25" i="2689"/>
  <c r="L25" i="2689" s="1"/>
  <c r="M25" i="2689" s="1"/>
  <c r="I25" i="2689"/>
  <c r="H25" i="2689" s="1"/>
  <c r="K29" i="2689"/>
  <c r="L29" i="2689" s="1"/>
  <c r="M29" i="2689" s="1"/>
  <c r="I29" i="2689"/>
  <c r="H29" i="2689" s="1"/>
  <c r="K27" i="2689"/>
  <c r="L27" i="2689" s="1"/>
  <c r="M27" i="2689" s="1"/>
  <c r="I27" i="2689"/>
  <c r="H27" i="2689" s="1"/>
  <c r="M13" i="2694" l="1"/>
  <c r="M11" i="2694"/>
  <c r="M35" i="2692"/>
  <c r="N35" i="2692" s="1"/>
  <c r="Q53" i="2692"/>
  <c r="Q54" i="2692" s="1"/>
  <c r="Q53" i="2691"/>
  <c r="Q54" i="2691" s="1"/>
  <c r="K23" i="2689"/>
  <c r="L23" i="2689" s="1"/>
  <c r="M23" i="2689" s="1"/>
  <c r="I23" i="2689"/>
  <c r="H23" i="2689" s="1"/>
  <c r="K21" i="2689"/>
  <c r="L21" i="2689" s="1"/>
  <c r="M21" i="2689" s="1"/>
  <c r="I21" i="2689"/>
  <c r="H21" i="2689" s="1"/>
  <c r="K19" i="2689"/>
  <c r="L19" i="2689" s="1"/>
  <c r="M19" i="2689" s="1"/>
  <c r="I19" i="2689"/>
  <c r="H19" i="2689" s="1"/>
  <c r="K9" i="2689"/>
  <c r="L9" i="2689" s="1"/>
  <c r="M9" i="2689" s="1"/>
  <c r="I9" i="2689"/>
  <c r="H9" i="2689"/>
  <c r="K5" i="2689"/>
  <c r="L5" i="2689" s="1"/>
  <c r="M5" i="2689" s="1"/>
  <c r="I5" i="2689"/>
  <c r="H5" i="2689" s="1"/>
  <c r="K3" i="2689"/>
  <c r="L3" i="2689" s="1"/>
  <c r="M3" i="2689" s="1"/>
  <c r="I3" i="2689"/>
  <c r="H3" i="2689" s="1"/>
  <c r="K41" i="2689"/>
  <c r="L41" i="2689" s="1"/>
  <c r="M41" i="2689" s="1"/>
  <c r="I41" i="2689"/>
  <c r="H41" i="2689" s="1"/>
  <c r="K39" i="2689"/>
  <c r="L39" i="2689" s="1"/>
  <c r="M39" i="2689" s="1"/>
  <c r="I39" i="2689"/>
  <c r="H39" i="2689" s="1"/>
  <c r="K37" i="2689"/>
  <c r="L37" i="2689" s="1"/>
  <c r="M37" i="2689" s="1"/>
  <c r="I37" i="2689"/>
  <c r="H37" i="2689" s="1"/>
  <c r="K35" i="2689"/>
  <c r="L35" i="2689" s="1"/>
  <c r="M35" i="2689" s="1"/>
  <c r="I35" i="2689"/>
  <c r="H35" i="2689"/>
  <c r="K17" i="2689"/>
  <c r="L17" i="2689" s="1"/>
  <c r="M17" i="2689" s="1"/>
  <c r="I17" i="2689"/>
  <c r="H17" i="2689" s="1"/>
  <c r="K15" i="2689"/>
  <c r="L15" i="2689" s="1"/>
  <c r="M15" i="2689" s="1"/>
  <c r="I15" i="2689"/>
  <c r="H15" i="2689" s="1"/>
  <c r="K13" i="2689"/>
  <c r="L13" i="2689" s="1"/>
  <c r="M13" i="2689" s="1"/>
  <c r="I13" i="2689"/>
  <c r="H13" i="2689"/>
  <c r="K11" i="2689"/>
  <c r="L11" i="2689" s="1"/>
  <c r="M11" i="2689" s="1"/>
  <c r="I11" i="2689"/>
  <c r="H11" i="2689" s="1"/>
  <c r="K7" i="2689"/>
  <c r="L7" i="2689" s="1"/>
  <c r="M7" i="2689" s="1"/>
  <c r="I7" i="2689"/>
  <c r="H7" i="2689" s="1"/>
  <c r="K19" i="2688" l="1"/>
  <c r="L19" i="2688" s="1"/>
  <c r="M19" i="2688" s="1"/>
  <c r="I19" i="2688"/>
  <c r="H19" i="2688" s="1"/>
  <c r="K17" i="2688"/>
  <c r="L17" i="2688" s="1"/>
  <c r="M17" i="2688" s="1"/>
  <c r="H17" i="2688"/>
  <c r="I17" i="2688"/>
  <c r="K15" i="2688"/>
  <c r="L15" i="2688" s="1"/>
  <c r="M15" i="2688" s="1"/>
  <c r="I15" i="2688"/>
  <c r="H15" i="2688" s="1"/>
  <c r="K11" i="2688"/>
  <c r="L11" i="2688" s="1"/>
  <c r="M11" i="2688" s="1"/>
  <c r="I11" i="2688"/>
  <c r="H11" i="2688"/>
  <c r="K13" i="2688"/>
  <c r="L13" i="2688" s="1"/>
  <c r="M13" i="2688" s="1"/>
  <c r="I13" i="2688"/>
  <c r="H13" i="2688" s="1"/>
  <c r="I3" i="2688"/>
  <c r="H3" i="2688" s="1"/>
  <c r="K3" i="2688"/>
  <c r="L3" i="2688" s="1"/>
  <c r="K5" i="2688"/>
  <c r="L5" i="2688" s="1"/>
  <c r="M5" i="2688" s="1"/>
  <c r="I5" i="2688"/>
  <c r="H5" i="2688" s="1"/>
  <c r="I7" i="2688"/>
  <c r="H7" i="2688" s="1"/>
  <c r="K7" i="2688"/>
  <c r="L7" i="2688" s="1"/>
  <c r="M7" i="2688" s="1"/>
  <c r="K9" i="2688"/>
  <c r="L9" i="2688" s="1"/>
  <c r="M9" i="2688" s="1"/>
  <c r="I9" i="2688"/>
  <c r="H9" i="2688"/>
  <c r="M3" i="2688" l="1"/>
  <c r="K43" i="2687"/>
  <c r="L43" i="2687" s="1"/>
  <c r="M43" i="2687" s="1"/>
  <c r="N43" i="2687" s="1"/>
  <c r="I43" i="2687"/>
  <c r="H43" i="2687" s="1"/>
  <c r="K41" i="2687"/>
  <c r="L41" i="2687" s="1"/>
  <c r="M41" i="2687" s="1"/>
  <c r="N41" i="2687" s="1"/>
  <c r="I41" i="2687"/>
  <c r="H41" i="2687"/>
  <c r="K39" i="2687"/>
  <c r="L39" i="2687" s="1"/>
  <c r="M39" i="2687" s="1"/>
  <c r="N39" i="2687" s="1"/>
  <c r="I39" i="2687"/>
  <c r="H39" i="2687"/>
  <c r="K37" i="2687"/>
  <c r="L37" i="2687" s="1"/>
  <c r="M37" i="2687" s="1"/>
  <c r="N37" i="2687" s="1"/>
  <c r="I37" i="2687"/>
  <c r="H37" i="2687" s="1"/>
  <c r="K27" i="2687"/>
  <c r="L27" i="2687" s="1"/>
  <c r="M27" i="2687" s="1"/>
  <c r="N27" i="2687" s="1"/>
  <c r="I27" i="2687"/>
  <c r="H27" i="2687" s="1"/>
  <c r="K25" i="2687"/>
  <c r="L25" i="2687" s="1"/>
  <c r="M25" i="2687" s="1"/>
  <c r="N25" i="2687" s="1"/>
  <c r="I25" i="2687"/>
  <c r="H25" i="2687" s="1"/>
  <c r="K23" i="2687"/>
  <c r="L23" i="2687" s="1"/>
  <c r="M23" i="2687" s="1"/>
  <c r="N23" i="2687" s="1"/>
  <c r="I23" i="2687"/>
  <c r="H23" i="2687" s="1"/>
  <c r="K21" i="2687"/>
  <c r="L21" i="2687" s="1"/>
  <c r="M21" i="2687" s="1"/>
  <c r="N21" i="2687" s="1"/>
  <c r="I21" i="2687"/>
  <c r="H21" i="2687"/>
  <c r="K19" i="2687"/>
  <c r="L19" i="2687" s="1"/>
  <c r="M19" i="2687" s="1"/>
  <c r="N19" i="2687" s="1"/>
  <c r="I19" i="2687"/>
  <c r="H19" i="2687"/>
  <c r="L17" i="2687"/>
  <c r="M17" i="2687" s="1"/>
  <c r="N17" i="2687" s="1"/>
  <c r="K17" i="2687"/>
  <c r="I17" i="2687"/>
  <c r="H17" i="2687"/>
  <c r="K15" i="2687"/>
  <c r="L15" i="2687" s="1"/>
  <c r="M15" i="2687" s="1"/>
  <c r="N15" i="2687" s="1"/>
  <c r="I15" i="2687"/>
  <c r="H15" i="2687"/>
  <c r="K13" i="2687"/>
  <c r="L13" i="2687" s="1"/>
  <c r="M13" i="2687" s="1"/>
  <c r="N13" i="2687" s="1"/>
  <c r="I13" i="2687"/>
  <c r="H13" i="2687" s="1"/>
  <c r="K11" i="2687"/>
  <c r="L11" i="2687" s="1"/>
  <c r="M11" i="2687" s="1"/>
  <c r="N11" i="2687" s="1"/>
  <c r="I11" i="2687"/>
  <c r="H11" i="2687" s="1"/>
  <c r="K9" i="2687"/>
  <c r="L9" i="2687" s="1"/>
  <c r="M9" i="2687" s="1"/>
  <c r="N9" i="2687" s="1"/>
  <c r="I9" i="2687"/>
  <c r="H9" i="2687"/>
  <c r="K3" i="2687"/>
  <c r="L3" i="2687" s="1"/>
  <c r="M3" i="2687" s="1"/>
  <c r="N3" i="2687" s="1"/>
  <c r="I3" i="2687"/>
  <c r="H3" i="2687" s="1"/>
  <c r="K43" i="2686"/>
  <c r="L43" i="2686" s="1"/>
  <c r="M43" i="2686" s="1"/>
  <c r="N43" i="2686" s="1"/>
  <c r="I43" i="2686"/>
  <c r="H43" i="2686"/>
  <c r="K41" i="2686"/>
  <c r="L41" i="2686" s="1"/>
  <c r="M41" i="2686" s="1"/>
  <c r="N41" i="2686" s="1"/>
  <c r="I41" i="2686"/>
  <c r="H41" i="2686"/>
  <c r="K39" i="2686"/>
  <c r="L39" i="2686" s="1"/>
  <c r="M39" i="2686" s="1"/>
  <c r="N39" i="2686" s="1"/>
  <c r="I39" i="2686"/>
  <c r="H39" i="2686"/>
  <c r="K37" i="2686"/>
  <c r="L37" i="2686" s="1"/>
  <c r="M37" i="2686" s="1"/>
  <c r="N37" i="2686" s="1"/>
  <c r="I37" i="2686"/>
  <c r="H37" i="2686"/>
  <c r="K33" i="2686"/>
  <c r="L33" i="2686" s="1"/>
  <c r="M33" i="2686" s="1"/>
  <c r="N33" i="2686" s="1"/>
  <c r="I33" i="2686"/>
  <c r="H33" i="2686"/>
  <c r="K27" i="2686"/>
  <c r="L27" i="2686" s="1"/>
  <c r="M27" i="2686" s="1"/>
  <c r="N27" i="2686" s="1"/>
  <c r="I27" i="2686"/>
  <c r="H27" i="2686"/>
  <c r="K25" i="2686"/>
  <c r="L25" i="2686" s="1"/>
  <c r="M25" i="2686" s="1"/>
  <c r="N25" i="2686" s="1"/>
  <c r="I25" i="2686"/>
  <c r="H25" i="2686"/>
  <c r="K23" i="2686"/>
  <c r="L23" i="2686" s="1"/>
  <c r="M23" i="2686" s="1"/>
  <c r="N23" i="2686" s="1"/>
  <c r="I23" i="2686"/>
  <c r="H23" i="2686"/>
  <c r="K21" i="2686"/>
  <c r="L21" i="2686" s="1"/>
  <c r="M21" i="2686" s="1"/>
  <c r="N21" i="2686" s="1"/>
  <c r="I21" i="2686"/>
  <c r="H21" i="2686"/>
  <c r="K19" i="2686"/>
  <c r="L19" i="2686" s="1"/>
  <c r="M19" i="2686" s="1"/>
  <c r="N19" i="2686" s="1"/>
  <c r="I19" i="2686"/>
  <c r="H19" i="2686"/>
  <c r="K17" i="2686"/>
  <c r="L17" i="2686" s="1"/>
  <c r="M17" i="2686" s="1"/>
  <c r="N17" i="2686" s="1"/>
  <c r="I17" i="2686"/>
  <c r="H17" i="2686" s="1"/>
  <c r="K15" i="2686"/>
  <c r="L15" i="2686" s="1"/>
  <c r="M15" i="2686" s="1"/>
  <c r="N15" i="2686" s="1"/>
  <c r="I15" i="2686"/>
  <c r="H15" i="2686"/>
  <c r="K13" i="2686"/>
  <c r="L13" i="2686" s="1"/>
  <c r="M13" i="2686" s="1"/>
  <c r="N13" i="2686" s="1"/>
  <c r="I13" i="2686"/>
  <c r="H13" i="2686"/>
  <c r="K11" i="2686"/>
  <c r="L11" i="2686" s="1"/>
  <c r="M11" i="2686" s="1"/>
  <c r="N11" i="2686" s="1"/>
  <c r="I11" i="2686"/>
  <c r="H11" i="2686"/>
  <c r="K9" i="2686"/>
  <c r="L9" i="2686" s="1"/>
  <c r="M9" i="2686" s="1"/>
  <c r="N9" i="2686" s="1"/>
  <c r="I9" i="2686"/>
  <c r="H9" i="2686"/>
  <c r="K3" i="2686"/>
  <c r="L3" i="2686" s="1"/>
  <c r="M3" i="2686" s="1"/>
  <c r="N3" i="2686" s="1"/>
  <c r="I3" i="2686"/>
  <c r="H3" i="2686"/>
  <c r="H25" i="2685"/>
  <c r="I25" i="2685"/>
  <c r="N25" i="2685"/>
  <c r="M25" i="2685"/>
  <c r="L25" i="2685"/>
  <c r="K25" i="2685"/>
  <c r="H23" i="2685"/>
  <c r="I23" i="2685"/>
  <c r="N23" i="2685"/>
  <c r="M23" i="2685"/>
  <c r="L23" i="2685"/>
  <c r="K23" i="2685"/>
  <c r="K21" i="2685"/>
  <c r="L21" i="2685" s="1"/>
  <c r="M21" i="2685" s="1"/>
  <c r="N21" i="2685" s="1"/>
  <c r="I21" i="2685"/>
  <c r="H21" i="2685"/>
  <c r="M19" i="2685"/>
  <c r="K19" i="2685"/>
  <c r="L19" i="2685" s="1"/>
  <c r="I19" i="2685"/>
  <c r="H19" i="2685"/>
  <c r="I17" i="2685"/>
  <c r="H17" i="2685" s="1"/>
  <c r="K17" i="2685"/>
  <c r="L17" i="2685" s="1"/>
  <c r="M17" i="2685" s="1"/>
  <c r="N17" i="2685" s="1"/>
  <c r="K15" i="2685"/>
  <c r="L15" i="2685" s="1"/>
  <c r="M15" i="2685" s="1"/>
  <c r="N15" i="2685" s="1"/>
  <c r="I15" i="2685"/>
  <c r="H15" i="2685" s="1"/>
  <c r="L39" i="2685"/>
  <c r="M39" i="2685" s="1"/>
  <c r="N39" i="2685" s="1"/>
  <c r="I39" i="2685"/>
  <c r="H39" i="2685" s="1"/>
  <c r="L37" i="2685"/>
  <c r="M37" i="2685" s="1"/>
  <c r="N37" i="2685" s="1"/>
  <c r="I37" i="2685"/>
  <c r="H37" i="2685" s="1"/>
  <c r="K35" i="2685"/>
  <c r="L35" i="2685" s="1"/>
  <c r="M35" i="2685" s="1"/>
  <c r="N35" i="2685" s="1"/>
  <c r="I35" i="2685"/>
  <c r="H35" i="2685" s="1"/>
  <c r="L33" i="2685"/>
  <c r="M33" i="2685" s="1"/>
  <c r="N33" i="2685" s="1"/>
  <c r="I33" i="2685"/>
  <c r="H33" i="2685" s="1"/>
  <c r="K31" i="2685"/>
  <c r="L31" i="2685" s="1"/>
  <c r="M31" i="2685" s="1"/>
  <c r="N31" i="2685" s="1"/>
  <c r="I31" i="2685"/>
  <c r="H31" i="2685"/>
  <c r="K29" i="2685"/>
  <c r="L29" i="2685" s="1"/>
  <c r="M29" i="2685" s="1"/>
  <c r="N29" i="2685" s="1"/>
  <c r="I29" i="2685"/>
  <c r="H29" i="2685" s="1"/>
  <c r="K13" i="2685"/>
  <c r="L13" i="2685" s="1"/>
  <c r="M13" i="2685" s="1"/>
  <c r="N13" i="2685" s="1"/>
  <c r="I13" i="2685"/>
  <c r="H13" i="2685" s="1"/>
  <c r="K11" i="2685"/>
  <c r="L11" i="2685" s="1"/>
  <c r="M11" i="2685" s="1"/>
  <c r="N11" i="2685" s="1"/>
  <c r="I11" i="2685"/>
  <c r="H11" i="2685" s="1"/>
  <c r="K9" i="2685"/>
  <c r="L9" i="2685" s="1"/>
  <c r="M9" i="2685" s="1"/>
  <c r="N9" i="2685" s="1"/>
  <c r="I9" i="2685"/>
  <c r="H9" i="2685" s="1"/>
  <c r="K7" i="2685"/>
  <c r="L7" i="2685" s="1"/>
  <c r="M7" i="2685" s="1"/>
  <c r="N7" i="2685" s="1"/>
  <c r="I7" i="2685"/>
  <c r="H7" i="2685" s="1"/>
  <c r="K5" i="2685"/>
  <c r="L5" i="2685" s="1"/>
  <c r="M5" i="2685" s="1"/>
  <c r="N5" i="2685" s="1"/>
  <c r="I5" i="2685"/>
  <c r="H5" i="2685" s="1"/>
  <c r="K3" i="2685"/>
  <c r="L3" i="2685" s="1"/>
  <c r="M3" i="2685" s="1"/>
  <c r="N3" i="2685" s="1"/>
  <c r="I3" i="2685"/>
  <c r="H3" i="2685" s="1"/>
  <c r="N3" i="2673"/>
  <c r="N11" i="2673"/>
  <c r="N13" i="2673"/>
  <c r="N15" i="2673"/>
  <c r="N17" i="2673"/>
  <c r="N21" i="2673"/>
  <c r="N23" i="2673"/>
  <c r="N25" i="2673"/>
  <c r="N27" i="2673"/>
  <c r="N29" i="2673"/>
  <c r="N31" i="2673"/>
  <c r="N5" i="2675"/>
  <c r="N7" i="2675"/>
  <c r="N9" i="2675"/>
  <c r="N11" i="2675"/>
  <c r="N13" i="2675"/>
  <c r="N15" i="2675"/>
  <c r="N17" i="2675"/>
  <c r="N19" i="2675"/>
  <c r="N25" i="2675"/>
  <c r="N29" i="2675"/>
  <c r="N31" i="2675"/>
  <c r="M3" i="2666"/>
  <c r="M5" i="2666"/>
  <c r="M7" i="2666"/>
  <c r="M9" i="2666"/>
  <c r="M11" i="2666"/>
  <c r="M13" i="2666"/>
  <c r="M15" i="2666"/>
  <c r="M17" i="2666"/>
  <c r="M25" i="2666"/>
  <c r="M27" i="2666"/>
  <c r="M31" i="2666"/>
  <c r="Q17" i="2684"/>
  <c r="Q16" i="2684"/>
  <c r="L35" i="2684"/>
  <c r="M35" i="2684"/>
  <c r="H35" i="2684"/>
  <c r="K35" i="2684"/>
  <c r="I35" i="2684"/>
  <c r="M5" i="2684"/>
  <c r="M7" i="2684"/>
  <c r="M9" i="2684"/>
  <c r="M11" i="2684"/>
  <c r="M13" i="2684"/>
  <c r="M21" i="2684"/>
  <c r="M23" i="2684"/>
  <c r="M25" i="2684"/>
  <c r="M27" i="2684"/>
  <c r="M33" i="2684"/>
  <c r="K33" i="2684"/>
  <c r="L33" i="2684" s="1"/>
  <c r="I33" i="2684"/>
  <c r="H33" i="2684" s="1"/>
  <c r="K27" i="2684"/>
  <c r="L27" i="2684" s="1"/>
  <c r="I27" i="2684"/>
  <c r="H27" i="2684" s="1"/>
  <c r="K25" i="2684"/>
  <c r="L25" i="2684" s="1"/>
  <c r="I25" i="2684"/>
  <c r="H25" i="2684" s="1"/>
  <c r="K23" i="2684"/>
  <c r="L23" i="2684" s="1"/>
  <c r="I23" i="2684"/>
  <c r="H23" i="2684" s="1"/>
  <c r="K21" i="2684"/>
  <c r="L21" i="2684" s="1"/>
  <c r="I21" i="2684"/>
  <c r="H21" i="2684" s="1"/>
  <c r="K11" i="2684"/>
  <c r="L11" i="2684" s="1"/>
  <c r="I11" i="2684"/>
  <c r="H11" i="2684" s="1"/>
  <c r="K9" i="2684"/>
  <c r="L9" i="2684" s="1"/>
  <c r="I9" i="2684"/>
  <c r="H9" i="2684" s="1"/>
  <c r="K5" i="2684"/>
  <c r="L5" i="2684" s="1"/>
  <c r="I5" i="2684"/>
  <c r="H5" i="2684" s="1"/>
  <c r="K17" i="2684"/>
  <c r="L17" i="2684" s="1"/>
  <c r="M17" i="2684" s="1"/>
  <c r="I17" i="2684"/>
  <c r="H17" i="2684" s="1"/>
  <c r="K13" i="2684"/>
  <c r="L13" i="2684" s="1"/>
  <c r="I13" i="2684"/>
  <c r="H13" i="2684" s="1"/>
  <c r="K7" i="2684"/>
  <c r="L7" i="2684" s="1"/>
  <c r="I7" i="2684"/>
  <c r="H7" i="2684" s="1"/>
  <c r="K3" i="2684"/>
  <c r="L3" i="2684" s="1"/>
  <c r="M3" i="2684" s="1"/>
  <c r="I3" i="2684"/>
  <c r="H3" i="2684" s="1"/>
  <c r="Q54" i="2683"/>
  <c r="Q53" i="2683"/>
  <c r="N3" i="2683"/>
  <c r="N5" i="2683"/>
  <c r="N7" i="2683"/>
  <c r="N9" i="2683"/>
  <c r="N21" i="2683"/>
  <c r="N23" i="2683"/>
  <c r="N25" i="2683"/>
  <c r="N29" i="2683"/>
  <c r="N31" i="2683"/>
  <c r="N33" i="2683"/>
  <c r="N35" i="2683"/>
  <c r="N41" i="2683"/>
  <c r="N43" i="2683"/>
  <c r="N45" i="2683"/>
  <c r="N47" i="2683"/>
  <c r="N49" i="2683"/>
  <c r="N51" i="2683"/>
  <c r="N53" i="2683"/>
  <c r="N55" i="2683"/>
  <c r="N57" i="2683"/>
  <c r="N59" i="2683"/>
  <c r="N61" i="2683"/>
  <c r="K61" i="2683"/>
  <c r="L61" i="2683" s="1"/>
  <c r="M61" i="2683" s="1"/>
  <c r="I61" i="2683"/>
  <c r="H61" i="2683"/>
  <c r="L49" i="2683"/>
  <c r="M49" i="2683" s="1"/>
  <c r="K49" i="2683"/>
  <c r="H49" i="2683"/>
  <c r="I49" i="2683"/>
  <c r="K57" i="2683"/>
  <c r="L57" i="2683" s="1"/>
  <c r="M57" i="2683" s="1"/>
  <c r="I57" i="2683"/>
  <c r="H57" i="2683" s="1"/>
  <c r="K55" i="2683"/>
  <c r="L55" i="2683" s="1"/>
  <c r="M55" i="2683" s="1"/>
  <c r="I55" i="2683"/>
  <c r="H55" i="2683" s="1"/>
  <c r="K53" i="2683"/>
  <c r="L53" i="2683" s="1"/>
  <c r="M53" i="2683" s="1"/>
  <c r="I53" i="2683"/>
  <c r="H53" i="2683" s="1"/>
  <c r="K43" i="2683"/>
  <c r="L43" i="2683" s="1"/>
  <c r="M43" i="2683" s="1"/>
  <c r="I43" i="2683"/>
  <c r="H43" i="2683" s="1"/>
  <c r="K25" i="2683"/>
  <c r="L25" i="2683" s="1"/>
  <c r="M25" i="2683" s="1"/>
  <c r="I25" i="2683"/>
  <c r="H25" i="2683" s="1"/>
  <c r="I21" i="2683"/>
  <c r="H21" i="2683" s="1"/>
  <c r="K9" i="2683"/>
  <c r="L9" i="2683" s="1"/>
  <c r="M9" i="2683" s="1"/>
  <c r="I9" i="2683"/>
  <c r="H9" i="2683" s="1"/>
  <c r="M5" i="2683"/>
  <c r="M31" i="2683"/>
  <c r="K5" i="2683"/>
  <c r="L5" i="2683" s="1"/>
  <c r="I5" i="2683"/>
  <c r="H5" i="2683" s="1"/>
  <c r="K59" i="2683"/>
  <c r="L59" i="2683" s="1"/>
  <c r="M59" i="2683" s="1"/>
  <c r="I59" i="2683"/>
  <c r="H59" i="2683" s="1"/>
  <c r="K51" i="2683"/>
  <c r="L51" i="2683" s="1"/>
  <c r="M51" i="2683" s="1"/>
  <c r="I51" i="2683"/>
  <c r="H51" i="2683" s="1"/>
  <c r="K47" i="2683"/>
  <c r="L47" i="2683" s="1"/>
  <c r="M47" i="2683" s="1"/>
  <c r="I47" i="2683"/>
  <c r="H47" i="2683" s="1"/>
  <c r="K45" i="2683"/>
  <c r="L45" i="2683" s="1"/>
  <c r="M45" i="2683" s="1"/>
  <c r="I45" i="2683"/>
  <c r="H45" i="2683" s="1"/>
  <c r="K41" i="2683"/>
  <c r="L41" i="2683" s="1"/>
  <c r="M41" i="2683" s="1"/>
  <c r="I41" i="2683"/>
  <c r="H41" i="2683" s="1"/>
  <c r="K35" i="2683"/>
  <c r="L35" i="2683" s="1"/>
  <c r="M35" i="2683" s="1"/>
  <c r="I35" i="2683"/>
  <c r="H35" i="2683" s="1"/>
  <c r="K33" i="2683"/>
  <c r="L33" i="2683" s="1"/>
  <c r="M33" i="2683" s="1"/>
  <c r="I33" i="2683"/>
  <c r="H33" i="2683" s="1"/>
  <c r="K31" i="2683"/>
  <c r="L31" i="2683" s="1"/>
  <c r="I31" i="2683"/>
  <c r="H31" i="2683" s="1"/>
  <c r="K29" i="2683"/>
  <c r="L29" i="2683" s="1"/>
  <c r="M29" i="2683" s="1"/>
  <c r="I29" i="2683"/>
  <c r="H29" i="2683" s="1"/>
  <c r="K23" i="2683"/>
  <c r="L23" i="2683" s="1"/>
  <c r="M23" i="2683" s="1"/>
  <c r="I23" i="2683"/>
  <c r="H23" i="2683" s="1"/>
  <c r="K21" i="2683"/>
  <c r="L21" i="2683" s="1"/>
  <c r="M21" i="2683" s="1"/>
  <c r="K17" i="2683"/>
  <c r="L17" i="2683" s="1"/>
  <c r="M17" i="2683" s="1"/>
  <c r="N17" i="2683" s="1"/>
  <c r="I17" i="2683"/>
  <c r="H17" i="2683" s="1"/>
  <c r="K15" i="2683"/>
  <c r="L15" i="2683" s="1"/>
  <c r="M15" i="2683" s="1"/>
  <c r="N15" i="2683" s="1"/>
  <c r="I15" i="2683"/>
  <c r="H15" i="2683" s="1"/>
  <c r="K13" i="2683"/>
  <c r="L13" i="2683" s="1"/>
  <c r="M13" i="2683" s="1"/>
  <c r="N13" i="2683" s="1"/>
  <c r="I13" i="2683"/>
  <c r="H13" i="2683"/>
  <c r="K7" i="2683"/>
  <c r="L7" i="2683" s="1"/>
  <c r="M7" i="2683" s="1"/>
  <c r="I7" i="2683"/>
  <c r="H7" i="2683" s="1"/>
  <c r="K3" i="2683"/>
  <c r="L3" i="2683" s="1"/>
  <c r="M3" i="2683" s="1"/>
  <c r="I3" i="2683"/>
  <c r="H3" i="2683" s="1"/>
  <c r="K67" i="2682"/>
  <c r="L67" i="2682" s="1"/>
  <c r="I67" i="2682"/>
  <c r="H67" i="2682" s="1"/>
  <c r="K57" i="2682"/>
  <c r="L57" i="2682" s="1"/>
  <c r="K59" i="2682"/>
  <c r="L59" i="2682" s="1"/>
  <c r="I59" i="2682"/>
  <c r="H59" i="2682" s="1"/>
  <c r="I57" i="2682"/>
  <c r="H57" i="2682" s="1"/>
  <c r="K55" i="2682"/>
  <c r="L55" i="2682" s="1"/>
  <c r="I55" i="2682"/>
  <c r="H55" i="2682" s="1"/>
  <c r="K53" i="2682"/>
  <c r="L53" i="2682" s="1"/>
  <c r="I53" i="2682"/>
  <c r="H53" i="2682" s="1"/>
  <c r="K21" i="2682"/>
  <c r="L21" i="2682" s="1"/>
  <c r="I21" i="2682"/>
  <c r="H21" i="2682" s="1"/>
  <c r="K19" i="2682"/>
  <c r="L19" i="2682" s="1"/>
  <c r="I19" i="2682"/>
  <c r="H19" i="2682" s="1"/>
  <c r="K11" i="2682"/>
  <c r="L11" i="2682" s="1"/>
  <c r="I11" i="2682"/>
  <c r="H11" i="2682" s="1"/>
  <c r="I9" i="2682"/>
  <c r="H9" i="2682" s="1"/>
  <c r="K9" i="2682"/>
  <c r="L9" i="2682" s="1"/>
  <c r="K5" i="2682"/>
  <c r="L5" i="2682" s="1"/>
  <c r="I5" i="2682"/>
  <c r="H5" i="2682" s="1"/>
  <c r="K63" i="2682"/>
  <c r="L63" i="2682" s="1"/>
  <c r="I63" i="2682"/>
  <c r="H63" i="2682"/>
  <c r="K61" i="2682"/>
  <c r="L61" i="2682" s="1"/>
  <c r="I61" i="2682"/>
  <c r="H61" i="2682" s="1"/>
  <c r="K51" i="2682"/>
  <c r="L51" i="2682" s="1"/>
  <c r="I51" i="2682"/>
  <c r="H51" i="2682" s="1"/>
  <c r="K49" i="2682"/>
  <c r="L49" i="2682" s="1"/>
  <c r="I49" i="2682"/>
  <c r="H49" i="2682" s="1"/>
  <c r="K47" i="2682"/>
  <c r="L47" i="2682" s="1"/>
  <c r="I47" i="2682"/>
  <c r="H47" i="2682" s="1"/>
  <c r="K45" i="2682"/>
  <c r="L45" i="2682" s="1"/>
  <c r="I45" i="2682"/>
  <c r="H45" i="2682" s="1"/>
  <c r="K43" i="2682"/>
  <c r="L43" i="2682" s="1"/>
  <c r="I43" i="2682"/>
  <c r="H43" i="2682" s="1"/>
  <c r="K41" i="2682"/>
  <c r="L41" i="2682" s="1"/>
  <c r="I41" i="2682"/>
  <c r="H41" i="2682" s="1"/>
  <c r="K35" i="2682"/>
  <c r="L35" i="2682" s="1"/>
  <c r="I35" i="2682"/>
  <c r="H35" i="2682" s="1"/>
  <c r="K33" i="2682"/>
  <c r="L33" i="2682" s="1"/>
  <c r="I33" i="2682"/>
  <c r="H33" i="2682" s="1"/>
  <c r="K31" i="2682"/>
  <c r="L31" i="2682" s="1"/>
  <c r="I31" i="2682"/>
  <c r="H31" i="2682" s="1"/>
  <c r="K29" i="2682"/>
  <c r="L29" i="2682" s="1"/>
  <c r="I29" i="2682"/>
  <c r="H29" i="2682" s="1"/>
  <c r="K23" i="2682"/>
  <c r="L23" i="2682" s="1"/>
  <c r="I23" i="2682"/>
  <c r="H23" i="2682" s="1"/>
  <c r="K17" i="2682"/>
  <c r="L17" i="2682" s="1"/>
  <c r="I17" i="2682"/>
  <c r="H17" i="2682" s="1"/>
  <c r="K15" i="2682"/>
  <c r="L15" i="2682" s="1"/>
  <c r="I15" i="2682"/>
  <c r="H15" i="2682" s="1"/>
  <c r="K13" i="2682"/>
  <c r="L13" i="2682" s="1"/>
  <c r="I13" i="2682"/>
  <c r="H13" i="2682" s="1"/>
  <c r="K7" i="2682"/>
  <c r="L7" i="2682" s="1"/>
  <c r="I7" i="2682"/>
  <c r="H7" i="2682" s="1"/>
  <c r="K3" i="2682"/>
  <c r="L3" i="2682" s="1"/>
  <c r="I3" i="2682"/>
  <c r="H3" i="2682" s="1"/>
  <c r="K33" i="2681"/>
  <c r="L33" i="2681" s="1"/>
  <c r="M33" i="2681" s="1"/>
  <c r="I33" i="2681"/>
  <c r="H33" i="2681" s="1"/>
  <c r="K31" i="2681"/>
  <c r="L31" i="2681" s="1"/>
  <c r="M31" i="2681" s="1"/>
  <c r="I31" i="2681"/>
  <c r="H31" i="2681" s="1"/>
  <c r="K29" i="2681"/>
  <c r="L29" i="2681" s="1"/>
  <c r="M29" i="2681" s="1"/>
  <c r="I29" i="2681"/>
  <c r="H29" i="2681" s="1"/>
  <c r="K27" i="2681"/>
  <c r="L27" i="2681" s="1"/>
  <c r="M27" i="2681" s="1"/>
  <c r="I27" i="2681"/>
  <c r="H27" i="2681"/>
  <c r="K25" i="2681"/>
  <c r="L25" i="2681" s="1"/>
  <c r="M25" i="2681" s="1"/>
  <c r="I25" i="2681"/>
  <c r="H25" i="2681"/>
  <c r="K23" i="2681"/>
  <c r="L23" i="2681" s="1"/>
  <c r="M23" i="2681" s="1"/>
  <c r="I23" i="2681"/>
  <c r="H23" i="2681"/>
  <c r="K21" i="2681"/>
  <c r="L21" i="2681" s="1"/>
  <c r="M21" i="2681" s="1"/>
  <c r="I21" i="2681"/>
  <c r="H21" i="2681" s="1"/>
  <c r="K19" i="2681"/>
  <c r="L19" i="2681" s="1"/>
  <c r="M19" i="2681" s="1"/>
  <c r="I19" i="2681"/>
  <c r="H19" i="2681" s="1"/>
  <c r="K17" i="2681"/>
  <c r="L17" i="2681" s="1"/>
  <c r="M17" i="2681" s="1"/>
  <c r="I17" i="2681"/>
  <c r="H17" i="2681"/>
  <c r="K15" i="2681"/>
  <c r="L15" i="2681" s="1"/>
  <c r="M15" i="2681" s="1"/>
  <c r="I15" i="2681"/>
  <c r="H15" i="2681" s="1"/>
  <c r="K13" i="2681"/>
  <c r="L13" i="2681" s="1"/>
  <c r="M13" i="2681" s="1"/>
  <c r="I13" i="2681"/>
  <c r="H13" i="2681" s="1"/>
  <c r="K11" i="2681"/>
  <c r="L11" i="2681" s="1"/>
  <c r="M11" i="2681" s="1"/>
  <c r="I11" i="2681"/>
  <c r="H11" i="2681"/>
  <c r="K9" i="2681"/>
  <c r="L9" i="2681" s="1"/>
  <c r="M9" i="2681" s="1"/>
  <c r="I9" i="2681"/>
  <c r="H9" i="2681" s="1"/>
  <c r="K7" i="2681"/>
  <c r="L7" i="2681" s="1"/>
  <c r="M7" i="2681" s="1"/>
  <c r="I7" i="2681"/>
  <c r="H7" i="2681"/>
  <c r="K5" i="2681"/>
  <c r="L5" i="2681" s="1"/>
  <c r="M5" i="2681" s="1"/>
  <c r="I5" i="2681"/>
  <c r="H5" i="2681"/>
  <c r="K3" i="2681"/>
  <c r="L3" i="2681" s="1"/>
  <c r="M3" i="2681" s="1"/>
  <c r="I3" i="2681"/>
  <c r="H3" i="2681" s="1"/>
  <c r="H9" i="2680"/>
  <c r="I9" i="2680"/>
  <c r="H7" i="2680"/>
  <c r="I7" i="2680"/>
  <c r="M3" i="2680"/>
  <c r="M5" i="2680"/>
  <c r="M7" i="2680"/>
  <c r="M9" i="2680"/>
  <c r="M15" i="2680"/>
  <c r="M21" i="2680"/>
  <c r="M23" i="2680"/>
  <c r="M25" i="2680"/>
  <c r="M27" i="2680"/>
  <c r="M31" i="2680"/>
  <c r="L9" i="2680"/>
  <c r="K9" i="2680"/>
  <c r="N19" i="2685" l="1"/>
  <c r="K15" i="2680"/>
  <c r="L15" i="2680" s="1"/>
  <c r="I15" i="2680"/>
  <c r="H15" i="2680" s="1"/>
  <c r="Q13" i="2680" l="1"/>
  <c r="K7" i="2680"/>
  <c r="L7" i="2680" s="1"/>
  <c r="K5" i="2680"/>
  <c r="L5" i="2680" s="1"/>
  <c r="I5" i="2680"/>
  <c r="H5" i="2680" s="1"/>
  <c r="K13" i="2680"/>
  <c r="L13" i="2680" s="1"/>
  <c r="M13" i="2680" s="1"/>
  <c r="N13" i="2680" s="1"/>
  <c r="I13" i="2680"/>
  <c r="H13" i="2680" s="1"/>
  <c r="K31" i="2680"/>
  <c r="L31" i="2680" s="1"/>
  <c r="I31" i="2680"/>
  <c r="H31" i="2680" s="1"/>
  <c r="K29" i="2680"/>
  <c r="I29" i="2680"/>
  <c r="H29" i="2680" s="1"/>
  <c r="K27" i="2680"/>
  <c r="L27" i="2680" s="1"/>
  <c r="I27" i="2680"/>
  <c r="H27" i="2680" s="1"/>
  <c r="K25" i="2680"/>
  <c r="L25" i="2680" s="1"/>
  <c r="I25" i="2680"/>
  <c r="H25" i="2680" s="1"/>
  <c r="K23" i="2680"/>
  <c r="L23" i="2680" s="1"/>
  <c r="I23" i="2680"/>
  <c r="H23" i="2680" s="1"/>
  <c r="K21" i="2680"/>
  <c r="L21" i="2680" s="1"/>
  <c r="I21" i="2680"/>
  <c r="H21" i="2680" s="1"/>
  <c r="K3" i="2680"/>
  <c r="L3" i="2680" s="1"/>
  <c r="I3" i="2680"/>
  <c r="H3" i="2680" s="1"/>
  <c r="P16" i="2679"/>
  <c r="P15" i="2679"/>
  <c r="H41" i="2679"/>
  <c r="L41" i="2679"/>
  <c r="M41" i="2679" s="1"/>
  <c r="K41" i="2679"/>
  <c r="I41" i="2679"/>
  <c r="K39" i="2679"/>
  <c r="L39" i="2679" s="1"/>
  <c r="M39" i="2679" s="1"/>
  <c r="I39" i="2679"/>
  <c r="H39" i="2679" s="1"/>
  <c r="K37" i="2679"/>
  <c r="L37" i="2679" s="1"/>
  <c r="M37" i="2679" s="1"/>
  <c r="I37" i="2679"/>
  <c r="H37" i="2679" s="1"/>
  <c r="K35" i="2679"/>
  <c r="L35" i="2679" s="1"/>
  <c r="M35" i="2679" s="1"/>
  <c r="I35" i="2679"/>
  <c r="H35" i="2679" s="1"/>
  <c r="K17" i="2679"/>
  <c r="L17" i="2679" s="1"/>
  <c r="M17" i="2679" s="1"/>
  <c r="I17" i="2679"/>
  <c r="H17" i="2679" s="1"/>
  <c r="K33" i="2679"/>
  <c r="L33" i="2679" s="1"/>
  <c r="M33" i="2679" s="1"/>
  <c r="I33" i="2679"/>
  <c r="H33" i="2679" s="1"/>
  <c r="K15" i="2679"/>
  <c r="L15" i="2679" s="1"/>
  <c r="M15" i="2679" s="1"/>
  <c r="I15" i="2679"/>
  <c r="H15" i="2679" s="1"/>
  <c r="K13" i="2679"/>
  <c r="L13" i="2679" s="1"/>
  <c r="I13" i="2679"/>
  <c r="H13" i="2679" s="1"/>
  <c r="K9" i="2679"/>
  <c r="L9" i="2679" s="1"/>
  <c r="M9" i="2679" s="1"/>
  <c r="I9" i="2679"/>
  <c r="H9" i="2679" s="1"/>
  <c r="M45" i="2679"/>
  <c r="K43" i="2679"/>
  <c r="L43" i="2679" s="1"/>
  <c r="M43" i="2679" s="1"/>
  <c r="I43" i="2679"/>
  <c r="H43" i="2679" s="1"/>
  <c r="K31" i="2679"/>
  <c r="L31" i="2679" s="1"/>
  <c r="M31" i="2679" s="1"/>
  <c r="I31" i="2679"/>
  <c r="H31" i="2679" s="1"/>
  <c r="K27" i="2679"/>
  <c r="L27" i="2679" s="1"/>
  <c r="M27" i="2679" s="1"/>
  <c r="I27" i="2679"/>
  <c r="H27" i="2679" s="1"/>
  <c r="K25" i="2679"/>
  <c r="L25" i="2679" s="1"/>
  <c r="M25" i="2679" s="1"/>
  <c r="I25" i="2679"/>
  <c r="H25" i="2679" s="1"/>
  <c r="K23" i="2679"/>
  <c r="L23" i="2679" s="1"/>
  <c r="M23" i="2679" s="1"/>
  <c r="I23" i="2679"/>
  <c r="H23" i="2679" s="1"/>
  <c r="K21" i="2679"/>
  <c r="L21" i="2679" s="1"/>
  <c r="M21" i="2679" s="1"/>
  <c r="I21" i="2679"/>
  <c r="H21" i="2679"/>
  <c r="K19" i="2679"/>
  <c r="L19" i="2679" s="1"/>
  <c r="M19" i="2679" s="1"/>
  <c r="I19" i="2679"/>
  <c r="H19" i="2679" s="1"/>
  <c r="K11" i="2679"/>
  <c r="L11" i="2679" s="1"/>
  <c r="M11" i="2679" s="1"/>
  <c r="I11" i="2679"/>
  <c r="H11" i="2679"/>
  <c r="K7" i="2679"/>
  <c r="L7" i="2679" s="1"/>
  <c r="M7" i="2679" s="1"/>
  <c r="I7" i="2679"/>
  <c r="H7" i="2679" s="1"/>
  <c r="K5" i="2679"/>
  <c r="L5" i="2679" s="1"/>
  <c r="M5" i="2679" s="1"/>
  <c r="I5" i="2679"/>
  <c r="H5" i="2679" s="1"/>
  <c r="K3" i="2679"/>
  <c r="L3" i="2679" s="1"/>
  <c r="M3" i="2679" s="1"/>
  <c r="I3" i="2679"/>
  <c r="H3" i="2679" s="1"/>
  <c r="L45" i="2678"/>
  <c r="M45" i="2678" s="1"/>
  <c r="N45" i="2678" s="1"/>
  <c r="K45" i="2678"/>
  <c r="I45" i="2678"/>
  <c r="H45" i="2678" s="1"/>
  <c r="K43" i="2678"/>
  <c r="L43" i="2678" s="1"/>
  <c r="M43" i="2678" s="1"/>
  <c r="N43" i="2678" s="1"/>
  <c r="I43" i="2678"/>
  <c r="H43" i="2678"/>
  <c r="K41" i="2678"/>
  <c r="L41" i="2678" s="1"/>
  <c r="M41" i="2678" s="1"/>
  <c r="N41" i="2678" s="1"/>
  <c r="I41" i="2678"/>
  <c r="H41" i="2678"/>
  <c r="S24" i="2678" s="1"/>
  <c r="S25" i="2678" s="1"/>
  <c r="K39" i="2678"/>
  <c r="L39" i="2678" s="1"/>
  <c r="M39" i="2678" s="1"/>
  <c r="N39" i="2678" s="1"/>
  <c r="I39" i="2678"/>
  <c r="H39" i="2678"/>
  <c r="K37" i="2678"/>
  <c r="L37" i="2678" s="1"/>
  <c r="M37" i="2678" s="1"/>
  <c r="N37" i="2678" s="1"/>
  <c r="I37" i="2678"/>
  <c r="H37" i="2678"/>
  <c r="K35" i="2678"/>
  <c r="L35" i="2678" s="1"/>
  <c r="M35" i="2678" s="1"/>
  <c r="N35" i="2678" s="1"/>
  <c r="I35" i="2678"/>
  <c r="H35" i="2678" s="1"/>
  <c r="K33" i="2678"/>
  <c r="L33" i="2678" s="1"/>
  <c r="M33" i="2678" s="1"/>
  <c r="N33" i="2678" s="1"/>
  <c r="I33" i="2678"/>
  <c r="H33" i="2678"/>
  <c r="K31" i="2678"/>
  <c r="L31" i="2678" s="1"/>
  <c r="M31" i="2678" s="1"/>
  <c r="N31" i="2678" s="1"/>
  <c r="I31" i="2678"/>
  <c r="H31" i="2678"/>
  <c r="L29" i="2678"/>
  <c r="M29" i="2678" s="1"/>
  <c r="N29" i="2678" s="1"/>
  <c r="K29" i="2678"/>
  <c r="I29" i="2678"/>
  <c r="H29" i="2678"/>
  <c r="K27" i="2678"/>
  <c r="L27" i="2678" s="1"/>
  <c r="M27" i="2678" s="1"/>
  <c r="N27" i="2678" s="1"/>
  <c r="I27" i="2678"/>
  <c r="H27" i="2678"/>
  <c r="L25" i="2678"/>
  <c r="M25" i="2678" s="1"/>
  <c r="N25" i="2678" s="1"/>
  <c r="K25" i="2678"/>
  <c r="I25" i="2678"/>
  <c r="H25" i="2678"/>
  <c r="K23" i="2678"/>
  <c r="L23" i="2678" s="1"/>
  <c r="M23" i="2678" s="1"/>
  <c r="N23" i="2678" s="1"/>
  <c r="I23" i="2678"/>
  <c r="H23" i="2678"/>
  <c r="K21" i="2678"/>
  <c r="L21" i="2678" s="1"/>
  <c r="M21" i="2678" s="1"/>
  <c r="N21" i="2678" s="1"/>
  <c r="I21" i="2678"/>
  <c r="H21" i="2678"/>
  <c r="L15" i="2678"/>
  <c r="M15" i="2678" s="1"/>
  <c r="N15" i="2678" s="1"/>
  <c r="K15" i="2678"/>
  <c r="I15" i="2678"/>
  <c r="H15" i="2678"/>
  <c r="K13" i="2678"/>
  <c r="L13" i="2678" s="1"/>
  <c r="M13" i="2678" s="1"/>
  <c r="N13" i="2678" s="1"/>
  <c r="I13" i="2678"/>
  <c r="H13" i="2678"/>
  <c r="K11" i="2678"/>
  <c r="L11" i="2678" s="1"/>
  <c r="M11" i="2678" s="1"/>
  <c r="N11" i="2678" s="1"/>
  <c r="I11" i="2678"/>
  <c r="H11" i="2678"/>
  <c r="K9" i="2678"/>
  <c r="L9" i="2678" s="1"/>
  <c r="M9" i="2678" s="1"/>
  <c r="N9" i="2678" s="1"/>
  <c r="I9" i="2678"/>
  <c r="H9" i="2678"/>
  <c r="K3" i="2678"/>
  <c r="L3" i="2678" s="1"/>
  <c r="M3" i="2678" s="1"/>
  <c r="N3" i="2678" s="1"/>
  <c r="I3" i="2678"/>
  <c r="H3" i="2678"/>
  <c r="L31" i="2677"/>
  <c r="K31" i="2677"/>
  <c r="I31" i="2677"/>
  <c r="H31" i="2677"/>
  <c r="K29" i="2677"/>
  <c r="L29" i="2677" s="1"/>
  <c r="I29" i="2677"/>
  <c r="H29" i="2677"/>
  <c r="K27" i="2677"/>
  <c r="L27" i="2677" s="1"/>
  <c r="I27" i="2677"/>
  <c r="H27" i="2677"/>
  <c r="K25" i="2677"/>
  <c r="L25" i="2677" s="1"/>
  <c r="I25" i="2677"/>
  <c r="H25" i="2677" s="1"/>
  <c r="L23" i="2677"/>
  <c r="K23" i="2677"/>
  <c r="I23" i="2677"/>
  <c r="H23" i="2677"/>
  <c r="K21" i="2677"/>
  <c r="L21" i="2677" s="1"/>
  <c r="I21" i="2677"/>
  <c r="H21" i="2677"/>
  <c r="K17" i="2677"/>
  <c r="L17" i="2677" s="1"/>
  <c r="I17" i="2677"/>
  <c r="H17" i="2677"/>
  <c r="K15" i="2677"/>
  <c r="L15" i="2677" s="1"/>
  <c r="I15" i="2677"/>
  <c r="H15" i="2677"/>
  <c r="L13" i="2677"/>
  <c r="K13" i="2677"/>
  <c r="I13" i="2677"/>
  <c r="H13" i="2677"/>
  <c r="K11" i="2677"/>
  <c r="L11" i="2677" s="1"/>
  <c r="I11" i="2677"/>
  <c r="H11" i="2677"/>
  <c r="K3" i="2677"/>
  <c r="L3" i="2677" s="1"/>
  <c r="I3" i="2677"/>
  <c r="H3" i="2677"/>
  <c r="M13" i="2679" l="1"/>
  <c r="K23" i="2676"/>
  <c r="L23" i="2676" s="1"/>
  <c r="M23" i="2676" s="1"/>
  <c r="I23" i="2676"/>
  <c r="H23" i="2676" s="1"/>
  <c r="K21" i="2676"/>
  <c r="L21" i="2676" s="1"/>
  <c r="M21" i="2676" s="1"/>
  <c r="I21" i="2676"/>
  <c r="H21" i="2676" s="1"/>
  <c r="L19" i="2676"/>
  <c r="M19" i="2676" s="1"/>
  <c r="K19" i="2676"/>
  <c r="I19" i="2676"/>
  <c r="H19" i="2676" s="1"/>
  <c r="H11" i="2676"/>
  <c r="I11" i="2676"/>
  <c r="M11" i="2676"/>
  <c r="L11" i="2676"/>
  <c r="I9" i="2676"/>
  <c r="H9" i="2676" s="1"/>
  <c r="K9" i="2676"/>
  <c r="L9" i="2676" s="1"/>
  <c r="M9" i="2676" s="1"/>
  <c r="K7" i="2676"/>
  <c r="L7" i="2676" s="1"/>
  <c r="M7" i="2676" s="1"/>
  <c r="I7" i="2676"/>
  <c r="H7" i="2676" s="1"/>
  <c r="L5" i="2676"/>
  <c r="M5" i="2676" s="1"/>
  <c r="K5" i="2676"/>
  <c r="I5" i="2676"/>
  <c r="H5" i="2676" s="1"/>
  <c r="L3" i="2676"/>
  <c r="M3" i="2676" s="1"/>
  <c r="K3" i="2676"/>
  <c r="I3" i="2676"/>
  <c r="H3" i="2676" s="1"/>
  <c r="K17" i="2676"/>
  <c r="L17" i="2676" s="1"/>
  <c r="M17" i="2676" s="1"/>
  <c r="I17" i="2676"/>
  <c r="H17" i="2676" s="1"/>
  <c r="K15" i="2676"/>
  <c r="L15" i="2676" s="1"/>
  <c r="M15" i="2676" s="1"/>
  <c r="I15" i="2676"/>
  <c r="H15" i="2676" s="1"/>
  <c r="K13" i="2676"/>
  <c r="L13" i="2676" s="1"/>
  <c r="M13" i="2676" s="1"/>
  <c r="I13" i="2676"/>
  <c r="H13" i="2676" s="1"/>
  <c r="K11" i="2676"/>
  <c r="I25" i="2675"/>
  <c r="H25" i="2675" s="1"/>
  <c r="I19" i="2675"/>
  <c r="H19" i="2675" s="1"/>
  <c r="K19" i="2675"/>
  <c r="L19" i="2675" s="1"/>
  <c r="M19" i="2675" s="1"/>
  <c r="K11" i="2675"/>
  <c r="L11" i="2675" s="1"/>
  <c r="M11" i="2675" s="1"/>
  <c r="I11" i="2675"/>
  <c r="H11" i="2675" s="1"/>
  <c r="K5" i="2675"/>
  <c r="L5" i="2675" s="1"/>
  <c r="M5" i="2675" s="1"/>
  <c r="I5" i="2675"/>
  <c r="H5" i="2675" s="1"/>
  <c r="K31" i="2675"/>
  <c r="L31" i="2675" s="1"/>
  <c r="M31" i="2675" s="1"/>
  <c r="K29" i="2675"/>
  <c r="L29" i="2675" s="1"/>
  <c r="M29" i="2675" s="1"/>
  <c r="H31" i="2675"/>
  <c r="I31" i="2675"/>
  <c r="I29" i="2675"/>
  <c r="H29" i="2675" s="1"/>
  <c r="K25" i="2675"/>
  <c r="L25" i="2675" s="1"/>
  <c r="M25" i="2675" s="1"/>
  <c r="K17" i="2675"/>
  <c r="L17" i="2675" s="1"/>
  <c r="M17" i="2675" s="1"/>
  <c r="I17" i="2675"/>
  <c r="H17" i="2675" s="1"/>
  <c r="K15" i="2675"/>
  <c r="L15" i="2675" s="1"/>
  <c r="M15" i="2675" s="1"/>
  <c r="I15" i="2675"/>
  <c r="H15" i="2675" s="1"/>
  <c r="K13" i="2675"/>
  <c r="L13" i="2675" s="1"/>
  <c r="M13" i="2675" s="1"/>
  <c r="I13" i="2675"/>
  <c r="H13" i="2675" s="1"/>
  <c r="K9" i="2675"/>
  <c r="L9" i="2675" s="1"/>
  <c r="M9" i="2675" s="1"/>
  <c r="K7" i="2675"/>
  <c r="L7" i="2675" s="1"/>
  <c r="M7" i="2675" s="1"/>
  <c r="I7" i="2675"/>
  <c r="H7" i="2675" s="1"/>
  <c r="K23" i="2674"/>
  <c r="L23" i="2674" s="1"/>
  <c r="M23" i="2674" s="1"/>
  <c r="I23" i="2674"/>
  <c r="H23" i="2674" s="1"/>
  <c r="K21" i="2674"/>
  <c r="L21" i="2674" s="1"/>
  <c r="M21" i="2674" s="1"/>
  <c r="I21" i="2674"/>
  <c r="H21" i="2674" s="1"/>
  <c r="K19" i="2674"/>
  <c r="L19" i="2674" s="1"/>
  <c r="M19" i="2674" s="1"/>
  <c r="I19" i="2674"/>
  <c r="H19" i="2674" s="1"/>
  <c r="K11" i="2674"/>
  <c r="L11" i="2674" s="1"/>
  <c r="M11" i="2674" s="1"/>
  <c r="I11" i="2674"/>
  <c r="H11" i="2674" s="1"/>
  <c r="H5" i="2674"/>
  <c r="K5" i="2674"/>
  <c r="L5" i="2674" s="1"/>
  <c r="M5" i="2674" s="1"/>
  <c r="I5" i="2674"/>
  <c r="K25" i="2674"/>
  <c r="L25" i="2674" s="1"/>
  <c r="M25" i="2674" s="1"/>
  <c r="I25" i="2674"/>
  <c r="H25" i="2674" s="1"/>
  <c r="K17" i="2674"/>
  <c r="L17" i="2674" s="1"/>
  <c r="M17" i="2674" s="1"/>
  <c r="I17" i="2674"/>
  <c r="H17" i="2674" s="1"/>
  <c r="K15" i="2674"/>
  <c r="L15" i="2674" s="1"/>
  <c r="M15" i="2674" s="1"/>
  <c r="I15" i="2674"/>
  <c r="H15" i="2674" s="1"/>
  <c r="K13" i="2674"/>
  <c r="L13" i="2674" s="1"/>
  <c r="M13" i="2674" s="1"/>
  <c r="I13" i="2674"/>
  <c r="H13" i="2674" s="1"/>
  <c r="K9" i="2674"/>
  <c r="L9" i="2674" s="1"/>
  <c r="M9" i="2674" s="1"/>
  <c r="I9" i="2674"/>
  <c r="H9" i="2674" s="1"/>
  <c r="K7" i="2674"/>
  <c r="L7" i="2674" s="1"/>
  <c r="M7" i="2674" s="1"/>
  <c r="I7" i="2674"/>
  <c r="H7" i="2674" s="1"/>
  <c r="K3" i="2674"/>
  <c r="L3" i="2674" s="1"/>
  <c r="M3" i="2674" s="1"/>
  <c r="I3" i="2674"/>
  <c r="H3" i="2674" s="1"/>
  <c r="Q13" i="2667"/>
  <c r="Q14" i="2667" s="1"/>
  <c r="Q11" i="2667"/>
  <c r="Q10" i="2667"/>
  <c r="H29" i="2673"/>
  <c r="I29" i="2673"/>
  <c r="M29" i="2673"/>
  <c r="L29" i="2673"/>
  <c r="K29" i="2673"/>
  <c r="K17" i="2673"/>
  <c r="L17" i="2673" s="1"/>
  <c r="M17" i="2673" s="1"/>
  <c r="I17" i="2673"/>
  <c r="H17" i="2673" s="1"/>
  <c r="K15" i="2673"/>
  <c r="L15" i="2673" s="1"/>
  <c r="M15" i="2673" s="1"/>
  <c r="I15" i="2673"/>
  <c r="H15" i="2673" s="1"/>
  <c r="K31" i="2673" l="1"/>
  <c r="L31" i="2673" s="1"/>
  <c r="M31" i="2673" s="1"/>
  <c r="I31" i="2673"/>
  <c r="H31" i="2673" s="1"/>
  <c r="K27" i="2673"/>
  <c r="L27" i="2673" s="1"/>
  <c r="M27" i="2673" s="1"/>
  <c r="I27" i="2673"/>
  <c r="H27" i="2673" s="1"/>
  <c r="K25" i="2673"/>
  <c r="L25" i="2673" s="1"/>
  <c r="M25" i="2673" s="1"/>
  <c r="I25" i="2673"/>
  <c r="H25" i="2673" s="1"/>
  <c r="K23" i="2673"/>
  <c r="L23" i="2673" s="1"/>
  <c r="M23" i="2673" s="1"/>
  <c r="I23" i="2673"/>
  <c r="H23" i="2673" s="1"/>
  <c r="K21" i="2673"/>
  <c r="L21" i="2673" s="1"/>
  <c r="M21" i="2673" s="1"/>
  <c r="I21" i="2673"/>
  <c r="H21" i="2673" s="1"/>
  <c r="K13" i="2673"/>
  <c r="L13" i="2673" s="1"/>
  <c r="M13" i="2673" s="1"/>
  <c r="I13" i="2673"/>
  <c r="H13" i="2673" s="1"/>
  <c r="K11" i="2673"/>
  <c r="L11" i="2673" s="1"/>
  <c r="M11" i="2673" s="1"/>
  <c r="I11" i="2673"/>
  <c r="H11" i="2673" s="1"/>
  <c r="K3" i="2673"/>
  <c r="L3" i="2673" s="1"/>
  <c r="M3" i="2673" s="1"/>
  <c r="I3" i="2673"/>
  <c r="H3" i="2673" s="1"/>
  <c r="N23" i="2672"/>
  <c r="M23" i="2672"/>
  <c r="L23" i="2672"/>
  <c r="K23" i="2672"/>
  <c r="H23" i="2672"/>
  <c r="I23" i="2672"/>
  <c r="K43" i="2672"/>
  <c r="L43" i="2672" s="1"/>
  <c r="M43" i="2672" s="1"/>
  <c r="N43" i="2672" s="1"/>
  <c r="I43" i="2672"/>
  <c r="H43" i="2672" s="1"/>
  <c r="K41" i="2672"/>
  <c r="L41" i="2672" s="1"/>
  <c r="M41" i="2672" s="1"/>
  <c r="N41" i="2672" s="1"/>
  <c r="I41" i="2672"/>
  <c r="H41" i="2672" s="1"/>
  <c r="K39" i="2672"/>
  <c r="L39" i="2672" s="1"/>
  <c r="M39" i="2672" s="1"/>
  <c r="N39" i="2672" s="1"/>
  <c r="I39" i="2672"/>
  <c r="H39" i="2672" s="1"/>
  <c r="K37" i="2672"/>
  <c r="L37" i="2672" s="1"/>
  <c r="M37" i="2672" s="1"/>
  <c r="N37" i="2672" s="1"/>
  <c r="I37" i="2672"/>
  <c r="H37" i="2672"/>
  <c r="K27" i="2672"/>
  <c r="L27" i="2672" s="1"/>
  <c r="M27" i="2672" s="1"/>
  <c r="N27" i="2672" s="1"/>
  <c r="I27" i="2672"/>
  <c r="H27" i="2672" s="1"/>
  <c r="K25" i="2672"/>
  <c r="L25" i="2672" s="1"/>
  <c r="M25" i="2672" s="1"/>
  <c r="N25" i="2672" s="1"/>
  <c r="I25" i="2672"/>
  <c r="H25" i="2672"/>
  <c r="K21" i="2672"/>
  <c r="L21" i="2672" s="1"/>
  <c r="M21" i="2672" s="1"/>
  <c r="N21" i="2672" s="1"/>
  <c r="I21" i="2672"/>
  <c r="H21" i="2672"/>
  <c r="K19" i="2672"/>
  <c r="L19" i="2672" s="1"/>
  <c r="M19" i="2672" s="1"/>
  <c r="N19" i="2672" s="1"/>
  <c r="I19" i="2672"/>
  <c r="H19" i="2672"/>
  <c r="K17" i="2672"/>
  <c r="L17" i="2672" s="1"/>
  <c r="M17" i="2672" s="1"/>
  <c r="N17" i="2672" s="1"/>
  <c r="I17" i="2672"/>
  <c r="H17" i="2672" s="1"/>
  <c r="K15" i="2672"/>
  <c r="L15" i="2672" s="1"/>
  <c r="M15" i="2672" s="1"/>
  <c r="N15" i="2672" s="1"/>
  <c r="I15" i="2672"/>
  <c r="H15" i="2672" s="1"/>
  <c r="K13" i="2672"/>
  <c r="L13" i="2672" s="1"/>
  <c r="M13" i="2672" s="1"/>
  <c r="N13" i="2672" s="1"/>
  <c r="I13" i="2672"/>
  <c r="H13" i="2672" s="1"/>
  <c r="K11" i="2672"/>
  <c r="L11" i="2672" s="1"/>
  <c r="M11" i="2672" s="1"/>
  <c r="N11" i="2672" s="1"/>
  <c r="I11" i="2672"/>
  <c r="H11" i="2672" s="1"/>
  <c r="K9" i="2672"/>
  <c r="L9" i="2672" s="1"/>
  <c r="M9" i="2672" s="1"/>
  <c r="N9" i="2672" s="1"/>
  <c r="I9" i="2672"/>
  <c r="H9" i="2672"/>
  <c r="K3" i="2672"/>
  <c r="L3" i="2672" s="1"/>
  <c r="M3" i="2672" s="1"/>
  <c r="N3" i="2672" s="1"/>
  <c r="I3" i="2672"/>
  <c r="H3" i="2672"/>
  <c r="I55" i="2671"/>
  <c r="H55" i="2671" s="1"/>
  <c r="H27" i="2671"/>
  <c r="I27" i="2671"/>
  <c r="L27" i="2671"/>
  <c r="M27" i="2671" s="1"/>
  <c r="K27" i="2671"/>
  <c r="K25" i="2671"/>
  <c r="L25" i="2671"/>
  <c r="M25" i="2671" s="1"/>
  <c r="I25" i="2671"/>
  <c r="H25" i="2671" s="1"/>
  <c r="K57" i="2671"/>
  <c r="L57" i="2671" s="1"/>
  <c r="M57" i="2671" s="1"/>
  <c r="I57" i="2671"/>
  <c r="H57" i="2671" s="1"/>
  <c r="K53" i="2671"/>
  <c r="L53" i="2671" s="1"/>
  <c r="M53" i="2671" s="1"/>
  <c r="I53" i="2671"/>
  <c r="H53" i="2671" s="1"/>
  <c r="K9" i="2671"/>
  <c r="L9" i="2671" s="1"/>
  <c r="M9" i="2671" s="1"/>
  <c r="I9" i="2671"/>
  <c r="H9" i="2671" s="1"/>
  <c r="K61" i="2671"/>
  <c r="L61" i="2671" s="1"/>
  <c r="M61" i="2671" s="1"/>
  <c r="I61" i="2671"/>
  <c r="H61" i="2671"/>
  <c r="K59" i="2671"/>
  <c r="L59" i="2671" s="1"/>
  <c r="M59" i="2671" s="1"/>
  <c r="I59" i="2671"/>
  <c r="H59" i="2671" s="1"/>
  <c r="K55" i="2671"/>
  <c r="L55" i="2671" s="1"/>
  <c r="M55" i="2671" s="1"/>
  <c r="K51" i="2671"/>
  <c r="L51" i="2671" s="1"/>
  <c r="M51" i="2671" s="1"/>
  <c r="I51" i="2671"/>
  <c r="H51" i="2671" s="1"/>
  <c r="K49" i="2671"/>
  <c r="L49" i="2671" s="1"/>
  <c r="M49" i="2671" s="1"/>
  <c r="I49" i="2671"/>
  <c r="H49" i="2671" s="1"/>
  <c r="K47" i="2671"/>
  <c r="L47" i="2671" s="1"/>
  <c r="M47" i="2671" s="1"/>
  <c r="I47" i="2671"/>
  <c r="H47" i="2671" s="1"/>
  <c r="K45" i="2671"/>
  <c r="L45" i="2671" s="1"/>
  <c r="M45" i="2671" s="1"/>
  <c r="I45" i="2671"/>
  <c r="H45" i="2671" s="1"/>
  <c r="K43" i="2671"/>
  <c r="L43" i="2671" s="1"/>
  <c r="M43" i="2671" s="1"/>
  <c r="I43" i="2671"/>
  <c r="H43" i="2671" s="1"/>
  <c r="K41" i="2671"/>
  <c r="L41" i="2671" s="1"/>
  <c r="M41" i="2671" s="1"/>
  <c r="I41" i="2671"/>
  <c r="H41" i="2671" s="1"/>
  <c r="K35" i="2671"/>
  <c r="L35" i="2671" s="1"/>
  <c r="M35" i="2671" s="1"/>
  <c r="I35" i="2671"/>
  <c r="H35" i="2671" s="1"/>
  <c r="K33" i="2671"/>
  <c r="L33" i="2671" s="1"/>
  <c r="M33" i="2671" s="1"/>
  <c r="I33" i="2671"/>
  <c r="H33" i="2671" s="1"/>
  <c r="K31" i="2671"/>
  <c r="L31" i="2671" s="1"/>
  <c r="M31" i="2671" s="1"/>
  <c r="I31" i="2671"/>
  <c r="H31" i="2671" s="1"/>
  <c r="K29" i="2671"/>
  <c r="L29" i="2671" s="1"/>
  <c r="M29" i="2671" s="1"/>
  <c r="I29" i="2671"/>
  <c r="H29" i="2671" s="1"/>
  <c r="K23" i="2671"/>
  <c r="L23" i="2671" s="1"/>
  <c r="M23" i="2671" s="1"/>
  <c r="I23" i="2671"/>
  <c r="H23" i="2671" s="1"/>
  <c r="K21" i="2671"/>
  <c r="L21" i="2671" s="1"/>
  <c r="M21" i="2671" s="1"/>
  <c r="I21" i="2671"/>
  <c r="H21" i="2671" s="1"/>
  <c r="K17" i="2671"/>
  <c r="L17" i="2671" s="1"/>
  <c r="M17" i="2671" s="1"/>
  <c r="I17" i="2671"/>
  <c r="H17" i="2671" s="1"/>
  <c r="K15" i="2671"/>
  <c r="L15" i="2671" s="1"/>
  <c r="M15" i="2671" s="1"/>
  <c r="I15" i="2671"/>
  <c r="H15" i="2671" s="1"/>
  <c r="K13" i="2671"/>
  <c r="L13" i="2671" s="1"/>
  <c r="M13" i="2671" s="1"/>
  <c r="I13" i="2671"/>
  <c r="H13" i="2671" s="1"/>
  <c r="K7" i="2671"/>
  <c r="L7" i="2671" s="1"/>
  <c r="M7" i="2671" s="1"/>
  <c r="I7" i="2671"/>
  <c r="H7" i="2671" s="1"/>
  <c r="K5" i="2671"/>
  <c r="L5" i="2671" s="1"/>
  <c r="M5" i="2671" s="1"/>
  <c r="I5" i="2671"/>
  <c r="H5" i="2671" s="1"/>
  <c r="K3" i="2671"/>
  <c r="L3" i="2671" s="1"/>
  <c r="M3" i="2671" s="1"/>
  <c r="I3" i="2671"/>
  <c r="H3" i="2671" s="1"/>
  <c r="K25" i="2670" l="1"/>
  <c r="L25" i="2670" s="1"/>
  <c r="M25" i="2670" s="1"/>
  <c r="I25" i="2670"/>
  <c r="H25" i="2670" s="1"/>
  <c r="M11" i="2670"/>
  <c r="L11" i="2670"/>
  <c r="K11" i="2670"/>
  <c r="H11" i="2670"/>
  <c r="I11" i="2670"/>
  <c r="M9" i="2670"/>
  <c r="L9" i="2670"/>
  <c r="K9" i="2670"/>
  <c r="H9" i="2670"/>
  <c r="I9" i="2670"/>
  <c r="K5" i="2670"/>
  <c r="L5" i="2670" s="1"/>
  <c r="M5" i="2670" s="1"/>
  <c r="I5" i="2670"/>
  <c r="H5" i="2670" s="1"/>
  <c r="K3" i="2670"/>
  <c r="L3" i="2670" s="1"/>
  <c r="M3" i="2670" s="1"/>
  <c r="I3" i="2670"/>
  <c r="H3" i="2670" s="1"/>
  <c r="K27" i="2670"/>
  <c r="L27" i="2670" s="1"/>
  <c r="M27" i="2670" s="1"/>
  <c r="I27" i="2670"/>
  <c r="H27" i="2670" s="1"/>
  <c r="K17" i="2670"/>
  <c r="L17" i="2670" s="1"/>
  <c r="M17" i="2670" s="1"/>
  <c r="I17" i="2670"/>
  <c r="H17" i="2670" s="1"/>
  <c r="K15" i="2670"/>
  <c r="L15" i="2670" s="1"/>
  <c r="M15" i="2670" s="1"/>
  <c r="I15" i="2670"/>
  <c r="H15" i="2670" s="1"/>
  <c r="L13" i="2670"/>
  <c r="M13" i="2670" s="1"/>
  <c r="K13" i="2670"/>
  <c r="I13" i="2670"/>
  <c r="H13" i="2670"/>
  <c r="K7" i="2670"/>
  <c r="L7" i="2670" s="1"/>
  <c r="M7" i="2670" s="1"/>
  <c r="I7" i="2670"/>
  <c r="H7" i="2670" s="1"/>
  <c r="H11" i="2669"/>
  <c r="K25" i="2669"/>
  <c r="L25" i="2669" s="1"/>
  <c r="M25" i="2669" s="1"/>
  <c r="I25" i="2669"/>
  <c r="H25" i="2669" s="1"/>
  <c r="K23" i="2669"/>
  <c r="L23" i="2669" s="1"/>
  <c r="M23" i="2669" s="1"/>
  <c r="I23" i="2669"/>
  <c r="H23" i="2669" s="1"/>
  <c r="K19" i="2669"/>
  <c r="L19" i="2669" s="1"/>
  <c r="M19" i="2669" s="1"/>
  <c r="I19" i="2669"/>
  <c r="H19" i="2669" s="1"/>
  <c r="I9" i="2669"/>
  <c r="H9" i="2669" s="1"/>
  <c r="K9" i="2669"/>
  <c r="L9" i="2669" s="1"/>
  <c r="M9" i="2669" s="1"/>
  <c r="I7" i="2669"/>
  <c r="H7" i="2669" s="1"/>
  <c r="K7" i="2669"/>
  <c r="L7" i="2669" s="1"/>
  <c r="M7" i="2669" s="1"/>
  <c r="K5" i="2669"/>
  <c r="L5" i="2669" s="1"/>
  <c r="M5" i="2669" s="1"/>
  <c r="I5" i="2669"/>
  <c r="H5" i="2669" s="1"/>
  <c r="K17" i="2669"/>
  <c r="L17" i="2669" s="1"/>
  <c r="M17" i="2669" s="1"/>
  <c r="I17" i="2669"/>
  <c r="H17" i="2669" s="1"/>
  <c r="K15" i="2669"/>
  <c r="L15" i="2669" s="1"/>
  <c r="M15" i="2669" s="1"/>
  <c r="I15" i="2669"/>
  <c r="H15" i="2669" s="1"/>
  <c r="K13" i="2669"/>
  <c r="L13" i="2669" s="1"/>
  <c r="M13" i="2669" s="1"/>
  <c r="I13" i="2669"/>
  <c r="H13" i="2669" s="1"/>
  <c r="K11" i="2669"/>
  <c r="L11" i="2669" s="1"/>
  <c r="M11" i="2669" s="1"/>
  <c r="I11" i="2669"/>
  <c r="K3" i="2669"/>
  <c r="L3" i="2669" s="1"/>
  <c r="M3" i="2669" s="1"/>
  <c r="I3" i="2669"/>
  <c r="H3" i="2669" s="1"/>
  <c r="K21" i="2668"/>
  <c r="L21" i="2668" s="1"/>
  <c r="M21" i="2668" s="1"/>
  <c r="I21" i="2668"/>
  <c r="H21" i="2668" s="1"/>
  <c r="H19" i="2668"/>
  <c r="L19" i="2668"/>
  <c r="M19" i="2668"/>
  <c r="K19" i="2668"/>
  <c r="I19" i="2668"/>
  <c r="K9" i="2668"/>
  <c r="L9" i="2668" s="1"/>
  <c r="M9" i="2668" s="1"/>
  <c r="I9" i="2668"/>
  <c r="H9" i="2668" s="1"/>
  <c r="K5" i="2668"/>
  <c r="L5" i="2668" s="1"/>
  <c r="M5" i="2668" s="1"/>
  <c r="I5" i="2668"/>
  <c r="H5" i="2668" s="1"/>
  <c r="K25" i="2668"/>
  <c r="L25" i="2668" s="1"/>
  <c r="M25" i="2668" s="1"/>
  <c r="I25" i="2668"/>
  <c r="H25" i="2668" s="1"/>
  <c r="K23" i="2668"/>
  <c r="L23" i="2668" s="1"/>
  <c r="M23" i="2668" s="1"/>
  <c r="I23" i="2668"/>
  <c r="H23" i="2668" s="1"/>
  <c r="K17" i="2668"/>
  <c r="L17" i="2668" s="1"/>
  <c r="M17" i="2668" s="1"/>
  <c r="I17" i="2668"/>
  <c r="H17" i="2668" s="1"/>
  <c r="K15" i="2668"/>
  <c r="L15" i="2668" s="1"/>
  <c r="M15" i="2668" s="1"/>
  <c r="I15" i="2668"/>
  <c r="H15" i="2668" s="1"/>
  <c r="K13" i="2668"/>
  <c r="L13" i="2668" s="1"/>
  <c r="M13" i="2668" s="1"/>
  <c r="I13" i="2668"/>
  <c r="H13" i="2668"/>
  <c r="K11" i="2668"/>
  <c r="L11" i="2668" s="1"/>
  <c r="M11" i="2668" s="1"/>
  <c r="I11" i="2668"/>
  <c r="H11" i="2668" s="1"/>
  <c r="K7" i="2668"/>
  <c r="L7" i="2668" s="1"/>
  <c r="M7" i="2668" s="1"/>
  <c r="I7" i="2668"/>
  <c r="H7" i="2668"/>
  <c r="K3" i="2668"/>
  <c r="L3" i="2668" s="1"/>
  <c r="M3" i="2668" s="1"/>
  <c r="I3" i="2668"/>
  <c r="H3" i="2668" s="1"/>
  <c r="K25" i="2667" l="1"/>
  <c r="M25" i="2667" s="1"/>
  <c r="I25" i="2667"/>
  <c r="H25" i="2667" s="1"/>
  <c r="K33" i="2667"/>
  <c r="I33" i="2667"/>
  <c r="H33" i="2667" s="1"/>
  <c r="K31" i="2667"/>
  <c r="I31" i="2667"/>
  <c r="H31" i="2667" s="1"/>
  <c r="K29" i="2667"/>
  <c r="I29" i="2667"/>
  <c r="H29" i="2667" s="1"/>
  <c r="K19" i="2667"/>
  <c r="I19" i="2667"/>
  <c r="H19" i="2667" s="1"/>
  <c r="K21" i="2667"/>
  <c r="I21" i="2667"/>
  <c r="H21" i="2667" s="1"/>
  <c r="M19" i="2667" l="1"/>
  <c r="K9" i="2667"/>
  <c r="M9" i="2667" s="1"/>
  <c r="I9" i="2667"/>
  <c r="H9" i="2667" s="1"/>
  <c r="K5" i="2667"/>
  <c r="I5" i="2667"/>
  <c r="H5" i="2667" s="1"/>
  <c r="K35" i="2667"/>
  <c r="I35" i="2667"/>
  <c r="H35" i="2667" s="1"/>
  <c r="M33" i="2667"/>
  <c r="M31" i="2667"/>
  <c r="M29" i="2667"/>
  <c r="K27" i="2667"/>
  <c r="I27" i="2667"/>
  <c r="H27" i="2667"/>
  <c r="M21" i="2667"/>
  <c r="K17" i="2667"/>
  <c r="M17" i="2667" s="1"/>
  <c r="I17" i="2667"/>
  <c r="H17" i="2667" s="1"/>
  <c r="K15" i="2667"/>
  <c r="M15" i="2667" s="1"/>
  <c r="I15" i="2667"/>
  <c r="H15" i="2667" s="1"/>
  <c r="K13" i="2667"/>
  <c r="M13" i="2667" s="1"/>
  <c r="I13" i="2667"/>
  <c r="H13" i="2667" s="1"/>
  <c r="K11" i="2667"/>
  <c r="M11" i="2667" s="1"/>
  <c r="I11" i="2667"/>
  <c r="H11" i="2667" s="1"/>
  <c r="K7" i="2667"/>
  <c r="M7" i="2667" s="1"/>
  <c r="I7" i="2667"/>
  <c r="H7" i="2667" s="1"/>
  <c r="K3" i="2667"/>
  <c r="M3" i="2667" s="1"/>
  <c r="I3" i="2667"/>
  <c r="H3" i="2667" s="1"/>
  <c r="L29" i="2663"/>
  <c r="K29" i="2663"/>
  <c r="H29" i="2663"/>
  <c r="I29" i="2663"/>
  <c r="L27" i="2663"/>
  <c r="K27" i="2663"/>
  <c r="H27" i="2663"/>
  <c r="I27" i="2663"/>
  <c r="L25" i="2663"/>
  <c r="K25" i="2663"/>
  <c r="H25" i="2663"/>
  <c r="I25" i="2663"/>
  <c r="K19" i="2663"/>
  <c r="L31" i="2666"/>
  <c r="K31" i="2666"/>
  <c r="H31" i="2666"/>
  <c r="I31" i="2666"/>
  <c r="K29" i="2666"/>
  <c r="L29" i="2666" s="1"/>
  <c r="M29" i="2666" s="1"/>
  <c r="I29" i="2666"/>
  <c r="H29" i="2666" s="1"/>
  <c r="K27" i="2666"/>
  <c r="L27" i="2666" s="1"/>
  <c r="I27" i="2666"/>
  <c r="H27" i="2666" s="1"/>
  <c r="K25" i="2666"/>
  <c r="L25" i="2666" s="1"/>
  <c r="I25" i="2666"/>
  <c r="H25" i="2666" s="1"/>
  <c r="K11" i="2666"/>
  <c r="L11" i="2666" s="1"/>
  <c r="H11" i="2666"/>
  <c r="I11" i="2666"/>
  <c r="K9" i="2666"/>
  <c r="L9" i="2666" s="1"/>
  <c r="I9" i="2666"/>
  <c r="H9" i="2666" s="1"/>
  <c r="K17" i="2666"/>
  <c r="L17" i="2666" s="1"/>
  <c r="I17" i="2666"/>
  <c r="H17" i="2666" s="1"/>
  <c r="K15" i="2666"/>
  <c r="L15" i="2666" s="1"/>
  <c r="I15" i="2666"/>
  <c r="H15" i="2666" s="1"/>
  <c r="K13" i="2666"/>
  <c r="L13" i="2666" s="1"/>
  <c r="I13" i="2666"/>
  <c r="H13" i="2666" s="1"/>
  <c r="K7" i="2666"/>
  <c r="L7" i="2666" s="1"/>
  <c r="I7" i="2666"/>
  <c r="H7" i="2666" s="1"/>
  <c r="K5" i="2666"/>
  <c r="L5" i="2666" s="1"/>
  <c r="I5" i="2666"/>
  <c r="H5" i="2666"/>
  <c r="K3" i="2666"/>
  <c r="L3" i="2666" s="1"/>
  <c r="I3" i="2666"/>
  <c r="H3" i="2666" s="1"/>
  <c r="L35" i="2665"/>
  <c r="K35" i="2665"/>
  <c r="H35" i="2665"/>
  <c r="I35" i="2665"/>
  <c r="H33" i="2665"/>
  <c r="L33" i="2665"/>
  <c r="K33" i="2665"/>
  <c r="I33" i="2665"/>
  <c r="L31" i="2665"/>
  <c r="H31" i="2665"/>
  <c r="K31" i="2665"/>
  <c r="I31" i="2665"/>
  <c r="L29" i="2665"/>
  <c r="K29" i="2665"/>
  <c r="H29" i="2665"/>
  <c r="I29" i="2665"/>
  <c r="L13" i="2665"/>
  <c r="M13" i="2665" s="1"/>
  <c r="K13" i="2665"/>
  <c r="H13" i="2665"/>
  <c r="I13" i="2665"/>
  <c r="M39" i="2665"/>
  <c r="K11" i="2665"/>
  <c r="L11" i="2665" s="1"/>
  <c r="M11" i="2665" s="1"/>
  <c r="I11" i="2665"/>
  <c r="H11" i="2665" s="1"/>
  <c r="K15" i="2665"/>
  <c r="L15" i="2665" s="1"/>
  <c r="K9" i="2665"/>
  <c r="L9" i="2665" s="1"/>
  <c r="M9" i="2665" s="1"/>
  <c r="I9" i="2665"/>
  <c r="H9" i="2665" s="1"/>
  <c r="K27" i="2665"/>
  <c r="L27" i="2665" s="1"/>
  <c r="I27" i="2665"/>
  <c r="H27" i="2665" s="1"/>
  <c r="M5" i="2667" l="1"/>
  <c r="M27" i="2667"/>
  <c r="K37" i="2665"/>
  <c r="L37" i="2665" s="1"/>
  <c r="M37" i="2665" s="1"/>
  <c r="I37" i="2665"/>
  <c r="H37" i="2665" s="1"/>
  <c r="M35" i="2665"/>
  <c r="M33" i="2665"/>
  <c r="M31" i="2665"/>
  <c r="M29" i="2665"/>
  <c r="M27" i="2665"/>
  <c r="K23" i="2665"/>
  <c r="L23" i="2665" s="1"/>
  <c r="M23" i="2665" s="1"/>
  <c r="I23" i="2665"/>
  <c r="H23" i="2665" s="1"/>
  <c r="K21" i="2665"/>
  <c r="L21" i="2665" s="1"/>
  <c r="M21" i="2665" s="1"/>
  <c r="I21" i="2665"/>
  <c r="H21" i="2665" s="1"/>
  <c r="K19" i="2665"/>
  <c r="L19" i="2665" s="1"/>
  <c r="M19" i="2665" s="1"/>
  <c r="I19" i="2665"/>
  <c r="H19" i="2665" s="1"/>
  <c r="K17" i="2665"/>
  <c r="L17" i="2665" s="1"/>
  <c r="M17" i="2665" s="1"/>
  <c r="I17" i="2665"/>
  <c r="H17" i="2665" s="1"/>
  <c r="M15" i="2665"/>
  <c r="I15" i="2665"/>
  <c r="H15" i="2665" s="1"/>
  <c r="K7" i="2665"/>
  <c r="L7" i="2665" s="1"/>
  <c r="M7" i="2665" s="1"/>
  <c r="I7" i="2665"/>
  <c r="H7" i="2665" s="1"/>
  <c r="K5" i="2665"/>
  <c r="L5" i="2665" s="1"/>
  <c r="M5" i="2665" s="1"/>
  <c r="I5" i="2665"/>
  <c r="H5" i="2665" s="1"/>
  <c r="K3" i="2665"/>
  <c r="L3" i="2665" s="1"/>
  <c r="M3" i="2665" s="1"/>
  <c r="I3" i="2665"/>
  <c r="H3" i="2665" s="1"/>
  <c r="K33" i="2664" l="1"/>
  <c r="L33" i="2664" s="1"/>
  <c r="M33" i="2664" s="1"/>
  <c r="N33" i="2664" s="1"/>
  <c r="I33" i="2664"/>
  <c r="H33" i="2664" s="1"/>
  <c r="N31" i="2664"/>
  <c r="M31" i="2664"/>
  <c r="L31" i="2664"/>
  <c r="K31" i="2664"/>
  <c r="H31" i="2664"/>
  <c r="I31" i="2664"/>
  <c r="K25" i="2664"/>
  <c r="L25" i="2664" s="1"/>
  <c r="M25" i="2664" s="1"/>
  <c r="N25" i="2664" s="1"/>
  <c r="I25" i="2664"/>
  <c r="H25" i="2664" s="1"/>
  <c r="K11" i="2664"/>
  <c r="L11" i="2664" s="1"/>
  <c r="M11" i="2664" s="1"/>
  <c r="N11" i="2664" s="1"/>
  <c r="I11" i="2664"/>
  <c r="H11" i="2664" s="1"/>
  <c r="I9" i="2664"/>
  <c r="H9" i="2664" s="1"/>
  <c r="K9" i="2664"/>
  <c r="L9" i="2664" s="1"/>
  <c r="M9" i="2664" s="1"/>
  <c r="N9" i="2664" s="1"/>
  <c r="K5" i="2664"/>
  <c r="L5" i="2664" s="1"/>
  <c r="M5" i="2664" s="1"/>
  <c r="N5" i="2664" s="1"/>
  <c r="I5" i="2664"/>
  <c r="H5" i="2664" s="1"/>
  <c r="K29" i="2664"/>
  <c r="L29" i="2664" s="1"/>
  <c r="M29" i="2664" s="1"/>
  <c r="N29" i="2664" s="1"/>
  <c r="I29" i="2664"/>
  <c r="H29" i="2664"/>
  <c r="K27" i="2664"/>
  <c r="L27" i="2664" s="1"/>
  <c r="M27" i="2664" s="1"/>
  <c r="N27" i="2664" s="1"/>
  <c r="I27" i="2664"/>
  <c r="H27" i="2664" s="1"/>
  <c r="K23" i="2664"/>
  <c r="L23" i="2664" s="1"/>
  <c r="M23" i="2664" s="1"/>
  <c r="N23" i="2664" s="1"/>
  <c r="I23" i="2664"/>
  <c r="H23" i="2664" s="1"/>
  <c r="K21" i="2664"/>
  <c r="L21" i="2664" s="1"/>
  <c r="M21" i="2664" s="1"/>
  <c r="N21" i="2664" s="1"/>
  <c r="I21" i="2664"/>
  <c r="H21" i="2664"/>
  <c r="K19" i="2664"/>
  <c r="L19" i="2664" s="1"/>
  <c r="M19" i="2664" s="1"/>
  <c r="N19" i="2664" s="1"/>
  <c r="I19" i="2664"/>
  <c r="H19" i="2664" s="1"/>
  <c r="K17" i="2664"/>
  <c r="L17" i="2664" s="1"/>
  <c r="M17" i="2664" s="1"/>
  <c r="N17" i="2664" s="1"/>
  <c r="I17" i="2664"/>
  <c r="H17" i="2664" s="1"/>
  <c r="K15" i="2664"/>
  <c r="L15" i="2664" s="1"/>
  <c r="M15" i="2664" s="1"/>
  <c r="N15" i="2664" s="1"/>
  <c r="I15" i="2664"/>
  <c r="H15" i="2664" s="1"/>
  <c r="K13" i="2664"/>
  <c r="L13" i="2664" s="1"/>
  <c r="M13" i="2664" s="1"/>
  <c r="N13" i="2664" s="1"/>
  <c r="I13" i="2664"/>
  <c r="H13" i="2664" s="1"/>
  <c r="K7" i="2664"/>
  <c r="L7" i="2664" s="1"/>
  <c r="M7" i="2664" s="1"/>
  <c r="N7" i="2664" s="1"/>
  <c r="I7" i="2664"/>
  <c r="H7" i="2664" s="1"/>
  <c r="K3" i="2664"/>
  <c r="L3" i="2664" s="1"/>
  <c r="M3" i="2664" s="1"/>
  <c r="N3" i="2664" s="1"/>
  <c r="I3" i="2664"/>
  <c r="H3" i="2664" s="1"/>
  <c r="Q14" i="2663" l="1"/>
  <c r="Q13" i="2663"/>
  <c r="K31" i="2663"/>
  <c r="L31" i="2663" s="1"/>
  <c r="I31" i="2663"/>
  <c r="H31" i="2663" s="1"/>
  <c r="I19" i="2663" l="1"/>
  <c r="H19" i="2663" s="1"/>
  <c r="L19" i="2663"/>
  <c r="K9" i="2663"/>
  <c r="L9" i="2663" s="1"/>
  <c r="I9" i="2663"/>
  <c r="H9" i="2663" s="1"/>
  <c r="K5" i="2663"/>
  <c r="L5" i="2663" s="1"/>
  <c r="I5" i="2663"/>
  <c r="H5" i="2663" s="1"/>
  <c r="M29" i="2663" l="1"/>
  <c r="M27" i="2663"/>
  <c r="M25" i="2663"/>
  <c r="K23" i="2663"/>
  <c r="L23" i="2663" s="1"/>
  <c r="M23" i="2663" s="1"/>
  <c r="I23" i="2663"/>
  <c r="H23" i="2663" s="1"/>
  <c r="M19" i="2663"/>
  <c r="K17" i="2663"/>
  <c r="L17" i="2663" s="1"/>
  <c r="M17" i="2663" s="1"/>
  <c r="I17" i="2663"/>
  <c r="H17" i="2663" s="1"/>
  <c r="K15" i="2663"/>
  <c r="L15" i="2663" s="1"/>
  <c r="M15" i="2663" s="1"/>
  <c r="I15" i="2663"/>
  <c r="H15" i="2663" s="1"/>
  <c r="K13" i="2663"/>
  <c r="L13" i="2663" s="1"/>
  <c r="M13" i="2663" s="1"/>
  <c r="I13" i="2663"/>
  <c r="H13" i="2663" s="1"/>
  <c r="K11" i="2663"/>
  <c r="L11" i="2663" s="1"/>
  <c r="M11" i="2663" s="1"/>
  <c r="I11" i="2663"/>
  <c r="H11" i="2663" s="1"/>
  <c r="M9" i="2663"/>
  <c r="K7" i="2663"/>
  <c r="L7" i="2663" s="1"/>
  <c r="M7" i="2663" s="1"/>
  <c r="I7" i="2663"/>
  <c r="H7" i="2663"/>
  <c r="M5" i="2663"/>
  <c r="K3" i="2663"/>
  <c r="L3" i="2663" s="1"/>
  <c r="M3" i="2663" s="1"/>
  <c r="I3" i="2663"/>
  <c r="H3" i="2663" s="1"/>
  <c r="K51" i="2662" l="1"/>
  <c r="L51" i="2662" s="1"/>
  <c r="M51" i="2662" s="1"/>
  <c r="N51" i="2662" s="1"/>
  <c r="I51" i="2662"/>
  <c r="H51" i="2662"/>
  <c r="K49" i="2662"/>
  <c r="L49" i="2662" s="1"/>
  <c r="M49" i="2662" s="1"/>
  <c r="N49" i="2662" s="1"/>
  <c r="I49" i="2662"/>
  <c r="H49" i="2662" s="1"/>
  <c r="N45" i="2662"/>
  <c r="M45" i="2662"/>
  <c r="L45" i="2662"/>
  <c r="K45" i="2662"/>
  <c r="H45" i="2662"/>
  <c r="I45" i="2662"/>
  <c r="N47" i="2662"/>
  <c r="M47" i="2662"/>
  <c r="L47" i="2662"/>
  <c r="H47" i="2662"/>
  <c r="I47" i="2662"/>
  <c r="K47" i="2662"/>
  <c r="K39" i="2662"/>
  <c r="L39" i="2662" s="1"/>
  <c r="M39" i="2662" s="1"/>
  <c r="N39" i="2662" s="1"/>
  <c r="I39" i="2662"/>
  <c r="H39" i="2662" s="1"/>
  <c r="K37" i="2662"/>
  <c r="L37" i="2662" s="1"/>
  <c r="M37" i="2662" s="1"/>
  <c r="N37" i="2662" s="1"/>
  <c r="I37" i="2662"/>
  <c r="H37" i="2662" s="1"/>
  <c r="K43" i="2662" l="1"/>
  <c r="L43" i="2662" s="1"/>
  <c r="M43" i="2662" s="1"/>
  <c r="N43" i="2662" s="1"/>
  <c r="I43" i="2662"/>
  <c r="H43" i="2662"/>
  <c r="K41" i="2662"/>
  <c r="L41" i="2662" s="1"/>
  <c r="M41" i="2662" s="1"/>
  <c r="N41" i="2662" s="1"/>
  <c r="I41" i="2662"/>
  <c r="H41" i="2662"/>
  <c r="K27" i="2662"/>
  <c r="L27" i="2662" s="1"/>
  <c r="M27" i="2662" s="1"/>
  <c r="N27" i="2662" s="1"/>
  <c r="I27" i="2662"/>
  <c r="H27" i="2662" s="1"/>
  <c r="K25" i="2662"/>
  <c r="L25" i="2662" s="1"/>
  <c r="M25" i="2662" s="1"/>
  <c r="N25" i="2662" s="1"/>
  <c r="I25" i="2662"/>
  <c r="H25" i="2662" s="1"/>
  <c r="K23" i="2662"/>
  <c r="L23" i="2662" s="1"/>
  <c r="M23" i="2662" s="1"/>
  <c r="N23" i="2662" s="1"/>
  <c r="I23" i="2662"/>
  <c r="H23" i="2662" s="1"/>
  <c r="K21" i="2662"/>
  <c r="L21" i="2662" s="1"/>
  <c r="M21" i="2662" s="1"/>
  <c r="N21" i="2662" s="1"/>
  <c r="I21" i="2662"/>
  <c r="H21" i="2662" s="1"/>
  <c r="K19" i="2662"/>
  <c r="L19" i="2662" s="1"/>
  <c r="M19" i="2662" s="1"/>
  <c r="N19" i="2662" s="1"/>
  <c r="I19" i="2662"/>
  <c r="H19" i="2662" s="1"/>
  <c r="K17" i="2662"/>
  <c r="L17" i="2662" s="1"/>
  <c r="M17" i="2662" s="1"/>
  <c r="N17" i="2662" s="1"/>
  <c r="I17" i="2662"/>
  <c r="H17" i="2662"/>
  <c r="K15" i="2662"/>
  <c r="L15" i="2662" s="1"/>
  <c r="M15" i="2662" s="1"/>
  <c r="N15" i="2662" s="1"/>
  <c r="I15" i="2662"/>
  <c r="H15" i="2662"/>
  <c r="K13" i="2662"/>
  <c r="L13" i="2662" s="1"/>
  <c r="M13" i="2662" s="1"/>
  <c r="N13" i="2662" s="1"/>
  <c r="I13" i="2662"/>
  <c r="H13" i="2662" s="1"/>
  <c r="K11" i="2662"/>
  <c r="L11" i="2662" s="1"/>
  <c r="M11" i="2662" s="1"/>
  <c r="N11" i="2662" s="1"/>
  <c r="I11" i="2662"/>
  <c r="H11" i="2662" s="1"/>
  <c r="K9" i="2662"/>
  <c r="L9" i="2662" s="1"/>
  <c r="M9" i="2662" s="1"/>
  <c r="N9" i="2662" s="1"/>
  <c r="I9" i="2662"/>
  <c r="H9" i="2662" s="1"/>
  <c r="K3" i="2662"/>
  <c r="L3" i="2662" s="1"/>
  <c r="M3" i="2662" s="1"/>
  <c r="N3" i="2662" s="1"/>
  <c r="I3" i="2662"/>
  <c r="H3" i="2662" s="1"/>
  <c r="H23" i="2661"/>
  <c r="K3" i="2661"/>
  <c r="L3" i="2661" s="1"/>
  <c r="I3" i="2661"/>
  <c r="H3" i="2661"/>
  <c r="K33" i="2661"/>
  <c r="L33" i="2661" s="1"/>
  <c r="I33" i="2661"/>
  <c r="H33" i="2661"/>
  <c r="K31" i="2661"/>
  <c r="L31" i="2661" s="1"/>
  <c r="I31" i="2661"/>
  <c r="H31" i="2661"/>
  <c r="K29" i="2661"/>
  <c r="L29" i="2661" s="1"/>
  <c r="I29" i="2661"/>
  <c r="H29" i="2661"/>
  <c r="K27" i="2661"/>
  <c r="L27" i="2661" s="1"/>
  <c r="I27" i="2661"/>
  <c r="H27" i="2661"/>
  <c r="K23" i="2661"/>
  <c r="L23" i="2661" s="1"/>
  <c r="I23" i="2661"/>
  <c r="K21" i="2661"/>
  <c r="L21" i="2661" s="1"/>
  <c r="I21" i="2661"/>
  <c r="H21" i="2661" s="1"/>
  <c r="K19" i="2661"/>
  <c r="L19" i="2661" s="1"/>
  <c r="I19" i="2661"/>
  <c r="H19" i="2661" s="1"/>
  <c r="K17" i="2661"/>
  <c r="L17" i="2661" s="1"/>
  <c r="I17" i="2661"/>
  <c r="H17" i="2661" s="1"/>
  <c r="K15" i="2661"/>
  <c r="L15" i="2661" s="1"/>
  <c r="I15" i="2661"/>
  <c r="H15" i="2661" s="1"/>
  <c r="K13" i="2661"/>
  <c r="L13" i="2661" s="1"/>
  <c r="I13" i="2661"/>
  <c r="H13" i="2661" s="1"/>
  <c r="K11" i="2661"/>
  <c r="L11" i="2661" s="1"/>
  <c r="I11" i="2661"/>
  <c r="H11" i="2661" s="1"/>
  <c r="K9" i="2661"/>
  <c r="L9" i="2661" s="1"/>
  <c r="I9" i="2661"/>
  <c r="H9" i="2661" s="1"/>
  <c r="K7" i="2661"/>
  <c r="L7" i="2661" s="1"/>
  <c r="I7" i="2661"/>
  <c r="H7" i="2661" s="1"/>
  <c r="K5" i="2661"/>
  <c r="L5" i="2661" s="1"/>
  <c r="I5" i="2661"/>
  <c r="H5" i="2661" s="1"/>
  <c r="N23" i="2659"/>
  <c r="M23" i="2659"/>
  <c r="L23" i="2659"/>
  <c r="K23" i="2659"/>
  <c r="H23" i="2659"/>
  <c r="I23" i="2659"/>
  <c r="K21" i="2659"/>
  <c r="L21" i="2659" s="1"/>
  <c r="M21" i="2659" s="1"/>
  <c r="N21" i="2659" s="1"/>
  <c r="I21" i="2659"/>
  <c r="H21" i="2659" s="1"/>
  <c r="K43" i="2659" l="1"/>
  <c r="L43" i="2659" s="1"/>
  <c r="M43" i="2659" s="1"/>
  <c r="N43" i="2659" s="1"/>
  <c r="I43" i="2659"/>
  <c r="H43" i="2659" s="1"/>
  <c r="K41" i="2659"/>
  <c r="L41" i="2659" s="1"/>
  <c r="M41" i="2659" s="1"/>
  <c r="N41" i="2659" s="1"/>
  <c r="I41" i="2659"/>
  <c r="H41" i="2659" s="1"/>
  <c r="K39" i="2659"/>
  <c r="L39" i="2659" s="1"/>
  <c r="M39" i="2659" s="1"/>
  <c r="N39" i="2659" s="1"/>
  <c r="I39" i="2659"/>
  <c r="H39" i="2659" s="1"/>
  <c r="K37" i="2659"/>
  <c r="L37" i="2659" s="1"/>
  <c r="M37" i="2659" s="1"/>
  <c r="N37" i="2659" s="1"/>
  <c r="I37" i="2659"/>
  <c r="H37" i="2659"/>
  <c r="K27" i="2659"/>
  <c r="L27" i="2659" s="1"/>
  <c r="M27" i="2659" s="1"/>
  <c r="N27" i="2659" s="1"/>
  <c r="I27" i="2659"/>
  <c r="H27" i="2659" s="1"/>
  <c r="K25" i="2659"/>
  <c r="L25" i="2659" s="1"/>
  <c r="M25" i="2659" s="1"/>
  <c r="N25" i="2659" s="1"/>
  <c r="I25" i="2659"/>
  <c r="H25" i="2659"/>
  <c r="K19" i="2659"/>
  <c r="L19" i="2659" s="1"/>
  <c r="M19" i="2659" s="1"/>
  <c r="N19" i="2659" s="1"/>
  <c r="I19" i="2659"/>
  <c r="H19" i="2659"/>
  <c r="K17" i="2659"/>
  <c r="L17" i="2659" s="1"/>
  <c r="M17" i="2659" s="1"/>
  <c r="N17" i="2659" s="1"/>
  <c r="I17" i="2659"/>
  <c r="H17" i="2659"/>
  <c r="K15" i="2659"/>
  <c r="L15" i="2659" s="1"/>
  <c r="M15" i="2659" s="1"/>
  <c r="N15" i="2659" s="1"/>
  <c r="I15" i="2659"/>
  <c r="H15" i="2659"/>
  <c r="K13" i="2659"/>
  <c r="L13" i="2659" s="1"/>
  <c r="M13" i="2659" s="1"/>
  <c r="N13" i="2659" s="1"/>
  <c r="I13" i="2659"/>
  <c r="H13" i="2659"/>
  <c r="K11" i="2659"/>
  <c r="L11" i="2659" s="1"/>
  <c r="M11" i="2659" s="1"/>
  <c r="N11" i="2659" s="1"/>
  <c r="I11" i="2659"/>
  <c r="H11" i="2659"/>
  <c r="K9" i="2659"/>
  <c r="L9" i="2659" s="1"/>
  <c r="M9" i="2659" s="1"/>
  <c r="N9" i="2659" s="1"/>
  <c r="I9" i="2659"/>
  <c r="H9" i="2659"/>
  <c r="K3" i="2659"/>
  <c r="L3" i="2659" s="1"/>
  <c r="M3" i="2659" s="1"/>
  <c r="N3" i="2659" s="1"/>
  <c r="I3" i="2659"/>
  <c r="H3" i="2659"/>
  <c r="O15" i="2649"/>
  <c r="O14" i="2649"/>
  <c r="M3" i="2649"/>
  <c r="M5" i="2649"/>
  <c r="M7" i="2649"/>
  <c r="M9" i="2649"/>
  <c r="M11" i="2649"/>
  <c r="M13" i="2649"/>
  <c r="M15" i="2649"/>
  <c r="M17" i="2649"/>
  <c r="M19" i="2649"/>
  <c r="M21" i="2649"/>
  <c r="M23" i="2649"/>
  <c r="M25" i="2649"/>
  <c r="K43" i="2658"/>
  <c r="L43" i="2658" s="1"/>
  <c r="M43" i="2658" s="1"/>
  <c r="N43" i="2658" s="1"/>
  <c r="I43" i="2658"/>
  <c r="H43" i="2658" s="1"/>
  <c r="K41" i="2658"/>
  <c r="L41" i="2658" s="1"/>
  <c r="M41" i="2658" s="1"/>
  <c r="N41" i="2658" s="1"/>
  <c r="I41" i="2658"/>
  <c r="H41" i="2658" s="1"/>
  <c r="K39" i="2658"/>
  <c r="L39" i="2658" s="1"/>
  <c r="M39" i="2658" s="1"/>
  <c r="N39" i="2658" s="1"/>
  <c r="I39" i="2658"/>
  <c r="H39" i="2658" s="1"/>
  <c r="M37" i="2658"/>
  <c r="N37" i="2658" s="1"/>
  <c r="L37" i="2658"/>
  <c r="K37" i="2658"/>
  <c r="I37" i="2658"/>
  <c r="H37" i="2658"/>
  <c r="K27" i="2658"/>
  <c r="L27" i="2658" s="1"/>
  <c r="M27" i="2658" s="1"/>
  <c r="N27" i="2658" s="1"/>
  <c r="I27" i="2658"/>
  <c r="H27" i="2658" s="1"/>
  <c r="K25" i="2658"/>
  <c r="L25" i="2658" s="1"/>
  <c r="M25" i="2658" s="1"/>
  <c r="N25" i="2658" s="1"/>
  <c r="I25" i="2658"/>
  <c r="H25" i="2658"/>
  <c r="K23" i="2658"/>
  <c r="L23" i="2658" s="1"/>
  <c r="M23" i="2658" s="1"/>
  <c r="N23" i="2658" s="1"/>
  <c r="I23" i="2658"/>
  <c r="H23" i="2658" s="1"/>
  <c r="K21" i="2658"/>
  <c r="L21" i="2658" s="1"/>
  <c r="M21" i="2658" s="1"/>
  <c r="N21" i="2658" s="1"/>
  <c r="I21" i="2658"/>
  <c r="H21" i="2658" s="1"/>
  <c r="K19" i="2658"/>
  <c r="L19" i="2658" s="1"/>
  <c r="M19" i="2658" s="1"/>
  <c r="N19" i="2658" s="1"/>
  <c r="I19" i="2658"/>
  <c r="H19" i="2658" s="1"/>
  <c r="K17" i="2658"/>
  <c r="L17" i="2658" s="1"/>
  <c r="M17" i="2658" s="1"/>
  <c r="N17" i="2658" s="1"/>
  <c r="I17" i="2658"/>
  <c r="H17" i="2658"/>
  <c r="K15" i="2658"/>
  <c r="L15" i="2658" s="1"/>
  <c r="M15" i="2658" s="1"/>
  <c r="N15" i="2658" s="1"/>
  <c r="I15" i="2658"/>
  <c r="H15" i="2658"/>
  <c r="K13" i="2658"/>
  <c r="L13" i="2658" s="1"/>
  <c r="M13" i="2658" s="1"/>
  <c r="N13" i="2658" s="1"/>
  <c r="I13" i="2658"/>
  <c r="H13" i="2658" s="1"/>
  <c r="K11" i="2658"/>
  <c r="L11" i="2658" s="1"/>
  <c r="M11" i="2658" s="1"/>
  <c r="N11" i="2658" s="1"/>
  <c r="I11" i="2658"/>
  <c r="H11" i="2658" s="1"/>
  <c r="K9" i="2658"/>
  <c r="L9" i="2658" s="1"/>
  <c r="M9" i="2658" s="1"/>
  <c r="N9" i="2658" s="1"/>
  <c r="I9" i="2658"/>
  <c r="H9" i="2658"/>
  <c r="K3" i="2658"/>
  <c r="L3" i="2658" s="1"/>
  <c r="M3" i="2658" s="1"/>
  <c r="N3" i="2658" s="1"/>
  <c r="I3" i="2658"/>
  <c r="H3" i="2658"/>
  <c r="K23" i="2657"/>
  <c r="L23" i="2657" s="1"/>
  <c r="M23" i="2657" s="1"/>
  <c r="N23" i="2657" s="1"/>
  <c r="I23" i="2657"/>
  <c r="H23" i="2657" s="1"/>
  <c r="K43" i="2657"/>
  <c r="L43" i="2657" s="1"/>
  <c r="M43" i="2657" s="1"/>
  <c r="N43" i="2657" s="1"/>
  <c r="I43" i="2657"/>
  <c r="H43" i="2657" s="1"/>
  <c r="K41" i="2657"/>
  <c r="L41" i="2657" s="1"/>
  <c r="M41" i="2657" s="1"/>
  <c r="N41" i="2657" s="1"/>
  <c r="I41" i="2657"/>
  <c r="H41" i="2657" s="1"/>
  <c r="K39" i="2657"/>
  <c r="L39" i="2657" s="1"/>
  <c r="M39" i="2657" s="1"/>
  <c r="N39" i="2657" s="1"/>
  <c r="I39" i="2657"/>
  <c r="H39" i="2657" s="1"/>
  <c r="K37" i="2657"/>
  <c r="L37" i="2657" s="1"/>
  <c r="M37" i="2657" s="1"/>
  <c r="N37" i="2657" s="1"/>
  <c r="I37" i="2657"/>
  <c r="H37" i="2657"/>
  <c r="K27" i="2657"/>
  <c r="L27" i="2657" s="1"/>
  <c r="M27" i="2657" s="1"/>
  <c r="N27" i="2657" s="1"/>
  <c r="I27" i="2657"/>
  <c r="H27" i="2657"/>
  <c r="L25" i="2657"/>
  <c r="M25" i="2657" s="1"/>
  <c r="N25" i="2657" s="1"/>
  <c r="K25" i="2657"/>
  <c r="I25" i="2657"/>
  <c r="H25" i="2657" s="1"/>
  <c r="K21" i="2657"/>
  <c r="L21" i="2657" s="1"/>
  <c r="M21" i="2657" s="1"/>
  <c r="N21" i="2657" s="1"/>
  <c r="I21" i="2657"/>
  <c r="H21" i="2657"/>
  <c r="K19" i="2657"/>
  <c r="L19" i="2657" s="1"/>
  <c r="M19" i="2657" s="1"/>
  <c r="N19" i="2657" s="1"/>
  <c r="I19" i="2657"/>
  <c r="H19" i="2657"/>
  <c r="K17" i="2657"/>
  <c r="L17" i="2657" s="1"/>
  <c r="M17" i="2657" s="1"/>
  <c r="N17" i="2657" s="1"/>
  <c r="I17" i="2657"/>
  <c r="H17" i="2657"/>
  <c r="K15" i="2657"/>
  <c r="L15" i="2657" s="1"/>
  <c r="M15" i="2657" s="1"/>
  <c r="N15" i="2657" s="1"/>
  <c r="I15" i="2657"/>
  <c r="H15" i="2657" s="1"/>
  <c r="K13" i="2657"/>
  <c r="L13" i="2657" s="1"/>
  <c r="M13" i="2657" s="1"/>
  <c r="N13" i="2657" s="1"/>
  <c r="I13" i="2657"/>
  <c r="H13" i="2657" s="1"/>
  <c r="K11" i="2657"/>
  <c r="L11" i="2657" s="1"/>
  <c r="M11" i="2657" s="1"/>
  <c r="N11" i="2657" s="1"/>
  <c r="I11" i="2657"/>
  <c r="H11" i="2657" s="1"/>
  <c r="L9" i="2657"/>
  <c r="M9" i="2657" s="1"/>
  <c r="N9" i="2657" s="1"/>
  <c r="K9" i="2657"/>
  <c r="I9" i="2657"/>
  <c r="H9" i="2657" s="1"/>
  <c r="K3" i="2657"/>
  <c r="L3" i="2657" s="1"/>
  <c r="M3" i="2657" s="1"/>
  <c r="N3" i="2657" s="1"/>
  <c r="I3" i="2657"/>
  <c r="H3" i="2657"/>
  <c r="K43" i="2656" l="1"/>
  <c r="L43" i="2656" s="1"/>
  <c r="M43" i="2656" s="1"/>
  <c r="N43" i="2656" s="1"/>
  <c r="I43" i="2656"/>
  <c r="H43" i="2656"/>
  <c r="K41" i="2656"/>
  <c r="L41" i="2656" s="1"/>
  <c r="M41" i="2656" s="1"/>
  <c r="N41" i="2656" s="1"/>
  <c r="I41" i="2656"/>
  <c r="H41" i="2656"/>
  <c r="K39" i="2656"/>
  <c r="L39" i="2656" s="1"/>
  <c r="M39" i="2656" s="1"/>
  <c r="N39" i="2656" s="1"/>
  <c r="I39" i="2656"/>
  <c r="H39" i="2656"/>
  <c r="K37" i="2656"/>
  <c r="L37" i="2656" s="1"/>
  <c r="M37" i="2656" s="1"/>
  <c r="N37" i="2656" s="1"/>
  <c r="I37" i="2656"/>
  <c r="H37" i="2656"/>
  <c r="K27" i="2656"/>
  <c r="L27" i="2656" s="1"/>
  <c r="M27" i="2656" s="1"/>
  <c r="N27" i="2656" s="1"/>
  <c r="I27" i="2656"/>
  <c r="H27" i="2656" s="1"/>
  <c r="K25" i="2656"/>
  <c r="L25" i="2656" s="1"/>
  <c r="M25" i="2656" s="1"/>
  <c r="N25" i="2656" s="1"/>
  <c r="I25" i="2656"/>
  <c r="H25" i="2656" s="1"/>
  <c r="K23" i="2656"/>
  <c r="L23" i="2656" s="1"/>
  <c r="M23" i="2656" s="1"/>
  <c r="N23" i="2656" s="1"/>
  <c r="I23" i="2656"/>
  <c r="H23" i="2656"/>
  <c r="K21" i="2656"/>
  <c r="L21" i="2656" s="1"/>
  <c r="M21" i="2656" s="1"/>
  <c r="N21" i="2656" s="1"/>
  <c r="I21" i="2656"/>
  <c r="H21" i="2656"/>
  <c r="K19" i="2656"/>
  <c r="L19" i="2656" s="1"/>
  <c r="M19" i="2656" s="1"/>
  <c r="N19" i="2656" s="1"/>
  <c r="I19" i="2656"/>
  <c r="H19" i="2656"/>
  <c r="K17" i="2656"/>
  <c r="L17" i="2656" s="1"/>
  <c r="M17" i="2656" s="1"/>
  <c r="N17" i="2656" s="1"/>
  <c r="I17" i="2656"/>
  <c r="H17" i="2656"/>
  <c r="K15" i="2656"/>
  <c r="L15" i="2656" s="1"/>
  <c r="M15" i="2656" s="1"/>
  <c r="N15" i="2656" s="1"/>
  <c r="I15" i="2656"/>
  <c r="H15" i="2656" s="1"/>
  <c r="K13" i="2656"/>
  <c r="L13" i="2656" s="1"/>
  <c r="M13" i="2656" s="1"/>
  <c r="N13" i="2656" s="1"/>
  <c r="I13" i="2656"/>
  <c r="H13" i="2656"/>
  <c r="K11" i="2656"/>
  <c r="L11" i="2656" s="1"/>
  <c r="M11" i="2656" s="1"/>
  <c r="N11" i="2656" s="1"/>
  <c r="I11" i="2656"/>
  <c r="H11" i="2656"/>
  <c r="K9" i="2656"/>
  <c r="L9" i="2656" s="1"/>
  <c r="M9" i="2656" s="1"/>
  <c r="N9" i="2656" s="1"/>
  <c r="I9" i="2656"/>
  <c r="H9" i="2656"/>
  <c r="K3" i="2656"/>
  <c r="L3" i="2656" s="1"/>
  <c r="M3" i="2656" s="1"/>
  <c r="N3" i="2656" s="1"/>
  <c r="I3" i="2656"/>
  <c r="H3" i="2656"/>
  <c r="M25" i="2655" l="1"/>
  <c r="L25" i="2655"/>
  <c r="K25" i="2655"/>
  <c r="H25" i="2655"/>
  <c r="I25" i="2655"/>
  <c r="L21" i="2655"/>
  <c r="M21" i="2655" s="1"/>
  <c r="K21" i="2655"/>
  <c r="I21" i="2655"/>
  <c r="H21" i="2655" s="1"/>
  <c r="K9" i="2655"/>
  <c r="L9" i="2655" s="1"/>
  <c r="M9" i="2655" s="1"/>
  <c r="I9" i="2655"/>
  <c r="H9" i="2655" s="1"/>
  <c r="L23" i="2655"/>
  <c r="M23" i="2655" s="1"/>
  <c r="K23" i="2655"/>
  <c r="I23" i="2655"/>
  <c r="H23" i="2655"/>
  <c r="K19" i="2655"/>
  <c r="L19" i="2655" s="1"/>
  <c r="M19" i="2655" s="1"/>
  <c r="I19" i="2655"/>
  <c r="H19" i="2655" s="1"/>
  <c r="K17" i="2655"/>
  <c r="L17" i="2655" s="1"/>
  <c r="M17" i="2655" s="1"/>
  <c r="I17" i="2655"/>
  <c r="H17" i="2655"/>
  <c r="K15" i="2655"/>
  <c r="L15" i="2655" s="1"/>
  <c r="M15" i="2655" s="1"/>
  <c r="I15" i="2655"/>
  <c r="H15" i="2655"/>
  <c r="L13" i="2655"/>
  <c r="M13" i="2655" s="1"/>
  <c r="K13" i="2655"/>
  <c r="I13" i="2655"/>
  <c r="H13" i="2655" s="1"/>
  <c r="K11" i="2655"/>
  <c r="L11" i="2655" s="1"/>
  <c r="M11" i="2655" s="1"/>
  <c r="I11" i="2655"/>
  <c r="H11" i="2655" s="1"/>
  <c r="K7" i="2655"/>
  <c r="L7" i="2655" s="1"/>
  <c r="M7" i="2655" s="1"/>
  <c r="I7" i="2655"/>
  <c r="H7" i="2655"/>
  <c r="K5" i="2655"/>
  <c r="L5" i="2655" s="1"/>
  <c r="M5" i="2655" s="1"/>
  <c r="I5" i="2655"/>
  <c r="H5" i="2655" s="1"/>
  <c r="K3" i="2655"/>
  <c r="L3" i="2655" s="1"/>
  <c r="M3" i="2655" s="1"/>
  <c r="I3" i="2655"/>
  <c r="H3" i="2655" s="1"/>
  <c r="H15" i="2654"/>
  <c r="I15" i="2654"/>
  <c r="L15" i="2654"/>
  <c r="L13" i="2654"/>
  <c r="L23" i="2654"/>
  <c r="M23" i="2654" s="1"/>
  <c r="K23" i="2654"/>
  <c r="I23" i="2654"/>
  <c r="H23" i="2654" s="1"/>
  <c r="M21" i="2654"/>
  <c r="M17" i="2654"/>
  <c r="M15" i="2654"/>
  <c r="M13" i="2654"/>
  <c r="M11" i="2654"/>
  <c r="K21" i="2654"/>
  <c r="L21" i="2654" s="1"/>
  <c r="I21" i="2654"/>
  <c r="H21" i="2654"/>
  <c r="K19" i="2654"/>
  <c r="L19" i="2654" s="1"/>
  <c r="M19" i="2654" s="1"/>
  <c r="I19" i="2654"/>
  <c r="H19" i="2654"/>
  <c r="K17" i="2654"/>
  <c r="L17" i="2654" s="1"/>
  <c r="I17" i="2654"/>
  <c r="H17" i="2654" s="1"/>
  <c r="K15" i="2654"/>
  <c r="K13" i="2654"/>
  <c r="I13" i="2654"/>
  <c r="H13" i="2654" s="1"/>
  <c r="K11" i="2654"/>
  <c r="L11" i="2654" s="1"/>
  <c r="I11" i="2654"/>
  <c r="H11" i="2654" s="1"/>
  <c r="K9" i="2654"/>
  <c r="L9" i="2654" s="1"/>
  <c r="M9" i="2654" s="1"/>
  <c r="I9" i="2654"/>
  <c r="H9" i="2654"/>
  <c r="K7" i="2654"/>
  <c r="L7" i="2654" s="1"/>
  <c r="M7" i="2654" s="1"/>
  <c r="I7" i="2654"/>
  <c r="H7" i="2654" s="1"/>
  <c r="K5" i="2654"/>
  <c r="L5" i="2654" s="1"/>
  <c r="M5" i="2654" s="1"/>
  <c r="I5" i="2654"/>
  <c r="H5" i="2654" s="1"/>
  <c r="K3" i="2654"/>
  <c r="L3" i="2654" s="1"/>
  <c r="M3" i="2654" s="1"/>
  <c r="I3" i="2654"/>
  <c r="H3" i="2654" s="1"/>
  <c r="N27" i="2653"/>
  <c r="M27" i="2653"/>
  <c r="L27" i="2653"/>
  <c r="K27" i="2653"/>
  <c r="H27" i="2653"/>
  <c r="I27" i="2653"/>
  <c r="N25" i="2653"/>
  <c r="M25" i="2653"/>
  <c r="L25" i="2653"/>
  <c r="K25" i="2653"/>
  <c r="H25" i="2653"/>
  <c r="I25" i="2653"/>
  <c r="N23" i="2653"/>
  <c r="M23" i="2653"/>
  <c r="L23" i="2653"/>
  <c r="K23" i="2653"/>
  <c r="H23" i="2653"/>
  <c r="I23" i="2653"/>
  <c r="M11" i="2653"/>
  <c r="N19" i="2653"/>
  <c r="N17" i="2653"/>
  <c r="N9" i="2653"/>
  <c r="N7" i="2653"/>
  <c r="N5" i="2653"/>
  <c r="N3" i="2653"/>
  <c r="K3" i="2653"/>
  <c r="L3" i="2653" s="1"/>
  <c r="M3" i="2653" s="1"/>
  <c r="H3" i="2653"/>
  <c r="I3" i="2653"/>
  <c r="K21" i="2653"/>
  <c r="L21" i="2653" s="1"/>
  <c r="M21" i="2653" s="1"/>
  <c r="N21" i="2653" s="1"/>
  <c r="I21" i="2653"/>
  <c r="H21" i="2653" s="1"/>
  <c r="K19" i="2653"/>
  <c r="L19" i="2653" s="1"/>
  <c r="M19" i="2653" s="1"/>
  <c r="I19" i="2653"/>
  <c r="H19" i="2653" s="1"/>
  <c r="K17" i="2653"/>
  <c r="L17" i="2653" s="1"/>
  <c r="M17" i="2653" s="1"/>
  <c r="I17" i="2653"/>
  <c r="H17" i="2653" s="1"/>
  <c r="K15" i="2653"/>
  <c r="L15" i="2653" s="1"/>
  <c r="M15" i="2653" s="1"/>
  <c r="N15" i="2653" s="1"/>
  <c r="I15" i="2653"/>
  <c r="H15" i="2653" s="1"/>
  <c r="K13" i="2653"/>
  <c r="L13" i="2653" s="1"/>
  <c r="M13" i="2653" s="1"/>
  <c r="N13" i="2653" s="1"/>
  <c r="I13" i="2653"/>
  <c r="H13" i="2653" s="1"/>
  <c r="K11" i="2653"/>
  <c r="L11" i="2653" s="1"/>
  <c r="N11" i="2653" s="1"/>
  <c r="I11" i="2653"/>
  <c r="H11" i="2653" s="1"/>
  <c r="K9" i="2653"/>
  <c r="L9" i="2653" s="1"/>
  <c r="M9" i="2653" s="1"/>
  <c r="I9" i="2653"/>
  <c r="H9" i="2653"/>
  <c r="K7" i="2653"/>
  <c r="L7" i="2653" s="1"/>
  <c r="M7" i="2653" s="1"/>
  <c r="I7" i="2653"/>
  <c r="H7" i="2653" s="1"/>
  <c r="K5" i="2653"/>
  <c r="L5" i="2653" s="1"/>
  <c r="M5" i="2653" s="1"/>
  <c r="I5" i="2653"/>
  <c r="H5" i="2653" s="1"/>
  <c r="K25" i="2652"/>
  <c r="L25" i="2652" s="1"/>
  <c r="M25" i="2652" s="1"/>
  <c r="I25" i="2652"/>
  <c r="H25" i="2652" s="1"/>
  <c r="K21" i="2652"/>
  <c r="L21" i="2652" s="1"/>
  <c r="M21" i="2652" s="1"/>
  <c r="I21" i="2652"/>
  <c r="H21" i="2652" s="1"/>
  <c r="K9" i="2652"/>
  <c r="L9" i="2652" s="1"/>
  <c r="M9" i="2652" s="1"/>
  <c r="I9" i="2652"/>
  <c r="H9" i="2652" s="1"/>
  <c r="L23" i="2652"/>
  <c r="M23" i="2652" s="1"/>
  <c r="K23" i="2652"/>
  <c r="I23" i="2652"/>
  <c r="H23" i="2652"/>
  <c r="K19" i="2652"/>
  <c r="L19" i="2652" s="1"/>
  <c r="M19" i="2652" s="1"/>
  <c r="I19" i="2652"/>
  <c r="H19" i="2652" s="1"/>
  <c r="K17" i="2652"/>
  <c r="L17" i="2652" s="1"/>
  <c r="M17" i="2652" s="1"/>
  <c r="I17" i="2652"/>
  <c r="H17" i="2652"/>
  <c r="K15" i="2652"/>
  <c r="L15" i="2652" s="1"/>
  <c r="M15" i="2652" s="1"/>
  <c r="I15" i="2652"/>
  <c r="H15" i="2652"/>
  <c r="L13" i="2652"/>
  <c r="M13" i="2652" s="1"/>
  <c r="K13" i="2652"/>
  <c r="I13" i="2652"/>
  <c r="H13" i="2652"/>
  <c r="K11" i="2652"/>
  <c r="L11" i="2652" s="1"/>
  <c r="M11" i="2652" s="1"/>
  <c r="I11" i="2652"/>
  <c r="H11" i="2652" s="1"/>
  <c r="K7" i="2652"/>
  <c r="L7" i="2652" s="1"/>
  <c r="M7" i="2652" s="1"/>
  <c r="I7" i="2652"/>
  <c r="H7" i="2652" s="1"/>
  <c r="K5" i="2652"/>
  <c r="L5" i="2652" s="1"/>
  <c r="M5" i="2652" s="1"/>
  <c r="I5" i="2652"/>
  <c r="H5" i="2652" s="1"/>
  <c r="K3" i="2652"/>
  <c r="L3" i="2652" s="1"/>
  <c r="M3" i="2652" s="1"/>
  <c r="I3" i="2652"/>
  <c r="H3" i="2652"/>
  <c r="L25" i="2651"/>
  <c r="M25" i="2651" s="1"/>
  <c r="K25" i="2651"/>
  <c r="I25" i="2651"/>
  <c r="H25" i="2651" s="1"/>
  <c r="L31" i="2651"/>
  <c r="M31" i="2651" s="1"/>
  <c r="K31" i="2651"/>
  <c r="I31" i="2651"/>
  <c r="H31" i="2651" s="1"/>
  <c r="I29" i="2651"/>
  <c r="H29" i="2651" s="1"/>
  <c r="K27" i="2651"/>
  <c r="L27" i="2651" s="1"/>
  <c r="M27" i="2651" s="1"/>
  <c r="I27" i="2651"/>
  <c r="H27" i="2651" s="1"/>
  <c r="K21" i="2651"/>
  <c r="L21" i="2651" s="1"/>
  <c r="M21" i="2651" s="1"/>
  <c r="I21" i="2651"/>
  <c r="H21" i="2651" s="1"/>
  <c r="M19" i="2651"/>
  <c r="L19" i="2651"/>
  <c r="K19" i="2651"/>
  <c r="H19" i="2651"/>
  <c r="I19" i="2651"/>
  <c r="K9" i="2651"/>
  <c r="L9" i="2651" s="1"/>
  <c r="M9" i="2651" s="1"/>
  <c r="I9" i="2651"/>
  <c r="H9" i="2651"/>
  <c r="K5" i="2651"/>
  <c r="L5" i="2651" s="1"/>
  <c r="M5" i="2651" s="1"/>
  <c r="I5" i="2651"/>
  <c r="H5" i="2651" s="1"/>
  <c r="K29" i="2651"/>
  <c r="L29" i="2651" s="1"/>
  <c r="M29" i="2651" s="1"/>
  <c r="K23" i="2651"/>
  <c r="L23" i="2651" s="1"/>
  <c r="M23" i="2651" s="1"/>
  <c r="I23" i="2651"/>
  <c r="H23" i="2651" s="1"/>
  <c r="K17" i="2651"/>
  <c r="L17" i="2651" s="1"/>
  <c r="M17" i="2651" s="1"/>
  <c r="I17" i="2651"/>
  <c r="H17" i="2651" s="1"/>
  <c r="K15" i="2651"/>
  <c r="L15" i="2651" s="1"/>
  <c r="M15" i="2651" s="1"/>
  <c r="I15" i="2651"/>
  <c r="H15" i="2651"/>
  <c r="K13" i="2651"/>
  <c r="L13" i="2651" s="1"/>
  <c r="M13" i="2651" s="1"/>
  <c r="I13" i="2651"/>
  <c r="H13" i="2651" s="1"/>
  <c r="K11" i="2651"/>
  <c r="L11" i="2651" s="1"/>
  <c r="M11" i="2651" s="1"/>
  <c r="I11" i="2651"/>
  <c r="H11" i="2651" s="1"/>
  <c r="K7" i="2651"/>
  <c r="L7" i="2651" s="1"/>
  <c r="M7" i="2651" s="1"/>
  <c r="I7" i="2651"/>
  <c r="H7" i="2651"/>
  <c r="K3" i="2651"/>
  <c r="L3" i="2651" s="1"/>
  <c r="M3" i="2651" s="1"/>
  <c r="I3" i="2651"/>
  <c r="H3" i="2651"/>
  <c r="L25" i="2649"/>
  <c r="K25" i="2649"/>
  <c r="H25" i="2649"/>
  <c r="I25" i="2649"/>
  <c r="L23" i="2649"/>
  <c r="H23" i="2649"/>
  <c r="I23" i="2649"/>
  <c r="M23" i="2633"/>
  <c r="L23" i="2633"/>
  <c r="K23" i="2633"/>
  <c r="H23" i="2633"/>
  <c r="I23" i="2633"/>
  <c r="M19" i="2633"/>
  <c r="L19" i="2633"/>
  <c r="K21" i="2633"/>
  <c r="L21" i="2633" s="1"/>
  <c r="I21" i="2633"/>
  <c r="H21" i="2633" s="1"/>
  <c r="K19" i="2633"/>
  <c r="H17" i="2633"/>
  <c r="M17" i="2633"/>
  <c r="L17" i="2633"/>
  <c r="K17" i="2633"/>
  <c r="K11" i="2633"/>
  <c r="L11" i="2633" s="1"/>
  <c r="I11" i="2633"/>
  <c r="H11" i="2633"/>
  <c r="K33" i="2633"/>
  <c r="L33" i="2633" s="1"/>
  <c r="M33" i="2633" s="1"/>
  <c r="I33" i="2633"/>
  <c r="H33" i="2633" s="1"/>
  <c r="K31" i="2633"/>
  <c r="L31" i="2633" s="1"/>
  <c r="M31" i="2633" s="1"/>
  <c r="I31" i="2633"/>
  <c r="H31" i="2633" s="1"/>
  <c r="K29" i="2633"/>
  <c r="L29" i="2633" s="1"/>
  <c r="M29" i="2633" s="1"/>
  <c r="I29" i="2633"/>
  <c r="H29" i="2633"/>
  <c r="K27" i="2633"/>
  <c r="L27" i="2633" s="1"/>
  <c r="M27" i="2633" s="1"/>
  <c r="I27" i="2633"/>
  <c r="H27" i="2633"/>
  <c r="K29" i="2650"/>
  <c r="L29" i="2650" s="1"/>
  <c r="M29" i="2650" s="1"/>
  <c r="I29" i="2650"/>
  <c r="H29" i="2650" s="1"/>
  <c r="L27" i="2650"/>
  <c r="M27" i="2650" s="1"/>
  <c r="I27" i="2650"/>
  <c r="H27" i="2650" s="1"/>
  <c r="K25" i="2650"/>
  <c r="L25" i="2650" s="1"/>
  <c r="M25" i="2650" s="1"/>
  <c r="I25" i="2650"/>
  <c r="H25" i="2650" s="1"/>
  <c r="K23" i="2650"/>
  <c r="L23" i="2650" s="1"/>
  <c r="M23" i="2650" s="1"/>
  <c r="I23" i="2650"/>
  <c r="H23" i="2650" s="1"/>
  <c r="K21" i="2650"/>
  <c r="L21" i="2650" s="1"/>
  <c r="M21" i="2650" s="1"/>
  <c r="I21" i="2650"/>
  <c r="H21" i="2650" s="1"/>
  <c r="K19" i="2650"/>
  <c r="L19" i="2650" s="1"/>
  <c r="M19" i="2650" s="1"/>
  <c r="I19" i="2650"/>
  <c r="H19" i="2650" s="1"/>
  <c r="K9" i="2650"/>
  <c r="L9" i="2650" s="1"/>
  <c r="M9" i="2650" s="1"/>
  <c r="I9" i="2650"/>
  <c r="H9" i="2650" s="1"/>
  <c r="K5" i="2650"/>
  <c r="L5" i="2650" s="1"/>
  <c r="M5" i="2650" s="1"/>
  <c r="I5" i="2650"/>
  <c r="H5" i="2650" s="1"/>
  <c r="K3" i="2650"/>
  <c r="L3" i="2650" s="1"/>
  <c r="M3" i="2650" s="1"/>
  <c r="I3" i="2650"/>
  <c r="H3" i="2650" s="1"/>
  <c r="K15" i="2650"/>
  <c r="L15" i="2650" s="1"/>
  <c r="M15" i="2650" s="1"/>
  <c r="I15" i="2650"/>
  <c r="H15" i="2650" s="1"/>
  <c r="K13" i="2650"/>
  <c r="L13" i="2650" s="1"/>
  <c r="M13" i="2650" s="1"/>
  <c r="I13" i="2650"/>
  <c r="H13" i="2650" s="1"/>
  <c r="K11" i="2650"/>
  <c r="L11" i="2650" s="1"/>
  <c r="M11" i="2650" s="1"/>
  <c r="I11" i="2650"/>
  <c r="H11" i="2650" s="1"/>
  <c r="K7" i="2650"/>
  <c r="L7" i="2650" s="1"/>
  <c r="M7" i="2650" s="1"/>
  <c r="I7" i="2650"/>
  <c r="H7" i="2650"/>
  <c r="K23" i="2649"/>
  <c r="K21" i="2649"/>
  <c r="L21" i="2649" s="1"/>
  <c r="I21" i="2649"/>
  <c r="H21" i="2649"/>
  <c r="K19" i="2649"/>
  <c r="L19" i="2649" s="1"/>
  <c r="I19" i="2649"/>
  <c r="H19" i="2649"/>
  <c r="K17" i="2649"/>
  <c r="L17" i="2649" s="1"/>
  <c r="I17" i="2649"/>
  <c r="H17" i="2649"/>
  <c r="K15" i="2649"/>
  <c r="L15" i="2649" s="1"/>
  <c r="I15" i="2649"/>
  <c r="H15" i="2649"/>
  <c r="L13" i="2649"/>
  <c r="K13" i="2649"/>
  <c r="I13" i="2649"/>
  <c r="H13" i="2649" s="1"/>
  <c r="K11" i="2649"/>
  <c r="L11" i="2649" s="1"/>
  <c r="I11" i="2649"/>
  <c r="H11" i="2649"/>
  <c r="K9" i="2649"/>
  <c r="L9" i="2649" s="1"/>
  <c r="I9" i="2649"/>
  <c r="H9" i="2649"/>
  <c r="K7" i="2649"/>
  <c r="L7" i="2649" s="1"/>
  <c r="I7" i="2649"/>
  <c r="H7" i="2649"/>
  <c r="K5" i="2649"/>
  <c r="L5" i="2649" s="1"/>
  <c r="I5" i="2649"/>
  <c r="H5" i="2649"/>
  <c r="K3" i="2649"/>
  <c r="L3" i="2649" s="1"/>
  <c r="I3" i="2649"/>
  <c r="H3" i="2649"/>
  <c r="K31" i="2648"/>
  <c r="L31" i="2648" s="1"/>
  <c r="M31" i="2648" s="1"/>
  <c r="I31" i="2648"/>
  <c r="H31" i="2648"/>
  <c r="K29" i="2648"/>
  <c r="L29" i="2648" s="1"/>
  <c r="M29" i="2648" s="1"/>
  <c r="I29" i="2648"/>
  <c r="H29" i="2648"/>
  <c r="K27" i="2648"/>
  <c r="L27" i="2648" s="1"/>
  <c r="M27" i="2648" s="1"/>
  <c r="I27" i="2648"/>
  <c r="H27" i="2648"/>
  <c r="K25" i="2648"/>
  <c r="L25" i="2648" s="1"/>
  <c r="M25" i="2648" s="1"/>
  <c r="I25" i="2648"/>
  <c r="H25" i="2648"/>
  <c r="K23" i="2648"/>
  <c r="L23" i="2648" s="1"/>
  <c r="M23" i="2648" s="1"/>
  <c r="I23" i="2648"/>
  <c r="H23" i="2648"/>
  <c r="K21" i="2648"/>
  <c r="L21" i="2648" s="1"/>
  <c r="M21" i="2648" s="1"/>
  <c r="I21" i="2648"/>
  <c r="H21" i="2648"/>
  <c r="L17" i="2648"/>
  <c r="M17" i="2648" s="1"/>
  <c r="K17" i="2648"/>
  <c r="I17" i="2648"/>
  <c r="H17" i="2648"/>
  <c r="K15" i="2648"/>
  <c r="L15" i="2648" s="1"/>
  <c r="M15" i="2648" s="1"/>
  <c r="I15" i="2648"/>
  <c r="H15" i="2648"/>
  <c r="K13" i="2648"/>
  <c r="L13" i="2648" s="1"/>
  <c r="M13" i="2648" s="1"/>
  <c r="I13" i="2648"/>
  <c r="H13" i="2648"/>
  <c r="K11" i="2648"/>
  <c r="L11" i="2648" s="1"/>
  <c r="M11" i="2648" s="1"/>
  <c r="I11" i="2648"/>
  <c r="H11" i="2648"/>
  <c r="K3" i="2648"/>
  <c r="L3" i="2648" s="1"/>
  <c r="M3" i="2648" s="1"/>
  <c r="I3" i="2648"/>
  <c r="H3" i="2648"/>
  <c r="K41" i="2647"/>
  <c r="L41" i="2647" s="1"/>
  <c r="M41" i="2647" s="1"/>
  <c r="I41" i="2647"/>
  <c r="K39" i="2647"/>
  <c r="L39" i="2647" s="1"/>
  <c r="M39" i="2647" s="1"/>
  <c r="I39" i="2647"/>
  <c r="K37" i="2647"/>
  <c r="L37" i="2647" s="1"/>
  <c r="M37" i="2647" s="1"/>
  <c r="I37" i="2647"/>
  <c r="K35" i="2647"/>
  <c r="L35" i="2647" s="1"/>
  <c r="M35" i="2647" s="1"/>
  <c r="I35" i="2647"/>
  <c r="K33" i="2647"/>
  <c r="L33" i="2647" s="1"/>
  <c r="M33" i="2647" s="1"/>
  <c r="I33" i="2647"/>
  <c r="K31" i="2647"/>
  <c r="L31" i="2647" s="1"/>
  <c r="M31" i="2647" s="1"/>
  <c r="I31" i="2647"/>
  <c r="L29" i="2647"/>
  <c r="M29" i="2647" s="1"/>
  <c r="K29" i="2647"/>
  <c r="I29" i="2647"/>
  <c r="K27" i="2647"/>
  <c r="L27" i="2647" s="1"/>
  <c r="M27" i="2647" s="1"/>
  <c r="I27" i="2647"/>
  <c r="K25" i="2647"/>
  <c r="L25" i="2647" s="1"/>
  <c r="M25" i="2647" s="1"/>
  <c r="I25" i="2647"/>
  <c r="K23" i="2647"/>
  <c r="L23" i="2647" s="1"/>
  <c r="M23" i="2647" s="1"/>
  <c r="I23" i="2647"/>
  <c r="L21" i="2647"/>
  <c r="M21" i="2647" s="1"/>
  <c r="K21" i="2647"/>
  <c r="I21" i="2647"/>
  <c r="K15" i="2647"/>
  <c r="L15" i="2647" s="1"/>
  <c r="M15" i="2647" s="1"/>
  <c r="I15" i="2647"/>
  <c r="K13" i="2647"/>
  <c r="L13" i="2647" s="1"/>
  <c r="M13" i="2647" s="1"/>
  <c r="I13" i="2647"/>
  <c r="K11" i="2647"/>
  <c r="L11" i="2647" s="1"/>
  <c r="M11" i="2647" s="1"/>
  <c r="I11" i="2647"/>
  <c r="K9" i="2647"/>
  <c r="L9" i="2647" s="1"/>
  <c r="M9" i="2647" s="1"/>
  <c r="I9" i="2647"/>
  <c r="K3" i="2647"/>
  <c r="L3" i="2647" s="1"/>
  <c r="M3" i="2647" s="1"/>
  <c r="I3" i="2647"/>
  <c r="K27" i="2646"/>
  <c r="L27" i="2646" s="1"/>
  <c r="M27" i="2646" s="1"/>
  <c r="I27" i="2646"/>
  <c r="H27" i="2646" s="1"/>
  <c r="K25" i="2646"/>
  <c r="L25" i="2646" s="1"/>
  <c r="M25" i="2646" s="1"/>
  <c r="I25" i="2646"/>
  <c r="H25" i="2646"/>
  <c r="K23" i="2646"/>
  <c r="L23" i="2646" s="1"/>
  <c r="I23" i="2646"/>
  <c r="H23" i="2646"/>
  <c r="K19" i="2646"/>
  <c r="L19" i="2646" s="1"/>
  <c r="M19" i="2646" s="1"/>
  <c r="I19" i="2646"/>
  <c r="H19" i="2646"/>
  <c r="K17" i="2646"/>
  <c r="L17" i="2646" s="1"/>
  <c r="M17" i="2646" s="1"/>
  <c r="I17" i="2646"/>
  <c r="H17" i="2646"/>
  <c r="K15" i="2646"/>
  <c r="L15" i="2646" s="1"/>
  <c r="M15" i="2646" s="1"/>
  <c r="I15" i="2646"/>
  <c r="H15" i="2646"/>
  <c r="K13" i="2646"/>
  <c r="L13" i="2646" s="1"/>
  <c r="M13" i="2646" s="1"/>
  <c r="I13" i="2646"/>
  <c r="H13" i="2646"/>
  <c r="K11" i="2646"/>
  <c r="L11" i="2646" s="1"/>
  <c r="M11" i="2646" s="1"/>
  <c r="I11" i="2646"/>
  <c r="H11" i="2646"/>
  <c r="K9" i="2646"/>
  <c r="L9" i="2646" s="1"/>
  <c r="M9" i="2646" s="1"/>
  <c r="I9" i="2646"/>
  <c r="H9" i="2646"/>
  <c r="K7" i="2646"/>
  <c r="L7" i="2646" s="1"/>
  <c r="M7" i="2646" s="1"/>
  <c r="I7" i="2646"/>
  <c r="H7" i="2646"/>
  <c r="K5" i="2646"/>
  <c r="L5" i="2646" s="1"/>
  <c r="M5" i="2646" s="1"/>
  <c r="I5" i="2646"/>
  <c r="H5" i="2646"/>
  <c r="K3" i="2646"/>
  <c r="L3" i="2646" s="1"/>
  <c r="M3" i="2646" s="1"/>
  <c r="I3" i="2646"/>
  <c r="H3" i="2646"/>
  <c r="K25" i="2645"/>
  <c r="L25" i="2645" s="1"/>
  <c r="M25" i="2645" s="1"/>
  <c r="I25" i="2645"/>
  <c r="H25" i="2645"/>
  <c r="K23" i="2645"/>
  <c r="L23" i="2645" s="1"/>
  <c r="M23" i="2645" s="1"/>
  <c r="I23" i="2645"/>
  <c r="H23" i="2645"/>
  <c r="K21" i="2645"/>
  <c r="L21" i="2645" s="1"/>
  <c r="M21" i="2645" s="1"/>
  <c r="I21" i="2645"/>
  <c r="H21" i="2645"/>
  <c r="K19" i="2645"/>
  <c r="L19" i="2645" s="1"/>
  <c r="M19" i="2645" s="1"/>
  <c r="I19" i="2645"/>
  <c r="H19" i="2645"/>
  <c r="K17" i="2645"/>
  <c r="L17" i="2645" s="1"/>
  <c r="M17" i="2645" s="1"/>
  <c r="I17" i="2645"/>
  <c r="H17" i="2645"/>
  <c r="K15" i="2645"/>
  <c r="L15" i="2645" s="1"/>
  <c r="M15" i="2645" s="1"/>
  <c r="I15" i="2645"/>
  <c r="H15" i="2645"/>
  <c r="L13" i="2645"/>
  <c r="M13" i="2645" s="1"/>
  <c r="K13" i="2645"/>
  <c r="I13" i="2645"/>
  <c r="H13" i="2645"/>
  <c r="K11" i="2645"/>
  <c r="L11" i="2645" s="1"/>
  <c r="M11" i="2645" s="1"/>
  <c r="I11" i="2645"/>
  <c r="H11" i="2645"/>
  <c r="K9" i="2645"/>
  <c r="L9" i="2645" s="1"/>
  <c r="M9" i="2645" s="1"/>
  <c r="I9" i="2645"/>
  <c r="H9" i="2645"/>
  <c r="K7" i="2645"/>
  <c r="L7" i="2645" s="1"/>
  <c r="M7" i="2645" s="1"/>
  <c r="I7" i="2645"/>
  <c r="H7" i="2645" s="1"/>
  <c r="K5" i="2645"/>
  <c r="L5" i="2645" s="1"/>
  <c r="M5" i="2645" s="1"/>
  <c r="I5" i="2645"/>
  <c r="H5" i="2645"/>
  <c r="K3" i="2645"/>
  <c r="L3" i="2645" s="1"/>
  <c r="M3" i="2645" s="1"/>
  <c r="I3" i="2645"/>
  <c r="H3" i="2645"/>
  <c r="K25" i="2644"/>
  <c r="L25" i="2644" s="1"/>
  <c r="M25" i="2644" s="1"/>
  <c r="I25" i="2644"/>
  <c r="H25" i="2644" s="1"/>
  <c r="K23" i="2644"/>
  <c r="L23" i="2644" s="1"/>
  <c r="M23" i="2644" s="1"/>
  <c r="I23" i="2644"/>
  <c r="H23" i="2644" s="1"/>
  <c r="K21" i="2644"/>
  <c r="L21" i="2644" s="1"/>
  <c r="M21" i="2644" s="1"/>
  <c r="I21" i="2644"/>
  <c r="H21" i="2644" s="1"/>
  <c r="K17" i="2644"/>
  <c r="L17" i="2644" s="1"/>
  <c r="M17" i="2644" s="1"/>
  <c r="I17" i="2644"/>
  <c r="H17" i="2644"/>
  <c r="K15" i="2644"/>
  <c r="L15" i="2644" s="1"/>
  <c r="M15" i="2644" s="1"/>
  <c r="I15" i="2644"/>
  <c r="H15" i="2644" s="1"/>
  <c r="K13" i="2644"/>
  <c r="L13" i="2644" s="1"/>
  <c r="M13" i="2644" s="1"/>
  <c r="I13" i="2644"/>
  <c r="H13" i="2644" s="1"/>
  <c r="K9" i="2644"/>
  <c r="L9" i="2644" s="1"/>
  <c r="M9" i="2644" s="1"/>
  <c r="I9" i="2644"/>
  <c r="H9" i="2644"/>
  <c r="K7" i="2644"/>
  <c r="L7" i="2644" s="1"/>
  <c r="M7" i="2644" s="1"/>
  <c r="I7" i="2644"/>
  <c r="H7" i="2644"/>
  <c r="K5" i="2644"/>
  <c r="L5" i="2644" s="1"/>
  <c r="M5" i="2644" s="1"/>
  <c r="I5" i="2644"/>
  <c r="H5" i="2644" s="1"/>
  <c r="K3" i="2644"/>
  <c r="L3" i="2644" s="1"/>
  <c r="M3" i="2644" s="1"/>
  <c r="I3" i="2644"/>
  <c r="H3" i="2644"/>
  <c r="M23" i="2646" l="1"/>
  <c r="Q12" i="2646"/>
  <c r="Q13" i="2646" s="1"/>
  <c r="N3" i="2643" l="1"/>
  <c r="N5" i="2643"/>
  <c r="N7" i="2643"/>
  <c r="N9" i="2643"/>
  <c r="N21" i="2643"/>
  <c r="N23" i="2643"/>
  <c r="N25" i="2643"/>
  <c r="N27" i="2643"/>
  <c r="N29" i="2643"/>
  <c r="N31" i="2643"/>
  <c r="K27" i="2643"/>
  <c r="L27" i="2643" s="1"/>
  <c r="M27" i="2643" s="1"/>
  <c r="H27" i="2643"/>
  <c r="I27" i="2643"/>
  <c r="K25" i="2643"/>
  <c r="L25" i="2643" s="1"/>
  <c r="M25" i="2643" s="1"/>
  <c r="I25" i="2643"/>
  <c r="H25" i="2643" s="1"/>
  <c r="K21" i="2643" l="1"/>
  <c r="L21" i="2643" s="1"/>
  <c r="M21" i="2643" s="1"/>
  <c r="I21" i="2643"/>
  <c r="H21" i="2643" s="1"/>
  <c r="K9" i="2643" l="1"/>
  <c r="L9" i="2643" s="1"/>
  <c r="M9" i="2643" s="1"/>
  <c r="I9" i="2643"/>
  <c r="H9" i="2643" s="1"/>
  <c r="K5" i="2643"/>
  <c r="L5" i="2643" s="1"/>
  <c r="M5" i="2643" s="1"/>
  <c r="I5" i="2643"/>
  <c r="H5" i="2643" s="1"/>
  <c r="K31" i="2643" l="1"/>
  <c r="L31" i="2643" s="1"/>
  <c r="M31" i="2643" s="1"/>
  <c r="I31" i="2643"/>
  <c r="H31" i="2643" s="1"/>
  <c r="K29" i="2643"/>
  <c r="L29" i="2643" s="1"/>
  <c r="M29" i="2643" s="1"/>
  <c r="I29" i="2643"/>
  <c r="H29" i="2643" s="1"/>
  <c r="K23" i="2643"/>
  <c r="L23" i="2643" s="1"/>
  <c r="M23" i="2643" s="1"/>
  <c r="I23" i="2643"/>
  <c r="H23" i="2643" s="1"/>
  <c r="K17" i="2643"/>
  <c r="L17" i="2643" s="1"/>
  <c r="M17" i="2643" s="1"/>
  <c r="N17" i="2643" s="1"/>
  <c r="I17" i="2643"/>
  <c r="H17" i="2643" s="1"/>
  <c r="K15" i="2643"/>
  <c r="L15" i="2643" s="1"/>
  <c r="M15" i="2643" s="1"/>
  <c r="N15" i="2643" s="1"/>
  <c r="I15" i="2643"/>
  <c r="H15" i="2643" s="1"/>
  <c r="K13" i="2643"/>
  <c r="L13" i="2643" s="1"/>
  <c r="M13" i="2643" s="1"/>
  <c r="N13" i="2643" s="1"/>
  <c r="I13" i="2643"/>
  <c r="H13" i="2643" s="1"/>
  <c r="K7" i="2643"/>
  <c r="L7" i="2643" s="1"/>
  <c r="M7" i="2643" s="1"/>
  <c r="I7" i="2643"/>
  <c r="H7" i="2643" s="1"/>
  <c r="K3" i="2643"/>
  <c r="L3" i="2643" s="1"/>
  <c r="M3" i="2643" s="1"/>
  <c r="I3" i="2643"/>
  <c r="H3" i="2643" s="1"/>
  <c r="K29" i="2642" l="1"/>
  <c r="L29" i="2642" s="1"/>
  <c r="M29" i="2642" s="1"/>
  <c r="I29" i="2642"/>
  <c r="H29" i="2642" s="1"/>
  <c r="K33" i="2642"/>
  <c r="L33" i="2642" s="1"/>
  <c r="M33" i="2642" s="1"/>
  <c r="I33" i="2642"/>
  <c r="H33" i="2642" s="1"/>
  <c r="I31" i="2642"/>
  <c r="H31" i="2642" s="1"/>
  <c r="K31" i="2642"/>
  <c r="L31" i="2642" s="1"/>
  <c r="M31" i="2642" s="1"/>
  <c r="K27" i="2642"/>
  <c r="L27" i="2642" s="1"/>
  <c r="M27" i="2642" s="1"/>
  <c r="I27" i="2642"/>
  <c r="H27" i="2642" s="1"/>
  <c r="K25" i="2642"/>
  <c r="L25" i="2642" s="1"/>
  <c r="M25" i="2642" s="1"/>
  <c r="I25" i="2642"/>
  <c r="H25" i="2642" s="1"/>
  <c r="K21" i="2642"/>
  <c r="L21" i="2642" s="1"/>
  <c r="M21" i="2642" s="1"/>
  <c r="I21" i="2642"/>
  <c r="H21" i="2642" s="1"/>
  <c r="K19" i="2642"/>
  <c r="L19" i="2642" s="1"/>
  <c r="M19" i="2642" s="1"/>
  <c r="I19" i="2642"/>
  <c r="H19" i="2642" s="1"/>
  <c r="K11" i="2642"/>
  <c r="L11" i="2642" s="1"/>
  <c r="M11" i="2642" s="1"/>
  <c r="I11" i="2642"/>
  <c r="H11" i="2642" s="1"/>
  <c r="K9" i="2642"/>
  <c r="L9" i="2642" s="1"/>
  <c r="M9" i="2642" s="1"/>
  <c r="I9" i="2642"/>
  <c r="H9" i="2642" s="1"/>
  <c r="K5" i="2642"/>
  <c r="L5" i="2642" s="1"/>
  <c r="M5" i="2642" s="1"/>
  <c r="I5" i="2642"/>
  <c r="H5" i="2642" s="1"/>
  <c r="K23" i="2642"/>
  <c r="L23" i="2642" s="1"/>
  <c r="M23" i="2642" s="1"/>
  <c r="I23" i="2642"/>
  <c r="H23" i="2642" s="1"/>
  <c r="K17" i="2642"/>
  <c r="L17" i="2642" s="1"/>
  <c r="M17" i="2642" s="1"/>
  <c r="I17" i="2642"/>
  <c r="H17" i="2642" s="1"/>
  <c r="K15" i="2642"/>
  <c r="L15" i="2642" s="1"/>
  <c r="M15" i="2642" s="1"/>
  <c r="I15" i="2642"/>
  <c r="H15" i="2642" s="1"/>
  <c r="K13" i="2642"/>
  <c r="L13" i="2642" s="1"/>
  <c r="M13" i="2642" s="1"/>
  <c r="I13" i="2642"/>
  <c r="H13" i="2642" s="1"/>
  <c r="K7" i="2642"/>
  <c r="L7" i="2642" s="1"/>
  <c r="M7" i="2642" s="1"/>
  <c r="I7" i="2642"/>
  <c r="H7" i="2642" s="1"/>
  <c r="K3" i="2642"/>
  <c r="L3" i="2642" s="1"/>
  <c r="M3" i="2642" s="1"/>
  <c r="I3" i="2642"/>
  <c r="H3" i="2642" s="1"/>
  <c r="K29" i="2641"/>
  <c r="L29" i="2641" s="1"/>
  <c r="M29" i="2641" s="1"/>
  <c r="I29" i="2641"/>
  <c r="H29" i="2641" s="1"/>
  <c r="K21" i="2641"/>
  <c r="L21" i="2641" s="1"/>
  <c r="M21" i="2641" s="1"/>
  <c r="I21" i="2641"/>
  <c r="H21" i="2641" s="1"/>
  <c r="K19" i="2641"/>
  <c r="L19" i="2641" s="1"/>
  <c r="M19" i="2641" s="1"/>
  <c r="I19" i="2641"/>
  <c r="H19" i="2641" s="1"/>
  <c r="K23" i="2641" l="1"/>
  <c r="L23" i="2641" s="1"/>
  <c r="M23" i="2641" s="1"/>
  <c r="I23" i="2641"/>
  <c r="H23" i="2641" s="1"/>
  <c r="I11" i="2641"/>
  <c r="H11" i="2641" s="1"/>
  <c r="K11" i="2641"/>
  <c r="L11" i="2641" s="1"/>
  <c r="M11" i="2641" s="1"/>
  <c r="K5" i="2641"/>
  <c r="L5" i="2641" s="1"/>
  <c r="M5" i="2641" s="1"/>
  <c r="I5" i="2641"/>
  <c r="H5" i="2641" s="1"/>
  <c r="K3" i="2641"/>
  <c r="L3" i="2641" s="1"/>
  <c r="M3" i="2641" s="1"/>
  <c r="I3" i="2641"/>
  <c r="H3" i="2641" s="1"/>
  <c r="K27" i="2641"/>
  <c r="L27" i="2641" s="1"/>
  <c r="M27" i="2641" s="1"/>
  <c r="I27" i="2641"/>
  <c r="H27" i="2641"/>
  <c r="K17" i="2641"/>
  <c r="L17" i="2641" s="1"/>
  <c r="M17" i="2641" s="1"/>
  <c r="I17" i="2641"/>
  <c r="H17" i="2641" s="1"/>
  <c r="K15" i="2641"/>
  <c r="L15" i="2641" s="1"/>
  <c r="M15" i="2641" s="1"/>
  <c r="I15" i="2641"/>
  <c r="H15" i="2641" s="1"/>
  <c r="K13" i="2641"/>
  <c r="L13" i="2641" s="1"/>
  <c r="M13" i="2641" s="1"/>
  <c r="I13" i="2641"/>
  <c r="H13" i="2641" s="1"/>
  <c r="K9" i="2641"/>
  <c r="L9" i="2641" s="1"/>
  <c r="M9" i="2641" s="1"/>
  <c r="I9" i="2641"/>
  <c r="H9" i="2641" s="1"/>
  <c r="K7" i="2641"/>
  <c r="L7" i="2641" s="1"/>
  <c r="M7" i="2641" s="1"/>
  <c r="I7" i="2641"/>
  <c r="H7" i="2641" s="1"/>
  <c r="M25" i="2640"/>
  <c r="L25" i="2640"/>
  <c r="K25" i="2640"/>
  <c r="H25" i="2640"/>
  <c r="I25" i="2640"/>
  <c r="M23" i="2640"/>
  <c r="L23" i="2640"/>
  <c r="K23" i="2640"/>
  <c r="H23" i="2640"/>
  <c r="I23" i="2640"/>
  <c r="L21" i="2640"/>
  <c r="M21" i="2640" s="1"/>
  <c r="K21" i="2640"/>
  <c r="I21" i="2640"/>
  <c r="H21" i="2640" s="1"/>
  <c r="M19" i="2640"/>
  <c r="L19" i="2640"/>
  <c r="K19" i="2640"/>
  <c r="H19" i="2640"/>
  <c r="I19" i="2640"/>
  <c r="K9" i="2640"/>
  <c r="L9" i="2640" s="1"/>
  <c r="M9" i="2640" s="1"/>
  <c r="I9" i="2640"/>
  <c r="H9" i="2640" s="1"/>
  <c r="M5" i="2640"/>
  <c r="L5" i="2640"/>
  <c r="K5" i="2640"/>
  <c r="H5" i="2640"/>
  <c r="I5" i="2640"/>
  <c r="L3" i="2640"/>
  <c r="M3" i="2640" s="1"/>
  <c r="K3" i="2640"/>
  <c r="I3" i="2640"/>
  <c r="H3" i="2640" s="1"/>
  <c r="K17" i="2640"/>
  <c r="L17" i="2640" s="1"/>
  <c r="M17" i="2640" s="1"/>
  <c r="I17" i="2640"/>
  <c r="H17" i="2640"/>
  <c r="K15" i="2640"/>
  <c r="L15" i="2640" s="1"/>
  <c r="M15" i="2640" s="1"/>
  <c r="I15" i="2640"/>
  <c r="H15" i="2640"/>
  <c r="K13" i="2640"/>
  <c r="L13" i="2640" s="1"/>
  <c r="M13" i="2640" s="1"/>
  <c r="I13" i="2640"/>
  <c r="H13" i="2640" s="1"/>
  <c r="K11" i="2640"/>
  <c r="L11" i="2640" s="1"/>
  <c r="M11" i="2640" s="1"/>
  <c r="I11" i="2640"/>
  <c r="H11" i="2640" s="1"/>
  <c r="K7" i="2640"/>
  <c r="L7" i="2640" s="1"/>
  <c r="M7" i="2640" s="1"/>
  <c r="I7" i="2640"/>
  <c r="H7" i="2640" s="1"/>
  <c r="N25" i="2639"/>
  <c r="M25" i="2639"/>
  <c r="L25" i="2639"/>
  <c r="K25" i="2639"/>
  <c r="N29" i="2639"/>
  <c r="M29" i="2639"/>
  <c r="L29" i="2639"/>
  <c r="K29" i="2639"/>
  <c r="H29" i="2639"/>
  <c r="I29" i="2639"/>
  <c r="K27" i="2639"/>
  <c r="L27" i="2639" s="1"/>
  <c r="M27" i="2639" s="1"/>
  <c r="N27" i="2639" s="1"/>
  <c r="I27" i="2639"/>
  <c r="H27" i="2639" s="1"/>
  <c r="I25" i="2639"/>
  <c r="H25" i="2639" s="1"/>
  <c r="K23" i="2639"/>
  <c r="L23" i="2639" s="1"/>
  <c r="M23" i="2639" s="1"/>
  <c r="N23" i="2639" s="1"/>
  <c r="I23" i="2639"/>
  <c r="H23" i="2639" s="1"/>
  <c r="K21" i="2639"/>
  <c r="L21" i="2639" s="1"/>
  <c r="M21" i="2639" s="1"/>
  <c r="N21" i="2639" s="1"/>
  <c r="I21" i="2639"/>
  <c r="H21" i="2639" s="1"/>
  <c r="K19" i="2639"/>
  <c r="L19" i="2639" s="1"/>
  <c r="M19" i="2639" s="1"/>
  <c r="N19" i="2639" s="1"/>
  <c r="I19" i="2639"/>
  <c r="H19" i="2639" s="1"/>
  <c r="K9" i="2639"/>
  <c r="L9" i="2639" s="1"/>
  <c r="M9" i="2639" s="1"/>
  <c r="N9" i="2639" s="1"/>
  <c r="I9" i="2639"/>
  <c r="H9" i="2639" s="1"/>
  <c r="K5" i="2639"/>
  <c r="L5" i="2639" s="1"/>
  <c r="M5" i="2639" s="1"/>
  <c r="N5" i="2639" s="1"/>
  <c r="I5" i="2639"/>
  <c r="H5" i="2639" s="1"/>
  <c r="K3" i="2639"/>
  <c r="L3" i="2639" s="1"/>
  <c r="M3" i="2639" s="1"/>
  <c r="N3" i="2639" s="1"/>
  <c r="I3" i="2639"/>
  <c r="H3" i="2639" s="1"/>
  <c r="K17" i="2639"/>
  <c r="L17" i="2639" s="1"/>
  <c r="M17" i="2639" s="1"/>
  <c r="N17" i="2639" s="1"/>
  <c r="I17" i="2639"/>
  <c r="H17" i="2639" s="1"/>
  <c r="K15" i="2639"/>
  <c r="L15" i="2639" s="1"/>
  <c r="M15" i="2639" s="1"/>
  <c r="N15" i="2639" s="1"/>
  <c r="I15" i="2639"/>
  <c r="H15" i="2639" s="1"/>
  <c r="K13" i="2639"/>
  <c r="L13" i="2639" s="1"/>
  <c r="M13" i="2639" s="1"/>
  <c r="N13" i="2639" s="1"/>
  <c r="I13" i="2639"/>
  <c r="H13" i="2639" s="1"/>
  <c r="K11" i="2639"/>
  <c r="L11" i="2639" s="1"/>
  <c r="M11" i="2639" s="1"/>
  <c r="N11" i="2639" s="1"/>
  <c r="I11" i="2639"/>
  <c r="H11" i="2639" s="1"/>
  <c r="K7" i="2639"/>
  <c r="L7" i="2639" s="1"/>
  <c r="M7" i="2639" s="1"/>
  <c r="N7" i="2639" s="1"/>
  <c r="I7" i="2639"/>
  <c r="H7" i="2639" s="1"/>
  <c r="K25" i="2638"/>
  <c r="L25" i="2638" s="1"/>
  <c r="M25" i="2638" s="1"/>
  <c r="I25" i="2638"/>
  <c r="H25" i="2638" s="1"/>
  <c r="M23" i="2638"/>
  <c r="L23" i="2638"/>
  <c r="K23" i="2638"/>
  <c r="H23" i="2638"/>
  <c r="I23" i="2638"/>
  <c r="M9" i="2638"/>
  <c r="L9" i="2638"/>
  <c r="K9" i="2638"/>
  <c r="H9" i="2638"/>
  <c r="I9" i="2638"/>
  <c r="K21" i="2638"/>
  <c r="L21" i="2638" s="1"/>
  <c r="M21" i="2638" s="1"/>
  <c r="I21" i="2638"/>
  <c r="H21" i="2638" s="1"/>
  <c r="K17" i="2638"/>
  <c r="L17" i="2638" s="1"/>
  <c r="M17" i="2638" s="1"/>
  <c r="I17" i="2638"/>
  <c r="H17" i="2638" s="1"/>
  <c r="K15" i="2638"/>
  <c r="L15" i="2638" s="1"/>
  <c r="M15" i="2638" s="1"/>
  <c r="I15" i="2638"/>
  <c r="H15" i="2638" s="1"/>
  <c r="K13" i="2638"/>
  <c r="L13" i="2638" s="1"/>
  <c r="M13" i="2638" s="1"/>
  <c r="I13" i="2638"/>
  <c r="H13" i="2638" s="1"/>
  <c r="K7" i="2638"/>
  <c r="L7" i="2638" s="1"/>
  <c r="M7" i="2638" s="1"/>
  <c r="I7" i="2638"/>
  <c r="H7" i="2638" s="1"/>
  <c r="K5" i="2638"/>
  <c r="L5" i="2638" s="1"/>
  <c r="M5" i="2638" s="1"/>
  <c r="I5" i="2638"/>
  <c r="H5" i="2638" s="1"/>
  <c r="K3" i="2638"/>
  <c r="L3" i="2638" s="1"/>
  <c r="M3" i="2638" s="1"/>
  <c r="I3" i="2638"/>
  <c r="H3" i="2638" s="1"/>
  <c r="L35" i="2637" l="1"/>
  <c r="M35" i="2637" s="1"/>
  <c r="K35" i="2637"/>
  <c r="I35" i="2637"/>
  <c r="H35" i="2637" s="1"/>
  <c r="M33" i="2637"/>
  <c r="L33" i="2637"/>
  <c r="K33" i="2637"/>
  <c r="I33" i="2637"/>
  <c r="H33" i="2637" s="1"/>
  <c r="L31" i="2637"/>
  <c r="M31" i="2637" s="1"/>
  <c r="K31" i="2637"/>
  <c r="I31" i="2637"/>
  <c r="H31" i="2637" s="1"/>
  <c r="K29" i="2637"/>
  <c r="L29" i="2637" s="1"/>
  <c r="M29" i="2637" s="1"/>
  <c r="I29" i="2637"/>
  <c r="H29" i="2637" s="1"/>
  <c r="K27" i="2637"/>
  <c r="L27" i="2637" s="1"/>
  <c r="M27" i="2637" s="1"/>
  <c r="I27" i="2637"/>
  <c r="H27" i="2637" s="1"/>
  <c r="M25" i="2637"/>
  <c r="L25" i="2637"/>
  <c r="K25" i="2637"/>
  <c r="H25" i="2637"/>
  <c r="I25" i="2637"/>
  <c r="M23" i="2637"/>
  <c r="L23" i="2637"/>
  <c r="K23" i="2637"/>
  <c r="H23" i="2637"/>
  <c r="I23" i="2637"/>
  <c r="K21" i="2637"/>
  <c r="L21" i="2637" s="1"/>
  <c r="M21" i="2637" s="1"/>
  <c r="I21" i="2637"/>
  <c r="H21" i="2637" s="1"/>
  <c r="K19" i="2637"/>
  <c r="L19" i="2637" s="1"/>
  <c r="M19" i="2637" s="1"/>
  <c r="I19" i="2637"/>
  <c r="H19" i="2637" s="1"/>
  <c r="L17" i="2637"/>
  <c r="M17" i="2637" s="1"/>
  <c r="K17" i="2637"/>
  <c r="I17" i="2637"/>
  <c r="H17" i="2637" s="1"/>
  <c r="K15" i="2637"/>
  <c r="L15" i="2637" s="1"/>
  <c r="M15" i="2637" s="1"/>
  <c r="I15" i="2637"/>
  <c r="H15" i="2637" s="1"/>
  <c r="M13" i="2637"/>
  <c r="L13" i="2637"/>
  <c r="K13" i="2637"/>
  <c r="H13" i="2637"/>
  <c r="I13" i="2637"/>
  <c r="M11" i="2637"/>
  <c r="L11" i="2637"/>
  <c r="K11" i="2637"/>
  <c r="H11" i="2637"/>
  <c r="I11" i="2637"/>
  <c r="K9" i="2637"/>
  <c r="L9" i="2637" s="1"/>
  <c r="M9" i="2637" s="1"/>
  <c r="I9" i="2637"/>
  <c r="H9" i="2637" s="1"/>
  <c r="K7" i="2637"/>
  <c r="L7" i="2637" s="1"/>
  <c r="M7" i="2637" s="1"/>
  <c r="I7" i="2637"/>
  <c r="H7" i="2637" s="1"/>
  <c r="M5" i="2637"/>
  <c r="L5" i="2637"/>
  <c r="K5" i="2637"/>
  <c r="H5" i="2637"/>
  <c r="I5" i="2637"/>
  <c r="L3" i="2637"/>
  <c r="M3" i="2637" s="1"/>
  <c r="K3" i="2637"/>
  <c r="I3" i="2637"/>
  <c r="H3" i="2637"/>
  <c r="N27" i="2636"/>
  <c r="M27" i="2636"/>
  <c r="L27" i="2636"/>
  <c r="K27" i="2636"/>
  <c r="H27" i="2636"/>
  <c r="I27" i="2636"/>
  <c r="N25" i="2636"/>
  <c r="M25" i="2636"/>
  <c r="L25" i="2636"/>
  <c r="K25" i="2636"/>
  <c r="H25" i="2636"/>
  <c r="I25" i="2636"/>
  <c r="N23" i="2636"/>
  <c r="M23" i="2636"/>
  <c r="L23" i="2636"/>
  <c r="K23" i="2636"/>
  <c r="H23" i="2636"/>
  <c r="I23" i="2636"/>
  <c r="N5" i="2636"/>
  <c r="M5" i="2636"/>
  <c r="L5" i="2636"/>
  <c r="K5" i="2636"/>
  <c r="H5" i="2636"/>
  <c r="I5" i="2636"/>
  <c r="N13" i="2636"/>
  <c r="M13" i="2636"/>
  <c r="L13" i="2636"/>
  <c r="K13" i="2636"/>
  <c r="H13" i="2636"/>
  <c r="I13" i="2636"/>
  <c r="N3" i="2636"/>
  <c r="M3" i="2636"/>
  <c r="L3" i="2636"/>
  <c r="K3" i="2636"/>
  <c r="N29" i="2636" l="1"/>
  <c r="N17" i="2636"/>
  <c r="N11" i="2636"/>
  <c r="N9" i="2636"/>
  <c r="N7" i="2636"/>
  <c r="M9" i="2636"/>
  <c r="L9" i="2636"/>
  <c r="K9" i="2636"/>
  <c r="H9" i="2636"/>
  <c r="I9" i="2636"/>
  <c r="K31" i="2636"/>
  <c r="L31" i="2636" s="1"/>
  <c r="M31" i="2636" s="1"/>
  <c r="N31" i="2636" s="1"/>
  <c r="I31" i="2636"/>
  <c r="H31" i="2636"/>
  <c r="K29" i="2636"/>
  <c r="L29" i="2636" s="1"/>
  <c r="M29" i="2636" s="1"/>
  <c r="I29" i="2636"/>
  <c r="H29" i="2636" s="1"/>
  <c r="K17" i="2636"/>
  <c r="L17" i="2636" s="1"/>
  <c r="M17" i="2636" s="1"/>
  <c r="I17" i="2636"/>
  <c r="H17" i="2636" s="1"/>
  <c r="K15" i="2636"/>
  <c r="L15" i="2636" s="1"/>
  <c r="M15" i="2636" s="1"/>
  <c r="N15" i="2636" s="1"/>
  <c r="I15" i="2636"/>
  <c r="H15" i="2636" s="1"/>
  <c r="K11" i="2636"/>
  <c r="L11" i="2636" s="1"/>
  <c r="M11" i="2636" s="1"/>
  <c r="I11" i="2636"/>
  <c r="H11" i="2636" s="1"/>
  <c r="K7" i="2636"/>
  <c r="L7" i="2636" s="1"/>
  <c r="M7" i="2636" s="1"/>
  <c r="I7" i="2636"/>
  <c r="H7" i="2636" s="1"/>
  <c r="I3" i="2636"/>
  <c r="H3" i="2636"/>
  <c r="K43" i="2635" l="1"/>
  <c r="L43" i="2635" s="1"/>
  <c r="M43" i="2635" s="1"/>
  <c r="N43" i="2635" s="1"/>
  <c r="I43" i="2635"/>
  <c r="H43" i="2635" s="1"/>
  <c r="K35" i="2635"/>
  <c r="L35" i="2635" s="1"/>
  <c r="M35" i="2635" s="1"/>
  <c r="N35" i="2635" s="1"/>
  <c r="I35" i="2635"/>
  <c r="H35" i="2635" s="1"/>
  <c r="K33" i="2635"/>
  <c r="L33" i="2635" s="1"/>
  <c r="M33" i="2635" s="1"/>
  <c r="N33" i="2635" s="1"/>
  <c r="I33" i="2635"/>
  <c r="H33" i="2635" s="1"/>
  <c r="K31" i="2635"/>
  <c r="L31" i="2635" s="1"/>
  <c r="M31" i="2635" s="1"/>
  <c r="N31" i="2635" s="1"/>
  <c r="I31" i="2635"/>
  <c r="H31" i="2635" s="1"/>
  <c r="K29" i="2635"/>
  <c r="L29" i="2635" s="1"/>
  <c r="M29" i="2635" s="1"/>
  <c r="N29" i="2635" s="1"/>
  <c r="I29" i="2635"/>
  <c r="H29" i="2635" s="1"/>
  <c r="K23" i="2635"/>
  <c r="L23" i="2635" s="1"/>
  <c r="M23" i="2635" s="1"/>
  <c r="N23" i="2635" s="1"/>
  <c r="I23" i="2635"/>
  <c r="H23" i="2635" s="1"/>
  <c r="I21" i="2635"/>
  <c r="H21" i="2635" s="1"/>
  <c r="K21" i="2635"/>
  <c r="L21" i="2635" s="1"/>
  <c r="M21" i="2635" s="1"/>
  <c r="N21" i="2635" s="1"/>
  <c r="K13" i="2635"/>
  <c r="L13" i="2635" s="1"/>
  <c r="M13" i="2635" s="1"/>
  <c r="N13" i="2635" s="1"/>
  <c r="I13" i="2635"/>
  <c r="H13" i="2635" s="1"/>
  <c r="K11" i="2635"/>
  <c r="L11" i="2635" s="1"/>
  <c r="M11" i="2635" s="1"/>
  <c r="N11" i="2635" s="1"/>
  <c r="I11" i="2635"/>
  <c r="H11" i="2635" s="1"/>
  <c r="K41" i="2635"/>
  <c r="L41" i="2635" s="1"/>
  <c r="M41" i="2635" s="1"/>
  <c r="N41" i="2635" s="1"/>
  <c r="I41" i="2635"/>
  <c r="H41" i="2635" s="1"/>
  <c r="K39" i="2635"/>
  <c r="L39" i="2635" s="1"/>
  <c r="M39" i="2635" s="1"/>
  <c r="N39" i="2635" s="1"/>
  <c r="I39" i="2635"/>
  <c r="H39" i="2635" s="1"/>
  <c r="K37" i="2635"/>
  <c r="L37" i="2635" s="1"/>
  <c r="M37" i="2635" s="1"/>
  <c r="N37" i="2635" s="1"/>
  <c r="I37" i="2635"/>
  <c r="H37" i="2635" s="1"/>
  <c r="K27" i="2635"/>
  <c r="L27" i="2635" s="1"/>
  <c r="M27" i="2635" s="1"/>
  <c r="N27" i="2635" s="1"/>
  <c r="I27" i="2635"/>
  <c r="H27" i="2635"/>
  <c r="K25" i="2635"/>
  <c r="L25" i="2635" s="1"/>
  <c r="M25" i="2635" s="1"/>
  <c r="N25" i="2635" s="1"/>
  <c r="I25" i="2635"/>
  <c r="H25" i="2635" s="1"/>
  <c r="K15" i="2635"/>
  <c r="L15" i="2635" s="1"/>
  <c r="M15" i="2635" s="1"/>
  <c r="N15" i="2635" s="1"/>
  <c r="I15" i="2635"/>
  <c r="H15" i="2635" s="1"/>
  <c r="K9" i="2635"/>
  <c r="L9" i="2635" s="1"/>
  <c r="M9" i="2635" s="1"/>
  <c r="N9" i="2635" s="1"/>
  <c r="I9" i="2635"/>
  <c r="H9" i="2635"/>
  <c r="K3" i="2635"/>
  <c r="L3" i="2635" s="1"/>
  <c r="M3" i="2635" s="1"/>
  <c r="N3" i="2635" s="1"/>
  <c r="I3" i="2635"/>
  <c r="H3" i="2635" s="1"/>
  <c r="M29" i="2634"/>
  <c r="L29" i="2634"/>
  <c r="K29" i="2634"/>
  <c r="H29" i="2634"/>
  <c r="L27" i="2634"/>
  <c r="M27" i="2634" s="1"/>
  <c r="K27" i="2634"/>
  <c r="I27" i="2634"/>
  <c r="H27" i="2634" s="1"/>
  <c r="K25" i="2634"/>
  <c r="L25" i="2634" s="1"/>
  <c r="M25" i="2634" s="1"/>
  <c r="I25" i="2634"/>
  <c r="H25" i="2634"/>
  <c r="K21" i="2634"/>
  <c r="L21" i="2634" s="1"/>
  <c r="M21" i="2634" s="1"/>
  <c r="I21" i="2634"/>
  <c r="H21" i="2634" s="1"/>
  <c r="K3" i="2634"/>
  <c r="L3" i="2634" s="1"/>
  <c r="M3" i="2634" s="1"/>
  <c r="I3" i="2634"/>
  <c r="H3" i="2634" s="1"/>
  <c r="K23" i="2634"/>
  <c r="L23" i="2634" s="1"/>
  <c r="M23" i="2634" s="1"/>
  <c r="I23" i="2634"/>
  <c r="H23" i="2634" s="1"/>
  <c r="K19" i="2634"/>
  <c r="L19" i="2634" s="1"/>
  <c r="M19" i="2634" s="1"/>
  <c r="I19" i="2634"/>
  <c r="H19" i="2634" s="1"/>
  <c r="K17" i="2634"/>
  <c r="L17" i="2634" s="1"/>
  <c r="M17" i="2634" s="1"/>
  <c r="I17" i="2634"/>
  <c r="H17" i="2634" s="1"/>
  <c r="K15" i="2634"/>
  <c r="L15" i="2634" s="1"/>
  <c r="M15" i="2634" s="1"/>
  <c r="I15" i="2634"/>
  <c r="H15" i="2634" s="1"/>
  <c r="K13" i="2634"/>
  <c r="L13" i="2634" s="1"/>
  <c r="M13" i="2634" s="1"/>
  <c r="I13" i="2634"/>
  <c r="H13" i="2634" s="1"/>
  <c r="K11" i="2634"/>
  <c r="L11" i="2634" s="1"/>
  <c r="M11" i="2634" s="1"/>
  <c r="I11" i="2634"/>
  <c r="H11" i="2634" s="1"/>
  <c r="M11" i="2633"/>
  <c r="I19" i="2633"/>
  <c r="H19" i="2633" s="1"/>
  <c r="I17" i="2633"/>
  <c r="K15" i="2633"/>
  <c r="L15" i="2633" s="1"/>
  <c r="M15" i="2633" s="1"/>
  <c r="I15" i="2633"/>
  <c r="H15" i="2633" s="1"/>
  <c r="K13" i="2633"/>
  <c r="L13" i="2633" s="1"/>
  <c r="M13" i="2633" s="1"/>
  <c r="I13" i="2633"/>
  <c r="H13" i="2633" s="1"/>
  <c r="K9" i="2633"/>
  <c r="L9" i="2633" s="1"/>
  <c r="M9" i="2633" s="1"/>
  <c r="I9" i="2633"/>
  <c r="H9" i="2633" s="1"/>
  <c r="K7" i="2633"/>
  <c r="L7" i="2633" s="1"/>
  <c r="M7" i="2633" s="1"/>
  <c r="I7" i="2633"/>
  <c r="H7" i="2633" s="1"/>
  <c r="K5" i="2633"/>
  <c r="L5" i="2633" s="1"/>
  <c r="M5" i="2633" s="1"/>
  <c r="I5" i="2633"/>
  <c r="H5" i="2633" s="1"/>
  <c r="K3" i="2633"/>
  <c r="L3" i="2633" s="1"/>
  <c r="M3" i="2633" s="1"/>
  <c r="I3" i="2633"/>
  <c r="H3" i="2633"/>
  <c r="M21" i="2633" l="1"/>
  <c r="M25" i="2632"/>
  <c r="L25" i="2632"/>
  <c r="K25" i="2632"/>
  <c r="H25" i="2632"/>
  <c r="I25" i="2632"/>
  <c r="K27" i="2632"/>
  <c r="L27" i="2632" s="1"/>
  <c r="M27" i="2632" s="1"/>
  <c r="I27" i="2632"/>
  <c r="H27" i="2632"/>
  <c r="K9" i="2632"/>
  <c r="L9" i="2632" s="1"/>
  <c r="M9" i="2632" s="1"/>
  <c r="I9" i="2632"/>
  <c r="H9" i="2632"/>
  <c r="K23" i="2632"/>
  <c r="L23" i="2632" s="1"/>
  <c r="M23" i="2632" s="1"/>
  <c r="I23" i="2632"/>
  <c r="H23" i="2632"/>
  <c r="K21" i="2632"/>
  <c r="L21" i="2632" s="1"/>
  <c r="M21" i="2632" s="1"/>
  <c r="I21" i="2632"/>
  <c r="H21" i="2632" s="1"/>
  <c r="K19" i="2632"/>
  <c r="L19" i="2632" s="1"/>
  <c r="M19" i="2632" s="1"/>
  <c r="I19" i="2632"/>
  <c r="H19" i="2632" s="1"/>
  <c r="K17" i="2632"/>
  <c r="L17" i="2632" s="1"/>
  <c r="M17" i="2632" s="1"/>
  <c r="I17" i="2632"/>
  <c r="H17" i="2632" s="1"/>
  <c r="K15" i="2632"/>
  <c r="L15" i="2632" s="1"/>
  <c r="M15" i="2632" s="1"/>
  <c r="I15" i="2632"/>
  <c r="H15" i="2632" s="1"/>
  <c r="K13" i="2632"/>
  <c r="L13" i="2632" s="1"/>
  <c r="M13" i="2632" s="1"/>
  <c r="I13" i="2632"/>
  <c r="H13" i="2632"/>
  <c r="K11" i="2632"/>
  <c r="L11" i="2632" s="1"/>
  <c r="M11" i="2632" s="1"/>
  <c r="I11" i="2632"/>
  <c r="H11" i="2632"/>
  <c r="K7" i="2632"/>
  <c r="L7" i="2632" s="1"/>
  <c r="M7" i="2632" s="1"/>
  <c r="I7" i="2632"/>
  <c r="H7" i="2632" s="1"/>
  <c r="K5" i="2632"/>
  <c r="L5" i="2632" s="1"/>
  <c r="M5" i="2632" s="1"/>
  <c r="I5" i="2632"/>
  <c r="H5" i="2632" s="1"/>
  <c r="K3" i="2632"/>
  <c r="L3" i="2632" s="1"/>
  <c r="M3" i="2632" s="1"/>
  <c r="I3" i="2632"/>
  <c r="H3" i="2632" s="1"/>
  <c r="I39" i="2631" l="1"/>
  <c r="H39" i="2631" s="1"/>
  <c r="I41" i="2631"/>
  <c r="H41" i="2631" s="1"/>
  <c r="I35" i="2631"/>
  <c r="H35" i="2631" s="1"/>
  <c r="I33" i="2631"/>
  <c r="H33" i="2631" s="1"/>
  <c r="K35" i="2631"/>
  <c r="L35" i="2631" s="1"/>
  <c r="M35" i="2631" s="1"/>
  <c r="K33" i="2631"/>
  <c r="L33" i="2631" s="1"/>
  <c r="M33" i="2631" s="1"/>
  <c r="K19" i="2631"/>
  <c r="L19" i="2631" s="1"/>
  <c r="M19" i="2631" s="1"/>
  <c r="I19" i="2631"/>
  <c r="H19" i="2631" s="1"/>
  <c r="I23" i="2631"/>
  <c r="H23" i="2631" s="1"/>
  <c r="Q13" i="2631" s="1"/>
  <c r="Q14" i="2631" s="1"/>
  <c r="K23" i="2631"/>
  <c r="L23" i="2631" s="1"/>
  <c r="M23" i="2631" s="1"/>
  <c r="K39" i="2631"/>
  <c r="L39" i="2631" s="1"/>
  <c r="M39" i="2631" s="1"/>
  <c r="K41" i="2631"/>
  <c r="L41" i="2631" s="1"/>
  <c r="M41" i="2631" s="1"/>
  <c r="K21" i="2631" l="1"/>
  <c r="L21" i="2631" s="1"/>
  <c r="M21" i="2631" s="1"/>
  <c r="I21" i="2631"/>
  <c r="H21" i="2631" s="1"/>
  <c r="Q16" i="2631" l="1"/>
  <c r="Q17" i="2631" s="1"/>
  <c r="K27" i="2631"/>
  <c r="L27" i="2631" s="1"/>
  <c r="M27" i="2631" s="1"/>
  <c r="I27" i="2631"/>
  <c r="H27" i="2631" s="1"/>
  <c r="K25" i="2631"/>
  <c r="L25" i="2631" s="1"/>
  <c r="M25" i="2631" s="1"/>
  <c r="I25" i="2631"/>
  <c r="H25" i="2631" s="1"/>
  <c r="K17" i="2631"/>
  <c r="L17" i="2631" s="1"/>
  <c r="M17" i="2631" s="1"/>
  <c r="I17" i="2631"/>
  <c r="H17" i="2631" s="1"/>
  <c r="K15" i="2631"/>
  <c r="L15" i="2631" s="1"/>
  <c r="M15" i="2631" s="1"/>
  <c r="I15" i="2631"/>
  <c r="H15" i="2631" s="1"/>
  <c r="K13" i="2631"/>
  <c r="L13" i="2631" s="1"/>
  <c r="M13" i="2631" s="1"/>
  <c r="I13" i="2631"/>
  <c r="H13" i="2631" s="1"/>
  <c r="K11" i="2631"/>
  <c r="L11" i="2631" s="1"/>
  <c r="M11" i="2631" s="1"/>
  <c r="I11" i="2631"/>
  <c r="H11" i="2631" s="1"/>
  <c r="K9" i="2631"/>
  <c r="I9" i="2631"/>
  <c r="H9" i="2631" s="1"/>
  <c r="K5" i="2631"/>
  <c r="L5" i="2631" s="1"/>
  <c r="M5" i="2631" s="1"/>
  <c r="I5" i="2631"/>
  <c r="H5" i="2631" s="1"/>
  <c r="K3" i="2631"/>
  <c r="L3" i="2631" s="1"/>
  <c r="M3" i="2631" s="1"/>
  <c r="I3" i="2631"/>
  <c r="H3" i="2631" s="1"/>
  <c r="I31" i="2630"/>
  <c r="H31" i="2630" s="1"/>
  <c r="K31" i="2630"/>
  <c r="L31" i="2630" s="1"/>
  <c r="M31" i="2630" s="1"/>
  <c r="N31" i="2630" s="1"/>
  <c r="K21" i="2630"/>
  <c r="L21" i="2630" s="1"/>
  <c r="M21" i="2630" s="1"/>
  <c r="N21" i="2630" s="1"/>
  <c r="I21" i="2630"/>
  <c r="H21" i="2630" s="1"/>
  <c r="K5" i="2630"/>
  <c r="L5" i="2630" s="1"/>
  <c r="M5" i="2630" s="1"/>
  <c r="N5" i="2630" s="1"/>
  <c r="I5" i="2630"/>
  <c r="H5" i="2630" s="1"/>
  <c r="K27" i="2630"/>
  <c r="L27" i="2630" s="1"/>
  <c r="M27" i="2630" s="1"/>
  <c r="N27" i="2630" s="1"/>
  <c r="I27" i="2630"/>
  <c r="H27" i="2630" s="1"/>
  <c r="K25" i="2630"/>
  <c r="L25" i="2630" s="1"/>
  <c r="M25" i="2630" s="1"/>
  <c r="N25" i="2630" s="1"/>
  <c r="I25" i="2630"/>
  <c r="H25" i="2630" s="1"/>
  <c r="K23" i="2630"/>
  <c r="L23" i="2630" s="1"/>
  <c r="M23" i="2630" s="1"/>
  <c r="N23" i="2630" s="1"/>
  <c r="I23" i="2630"/>
  <c r="H23" i="2630" s="1"/>
  <c r="K19" i="2630"/>
  <c r="L19" i="2630" s="1"/>
  <c r="M19" i="2630" s="1"/>
  <c r="N19" i="2630" s="1"/>
  <c r="I19" i="2630"/>
  <c r="H19" i="2630" s="1"/>
  <c r="K17" i="2630"/>
  <c r="L17" i="2630" s="1"/>
  <c r="M17" i="2630" s="1"/>
  <c r="N17" i="2630" s="1"/>
  <c r="I17" i="2630"/>
  <c r="H17" i="2630" s="1"/>
  <c r="K15" i="2630"/>
  <c r="L15" i="2630" s="1"/>
  <c r="M15" i="2630" s="1"/>
  <c r="N15" i="2630" s="1"/>
  <c r="I15" i="2630"/>
  <c r="H15" i="2630" s="1"/>
  <c r="K13" i="2630"/>
  <c r="L13" i="2630" s="1"/>
  <c r="M13" i="2630" s="1"/>
  <c r="N13" i="2630" s="1"/>
  <c r="I13" i="2630"/>
  <c r="H13" i="2630" s="1"/>
  <c r="K11" i="2630"/>
  <c r="L11" i="2630" s="1"/>
  <c r="M11" i="2630" s="1"/>
  <c r="N11" i="2630" s="1"/>
  <c r="I11" i="2630"/>
  <c r="H11" i="2630" s="1"/>
  <c r="K9" i="2630"/>
  <c r="I9" i="2630"/>
  <c r="H9" i="2630" s="1"/>
  <c r="Q13" i="2630" s="1"/>
  <c r="K7" i="2630"/>
  <c r="L7" i="2630" s="1"/>
  <c r="M7" i="2630" s="1"/>
  <c r="N7" i="2630" s="1"/>
  <c r="I7" i="2630"/>
  <c r="H7" i="2630" s="1"/>
  <c r="K3" i="2630"/>
  <c r="L3" i="2630" s="1"/>
  <c r="M3" i="2630" s="1"/>
  <c r="N3" i="2630" s="1"/>
  <c r="I3" i="2630"/>
  <c r="H3" i="2630" s="1"/>
  <c r="Q16" i="2629"/>
  <c r="Q17" i="2629" s="1"/>
  <c r="Q14" i="2629"/>
  <c r="Q13" i="2629"/>
  <c r="K27" i="2629"/>
  <c r="L27" i="2629" s="1"/>
  <c r="M27" i="2629" s="1"/>
  <c r="N27" i="2629" s="1"/>
  <c r="I27" i="2629"/>
  <c r="H27" i="2629" s="1"/>
  <c r="K25" i="2629"/>
  <c r="L25" i="2629" s="1"/>
  <c r="M25" i="2629" s="1"/>
  <c r="N25" i="2629" s="1"/>
  <c r="I25" i="2629"/>
  <c r="H25" i="2629" s="1"/>
  <c r="K21" i="2629"/>
  <c r="L21" i="2629" s="1"/>
  <c r="M21" i="2629" s="1"/>
  <c r="N21" i="2629" s="1"/>
  <c r="I21" i="2629"/>
  <c r="H21" i="2629" s="1"/>
  <c r="I23" i="2629"/>
  <c r="H23" i="2629" s="1"/>
  <c r="K23" i="2629"/>
  <c r="L23" i="2629" s="1"/>
  <c r="M23" i="2629" s="1"/>
  <c r="N23" i="2629" s="1"/>
  <c r="L9" i="2631" l="1"/>
  <c r="P13" i="2631"/>
  <c r="P14" i="2631" s="1"/>
  <c r="M9" i="2631"/>
  <c r="P16" i="2631" s="1"/>
  <c r="P17" i="2631" s="1"/>
  <c r="Q16" i="2630"/>
  <c r="Q14" i="2630"/>
  <c r="L9" i="2630"/>
  <c r="M9" i="2630" s="1"/>
  <c r="N9" i="2630" s="1"/>
  <c r="I11" i="2629"/>
  <c r="H11" i="2629" s="1"/>
  <c r="K11" i="2629"/>
  <c r="L11" i="2629" s="1"/>
  <c r="M11" i="2629" s="1"/>
  <c r="N11" i="2629" s="1"/>
  <c r="K5" i="2629"/>
  <c r="L5" i="2629" s="1"/>
  <c r="M5" i="2629" s="1"/>
  <c r="N5" i="2629" s="1"/>
  <c r="I5" i="2629"/>
  <c r="H5" i="2629" s="1"/>
  <c r="K31" i="2629"/>
  <c r="L31" i="2629" s="1"/>
  <c r="M31" i="2629" s="1"/>
  <c r="N31" i="2629" s="1"/>
  <c r="I31" i="2629"/>
  <c r="H31" i="2629" s="1"/>
  <c r="K29" i="2629"/>
  <c r="L29" i="2629" s="1"/>
  <c r="M29" i="2629" s="1"/>
  <c r="N29" i="2629" s="1"/>
  <c r="I29" i="2629"/>
  <c r="H29" i="2629" s="1"/>
  <c r="K19" i="2629"/>
  <c r="L19" i="2629" s="1"/>
  <c r="M19" i="2629" s="1"/>
  <c r="N19" i="2629" s="1"/>
  <c r="I19" i="2629"/>
  <c r="H19" i="2629" s="1"/>
  <c r="K17" i="2629"/>
  <c r="L17" i="2629" s="1"/>
  <c r="M17" i="2629" s="1"/>
  <c r="N17" i="2629" s="1"/>
  <c r="I17" i="2629"/>
  <c r="H17" i="2629" s="1"/>
  <c r="K15" i="2629"/>
  <c r="L15" i="2629" s="1"/>
  <c r="M15" i="2629" s="1"/>
  <c r="N15" i="2629" s="1"/>
  <c r="I15" i="2629"/>
  <c r="H15" i="2629" s="1"/>
  <c r="K13" i="2629"/>
  <c r="L13" i="2629" s="1"/>
  <c r="M13" i="2629" s="1"/>
  <c r="N13" i="2629" s="1"/>
  <c r="I13" i="2629"/>
  <c r="H13" i="2629" s="1"/>
  <c r="K9" i="2629"/>
  <c r="L9" i="2629" s="1"/>
  <c r="M9" i="2629" s="1"/>
  <c r="N9" i="2629" s="1"/>
  <c r="I9" i="2629"/>
  <c r="H9" i="2629" s="1"/>
  <c r="K7" i="2629"/>
  <c r="L7" i="2629" s="1"/>
  <c r="M7" i="2629" s="1"/>
  <c r="N7" i="2629" s="1"/>
  <c r="I7" i="2629"/>
  <c r="H7" i="2629" s="1"/>
  <c r="K3" i="2629"/>
  <c r="L3" i="2629" s="1"/>
  <c r="N3" i="2629" s="1"/>
  <c r="I3" i="2629"/>
  <c r="H3" i="2629" s="1"/>
  <c r="Q17" i="2630" l="1"/>
  <c r="M17" i="2628"/>
  <c r="N17" i="2628"/>
  <c r="M19" i="2628"/>
  <c r="N19" i="2628"/>
  <c r="M21" i="2628"/>
  <c r="N21" i="2628" s="1"/>
  <c r="M23" i="2628"/>
  <c r="N23" i="2628"/>
  <c r="M25" i="2628"/>
  <c r="N25" i="2628"/>
  <c r="M27" i="2628"/>
  <c r="N27" i="2628" s="1"/>
  <c r="N3" i="2628"/>
  <c r="N5" i="2628"/>
  <c r="N7" i="2628"/>
  <c r="N9" i="2628"/>
  <c r="N11" i="2628"/>
  <c r="N13" i="2628"/>
  <c r="L13" i="2628"/>
  <c r="M13" i="2628" s="1"/>
  <c r="L11" i="2628"/>
  <c r="M11" i="2628"/>
  <c r="L9" i="2628"/>
  <c r="M9" i="2628" s="1"/>
  <c r="K9" i="2628"/>
  <c r="H9" i="2628"/>
  <c r="I9" i="2628"/>
  <c r="K7" i="2628"/>
  <c r="L7" i="2628" s="1"/>
  <c r="M7" i="2628" s="1"/>
  <c r="I7" i="2628"/>
  <c r="H7" i="2628" s="1"/>
  <c r="K5" i="2628"/>
  <c r="L5" i="2628" s="1"/>
  <c r="M5" i="2628" s="1"/>
  <c r="I5" i="2628"/>
  <c r="H5" i="2628" s="1"/>
  <c r="K3" i="2628" l="1"/>
  <c r="L3" i="2628" s="1"/>
  <c r="M3" i="2628" s="1"/>
  <c r="I3" i="2628"/>
  <c r="H3" i="2628" s="1"/>
  <c r="K27" i="2628"/>
  <c r="L27" i="2628" s="1"/>
  <c r="I27" i="2628"/>
  <c r="H27" i="2628" s="1"/>
  <c r="K25" i="2628"/>
  <c r="L25" i="2628" s="1"/>
  <c r="I25" i="2628"/>
  <c r="H25" i="2628" s="1"/>
  <c r="K23" i="2628"/>
  <c r="L23" i="2628" s="1"/>
  <c r="I23" i="2628"/>
  <c r="H23" i="2628"/>
  <c r="K21" i="2628"/>
  <c r="L21" i="2628" s="1"/>
  <c r="I21" i="2628"/>
  <c r="H21" i="2628" s="1"/>
  <c r="K19" i="2628"/>
  <c r="L19" i="2628" s="1"/>
  <c r="I19" i="2628"/>
  <c r="H19" i="2628" s="1"/>
  <c r="K17" i="2628"/>
  <c r="L17" i="2628" s="1"/>
  <c r="I17" i="2628"/>
  <c r="H17" i="2628" s="1"/>
  <c r="K13" i="2628"/>
  <c r="I13" i="2628"/>
  <c r="H13" i="2628" s="1"/>
  <c r="K11" i="2628"/>
  <c r="I11" i="2628"/>
  <c r="H11" i="2628" s="1"/>
</calcChain>
</file>

<file path=xl/sharedStrings.xml><?xml version="1.0" encoding="utf-8"?>
<sst xmlns="http://schemas.openxmlformats.org/spreadsheetml/2006/main" count="5957" uniqueCount="658">
  <si>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</si>
  <si>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</si>
  <si>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</si>
  <si>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</si>
  <si>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</si>
  <si>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</si>
  <si>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</si>
  <si>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</si>
  <si>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</si>
  <si>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</si>
  <si>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</si>
  <si>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</si>
  <si>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</si>
  <si>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</si>
  <si>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</si>
  <si>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</si>
  <si>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</si>
  <si>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</si>
  <si>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</si>
  <si>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</si>
  <si>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</si>
  <si>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</si>
  <si>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</si>
  <si>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</si>
  <si>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</si>
  <si>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</si>
  <si>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</si>
  <si>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</si>
  <si>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</si>
  <si>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</si>
  <si>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</si>
  <si>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</si>
  <si>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총기장(뒷목)</t>
  </si>
  <si>
    <t>목둘레</t>
  </si>
  <si>
    <t>카라폭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</si>
  <si>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</si>
  <si>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</si>
  <si>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</si>
  <si>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</si>
  <si>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</si>
  <si>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</si>
  <si>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</si>
  <si>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</si>
  <si>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</si>
  <si>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</si>
  <si>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</si>
  <si>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</si>
  <si>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</si>
  <si>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</si>
  <si>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</si>
  <si>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</si>
  <si>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</si>
  <si>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</si>
  <si>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</si>
  <si>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</si>
  <si>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</si>
  <si>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</si>
  <si>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</si>
  <si>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</si>
  <si>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</si>
  <si>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</si>
  <si>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</si>
  <si>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</si>
  <si>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</si>
  <si>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</si>
  <si>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</si>
  <si>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</si>
  <si>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</si>
  <si>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</si>
  <si>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</si>
  <si>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</si>
  <si>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</si>
  <si>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</si>
  <si>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COLLAR WIDTH</t>
    <phoneticPr fontId="2" type="noConversion"/>
  </si>
  <si>
    <t xml:space="preserve">CUFFS OPENING </t>
    <phoneticPr fontId="2" type="noConversion"/>
  </si>
  <si>
    <t>옆목점에서 밑단까지의 직선길이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</si>
  <si>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</si>
  <si>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</si>
  <si>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 xml:space="preserve">허리에서 수직으로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</si>
  <si>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</si>
  <si>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</si>
  <si>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</si>
  <si>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</si>
  <si>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</si>
  <si>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</si>
  <si>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</si>
  <si>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</si>
  <si>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</si>
  <si>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</si>
  <si>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</si>
  <si>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</si>
  <si>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</si>
  <si>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</si>
  <si>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</si>
  <si>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</si>
  <si>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</si>
  <si>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</si>
  <si>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</si>
  <si>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</si>
  <si>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</si>
  <si>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</si>
  <si>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</si>
  <si>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</si>
  <si>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</si>
  <si>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</si>
  <si>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</si>
  <si>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</si>
  <si>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t>와끼선을 기준으로 오비끝에서 밑단 끝까지의 길이</t>
    <phoneticPr fontId="1" type="noConversion"/>
  </si>
  <si>
    <t>몸판허리둘레</t>
    <phoneticPr fontId="1" type="noConversion"/>
  </si>
  <si>
    <t>WAIST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</si>
  <si>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</si>
  <si>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</si>
  <si>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</si>
  <si>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</si>
  <si>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</si>
  <si>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</si>
  <si>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</si>
  <si>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오비포함 와끼 기준</t>
    <phoneticPr fontId="1" type="noConversion"/>
  </si>
  <si>
    <t>나나밴드</t>
    <phoneticPr fontId="1" type="noConversion"/>
  </si>
  <si>
    <t>ADIJUSTABLE BAND</t>
    <phoneticPr fontId="1" type="noConversion"/>
  </si>
  <si>
    <t>POINT A</t>
    <phoneticPr fontId="1" type="noConversion"/>
  </si>
  <si>
    <t>POINT B</t>
    <phoneticPr fontId="1" type="noConversion"/>
  </si>
  <si>
    <t xml:space="preserve">BASED ON ZIPPER FLY OUT LINE ,STRIGHT 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</si>
  <si>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</si>
  <si>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</si>
  <si>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</si>
  <si>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</si>
  <si>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</si>
  <si>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위치 A</t>
    <phoneticPr fontId="1" type="noConversion"/>
  </si>
  <si>
    <t>위치 B</t>
    <phoneticPr fontId="1" type="noConversion"/>
  </si>
  <si>
    <t>3XL</t>
    <phoneticPr fontId="1" type="noConversion"/>
  </si>
  <si>
    <t>2XL</t>
    <phoneticPr fontId="1" type="noConversion"/>
  </si>
  <si>
    <t>4XL</t>
    <phoneticPr fontId="1" type="noConversion"/>
  </si>
  <si>
    <t>SLEEVE 4G BAND</t>
    <phoneticPr fontId="2" type="noConversion"/>
  </si>
  <si>
    <t>YKK</t>
    <phoneticPr fontId="1" type="noConversion"/>
  </si>
  <si>
    <t>앞지퍼길이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</si>
  <si>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</si>
  <si>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</si>
  <si>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</si>
  <si>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치마 총기장</t>
    <phoneticPr fontId="1" type="noConversion"/>
  </si>
  <si>
    <t xml:space="preserve">SKIRT TOTAL LENGTH </t>
    <phoneticPr fontId="1" type="noConversion"/>
  </si>
  <si>
    <t>WITHOUT NECK BAND</t>
    <phoneticPr fontId="2" type="noConversion"/>
  </si>
  <si>
    <t>FRONT YOKE LENGTH</t>
    <phoneticPr fontId="1" type="noConversion"/>
  </si>
  <si>
    <t>BACK YOKE LENGTH</t>
    <phoneticPr fontId="1" type="noConversion"/>
  </si>
  <si>
    <t>노출길이: 16cm</t>
    <phoneticPr fontId="18" type="noConversion"/>
  </si>
  <si>
    <t>4XL</t>
  </si>
  <si>
    <t>어깨끈길이</t>
    <phoneticPr fontId="18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</si>
  <si>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</si>
  <si>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</si>
  <si>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뒤중심</t>
    <phoneticPr fontId="18" type="noConversion"/>
  </si>
  <si>
    <t>총기장(앞중심)</t>
    <phoneticPr fontId="2" type="noConversion"/>
  </si>
  <si>
    <t>SHOULDER STRAP</t>
    <phoneticPr fontId="2" type="noConversion"/>
  </si>
  <si>
    <t>FRONT,BACK UPPER CHEST</t>
    <phoneticPr fontId="2" type="noConversion"/>
  </si>
  <si>
    <t>앞,뒤바대 폭</t>
    <phoneticPr fontId="1" type="noConversion"/>
  </si>
  <si>
    <t>끈에서 끈 직선길이</t>
    <phoneticPr fontId="1" type="noConversion"/>
  </si>
  <si>
    <t xml:space="preserve">1ST SKIRT LENGTH </t>
    <phoneticPr fontId="1" type="noConversion"/>
  </si>
  <si>
    <t>1단치마 기장</t>
    <phoneticPr fontId="1" type="noConversion"/>
  </si>
  <si>
    <t xml:space="preserve">2ND SKIRT LENGTH </t>
    <phoneticPr fontId="1" type="noConversion"/>
  </si>
  <si>
    <t>2단치마 기장</t>
    <phoneticPr fontId="1" type="noConversion"/>
  </si>
  <si>
    <t>AT CENTER BACK HIGHT</t>
    <phoneticPr fontId="1" type="noConversion"/>
  </si>
  <si>
    <t>뒷목 중심에서 수직으로 잰 길이</t>
    <phoneticPr fontId="1" type="noConversion"/>
  </si>
  <si>
    <t>FRONT ZIPPER LENGTH</t>
    <phoneticPr fontId="1" type="noConversion"/>
  </si>
  <si>
    <t>앞중심에서 수평으로</t>
    <phoneticPr fontId="1" type="noConversion"/>
  </si>
  <si>
    <t>WAIST SWEEP (1/2)</t>
    <phoneticPr fontId="2" type="noConversion"/>
  </si>
  <si>
    <t>허리둘레(반품)</t>
    <phoneticPr fontId="18" type="noConversion"/>
  </si>
  <si>
    <t>FRONT YOKE LENGTH</t>
    <phoneticPr fontId="18" type="noConversion"/>
  </si>
  <si>
    <t>앞요크길이</t>
    <phoneticPr fontId="18" type="noConversion"/>
  </si>
  <si>
    <t>앞중심</t>
    <phoneticPr fontId="18" type="noConversion"/>
  </si>
  <si>
    <t>BACK YOKE LENGTH</t>
    <phoneticPr fontId="18" type="noConversion"/>
  </si>
  <si>
    <t>뒤요크길이</t>
    <phoneticPr fontId="18" type="noConversion"/>
  </si>
  <si>
    <t>중심,보이는분분</t>
    <phoneticPr fontId="18" type="noConversion"/>
  </si>
  <si>
    <t>BACK ZIPPER LENGTH</t>
    <phoneticPr fontId="1" type="noConversion"/>
  </si>
  <si>
    <t>WAIST STRING LENGTH</t>
    <phoneticPr fontId="2" type="noConversion"/>
  </si>
  <si>
    <t>허리스트링길이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</si>
  <si>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</si>
  <si>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</si>
  <si>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</si>
  <si>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</si>
  <si>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</si>
  <si>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</si>
  <si>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</si>
  <si>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</si>
  <si>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</si>
  <si>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FRONT LENGTH</t>
    <phoneticPr fontId="2" type="noConversion"/>
  </si>
  <si>
    <t>BACK LENGTH</t>
    <phoneticPr fontId="2" type="noConversion"/>
  </si>
  <si>
    <t>앞중심에서 수평으로 잰 길이</t>
    <phoneticPr fontId="18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</si>
  <si>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</si>
  <si>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앞중심에서 밑단까지의 직선길이</t>
    <phoneticPr fontId="1" type="noConversion"/>
  </si>
  <si>
    <t>뒤지퍼길이</t>
    <phoneticPr fontId="1" type="noConversion"/>
  </si>
  <si>
    <t xml:space="preserve"> </t>
    <phoneticPr fontId="18" type="noConversion"/>
  </si>
  <si>
    <t>WAIST 6G BAND</t>
    <phoneticPr fontId="2" type="noConversion"/>
  </si>
  <si>
    <t>밑단프릴 기장</t>
    <phoneticPr fontId="1" type="noConversion"/>
  </si>
  <si>
    <t>STYLE NO: JYFSK01-W#Y03</t>
    <phoneticPr fontId="1" type="noConversion"/>
  </si>
  <si>
    <t>여유=4cm</t>
    <phoneticPr fontId="18" type="noConversion"/>
  </si>
  <si>
    <t>BOTTOM BAND</t>
    <phoneticPr fontId="2" type="noConversion"/>
  </si>
  <si>
    <t>밑단고무줄길이</t>
    <phoneticPr fontId="1" type="noConversion"/>
  </si>
  <si>
    <t>옆목점에서 앞목중심의 수직 길이</t>
    <phoneticPr fontId="1" type="noConversion"/>
  </si>
  <si>
    <t>SLEEVE BAND</t>
    <phoneticPr fontId="2" type="noConversion"/>
  </si>
  <si>
    <t>소매부리고무줄</t>
    <phoneticPr fontId="18" type="noConversion"/>
  </si>
  <si>
    <t>WELT POCKET LENGTH</t>
    <phoneticPr fontId="2" type="noConversion"/>
  </si>
  <si>
    <t>구찌길이</t>
    <phoneticPr fontId="1" type="noConversion"/>
  </si>
  <si>
    <t>POINT COLLAR WIDTH</t>
    <phoneticPr fontId="2" type="noConversion"/>
  </si>
  <si>
    <t>앞카라폭</t>
    <phoneticPr fontId="18" type="noConversion"/>
  </si>
  <si>
    <t>중심에서 수직으로 잰 길이</t>
    <phoneticPr fontId="1" type="noConversion"/>
  </si>
  <si>
    <t>CENTER BACK HIGHT</t>
    <phoneticPr fontId="1" type="noConversion"/>
  </si>
  <si>
    <t>NECK BAND WIDTH</t>
    <phoneticPr fontId="2" type="noConversion"/>
  </si>
  <si>
    <t>에리고시 폭</t>
    <phoneticPr fontId="18" type="noConversion"/>
  </si>
  <si>
    <t>BAND</t>
    <phoneticPr fontId="18" type="noConversion"/>
  </si>
  <si>
    <t>STYLE NO: JYFOU02-W#Y01</t>
    <phoneticPr fontId="1" type="noConversion"/>
  </si>
  <si>
    <t>20MM</t>
    <phoneticPr fontId="18" type="noConversion"/>
  </si>
  <si>
    <t>25MM</t>
    <phoneticPr fontId="18" type="noConversion"/>
  </si>
  <si>
    <t>STYLE NO: JYFOU03-W#Y02</t>
    <phoneticPr fontId="1" type="noConversion"/>
  </si>
  <si>
    <t>요크절개선에서 수직으로 잰 길이</t>
    <phoneticPr fontId="18" type="noConversion"/>
  </si>
  <si>
    <t>STYLE NO: JYFOU04-W#R03</t>
    <phoneticPr fontId="1" type="noConversion"/>
  </si>
  <si>
    <t>FRONT POCKET WIDTH</t>
  </si>
  <si>
    <t>앞주머니너비</t>
  </si>
  <si>
    <t>FRONT POCKET HEIGHT</t>
  </si>
  <si>
    <t>앞주머니높이</t>
  </si>
  <si>
    <t>앞넥중심에서 수직으로 잰 길이</t>
    <phoneticPr fontId="18" type="noConversion"/>
  </si>
  <si>
    <t>완성사이즈</t>
    <phoneticPr fontId="18" type="noConversion"/>
  </si>
  <si>
    <t>HOOD BAND</t>
    <phoneticPr fontId="2" type="noConversion"/>
  </si>
  <si>
    <t>후드 고무줄</t>
    <phoneticPr fontId="18" type="noConversion"/>
  </si>
  <si>
    <t>15MM</t>
    <phoneticPr fontId="18" type="noConversion"/>
  </si>
  <si>
    <t>30MM</t>
    <phoneticPr fontId="18" type="noConversion"/>
  </si>
  <si>
    <t>STYLE NO: JYFTO07-K#H07</t>
    <phoneticPr fontId="1" type="noConversion"/>
  </si>
  <si>
    <t>HPS TO BOTTOM EDGE</t>
    <phoneticPr fontId="2" type="noConversion"/>
  </si>
  <si>
    <t xml:space="preserve">CUFF OPENING </t>
    <phoneticPr fontId="2" type="noConversion"/>
  </si>
  <si>
    <t>BACK SLIT LENGTH</t>
    <phoneticPr fontId="1" type="noConversion"/>
  </si>
  <si>
    <t>뒤트임길이</t>
    <phoneticPr fontId="1" type="noConversion"/>
  </si>
  <si>
    <t>SIDESEAM 4G BAND</t>
    <phoneticPr fontId="1" type="noConversion"/>
  </si>
  <si>
    <t>와끼4골고무줄</t>
    <phoneticPr fontId="1" type="noConversion"/>
  </si>
  <si>
    <t>STYLE NO: JYFLE01-K#G02</t>
    <phoneticPr fontId="1" type="noConversion"/>
  </si>
  <si>
    <t>STYLE NO: JYFTO06-K#H09</t>
    <phoneticPr fontId="1" type="noConversion"/>
  </si>
  <si>
    <t>소매기장(레이스포함)</t>
    <phoneticPr fontId="18" type="noConversion"/>
  </si>
  <si>
    <t>STYLE NO: JYFPT01-K#H03</t>
    <phoneticPr fontId="1" type="noConversion"/>
  </si>
  <si>
    <t>오비포함</t>
    <phoneticPr fontId="1" type="noConversion"/>
  </si>
  <si>
    <t>FRONT  POCKET LENGTH</t>
    <phoneticPr fontId="1" type="noConversion"/>
  </si>
  <si>
    <t>앞주머니입구</t>
    <phoneticPr fontId="18" type="noConversion"/>
  </si>
  <si>
    <t>주머니입구에서</t>
    <phoneticPr fontId="18" type="noConversion"/>
  </si>
  <si>
    <t>BOTTOM STRING LENGTH</t>
    <phoneticPr fontId="2" type="noConversion"/>
  </si>
  <si>
    <t>밑단스트링길이</t>
    <phoneticPr fontId="1" type="noConversion"/>
  </si>
  <si>
    <t>여유분: 12cm</t>
    <phoneticPr fontId="18" type="noConversion"/>
  </si>
  <si>
    <t>START ARM HOLE JOINING POINT TO POINT(1/2)</t>
    <phoneticPr fontId="1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</si>
  <si>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</si>
  <si>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</si>
  <si>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</si>
  <si>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에리립 폭</t>
    <phoneticPr fontId="1" type="noConversion"/>
  </si>
  <si>
    <t>목라인(NECK LINE)을 따라 잰 곡선의 둘레길이</t>
  </si>
  <si>
    <t>SLEEVE RIB WIDTH</t>
    <phoneticPr fontId="2" type="noConversion"/>
  </si>
  <si>
    <t>소매립 폭</t>
    <phoneticPr fontId="1" type="noConversion"/>
  </si>
  <si>
    <t>FRONT PLACKET WIDTH</t>
    <phoneticPr fontId="2" type="noConversion"/>
  </si>
  <si>
    <t>앞단작폭</t>
    <phoneticPr fontId="1" type="noConversion"/>
  </si>
  <si>
    <t>앞옆목에서 수직으로</t>
    <phoneticPr fontId="1" type="noConversion"/>
  </si>
  <si>
    <t>FROM FRONT CENTER TO HORIZONTALLY</t>
    <phoneticPr fontId="1" type="noConversion"/>
  </si>
  <si>
    <t>STYLE NO: JYFOU05-S#R06(니트)</t>
    <phoneticPr fontId="1" type="noConversion"/>
  </si>
  <si>
    <t xml:space="preserve">어깨 양끝점을 수평으로 잰 길이 </t>
    <phoneticPr fontId="1" type="noConversion"/>
  </si>
  <si>
    <t>소매기장</t>
    <phoneticPr fontId="1" type="noConversion"/>
  </si>
  <si>
    <t>STYLE NO: JYFOP02-K#G05</t>
    <phoneticPr fontId="1" type="noConversion"/>
  </si>
  <si>
    <t>허리 6골고무줄</t>
    <phoneticPr fontId="18" type="noConversion"/>
  </si>
  <si>
    <t>SKIRT LENGTH</t>
    <phoneticPr fontId="2" type="noConversion"/>
  </si>
  <si>
    <t>치마길이</t>
    <phoneticPr fontId="18" type="noConversion"/>
  </si>
  <si>
    <t>SKIRT BOTTOM LENGTH</t>
    <phoneticPr fontId="2" type="noConversion"/>
  </si>
  <si>
    <t>치마밑단둘레</t>
    <phoneticPr fontId="1" type="noConversion"/>
  </si>
  <si>
    <t>셔링완성</t>
    <phoneticPr fontId="18" type="noConversion"/>
  </si>
  <si>
    <t>OUTER TOTAL LENGTH</t>
    <phoneticPr fontId="2" type="noConversion"/>
  </si>
  <si>
    <t>가디건 총기장(옆목)</t>
    <phoneticPr fontId="1" type="noConversion"/>
  </si>
  <si>
    <t xml:space="preserve"> UPPER CHEST</t>
    <phoneticPr fontId="2" type="noConversion"/>
  </si>
  <si>
    <t>바대 폭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</si>
  <si>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</si>
  <si>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</si>
  <si>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</si>
  <si>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</si>
  <si>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FROM FRONT NECK CENTER TO VERTICAL</t>
    <phoneticPr fontId="1" type="noConversion"/>
  </si>
  <si>
    <t>앞목중심에서 수직으로</t>
    <phoneticPr fontId="1" type="noConversion"/>
  </si>
  <si>
    <t>STYLE NO: JYFTO09-K#R05</t>
    <phoneticPr fontId="1" type="noConversion"/>
  </si>
  <si>
    <t>STYLE NO: JYFTO11-K#Y08</t>
    <phoneticPr fontId="1" type="noConversion"/>
  </si>
  <si>
    <t>앞요크길이</t>
    <phoneticPr fontId="1" type="noConversion"/>
  </si>
  <si>
    <t>뒤요크길이</t>
    <phoneticPr fontId="1" type="noConversion"/>
  </si>
  <si>
    <t>SHOULDER STRAP LENGTH</t>
    <phoneticPr fontId="1" type="noConversion"/>
  </si>
  <si>
    <t>어깨끈길이</t>
    <phoneticPr fontId="1" type="noConversion"/>
  </si>
  <si>
    <t>STYLE NO: JYFTO05-K#H10</t>
    <phoneticPr fontId="1" type="noConversion"/>
  </si>
  <si>
    <t>STYLE NO: JYFTO16-K#G04</t>
    <phoneticPr fontId="1" type="noConversion"/>
  </si>
  <si>
    <t>BACK COLLAR POINT</t>
    <phoneticPr fontId="2" type="noConversion"/>
  </si>
  <si>
    <t>FRONT COLLAR POINT</t>
    <phoneticPr fontId="2" type="noConversion"/>
  </si>
  <si>
    <t>앞카라포인트길이</t>
    <phoneticPr fontId="18" type="noConversion"/>
  </si>
  <si>
    <t>뒤카라포인트길이</t>
    <phoneticPr fontId="18" type="noConversion"/>
  </si>
  <si>
    <t>STYLE NO: JYFTO08-K#R04</t>
    <phoneticPr fontId="1" type="noConversion"/>
  </si>
  <si>
    <t>OUTSIDE BOTTOM FRILL</t>
    <phoneticPr fontId="1" type="noConversion"/>
  </si>
  <si>
    <t>겉밑단프릴기장</t>
    <phoneticPr fontId="1" type="noConversion"/>
  </si>
  <si>
    <t>IONSIDE BOTTOM FRILL</t>
    <phoneticPr fontId="1" type="noConversion"/>
  </si>
  <si>
    <t>속밑단프릴기장</t>
    <phoneticPr fontId="1" type="noConversion"/>
  </si>
  <si>
    <t>보이는부분</t>
    <phoneticPr fontId="18" type="noConversion"/>
  </si>
  <si>
    <t>STYLE NO: JYFOU01-K#H01</t>
    <phoneticPr fontId="1" type="noConversion"/>
  </si>
  <si>
    <t>중심에서 가장 튀어나온 점까지 수평으로 잰 길이</t>
    <phoneticPr fontId="18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</si>
  <si>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</si>
  <si>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</si>
  <si>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STYLE NO: JYFTO01-K#H02</t>
    <phoneticPr fontId="1" type="noConversion"/>
  </si>
  <si>
    <t>STYLE NO: JYFTO03-K#G01</t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</si>
  <si>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(프릴달림선)</t>
    </r>
    <phoneticPr fontId="1" type="noConversion"/>
  </si>
  <si>
    <t>STYLE NO: JYFTO15-K#A02</t>
    <phoneticPr fontId="1" type="noConversion"/>
  </si>
  <si>
    <t>4G-BAND</t>
    <phoneticPr fontId="18" type="noConversion"/>
  </si>
  <si>
    <t>소매기장</t>
    <phoneticPr fontId="18" type="noConversion"/>
  </si>
  <si>
    <t>CUFF OPENING 4G BAND</t>
    <phoneticPr fontId="2" type="noConversion"/>
  </si>
  <si>
    <t>소매부리 4골밴드</t>
    <phoneticPr fontId="18" type="noConversion"/>
  </si>
  <si>
    <t>완성사이즈</t>
    <phoneticPr fontId="1" type="noConversion"/>
  </si>
  <si>
    <t>COLLAR WIDTH</t>
  </si>
  <si>
    <t>HPS TO COLLAR EDGE</t>
    <phoneticPr fontId="18" type="noConversion"/>
  </si>
  <si>
    <r>
      <t>옆목점에서 카라끝선까지 직선으로 잰 길이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</si>
  <si>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>STYLE NO: JYFPT03-K#R09</t>
    <phoneticPr fontId="1" type="noConversion"/>
  </si>
  <si>
    <t xml:space="preserve">FRONT SKIRT LENGTH </t>
    <phoneticPr fontId="1" type="noConversion"/>
  </si>
  <si>
    <t>앞 치마기장</t>
    <phoneticPr fontId="1" type="noConversion"/>
  </si>
  <si>
    <t>오비제외,레이스포함</t>
    <phoneticPr fontId="18" type="noConversion"/>
  </si>
  <si>
    <t xml:space="preserve">BACK SKIRT LENGTH </t>
    <phoneticPr fontId="1" type="noConversion"/>
  </si>
  <si>
    <t>뒤중심 치마기장</t>
    <phoneticPr fontId="1" type="noConversion"/>
  </si>
  <si>
    <t xml:space="preserve">SIDE SKIRT LENGTH </t>
    <phoneticPr fontId="1" type="noConversion"/>
  </si>
  <si>
    <t xml:space="preserve"> 와끼 치마 기장</t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</si>
  <si>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>긴기장길이</t>
    </r>
    <r>
      <rPr>
        <sz val="7.5"/>
        <color rgb="FFFF0000"/>
        <rFont val="맑은 고딕"/>
        <family val="3"/>
        <charset val="129"/>
        <scheme val="minor"/>
      </rPr>
      <t xml:space="preserve"> 오비제외,레이스포함</t>
    </r>
    <phoneticPr fontId="18" type="noConversion"/>
  </si>
  <si>
    <t>STYLE NO: JYFSK02-K#H08</t>
    <phoneticPr fontId="1" type="noConversion"/>
  </si>
  <si>
    <t xml:space="preserve">TOTAL SKIRT LENGTH </t>
    <phoneticPr fontId="1" type="noConversion"/>
  </si>
  <si>
    <t>총치마기장</t>
    <phoneticPr fontId="1" type="noConversion"/>
  </si>
  <si>
    <t>오비포함</t>
    <phoneticPr fontId="18" type="noConversion"/>
  </si>
  <si>
    <t>YOKE LENGTH</t>
    <phoneticPr fontId="18" type="noConversion"/>
  </si>
  <si>
    <t>요크기장</t>
    <phoneticPr fontId="18" type="noConversion"/>
  </si>
  <si>
    <t>오비포함,프릴포함</t>
    <phoneticPr fontId="18" type="noConversion"/>
  </si>
  <si>
    <t xml:space="preserve">SKIRT LENGTH </t>
    <phoneticPr fontId="1" type="noConversion"/>
  </si>
  <si>
    <t>치마기장</t>
    <phoneticPr fontId="1" type="noConversion"/>
  </si>
  <si>
    <r>
      <t>보이는부분 (</t>
    </r>
    <r>
      <rPr>
        <sz val="7.5"/>
        <color rgb="FFFF0000"/>
        <rFont val="맑은 고딕"/>
        <family val="3"/>
        <charset val="129"/>
        <scheme val="major"/>
      </rPr>
      <t>레이스 22mm포함)</t>
    </r>
    <phoneticPr fontId="1" type="noConversion"/>
  </si>
  <si>
    <t xml:space="preserve">TOTAL LENGTH </t>
    <phoneticPr fontId="18" type="noConversion"/>
  </si>
  <si>
    <t xml:space="preserve">BOTTOM OPENING </t>
    <phoneticPr fontId="18" type="noConversion"/>
  </si>
  <si>
    <t>4G BAND</t>
    <phoneticPr fontId="18" type="noConversion"/>
  </si>
  <si>
    <t>샘플 양쪽하나씩</t>
    <phoneticPr fontId="18" type="noConversion"/>
  </si>
  <si>
    <t>SIDE LINE 4G BAND</t>
    <phoneticPr fontId="1" type="noConversion"/>
  </si>
  <si>
    <t>와끼 4골 밴드완성</t>
    <phoneticPr fontId="1" type="noConversion"/>
  </si>
  <si>
    <t>ROUND ,@ NECK SEWING  LINE</t>
    <phoneticPr fontId="1" type="noConversion"/>
  </si>
  <si>
    <t>STYLE NO: JYFTO02-K#Y04</t>
    <phoneticPr fontId="1" type="noConversion"/>
  </si>
  <si>
    <r>
      <t xml:space="preserve">앞중심 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8" type="noConversion"/>
  </si>
  <si>
    <t>STYLE NO: JYFLE03-K#H15</t>
    <phoneticPr fontId="1" type="noConversion"/>
  </si>
  <si>
    <t>1ST SKIRT LENGTH</t>
    <phoneticPr fontId="18" type="noConversion"/>
  </si>
  <si>
    <t>1단치마기장</t>
    <phoneticPr fontId="18" type="noConversion"/>
  </si>
  <si>
    <t>2ND SKIRT LENGTH</t>
    <phoneticPr fontId="18" type="noConversion"/>
  </si>
  <si>
    <t>2단치마기장</t>
    <phoneticPr fontId="18" type="noConversion"/>
  </si>
  <si>
    <t>프릴제외</t>
    <phoneticPr fontId="18" type="noConversion"/>
  </si>
  <si>
    <t>STYLE NO: JYFTO12-K#Y09</t>
    <phoneticPr fontId="1" type="noConversion"/>
  </si>
  <si>
    <t>앞중심,뷔스티에 스테치선</t>
    <phoneticPr fontId="18" type="noConversion"/>
  </si>
  <si>
    <t>뒤중심,밑단프릴 스테치선</t>
    <phoneticPr fontId="18" type="noConversion"/>
  </si>
  <si>
    <t>BOTTOM FRILL LENGTH</t>
    <phoneticPr fontId="1" type="noConversion"/>
  </si>
  <si>
    <t xml:space="preserve">스테치선까지 </t>
    <phoneticPr fontId="18" type="noConversion"/>
  </si>
  <si>
    <t>STYLE NO: JYFTO04-K#A01</t>
    <phoneticPr fontId="1" type="noConversion"/>
  </si>
  <si>
    <t>STYLE NO: JYFTO13-K#R07</t>
    <phoneticPr fontId="1" type="noConversion"/>
  </si>
  <si>
    <t>앞중심,랍바끝</t>
    <phoneticPr fontId="18" type="noConversion"/>
  </si>
  <si>
    <t>뒤중심,랍바끝</t>
    <phoneticPr fontId="18" type="noConversion"/>
  </si>
  <si>
    <t>STYLE NO: JYFLE02-K#H16</t>
    <phoneticPr fontId="1" type="noConversion"/>
  </si>
  <si>
    <t>STYLE NO: JYFTO14-K#R08</t>
    <phoneticPr fontId="1" type="noConversion"/>
  </si>
  <si>
    <t>BASED ON ZIPPER FLY OUT LINE ,STRIGHT</t>
    <phoneticPr fontId="1" type="noConversion"/>
  </si>
  <si>
    <t>STYLE NO: JYFPT07-W#Y17(인디고)</t>
    <phoneticPr fontId="1" type="noConversion"/>
  </si>
  <si>
    <t>여유분=4cm, 단추에서 단추사이 14cm</t>
    <phoneticPr fontId="18" type="noConversion"/>
  </si>
  <si>
    <t>STYLE NO: JYFPT08-D#Y18(인디고)</t>
    <phoneticPr fontId="1" type="noConversion"/>
  </si>
  <si>
    <t>엉덩이둘레(주름펴서)</t>
    <phoneticPr fontId="18" type="noConversion"/>
  </si>
  <si>
    <t>STYLE NO: JYFPT04-D#R22(인디고)</t>
    <phoneticPr fontId="1" type="noConversion"/>
  </si>
  <si>
    <t>중심</t>
    <phoneticPr fontId="18" type="noConversion"/>
  </si>
  <si>
    <t>STYLE NO: JYFPT05-D#R23(인디고)</t>
    <phoneticPr fontId="1" type="noConversion"/>
  </si>
  <si>
    <t>STYLE NO: JYFLE04-K#H08</t>
    <phoneticPr fontId="1" type="noConversion"/>
  </si>
  <si>
    <t>L 사이즈</t>
    <phoneticPr fontId="18" type="noConversion"/>
  </si>
  <si>
    <t xml:space="preserve">SIDE FLAT POCKET WIDE </t>
    <phoneticPr fontId="1" type="noConversion"/>
  </si>
  <si>
    <t>옆후다가로</t>
    <phoneticPr fontId="18" type="noConversion"/>
  </si>
  <si>
    <t>SIDE FLAT POCKET HEIGHT</t>
    <phoneticPr fontId="1" type="noConversion"/>
  </si>
  <si>
    <t>옆후다세로</t>
    <phoneticPr fontId="18" type="noConversion"/>
  </si>
  <si>
    <t>SIDE POCKET WIDTH</t>
    <phoneticPr fontId="2" type="noConversion"/>
  </si>
  <si>
    <t>SIDE POCKET HEIGHT</t>
    <phoneticPr fontId="2" type="noConversion"/>
  </si>
  <si>
    <t>옆주머니너비</t>
    <phoneticPr fontId="1" type="noConversion"/>
  </si>
  <si>
    <t>옆주머니높이</t>
    <phoneticPr fontId="1" type="noConversion"/>
  </si>
  <si>
    <t xml:space="preserve">HPS TO BOTTOM EDGE </t>
    <phoneticPr fontId="2" type="noConversion"/>
  </si>
  <si>
    <t xml:space="preserve"> SLEEVE LENGTH</t>
    <phoneticPr fontId="2" type="noConversion"/>
  </si>
  <si>
    <t>소매4골고무줄</t>
    <phoneticPr fontId="1" type="noConversion"/>
  </si>
  <si>
    <t>1단치마기장</t>
    <phoneticPr fontId="1" type="noConversion"/>
  </si>
  <si>
    <t>2단치마기장</t>
    <phoneticPr fontId="1" type="noConversion"/>
  </si>
  <si>
    <t>STYLE NO: JYFOP01-W#G06</t>
    <phoneticPr fontId="1" type="noConversion"/>
  </si>
  <si>
    <t>WAIST (1/2)</t>
    <phoneticPr fontId="2" type="noConversion"/>
  </si>
  <si>
    <t>허리</t>
    <phoneticPr fontId="1" type="noConversion"/>
  </si>
  <si>
    <t>와끼선을 기준으로 허리 양끝점을 수평으로 잰 길이</t>
    <phoneticPr fontId="18" type="noConversion"/>
  </si>
  <si>
    <t>TOP LENGTH (HPS)</t>
    <phoneticPr fontId="1" type="noConversion"/>
  </si>
  <si>
    <t>상의장 (옆목)</t>
    <phoneticPr fontId="1" type="noConversion"/>
  </si>
  <si>
    <t>앞옆목에서 앞중심점까지의 직선길이</t>
    <phoneticPr fontId="18" type="noConversion"/>
  </si>
  <si>
    <t>와끼</t>
    <phoneticPr fontId="18" type="noConversion"/>
  </si>
  <si>
    <t>BACK ZIPPER LENGTH</t>
  </si>
  <si>
    <t>뒤지퍼길이</t>
  </si>
  <si>
    <t>망혼솔지퍼</t>
    <phoneticPr fontId="18" type="noConversion"/>
  </si>
  <si>
    <t>STYLE NO: JYFOU06-D#G07(완사입)</t>
    <phoneticPr fontId="1" type="noConversion"/>
  </si>
  <si>
    <t xml:space="preserve">BOTTOM BAND </t>
    <phoneticPr fontId="2" type="noConversion"/>
  </si>
  <si>
    <t>밑단고무줄길이</t>
    <phoneticPr fontId="18" type="noConversion"/>
  </si>
  <si>
    <t>앞가슴(상동)</t>
    <phoneticPr fontId="1" type="noConversion"/>
  </si>
  <si>
    <t>FRONT CHEST (1/2)</t>
    <phoneticPr fontId="2" type="noConversion"/>
  </si>
  <si>
    <t>소매부리(단추채운길이)</t>
    <phoneticPr fontId="18" type="noConversion"/>
  </si>
  <si>
    <t>FALT POCKET WIDTH</t>
    <phoneticPr fontId="2" type="noConversion"/>
  </si>
  <si>
    <t>후다가로길이</t>
    <phoneticPr fontId="1" type="noConversion"/>
  </si>
  <si>
    <t>FALT POCKET HEIGHT</t>
    <phoneticPr fontId="2" type="noConversion"/>
  </si>
  <si>
    <t>후다세로길이</t>
    <phoneticPr fontId="1" type="noConversion"/>
  </si>
  <si>
    <t>TOTAL SKIRT LENGTH</t>
    <phoneticPr fontId="1" type="noConversion"/>
  </si>
  <si>
    <t>1ST SKIRT LENGTH</t>
    <phoneticPr fontId="1" type="noConversion"/>
  </si>
  <si>
    <t>2ND SKIRT LENGTH</t>
    <phoneticPr fontId="1" type="noConversion"/>
  </si>
  <si>
    <t>3RD SKIRT LENGTH</t>
    <phoneticPr fontId="1" type="noConversion"/>
  </si>
  <si>
    <t>STYLE NO: JYFOP06-W#H22</t>
    <phoneticPr fontId="1" type="noConversion"/>
  </si>
  <si>
    <t>와끼,보이는부분</t>
    <phoneticPr fontId="18" type="noConversion"/>
  </si>
  <si>
    <t>3단치마기장</t>
    <phoneticPr fontId="1" type="noConversion"/>
  </si>
  <si>
    <t>와끼,보이는부분(2번째 프릴중심까지)</t>
    <phoneticPr fontId="18" type="noConversion"/>
  </si>
  <si>
    <t>와끼,보이는부분(4번째 프릴중심까지)</t>
    <phoneticPr fontId="18" type="noConversion"/>
  </si>
  <si>
    <t xml:space="preserve">SHOULDER STRAP </t>
    <phoneticPr fontId="18" type="noConversion"/>
  </si>
  <si>
    <t>FRONT UPPER LENGTH</t>
    <phoneticPr fontId="18" type="noConversion"/>
  </si>
  <si>
    <t>앞바대 기장</t>
    <phoneticPr fontId="18" type="noConversion"/>
  </si>
  <si>
    <t>STYLE NO: JYFOP05-W#R21</t>
    <phoneticPr fontId="1" type="noConversion"/>
  </si>
  <si>
    <t>SKIRT LENGTH</t>
    <phoneticPr fontId="18" type="noConversion"/>
  </si>
  <si>
    <t>치마기장</t>
    <phoneticPr fontId="18" type="noConversion"/>
  </si>
  <si>
    <t>옆목점</t>
    <phoneticPr fontId="18" type="noConversion"/>
  </si>
  <si>
    <t>STYLE NO: JYFOP07-W#H21</t>
    <phoneticPr fontId="1" type="noConversion"/>
  </si>
  <si>
    <t>LONG SLEEVE LENGTH</t>
    <phoneticPr fontId="2" type="noConversion"/>
  </si>
  <si>
    <t>긴소매기장</t>
    <phoneticPr fontId="18" type="noConversion"/>
  </si>
  <si>
    <t>SHORT SLEEVE LENGTH</t>
    <phoneticPr fontId="2" type="noConversion"/>
  </si>
  <si>
    <t>짧은소매기장</t>
    <phoneticPr fontId="18" type="noConversion"/>
  </si>
  <si>
    <t>SHORT SLEEVE 4G BAND</t>
    <phoneticPr fontId="2" type="noConversion"/>
  </si>
  <si>
    <t>주원단</t>
    <phoneticPr fontId="18" type="noConversion"/>
  </si>
  <si>
    <r>
      <t>어깨 끝점에서 소매 부리(밑단) 끝까지의 직선 길이</t>
    </r>
    <r>
      <rPr>
        <sz val="7.5"/>
        <color rgb="FFFF0000"/>
        <rFont val="맑은 고딕"/>
        <family val="3"/>
        <charset val="129"/>
        <scheme val="minor"/>
      </rPr>
      <t>(배색B)</t>
    </r>
    <phoneticPr fontId="1" type="noConversion"/>
  </si>
  <si>
    <t xml:space="preserve">LONG SLEEVE CUFF OPENING </t>
    <phoneticPr fontId="2" type="noConversion"/>
  </si>
  <si>
    <t>긴소매부리</t>
    <phoneticPr fontId="18" type="noConversion"/>
  </si>
  <si>
    <r>
      <t>소매 밑단(시보리 밑단)의 둘레 길이</t>
    </r>
    <r>
      <rPr>
        <sz val="7.5"/>
        <color rgb="FFFF0000"/>
        <rFont val="맑은 고딕"/>
        <family val="3"/>
        <charset val="129"/>
        <scheme val="minor"/>
      </rPr>
      <t>(배색B)</t>
    </r>
    <phoneticPr fontId="1" type="noConversion"/>
  </si>
  <si>
    <t xml:space="preserve">WAIST 6G BAND </t>
    <phoneticPr fontId="2" type="noConversion"/>
  </si>
  <si>
    <t>허리 6골 밴드</t>
    <phoneticPr fontId="1" type="noConversion"/>
  </si>
  <si>
    <t>6G-BAND</t>
    <phoneticPr fontId="18" type="noConversion"/>
  </si>
  <si>
    <t>짧은소매2골고무줄</t>
    <phoneticPr fontId="18" type="noConversion"/>
  </si>
  <si>
    <t>2G-BAND</t>
    <phoneticPr fontId="18" type="noConversion"/>
  </si>
  <si>
    <t>STYLE NO: JYFTO17-K#R13</t>
    <phoneticPr fontId="1" type="noConversion"/>
  </si>
  <si>
    <t>STYLE NO: JYFTO18-K#A05</t>
    <phoneticPr fontId="1" type="noConversion"/>
  </si>
  <si>
    <t>STYLE NO: JYFOP04-W#A03</t>
    <phoneticPr fontId="1" type="noConversion"/>
  </si>
  <si>
    <t>앞주머니끝에서 중심까지 수평선의 길이</t>
    <phoneticPr fontId="1" type="noConversion"/>
  </si>
  <si>
    <t>STYLE NO: JYFSE01-K#H14</t>
    <phoneticPr fontId="1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</si>
  <si>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(RIB)</t>
    </r>
    <phoneticPr fontId="1" type="noConversion"/>
  </si>
  <si>
    <t xml:space="preserve">앞목중심에서 수직으로 </t>
    <phoneticPr fontId="1" type="noConversion"/>
  </si>
  <si>
    <t>밑단 스커트 기장</t>
    <phoneticPr fontId="1" type="noConversion"/>
  </si>
  <si>
    <t>BOTTOM SKIRT LENGTH</t>
    <phoneticPr fontId="1" type="noConversion"/>
  </si>
  <si>
    <t>프릴포함 (보이는 부분)</t>
    <phoneticPr fontId="18" type="noConversion"/>
  </si>
  <si>
    <t>STYLE NO: JYFPT09-D#A06 (인디고)</t>
    <phoneticPr fontId="1" type="noConversion"/>
  </si>
  <si>
    <t>엉덩이둘레</t>
    <phoneticPr fontId="18" type="noConversion"/>
  </si>
  <si>
    <t>STYLE NO: JYFSK06-W#Y23</t>
    <phoneticPr fontId="1" type="noConversion"/>
  </si>
  <si>
    <t>보이는부분</t>
    <phoneticPr fontId="1" type="noConversion"/>
  </si>
  <si>
    <t>STYLE NO: JYFTO10-K#Y07</t>
    <phoneticPr fontId="1" type="noConversion"/>
  </si>
  <si>
    <t>STYLE NO: JYFTO21-K#Y22</t>
    <phoneticPr fontId="1" type="noConversion"/>
  </si>
  <si>
    <t xml:space="preserve">1ST FRILL LENGTH </t>
    <phoneticPr fontId="1" type="noConversion"/>
  </si>
  <si>
    <t>1단프릴 기장</t>
    <phoneticPr fontId="1" type="noConversion"/>
  </si>
  <si>
    <t xml:space="preserve">2ND FRILL LENGTH </t>
    <phoneticPr fontId="1" type="noConversion"/>
  </si>
  <si>
    <t>2단프릴 기장</t>
    <phoneticPr fontId="1" type="noConversion"/>
  </si>
  <si>
    <t>STYLE NO: JYFTO20-K#Y21</t>
    <phoneticPr fontId="1" type="noConversion"/>
  </si>
  <si>
    <t>STYLE NO: JYFSK04-W#A04</t>
    <phoneticPr fontId="1" type="noConversion"/>
  </si>
  <si>
    <t>STYLE NO: JYFPT02-K#Y10</t>
    <phoneticPr fontId="1" type="noConversion"/>
  </si>
  <si>
    <r>
      <t>앞 댕고 기준점으로 하여 양쪽 수평선의 길이</t>
    </r>
    <r>
      <rPr>
        <sz val="7.5"/>
        <color rgb="FFFF0000"/>
        <rFont val="맑은 고딕"/>
        <family val="3"/>
        <charset val="129"/>
        <scheme val="minor"/>
      </rPr>
      <t>(셔링펼쳐서)</t>
    </r>
    <phoneticPr fontId="1" type="noConversion"/>
  </si>
  <si>
    <t>6G</t>
    <phoneticPr fontId="18" type="noConversion"/>
  </si>
  <si>
    <t>FRONT POCKET 6G-BAND</t>
    <phoneticPr fontId="18" type="noConversion"/>
  </si>
  <si>
    <t>앞주머니입구 6골밴드</t>
    <phoneticPr fontId="18" type="noConversion"/>
  </si>
  <si>
    <t xml:space="preserve">뒷주머니 </t>
    <phoneticPr fontId="18" type="noConversion"/>
  </si>
  <si>
    <t>BOTTOM STRING LENGTH</t>
    <phoneticPr fontId="18" type="noConversion"/>
  </si>
  <si>
    <t>밑단스트링길이</t>
    <phoneticPr fontId="18" type="noConversion"/>
  </si>
  <si>
    <t>여유분 12cm포함</t>
    <phoneticPr fontId="18" type="noConversion"/>
  </si>
  <si>
    <t>STYLE NO: JYFOP08-W#H23</t>
    <phoneticPr fontId="1" type="noConversion"/>
  </si>
  <si>
    <t>공단끈길이</t>
    <phoneticPr fontId="18" type="noConversion"/>
  </si>
  <si>
    <t>앞요크 기장</t>
    <phoneticPr fontId="18" type="noConversion"/>
  </si>
  <si>
    <t>뒤요크 기장</t>
    <phoneticPr fontId="18" type="noConversion"/>
  </si>
  <si>
    <t>YOKE FRILL LENGTH</t>
    <phoneticPr fontId="18" type="noConversion"/>
  </si>
  <si>
    <t>요크 프릴 기장</t>
    <phoneticPr fontId="18" type="noConversion"/>
  </si>
  <si>
    <r>
      <t>와끼,보이는부분</t>
    </r>
    <r>
      <rPr>
        <sz val="7.5"/>
        <color rgb="FFFF0000"/>
        <rFont val="맑은 고딕"/>
        <family val="3"/>
        <charset val="129"/>
        <scheme val="minor"/>
      </rPr>
      <t>(요크 프릴포함)</t>
    </r>
    <phoneticPr fontId="18" type="noConversion"/>
  </si>
  <si>
    <r>
      <t>와끼,보이는부분</t>
    </r>
    <r>
      <rPr>
        <sz val="7.5"/>
        <color rgb="FFFF0000"/>
        <rFont val="맑은 고딕"/>
        <family val="3"/>
        <charset val="129"/>
        <scheme val="minor"/>
      </rPr>
      <t>(밑단 프릴 포함)</t>
    </r>
    <phoneticPr fontId="18" type="noConversion"/>
  </si>
  <si>
    <t>밑단프릴기장</t>
    <phoneticPr fontId="1" type="noConversion"/>
  </si>
  <si>
    <t>와끼,보이는부분(노출길이)</t>
    <phoneticPr fontId="18" type="noConversion"/>
  </si>
  <si>
    <t>STYLE NO: JYFSK03-W#R20</t>
    <phoneticPr fontId="1" type="noConversion"/>
  </si>
  <si>
    <t>와끼기준,오비포함</t>
    <phoneticPr fontId="18" type="noConversion"/>
  </si>
  <si>
    <t xml:space="preserve">OUT SKIRT LENGTH </t>
    <phoneticPr fontId="1" type="noConversion"/>
  </si>
  <si>
    <t>덧장 치마 기장</t>
    <phoneticPr fontId="1" type="noConversion"/>
  </si>
  <si>
    <t xml:space="preserve">FRONT YOKE LENGTH </t>
    <phoneticPr fontId="1" type="noConversion"/>
  </si>
  <si>
    <t>앞 요크기장</t>
    <phoneticPr fontId="1" type="noConversion"/>
  </si>
  <si>
    <r>
      <t xml:space="preserve">요크절개선에서 밑단까지의 길이 </t>
    </r>
    <r>
      <rPr>
        <sz val="7.5"/>
        <color rgb="FFFF0000"/>
        <rFont val="맑은 고딕"/>
        <family val="3"/>
        <charset val="129"/>
        <scheme val="major"/>
      </rPr>
      <t>(입어서 좌측-짧은기장)</t>
    </r>
    <phoneticPr fontId="18" type="noConversion"/>
  </si>
  <si>
    <t>35MM</t>
    <phoneticPr fontId="18" type="noConversion"/>
  </si>
  <si>
    <t>나나밴드</t>
    <phoneticPr fontId="18" type="noConversion"/>
  </si>
  <si>
    <t>STYLE NO: JYFTO19-K#Y20</t>
    <phoneticPr fontId="1" type="noConversion"/>
  </si>
  <si>
    <t>앞몊목</t>
    <phoneticPr fontId="18" type="noConversion"/>
  </si>
  <si>
    <t>STYLE NO: JYFSE04-K#H25</t>
    <phoneticPr fontId="1" type="noConversion"/>
  </si>
  <si>
    <t>앞와끼</t>
    <phoneticPr fontId="18" type="noConversion"/>
  </si>
  <si>
    <t>STYLE NO: JYFSE02-K#R25</t>
    <phoneticPr fontId="1" type="noConversion"/>
  </si>
  <si>
    <r>
      <t>앞주머니끝에서 중심까지 수평선의 길이</t>
    </r>
    <r>
      <rPr>
        <sz val="7.5"/>
        <color rgb="FFFF0000"/>
        <rFont val="맑은 고딕"/>
        <family val="3"/>
        <charset val="129"/>
        <scheme val="minor"/>
      </rPr>
      <t>(턱분량포함)</t>
    </r>
    <phoneticPr fontId="1" type="noConversion"/>
  </si>
  <si>
    <t>뒷주머니</t>
    <phoneticPr fontId="18" type="noConversion"/>
  </si>
  <si>
    <t>여유분: 12cm포함</t>
    <phoneticPr fontId="18" type="noConversion"/>
  </si>
  <si>
    <t>STYLE NO: JYFOP03-K#R14</t>
    <phoneticPr fontId="1" type="noConversion"/>
  </si>
  <si>
    <r>
      <t xml:space="preserve">옆목점에서 밑단까지의 직선길이 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</si>
  <si>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r>
      <t>와끼,보이는부분</t>
    </r>
    <r>
      <rPr>
        <sz val="7.5"/>
        <color rgb="FFFF0000"/>
        <rFont val="맑은 고딕"/>
        <family val="3"/>
        <charset val="129"/>
        <scheme val="minor"/>
      </rPr>
      <t>(립제외,레이스포함)</t>
    </r>
    <phoneticPr fontId="18" type="noConversion"/>
  </si>
  <si>
    <t>INNER-WAIST 4G BAND</t>
    <phoneticPr fontId="18" type="noConversion"/>
  </si>
  <si>
    <t>이너-4골밴드</t>
    <phoneticPr fontId="18" type="noConversion"/>
  </si>
  <si>
    <t>STYLE NO: JYFSK05-D#Y03 (인디고)</t>
    <phoneticPr fontId="1" type="noConversion"/>
  </si>
  <si>
    <t>여유분=4cm</t>
    <phoneticPr fontId="18" type="noConversion"/>
  </si>
  <si>
    <t>오비 포함</t>
    <phoneticPr fontId="18" type="noConversion"/>
  </si>
  <si>
    <t>요크둘레</t>
    <phoneticPr fontId="18" type="noConversion"/>
  </si>
  <si>
    <t>YOKE SIZE</t>
    <phoneticPr fontId="18" type="noConversion"/>
  </si>
  <si>
    <t>STYLE NO: JYFPT10-D#G09 (인디고)</t>
    <phoneticPr fontId="1" type="noConversion"/>
  </si>
  <si>
    <t>STYLE NO: JYFPT11-D#R27 (인디고)</t>
    <phoneticPr fontId="1" type="noConversion"/>
  </si>
  <si>
    <t>STYLE NO: JYFTO22-S#G10</t>
    <phoneticPr fontId="1" type="noConversion"/>
  </si>
  <si>
    <t>앞기장</t>
    <phoneticPr fontId="1" type="noConversion"/>
  </si>
  <si>
    <t>앞바대끝에서 밑단까지 길이</t>
    <phoneticPr fontId="1" type="noConversion"/>
  </si>
  <si>
    <t>뒷기장</t>
    <phoneticPr fontId="1" type="noConversion"/>
  </si>
  <si>
    <t>뒤바대끝에서 밑단까지 길이</t>
    <phoneticPr fontId="1" type="noConversion"/>
  </si>
  <si>
    <t xml:space="preserve">SHOULDER STRAP </t>
    <phoneticPr fontId="2" type="noConversion"/>
  </si>
  <si>
    <t>어깨끈</t>
    <phoneticPr fontId="1" type="noConversion"/>
  </si>
  <si>
    <t>여유분 없이 최대한 푼 길이, 조절깡빼고</t>
    <phoneticPr fontId="1" type="noConversion"/>
  </si>
  <si>
    <t>FRONT UPPER CHEST WIDTH</t>
    <phoneticPr fontId="2" type="noConversion"/>
  </si>
  <si>
    <t>앞바대폭</t>
    <phoneticPr fontId="1" type="noConversion"/>
  </si>
  <si>
    <t>상단측정</t>
    <phoneticPr fontId="1" type="noConversion"/>
  </si>
  <si>
    <t>BACK UPPER CHEST WIDTH</t>
    <phoneticPr fontId="2" type="noConversion"/>
  </si>
  <si>
    <t>뒤바대폭</t>
    <phoneticPr fontId="1" type="noConversion"/>
  </si>
  <si>
    <t>밑단둘레(반품)</t>
    <phoneticPr fontId="18" type="noConversion"/>
  </si>
  <si>
    <t>BOTTOM RIB FRILL LENGTH</t>
    <phoneticPr fontId="18" type="noConversion"/>
  </si>
  <si>
    <t>밑단립 프릴기장</t>
    <phoneticPr fontId="18" type="noConversion"/>
  </si>
  <si>
    <t>바데립 폭</t>
    <phoneticPr fontId="18" type="noConversion"/>
  </si>
  <si>
    <t>UPPER CHEST RIB WIDTH</t>
    <phoneticPr fontId="2" type="noConversion"/>
  </si>
  <si>
    <t>.</t>
    <phoneticPr fontId="2" type="noConversion"/>
  </si>
  <si>
    <t>WITHOUT NECK BAND (INSIDE)</t>
    <phoneticPr fontId="2" type="noConversion"/>
  </si>
  <si>
    <t>FRILL LENGTH</t>
    <phoneticPr fontId="18" type="noConversion"/>
  </si>
  <si>
    <t>프릴 기장</t>
    <phoneticPr fontId="18" type="noConversion"/>
  </si>
  <si>
    <t>STYLE NO: JYFSE03-K#G11</t>
    <phoneticPr fontId="1" type="noConversion"/>
  </si>
  <si>
    <t>OUTSIDE TOTAL LENGTH</t>
    <phoneticPr fontId="18" type="noConversion"/>
  </si>
  <si>
    <t>겉-총장</t>
    <phoneticPr fontId="18" type="noConversion"/>
  </si>
  <si>
    <t>끈 달림점에서 밑단까지의 길이</t>
    <phoneticPr fontId="18" type="noConversion"/>
  </si>
  <si>
    <r>
      <t xml:space="preserve">와끼 </t>
    </r>
    <r>
      <rPr>
        <sz val="7.5"/>
        <color rgb="FFFF0000"/>
        <rFont val="맑은 고딕"/>
        <family val="3"/>
        <charset val="129"/>
        <scheme val="minor"/>
      </rPr>
      <t>(오비제외,레이스포함)</t>
    </r>
    <phoneticPr fontId="18" type="noConversion"/>
  </si>
  <si>
    <t>STYLE NO: JYFPT06-W#H20(인디고)</t>
    <phoneticPr fontId="1" type="noConversion"/>
  </si>
  <si>
    <t>STYLE NO: JYFOU07-S#A08(니트)</t>
    <phoneticPr fontId="1" type="noConversion"/>
  </si>
  <si>
    <t>STYLE NO: JYFTO23-K#R25</t>
    <phoneticPr fontId="1" type="noConversion"/>
  </si>
  <si>
    <t>STYLE NO: JYFPT13-K#R28</t>
    <phoneticPr fontId="1" type="noConversion"/>
  </si>
  <si>
    <t>STYLE NO: JYFPT12-D#Y25(인디고)</t>
    <phoneticPr fontId="1" type="noConversion"/>
  </si>
  <si>
    <t>STYLE NO: JYFOP09-W#A07</t>
    <phoneticPr fontId="1" type="noConversion"/>
  </si>
  <si>
    <t>TOP LENGTH</t>
    <phoneticPr fontId="18" type="noConversion"/>
  </si>
  <si>
    <t>상의 기장</t>
    <phoneticPr fontId="18" type="noConversion"/>
  </si>
  <si>
    <t>뒷넥 중심에서 절개선까지의 직선길이</t>
    <phoneticPr fontId="18" type="noConversion"/>
  </si>
  <si>
    <t>긴소매부리 4골밴드</t>
    <phoneticPr fontId="18" type="noConversion"/>
  </si>
  <si>
    <t>짧은소매부리 4골밴드</t>
    <phoneticPr fontId="18" type="noConversion"/>
  </si>
  <si>
    <r>
      <t xml:space="preserve">완성사이즈 </t>
    </r>
    <r>
      <rPr>
        <sz val="7.5"/>
        <color rgb="FFFF0000"/>
        <rFont val="맑은 고딕"/>
        <family val="3"/>
        <charset val="129"/>
        <scheme val="minor"/>
      </rPr>
      <t>(원단E)</t>
    </r>
    <phoneticPr fontId="18" type="noConversion"/>
  </si>
  <si>
    <r>
      <t xml:space="preserve">완성사이즈 </t>
    </r>
    <r>
      <rPr>
        <sz val="7.5"/>
        <color rgb="FFFF0000"/>
        <rFont val="맑은 고딕"/>
        <family val="3"/>
        <charset val="129"/>
        <scheme val="minor"/>
      </rPr>
      <t>(원단C)</t>
    </r>
    <phoneticPr fontId="18" type="noConversion"/>
  </si>
  <si>
    <r>
      <t xml:space="preserve">긴소매기장 </t>
    </r>
    <r>
      <rPr>
        <sz val="7.5"/>
        <color rgb="FFFF0000"/>
        <rFont val="맑은 고딕"/>
        <family val="3"/>
        <charset val="129"/>
        <scheme val="minor"/>
      </rPr>
      <t>(원단E)</t>
    </r>
    <phoneticPr fontId="18" type="noConversion"/>
  </si>
  <si>
    <r>
      <t xml:space="preserve">짦은소매기장 </t>
    </r>
    <r>
      <rPr>
        <sz val="7.5"/>
        <color rgb="FFFF0000"/>
        <rFont val="맑은 고딕"/>
        <family val="3"/>
        <charset val="129"/>
        <scheme val="minor"/>
      </rPr>
      <t>(원단C)</t>
    </r>
    <phoneticPr fontId="18" type="noConversion"/>
  </si>
  <si>
    <t>SKIRT LENGTH</t>
    <phoneticPr fontId="1" type="noConversion"/>
  </si>
  <si>
    <t>앞중심- 리본+보석장식</t>
    <phoneticPr fontId="18" type="noConversion"/>
  </si>
  <si>
    <t>STYLE NO: JYFOU08-W#R29(패턴사이즈)</t>
    <phoneticPr fontId="1" type="noConversion"/>
  </si>
  <si>
    <t>스트링올라가는부분 한쪽14cm</t>
    <phoneticPr fontId="18" type="noConversion"/>
  </si>
  <si>
    <t>YKK ( 패턴 사이즈)</t>
    <phoneticPr fontId="1" type="noConversion"/>
  </si>
  <si>
    <t>FRONT 6G BAND</t>
    <phoneticPr fontId="18" type="noConversion"/>
  </si>
  <si>
    <t>앞6골 고무줄길이</t>
    <phoneticPr fontId="18" type="noConversion"/>
  </si>
  <si>
    <t>앞6골고무주</t>
    <phoneticPr fontId="18" type="noConversion"/>
  </si>
  <si>
    <t>4줄</t>
    <phoneticPr fontId="18" type="noConversion"/>
  </si>
  <si>
    <t>STYLE NO: JYFTO24-K#G11</t>
    <phoneticPr fontId="1" type="noConversion"/>
  </si>
  <si>
    <t>STYLE NO: JYFPT14-K#G16</t>
    <phoneticPr fontId="1" type="noConversion"/>
  </si>
  <si>
    <t>장식스트링</t>
    <phoneticPr fontId="18" type="noConversion"/>
  </si>
  <si>
    <t>STYLE NO: JYFOU08-W#R29(제품사이즈)</t>
    <phoneticPr fontId="1" type="noConversion"/>
  </si>
  <si>
    <t xml:space="preserve">              </t>
    <phoneticPr fontId="18" type="noConversion"/>
  </si>
  <si>
    <t>STYLE NO: JYFTO26-K#G17</t>
    <phoneticPr fontId="1" type="noConversion"/>
  </si>
  <si>
    <t xml:space="preserve"> GRAPHIC POINT A</t>
    <phoneticPr fontId="1" type="noConversion"/>
  </si>
  <si>
    <t>나염위치 A</t>
    <phoneticPr fontId="1" type="noConversion"/>
  </si>
  <si>
    <t>STYLE NO: JYFTO27-K#Y28</t>
    <phoneticPr fontId="1" type="noConversion"/>
  </si>
  <si>
    <t>XS</t>
    <phoneticPr fontId="1" type="noConversion"/>
  </si>
  <si>
    <t xml:space="preserve"> GRAPHIC POINT B</t>
    <phoneticPr fontId="1" type="noConversion"/>
  </si>
  <si>
    <t>나염위치 B</t>
    <phoneticPr fontId="1" type="noConversion"/>
  </si>
  <si>
    <t>STYLE NO : JYFLE05-K#R30</t>
    <phoneticPr fontId="1" type="noConversion"/>
  </si>
  <si>
    <r>
      <t>앞중심에서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8" type="noConversion"/>
  </si>
  <si>
    <t>STYLE NO: JYFTO25-K#A10</t>
    <phoneticPr fontId="1" type="noConversion"/>
  </si>
  <si>
    <t xml:space="preserve">ROUND ,@ NECK SEWING  LINE </t>
    <phoneticPr fontId="1" type="noConversion"/>
  </si>
  <si>
    <t>에리립폭</t>
    <phoneticPr fontId="1" type="noConversion"/>
  </si>
  <si>
    <t>STYLE NO: JYFTO29-K#A10</t>
    <phoneticPr fontId="1" type="noConversion"/>
  </si>
  <si>
    <t>STYLE NO: JYFTO30-K#H14</t>
    <phoneticPr fontId="1" type="noConversion"/>
  </si>
  <si>
    <t>STYLE NO: JYFPT15-K#H29</t>
    <phoneticPr fontId="1" type="noConversion"/>
  </si>
  <si>
    <r>
      <t>바지기장</t>
    </r>
    <r>
      <rPr>
        <sz val="7.5"/>
        <color rgb="FFFF0000"/>
        <rFont val="맑은 고딕"/>
        <family val="3"/>
        <charset val="129"/>
        <scheme val="minor"/>
      </rPr>
      <t>(직선길이)</t>
    </r>
    <phoneticPr fontId="18" type="noConversion"/>
  </si>
  <si>
    <r>
      <t>목둘레</t>
    </r>
    <r>
      <rPr>
        <sz val="7.5"/>
        <color rgb="FFFF0000"/>
        <rFont val="맑은 고딕"/>
        <family val="3"/>
        <charset val="129"/>
        <scheme val="minor"/>
      </rPr>
      <t>(랍바부분)</t>
    </r>
    <phoneticPr fontId="18" type="noConversion"/>
  </si>
  <si>
    <t>STYLE NO: JYFTO28-K#H28</t>
    <phoneticPr fontId="1" type="noConversion"/>
  </si>
  <si>
    <t>SLEEVE SHIRRING ACTUAL</t>
    <phoneticPr fontId="2" type="noConversion"/>
  </si>
  <si>
    <t>소매셔링완성</t>
    <phoneticPr fontId="18" type="noConversion"/>
  </si>
  <si>
    <t>FRONT SLIT LENGTH</t>
    <phoneticPr fontId="1" type="noConversion"/>
  </si>
  <si>
    <t>앞트임길이</t>
    <phoneticPr fontId="1" type="noConversion"/>
  </si>
  <si>
    <t xml:space="preserve">YOKO COLLAR </t>
    <phoneticPr fontId="18" type="noConversion"/>
  </si>
  <si>
    <t>요꼬카라 길이</t>
    <phoneticPr fontId="18" type="noConversion"/>
  </si>
  <si>
    <t>시접제외</t>
    <phoneticPr fontId="18" type="noConversion"/>
  </si>
  <si>
    <t>카라폭</t>
    <phoneticPr fontId="18" type="noConversion"/>
  </si>
  <si>
    <t>전체길이,시접제외</t>
    <phoneticPr fontId="18" type="noConversion"/>
  </si>
  <si>
    <t>중심,시접제외</t>
    <phoneticPr fontId="18" type="noConversion"/>
  </si>
  <si>
    <r>
      <t xml:space="preserve">암홀 겨드랑이 지점에서 수평으로 잰 길이 </t>
    </r>
    <r>
      <rPr>
        <sz val="7.5"/>
        <color rgb="FFFF0000"/>
        <rFont val="맑은 고딕"/>
        <family val="3"/>
        <charset val="129"/>
        <scheme val="minor"/>
      </rPr>
      <t>(셔링편상태)</t>
    </r>
    <phoneticPr fontId="1" type="noConversion"/>
  </si>
  <si>
    <t>STYLE NO: JYFTO31-K#G17</t>
    <phoneticPr fontId="1" type="noConversion"/>
  </si>
  <si>
    <r>
      <t>앞목중심에서 리본위치까지 수직으로</t>
    </r>
    <r>
      <rPr>
        <sz val="7.5"/>
        <color rgb="FFFF0000"/>
        <rFont val="맑은 고딕"/>
        <family val="3"/>
        <charset val="129"/>
        <scheme val="minor"/>
      </rPr>
      <t>(중심-프릴스티치선)</t>
    </r>
    <phoneticPr fontId="1" type="noConversion"/>
  </si>
  <si>
    <t>STYLE NO: JYFSK07-W#R31</t>
    <phoneticPr fontId="1" type="noConversion"/>
  </si>
  <si>
    <t>YOKE LENGTH</t>
    <phoneticPr fontId="1" type="noConversion"/>
  </si>
  <si>
    <t>요크기장</t>
    <phoneticPr fontId="1" type="noConversion"/>
  </si>
  <si>
    <t>STYLE NO: JYFGF01-K#H29</t>
    <phoneticPr fontId="1" type="noConversion"/>
  </si>
  <si>
    <t>F</t>
    <phoneticPr fontId="1" type="noConversion"/>
  </si>
  <si>
    <t>뒤중심</t>
    <phoneticPr fontId="1" type="noConversion"/>
  </si>
  <si>
    <t>BAG-LENGTH</t>
    <phoneticPr fontId="2" type="noConversion"/>
  </si>
  <si>
    <t xml:space="preserve">BAG-SHOULDER </t>
    <phoneticPr fontId="2" type="noConversion"/>
  </si>
  <si>
    <t>가방-기장</t>
    <phoneticPr fontId="2" type="noConversion"/>
  </si>
  <si>
    <t>가방-너비</t>
    <phoneticPr fontId="18" type="noConversion"/>
  </si>
  <si>
    <t>BAG-SIDE WIDTH</t>
    <phoneticPr fontId="2" type="noConversion"/>
  </si>
  <si>
    <t>가방-옆선 폭</t>
    <phoneticPr fontId="18" type="noConversion"/>
  </si>
  <si>
    <t>암홀길이(직선)</t>
    <phoneticPr fontId="18" type="noConversion"/>
  </si>
  <si>
    <t>옆선상단라빠끝에서 밑단까지 수직으로 잰 길이</t>
    <phoneticPr fontId="18" type="noConversion"/>
  </si>
  <si>
    <t>옆선상단 랍빠끝에서 끝까지 수평으로 잰 길이</t>
    <phoneticPr fontId="18" type="noConversion"/>
  </si>
  <si>
    <t>밑단 절개선끈에서 끝까지 수평으로 잰 길이</t>
    <phoneticPr fontId="18" type="noConversion"/>
  </si>
  <si>
    <t>가방-끈 폭</t>
    <phoneticPr fontId="18" type="noConversion"/>
  </si>
  <si>
    <t>BAG-STRAP WIDTH</t>
    <phoneticPr fontId="18" type="noConversion"/>
  </si>
  <si>
    <t>랍빠끝에서 접히는선까지의 길이</t>
    <phoneticPr fontId="18" type="noConversion"/>
  </si>
  <si>
    <t>뒷목 중심에서 밑단끝까지 직선길이</t>
    <phoneticPr fontId="1" type="noConversion"/>
  </si>
  <si>
    <t xml:space="preserve">ROUND ,@ NECK SEWING  LINE </t>
    <phoneticPr fontId="1" type="noConversion"/>
  </si>
  <si>
    <r>
      <t xml:space="preserve">목라인(NECK LINE)을 따라 잰 곡선의 둘레길이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</si>
  <si>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CUFFS E-BAND</t>
    <phoneticPr fontId="2" type="noConversion"/>
  </si>
  <si>
    <t>소매부리 고무줄완성</t>
    <phoneticPr fontId="1" type="noConversion"/>
  </si>
  <si>
    <t>COLLAR POINT</t>
    <phoneticPr fontId="2" type="noConversion"/>
  </si>
  <si>
    <t xml:space="preserve">COLLAR WIDTH AT EDGE </t>
  </si>
  <si>
    <t>카라포인트길이</t>
  </si>
  <si>
    <t>앞목쪽 카라 길이</t>
  </si>
  <si>
    <t>SINGLE WELT POCKET</t>
    <phoneticPr fontId="2" type="noConversion"/>
  </si>
  <si>
    <r>
      <t xml:space="preserve">앞중심에서 수평으로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</si>
  <si>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ZIPPER LENGTH</t>
    <phoneticPr fontId="1" type="noConversion"/>
  </si>
  <si>
    <t>지퍼길이</t>
    <phoneticPr fontId="1" type="noConversion"/>
  </si>
  <si>
    <t>YKK발주용 지퍼길이</t>
    <phoneticPr fontId="1" type="noConversion"/>
  </si>
  <si>
    <t>WAIST E-STRING</t>
    <phoneticPr fontId="2" type="noConversion"/>
  </si>
  <si>
    <t>허리엘라스트링 사용길이</t>
    <phoneticPr fontId="1" type="noConversion"/>
  </si>
  <si>
    <t>STYLE NO: JYFOU09-W#Y05</t>
    <phoneticPr fontId="1" type="noConversion"/>
  </si>
  <si>
    <t>POINT C</t>
    <phoneticPr fontId="1" type="noConversion"/>
  </si>
  <si>
    <t>위치 C</t>
    <phoneticPr fontId="1" type="noConversion"/>
  </si>
  <si>
    <t>POINT D</t>
    <phoneticPr fontId="1" type="noConversion"/>
  </si>
  <si>
    <t>위치 D</t>
    <phoneticPr fontId="1" type="noConversion"/>
  </si>
  <si>
    <t>POINT E</t>
    <phoneticPr fontId="1" type="noConversion"/>
  </si>
  <si>
    <t>위치 E</t>
    <phoneticPr fontId="1" type="noConversion"/>
  </si>
  <si>
    <t>POINT F</t>
    <phoneticPr fontId="1" type="noConversion"/>
  </si>
  <si>
    <t>위치 F</t>
    <phoneticPr fontId="1" type="noConversion"/>
  </si>
  <si>
    <t xml:space="preserve">옆넥에서 수직으로 잰 길이 </t>
    <phoneticPr fontId="18" type="noConversion"/>
  </si>
  <si>
    <t>OTHER COLOR</t>
    <phoneticPr fontId="18" type="noConversion"/>
  </si>
  <si>
    <r>
      <t xml:space="preserve">옆넥에서 수직으로 잰 길이 </t>
    </r>
    <r>
      <rPr>
        <sz val="7.5"/>
        <color rgb="FFFF0000"/>
        <rFont val="맑은 고딕"/>
        <family val="3"/>
        <charset val="129"/>
        <scheme val="minor"/>
      </rPr>
      <t>(입어서 왼쪽)</t>
    </r>
    <phoneticPr fontId="18" type="noConversion"/>
  </si>
  <si>
    <r>
      <t xml:space="preserve">옆넥에서 수직으로 잰 길이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8" type="noConversion"/>
  </si>
  <si>
    <r>
      <t xml:space="preserve">앞중심에서 수평으로 잰 길이 </t>
    </r>
    <r>
      <rPr>
        <sz val="7.5"/>
        <color rgb="FFFF0000"/>
        <rFont val="맑은 고딕"/>
        <family val="3"/>
        <charset val="129"/>
        <scheme val="minor"/>
      </rPr>
      <t>(입어서 왼쪽)</t>
    </r>
    <phoneticPr fontId="18" type="noConversion"/>
  </si>
  <si>
    <r>
      <t xml:space="preserve">앞중심에서 수평으로 잰 길이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8" type="noConversion"/>
  </si>
  <si>
    <t>STYLE NO: JYFOU10-S#H30(니트)</t>
    <phoneticPr fontId="1" type="noConversion"/>
  </si>
  <si>
    <t>STYLE NO: JYFOU11-S#G19(니트)</t>
    <phoneticPr fontId="1" type="noConversion"/>
  </si>
  <si>
    <t>앞중심기준으로 수직으로 잰 길이</t>
    <phoneticPr fontId="18" type="noConversion"/>
  </si>
  <si>
    <t>SHOULDER 6G BAND</t>
    <phoneticPr fontId="1" type="noConversion"/>
  </si>
  <si>
    <t>어깨6골고무줄</t>
    <phoneticPr fontId="1" type="noConversion"/>
  </si>
  <si>
    <t>6골고무줄</t>
    <phoneticPr fontId="18" type="noConversion"/>
  </si>
  <si>
    <r>
      <t>바지기장</t>
    </r>
    <r>
      <rPr>
        <sz val="7.5"/>
        <color rgb="FFFF0000"/>
        <rFont val="맑은 고딕"/>
        <family val="3"/>
        <charset val="129"/>
        <scheme val="minor"/>
      </rPr>
      <t>(오비제외)</t>
    </r>
    <phoneticPr fontId="18" type="noConversion"/>
  </si>
  <si>
    <r>
      <t>앞밑위</t>
    </r>
    <r>
      <rPr>
        <sz val="7.5"/>
        <color rgb="FFFF0000"/>
        <rFont val="맑은 고딕"/>
        <family val="3"/>
        <charset val="129"/>
        <scheme val="minor"/>
      </rPr>
      <t>(오비제외)</t>
    </r>
    <phoneticPr fontId="18" type="noConversion"/>
  </si>
  <si>
    <r>
      <t>뒤밑위</t>
    </r>
    <r>
      <rPr>
        <sz val="7.5"/>
        <color rgb="FFFF0000"/>
        <rFont val="맑은 고딕"/>
        <family val="3"/>
        <charset val="129"/>
        <scheme val="minor"/>
      </rPr>
      <t>(오비제외)</t>
    </r>
    <phoneticPr fontId="18" type="noConversion"/>
  </si>
  <si>
    <t>STYLE NO: JYFTO33-W#R33</t>
    <phoneticPr fontId="1" type="noConversion"/>
  </si>
  <si>
    <t>앞바데중심에서 밑단제일긴쪽 까지 길이</t>
    <phoneticPr fontId="1" type="noConversion"/>
  </si>
  <si>
    <t>BACK UPPER CHEST 6G BAND</t>
    <phoneticPr fontId="2" type="noConversion"/>
  </si>
  <si>
    <t>뒤바대6골고무줄</t>
    <phoneticPr fontId="1" type="noConversion"/>
  </si>
  <si>
    <t>여유분 포함 완성길이</t>
    <phoneticPr fontId="1" type="noConversion"/>
  </si>
  <si>
    <t>STYLE NO: JYFTO34-K#R32</t>
    <phoneticPr fontId="1" type="noConversion"/>
  </si>
  <si>
    <t>STYLE NO: JYFTO32-S#G19(니트)</t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</si>
  <si>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</si>
  <si>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(쇼바리단)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</si>
  <si>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</si>
  <si>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(쇼바리단)</t>
    </r>
    <phoneticPr fontId="1" type="noConversion"/>
  </si>
  <si>
    <t>어깨너비</t>
    <phoneticPr fontId="18" type="noConversion"/>
  </si>
  <si>
    <r>
      <t xml:space="preserve">어깨 양끝점을 수평으로 잰 길이 </t>
    </r>
    <r>
      <rPr>
        <sz val="7.5"/>
        <color rgb="FFFF0000"/>
        <rFont val="맑은 고딕"/>
        <family val="3"/>
        <charset val="129"/>
        <scheme val="minor"/>
      </rPr>
      <t>(프릴제외)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</si>
</sst>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sz val="7.5"/>
      <color theme="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25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6" fillId="0" borderId="66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11" fillId="0" borderId="8" xfId="0" applyFont="1" applyBorder="1">
      <alignment vertical="center"/>
    </xf>
    <xf numFmtId="0" fontId="8" fillId="0" borderId="5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0" borderId="84" xfId="0" applyFont="1" applyBorder="1">
      <alignment vertical="center"/>
    </xf>
    <xf numFmtId="0" fontId="6" fillId="0" borderId="85" xfId="0" applyFont="1" applyBorder="1">
      <alignment vertical="center"/>
    </xf>
    <xf numFmtId="0" fontId="6" fillId="0" borderId="86" xfId="0" applyFont="1" applyBorder="1">
      <alignment vertical="center"/>
    </xf>
    <xf numFmtId="0" fontId="24" fillId="0" borderId="84" xfId="0" applyFont="1" applyBorder="1">
      <alignment vertical="center"/>
    </xf>
    <xf numFmtId="0" fontId="0" fillId="0" borderId="0" xfId="0" applyAlignment="1">
      <alignment horizontal="left" vertical="center"/>
    </xf>
    <xf numFmtId="0" fontId="6" fillId="0" borderId="88" xfId="0" applyFont="1" applyBorder="1" applyAlignment="1">
      <alignment horizontal="left" vertical="center"/>
    </xf>
    <xf numFmtId="0" fontId="6" fillId="0" borderId="87" xfId="0" applyFont="1" applyBorder="1" applyAlignment="1">
      <alignment horizontal="left" vertical="center"/>
    </xf>
    <xf numFmtId="0" fontId="6" fillId="0" borderId="89" xfId="0" applyFont="1" applyBorder="1" applyAlignment="1">
      <alignment horizontal="left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2" borderId="8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0" borderId="64" xfId="0" applyFont="1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61" xfId="0" applyFont="1" applyBorder="1" applyAlignment="1">
      <alignment horizontal="left" vertical="center" wrapText="1"/>
    </xf>
    <xf numFmtId="0" fontId="12" fillId="0" borderId="63" xfId="0" applyFont="1" applyBorder="1" applyAlignment="1">
      <alignment horizontal="left" vertical="center" wrapText="1"/>
    </xf>
    <xf numFmtId="0" fontId="12" fillId="0" borderId="62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6" fillId="0" borderId="79" xfId="0" applyFont="1" applyBorder="1" applyAlignment="1">
      <alignment horizontal="center" vertical="center"/>
    </xf>
    <xf numFmtId="0" fontId="12" fillId="0" borderId="63" xfId="0" applyFont="1" applyBorder="1" applyAlignment="1">
      <alignment horizontal="left" vertical="center"/>
    </xf>
    <xf numFmtId="0" fontId="12" fillId="0" borderId="62" xfId="0" applyFont="1" applyBorder="1" applyAlignment="1">
      <alignment horizontal="left" vertical="center"/>
    </xf>
    <xf numFmtId="0" fontId="6" fillId="2" borderId="64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6" fillId="2" borderId="71" xfId="0" applyFont="1" applyFill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6" fillId="0" borderId="61" xfId="0" applyFont="1" applyBorder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16" fillId="0" borderId="62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2" fillId="0" borderId="7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15" fillId="0" borderId="50" xfId="0" applyFont="1" applyBorder="1" applyAlignment="1">
      <alignment horizontal="left" vertical="center"/>
    </xf>
    <xf numFmtId="0" fontId="15" fillId="0" borderId="52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6" fillId="2" borderId="48" xfId="0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6" fillId="0" borderId="8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7258-B314-4F73-8FA5-9904BCA35A8A}">
  <sheetPr>
    <tabColor theme="8"/>
    <pageSetUpPr fitToPage="1"/>
  </sheetPr>
  <dimension ref="A1:N51"/>
  <sheetViews>
    <sheetView zoomScale="110" zoomScaleNormal="110" workbookViewId="0">
      <selection activeCell="R12" sqref="R12"/>
    </sheetView>
  </sheetViews>
  <sheetFormatPr defaultColWidth="8.75" defaultRowHeight="16.5"/>
  <cols>
    <col min="1" max="1" width="3.7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589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9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/>
      <c r="I2" s="8"/>
      <c r="J2" s="6" t="s">
        <v>590</v>
      </c>
      <c r="K2" s="8"/>
      <c r="L2" s="8"/>
      <c r="M2" s="8"/>
    </row>
    <row r="3" spans="1:14" s="1" customFormat="1" ht="14.1" customHeight="1">
      <c r="A3" s="109">
        <v>1</v>
      </c>
      <c r="B3" s="110" t="s">
        <v>93</v>
      </c>
      <c r="C3" s="111"/>
      <c r="D3" s="112" t="s">
        <v>92</v>
      </c>
      <c r="E3" s="113"/>
      <c r="F3" s="113"/>
      <c r="G3" s="114"/>
      <c r="H3" s="115"/>
      <c r="I3" s="115"/>
      <c r="J3" s="116">
        <v>48.5</v>
      </c>
      <c r="K3" s="115"/>
      <c r="L3" s="115"/>
      <c r="M3" s="117"/>
    </row>
    <row r="4" spans="1:14" s="1" customFormat="1" ht="14.1" customHeight="1">
      <c r="A4" s="45"/>
      <c r="B4" s="40" t="s">
        <v>32</v>
      </c>
      <c r="C4" s="41"/>
      <c r="D4" s="42" t="s">
        <v>91</v>
      </c>
      <c r="E4" s="43"/>
      <c r="F4" s="43"/>
      <c r="G4" s="44"/>
      <c r="H4" s="79"/>
      <c r="I4" s="79"/>
      <c r="J4" s="83"/>
      <c r="K4" s="79"/>
      <c r="L4" s="79"/>
      <c r="M4" s="104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/>
      <c r="I5" s="52"/>
      <c r="J5" s="54">
        <v>57</v>
      </c>
      <c r="K5" s="52"/>
      <c r="L5" s="52"/>
      <c r="M5" s="55"/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04"/>
    </row>
    <row r="7" spans="1:14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/>
      <c r="I7" s="52"/>
      <c r="J7" s="54">
        <v>69</v>
      </c>
      <c r="K7" s="52"/>
      <c r="L7" s="52"/>
      <c r="M7" s="55"/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04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/>
      <c r="I9" s="52"/>
      <c r="J9" s="54"/>
      <c r="K9" s="52"/>
      <c r="L9" s="52"/>
      <c r="M9" s="55"/>
      <c r="N9" s="1" t="s">
        <v>189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104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>
        <v>26.2</v>
      </c>
      <c r="K11" s="38"/>
      <c r="L11" s="38"/>
      <c r="M11" s="39"/>
    </row>
    <row r="12" spans="1:14" s="1" customFormat="1" ht="14.1" customHeight="1">
      <c r="A12" s="45"/>
      <c r="B12" s="61" t="s">
        <v>598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9"/>
    </row>
    <row r="13" spans="1:14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/>
      <c r="I13" s="52"/>
      <c r="J13" s="37">
        <v>20.8</v>
      </c>
      <c r="K13" s="38"/>
      <c r="L13" s="38"/>
      <c r="M13" s="39"/>
    </row>
    <row r="14" spans="1:14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39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/>
      <c r="I15" s="52"/>
      <c r="J15" s="37">
        <v>9.5</v>
      </c>
      <c r="K15" s="38"/>
      <c r="L15" s="38"/>
      <c r="M15" s="39"/>
    </row>
    <row r="16" spans="1:14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39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/>
      <c r="I17" s="52"/>
      <c r="J17" s="37">
        <v>54</v>
      </c>
      <c r="K17" s="38"/>
      <c r="L17" s="38"/>
      <c r="M17" s="39"/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39"/>
    </row>
    <row r="19" spans="1:13" s="1" customFormat="1" ht="14.1" customHeight="1">
      <c r="A19" s="45">
        <v>9</v>
      </c>
      <c r="B19" s="47" t="s">
        <v>73</v>
      </c>
      <c r="C19" s="48"/>
      <c r="D19" s="62"/>
      <c r="E19" s="62"/>
      <c r="F19" s="62"/>
      <c r="G19" s="62"/>
      <c r="H19" s="52"/>
      <c r="I19" s="52"/>
      <c r="J19" s="37">
        <v>3</v>
      </c>
      <c r="K19" s="38"/>
      <c r="L19" s="38"/>
      <c r="M19" s="63"/>
    </row>
    <row r="20" spans="1:13" s="1" customFormat="1" ht="14.1" customHeight="1">
      <c r="A20" s="46"/>
      <c r="B20" s="65" t="s">
        <v>34</v>
      </c>
      <c r="C20" s="65"/>
      <c r="D20" s="58" t="s">
        <v>591</v>
      </c>
      <c r="E20" s="59"/>
      <c r="F20" s="59"/>
      <c r="G20" s="60"/>
      <c r="H20" s="53"/>
      <c r="I20" s="53"/>
      <c r="J20" s="54"/>
      <c r="K20" s="52"/>
      <c r="L20" s="52"/>
      <c r="M20" s="64"/>
    </row>
    <row r="21" spans="1:13" s="1" customFormat="1" ht="14.1" customHeight="1">
      <c r="A21" s="45">
        <v>10</v>
      </c>
      <c r="B21" s="47" t="s">
        <v>120</v>
      </c>
      <c r="C21" s="48"/>
      <c r="D21" s="49"/>
      <c r="E21" s="50"/>
      <c r="F21" s="50"/>
      <c r="G21" s="51"/>
      <c r="H21" s="52"/>
      <c r="I21" s="52"/>
      <c r="J21" s="37">
        <v>10.5</v>
      </c>
      <c r="K21" s="38"/>
      <c r="L21" s="38"/>
      <c r="M21" s="39"/>
    </row>
    <row r="22" spans="1:13" s="1" customFormat="1" ht="14.1" customHeight="1">
      <c r="A22" s="46"/>
      <c r="B22" s="40" t="s">
        <v>128</v>
      </c>
      <c r="C22" s="41"/>
      <c r="D22" s="42" t="s">
        <v>632</v>
      </c>
      <c r="E22" s="43"/>
      <c r="F22" s="43"/>
      <c r="G22" s="44"/>
      <c r="H22" s="79"/>
      <c r="I22" s="79"/>
      <c r="J22" s="37"/>
      <c r="K22" s="38"/>
      <c r="L22" s="38"/>
      <c r="M22" s="39"/>
    </row>
    <row r="23" spans="1:13" s="1" customFormat="1" ht="14.1" customHeight="1">
      <c r="A23" s="45">
        <v>11</v>
      </c>
      <c r="B23" s="47" t="s">
        <v>121</v>
      </c>
      <c r="C23" s="48"/>
      <c r="D23" s="49"/>
      <c r="E23" s="50"/>
      <c r="F23" s="50"/>
      <c r="G23" s="51"/>
      <c r="H23" s="52"/>
      <c r="I23" s="52"/>
      <c r="J23" s="37">
        <v>4.7</v>
      </c>
      <c r="K23" s="38"/>
      <c r="L23" s="38"/>
      <c r="M23" s="39"/>
    </row>
    <row r="24" spans="1:13" s="1" customFormat="1" ht="14.1" customHeight="1">
      <c r="A24" s="46"/>
      <c r="B24" s="56" t="s">
        <v>129</v>
      </c>
      <c r="C24" s="57"/>
      <c r="D24" s="42" t="s">
        <v>634</v>
      </c>
      <c r="E24" s="43"/>
      <c r="F24" s="43"/>
      <c r="G24" s="44"/>
      <c r="H24" s="53"/>
      <c r="I24" s="53"/>
      <c r="J24" s="54"/>
      <c r="K24" s="52"/>
      <c r="L24" s="52"/>
      <c r="M24" s="55"/>
    </row>
    <row r="25" spans="1:13" s="1" customFormat="1" ht="14.1" customHeight="1">
      <c r="A25" s="45">
        <v>10</v>
      </c>
      <c r="B25" s="47" t="s">
        <v>622</v>
      </c>
      <c r="C25" s="48"/>
      <c r="D25" s="49"/>
      <c r="E25" s="50"/>
      <c r="F25" s="50"/>
      <c r="G25" s="51"/>
      <c r="H25" s="52"/>
      <c r="I25" s="52"/>
      <c r="J25" s="37">
        <v>12</v>
      </c>
      <c r="K25" s="38"/>
      <c r="L25" s="38"/>
      <c r="M25" s="39"/>
    </row>
    <row r="26" spans="1:13" s="1" customFormat="1" ht="14.1" customHeight="1">
      <c r="A26" s="46"/>
      <c r="B26" s="40" t="s">
        <v>623</v>
      </c>
      <c r="C26" s="41"/>
      <c r="D26" s="42" t="s">
        <v>633</v>
      </c>
      <c r="E26" s="43"/>
      <c r="F26" s="43"/>
      <c r="G26" s="44"/>
      <c r="H26" s="79"/>
      <c r="I26" s="79"/>
      <c r="J26" s="37"/>
      <c r="K26" s="38"/>
      <c r="L26" s="38"/>
      <c r="M26" s="39"/>
    </row>
    <row r="27" spans="1:13" s="1" customFormat="1" ht="14.1" customHeight="1">
      <c r="A27" s="45">
        <v>11</v>
      </c>
      <c r="B27" s="47" t="s">
        <v>624</v>
      </c>
      <c r="C27" s="48"/>
      <c r="D27" s="49"/>
      <c r="E27" s="50"/>
      <c r="F27" s="50"/>
      <c r="G27" s="51"/>
      <c r="H27" s="52"/>
      <c r="I27" s="52"/>
      <c r="J27" s="37">
        <v>6</v>
      </c>
      <c r="K27" s="38"/>
      <c r="L27" s="38"/>
      <c r="M27" s="39"/>
    </row>
    <row r="28" spans="1:13" s="1" customFormat="1" ht="14.1" customHeight="1" thickBot="1">
      <c r="A28" s="46"/>
      <c r="B28" s="56" t="s">
        <v>625</v>
      </c>
      <c r="C28" s="57"/>
      <c r="D28" s="58" t="s">
        <v>635</v>
      </c>
      <c r="E28" s="59"/>
      <c r="F28" s="59"/>
      <c r="G28" s="60"/>
      <c r="H28" s="53"/>
      <c r="I28" s="53"/>
      <c r="J28" s="54"/>
      <c r="K28" s="52"/>
      <c r="L28" s="52"/>
      <c r="M28" s="55"/>
    </row>
    <row r="29" spans="1:13" s="1" customFormat="1" ht="14.1" customHeight="1" thickTop="1" thickBot="1">
      <c r="A29" s="34" t="s">
        <v>631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spans="1:13" s="1" customFormat="1" ht="14.1" customHeight="1" thickTop="1">
      <c r="A30" s="86">
        <v>12</v>
      </c>
      <c r="B30" s="99" t="s">
        <v>626</v>
      </c>
      <c r="C30" s="100"/>
      <c r="D30" s="101"/>
      <c r="E30" s="102"/>
      <c r="F30" s="102"/>
      <c r="G30" s="103"/>
      <c r="H30" s="90"/>
      <c r="I30" s="90"/>
      <c r="J30" s="82">
        <v>12.5</v>
      </c>
      <c r="K30" s="84"/>
      <c r="L30" s="84"/>
      <c r="M30" s="98"/>
    </row>
    <row r="31" spans="1:13" ht="14.1" customHeight="1">
      <c r="A31" s="45"/>
      <c r="B31" s="40" t="s">
        <v>627</v>
      </c>
      <c r="C31" s="41"/>
      <c r="D31" s="42" t="s">
        <v>630</v>
      </c>
      <c r="E31" s="43"/>
      <c r="F31" s="43"/>
      <c r="G31" s="44"/>
      <c r="H31" s="79"/>
      <c r="I31" s="79"/>
      <c r="J31" s="37"/>
      <c r="K31" s="38"/>
      <c r="L31" s="38"/>
      <c r="M31" s="39"/>
    </row>
    <row r="32" spans="1:13" ht="14.1" customHeight="1">
      <c r="A32" s="45">
        <v>13</v>
      </c>
      <c r="B32" s="47" t="s">
        <v>628</v>
      </c>
      <c r="C32" s="48"/>
      <c r="D32" s="49"/>
      <c r="E32" s="50"/>
      <c r="F32" s="50"/>
      <c r="G32" s="51"/>
      <c r="H32" s="52"/>
      <c r="I32" s="52"/>
      <c r="J32" s="37">
        <v>6.3</v>
      </c>
      <c r="K32" s="38"/>
      <c r="L32" s="38"/>
      <c r="M32" s="39"/>
    </row>
    <row r="33" spans="1:13" ht="14.1" customHeight="1" thickBot="1">
      <c r="A33" s="96"/>
      <c r="B33" s="93" t="s">
        <v>629</v>
      </c>
      <c r="C33" s="94"/>
      <c r="D33" s="42" t="s">
        <v>185</v>
      </c>
      <c r="E33" s="43"/>
      <c r="F33" s="43"/>
      <c r="G33" s="44"/>
      <c r="H33" s="97"/>
      <c r="I33" s="97"/>
      <c r="J33" s="95"/>
      <c r="K33" s="91"/>
      <c r="L33" s="91"/>
      <c r="M33" s="92"/>
    </row>
    <row r="34" spans="1:13" ht="14.1" customHeight="1" thickTop="1">
      <c r="A34" s="86">
        <v>14</v>
      </c>
      <c r="B34" s="87" t="s">
        <v>592</v>
      </c>
      <c r="C34" s="87"/>
      <c r="D34" s="88"/>
      <c r="E34" s="88"/>
      <c r="F34" s="88"/>
      <c r="G34" s="89"/>
      <c r="H34" s="90"/>
      <c r="I34" s="90"/>
      <c r="J34" s="82">
        <v>25</v>
      </c>
      <c r="K34" s="84"/>
      <c r="L34" s="84"/>
      <c r="M34" s="85"/>
    </row>
    <row r="35" spans="1:13" ht="14.1" customHeight="1">
      <c r="A35" s="45"/>
      <c r="B35" s="61" t="s">
        <v>594</v>
      </c>
      <c r="C35" s="61"/>
      <c r="D35" s="42" t="s">
        <v>599</v>
      </c>
      <c r="E35" s="43"/>
      <c r="F35" s="43"/>
      <c r="G35" s="43"/>
      <c r="H35" s="79"/>
      <c r="I35" s="79"/>
      <c r="J35" s="37"/>
      <c r="K35" s="38"/>
      <c r="L35" s="38"/>
      <c r="M35" s="63"/>
    </row>
    <row r="36" spans="1:13" ht="14.1" customHeight="1">
      <c r="A36" s="45">
        <v>15</v>
      </c>
      <c r="B36" s="81" t="s">
        <v>593</v>
      </c>
      <c r="C36" s="81"/>
      <c r="D36" s="78"/>
      <c r="E36" s="78"/>
      <c r="F36" s="78"/>
      <c r="G36" s="78"/>
      <c r="H36" s="52"/>
      <c r="I36" s="52"/>
      <c r="J36" s="54">
        <v>35</v>
      </c>
      <c r="K36" s="52"/>
      <c r="L36" s="52"/>
      <c r="M36" s="64"/>
    </row>
    <row r="37" spans="1:13" ht="14.1" customHeight="1">
      <c r="A37" s="45"/>
      <c r="B37" s="61" t="s">
        <v>595</v>
      </c>
      <c r="C37" s="61"/>
      <c r="D37" s="42" t="s">
        <v>600</v>
      </c>
      <c r="E37" s="43"/>
      <c r="F37" s="43"/>
      <c r="G37" s="44"/>
      <c r="H37" s="79"/>
      <c r="I37" s="79"/>
      <c r="J37" s="83"/>
      <c r="K37" s="79"/>
      <c r="L37" s="79"/>
      <c r="M37" s="80"/>
    </row>
    <row r="38" spans="1:13" ht="14.1" customHeight="1">
      <c r="A38" s="45">
        <v>16</v>
      </c>
      <c r="B38" s="81" t="s">
        <v>596</v>
      </c>
      <c r="C38" s="81"/>
      <c r="D38" s="78"/>
      <c r="E38" s="78"/>
      <c r="F38" s="78"/>
      <c r="G38" s="78"/>
      <c r="H38" s="52"/>
      <c r="I38" s="52"/>
      <c r="J38" s="54">
        <v>10</v>
      </c>
      <c r="K38" s="52"/>
      <c r="L38" s="52"/>
      <c r="M38" s="64"/>
    </row>
    <row r="39" spans="1:13" ht="14.1" customHeight="1">
      <c r="A39" s="45"/>
      <c r="B39" s="61" t="s">
        <v>597</v>
      </c>
      <c r="C39" s="61"/>
      <c r="D39" s="42" t="s">
        <v>601</v>
      </c>
      <c r="E39" s="43"/>
      <c r="F39" s="43"/>
      <c r="G39" s="44"/>
      <c r="H39" s="79"/>
      <c r="I39" s="79"/>
      <c r="J39" s="83"/>
      <c r="K39" s="79"/>
      <c r="L39" s="79"/>
      <c r="M39" s="80"/>
    </row>
    <row r="40" spans="1:13" ht="14.1" customHeight="1">
      <c r="A40" s="45">
        <v>17</v>
      </c>
      <c r="B40" s="47" t="s">
        <v>603</v>
      </c>
      <c r="C40" s="48"/>
      <c r="D40" s="75"/>
      <c r="E40" s="62"/>
      <c r="F40" s="62"/>
      <c r="G40" s="76"/>
      <c r="H40" s="52"/>
      <c r="I40" s="52"/>
      <c r="J40" s="37">
        <v>3</v>
      </c>
      <c r="K40" s="38"/>
      <c r="L40" s="38"/>
      <c r="M40" s="63"/>
    </row>
    <row r="41" spans="1:13" ht="14.1" customHeight="1">
      <c r="A41" s="45"/>
      <c r="B41" s="40" t="s">
        <v>602</v>
      </c>
      <c r="C41" s="41"/>
      <c r="D41" s="42" t="s">
        <v>604</v>
      </c>
      <c r="E41" s="43"/>
      <c r="F41" s="43"/>
      <c r="G41" s="44"/>
      <c r="H41" s="79"/>
      <c r="I41" s="79"/>
      <c r="J41" s="37"/>
      <c r="K41" s="38"/>
      <c r="L41" s="38"/>
      <c r="M41" s="63"/>
    </row>
    <row r="42" spans="1:13" ht="14.1" customHeight="1">
      <c r="A42" s="45">
        <v>18</v>
      </c>
      <c r="B42" s="47"/>
      <c r="C42" s="48"/>
      <c r="D42" s="78"/>
      <c r="E42" s="78"/>
      <c r="F42" s="78"/>
      <c r="G42" s="78"/>
      <c r="H42" s="52"/>
      <c r="I42" s="52"/>
      <c r="J42" s="37"/>
      <c r="K42" s="38"/>
      <c r="L42" s="38"/>
      <c r="M42" s="63"/>
    </row>
    <row r="43" spans="1:13" ht="14.1" customHeight="1">
      <c r="A43" s="45"/>
      <c r="B43" s="40"/>
      <c r="C43" s="41"/>
      <c r="D43" s="42"/>
      <c r="E43" s="43"/>
      <c r="F43" s="43"/>
      <c r="G43" s="44"/>
      <c r="H43" s="79"/>
      <c r="I43" s="79"/>
      <c r="J43" s="37"/>
      <c r="K43" s="38"/>
      <c r="L43" s="38"/>
      <c r="M43" s="63"/>
    </row>
    <row r="44" spans="1:13" ht="14.1" customHeight="1">
      <c r="A44" s="45">
        <v>19</v>
      </c>
      <c r="B44" s="47"/>
      <c r="C44" s="48"/>
      <c r="D44" s="78"/>
      <c r="E44" s="78"/>
      <c r="F44" s="78"/>
      <c r="G44" s="78"/>
      <c r="H44" s="52"/>
      <c r="I44" s="52"/>
      <c r="J44" s="37"/>
      <c r="K44" s="38"/>
      <c r="L44" s="38"/>
      <c r="M44" s="63"/>
    </row>
    <row r="45" spans="1:13" ht="14.1" customHeight="1">
      <c r="A45" s="45"/>
      <c r="B45" s="40"/>
      <c r="C45" s="41"/>
      <c r="D45" s="42"/>
      <c r="E45" s="43"/>
      <c r="F45" s="43"/>
      <c r="G45" s="44"/>
      <c r="H45" s="79"/>
      <c r="I45" s="79"/>
      <c r="J45" s="37"/>
      <c r="K45" s="38"/>
      <c r="L45" s="38"/>
      <c r="M45" s="63"/>
    </row>
    <row r="46" spans="1:13" ht="14.1" customHeight="1">
      <c r="A46" s="45">
        <v>20</v>
      </c>
      <c r="B46" s="47"/>
      <c r="C46" s="48"/>
      <c r="D46" s="75"/>
      <c r="E46" s="62"/>
      <c r="F46" s="62"/>
      <c r="G46" s="76"/>
      <c r="H46" s="52"/>
      <c r="I46" s="52"/>
      <c r="J46" s="37"/>
      <c r="K46" s="38"/>
      <c r="L46" s="38"/>
      <c r="M46" s="63"/>
    </row>
    <row r="47" spans="1:13" ht="14.1" customHeight="1" thickBot="1">
      <c r="A47" s="74"/>
      <c r="B47" s="69"/>
      <c r="C47" s="70"/>
      <c r="D47" s="71"/>
      <c r="E47" s="72"/>
      <c r="F47" s="72"/>
      <c r="G47" s="73"/>
      <c r="H47" s="77"/>
      <c r="I47" s="77"/>
      <c r="J47" s="66"/>
      <c r="K47" s="67"/>
      <c r="L47" s="67"/>
      <c r="M47" s="68"/>
    </row>
    <row r="48" spans="1:13" ht="14.1" customHeight="1"/>
    <row r="49" ht="14.1" customHeight="1"/>
    <row r="50" ht="14.1" customHeight="1"/>
    <row r="51" ht="14.1" customHeight="1"/>
  </sheetData>
  <mergeCells count="246"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A7:A8"/>
    <mergeCell ref="B7:C7"/>
    <mergeCell ref="D7:G7"/>
    <mergeCell ref="H7:H8"/>
    <mergeCell ref="I7:I8"/>
    <mergeCell ref="D6:G6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I9:I10"/>
    <mergeCell ref="A30:A31"/>
    <mergeCell ref="B30:C30"/>
    <mergeCell ref="D30:G30"/>
    <mergeCell ref="H30:H31"/>
    <mergeCell ref="I30:I31"/>
    <mergeCell ref="A13:A14"/>
    <mergeCell ref="B13:C13"/>
    <mergeCell ref="D13:G13"/>
    <mergeCell ref="H13:H14"/>
    <mergeCell ref="I13:I14"/>
    <mergeCell ref="A15:A16"/>
    <mergeCell ref="A17:A18"/>
    <mergeCell ref="H17:H18"/>
    <mergeCell ref="I17:I18"/>
    <mergeCell ref="A21:A22"/>
    <mergeCell ref="B21:C21"/>
    <mergeCell ref="D21:G21"/>
    <mergeCell ref="H21:H22"/>
    <mergeCell ref="I21:I22"/>
    <mergeCell ref="A25:A26"/>
    <mergeCell ref="B25:C25"/>
    <mergeCell ref="D25:G25"/>
    <mergeCell ref="H25:H26"/>
    <mergeCell ref="I25:I26"/>
    <mergeCell ref="K13:K14"/>
    <mergeCell ref="L13:L14"/>
    <mergeCell ref="M13:M14"/>
    <mergeCell ref="B14:C14"/>
    <mergeCell ref="D14:G14"/>
    <mergeCell ref="J13:J14"/>
    <mergeCell ref="J30:J31"/>
    <mergeCell ref="K30:K31"/>
    <mergeCell ref="L30:L31"/>
    <mergeCell ref="M30:M31"/>
    <mergeCell ref="B31:C31"/>
    <mergeCell ref="D31:G31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B17:C17"/>
    <mergeCell ref="D17:G17"/>
    <mergeCell ref="K32:K33"/>
    <mergeCell ref="L32:L33"/>
    <mergeCell ref="M32:M33"/>
    <mergeCell ref="B33:C33"/>
    <mergeCell ref="D33:G33"/>
    <mergeCell ref="J32:J33"/>
    <mergeCell ref="A32:A33"/>
    <mergeCell ref="B32:C32"/>
    <mergeCell ref="D32:G32"/>
    <mergeCell ref="H32:H33"/>
    <mergeCell ref="I32:I33"/>
    <mergeCell ref="K34:K35"/>
    <mergeCell ref="L34:L35"/>
    <mergeCell ref="M34:M35"/>
    <mergeCell ref="B35:C35"/>
    <mergeCell ref="D35:G35"/>
    <mergeCell ref="A34:A35"/>
    <mergeCell ref="B34:C34"/>
    <mergeCell ref="D34:G34"/>
    <mergeCell ref="H34:H35"/>
    <mergeCell ref="I34:I35"/>
    <mergeCell ref="A38:A39"/>
    <mergeCell ref="B38:C38"/>
    <mergeCell ref="D38:G38"/>
    <mergeCell ref="H38:H39"/>
    <mergeCell ref="I38:I39"/>
    <mergeCell ref="J34:J35"/>
    <mergeCell ref="A36:A37"/>
    <mergeCell ref="B36:C36"/>
    <mergeCell ref="D36:G36"/>
    <mergeCell ref="H36:H37"/>
    <mergeCell ref="I36:I37"/>
    <mergeCell ref="J36:J37"/>
    <mergeCell ref="J38:J39"/>
    <mergeCell ref="K38:K39"/>
    <mergeCell ref="L38:L39"/>
    <mergeCell ref="M38:M39"/>
    <mergeCell ref="B39:C39"/>
    <mergeCell ref="D39:G39"/>
    <mergeCell ref="K36:K37"/>
    <mergeCell ref="L36:L37"/>
    <mergeCell ref="M36:M37"/>
    <mergeCell ref="B37:C37"/>
    <mergeCell ref="D37:G37"/>
    <mergeCell ref="A42:A43"/>
    <mergeCell ref="B42:C42"/>
    <mergeCell ref="D42:G42"/>
    <mergeCell ref="H42:H43"/>
    <mergeCell ref="I42:I43"/>
    <mergeCell ref="A40:A41"/>
    <mergeCell ref="B40:C40"/>
    <mergeCell ref="D40:G40"/>
    <mergeCell ref="H40:H41"/>
    <mergeCell ref="I40:I41"/>
    <mergeCell ref="J42:J43"/>
    <mergeCell ref="K42:K43"/>
    <mergeCell ref="L42:L43"/>
    <mergeCell ref="M42:M43"/>
    <mergeCell ref="B43:C43"/>
    <mergeCell ref="D43:G43"/>
    <mergeCell ref="K40:K41"/>
    <mergeCell ref="L40:L41"/>
    <mergeCell ref="M40:M41"/>
    <mergeCell ref="B41:C41"/>
    <mergeCell ref="D41:G41"/>
    <mergeCell ref="J40:J41"/>
    <mergeCell ref="A46:A47"/>
    <mergeCell ref="B46:C46"/>
    <mergeCell ref="D46:G46"/>
    <mergeCell ref="H46:H47"/>
    <mergeCell ref="I46:I47"/>
    <mergeCell ref="A44:A45"/>
    <mergeCell ref="B44:C44"/>
    <mergeCell ref="D44:G44"/>
    <mergeCell ref="H44:H45"/>
    <mergeCell ref="I44:I45"/>
    <mergeCell ref="J46:J47"/>
    <mergeCell ref="K46:K47"/>
    <mergeCell ref="L46:L47"/>
    <mergeCell ref="M46:M47"/>
    <mergeCell ref="B47:C47"/>
    <mergeCell ref="D47:G47"/>
    <mergeCell ref="K44:K45"/>
    <mergeCell ref="L44:L45"/>
    <mergeCell ref="M44:M45"/>
    <mergeCell ref="B45:C45"/>
    <mergeCell ref="D45:G45"/>
    <mergeCell ref="J44:J45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9:M29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8291-37D6-483D-B054-6610BC3A9708}">
  <sheetPr>
    <tabColor theme="8"/>
    <pageSetUpPr fitToPage="1"/>
  </sheetPr>
  <dimension ref="A1:P47"/>
  <sheetViews>
    <sheetView zoomScale="110" zoomScaleNormal="110" workbookViewId="0">
      <selection activeCell="H21" sqref="H21:H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105" t="s">
        <v>231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6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SUM(I3)-2.5</f>
        <v>44</v>
      </c>
      <c r="I3" s="52">
        <f>SUM(J3)-2.5</f>
        <v>46.5</v>
      </c>
      <c r="J3" s="116">
        <v>49</v>
      </c>
      <c r="K3" s="115">
        <f>SUM(J3)+2.5</f>
        <v>51.5</v>
      </c>
      <c r="L3" s="115">
        <f>SUM(K3)+2.5</f>
        <v>54</v>
      </c>
      <c r="M3" s="120">
        <f>SUM(L3)+2.5</f>
        <v>56.5</v>
      </c>
    </row>
    <row r="4" spans="1:16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6" s="1" customFormat="1" ht="14.1" customHeight="1">
      <c r="A5" s="129">
        <v>2</v>
      </c>
      <c r="B5" s="47" t="s">
        <v>11</v>
      </c>
      <c r="C5" s="48"/>
      <c r="D5" s="75" t="s">
        <v>12</v>
      </c>
      <c r="E5" s="62"/>
      <c r="F5" s="62"/>
      <c r="G5" s="76"/>
      <c r="H5" s="52">
        <f>SUM(I5)-3.2</f>
        <v>48.099999999999994</v>
      </c>
      <c r="I5" s="52">
        <f>SUM(J5)-3.2</f>
        <v>51.3</v>
      </c>
      <c r="J5" s="54">
        <v>54.5</v>
      </c>
      <c r="K5" s="52">
        <f>SUM(J5)+3.2</f>
        <v>57.7</v>
      </c>
      <c r="L5" s="52">
        <f>SUM(K5)+3.2</f>
        <v>60.900000000000006</v>
      </c>
      <c r="M5" s="64">
        <f>SUM(L5)+3.2</f>
        <v>64.100000000000009</v>
      </c>
    </row>
    <row r="6" spans="1:16" s="1" customFormat="1" ht="14.1" customHeight="1">
      <c r="A6" s="119"/>
      <c r="B6" s="121" t="s">
        <v>48</v>
      </c>
      <c r="C6" s="122"/>
      <c r="D6" s="123" t="s">
        <v>90</v>
      </c>
      <c r="E6" s="124"/>
      <c r="F6" s="124"/>
      <c r="G6" s="125"/>
      <c r="H6" s="79"/>
      <c r="I6" s="79"/>
      <c r="J6" s="83"/>
      <c r="K6" s="79"/>
      <c r="L6" s="79"/>
      <c r="M6" s="80"/>
    </row>
    <row r="7" spans="1:16" s="1" customFormat="1" ht="14.1" customHeight="1">
      <c r="A7" s="129">
        <v>3</v>
      </c>
      <c r="B7" s="47" t="s">
        <v>103</v>
      </c>
      <c r="C7" s="48"/>
      <c r="D7" s="75"/>
      <c r="E7" s="62"/>
      <c r="F7" s="62"/>
      <c r="G7" s="76"/>
      <c r="H7" s="52">
        <f>SUM(I7)-0.7</f>
        <v>13.600000000000001</v>
      </c>
      <c r="I7" s="52">
        <f>SUM(J7)-0.7</f>
        <v>14.3</v>
      </c>
      <c r="J7" s="54">
        <v>15</v>
      </c>
      <c r="K7" s="52">
        <f>SUM(J7)+1.2</f>
        <v>16.2</v>
      </c>
      <c r="L7" s="52">
        <f>SUM(K7)+0.7</f>
        <v>16.899999999999999</v>
      </c>
      <c r="M7" s="64">
        <f>SUM(L7)+0.7</f>
        <v>17.599999999999998</v>
      </c>
    </row>
    <row r="8" spans="1:16" s="1" customFormat="1" ht="14.1" customHeight="1">
      <c r="A8" s="119"/>
      <c r="B8" s="121" t="s">
        <v>102</v>
      </c>
      <c r="C8" s="122"/>
      <c r="D8" s="126" t="s">
        <v>115</v>
      </c>
      <c r="E8" s="127"/>
      <c r="F8" s="127"/>
      <c r="G8" s="128"/>
      <c r="H8" s="79"/>
      <c r="I8" s="79"/>
      <c r="J8" s="83"/>
      <c r="K8" s="79"/>
      <c r="L8" s="79"/>
      <c r="M8" s="80"/>
    </row>
    <row r="9" spans="1:16" s="1" customFormat="1" ht="14.1" customHeight="1">
      <c r="A9" s="129">
        <v>4</v>
      </c>
      <c r="B9" s="47" t="s">
        <v>327</v>
      </c>
      <c r="C9" s="48"/>
      <c r="D9" s="75" t="s">
        <v>70</v>
      </c>
      <c r="E9" s="62"/>
      <c r="F9" s="62"/>
      <c r="G9" s="76"/>
      <c r="H9" s="52">
        <f>SUM(I9)-7</f>
        <v>51.400000000000006</v>
      </c>
      <c r="I9" s="52">
        <f>SUM(J9)-7</f>
        <v>58.400000000000006</v>
      </c>
      <c r="J9" s="54">
        <v>65.400000000000006</v>
      </c>
      <c r="K9" s="52">
        <f>SUM(J9)+6</f>
        <v>71.400000000000006</v>
      </c>
      <c r="L9" s="52">
        <f>SUM(K9)+6</f>
        <v>77.400000000000006</v>
      </c>
      <c r="M9" s="64">
        <f>SUM(L9)+6</f>
        <v>83.4</v>
      </c>
    </row>
    <row r="10" spans="1:16" s="1" customFormat="1" ht="14.1" customHeight="1">
      <c r="A10" s="119"/>
      <c r="B10" s="121" t="s">
        <v>49</v>
      </c>
      <c r="C10" s="122"/>
      <c r="D10" s="123" t="s">
        <v>89</v>
      </c>
      <c r="E10" s="124"/>
      <c r="F10" s="124"/>
      <c r="G10" s="125"/>
      <c r="H10" s="79"/>
      <c r="I10" s="79"/>
      <c r="J10" s="83"/>
      <c r="K10" s="79"/>
      <c r="L10" s="79"/>
      <c r="M10" s="80"/>
    </row>
    <row r="11" spans="1:16" s="1" customFormat="1" ht="14.1" customHeight="1">
      <c r="A11" s="129">
        <v>5</v>
      </c>
      <c r="B11" s="47" t="s">
        <v>328</v>
      </c>
      <c r="C11" s="48"/>
      <c r="D11" s="75" t="s">
        <v>15</v>
      </c>
      <c r="E11" s="62"/>
      <c r="F11" s="62"/>
      <c r="G11" s="76"/>
      <c r="H11" s="52">
        <f>SUM(I11)-1.6</f>
        <v>29.699999999999996</v>
      </c>
      <c r="I11" s="52">
        <f>SUM(J11)-1.6</f>
        <v>31.299999999999997</v>
      </c>
      <c r="J11" s="54">
        <v>32.9</v>
      </c>
      <c r="K11" s="52">
        <f>SUM(J11)+1.6</f>
        <v>34.5</v>
      </c>
      <c r="L11" s="52">
        <f>SUM(K11)+1.6</f>
        <v>36.1</v>
      </c>
      <c r="M11" s="64">
        <f>SUM(L11)+1.6</f>
        <v>37.700000000000003</v>
      </c>
    </row>
    <row r="12" spans="1:16" s="1" customFormat="1" ht="14.1" customHeight="1" thickBot="1">
      <c r="A12" s="119"/>
      <c r="B12" s="121" t="s">
        <v>50</v>
      </c>
      <c r="C12" s="122"/>
      <c r="D12" s="42" t="s">
        <v>88</v>
      </c>
      <c r="E12" s="43"/>
      <c r="F12" s="43"/>
      <c r="G12" s="44"/>
      <c r="H12" s="79"/>
      <c r="I12" s="79"/>
      <c r="J12" s="83"/>
      <c r="K12" s="79"/>
      <c r="L12" s="79"/>
      <c r="M12" s="80"/>
    </row>
    <row r="13" spans="1:16" s="1" customFormat="1" ht="14.1" customHeight="1" thickTop="1">
      <c r="A13" s="129">
        <v>6</v>
      </c>
      <c r="B13" s="47" t="s">
        <v>16</v>
      </c>
      <c r="C13" s="48"/>
      <c r="D13" s="75" t="s">
        <v>13</v>
      </c>
      <c r="E13" s="62"/>
      <c r="F13" s="62"/>
      <c r="G13" s="76"/>
      <c r="H13" s="52">
        <f>SUM(I13)-1.1</f>
        <v>20.799999999999997</v>
      </c>
      <c r="I13" s="52">
        <f>SUM(J13)-1.1</f>
        <v>21.9</v>
      </c>
      <c r="J13" s="54">
        <v>23</v>
      </c>
      <c r="K13" s="52">
        <f>SUM(J13)+1.6</f>
        <v>24.6</v>
      </c>
      <c r="L13" s="130">
        <f>SUM(K13)+1.1</f>
        <v>25.700000000000003</v>
      </c>
      <c r="M13" s="132">
        <f>SUM(L13)+1.1</f>
        <v>26.800000000000004</v>
      </c>
      <c r="O13" s="10" t="s">
        <v>329</v>
      </c>
    </row>
    <row r="14" spans="1:16" s="1" customFormat="1" ht="14.1" customHeight="1">
      <c r="A14" s="119"/>
      <c r="B14" s="121" t="s">
        <v>56</v>
      </c>
      <c r="C14" s="122"/>
      <c r="D14" s="123" t="s">
        <v>87</v>
      </c>
      <c r="E14" s="124"/>
      <c r="F14" s="124"/>
      <c r="G14" s="125"/>
      <c r="H14" s="79"/>
      <c r="I14" s="79"/>
      <c r="J14" s="83"/>
      <c r="K14" s="79"/>
      <c r="L14" s="131"/>
      <c r="M14" s="133"/>
      <c r="O14" s="11">
        <f>SUM(H25+H25+I25+I25+J25+J25+K25+K25+L25+L25+M25+M25)</f>
        <v>124.8</v>
      </c>
      <c r="P14" s="1" t="s">
        <v>330</v>
      </c>
    </row>
    <row r="15" spans="1:16" s="1" customFormat="1" ht="14.1" customHeight="1" thickBot="1">
      <c r="A15" s="129">
        <v>7</v>
      </c>
      <c r="B15" s="47" t="s">
        <v>17</v>
      </c>
      <c r="C15" s="48"/>
      <c r="D15" s="75" t="s">
        <v>13</v>
      </c>
      <c r="E15" s="62"/>
      <c r="F15" s="62"/>
      <c r="G15" s="76"/>
      <c r="H15" s="52">
        <f>SUM(I15)-1.2</f>
        <v>24.6</v>
      </c>
      <c r="I15" s="52">
        <f>SUM(J15)-1.2</f>
        <v>25.8</v>
      </c>
      <c r="J15" s="54">
        <v>27</v>
      </c>
      <c r="K15" s="52">
        <f>SUM(J15)+1.7</f>
        <v>28.7</v>
      </c>
      <c r="L15" s="52">
        <f>SUM(K15)+1.2</f>
        <v>29.9</v>
      </c>
      <c r="M15" s="64">
        <f>SUM(L15)+1.2</f>
        <v>31.099999999999998</v>
      </c>
      <c r="O15" s="12">
        <f>SUM(O14/6/91.44*1.08)</f>
        <v>0.2456692913385827</v>
      </c>
    </row>
    <row r="16" spans="1:16" s="1" customFormat="1" ht="14.1" customHeight="1" thickTop="1">
      <c r="A16" s="119"/>
      <c r="B16" s="121" t="s">
        <v>55</v>
      </c>
      <c r="C16" s="122"/>
      <c r="D16" s="123" t="s">
        <v>87</v>
      </c>
      <c r="E16" s="124"/>
      <c r="F16" s="124"/>
      <c r="G16" s="125"/>
      <c r="H16" s="79"/>
      <c r="I16" s="79"/>
      <c r="J16" s="83"/>
      <c r="K16" s="79"/>
      <c r="L16" s="79"/>
      <c r="M16" s="80"/>
    </row>
    <row r="17" spans="1:13" s="1" customFormat="1" ht="14.1" customHeight="1">
      <c r="A17" s="129">
        <v>8</v>
      </c>
      <c r="B17" s="47" t="s">
        <v>18</v>
      </c>
      <c r="C17" s="48"/>
      <c r="D17" s="75" t="s">
        <v>19</v>
      </c>
      <c r="E17" s="62"/>
      <c r="F17" s="62"/>
      <c r="G17" s="76"/>
      <c r="H17" s="52">
        <f>SUM(I17)-2.1</f>
        <v>26.699999999999996</v>
      </c>
      <c r="I17" s="52">
        <f>SUM(J17)-2.1</f>
        <v>28.799999999999997</v>
      </c>
      <c r="J17" s="54">
        <v>30.9</v>
      </c>
      <c r="K17" s="52">
        <f>SUM(J17)+2</f>
        <v>32.9</v>
      </c>
      <c r="L17" s="52">
        <f>SUM(K17)+2</f>
        <v>34.9</v>
      </c>
      <c r="M17" s="64">
        <f>SUM(L17)+2</f>
        <v>36.9</v>
      </c>
    </row>
    <row r="18" spans="1:13" s="1" customFormat="1" ht="14.1" customHeight="1">
      <c r="A18" s="119"/>
      <c r="B18" s="121" t="s">
        <v>54</v>
      </c>
      <c r="C18" s="122"/>
      <c r="D18" s="123" t="s">
        <v>86</v>
      </c>
      <c r="E18" s="124"/>
      <c r="F18" s="124"/>
      <c r="G18" s="125"/>
      <c r="H18" s="79"/>
      <c r="I18" s="79"/>
      <c r="J18" s="83"/>
      <c r="K18" s="79"/>
      <c r="L18" s="79"/>
      <c r="M18" s="80"/>
    </row>
    <row r="19" spans="1:13" s="1" customFormat="1" ht="14.1" customHeight="1">
      <c r="A19" s="129">
        <v>9</v>
      </c>
      <c r="B19" s="47" t="s">
        <v>20</v>
      </c>
      <c r="C19" s="48"/>
      <c r="D19" s="75" t="s">
        <v>21</v>
      </c>
      <c r="E19" s="62"/>
      <c r="F19" s="62"/>
      <c r="G19" s="76"/>
      <c r="H19" s="52">
        <f>SUM(I19)-6</f>
        <v>31.200000000000003</v>
      </c>
      <c r="I19" s="52">
        <f>SUM(J19)-6</f>
        <v>37.200000000000003</v>
      </c>
      <c r="J19" s="54">
        <v>43.2</v>
      </c>
      <c r="K19" s="52">
        <f>SUM(J19)+4.5</f>
        <v>47.7</v>
      </c>
      <c r="L19" s="52">
        <f>SUM(K19)+5</f>
        <v>52.7</v>
      </c>
      <c r="M19" s="64">
        <f>SUM(L19)+5</f>
        <v>57.7</v>
      </c>
    </row>
    <row r="20" spans="1:13" s="1" customFormat="1" ht="14.1" customHeight="1">
      <c r="A20" s="119"/>
      <c r="B20" s="121" t="s">
        <v>53</v>
      </c>
      <c r="C20" s="122"/>
      <c r="D20" s="123" t="s">
        <v>85</v>
      </c>
      <c r="E20" s="124"/>
      <c r="F20" s="124"/>
      <c r="G20" s="125"/>
      <c r="H20" s="79"/>
      <c r="I20" s="79"/>
      <c r="J20" s="83"/>
      <c r="K20" s="79"/>
      <c r="L20" s="79"/>
      <c r="M20" s="80"/>
    </row>
    <row r="21" spans="1:13" s="1" customFormat="1" ht="14.1" customHeight="1">
      <c r="A21" s="129">
        <v>10</v>
      </c>
      <c r="B21" s="47" t="s">
        <v>84</v>
      </c>
      <c r="C21" s="48"/>
      <c r="D21" s="75" t="s">
        <v>82</v>
      </c>
      <c r="E21" s="62"/>
      <c r="F21" s="62"/>
      <c r="G21" s="76"/>
      <c r="H21" s="52">
        <f>SUM(I21)-1.2</f>
        <v>22.6</v>
      </c>
      <c r="I21" s="52">
        <f>SUM(J21)-1.2</f>
        <v>23.8</v>
      </c>
      <c r="J21" s="54">
        <v>25</v>
      </c>
      <c r="K21" s="52">
        <f>SUM(J21)+1.2</f>
        <v>26.2</v>
      </c>
      <c r="L21" s="52">
        <f>SUM(K21)+1.2</f>
        <v>27.4</v>
      </c>
      <c r="M21" s="64">
        <f>SUM(L21)+1.2</f>
        <v>28.599999999999998</v>
      </c>
    </row>
    <row r="22" spans="1:13" s="1" customFormat="1" ht="14.1" customHeight="1">
      <c r="A22" s="119"/>
      <c r="B22" s="121" t="s">
        <v>83</v>
      </c>
      <c r="C22" s="122"/>
      <c r="D22" s="123" t="s">
        <v>82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s="1" customFormat="1" ht="14.1" customHeight="1">
      <c r="A23" s="129">
        <v>11</v>
      </c>
      <c r="B23" s="47" t="s">
        <v>81</v>
      </c>
      <c r="C23" s="48"/>
      <c r="D23" s="75" t="s">
        <v>80</v>
      </c>
      <c r="E23" s="62"/>
      <c r="F23" s="62"/>
      <c r="G23" s="76"/>
      <c r="H23" s="52">
        <f>SUM(I23)-3</f>
        <v>30.9</v>
      </c>
      <c r="I23" s="52">
        <f>SUM(J23)-3</f>
        <v>33.9</v>
      </c>
      <c r="J23" s="54">
        <v>36.9</v>
      </c>
      <c r="K23" s="52">
        <f>SUM(J23)+3</f>
        <v>39.9</v>
      </c>
      <c r="L23" s="52">
        <f>SUM(K23)+2.7</f>
        <v>42.6</v>
      </c>
      <c r="M23" s="64">
        <f>SUM(L23)+2.7</f>
        <v>45.300000000000004</v>
      </c>
    </row>
    <row r="24" spans="1:13" s="1" customFormat="1" ht="14.1" customHeight="1">
      <c r="A24" s="129"/>
      <c r="B24" s="136" t="s">
        <v>79</v>
      </c>
      <c r="C24" s="137"/>
      <c r="D24" s="138" t="s">
        <v>78</v>
      </c>
      <c r="E24" s="139"/>
      <c r="F24" s="139"/>
      <c r="G24" s="140"/>
      <c r="H24" s="53"/>
      <c r="I24" s="53"/>
      <c r="J24" s="134"/>
      <c r="K24" s="53"/>
      <c r="L24" s="53"/>
      <c r="M24" s="135"/>
    </row>
    <row r="25" spans="1:13" s="1" customFormat="1" ht="14.1" customHeight="1">
      <c r="A25" s="142">
        <v>12</v>
      </c>
      <c r="B25" s="47" t="s">
        <v>331</v>
      </c>
      <c r="C25" s="48"/>
      <c r="D25" s="75"/>
      <c r="E25" s="62"/>
      <c r="F25" s="62"/>
      <c r="G25" s="76"/>
      <c r="H25" s="52">
        <f>SUM(I25)-1.4</f>
        <v>7.1999999999999993</v>
      </c>
      <c r="I25" s="52">
        <f>SUM(J25)-1.4</f>
        <v>8.6</v>
      </c>
      <c r="J25" s="54">
        <v>10</v>
      </c>
      <c r="K25" s="52">
        <f>SUM(J25)+1.1</f>
        <v>11.1</v>
      </c>
      <c r="L25" s="52">
        <f>SUM(K25)+1.1</f>
        <v>12.2</v>
      </c>
      <c r="M25" s="64">
        <f>SUM(L25)+1.1</f>
        <v>13.299999999999999</v>
      </c>
    </row>
    <row r="26" spans="1:13" s="1" customFormat="1" ht="14.1" customHeight="1" thickBot="1">
      <c r="A26" s="143"/>
      <c r="B26" s="69" t="s">
        <v>332</v>
      </c>
      <c r="C26" s="70"/>
      <c r="D26" s="71" t="s">
        <v>304</v>
      </c>
      <c r="E26" s="72"/>
      <c r="F26" s="72"/>
      <c r="G26" s="73"/>
      <c r="H26" s="77"/>
      <c r="I26" s="77"/>
      <c r="J26" s="144"/>
      <c r="K26" s="77"/>
      <c r="L26" s="77"/>
      <c r="M26" s="141"/>
    </row>
    <row r="27" spans="1:13" s="1" customFormat="1" ht="14.1" customHeight="1"/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24F8-CA6C-4277-BF46-2670A128E802}">
  <sheetPr>
    <tabColor theme="8"/>
    <pageSetUpPr fitToPage="1"/>
  </sheetPr>
  <dimension ref="A1:M47"/>
  <sheetViews>
    <sheetView zoomScale="110" zoomScaleNormal="110" workbookViewId="0">
      <selection activeCell="L21" sqref="L21:L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351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SUM(I3)-2.5</f>
        <v>44</v>
      </c>
      <c r="I3" s="52">
        <f>SUM(J3)-2.5</f>
        <v>46.5</v>
      </c>
      <c r="J3" s="116">
        <v>49</v>
      </c>
      <c r="K3" s="115">
        <f>SUM(J3)+2.5</f>
        <v>51.5</v>
      </c>
      <c r="L3" s="115">
        <f>SUM(K3)+2.5</f>
        <v>54</v>
      </c>
      <c r="M3" s="145">
        <f>SUM(L3)+2.5</f>
        <v>56.5</v>
      </c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146"/>
    </row>
    <row r="5" spans="1:13" s="1" customFormat="1" ht="14.1" customHeight="1">
      <c r="A5" s="129">
        <v>2</v>
      </c>
      <c r="B5" s="47" t="s">
        <v>11</v>
      </c>
      <c r="C5" s="48"/>
      <c r="D5" s="75" t="s">
        <v>12</v>
      </c>
      <c r="E5" s="62"/>
      <c r="F5" s="62"/>
      <c r="G5" s="76"/>
      <c r="H5" s="52">
        <f>SUM(I5)-3.2</f>
        <v>48.199999999999996</v>
      </c>
      <c r="I5" s="52">
        <f>SUM(J5)-3.2</f>
        <v>51.4</v>
      </c>
      <c r="J5" s="54">
        <v>54.6</v>
      </c>
      <c r="K5" s="52">
        <f>SUM(J5)+3.2</f>
        <v>57.800000000000004</v>
      </c>
      <c r="L5" s="52">
        <f>SUM(K5)+3.2</f>
        <v>61.000000000000007</v>
      </c>
      <c r="M5" s="147">
        <f>SUM(L5)+3.2</f>
        <v>64.2</v>
      </c>
    </row>
    <row r="6" spans="1:13" s="1" customFormat="1" ht="14.1" customHeight="1">
      <c r="A6" s="119"/>
      <c r="B6" s="121" t="s">
        <v>48</v>
      </c>
      <c r="C6" s="122"/>
      <c r="D6" s="123" t="s">
        <v>90</v>
      </c>
      <c r="E6" s="124"/>
      <c r="F6" s="124"/>
      <c r="G6" s="125"/>
      <c r="H6" s="79"/>
      <c r="I6" s="79"/>
      <c r="J6" s="83"/>
      <c r="K6" s="79"/>
      <c r="L6" s="79"/>
      <c r="M6" s="146"/>
    </row>
    <row r="7" spans="1:13" s="1" customFormat="1" ht="14.1" customHeight="1">
      <c r="A7" s="129">
        <v>3</v>
      </c>
      <c r="B7" s="47" t="s">
        <v>103</v>
      </c>
      <c r="C7" s="48"/>
      <c r="D7" s="75"/>
      <c r="E7" s="62"/>
      <c r="F7" s="62"/>
      <c r="G7" s="76"/>
      <c r="H7" s="52">
        <f>SUM(I7)-0.7</f>
        <v>10.700000000000001</v>
      </c>
      <c r="I7" s="52">
        <f>SUM(J7)-0.7</f>
        <v>11.4</v>
      </c>
      <c r="J7" s="54">
        <v>12.1</v>
      </c>
      <c r="K7" s="52">
        <f>SUM(J7)+1.2</f>
        <v>13.299999999999999</v>
      </c>
      <c r="L7" s="52">
        <f>SUM(K7)+0.7</f>
        <v>13.999999999999998</v>
      </c>
      <c r="M7" s="147">
        <f>SUM(L7)+0.7</f>
        <v>14.699999999999998</v>
      </c>
    </row>
    <row r="8" spans="1:13" s="1" customFormat="1" ht="14.1" customHeight="1">
      <c r="A8" s="119"/>
      <c r="B8" s="121" t="s">
        <v>102</v>
      </c>
      <c r="C8" s="122"/>
      <c r="D8" s="126" t="s">
        <v>115</v>
      </c>
      <c r="E8" s="127"/>
      <c r="F8" s="127"/>
      <c r="G8" s="128"/>
      <c r="H8" s="79"/>
      <c r="I8" s="79"/>
      <c r="J8" s="83"/>
      <c r="K8" s="79"/>
      <c r="L8" s="79"/>
      <c r="M8" s="146"/>
    </row>
    <row r="9" spans="1:13" s="1" customFormat="1" ht="14.1" customHeight="1">
      <c r="A9" s="129">
        <v>4</v>
      </c>
      <c r="B9" s="47" t="s">
        <v>327</v>
      </c>
      <c r="C9" s="48"/>
      <c r="D9" s="75" t="s">
        <v>70</v>
      </c>
      <c r="E9" s="62"/>
      <c r="F9" s="62"/>
      <c r="G9" s="76"/>
      <c r="H9" s="52">
        <f>SUM(I9)-7</f>
        <v>51</v>
      </c>
      <c r="I9" s="52">
        <f>SUM(J9)-7</f>
        <v>58</v>
      </c>
      <c r="J9" s="54">
        <v>65</v>
      </c>
      <c r="K9" s="52">
        <f>SUM(J9)+6</f>
        <v>71</v>
      </c>
      <c r="L9" s="52">
        <f>SUM(K9)+6</f>
        <v>77</v>
      </c>
      <c r="M9" s="147">
        <f>SUM(L9)+6</f>
        <v>83</v>
      </c>
    </row>
    <row r="10" spans="1:13" s="1" customFormat="1" ht="14.1" customHeight="1">
      <c r="A10" s="119"/>
      <c r="B10" s="121" t="s">
        <v>49</v>
      </c>
      <c r="C10" s="122"/>
      <c r="D10" s="123" t="s">
        <v>89</v>
      </c>
      <c r="E10" s="124"/>
      <c r="F10" s="124"/>
      <c r="G10" s="125"/>
      <c r="H10" s="79"/>
      <c r="I10" s="79"/>
      <c r="J10" s="83"/>
      <c r="K10" s="79"/>
      <c r="L10" s="79"/>
      <c r="M10" s="146"/>
    </row>
    <row r="11" spans="1:13" s="1" customFormat="1" ht="14.1" customHeight="1">
      <c r="A11" s="129">
        <v>5</v>
      </c>
      <c r="B11" s="47" t="s">
        <v>328</v>
      </c>
      <c r="C11" s="48"/>
      <c r="D11" s="75" t="s">
        <v>15</v>
      </c>
      <c r="E11" s="62"/>
      <c r="F11" s="62"/>
      <c r="G11" s="76"/>
      <c r="H11" s="52">
        <f>SUM(I11)-1.6</f>
        <v>28.799999999999997</v>
      </c>
      <c r="I11" s="52">
        <f>SUM(J11)-1.6</f>
        <v>30.4</v>
      </c>
      <c r="J11" s="54">
        <v>32</v>
      </c>
      <c r="K11" s="52">
        <f>SUM(J11)+1.6</f>
        <v>33.6</v>
      </c>
      <c r="L11" s="52">
        <f>SUM(K11)+1.6</f>
        <v>35.200000000000003</v>
      </c>
      <c r="M11" s="147">
        <f>SUM(L11)+1.6</f>
        <v>36.800000000000004</v>
      </c>
    </row>
    <row r="12" spans="1:13" s="1" customFormat="1" ht="14.1" customHeight="1">
      <c r="A12" s="119"/>
      <c r="B12" s="121" t="s">
        <v>50</v>
      </c>
      <c r="C12" s="122"/>
      <c r="D12" s="42" t="s">
        <v>88</v>
      </c>
      <c r="E12" s="43"/>
      <c r="F12" s="43"/>
      <c r="G12" s="44"/>
      <c r="H12" s="79"/>
      <c r="I12" s="79"/>
      <c r="J12" s="83"/>
      <c r="K12" s="79"/>
      <c r="L12" s="79"/>
      <c r="M12" s="146"/>
    </row>
    <row r="13" spans="1:13" s="1" customFormat="1" ht="14.1" customHeight="1">
      <c r="A13" s="129">
        <v>6</v>
      </c>
      <c r="B13" s="47" t="s">
        <v>16</v>
      </c>
      <c r="C13" s="48"/>
      <c r="D13" s="75" t="s">
        <v>13</v>
      </c>
      <c r="E13" s="62"/>
      <c r="F13" s="62"/>
      <c r="G13" s="76"/>
      <c r="H13" s="52">
        <f>SUM(I13)-1.1</f>
        <v>18.499999999999996</v>
      </c>
      <c r="I13" s="52">
        <f>SUM(J13)-1.1</f>
        <v>19.599999999999998</v>
      </c>
      <c r="J13" s="54">
        <v>20.7</v>
      </c>
      <c r="K13" s="52">
        <f>SUM(J13)+1.6</f>
        <v>22.3</v>
      </c>
      <c r="L13" s="130">
        <f>SUM(K13)+1</f>
        <v>23.3</v>
      </c>
      <c r="M13" s="147">
        <f>SUM(L13)+1.1</f>
        <v>24.400000000000002</v>
      </c>
    </row>
    <row r="14" spans="1:13" s="1" customFormat="1" ht="14.1" customHeight="1">
      <c r="A14" s="119"/>
      <c r="B14" s="121" t="s">
        <v>56</v>
      </c>
      <c r="C14" s="122"/>
      <c r="D14" s="123" t="s">
        <v>87</v>
      </c>
      <c r="E14" s="124"/>
      <c r="F14" s="124"/>
      <c r="G14" s="125"/>
      <c r="H14" s="79"/>
      <c r="I14" s="79"/>
      <c r="J14" s="83"/>
      <c r="K14" s="79"/>
      <c r="L14" s="131"/>
      <c r="M14" s="146"/>
    </row>
    <row r="15" spans="1:13" s="1" customFormat="1" ht="14.1" customHeight="1">
      <c r="A15" s="129">
        <v>7</v>
      </c>
      <c r="B15" s="47" t="s">
        <v>17</v>
      </c>
      <c r="C15" s="48"/>
      <c r="D15" s="75" t="s">
        <v>13</v>
      </c>
      <c r="E15" s="62"/>
      <c r="F15" s="62"/>
      <c r="G15" s="76"/>
      <c r="H15" s="52">
        <f>SUM(I15)-1.2</f>
        <v>22.4</v>
      </c>
      <c r="I15" s="52">
        <f>SUM(J15)-1.3</f>
        <v>23.599999999999998</v>
      </c>
      <c r="J15" s="54">
        <v>24.9</v>
      </c>
      <c r="K15" s="52">
        <f>SUM(J15)+1.7</f>
        <v>26.599999999999998</v>
      </c>
      <c r="L15" s="52">
        <f>SUM(K15)+1.2</f>
        <v>27.799999999999997</v>
      </c>
      <c r="M15" s="147">
        <f>SUM(L15)+1.3</f>
        <v>29.099999999999998</v>
      </c>
    </row>
    <row r="16" spans="1:13" s="1" customFormat="1" ht="14.1" customHeight="1">
      <c r="A16" s="119"/>
      <c r="B16" s="121" t="s">
        <v>55</v>
      </c>
      <c r="C16" s="122"/>
      <c r="D16" s="123" t="s">
        <v>87</v>
      </c>
      <c r="E16" s="124"/>
      <c r="F16" s="124"/>
      <c r="G16" s="125"/>
      <c r="H16" s="79"/>
      <c r="I16" s="79"/>
      <c r="J16" s="83"/>
      <c r="K16" s="79"/>
      <c r="L16" s="79"/>
      <c r="M16" s="146"/>
    </row>
    <row r="17" spans="1:13" s="1" customFormat="1" ht="14.1" customHeight="1">
      <c r="A17" s="129">
        <v>8</v>
      </c>
      <c r="B17" s="47" t="s">
        <v>18</v>
      </c>
      <c r="C17" s="48"/>
      <c r="D17" s="75" t="s">
        <v>19</v>
      </c>
      <c r="E17" s="62"/>
      <c r="F17" s="62"/>
      <c r="G17" s="76"/>
      <c r="H17" s="52">
        <f>SUM(I17)-2.1</f>
        <v>27.4</v>
      </c>
      <c r="I17" s="52">
        <f>SUM(J17)-2.1</f>
        <v>29.5</v>
      </c>
      <c r="J17" s="54">
        <v>31.6</v>
      </c>
      <c r="K17" s="52">
        <f>SUM(J17)+2</f>
        <v>33.6</v>
      </c>
      <c r="L17" s="52">
        <f>SUM(K17)+2</f>
        <v>35.6</v>
      </c>
      <c r="M17" s="147">
        <f>SUM(L17)+2</f>
        <v>37.6</v>
      </c>
    </row>
    <row r="18" spans="1:13" s="1" customFormat="1" ht="14.1" customHeight="1">
      <c r="A18" s="119"/>
      <c r="B18" s="121" t="s">
        <v>54</v>
      </c>
      <c r="C18" s="122"/>
      <c r="D18" s="123" t="s">
        <v>86</v>
      </c>
      <c r="E18" s="124"/>
      <c r="F18" s="124"/>
      <c r="G18" s="125"/>
      <c r="H18" s="79"/>
      <c r="I18" s="79"/>
      <c r="J18" s="83"/>
      <c r="K18" s="79"/>
      <c r="L18" s="79"/>
      <c r="M18" s="146"/>
    </row>
    <row r="19" spans="1:13" s="1" customFormat="1" ht="14.1" customHeight="1">
      <c r="A19" s="129">
        <v>9</v>
      </c>
      <c r="B19" s="47" t="s">
        <v>20</v>
      </c>
      <c r="C19" s="48"/>
      <c r="D19" s="75" t="s">
        <v>21</v>
      </c>
      <c r="E19" s="62"/>
      <c r="F19" s="62"/>
      <c r="G19" s="76"/>
      <c r="H19" s="52">
        <f>SUM(I19)-6</f>
        <v>33.1</v>
      </c>
      <c r="I19" s="52">
        <f>SUM(J19)-6</f>
        <v>39.1</v>
      </c>
      <c r="J19" s="54">
        <v>45.1</v>
      </c>
      <c r="K19" s="52">
        <f>SUM(J19)+4.5</f>
        <v>49.6</v>
      </c>
      <c r="L19" s="52">
        <f>SUM(K19)+5</f>
        <v>54.6</v>
      </c>
      <c r="M19" s="147">
        <f>SUM(L19)+5</f>
        <v>59.6</v>
      </c>
    </row>
    <row r="20" spans="1:13" s="1" customFormat="1" ht="14.1" customHeight="1">
      <c r="A20" s="119"/>
      <c r="B20" s="121" t="s">
        <v>53</v>
      </c>
      <c r="C20" s="122"/>
      <c r="D20" s="123" t="s">
        <v>85</v>
      </c>
      <c r="E20" s="124"/>
      <c r="F20" s="124"/>
      <c r="G20" s="125"/>
      <c r="H20" s="79"/>
      <c r="I20" s="79"/>
      <c r="J20" s="83"/>
      <c r="K20" s="79"/>
      <c r="L20" s="79"/>
      <c r="M20" s="146"/>
    </row>
    <row r="21" spans="1:13" s="1" customFormat="1" ht="14.1" customHeight="1">
      <c r="A21" s="129">
        <v>10</v>
      </c>
      <c r="B21" s="47" t="s">
        <v>84</v>
      </c>
      <c r="C21" s="48"/>
      <c r="D21" s="75" t="s">
        <v>82</v>
      </c>
      <c r="E21" s="62"/>
      <c r="F21" s="62"/>
      <c r="G21" s="76"/>
      <c r="H21" s="52">
        <f>SUM(I21)-1.2</f>
        <v>22.6</v>
      </c>
      <c r="I21" s="52">
        <f>SUM(J21)-1.2</f>
        <v>23.8</v>
      </c>
      <c r="J21" s="54">
        <v>25</v>
      </c>
      <c r="K21" s="52">
        <f>SUM(J21)+1.2</f>
        <v>26.2</v>
      </c>
      <c r="L21" s="52">
        <f>SUM(K21)+1.2</f>
        <v>27.4</v>
      </c>
      <c r="M21" s="147">
        <f>SUM(L21)+1.2</f>
        <v>28.599999999999998</v>
      </c>
    </row>
    <row r="22" spans="1:13" s="1" customFormat="1" ht="14.1" customHeight="1">
      <c r="A22" s="119"/>
      <c r="B22" s="121" t="s">
        <v>83</v>
      </c>
      <c r="C22" s="122"/>
      <c r="D22" s="123" t="s">
        <v>82</v>
      </c>
      <c r="E22" s="124"/>
      <c r="F22" s="124"/>
      <c r="G22" s="125"/>
      <c r="H22" s="79"/>
      <c r="I22" s="79"/>
      <c r="J22" s="83"/>
      <c r="K22" s="79"/>
      <c r="L22" s="79"/>
      <c r="M22" s="146"/>
    </row>
    <row r="23" spans="1:13" s="1" customFormat="1" ht="14.1" customHeight="1">
      <c r="A23" s="129">
        <v>11</v>
      </c>
      <c r="B23" s="47" t="s">
        <v>81</v>
      </c>
      <c r="C23" s="48"/>
      <c r="D23" s="75" t="s">
        <v>80</v>
      </c>
      <c r="E23" s="62"/>
      <c r="F23" s="62"/>
      <c r="G23" s="76"/>
      <c r="H23" s="52">
        <f>SUM(I23)-3.3</f>
        <v>30.900000000000002</v>
      </c>
      <c r="I23" s="52">
        <f>SUM(J23)-3.3</f>
        <v>34.200000000000003</v>
      </c>
      <c r="J23" s="54">
        <v>37.5</v>
      </c>
      <c r="K23" s="52">
        <f>SUM(J23)+3.2</f>
        <v>40.700000000000003</v>
      </c>
      <c r="L23" s="52">
        <f>SUM(K23)+2.9</f>
        <v>43.6</v>
      </c>
      <c r="M23" s="147">
        <f>SUM(L23)+2.9</f>
        <v>46.5</v>
      </c>
    </row>
    <row r="24" spans="1:13" s="1" customFormat="1" ht="14.1" customHeight="1">
      <c r="A24" s="129"/>
      <c r="B24" s="136" t="s">
        <v>79</v>
      </c>
      <c r="C24" s="137"/>
      <c r="D24" s="138" t="s">
        <v>78</v>
      </c>
      <c r="E24" s="139"/>
      <c r="F24" s="139"/>
      <c r="G24" s="140"/>
      <c r="H24" s="53"/>
      <c r="I24" s="53"/>
      <c r="J24" s="134"/>
      <c r="K24" s="53"/>
      <c r="L24" s="53"/>
      <c r="M24" s="148"/>
    </row>
    <row r="25" spans="1:13" s="1" customFormat="1" ht="14.1" customHeight="1">
      <c r="A25" s="142">
        <v>12</v>
      </c>
      <c r="B25" s="47"/>
      <c r="C25" s="48"/>
      <c r="D25" s="75"/>
      <c r="E25" s="62"/>
      <c r="F25" s="62"/>
      <c r="G25" s="76"/>
      <c r="H25" s="52"/>
      <c r="I25" s="52"/>
      <c r="J25" s="54"/>
      <c r="K25" s="52"/>
      <c r="L25" s="52"/>
      <c r="M25" s="147"/>
    </row>
    <row r="26" spans="1:13" s="1" customFormat="1" ht="14.1" customHeight="1" thickBot="1">
      <c r="A26" s="143"/>
      <c r="B26" s="69"/>
      <c r="C26" s="70"/>
      <c r="D26" s="71"/>
      <c r="E26" s="72"/>
      <c r="F26" s="72"/>
      <c r="G26" s="73"/>
      <c r="H26" s="77"/>
      <c r="I26" s="77"/>
      <c r="J26" s="144"/>
      <c r="K26" s="77"/>
      <c r="L26" s="77"/>
      <c r="M26" s="149"/>
    </row>
    <row r="27" spans="1:13" s="1" customFormat="1" ht="14.1" customHeight="1"/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742A-DDA3-4496-9E59-0C0D53808256}">
  <sheetPr>
    <tabColor theme="8"/>
    <pageSetUpPr fitToPage="1"/>
  </sheetPr>
  <dimension ref="A1:M47"/>
  <sheetViews>
    <sheetView zoomScale="110" zoomScaleNormal="110" workbookViewId="0">
      <selection activeCell="L21" sqref="L21:L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336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SUM(I3)-2.5</f>
        <v>44</v>
      </c>
      <c r="I3" s="52">
        <f>SUM(J3)-2.5</f>
        <v>46.5</v>
      </c>
      <c r="J3" s="116">
        <v>49</v>
      </c>
      <c r="K3" s="115">
        <f>SUM(J3)+2.5</f>
        <v>51.5</v>
      </c>
      <c r="L3" s="115">
        <f>SUM(K3)+2.5</f>
        <v>54</v>
      </c>
      <c r="M3" s="145">
        <f>SUM(L3)+2.5</f>
        <v>56.5</v>
      </c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146"/>
    </row>
    <row r="5" spans="1:13" s="1" customFormat="1" ht="14.1" customHeight="1">
      <c r="A5" s="129">
        <v>2</v>
      </c>
      <c r="B5" s="47" t="s">
        <v>11</v>
      </c>
      <c r="C5" s="48"/>
      <c r="D5" s="75" t="s">
        <v>12</v>
      </c>
      <c r="E5" s="62"/>
      <c r="F5" s="62"/>
      <c r="G5" s="76"/>
      <c r="H5" s="52">
        <f>SUM(I5)-3.2</f>
        <v>46.999999999999993</v>
      </c>
      <c r="I5" s="52">
        <f>SUM(J5)-3.2</f>
        <v>50.199999999999996</v>
      </c>
      <c r="J5" s="54">
        <v>53.4</v>
      </c>
      <c r="K5" s="52">
        <f>SUM(J5)+3.2</f>
        <v>56.6</v>
      </c>
      <c r="L5" s="52">
        <f>SUM(K5)+3.2</f>
        <v>59.800000000000004</v>
      </c>
      <c r="M5" s="147">
        <f>SUM(L5)+3.2</f>
        <v>63.000000000000007</v>
      </c>
    </row>
    <row r="6" spans="1:13" s="1" customFormat="1" ht="14.1" customHeight="1">
      <c r="A6" s="119"/>
      <c r="B6" s="121" t="s">
        <v>48</v>
      </c>
      <c r="C6" s="122"/>
      <c r="D6" s="123" t="s">
        <v>90</v>
      </c>
      <c r="E6" s="124"/>
      <c r="F6" s="124"/>
      <c r="G6" s="125"/>
      <c r="H6" s="79"/>
      <c r="I6" s="79"/>
      <c r="J6" s="83"/>
      <c r="K6" s="79"/>
      <c r="L6" s="79"/>
      <c r="M6" s="146"/>
    </row>
    <row r="7" spans="1:13" s="1" customFormat="1" ht="14.1" customHeight="1">
      <c r="A7" s="129">
        <v>3</v>
      </c>
      <c r="B7" s="47" t="s">
        <v>103</v>
      </c>
      <c r="C7" s="48"/>
      <c r="D7" s="75"/>
      <c r="E7" s="62"/>
      <c r="F7" s="62"/>
      <c r="G7" s="76"/>
      <c r="H7" s="52">
        <f>SUM(I7)-0.7</f>
        <v>12.400000000000002</v>
      </c>
      <c r="I7" s="52">
        <f>SUM(J7)-0.7</f>
        <v>13.100000000000001</v>
      </c>
      <c r="J7" s="54">
        <v>13.8</v>
      </c>
      <c r="K7" s="52">
        <f>SUM(J7)+1.2</f>
        <v>15</v>
      </c>
      <c r="L7" s="52">
        <f>SUM(K7)+0.7</f>
        <v>15.7</v>
      </c>
      <c r="M7" s="147">
        <f>SUM(L7)+0.7</f>
        <v>16.399999999999999</v>
      </c>
    </row>
    <row r="8" spans="1:13" s="1" customFormat="1" ht="14.1" customHeight="1">
      <c r="A8" s="119"/>
      <c r="B8" s="121" t="s">
        <v>102</v>
      </c>
      <c r="C8" s="122"/>
      <c r="D8" s="126" t="s">
        <v>115</v>
      </c>
      <c r="E8" s="127"/>
      <c r="F8" s="127"/>
      <c r="G8" s="128"/>
      <c r="H8" s="79"/>
      <c r="I8" s="79"/>
      <c r="J8" s="83"/>
      <c r="K8" s="79"/>
      <c r="L8" s="79"/>
      <c r="M8" s="146"/>
    </row>
    <row r="9" spans="1:13" s="1" customFormat="1" ht="14.1" customHeight="1">
      <c r="A9" s="129">
        <v>4</v>
      </c>
      <c r="B9" s="47" t="s">
        <v>9</v>
      </c>
      <c r="C9" s="48"/>
      <c r="D9" s="75" t="s">
        <v>70</v>
      </c>
      <c r="E9" s="62"/>
      <c r="F9" s="62"/>
      <c r="G9" s="76"/>
      <c r="H9" s="52">
        <f>SUM(I9)-7</f>
        <v>51</v>
      </c>
      <c r="I9" s="52">
        <f>SUM(J9)-7</f>
        <v>58</v>
      </c>
      <c r="J9" s="54">
        <v>65</v>
      </c>
      <c r="K9" s="52">
        <f>SUM(J9)+6</f>
        <v>71</v>
      </c>
      <c r="L9" s="52">
        <f>SUM(K9)+6</f>
        <v>77</v>
      </c>
      <c r="M9" s="147">
        <f>SUM(L9)+6</f>
        <v>83</v>
      </c>
    </row>
    <row r="10" spans="1:13" s="1" customFormat="1" ht="14.1" customHeight="1">
      <c r="A10" s="119"/>
      <c r="B10" s="121" t="s">
        <v>49</v>
      </c>
      <c r="C10" s="122"/>
      <c r="D10" s="123" t="s">
        <v>89</v>
      </c>
      <c r="E10" s="124"/>
      <c r="F10" s="124"/>
      <c r="G10" s="125"/>
      <c r="H10" s="79"/>
      <c r="I10" s="79"/>
      <c r="J10" s="83"/>
      <c r="K10" s="79"/>
      <c r="L10" s="79"/>
      <c r="M10" s="146"/>
    </row>
    <row r="11" spans="1:13" s="1" customFormat="1" ht="14.1" customHeight="1">
      <c r="A11" s="129">
        <v>5</v>
      </c>
      <c r="B11" s="47" t="s">
        <v>14</v>
      </c>
      <c r="C11" s="48"/>
      <c r="D11" s="75" t="s">
        <v>15</v>
      </c>
      <c r="E11" s="62"/>
      <c r="F11" s="62"/>
      <c r="G11" s="76"/>
      <c r="H11" s="52">
        <f>SUM(I11)-0.6</f>
        <v>16.799999999999997</v>
      </c>
      <c r="I11" s="52">
        <f>SUM(J11)-0.6</f>
        <v>17.399999999999999</v>
      </c>
      <c r="J11" s="54">
        <v>18</v>
      </c>
      <c r="K11" s="52">
        <f>SUM(J11)+0.6</f>
        <v>18.600000000000001</v>
      </c>
      <c r="L11" s="52">
        <f>SUM(K11)+0.6</f>
        <v>19.200000000000003</v>
      </c>
      <c r="M11" s="147">
        <f>SUM(L11)+0.6</f>
        <v>19.800000000000004</v>
      </c>
    </row>
    <row r="12" spans="1:13" s="1" customFormat="1" ht="14.1" customHeight="1">
      <c r="A12" s="119"/>
      <c r="B12" s="121" t="s">
        <v>50</v>
      </c>
      <c r="C12" s="122"/>
      <c r="D12" s="42" t="s">
        <v>88</v>
      </c>
      <c r="E12" s="43"/>
      <c r="F12" s="43"/>
      <c r="G12" s="44"/>
      <c r="H12" s="79"/>
      <c r="I12" s="79"/>
      <c r="J12" s="83"/>
      <c r="K12" s="79"/>
      <c r="L12" s="79"/>
      <c r="M12" s="146"/>
    </row>
    <row r="13" spans="1:13" s="1" customFormat="1" ht="14.1" customHeight="1">
      <c r="A13" s="129">
        <v>6</v>
      </c>
      <c r="B13" s="47" t="s">
        <v>16</v>
      </c>
      <c r="C13" s="48"/>
      <c r="D13" s="75" t="s">
        <v>13</v>
      </c>
      <c r="E13" s="62"/>
      <c r="F13" s="62"/>
      <c r="G13" s="76"/>
      <c r="H13" s="52">
        <f>SUM(I13)-1</f>
        <v>20.5</v>
      </c>
      <c r="I13" s="52">
        <f>SUM(J13)-1</f>
        <v>21.5</v>
      </c>
      <c r="J13" s="54">
        <v>22.5</v>
      </c>
      <c r="K13" s="52">
        <f>SUM(J13)+1.5</f>
        <v>24</v>
      </c>
      <c r="L13" s="52">
        <f>SUM(K13)+1</f>
        <v>25</v>
      </c>
      <c r="M13" s="147">
        <f>SUM(L13)+1</f>
        <v>26</v>
      </c>
    </row>
    <row r="14" spans="1:13" s="1" customFormat="1" ht="14.1" customHeight="1">
      <c r="A14" s="119"/>
      <c r="B14" s="121" t="s">
        <v>56</v>
      </c>
      <c r="C14" s="122"/>
      <c r="D14" s="123" t="s">
        <v>87</v>
      </c>
      <c r="E14" s="124"/>
      <c r="F14" s="124"/>
      <c r="G14" s="125"/>
      <c r="H14" s="79"/>
      <c r="I14" s="79"/>
      <c r="J14" s="83"/>
      <c r="K14" s="79"/>
      <c r="L14" s="79"/>
      <c r="M14" s="146"/>
    </row>
    <row r="15" spans="1:13" s="1" customFormat="1" ht="14.1" customHeight="1">
      <c r="A15" s="129">
        <v>7</v>
      </c>
      <c r="B15" s="47" t="s">
        <v>17</v>
      </c>
      <c r="C15" s="48"/>
      <c r="D15" s="75" t="s">
        <v>13</v>
      </c>
      <c r="E15" s="62"/>
      <c r="F15" s="62"/>
      <c r="G15" s="76"/>
      <c r="H15" s="52">
        <f>SUM(I15)-1.2</f>
        <v>23.1</v>
      </c>
      <c r="I15" s="52">
        <f>SUM(J15)-1.2</f>
        <v>24.3</v>
      </c>
      <c r="J15" s="54">
        <v>25.5</v>
      </c>
      <c r="K15" s="52">
        <f>SUM(J15)+1.7</f>
        <v>27.2</v>
      </c>
      <c r="L15" s="52">
        <f>SUM(K15)+1.2</f>
        <v>28.4</v>
      </c>
      <c r="M15" s="147">
        <f>SUM(L15)+1.2</f>
        <v>29.599999999999998</v>
      </c>
    </row>
    <row r="16" spans="1:13" s="1" customFormat="1" ht="14.1" customHeight="1">
      <c r="A16" s="119"/>
      <c r="B16" s="121" t="s">
        <v>55</v>
      </c>
      <c r="C16" s="122"/>
      <c r="D16" s="123" t="s">
        <v>87</v>
      </c>
      <c r="E16" s="124"/>
      <c r="F16" s="124"/>
      <c r="G16" s="125"/>
      <c r="H16" s="79"/>
      <c r="I16" s="79"/>
      <c r="J16" s="83"/>
      <c r="K16" s="79"/>
      <c r="L16" s="79"/>
      <c r="M16" s="146"/>
    </row>
    <row r="17" spans="1:13" s="1" customFormat="1" ht="14.1" customHeight="1">
      <c r="A17" s="129">
        <v>8</v>
      </c>
      <c r="B17" s="47" t="s">
        <v>18</v>
      </c>
      <c r="C17" s="48"/>
      <c r="D17" s="75" t="s">
        <v>19</v>
      </c>
      <c r="E17" s="62"/>
      <c r="F17" s="62"/>
      <c r="G17" s="76"/>
      <c r="H17" s="52">
        <f>SUM(I17)-2.2</f>
        <v>26.3</v>
      </c>
      <c r="I17" s="52">
        <f>SUM(J17)-2.1</f>
        <v>28.5</v>
      </c>
      <c r="J17" s="54">
        <v>30.6</v>
      </c>
      <c r="K17" s="52">
        <f>SUM(J17)+2.1</f>
        <v>32.700000000000003</v>
      </c>
      <c r="L17" s="52">
        <f>SUM(K17)+2.1</f>
        <v>34.800000000000004</v>
      </c>
      <c r="M17" s="147">
        <f>SUM(L17)+2.1</f>
        <v>36.900000000000006</v>
      </c>
    </row>
    <row r="18" spans="1:13" s="1" customFormat="1" ht="14.1" customHeight="1">
      <c r="A18" s="119"/>
      <c r="B18" s="121" t="s">
        <v>54</v>
      </c>
      <c r="C18" s="122"/>
      <c r="D18" s="123" t="s">
        <v>86</v>
      </c>
      <c r="E18" s="124"/>
      <c r="F18" s="124"/>
      <c r="G18" s="125"/>
      <c r="H18" s="79"/>
      <c r="I18" s="79"/>
      <c r="J18" s="83"/>
      <c r="K18" s="79"/>
      <c r="L18" s="79"/>
      <c r="M18" s="146"/>
    </row>
    <row r="19" spans="1:13" s="1" customFormat="1" ht="14.1" customHeight="1">
      <c r="A19" s="129">
        <v>9</v>
      </c>
      <c r="B19" s="47" t="s">
        <v>20</v>
      </c>
      <c r="C19" s="48"/>
      <c r="D19" s="75" t="s">
        <v>21</v>
      </c>
      <c r="E19" s="62"/>
      <c r="F19" s="62"/>
      <c r="G19" s="76"/>
      <c r="H19" s="52">
        <f>SUM(I19)-6</f>
        <v>32</v>
      </c>
      <c r="I19" s="52">
        <f>SUM(J19)-6</f>
        <v>38</v>
      </c>
      <c r="J19" s="54">
        <v>44</v>
      </c>
      <c r="K19" s="52">
        <f>SUM(J19)+4.5</f>
        <v>48.5</v>
      </c>
      <c r="L19" s="52">
        <f>SUM(K19)+5</f>
        <v>53.5</v>
      </c>
      <c r="M19" s="147">
        <f>SUM(L19)+5</f>
        <v>58.5</v>
      </c>
    </row>
    <row r="20" spans="1:13" s="1" customFormat="1" ht="14.1" customHeight="1">
      <c r="A20" s="119"/>
      <c r="B20" s="121" t="s">
        <v>53</v>
      </c>
      <c r="C20" s="122"/>
      <c r="D20" s="123" t="s">
        <v>85</v>
      </c>
      <c r="E20" s="124"/>
      <c r="F20" s="124"/>
      <c r="G20" s="125"/>
      <c r="H20" s="79"/>
      <c r="I20" s="79"/>
      <c r="J20" s="83"/>
      <c r="K20" s="79"/>
      <c r="L20" s="79"/>
      <c r="M20" s="146"/>
    </row>
    <row r="21" spans="1:13" s="1" customFormat="1" ht="14.1" customHeight="1">
      <c r="A21" s="129">
        <v>10</v>
      </c>
      <c r="B21" s="47" t="s">
        <v>84</v>
      </c>
      <c r="C21" s="48"/>
      <c r="D21" s="75" t="s">
        <v>82</v>
      </c>
      <c r="E21" s="62"/>
      <c r="F21" s="62"/>
      <c r="G21" s="76"/>
      <c r="H21" s="52">
        <f>SUM(I21)-0.9</f>
        <v>19.900000000000002</v>
      </c>
      <c r="I21" s="52">
        <f>SUM(J21)-0.9</f>
        <v>20.8</v>
      </c>
      <c r="J21" s="54">
        <v>21.7</v>
      </c>
      <c r="K21" s="52">
        <f>SUM(J21)+0.9</f>
        <v>22.599999999999998</v>
      </c>
      <c r="L21" s="52">
        <f>SUM(K21)+0.9</f>
        <v>23.499999999999996</v>
      </c>
      <c r="M21" s="147">
        <f>SUM(L21)+0.9</f>
        <v>24.399999999999995</v>
      </c>
    </row>
    <row r="22" spans="1:13" s="1" customFormat="1" ht="14.1" customHeight="1">
      <c r="A22" s="119"/>
      <c r="B22" s="121" t="s">
        <v>83</v>
      </c>
      <c r="C22" s="122"/>
      <c r="D22" s="123" t="s">
        <v>82</v>
      </c>
      <c r="E22" s="124"/>
      <c r="F22" s="124"/>
      <c r="G22" s="125"/>
      <c r="H22" s="79"/>
      <c r="I22" s="79"/>
      <c r="J22" s="83"/>
      <c r="K22" s="79"/>
      <c r="L22" s="79"/>
      <c r="M22" s="146"/>
    </row>
    <row r="23" spans="1:13" s="1" customFormat="1" ht="14.1" customHeight="1">
      <c r="A23" s="129">
        <v>11</v>
      </c>
      <c r="B23" s="47" t="s">
        <v>81</v>
      </c>
      <c r="C23" s="48"/>
      <c r="D23" s="75" t="s">
        <v>80</v>
      </c>
      <c r="E23" s="62"/>
      <c r="F23" s="62"/>
      <c r="G23" s="76"/>
      <c r="H23" s="52">
        <f>SUM(I23)-3.7</f>
        <v>34.599999999999994</v>
      </c>
      <c r="I23" s="52">
        <f>SUM(J23)-3.7</f>
        <v>38.299999999999997</v>
      </c>
      <c r="J23" s="54">
        <v>42</v>
      </c>
      <c r="K23" s="52">
        <f>SUM(J23)+3.5</f>
        <v>45.5</v>
      </c>
      <c r="L23" s="52">
        <f>SUM(K23)+3.3</f>
        <v>48.8</v>
      </c>
      <c r="M23" s="147">
        <f>SUM(L23)+3.3</f>
        <v>52.099999999999994</v>
      </c>
    </row>
    <row r="24" spans="1:13" s="1" customFormat="1" ht="14.1" customHeight="1">
      <c r="A24" s="129"/>
      <c r="B24" s="136" t="s">
        <v>79</v>
      </c>
      <c r="C24" s="137"/>
      <c r="D24" s="138" t="s">
        <v>78</v>
      </c>
      <c r="E24" s="139"/>
      <c r="F24" s="139"/>
      <c r="G24" s="140"/>
      <c r="H24" s="53"/>
      <c r="I24" s="53"/>
      <c r="J24" s="134"/>
      <c r="K24" s="53"/>
      <c r="L24" s="53"/>
      <c r="M24" s="148"/>
    </row>
    <row r="25" spans="1:13" s="1" customFormat="1" ht="14.1" customHeight="1">
      <c r="A25" s="142">
        <v>12</v>
      </c>
      <c r="B25" s="47"/>
      <c r="C25" s="48"/>
      <c r="D25" s="75"/>
      <c r="E25" s="62"/>
      <c r="F25" s="62"/>
      <c r="G25" s="76"/>
      <c r="H25" s="52"/>
      <c r="I25" s="52"/>
      <c r="J25" s="54"/>
      <c r="K25" s="52"/>
      <c r="L25" s="52"/>
      <c r="M25" s="147"/>
    </row>
    <row r="26" spans="1:13" s="1" customFormat="1" ht="14.1" customHeight="1" thickBot="1">
      <c r="A26" s="129"/>
      <c r="B26" s="136"/>
      <c r="C26" s="137"/>
      <c r="D26" s="138"/>
      <c r="E26" s="139"/>
      <c r="F26" s="139"/>
      <c r="G26" s="140"/>
      <c r="H26" s="53"/>
      <c r="I26" s="53"/>
      <c r="J26" s="134"/>
      <c r="K26" s="53"/>
      <c r="L26" s="53"/>
      <c r="M26" s="148"/>
    </row>
    <row r="27" spans="1:13" s="1" customFormat="1" ht="14.1" customHeight="1" thickTop="1">
      <c r="A27" s="162">
        <v>13</v>
      </c>
      <c r="B27" s="99" t="s">
        <v>113</v>
      </c>
      <c r="C27" s="100"/>
      <c r="D27" s="89"/>
      <c r="E27" s="163"/>
      <c r="F27" s="163"/>
      <c r="G27" s="164"/>
      <c r="H27" s="87">
        <f>SUM(I27)-4.5</f>
        <v>63</v>
      </c>
      <c r="I27" s="90">
        <f>SUM(J27)-4.5</f>
        <v>67.5</v>
      </c>
      <c r="J27" s="165">
        <v>72</v>
      </c>
      <c r="K27" s="90">
        <f>SUM(J27)+4.5</f>
        <v>76.5</v>
      </c>
      <c r="L27" s="90">
        <f t="shared" ref="L27:M27" si="0">SUM(K27)+4.5</f>
        <v>81</v>
      </c>
      <c r="M27" s="166">
        <f t="shared" si="0"/>
        <v>85.5</v>
      </c>
    </row>
    <row r="28" spans="1:13" s="1" customFormat="1" ht="14.1" customHeight="1">
      <c r="A28" s="119"/>
      <c r="B28" s="121" t="s">
        <v>114</v>
      </c>
      <c r="C28" s="122"/>
      <c r="D28" s="123"/>
      <c r="E28" s="124"/>
      <c r="F28" s="124"/>
      <c r="G28" s="125"/>
      <c r="H28" s="61"/>
      <c r="I28" s="79"/>
      <c r="J28" s="83"/>
      <c r="K28" s="79"/>
      <c r="L28" s="79"/>
      <c r="M28" s="146"/>
    </row>
    <row r="29" spans="1:13" s="1" customFormat="1" ht="14.1" customHeight="1">
      <c r="A29" s="129">
        <v>14</v>
      </c>
      <c r="B29" s="47" t="s">
        <v>318</v>
      </c>
      <c r="C29" s="48"/>
      <c r="D29" s="150"/>
      <c r="E29" s="151"/>
      <c r="F29" s="151"/>
      <c r="G29" s="152"/>
      <c r="H29" s="52">
        <f>SUM(I29)-2.5</f>
        <v>24.5</v>
      </c>
      <c r="I29" s="52">
        <f>SUM(J29)-2.5</f>
        <v>27</v>
      </c>
      <c r="J29" s="134">
        <v>29.5</v>
      </c>
      <c r="K29" s="53">
        <f>SUM(J29)+2.5</f>
        <v>32</v>
      </c>
      <c r="L29" s="53">
        <f t="shared" ref="L29:M29" si="1">SUM(K29)+2.5</f>
        <v>34.5</v>
      </c>
      <c r="M29" s="148">
        <f t="shared" si="1"/>
        <v>37</v>
      </c>
    </row>
    <row r="30" spans="1:13" s="1" customFormat="1" ht="14.1" customHeight="1">
      <c r="A30" s="119"/>
      <c r="B30" s="79" t="s">
        <v>319</v>
      </c>
      <c r="C30" s="79"/>
      <c r="D30" s="159" t="s">
        <v>320</v>
      </c>
      <c r="E30" s="160"/>
      <c r="F30" s="160"/>
      <c r="G30" s="161"/>
      <c r="H30" s="79"/>
      <c r="I30" s="79"/>
      <c r="J30" s="83"/>
      <c r="K30" s="79"/>
      <c r="L30" s="79"/>
      <c r="M30" s="146"/>
    </row>
    <row r="31" spans="1:13" s="1" customFormat="1" ht="14.1" customHeight="1">
      <c r="A31" s="129">
        <v>15</v>
      </c>
      <c r="B31" s="47" t="s">
        <v>337</v>
      </c>
      <c r="C31" s="48"/>
      <c r="D31" s="150"/>
      <c r="E31" s="151"/>
      <c r="F31" s="151"/>
      <c r="G31" s="152"/>
      <c r="H31" s="52">
        <f>SUM(I31)-0.9</f>
        <v>10.7</v>
      </c>
      <c r="I31" s="52">
        <f>SUM(J31)-0.9</f>
        <v>11.6</v>
      </c>
      <c r="J31" s="134">
        <v>12.5</v>
      </c>
      <c r="K31" s="53">
        <f>SUM(J31)+0.9</f>
        <v>13.4</v>
      </c>
      <c r="L31" s="53">
        <f t="shared" ref="L31:M31" si="2">SUM(K31)+0.9</f>
        <v>14.3</v>
      </c>
      <c r="M31" s="148">
        <f t="shared" si="2"/>
        <v>15.200000000000001</v>
      </c>
    </row>
    <row r="32" spans="1:13" s="1" customFormat="1" ht="14.1" customHeight="1">
      <c r="A32" s="119"/>
      <c r="B32" s="79" t="s">
        <v>338</v>
      </c>
      <c r="C32" s="79"/>
      <c r="D32" s="159" t="s">
        <v>320</v>
      </c>
      <c r="E32" s="160"/>
      <c r="F32" s="160"/>
      <c r="G32" s="161"/>
      <c r="H32" s="79"/>
      <c r="I32" s="79"/>
      <c r="J32" s="83"/>
      <c r="K32" s="79"/>
      <c r="L32" s="79"/>
      <c r="M32" s="146"/>
    </row>
    <row r="33" spans="1:13" s="1" customFormat="1" ht="14.1" customHeight="1">
      <c r="A33" s="129">
        <v>16</v>
      </c>
      <c r="B33" s="47" t="s">
        <v>339</v>
      </c>
      <c r="C33" s="48"/>
      <c r="D33" s="150"/>
      <c r="E33" s="151"/>
      <c r="F33" s="151"/>
      <c r="G33" s="152"/>
      <c r="H33" s="52">
        <f>SUM(I33)-1.6</f>
        <v>13.8</v>
      </c>
      <c r="I33" s="52">
        <f>SUM(J33)-1.6</f>
        <v>15.4</v>
      </c>
      <c r="J33" s="134">
        <v>17</v>
      </c>
      <c r="K33" s="53">
        <f>SUM(J33)+1.6</f>
        <v>18.600000000000001</v>
      </c>
      <c r="L33" s="53">
        <f t="shared" ref="L33:M33" si="3">SUM(K33)+1.6</f>
        <v>20.200000000000003</v>
      </c>
      <c r="M33" s="148">
        <f t="shared" si="3"/>
        <v>21.800000000000004</v>
      </c>
    </row>
    <row r="34" spans="1:13" ht="14.1" customHeight="1">
      <c r="A34" s="119"/>
      <c r="B34" s="79" t="s">
        <v>340</v>
      </c>
      <c r="C34" s="79"/>
      <c r="D34" s="159" t="s">
        <v>341</v>
      </c>
      <c r="E34" s="160"/>
      <c r="F34" s="160"/>
      <c r="G34" s="161"/>
      <c r="H34" s="79"/>
      <c r="I34" s="79"/>
      <c r="J34" s="83"/>
      <c r="K34" s="79"/>
      <c r="L34" s="79"/>
      <c r="M34" s="146"/>
    </row>
    <row r="35" spans="1:13" ht="14.1" customHeight="1">
      <c r="A35" s="129">
        <v>17</v>
      </c>
      <c r="B35" s="47"/>
      <c r="C35" s="48"/>
      <c r="D35" s="150"/>
      <c r="E35" s="151"/>
      <c r="F35" s="151"/>
      <c r="G35" s="152"/>
      <c r="H35" s="52"/>
      <c r="I35" s="52"/>
      <c r="J35" s="134"/>
      <c r="K35" s="53"/>
      <c r="L35" s="53"/>
      <c r="M35" s="148"/>
    </row>
    <row r="36" spans="1:13" ht="14.1" customHeight="1">
      <c r="A36" s="129"/>
      <c r="B36" s="53"/>
      <c r="C36" s="53"/>
      <c r="D36" s="156"/>
      <c r="E36" s="157"/>
      <c r="F36" s="157"/>
      <c r="G36" s="158"/>
      <c r="H36" s="53"/>
      <c r="I36" s="53"/>
      <c r="J36" s="134"/>
      <c r="K36" s="53"/>
      <c r="L36" s="53"/>
      <c r="M36" s="148"/>
    </row>
    <row r="37" spans="1:13" ht="14.1" customHeight="1">
      <c r="A37" s="142">
        <v>18</v>
      </c>
      <c r="B37" s="47"/>
      <c r="C37" s="48"/>
      <c r="D37" s="150"/>
      <c r="E37" s="151"/>
      <c r="F37" s="151"/>
      <c r="G37" s="152"/>
      <c r="H37" s="52"/>
      <c r="I37" s="52"/>
      <c r="J37" s="54"/>
      <c r="K37" s="52"/>
      <c r="L37" s="52"/>
      <c r="M37" s="147"/>
    </row>
    <row r="38" spans="1:13" ht="14.1" customHeight="1" thickBot="1">
      <c r="A38" s="143"/>
      <c r="B38" s="77"/>
      <c r="C38" s="77"/>
      <c r="D38" s="153"/>
      <c r="E38" s="154"/>
      <c r="F38" s="154"/>
      <c r="G38" s="155"/>
      <c r="H38" s="77"/>
      <c r="I38" s="77"/>
      <c r="J38" s="144"/>
      <c r="K38" s="77"/>
      <c r="L38" s="77"/>
      <c r="M38" s="14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201"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J35:J36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J37:J38"/>
    <mergeCell ref="K37:K38"/>
    <mergeCell ref="L37:L38"/>
    <mergeCell ref="M37:M38"/>
    <mergeCell ref="B38:C38"/>
    <mergeCell ref="D38:G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DBFD-307C-4A53-9FAA-525C470A5DA8}">
  <sheetPr>
    <tabColor theme="8"/>
    <pageSetUpPr fitToPage="1"/>
  </sheetPr>
  <dimension ref="A1:M47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361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 t="shared" ref="L3" si="0">SUM(K3)+3</f>
        <v>57</v>
      </c>
      <c r="M3" s="120"/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3" s="1" customFormat="1" ht="14.1" customHeight="1">
      <c r="A5" s="129">
        <v>2</v>
      </c>
      <c r="B5" s="47" t="s">
        <v>11</v>
      </c>
      <c r="C5" s="48"/>
      <c r="D5" s="75" t="s">
        <v>12</v>
      </c>
      <c r="E5" s="62"/>
      <c r="F5" s="62"/>
      <c r="G5" s="76"/>
      <c r="H5" s="52">
        <f>SUM(I5)-3.2</f>
        <v>46.999999999999993</v>
      </c>
      <c r="I5" s="52">
        <f>SUM(J5)-3.2</f>
        <v>50.199999999999996</v>
      </c>
      <c r="J5" s="54">
        <v>53.4</v>
      </c>
      <c r="K5" s="52">
        <f>SUM(J5)+3.2</f>
        <v>56.6</v>
      </c>
      <c r="L5" s="52">
        <f>SUM(K5)+3.2</f>
        <v>59.800000000000004</v>
      </c>
      <c r="M5" s="64"/>
    </row>
    <row r="6" spans="1:13" s="1" customFormat="1" ht="14.1" customHeight="1">
      <c r="A6" s="119"/>
      <c r="B6" s="121" t="s">
        <v>48</v>
      </c>
      <c r="C6" s="122"/>
      <c r="D6" s="123" t="s">
        <v>90</v>
      </c>
      <c r="E6" s="124"/>
      <c r="F6" s="124"/>
      <c r="G6" s="125"/>
      <c r="H6" s="79"/>
      <c r="I6" s="79"/>
      <c r="J6" s="83"/>
      <c r="K6" s="79"/>
      <c r="L6" s="79"/>
      <c r="M6" s="80"/>
    </row>
    <row r="7" spans="1:13" s="1" customFormat="1" ht="14.1" customHeight="1">
      <c r="A7" s="129">
        <v>3</v>
      </c>
      <c r="B7" s="47" t="s">
        <v>103</v>
      </c>
      <c r="C7" s="48"/>
      <c r="D7" s="75"/>
      <c r="E7" s="62"/>
      <c r="F7" s="62"/>
      <c r="G7" s="76"/>
      <c r="H7" s="52">
        <f>SUM(I7)-0.7</f>
        <v>12.400000000000002</v>
      </c>
      <c r="I7" s="52">
        <f>SUM(J7)-0.7</f>
        <v>13.100000000000001</v>
      </c>
      <c r="J7" s="54">
        <v>13.8</v>
      </c>
      <c r="K7" s="52">
        <f>SUM(J7)+1.2</f>
        <v>15</v>
      </c>
      <c r="L7" s="52">
        <f>SUM(K7)+0.7</f>
        <v>15.7</v>
      </c>
      <c r="M7" s="64"/>
    </row>
    <row r="8" spans="1:13" s="1" customFormat="1" ht="14.1" customHeight="1">
      <c r="A8" s="119"/>
      <c r="B8" s="121" t="s">
        <v>102</v>
      </c>
      <c r="C8" s="122"/>
      <c r="D8" s="126" t="s">
        <v>115</v>
      </c>
      <c r="E8" s="127"/>
      <c r="F8" s="127"/>
      <c r="G8" s="128"/>
      <c r="H8" s="79"/>
      <c r="I8" s="79"/>
      <c r="J8" s="83"/>
      <c r="K8" s="79"/>
      <c r="L8" s="79"/>
      <c r="M8" s="80"/>
    </row>
    <row r="9" spans="1:13" s="1" customFormat="1" ht="14.1" customHeight="1">
      <c r="A9" s="129">
        <v>4</v>
      </c>
      <c r="B9" s="47" t="s">
        <v>9</v>
      </c>
      <c r="C9" s="48"/>
      <c r="D9" s="75" t="s">
        <v>70</v>
      </c>
      <c r="E9" s="62"/>
      <c r="F9" s="62"/>
      <c r="G9" s="76"/>
      <c r="H9" s="52">
        <f>SUM(I9)-7</f>
        <v>51.5</v>
      </c>
      <c r="I9" s="52">
        <f>SUM(J9)-7</f>
        <v>58.5</v>
      </c>
      <c r="J9" s="54">
        <v>65.5</v>
      </c>
      <c r="K9" s="52">
        <f>SUM(J9)+6</f>
        <v>71.5</v>
      </c>
      <c r="L9" s="52">
        <f>SUM(K9)+6</f>
        <v>77.5</v>
      </c>
      <c r="M9" s="64"/>
    </row>
    <row r="10" spans="1:13" s="1" customFormat="1" ht="14.1" customHeight="1">
      <c r="A10" s="119"/>
      <c r="B10" s="121" t="s">
        <v>49</v>
      </c>
      <c r="C10" s="122"/>
      <c r="D10" s="123" t="s">
        <v>89</v>
      </c>
      <c r="E10" s="124"/>
      <c r="F10" s="124"/>
      <c r="G10" s="125"/>
      <c r="H10" s="79"/>
      <c r="I10" s="79"/>
      <c r="J10" s="83"/>
      <c r="K10" s="79"/>
      <c r="L10" s="79"/>
      <c r="M10" s="80"/>
    </row>
    <row r="11" spans="1:13" s="1" customFormat="1" ht="14.1" customHeight="1">
      <c r="A11" s="129">
        <v>5</v>
      </c>
      <c r="B11" s="47" t="s">
        <v>14</v>
      </c>
      <c r="C11" s="48"/>
      <c r="D11" s="75" t="s">
        <v>15</v>
      </c>
      <c r="E11" s="62"/>
      <c r="F11" s="62"/>
      <c r="G11" s="76"/>
      <c r="H11" s="52">
        <f>SUM(I11)-0.6</f>
        <v>16.799999999999997</v>
      </c>
      <c r="I11" s="52">
        <f>SUM(J11)-0.6</f>
        <v>17.399999999999999</v>
      </c>
      <c r="J11" s="54">
        <v>18</v>
      </c>
      <c r="K11" s="52">
        <f>SUM(J11)+0.6</f>
        <v>18.600000000000001</v>
      </c>
      <c r="L11" s="52">
        <f>SUM(K11)+0.6</f>
        <v>19.200000000000003</v>
      </c>
      <c r="M11" s="64"/>
    </row>
    <row r="12" spans="1:13" s="1" customFormat="1" ht="14.1" customHeight="1">
      <c r="A12" s="119"/>
      <c r="B12" s="121" t="s">
        <v>50</v>
      </c>
      <c r="C12" s="122"/>
      <c r="D12" s="42" t="s">
        <v>88</v>
      </c>
      <c r="E12" s="43"/>
      <c r="F12" s="43"/>
      <c r="G12" s="44"/>
      <c r="H12" s="79"/>
      <c r="I12" s="79"/>
      <c r="J12" s="83"/>
      <c r="K12" s="79"/>
      <c r="L12" s="79"/>
      <c r="M12" s="80"/>
    </row>
    <row r="13" spans="1:13" s="1" customFormat="1" ht="14.1" customHeight="1">
      <c r="A13" s="129">
        <v>6</v>
      </c>
      <c r="B13" s="47" t="s">
        <v>16</v>
      </c>
      <c r="C13" s="48"/>
      <c r="D13" s="75" t="s">
        <v>13</v>
      </c>
      <c r="E13" s="62"/>
      <c r="F13" s="62"/>
      <c r="G13" s="76"/>
      <c r="H13" s="52">
        <f>SUM(I13)-1</f>
        <v>20.5</v>
      </c>
      <c r="I13" s="52">
        <f>SUM(J13)-1</f>
        <v>21.5</v>
      </c>
      <c r="J13" s="54">
        <v>22.5</v>
      </c>
      <c r="K13" s="52">
        <f>SUM(J13)+1.5</f>
        <v>24</v>
      </c>
      <c r="L13" s="52">
        <f>SUM(K13)+1</f>
        <v>25</v>
      </c>
      <c r="M13" s="64"/>
    </row>
    <row r="14" spans="1:13" s="1" customFormat="1" ht="14.1" customHeight="1">
      <c r="A14" s="119"/>
      <c r="B14" s="121" t="s">
        <v>56</v>
      </c>
      <c r="C14" s="122"/>
      <c r="D14" s="123" t="s">
        <v>87</v>
      </c>
      <c r="E14" s="124"/>
      <c r="F14" s="124"/>
      <c r="G14" s="125"/>
      <c r="H14" s="79"/>
      <c r="I14" s="79"/>
      <c r="J14" s="83"/>
      <c r="K14" s="79"/>
      <c r="L14" s="79"/>
      <c r="M14" s="80"/>
    </row>
    <row r="15" spans="1:13" s="1" customFormat="1" ht="14.1" customHeight="1">
      <c r="A15" s="129">
        <v>7</v>
      </c>
      <c r="B15" s="47" t="s">
        <v>17</v>
      </c>
      <c r="C15" s="48"/>
      <c r="D15" s="75" t="s">
        <v>13</v>
      </c>
      <c r="E15" s="62"/>
      <c r="F15" s="62"/>
      <c r="G15" s="76"/>
      <c r="H15" s="52">
        <f>SUM(I15)-1.2</f>
        <v>23.1</v>
      </c>
      <c r="I15" s="52">
        <f>SUM(J15)-1.2</f>
        <v>24.3</v>
      </c>
      <c r="J15" s="54">
        <v>25.5</v>
      </c>
      <c r="K15" s="52">
        <f>SUM(J15)+1.7</f>
        <v>27.2</v>
      </c>
      <c r="L15" s="52">
        <f>SUM(K15)+1.2</f>
        <v>28.4</v>
      </c>
      <c r="M15" s="64"/>
    </row>
    <row r="16" spans="1:13" s="1" customFormat="1" ht="14.1" customHeight="1">
      <c r="A16" s="119"/>
      <c r="B16" s="121" t="s">
        <v>55</v>
      </c>
      <c r="C16" s="122"/>
      <c r="D16" s="123" t="s">
        <v>87</v>
      </c>
      <c r="E16" s="124"/>
      <c r="F16" s="124"/>
      <c r="G16" s="125"/>
      <c r="H16" s="79"/>
      <c r="I16" s="79"/>
      <c r="J16" s="83"/>
      <c r="K16" s="79"/>
      <c r="L16" s="79"/>
      <c r="M16" s="80"/>
    </row>
    <row r="17" spans="1:13" s="1" customFormat="1" ht="14.1" customHeight="1">
      <c r="A17" s="129">
        <v>8</v>
      </c>
      <c r="B17" s="47" t="s">
        <v>18</v>
      </c>
      <c r="C17" s="48"/>
      <c r="D17" s="75" t="s">
        <v>19</v>
      </c>
      <c r="E17" s="62"/>
      <c r="F17" s="62"/>
      <c r="G17" s="76"/>
      <c r="H17" s="52">
        <f>SUM(I17)-2.2</f>
        <v>26.3</v>
      </c>
      <c r="I17" s="52">
        <f>SUM(J17)-2.1</f>
        <v>28.5</v>
      </c>
      <c r="J17" s="54">
        <v>30.6</v>
      </c>
      <c r="K17" s="52">
        <f>SUM(J17)+2.1</f>
        <v>32.700000000000003</v>
      </c>
      <c r="L17" s="52">
        <f>SUM(K17)+2.1</f>
        <v>34.800000000000004</v>
      </c>
      <c r="M17" s="64"/>
    </row>
    <row r="18" spans="1:13" s="1" customFormat="1" ht="14.1" customHeight="1">
      <c r="A18" s="119"/>
      <c r="B18" s="121" t="s">
        <v>54</v>
      </c>
      <c r="C18" s="122"/>
      <c r="D18" s="123" t="s">
        <v>86</v>
      </c>
      <c r="E18" s="124"/>
      <c r="F18" s="124"/>
      <c r="G18" s="125"/>
      <c r="H18" s="79"/>
      <c r="I18" s="79"/>
      <c r="J18" s="83"/>
      <c r="K18" s="79"/>
      <c r="L18" s="79"/>
      <c r="M18" s="80"/>
    </row>
    <row r="19" spans="1:13" s="1" customFormat="1" ht="14.1" customHeight="1">
      <c r="A19" s="129">
        <v>9</v>
      </c>
      <c r="B19" s="47" t="s">
        <v>20</v>
      </c>
      <c r="C19" s="48"/>
      <c r="D19" s="75" t="s">
        <v>21</v>
      </c>
      <c r="E19" s="62"/>
      <c r="F19" s="62"/>
      <c r="G19" s="76"/>
      <c r="H19" s="52">
        <f>SUM(I19)-6</f>
        <v>31.9</v>
      </c>
      <c r="I19" s="52">
        <f>SUM(J19)-6</f>
        <v>37.9</v>
      </c>
      <c r="J19" s="54">
        <v>43.9</v>
      </c>
      <c r="K19" s="52">
        <f>SUM(J19)+4.5</f>
        <v>48.4</v>
      </c>
      <c r="L19" s="52">
        <f>SUM(K19)+5</f>
        <v>53.4</v>
      </c>
      <c r="M19" s="64"/>
    </row>
    <row r="20" spans="1:13" s="1" customFormat="1" ht="14.1" customHeight="1">
      <c r="A20" s="119"/>
      <c r="B20" s="121" t="s">
        <v>53</v>
      </c>
      <c r="C20" s="122"/>
      <c r="D20" s="123" t="s">
        <v>85</v>
      </c>
      <c r="E20" s="124"/>
      <c r="F20" s="124"/>
      <c r="G20" s="125"/>
      <c r="H20" s="79"/>
      <c r="I20" s="79"/>
      <c r="J20" s="83"/>
      <c r="K20" s="79"/>
      <c r="L20" s="79"/>
      <c r="M20" s="80"/>
    </row>
    <row r="21" spans="1:13" s="1" customFormat="1" ht="14.1" customHeight="1">
      <c r="A21" s="129">
        <v>10</v>
      </c>
      <c r="B21" s="47" t="s">
        <v>84</v>
      </c>
      <c r="C21" s="48"/>
      <c r="D21" s="75" t="s">
        <v>82</v>
      </c>
      <c r="E21" s="62"/>
      <c r="F21" s="62"/>
      <c r="G21" s="76"/>
      <c r="H21" s="52">
        <f>SUM(I21)-0.9</f>
        <v>19.900000000000002</v>
      </c>
      <c r="I21" s="52">
        <f>SUM(J21)-0.9</f>
        <v>20.8</v>
      </c>
      <c r="J21" s="54">
        <v>21.7</v>
      </c>
      <c r="K21" s="52">
        <f>SUM(J21)+0.9</f>
        <v>22.599999999999998</v>
      </c>
      <c r="L21" s="52">
        <f>SUM(K21)+0.9</f>
        <v>23.499999999999996</v>
      </c>
      <c r="M21" s="64"/>
    </row>
    <row r="22" spans="1:13" s="1" customFormat="1" ht="14.1" customHeight="1">
      <c r="A22" s="119"/>
      <c r="B22" s="121" t="s">
        <v>83</v>
      </c>
      <c r="C22" s="122"/>
      <c r="D22" s="123" t="s">
        <v>82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s="1" customFormat="1" ht="14.1" customHeight="1">
      <c r="A23" s="129">
        <v>11</v>
      </c>
      <c r="B23" s="47" t="s">
        <v>81</v>
      </c>
      <c r="C23" s="48"/>
      <c r="D23" s="75" t="s">
        <v>80</v>
      </c>
      <c r="E23" s="62"/>
      <c r="F23" s="62"/>
      <c r="G23" s="76"/>
      <c r="H23" s="52">
        <f>SUM(I23)-3.8</f>
        <v>34.6</v>
      </c>
      <c r="I23" s="52">
        <f>SUM(J23)-3.7</f>
        <v>38.4</v>
      </c>
      <c r="J23" s="54">
        <v>42.1</v>
      </c>
      <c r="K23" s="52">
        <f>SUM(J23)+3.5</f>
        <v>45.6</v>
      </c>
      <c r="L23" s="52">
        <f>SUM(K23)+3.3</f>
        <v>48.9</v>
      </c>
      <c r="M23" s="64"/>
    </row>
    <row r="24" spans="1:13" s="1" customFormat="1" ht="14.1" customHeight="1">
      <c r="A24" s="129"/>
      <c r="B24" s="136" t="s">
        <v>79</v>
      </c>
      <c r="C24" s="137"/>
      <c r="D24" s="138" t="s">
        <v>78</v>
      </c>
      <c r="E24" s="139"/>
      <c r="F24" s="139"/>
      <c r="G24" s="140"/>
      <c r="H24" s="53"/>
      <c r="I24" s="53"/>
      <c r="J24" s="134"/>
      <c r="K24" s="53"/>
      <c r="L24" s="53"/>
      <c r="M24" s="135"/>
    </row>
    <row r="25" spans="1:13" s="1" customFormat="1" ht="14.1" customHeight="1">
      <c r="A25" s="142">
        <v>12</v>
      </c>
      <c r="B25" s="47"/>
      <c r="C25" s="48"/>
      <c r="D25" s="75"/>
      <c r="E25" s="62"/>
      <c r="F25" s="62"/>
      <c r="G25" s="76"/>
      <c r="H25" s="52"/>
      <c r="I25" s="52"/>
      <c r="J25" s="54"/>
      <c r="K25" s="52"/>
      <c r="L25" s="52"/>
      <c r="M25" s="147"/>
    </row>
    <row r="26" spans="1:13" s="1" customFormat="1" ht="14.1" customHeight="1" thickBot="1">
      <c r="A26" s="129"/>
      <c r="B26" s="136"/>
      <c r="C26" s="137"/>
      <c r="D26" s="138"/>
      <c r="E26" s="139"/>
      <c r="F26" s="139"/>
      <c r="G26" s="140"/>
      <c r="H26" s="53"/>
      <c r="I26" s="53"/>
      <c r="J26" s="134"/>
      <c r="K26" s="53"/>
      <c r="L26" s="53"/>
      <c r="M26" s="148"/>
    </row>
    <row r="27" spans="1:13" s="1" customFormat="1" ht="14.1" customHeight="1" thickTop="1">
      <c r="A27" s="162">
        <v>13</v>
      </c>
      <c r="B27" s="99" t="s">
        <v>113</v>
      </c>
      <c r="C27" s="100"/>
      <c r="D27" s="89"/>
      <c r="E27" s="163"/>
      <c r="F27" s="163"/>
      <c r="G27" s="164"/>
      <c r="H27" s="87">
        <f>SUM(I27)-4.5</f>
        <v>65</v>
      </c>
      <c r="I27" s="90">
        <f>SUM(J27)-4.5</f>
        <v>69.5</v>
      </c>
      <c r="J27" s="165">
        <v>74</v>
      </c>
      <c r="K27" s="90">
        <f>SUM(J27)+4.5</f>
        <v>78.5</v>
      </c>
      <c r="L27" s="90">
        <f t="shared" ref="L27" si="1">SUM(K27)+4.5</f>
        <v>83</v>
      </c>
      <c r="M27" s="167"/>
    </row>
    <row r="28" spans="1:13" s="1" customFormat="1" ht="14.1" customHeight="1">
      <c r="A28" s="119"/>
      <c r="B28" s="121" t="s">
        <v>114</v>
      </c>
      <c r="C28" s="122"/>
      <c r="D28" s="123"/>
      <c r="E28" s="124"/>
      <c r="F28" s="124"/>
      <c r="G28" s="125"/>
      <c r="H28" s="61"/>
      <c r="I28" s="79"/>
      <c r="J28" s="83"/>
      <c r="K28" s="79"/>
      <c r="L28" s="79"/>
      <c r="M28" s="80"/>
    </row>
    <row r="29" spans="1:13" s="1" customFormat="1" ht="14.1" customHeight="1">
      <c r="A29" s="129">
        <v>14</v>
      </c>
      <c r="B29" s="47" t="s">
        <v>318</v>
      </c>
      <c r="C29" s="48"/>
      <c r="D29" s="150"/>
      <c r="E29" s="151"/>
      <c r="F29" s="151"/>
      <c r="G29" s="152"/>
      <c r="H29" s="52">
        <f>SUM(I29)-2.5</f>
        <v>26</v>
      </c>
      <c r="I29" s="52">
        <f>SUM(J29)-2.5</f>
        <v>28.5</v>
      </c>
      <c r="J29" s="134">
        <v>31</v>
      </c>
      <c r="K29" s="53">
        <f>SUM(J29)+2.5</f>
        <v>33.5</v>
      </c>
      <c r="L29" s="53">
        <f t="shared" ref="L29" si="2">SUM(K29)+2.5</f>
        <v>36</v>
      </c>
      <c r="M29" s="135"/>
    </row>
    <row r="30" spans="1:13" s="1" customFormat="1" ht="14.1" customHeight="1">
      <c r="A30" s="119"/>
      <c r="B30" s="79" t="s">
        <v>319</v>
      </c>
      <c r="C30" s="79"/>
      <c r="D30" s="159" t="s">
        <v>320</v>
      </c>
      <c r="E30" s="160"/>
      <c r="F30" s="160"/>
      <c r="G30" s="161"/>
      <c r="H30" s="79"/>
      <c r="I30" s="79"/>
      <c r="J30" s="83"/>
      <c r="K30" s="79"/>
      <c r="L30" s="79"/>
      <c r="M30" s="80"/>
    </row>
    <row r="31" spans="1:13" s="1" customFormat="1" ht="14.1" customHeight="1">
      <c r="A31" s="129">
        <v>15</v>
      </c>
      <c r="B31" s="47" t="s">
        <v>321</v>
      </c>
      <c r="C31" s="48"/>
      <c r="D31" s="150"/>
      <c r="E31" s="151"/>
      <c r="F31" s="151"/>
      <c r="G31" s="152"/>
      <c r="H31" s="52">
        <f>SUM(I31)-0.9</f>
        <v>9.6999999999999993</v>
      </c>
      <c r="I31" s="52">
        <f>SUM(J31)-0.9</f>
        <v>10.6</v>
      </c>
      <c r="J31" s="134">
        <v>11.5</v>
      </c>
      <c r="K31" s="53">
        <f>SUM(J31)+0.9</f>
        <v>12.4</v>
      </c>
      <c r="L31" s="53">
        <f t="shared" ref="L31" si="3">SUM(K31)+0.9</f>
        <v>13.3</v>
      </c>
      <c r="M31" s="135"/>
    </row>
    <row r="32" spans="1:13" s="1" customFormat="1" ht="14.1" customHeight="1">
      <c r="A32" s="119"/>
      <c r="B32" s="79" t="s">
        <v>322</v>
      </c>
      <c r="C32" s="79"/>
      <c r="D32" s="159" t="s">
        <v>323</v>
      </c>
      <c r="E32" s="160"/>
      <c r="F32" s="160"/>
      <c r="G32" s="161"/>
      <c r="H32" s="79"/>
      <c r="I32" s="79"/>
      <c r="J32" s="83"/>
      <c r="K32" s="79"/>
      <c r="L32" s="79"/>
      <c r="M32" s="80"/>
    </row>
    <row r="33" spans="1:13" s="1" customFormat="1" ht="14.1" customHeight="1">
      <c r="A33" s="129">
        <v>16</v>
      </c>
      <c r="B33" s="47" t="s">
        <v>324</v>
      </c>
      <c r="C33" s="48"/>
      <c r="D33" s="150"/>
      <c r="E33" s="151"/>
      <c r="F33" s="151"/>
      <c r="G33" s="152"/>
      <c r="H33" s="52">
        <f>SUM(I33)-1.6</f>
        <v>16.299999999999997</v>
      </c>
      <c r="I33" s="52">
        <f>SUM(J33)-1.6</f>
        <v>17.899999999999999</v>
      </c>
      <c r="J33" s="134">
        <v>19.5</v>
      </c>
      <c r="K33" s="53">
        <f>SUM(J33)+1.6</f>
        <v>21.1</v>
      </c>
      <c r="L33" s="53">
        <f t="shared" ref="L33" si="4">SUM(K33)+1.6</f>
        <v>22.700000000000003</v>
      </c>
      <c r="M33" s="135"/>
    </row>
    <row r="34" spans="1:13" ht="14.1" customHeight="1">
      <c r="A34" s="119"/>
      <c r="B34" s="79" t="s">
        <v>325</v>
      </c>
      <c r="C34" s="79"/>
      <c r="D34" s="159" t="s">
        <v>326</v>
      </c>
      <c r="E34" s="160"/>
      <c r="F34" s="160"/>
      <c r="G34" s="161"/>
      <c r="H34" s="79"/>
      <c r="I34" s="79"/>
      <c r="J34" s="83"/>
      <c r="K34" s="79"/>
      <c r="L34" s="79"/>
      <c r="M34" s="80"/>
    </row>
    <row r="35" spans="1:13" ht="14.1" customHeight="1">
      <c r="A35" s="129">
        <v>17</v>
      </c>
      <c r="B35" s="47"/>
      <c r="C35" s="48"/>
      <c r="D35" s="150"/>
      <c r="E35" s="151"/>
      <c r="F35" s="151"/>
      <c r="G35" s="152"/>
      <c r="H35" s="52"/>
      <c r="I35" s="52"/>
      <c r="J35" s="134"/>
      <c r="K35" s="53"/>
      <c r="L35" s="53"/>
      <c r="M35" s="148"/>
    </row>
    <row r="36" spans="1:13" ht="14.1" customHeight="1">
      <c r="A36" s="129"/>
      <c r="B36" s="53"/>
      <c r="C36" s="53"/>
      <c r="D36" s="156"/>
      <c r="E36" s="157"/>
      <c r="F36" s="157"/>
      <c r="G36" s="158"/>
      <c r="H36" s="53"/>
      <c r="I36" s="53"/>
      <c r="J36" s="134"/>
      <c r="K36" s="53"/>
      <c r="L36" s="53"/>
      <c r="M36" s="148"/>
    </row>
    <row r="37" spans="1:13" ht="14.1" customHeight="1">
      <c r="A37" s="142">
        <v>18</v>
      </c>
      <c r="B37" s="47"/>
      <c r="C37" s="48"/>
      <c r="D37" s="150"/>
      <c r="E37" s="151"/>
      <c r="F37" s="151"/>
      <c r="G37" s="152"/>
      <c r="H37" s="52"/>
      <c r="I37" s="52"/>
      <c r="J37" s="54"/>
      <c r="K37" s="52"/>
      <c r="L37" s="52"/>
      <c r="M37" s="147"/>
    </row>
    <row r="38" spans="1:13" ht="14.1" customHeight="1" thickBot="1">
      <c r="A38" s="143"/>
      <c r="B38" s="77"/>
      <c r="C38" s="77"/>
      <c r="D38" s="153"/>
      <c r="E38" s="154"/>
      <c r="F38" s="154"/>
      <c r="G38" s="155"/>
      <c r="H38" s="77"/>
      <c r="I38" s="77"/>
      <c r="J38" s="144"/>
      <c r="K38" s="77"/>
      <c r="L38" s="77"/>
      <c r="M38" s="14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B039-E64F-4BBE-A487-37DA9317D074}">
  <sheetPr>
    <tabColor theme="8"/>
    <pageSetUpPr fitToPage="1"/>
  </sheetPr>
  <dimension ref="A1:N51"/>
  <sheetViews>
    <sheetView zoomScale="110" zoomScaleNormal="110" workbookViewId="0">
      <selection sqref="A1:N3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562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4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559</v>
      </c>
      <c r="I2" s="8" t="s">
        <v>60</v>
      </c>
      <c r="J2" s="8" t="s">
        <v>61</v>
      </c>
      <c r="K2" s="6" t="s">
        <v>62</v>
      </c>
      <c r="L2" s="8" t="s">
        <v>63</v>
      </c>
      <c r="M2" s="8" t="s">
        <v>131</v>
      </c>
      <c r="N2" s="8" t="s">
        <v>130</v>
      </c>
    </row>
    <row r="3" spans="1:14" s="1" customFormat="1" ht="14.1" customHeight="1">
      <c r="A3" s="16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SUM(I3)-2</f>
        <v>42</v>
      </c>
      <c r="I3" s="52">
        <f>SUM(J3)-2.5</f>
        <v>44</v>
      </c>
      <c r="J3" s="52">
        <f>SUM(K3)-2.5</f>
        <v>46.5</v>
      </c>
      <c r="K3" s="54">
        <v>49</v>
      </c>
      <c r="L3" s="52">
        <f>SUM(K3)+2.5</f>
        <v>51.5</v>
      </c>
      <c r="M3" s="52">
        <f>SUM(L3)+2.5</f>
        <v>54</v>
      </c>
      <c r="N3" s="145">
        <f>SUM(M3)+2.5</f>
        <v>56.5</v>
      </c>
    </row>
    <row r="4" spans="1:14" s="1" customFormat="1" ht="14.1" customHeight="1">
      <c r="A4" s="16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79"/>
      <c r="K4" s="83"/>
      <c r="L4" s="79"/>
      <c r="M4" s="79"/>
      <c r="N4" s="146"/>
    </row>
    <row r="5" spans="1:14" s="1" customFormat="1" ht="14.1" customHeight="1">
      <c r="A5" s="129">
        <v>2</v>
      </c>
      <c r="B5" s="47" t="s">
        <v>11</v>
      </c>
      <c r="C5" s="48"/>
      <c r="D5" s="75" t="s">
        <v>12</v>
      </c>
      <c r="E5" s="62"/>
      <c r="F5" s="62"/>
      <c r="G5" s="76"/>
      <c r="H5" s="52">
        <f>SUM(I5)-3.2</f>
        <v>44.999999999999993</v>
      </c>
      <c r="I5" s="52">
        <f>SUM(J5)-3.2</f>
        <v>48.199999999999996</v>
      </c>
      <c r="J5" s="52">
        <f>SUM(K5)-3.2</f>
        <v>51.4</v>
      </c>
      <c r="K5" s="54">
        <v>54.6</v>
      </c>
      <c r="L5" s="52">
        <f>SUM(K5)+3.2</f>
        <v>57.800000000000004</v>
      </c>
      <c r="M5" s="52">
        <f>SUM(L5)+3.2</f>
        <v>61.000000000000007</v>
      </c>
      <c r="N5" s="147">
        <f>SUM(M5)+3.2</f>
        <v>64.2</v>
      </c>
    </row>
    <row r="6" spans="1:14" s="1" customFormat="1" ht="14.1" customHeight="1">
      <c r="A6" s="119"/>
      <c r="B6" s="121" t="s">
        <v>48</v>
      </c>
      <c r="C6" s="122"/>
      <c r="D6" s="123" t="s">
        <v>90</v>
      </c>
      <c r="E6" s="124"/>
      <c r="F6" s="124"/>
      <c r="G6" s="125"/>
      <c r="H6" s="79"/>
      <c r="I6" s="79"/>
      <c r="J6" s="79"/>
      <c r="K6" s="83"/>
      <c r="L6" s="79"/>
      <c r="M6" s="79"/>
      <c r="N6" s="146"/>
    </row>
    <row r="7" spans="1:14" s="1" customFormat="1" ht="14.1" customHeight="1">
      <c r="A7" s="45">
        <v>3</v>
      </c>
      <c r="B7" s="47" t="s">
        <v>103</v>
      </c>
      <c r="C7" s="48"/>
      <c r="D7" s="75"/>
      <c r="E7" s="62"/>
      <c r="F7" s="62"/>
      <c r="G7" s="76"/>
      <c r="H7" s="52">
        <f>SUM(I7)-0.7</f>
        <v>13.000000000000002</v>
      </c>
      <c r="I7" s="52">
        <f>SUM(J7)-0.7</f>
        <v>13.700000000000001</v>
      </c>
      <c r="J7" s="52">
        <f>SUM(K7)-0.7</f>
        <v>14.4</v>
      </c>
      <c r="K7" s="54">
        <v>15.1</v>
      </c>
      <c r="L7" s="52">
        <f>SUM(K7)+1.2</f>
        <v>16.3</v>
      </c>
      <c r="M7" s="52">
        <f>SUM(L7)+0.7</f>
        <v>17</v>
      </c>
      <c r="N7" s="147">
        <f>SUM(M7)+0.7</f>
        <v>17.7</v>
      </c>
    </row>
    <row r="8" spans="1:14" s="1" customFormat="1" ht="14.1" customHeight="1">
      <c r="A8" s="45"/>
      <c r="B8" s="121" t="s">
        <v>102</v>
      </c>
      <c r="C8" s="122"/>
      <c r="D8" s="126" t="s">
        <v>115</v>
      </c>
      <c r="E8" s="127"/>
      <c r="F8" s="127"/>
      <c r="G8" s="128"/>
      <c r="H8" s="79"/>
      <c r="I8" s="79"/>
      <c r="J8" s="79"/>
      <c r="K8" s="83"/>
      <c r="L8" s="79"/>
      <c r="M8" s="79"/>
      <c r="N8" s="146"/>
    </row>
    <row r="9" spans="1:14" s="1" customFormat="1" ht="14.1" customHeight="1">
      <c r="A9" s="109">
        <v>4</v>
      </c>
      <c r="B9" s="47" t="s">
        <v>9</v>
      </c>
      <c r="C9" s="48"/>
      <c r="D9" s="75" t="s">
        <v>70</v>
      </c>
      <c r="E9" s="62"/>
      <c r="F9" s="62"/>
      <c r="G9" s="76"/>
      <c r="H9" s="52">
        <f>SUM(I9)-7</f>
        <v>44</v>
      </c>
      <c r="I9" s="52">
        <f>SUM(J9)-7</f>
        <v>51</v>
      </c>
      <c r="J9" s="52">
        <f>SUM(K9)-7</f>
        <v>58</v>
      </c>
      <c r="K9" s="54">
        <v>65</v>
      </c>
      <c r="L9" s="52">
        <f>SUM(K9)+6</f>
        <v>71</v>
      </c>
      <c r="M9" s="52">
        <f>SUM(L9)+6</f>
        <v>77</v>
      </c>
      <c r="N9" s="147">
        <f>SUM(M9)+6</f>
        <v>83</v>
      </c>
    </row>
    <row r="10" spans="1:14" s="1" customFormat="1" ht="14.1" customHeight="1">
      <c r="A10" s="46"/>
      <c r="B10" s="121" t="s">
        <v>49</v>
      </c>
      <c r="C10" s="122"/>
      <c r="D10" s="123" t="s">
        <v>89</v>
      </c>
      <c r="E10" s="124"/>
      <c r="F10" s="124"/>
      <c r="G10" s="125"/>
      <c r="H10" s="79"/>
      <c r="I10" s="79"/>
      <c r="J10" s="79"/>
      <c r="K10" s="83"/>
      <c r="L10" s="79"/>
      <c r="M10" s="79"/>
      <c r="N10" s="146"/>
    </row>
    <row r="11" spans="1:14" s="1" customFormat="1" ht="14.1" customHeight="1">
      <c r="A11" s="45">
        <v>5</v>
      </c>
      <c r="B11" s="47" t="s">
        <v>14</v>
      </c>
      <c r="C11" s="48"/>
      <c r="D11" s="75" t="s">
        <v>15</v>
      </c>
      <c r="E11" s="62"/>
      <c r="F11" s="62"/>
      <c r="G11" s="76"/>
      <c r="H11" s="52">
        <f>SUM(I11)-1.6</f>
        <v>27.199999999999996</v>
      </c>
      <c r="I11" s="52">
        <f>SUM(J11)-1.6</f>
        <v>28.799999999999997</v>
      </c>
      <c r="J11" s="52">
        <f>SUM(K11)-1.6</f>
        <v>30.4</v>
      </c>
      <c r="K11" s="54">
        <v>32</v>
      </c>
      <c r="L11" s="52">
        <f>SUM(K11)+1.2</f>
        <v>33.200000000000003</v>
      </c>
      <c r="M11" s="52">
        <f>SUM(L11)+1.2</f>
        <v>34.400000000000006</v>
      </c>
      <c r="N11" s="147">
        <f>SUM(M11)+1.2</f>
        <v>35.600000000000009</v>
      </c>
    </row>
    <row r="12" spans="1:14" s="1" customFormat="1" ht="14.1" customHeight="1">
      <c r="A12" s="45"/>
      <c r="B12" s="121" t="s">
        <v>50</v>
      </c>
      <c r="C12" s="122"/>
      <c r="D12" s="42" t="s">
        <v>88</v>
      </c>
      <c r="E12" s="43"/>
      <c r="F12" s="43"/>
      <c r="G12" s="44"/>
      <c r="H12" s="79"/>
      <c r="I12" s="79"/>
      <c r="J12" s="79"/>
      <c r="K12" s="83"/>
      <c r="L12" s="79"/>
      <c r="M12" s="79"/>
      <c r="N12" s="146"/>
    </row>
    <row r="13" spans="1:14" s="1" customFormat="1" ht="14.1" customHeight="1">
      <c r="A13" s="109">
        <v>6</v>
      </c>
      <c r="B13" s="47" t="s">
        <v>16</v>
      </c>
      <c r="C13" s="48"/>
      <c r="D13" s="75" t="s">
        <v>13</v>
      </c>
      <c r="E13" s="62"/>
      <c r="F13" s="62"/>
      <c r="G13" s="76"/>
      <c r="H13" s="52">
        <f>SUM(I13)-1.1</f>
        <v>19.399999999999999</v>
      </c>
      <c r="I13" s="52">
        <f>SUM(J13)-1.1</f>
        <v>20.5</v>
      </c>
      <c r="J13" s="52">
        <f>SUM(K13)-1</f>
        <v>21.6</v>
      </c>
      <c r="K13" s="54">
        <v>22.6</v>
      </c>
      <c r="L13" s="52">
        <f>SUM(K13)+1.5</f>
        <v>24.1</v>
      </c>
      <c r="M13" s="52">
        <f>SUM(L13)+1.1</f>
        <v>25.200000000000003</v>
      </c>
      <c r="N13" s="147">
        <f>SUM(M13)+1</f>
        <v>26.200000000000003</v>
      </c>
    </row>
    <row r="14" spans="1:14" s="1" customFormat="1" ht="14.1" customHeight="1">
      <c r="A14" s="46"/>
      <c r="B14" s="121" t="s">
        <v>56</v>
      </c>
      <c r="C14" s="122"/>
      <c r="D14" s="123" t="s">
        <v>87</v>
      </c>
      <c r="E14" s="124"/>
      <c r="F14" s="124"/>
      <c r="G14" s="125"/>
      <c r="H14" s="79"/>
      <c r="I14" s="79"/>
      <c r="J14" s="79"/>
      <c r="K14" s="83"/>
      <c r="L14" s="79"/>
      <c r="M14" s="79"/>
      <c r="N14" s="146"/>
    </row>
    <row r="15" spans="1:14" s="1" customFormat="1" ht="14.1" customHeight="1">
      <c r="A15" s="45">
        <v>7</v>
      </c>
      <c r="B15" s="47" t="s">
        <v>17</v>
      </c>
      <c r="C15" s="48"/>
      <c r="D15" s="75" t="s">
        <v>13</v>
      </c>
      <c r="E15" s="62"/>
      <c r="F15" s="62"/>
      <c r="G15" s="76"/>
      <c r="H15" s="52">
        <f>SUM(I15)-1.2</f>
        <v>23.1</v>
      </c>
      <c r="I15" s="52">
        <f>SUM(J15)-1.2</f>
        <v>24.3</v>
      </c>
      <c r="J15" s="52">
        <f>SUM(K15)-1.2</f>
        <v>25.5</v>
      </c>
      <c r="K15" s="54">
        <v>26.7</v>
      </c>
      <c r="L15" s="52">
        <f>SUM(K15)+1.7</f>
        <v>28.4</v>
      </c>
      <c r="M15" s="52">
        <f>SUM(L15)+1.2</f>
        <v>29.599999999999998</v>
      </c>
      <c r="N15" s="147">
        <f>SUM(M15)+1.2</f>
        <v>30.799999999999997</v>
      </c>
    </row>
    <row r="16" spans="1:14" s="1" customFormat="1" ht="14.1" customHeight="1">
      <c r="A16" s="46"/>
      <c r="B16" s="136" t="s">
        <v>55</v>
      </c>
      <c r="C16" s="137"/>
      <c r="D16" s="138" t="s">
        <v>87</v>
      </c>
      <c r="E16" s="139"/>
      <c r="F16" s="139"/>
      <c r="G16" s="140"/>
      <c r="H16" s="53"/>
      <c r="I16" s="53"/>
      <c r="J16" s="53"/>
      <c r="K16" s="134"/>
      <c r="L16" s="53"/>
      <c r="M16" s="53"/>
      <c r="N16" s="148"/>
    </row>
    <row r="17" spans="1:14" s="1" customFormat="1" ht="14.1" customHeight="1">
      <c r="A17" s="142">
        <v>8</v>
      </c>
      <c r="B17" s="47" t="s">
        <v>18</v>
      </c>
      <c r="C17" s="48"/>
      <c r="D17" s="75" t="s">
        <v>19</v>
      </c>
      <c r="E17" s="62"/>
      <c r="F17" s="62"/>
      <c r="G17" s="76"/>
      <c r="H17" s="52">
        <f>SUM(I17)-2.2</f>
        <v>24.8</v>
      </c>
      <c r="I17" s="52">
        <f>SUM(J17)-2.2</f>
        <v>27</v>
      </c>
      <c r="J17" s="52">
        <f>SUM(K17)-2.2</f>
        <v>29.2</v>
      </c>
      <c r="K17" s="54">
        <v>31.4</v>
      </c>
      <c r="L17" s="52">
        <f>SUM(K17)+2</f>
        <v>33.4</v>
      </c>
      <c r="M17" s="52">
        <f>SUM(L17)+2</f>
        <v>35.4</v>
      </c>
      <c r="N17" s="147">
        <f>SUM(M17)+2</f>
        <v>37.4</v>
      </c>
    </row>
    <row r="18" spans="1:14" ht="14.1" customHeight="1">
      <c r="A18" s="119"/>
      <c r="B18" s="121" t="s">
        <v>54</v>
      </c>
      <c r="C18" s="122"/>
      <c r="D18" s="123" t="s">
        <v>86</v>
      </c>
      <c r="E18" s="124"/>
      <c r="F18" s="124"/>
      <c r="G18" s="125"/>
      <c r="H18" s="79"/>
      <c r="I18" s="79"/>
      <c r="J18" s="79"/>
      <c r="K18" s="83"/>
      <c r="L18" s="79"/>
      <c r="M18" s="79"/>
      <c r="N18" s="146"/>
    </row>
    <row r="19" spans="1:14" ht="14.1" customHeight="1">
      <c r="A19" s="129">
        <v>9</v>
      </c>
      <c r="B19" s="47" t="s">
        <v>20</v>
      </c>
      <c r="C19" s="48"/>
      <c r="D19" s="75" t="s">
        <v>21</v>
      </c>
      <c r="E19" s="62"/>
      <c r="F19" s="62"/>
      <c r="G19" s="76"/>
      <c r="H19" s="52">
        <f>SUM(I19)-6</f>
        <v>25.1</v>
      </c>
      <c r="I19" s="52">
        <f>SUM(J19)-6</f>
        <v>31.1</v>
      </c>
      <c r="J19" s="52">
        <f>SUM(K19)-6</f>
        <v>37.1</v>
      </c>
      <c r="K19" s="54">
        <v>43.1</v>
      </c>
      <c r="L19" s="52">
        <f>SUM(K19)+4.5</f>
        <v>47.6</v>
      </c>
      <c r="M19" s="52">
        <f>SUM(L19)+5</f>
        <v>52.6</v>
      </c>
      <c r="N19" s="147">
        <f>SUM(M19)+5</f>
        <v>57.6</v>
      </c>
    </row>
    <row r="20" spans="1:14" ht="14.1" customHeight="1">
      <c r="A20" s="119"/>
      <c r="B20" s="121" t="s">
        <v>53</v>
      </c>
      <c r="C20" s="122"/>
      <c r="D20" s="123" t="s">
        <v>85</v>
      </c>
      <c r="E20" s="124"/>
      <c r="F20" s="124"/>
      <c r="G20" s="125"/>
      <c r="H20" s="79"/>
      <c r="I20" s="79"/>
      <c r="J20" s="79"/>
      <c r="K20" s="83"/>
      <c r="L20" s="79"/>
      <c r="M20" s="79"/>
      <c r="N20" s="146"/>
    </row>
    <row r="21" spans="1:14" ht="14.1" customHeight="1">
      <c r="A21" s="129">
        <v>10</v>
      </c>
      <c r="B21" s="47" t="s">
        <v>84</v>
      </c>
      <c r="C21" s="48"/>
      <c r="D21" s="75" t="s">
        <v>82</v>
      </c>
      <c r="E21" s="62"/>
      <c r="F21" s="62"/>
      <c r="G21" s="76"/>
      <c r="H21" s="52">
        <f>SUM(I21)-1.25</f>
        <v>21.25</v>
      </c>
      <c r="I21" s="52">
        <f>SUM(J21)-1.25</f>
        <v>22.5</v>
      </c>
      <c r="J21" s="52">
        <f>SUM(K21)-1.25</f>
        <v>23.75</v>
      </c>
      <c r="K21" s="54">
        <v>25</v>
      </c>
      <c r="L21" s="52">
        <f>SUM(K21)+1</f>
        <v>26</v>
      </c>
      <c r="M21" s="52">
        <f>SUM(L21)+1</f>
        <v>27</v>
      </c>
      <c r="N21" s="147">
        <f>SUM(M21)+1</f>
        <v>28</v>
      </c>
    </row>
    <row r="22" spans="1:14" ht="14.1" customHeight="1">
      <c r="A22" s="119"/>
      <c r="B22" s="121" t="s">
        <v>83</v>
      </c>
      <c r="C22" s="122"/>
      <c r="D22" s="123" t="s">
        <v>82</v>
      </c>
      <c r="E22" s="124"/>
      <c r="F22" s="124"/>
      <c r="G22" s="125"/>
      <c r="H22" s="79"/>
      <c r="I22" s="79"/>
      <c r="J22" s="79"/>
      <c r="K22" s="83"/>
      <c r="L22" s="79"/>
      <c r="M22" s="79"/>
      <c r="N22" s="146"/>
    </row>
    <row r="23" spans="1:14" ht="14.1" customHeight="1">
      <c r="A23" s="129">
        <v>11</v>
      </c>
      <c r="B23" s="47" t="s">
        <v>81</v>
      </c>
      <c r="C23" s="48"/>
      <c r="D23" s="75" t="s">
        <v>80</v>
      </c>
      <c r="E23" s="62"/>
      <c r="F23" s="62"/>
      <c r="G23" s="76"/>
      <c r="H23" s="52">
        <f>SUM(I23)-3.45</f>
        <v>29.149999999999995</v>
      </c>
      <c r="I23" s="52">
        <f>SUM(J23)-3.45</f>
        <v>32.599999999999994</v>
      </c>
      <c r="J23" s="52">
        <f>SUM(K23)-3.45</f>
        <v>36.049999999999997</v>
      </c>
      <c r="K23" s="54">
        <v>39.5</v>
      </c>
      <c r="L23" s="52">
        <f>SUM(K23)+3.5</f>
        <v>43</v>
      </c>
      <c r="M23" s="52">
        <f>SUM(L23)+3</f>
        <v>46</v>
      </c>
      <c r="N23" s="147">
        <f>SUM(M23)+3</f>
        <v>49</v>
      </c>
    </row>
    <row r="24" spans="1:14" ht="14.1" customHeight="1">
      <c r="A24" s="129"/>
      <c r="B24" s="136" t="s">
        <v>79</v>
      </c>
      <c r="C24" s="137"/>
      <c r="D24" s="138" t="s">
        <v>78</v>
      </c>
      <c r="E24" s="139"/>
      <c r="F24" s="139"/>
      <c r="G24" s="140"/>
      <c r="H24" s="53"/>
      <c r="I24" s="53"/>
      <c r="J24" s="53"/>
      <c r="K24" s="134"/>
      <c r="L24" s="53"/>
      <c r="M24" s="53"/>
      <c r="N24" s="148"/>
    </row>
    <row r="25" spans="1:14" ht="14.1" customHeight="1">
      <c r="A25" s="142">
        <v>12</v>
      </c>
      <c r="B25" s="47" t="s">
        <v>556</v>
      </c>
      <c r="C25" s="48"/>
      <c r="D25" s="150"/>
      <c r="E25" s="151"/>
      <c r="F25" s="151"/>
      <c r="G25" s="152"/>
      <c r="H25" s="52">
        <f>SUM(I25)-0.1</f>
        <v>1.2999999999999998</v>
      </c>
      <c r="I25" s="52">
        <f>SUM(J25)-0.1</f>
        <v>1.4</v>
      </c>
      <c r="J25" s="52">
        <f>SUM(K25)-0.1</f>
        <v>1.5</v>
      </c>
      <c r="K25" s="54">
        <v>1.6</v>
      </c>
      <c r="L25" s="52">
        <f>SUM(K25)+0.1</f>
        <v>1.7000000000000002</v>
      </c>
      <c r="M25" s="52">
        <f>SUM(L25)+0.1</f>
        <v>1.8000000000000003</v>
      </c>
      <c r="N25" s="147">
        <f>SUM(M25)+0.1</f>
        <v>1.9000000000000004</v>
      </c>
    </row>
    <row r="26" spans="1:14" ht="14.1" customHeight="1">
      <c r="A26" s="119"/>
      <c r="B26" s="40" t="s">
        <v>557</v>
      </c>
      <c r="C26" s="41"/>
      <c r="D26" s="159"/>
      <c r="E26" s="160"/>
      <c r="F26" s="160"/>
      <c r="G26" s="161"/>
      <c r="H26" s="79"/>
      <c r="I26" s="79"/>
      <c r="J26" s="79"/>
      <c r="K26" s="83"/>
      <c r="L26" s="79"/>
      <c r="M26" s="79"/>
      <c r="N26" s="146"/>
    </row>
    <row r="27" spans="1:14" ht="14.1" customHeight="1">
      <c r="A27" s="129">
        <v>13</v>
      </c>
      <c r="B27" s="47" t="s">
        <v>560</v>
      </c>
      <c r="C27" s="48"/>
      <c r="D27" s="170"/>
      <c r="E27" s="171"/>
      <c r="F27" s="171"/>
      <c r="G27" s="172"/>
      <c r="H27" s="52">
        <f>SUM(I27)-0.1</f>
        <v>1.7999999999999998</v>
      </c>
      <c r="I27" s="52">
        <f>SUM(J27)-0.1</f>
        <v>1.9</v>
      </c>
      <c r="J27" s="52">
        <f>SUM(K27)-0.1</f>
        <v>2</v>
      </c>
      <c r="K27" s="54">
        <v>2.1</v>
      </c>
      <c r="L27" s="52">
        <f>SUM(K27)+0.1</f>
        <v>2.2000000000000002</v>
      </c>
      <c r="M27" s="52">
        <f>SUM(L27)+0.1</f>
        <v>2.3000000000000003</v>
      </c>
      <c r="N27" s="147">
        <f>SUM(M27)+0.1</f>
        <v>2.4000000000000004</v>
      </c>
    </row>
    <row r="28" spans="1:14" ht="14.1" customHeight="1">
      <c r="A28" s="119"/>
      <c r="B28" s="40" t="s">
        <v>561</v>
      </c>
      <c r="C28" s="41"/>
      <c r="D28" s="159"/>
      <c r="E28" s="160"/>
      <c r="F28" s="160"/>
      <c r="G28" s="161"/>
      <c r="H28" s="79"/>
      <c r="I28" s="79"/>
      <c r="J28" s="79"/>
      <c r="K28" s="83"/>
      <c r="L28" s="79"/>
      <c r="M28" s="79"/>
      <c r="N28" s="146"/>
    </row>
    <row r="29" spans="1:14" ht="14.1" customHeight="1">
      <c r="A29" s="129">
        <v>14</v>
      </c>
      <c r="B29" s="56"/>
      <c r="C29" s="57"/>
      <c r="D29" s="170"/>
      <c r="E29" s="171"/>
      <c r="F29" s="171"/>
      <c r="G29" s="172"/>
      <c r="H29" s="52"/>
      <c r="I29" s="52"/>
      <c r="J29" s="52"/>
      <c r="K29" s="54"/>
      <c r="L29" s="52"/>
      <c r="M29" s="52"/>
      <c r="N29" s="147"/>
    </row>
    <row r="30" spans="1:14" ht="14.1" customHeight="1">
      <c r="A30" s="119"/>
      <c r="B30" s="121"/>
      <c r="C30" s="122"/>
      <c r="D30" s="159"/>
      <c r="E30" s="160"/>
      <c r="F30" s="160"/>
      <c r="G30" s="161"/>
      <c r="H30" s="79"/>
      <c r="I30" s="79"/>
      <c r="J30" s="79"/>
      <c r="K30" s="83"/>
      <c r="L30" s="79"/>
      <c r="M30" s="79"/>
      <c r="N30" s="146"/>
    </row>
    <row r="31" spans="1:14" ht="14.1" customHeight="1">
      <c r="A31" s="129">
        <v>15</v>
      </c>
      <c r="B31" s="47"/>
      <c r="C31" s="48"/>
      <c r="D31" s="75"/>
      <c r="E31" s="62"/>
      <c r="F31" s="62"/>
      <c r="G31" s="76"/>
      <c r="H31" s="52"/>
      <c r="I31" s="52"/>
      <c r="J31" s="52"/>
      <c r="K31" s="54"/>
      <c r="L31" s="52"/>
      <c r="M31" s="52"/>
      <c r="N31" s="147"/>
    </row>
    <row r="32" spans="1:14" ht="14.1" customHeight="1" thickBot="1">
      <c r="A32" s="143"/>
      <c r="B32" s="69"/>
      <c r="C32" s="70"/>
      <c r="D32" s="71"/>
      <c r="E32" s="72"/>
      <c r="F32" s="72"/>
      <c r="G32" s="73"/>
      <c r="H32" s="77"/>
      <c r="I32" s="77"/>
      <c r="J32" s="77"/>
      <c r="K32" s="144"/>
      <c r="L32" s="77"/>
      <c r="M32" s="77"/>
      <c r="N32" s="149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83"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8239-B213-494E-A80D-B0AE4A42F35D}">
  <sheetPr>
    <tabColor theme="8"/>
    <pageSetUpPr fitToPage="1"/>
  </sheetPr>
  <dimension ref="A1:Q55"/>
  <sheetViews>
    <sheetView zoomScale="110" zoomScaleNormal="110" workbookViewId="0">
      <selection activeCell="J9" sqref="J9:J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8" customWidth="1"/>
  </cols>
  <sheetData>
    <row r="1" spans="1:17" ht="16.5" customHeight="1" thickBot="1">
      <c r="A1" s="105" t="s">
        <v>376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7" s="1" customFormat="1" ht="14.1" customHeight="1">
      <c r="A3" s="173">
        <v>1</v>
      </c>
      <c r="B3" s="110" t="s">
        <v>39</v>
      </c>
      <c r="C3" s="111"/>
      <c r="D3" s="112" t="s">
        <v>371</v>
      </c>
      <c r="E3" s="113"/>
      <c r="F3" s="113"/>
      <c r="G3" s="114"/>
      <c r="H3" s="52">
        <f>SUM(I3)-5</f>
        <v>58.5</v>
      </c>
      <c r="I3" s="52">
        <f>SUM(J3)-5</f>
        <v>63.5</v>
      </c>
      <c r="J3" s="54">
        <v>68.5</v>
      </c>
      <c r="K3" s="52">
        <f>SUM(J3)+5</f>
        <v>73.5</v>
      </c>
      <c r="L3" s="52">
        <f>SUM(K3)+5</f>
        <v>78.5</v>
      </c>
      <c r="M3" s="147">
        <f>SUM(L3)+5</f>
        <v>83.5</v>
      </c>
    </row>
    <row r="4" spans="1:17" s="1" customFormat="1" ht="14.1" customHeight="1">
      <c r="A4" s="109"/>
      <c r="B4" s="40" t="s">
        <v>36</v>
      </c>
      <c r="C4" s="41"/>
      <c r="D4" s="42" t="s">
        <v>75</v>
      </c>
      <c r="E4" s="43"/>
      <c r="F4" s="43"/>
      <c r="G4" s="44"/>
      <c r="H4" s="79"/>
      <c r="I4" s="79"/>
      <c r="J4" s="83"/>
      <c r="K4" s="79"/>
      <c r="L4" s="79"/>
      <c r="M4" s="146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20.799999999999997</v>
      </c>
      <c r="I5" s="52">
        <f>SUM(J5)-1.6</f>
        <v>22.4</v>
      </c>
      <c r="J5" s="54">
        <v>24</v>
      </c>
      <c r="K5" s="52">
        <f>SUM(J5)+1.4</f>
        <v>25.4</v>
      </c>
      <c r="L5" s="52">
        <f>SUM(K5)+1.4</f>
        <v>26.799999999999997</v>
      </c>
      <c r="M5" s="147">
        <f>SUM(L5)+1.6</f>
        <v>28.4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147">
        <f>SUM(L7)+2</f>
        <v>39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7" s="1" customFormat="1" ht="14.1" customHeight="1">
      <c r="A9" s="45">
        <v>4</v>
      </c>
      <c r="B9" s="81" t="s">
        <v>377</v>
      </c>
      <c r="C9" s="81"/>
      <c r="D9" s="78"/>
      <c r="E9" s="78"/>
      <c r="F9" s="78"/>
      <c r="G9" s="78"/>
      <c r="H9" s="52">
        <f>SUM(I9)-2</f>
        <v>26.4</v>
      </c>
      <c r="I9" s="52">
        <f>SUM(J9)-2</f>
        <v>28.4</v>
      </c>
      <c r="J9" s="54">
        <v>30.4</v>
      </c>
      <c r="K9" s="52">
        <f>SUM(J9)+1.8</f>
        <v>32.199999999999996</v>
      </c>
      <c r="L9" s="52">
        <f>SUM(K9)+1.8</f>
        <v>33.999999999999993</v>
      </c>
      <c r="M9" s="147">
        <f>SUM(L9)+3</f>
        <v>36.999999999999993</v>
      </c>
    </row>
    <row r="10" spans="1:17" s="1" customFormat="1" ht="14.1" customHeight="1">
      <c r="A10" s="45"/>
      <c r="B10" s="61" t="s">
        <v>378</v>
      </c>
      <c r="C10" s="61"/>
      <c r="D10" s="42" t="s">
        <v>379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7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14.399999999999999</v>
      </c>
      <c r="I11" s="52">
        <f>SUM(J11)-0.8</f>
        <v>15.2</v>
      </c>
      <c r="J11" s="37">
        <v>16</v>
      </c>
      <c r="K11" s="38">
        <f>SUM(J11)+0.8</f>
        <v>16.8</v>
      </c>
      <c r="L11" s="38">
        <f>SUM(K11)+0.8</f>
        <v>17.600000000000001</v>
      </c>
      <c r="M11" s="174">
        <f>SUM(L11)+0.8</f>
        <v>18.400000000000002</v>
      </c>
    </row>
    <row r="12" spans="1:17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174"/>
      <c r="Q12" s="19" t="s">
        <v>300</v>
      </c>
    </row>
    <row r="13" spans="1:17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12.4</v>
      </c>
      <c r="I13" s="52">
        <f>SUM(J13)-0.6</f>
        <v>13</v>
      </c>
      <c r="J13" s="37">
        <v>13.6</v>
      </c>
      <c r="K13" s="38">
        <f>SUM(J13)+0.6</f>
        <v>14.2</v>
      </c>
      <c r="L13" s="38">
        <f>SUM(K13)+0.6</f>
        <v>14.799999999999999</v>
      </c>
      <c r="M13" s="174">
        <f>SUM(L13)+0.6</f>
        <v>15.399999999999999</v>
      </c>
      <c r="Q13" s="21">
        <f>SUM(H23+I23+J23+K23+L23)*2</f>
        <v>180</v>
      </c>
    </row>
    <row r="14" spans="1:17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174"/>
      <c r="Q14" s="20">
        <f>SUM(Q13/91.44/5*1.08)</f>
        <v>0.42519685039370086</v>
      </c>
    </row>
    <row r="15" spans="1:17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5.9</v>
      </c>
      <c r="I15" s="52">
        <f>SUM(J15)-0.3</f>
        <v>6.2</v>
      </c>
      <c r="J15" s="37">
        <v>6.5</v>
      </c>
      <c r="K15" s="38">
        <f>SUM(J15)+0.3</f>
        <v>6.8</v>
      </c>
      <c r="L15" s="38">
        <f>SUM(K15)+0.3</f>
        <v>7.1</v>
      </c>
      <c r="M15" s="174">
        <f>SUM(L15)+0.3</f>
        <v>7.3999999999999995</v>
      </c>
    </row>
    <row r="16" spans="1:17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74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81">
        <f>SUM(I17)-1.6</f>
        <v>32.699999999999996</v>
      </c>
      <c r="I17" s="81">
        <f>SUM(J17)-1.6</f>
        <v>34.299999999999997</v>
      </c>
      <c r="J17" s="176">
        <v>35.9</v>
      </c>
      <c r="K17" s="175">
        <f>SUM(J17)+1.6</f>
        <v>37.5</v>
      </c>
      <c r="L17" s="175">
        <f>SUM(K17)+1.6</f>
        <v>39.1</v>
      </c>
      <c r="M17" s="174">
        <f>SUM(L17)+1.6</f>
        <v>40.700000000000003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61"/>
      <c r="I18" s="61"/>
      <c r="J18" s="176"/>
      <c r="K18" s="175"/>
      <c r="L18" s="175"/>
      <c r="M18" s="174"/>
    </row>
    <row r="19" spans="1:13" s="1" customFormat="1" ht="14.1" customHeight="1">
      <c r="A19" s="45">
        <v>9</v>
      </c>
      <c r="B19" s="81" t="s">
        <v>372</v>
      </c>
      <c r="C19" s="81"/>
      <c r="D19" s="78" t="s">
        <v>5</v>
      </c>
      <c r="E19" s="78"/>
      <c r="F19" s="78"/>
      <c r="G19" s="78"/>
      <c r="H19" s="52">
        <f>SUM(I19)-3.7</f>
        <v>38.599999999999994</v>
      </c>
      <c r="I19" s="52">
        <f>SUM(J19)-3.7</f>
        <v>42.3</v>
      </c>
      <c r="J19" s="37">
        <v>46</v>
      </c>
      <c r="K19" s="175">
        <f>SUM(J19)+3.8</f>
        <v>49.8</v>
      </c>
      <c r="L19" s="38">
        <f>SUM(K19)+3.8</f>
        <v>53.599999999999994</v>
      </c>
      <c r="M19" s="174">
        <f>SUM(L19)+3.7</f>
        <v>57.3</v>
      </c>
    </row>
    <row r="20" spans="1:13" s="1" customFormat="1" ht="14.1" customHeight="1">
      <c r="A20" s="45"/>
      <c r="B20" s="61" t="s">
        <v>256</v>
      </c>
      <c r="C20" s="61"/>
      <c r="D20" s="42" t="s">
        <v>47</v>
      </c>
      <c r="E20" s="43"/>
      <c r="F20" s="43"/>
      <c r="G20" s="44"/>
      <c r="H20" s="79"/>
      <c r="I20" s="79"/>
      <c r="J20" s="37"/>
      <c r="K20" s="175"/>
      <c r="L20" s="38"/>
      <c r="M20" s="174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147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146"/>
    </row>
    <row r="23" spans="1:13" s="1" customFormat="1" ht="14.1" customHeight="1">
      <c r="A23" s="45">
        <v>11</v>
      </c>
      <c r="B23" s="47" t="s">
        <v>133</v>
      </c>
      <c r="C23" s="48"/>
      <c r="D23" s="78"/>
      <c r="E23" s="78"/>
      <c r="F23" s="78"/>
      <c r="G23" s="78"/>
      <c r="H23" s="52">
        <f>SUM(I23)-0.6</f>
        <v>16.799999999999997</v>
      </c>
      <c r="I23" s="52">
        <f>SUM(J23)-0.6</f>
        <v>17.399999999999999</v>
      </c>
      <c r="J23" s="37">
        <v>18</v>
      </c>
      <c r="K23" s="38">
        <f>SUM(J23)+0.6</f>
        <v>18.600000000000001</v>
      </c>
      <c r="L23" s="38">
        <f>SUM(K23)+0.6</f>
        <v>19.200000000000003</v>
      </c>
      <c r="M23" s="174">
        <f>SUM(L23)+0.6</f>
        <v>19.800000000000004</v>
      </c>
    </row>
    <row r="24" spans="1:13" s="1" customFormat="1" ht="14.1" customHeight="1">
      <c r="A24" s="45"/>
      <c r="B24" s="61" t="s">
        <v>373</v>
      </c>
      <c r="C24" s="61"/>
      <c r="D24" s="42"/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45">
        <v>12</v>
      </c>
      <c r="B25" s="47" t="s">
        <v>380</v>
      </c>
      <c r="C25" s="48"/>
      <c r="D25" s="49"/>
      <c r="E25" s="50"/>
      <c r="F25" s="50"/>
      <c r="G25" s="51"/>
      <c r="H25" s="52">
        <f>SUM(I25)-2.2</f>
        <v>23.1</v>
      </c>
      <c r="I25" s="52">
        <f>SUM(J25)-2.2</f>
        <v>25.3</v>
      </c>
      <c r="J25" s="54">
        <v>27.5</v>
      </c>
      <c r="K25" s="52">
        <f>SUM(J25)+2.2</f>
        <v>29.7</v>
      </c>
      <c r="L25" s="52">
        <f>SUM(K25)+2.2</f>
        <v>31.9</v>
      </c>
      <c r="M25" s="147">
        <f>SUM(L25)+3</f>
        <v>34.9</v>
      </c>
    </row>
    <row r="26" spans="1:13" s="1" customFormat="1" ht="14.1" customHeight="1">
      <c r="A26" s="45"/>
      <c r="B26" s="40" t="s">
        <v>381</v>
      </c>
      <c r="C26" s="41"/>
      <c r="D26" s="42" t="s">
        <v>382</v>
      </c>
      <c r="E26" s="43"/>
      <c r="F26" s="43"/>
      <c r="G26" s="44"/>
      <c r="H26" s="79"/>
      <c r="I26" s="79"/>
      <c r="J26" s="83"/>
      <c r="K26" s="79"/>
      <c r="L26" s="79"/>
      <c r="M26" s="146"/>
    </row>
    <row r="27" spans="1:13" s="1" customFormat="1" ht="14.1" customHeight="1">
      <c r="A27" s="45">
        <v>13</v>
      </c>
      <c r="B27" s="47" t="s">
        <v>155</v>
      </c>
      <c r="C27" s="48"/>
      <c r="D27" s="150"/>
      <c r="E27" s="151"/>
      <c r="F27" s="151"/>
      <c r="G27" s="152"/>
      <c r="H27" s="52">
        <f>SUM(I27)-1.3</f>
        <v>19.399999999999999</v>
      </c>
      <c r="I27" s="52">
        <f>SUM(J27)-1.3</f>
        <v>20.7</v>
      </c>
      <c r="J27" s="54">
        <v>22</v>
      </c>
      <c r="K27" s="52">
        <f>SUM(J27)+1.3</f>
        <v>23.3</v>
      </c>
      <c r="L27" s="52">
        <f>SUM(K27)+1.3</f>
        <v>24.6</v>
      </c>
      <c r="M27" s="147">
        <f>SUM(L27)+0.9</f>
        <v>25.5</v>
      </c>
    </row>
    <row r="28" spans="1:13" s="1" customFormat="1" ht="14.1" customHeight="1">
      <c r="A28" s="45"/>
      <c r="B28" s="79" t="s">
        <v>374</v>
      </c>
      <c r="C28" s="79"/>
      <c r="D28" s="159" t="s">
        <v>383</v>
      </c>
      <c r="E28" s="160"/>
      <c r="F28" s="160"/>
      <c r="G28" s="161"/>
      <c r="H28" s="79"/>
      <c r="I28" s="79"/>
      <c r="J28" s="83"/>
      <c r="K28" s="79"/>
      <c r="L28" s="79"/>
      <c r="M28" s="146"/>
    </row>
    <row r="29" spans="1:13" s="1" customFormat="1" ht="14.1" customHeight="1">
      <c r="A29" s="45">
        <v>14</v>
      </c>
      <c r="B29" s="47" t="s">
        <v>157</v>
      </c>
      <c r="C29" s="48"/>
      <c r="D29" s="150"/>
      <c r="E29" s="151"/>
      <c r="F29" s="151"/>
      <c r="G29" s="152"/>
      <c r="H29" s="52">
        <f>SUM(I29)-1.5</f>
        <v>18</v>
      </c>
      <c r="I29" s="52">
        <f>SUM(J29)-1.5</f>
        <v>19.5</v>
      </c>
      <c r="J29" s="54">
        <v>21</v>
      </c>
      <c r="K29" s="52">
        <f>SUM(J29)+1.5</f>
        <v>22.5</v>
      </c>
      <c r="L29" s="52">
        <f>SUM(K29)+1.5</f>
        <v>24</v>
      </c>
      <c r="M29" s="147">
        <f>SUM(L29)+1.1</f>
        <v>25.1</v>
      </c>
    </row>
    <row r="30" spans="1:13" s="1" customFormat="1" ht="14.1" customHeight="1">
      <c r="A30" s="45"/>
      <c r="B30" s="79" t="s">
        <v>375</v>
      </c>
      <c r="C30" s="79"/>
      <c r="D30" s="159" t="s">
        <v>383</v>
      </c>
      <c r="E30" s="160"/>
      <c r="F30" s="160"/>
      <c r="G30" s="161"/>
      <c r="H30" s="79"/>
      <c r="I30" s="79"/>
      <c r="J30" s="83"/>
      <c r="K30" s="79"/>
      <c r="L30" s="79"/>
      <c r="M30" s="146"/>
    </row>
    <row r="31" spans="1:13" s="1" customFormat="1" ht="14.1" customHeight="1">
      <c r="A31" s="45">
        <v>15</v>
      </c>
      <c r="B31" s="47" t="s">
        <v>384</v>
      </c>
      <c r="C31" s="48"/>
      <c r="D31" s="150"/>
      <c r="E31" s="151"/>
      <c r="F31" s="151"/>
      <c r="G31" s="152"/>
      <c r="H31" s="52">
        <f>SUM(I31)-2.4</f>
        <v>27.200000000000003</v>
      </c>
      <c r="I31" s="52">
        <f>SUM(J31)-2.4</f>
        <v>29.6</v>
      </c>
      <c r="J31" s="54">
        <v>32</v>
      </c>
      <c r="K31" s="52">
        <f>SUM(J31)+2.4</f>
        <v>34.4</v>
      </c>
      <c r="L31" s="52">
        <f>SUM(K31)+2.4</f>
        <v>36.799999999999997</v>
      </c>
      <c r="M31" s="174"/>
    </row>
    <row r="32" spans="1:13" s="1" customFormat="1" ht="14.1" customHeight="1">
      <c r="A32" s="45"/>
      <c r="B32" s="40" t="s">
        <v>385</v>
      </c>
      <c r="C32" s="41"/>
      <c r="D32" s="159" t="s">
        <v>386</v>
      </c>
      <c r="E32" s="160"/>
      <c r="F32" s="160"/>
      <c r="G32" s="161"/>
      <c r="H32" s="79"/>
      <c r="I32" s="79"/>
      <c r="J32" s="83"/>
      <c r="K32" s="79"/>
      <c r="L32" s="79"/>
      <c r="M32" s="174"/>
    </row>
    <row r="33" spans="1:13" s="1" customFormat="1" ht="14.1" customHeight="1">
      <c r="A33" s="45">
        <v>16</v>
      </c>
      <c r="B33" s="56"/>
      <c r="C33" s="57"/>
      <c r="D33" s="183"/>
      <c r="E33" s="184"/>
      <c r="F33" s="184"/>
      <c r="G33" s="185"/>
      <c r="H33" s="53"/>
      <c r="I33" s="53"/>
      <c r="J33" s="83"/>
      <c r="K33" s="79"/>
      <c r="L33" s="79"/>
      <c r="M33" s="146"/>
    </row>
    <row r="34" spans="1:13" s="1" customFormat="1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66"/>
      <c r="K34" s="67"/>
      <c r="L34" s="67"/>
      <c r="M34" s="177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8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8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8C3E-486E-46CE-8EFB-00D12DFFD0DF}">
  <sheetPr>
    <tabColor theme="8"/>
    <pageSetUpPr fitToPage="1"/>
  </sheetPr>
  <dimension ref="A1:M49"/>
  <sheetViews>
    <sheetView zoomScale="110" zoomScaleNormal="110" workbookViewId="0">
      <selection activeCell="B35" sqref="B35:G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257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73">
        <v>1</v>
      </c>
      <c r="B3" s="110" t="s">
        <v>39</v>
      </c>
      <c r="C3" s="111"/>
      <c r="D3" s="112" t="s">
        <v>186</v>
      </c>
      <c r="E3" s="113"/>
      <c r="F3" s="113"/>
      <c r="G3" s="114"/>
      <c r="H3" s="115">
        <f>SUM(I3)-4.5</f>
        <v>45.5</v>
      </c>
      <c r="I3" s="115">
        <f>SUM(J3)-4.5</f>
        <v>50</v>
      </c>
      <c r="J3" s="116">
        <v>54.5</v>
      </c>
      <c r="K3" s="115">
        <f>SUM(J3)+4.5</f>
        <v>59</v>
      </c>
      <c r="L3" s="115">
        <f>SUM(K3)+4.5</f>
        <v>63.5</v>
      </c>
      <c r="M3" s="145">
        <f>SUM(L3)+4.5</f>
        <v>68</v>
      </c>
    </row>
    <row r="4" spans="1:13" s="1" customFormat="1" ht="14.1" customHeight="1">
      <c r="A4" s="109"/>
      <c r="B4" s="40" t="s">
        <v>150</v>
      </c>
      <c r="C4" s="41"/>
      <c r="D4" s="42" t="s">
        <v>187</v>
      </c>
      <c r="E4" s="43"/>
      <c r="F4" s="43"/>
      <c r="G4" s="44"/>
      <c r="H4" s="79"/>
      <c r="I4" s="79"/>
      <c r="J4" s="83"/>
      <c r="K4" s="79"/>
      <c r="L4" s="79"/>
      <c r="M4" s="146"/>
    </row>
    <row r="5" spans="1:13" s="1" customFormat="1" ht="14.1" customHeight="1">
      <c r="A5" s="186">
        <v>2</v>
      </c>
      <c r="B5" s="81" t="s">
        <v>151</v>
      </c>
      <c r="C5" s="81"/>
      <c r="D5" s="189"/>
      <c r="E5" s="189"/>
      <c r="F5" s="189"/>
      <c r="G5" s="58"/>
      <c r="H5" s="53">
        <f>SUM(I5)-0.8</f>
        <v>13.399999999999999</v>
      </c>
      <c r="I5" s="53">
        <f>SUM(J5)-0.8</f>
        <v>14.2</v>
      </c>
      <c r="J5" s="134">
        <v>15</v>
      </c>
      <c r="K5" s="53">
        <f>SUM(J5)+0.8</f>
        <v>15.8</v>
      </c>
      <c r="L5" s="53">
        <f>SUM(K5)+0.8</f>
        <v>16.600000000000001</v>
      </c>
      <c r="M5" s="148">
        <f>SUM(L5)+0.8</f>
        <v>17.400000000000002</v>
      </c>
    </row>
    <row r="6" spans="1:13" s="1" customFormat="1" ht="14.1" customHeight="1">
      <c r="A6" s="109"/>
      <c r="B6" s="61" t="s">
        <v>146</v>
      </c>
      <c r="C6" s="61"/>
      <c r="D6" s="42"/>
      <c r="E6" s="43"/>
      <c r="F6" s="43"/>
      <c r="G6" s="43"/>
      <c r="H6" s="79"/>
      <c r="I6" s="79"/>
      <c r="J6" s="83"/>
      <c r="K6" s="79"/>
      <c r="L6" s="79"/>
      <c r="M6" s="146"/>
    </row>
    <row r="7" spans="1:13" s="1" customFormat="1" ht="14.1" customHeight="1">
      <c r="A7" s="186">
        <v>3</v>
      </c>
      <c r="B7" s="47" t="s">
        <v>266</v>
      </c>
      <c r="C7" s="48"/>
      <c r="D7" s="75"/>
      <c r="E7" s="62"/>
      <c r="F7" s="62"/>
      <c r="G7" s="76"/>
      <c r="H7" s="52">
        <f>SUM(I7)-1</f>
        <v>14.5</v>
      </c>
      <c r="I7" s="52">
        <f>SUM(J7)-1</f>
        <v>15.5</v>
      </c>
      <c r="J7" s="54">
        <v>16.5</v>
      </c>
      <c r="K7" s="52">
        <f>SUM(J7)+1</f>
        <v>17.5</v>
      </c>
      <c r="L7" s="52">
        <f t="shared" ref="L7" si="0">SUM(K7)+1</f>
        <v>18.5</v>
      </c>
      <c r="M7" s="147">
        <f t="shared" ref="M7" si="1">SUM(L7)+1</f>
        <v>19.5</v>
      </c>
    </row>
    <row r="8" spans="1:13" s="1" customFormat="1" ht="14.1" customHeight="1">
      <c r="A8" s="109"/>
      <c r="B8" s="61" t="s">
        <v>267</v>
      </c>
      <c r="C8" s="61"/>
      <c r="D8" s="42" t="s">
        <v>154</v>
      </c>
      <c r="E8" s="43"/>
      <c r="F8" s="43"/>
      <c r="G8" s="44"/>
      <c r="H8" s="79"/>
      <c r="I8" s="79"/>
      <c r="J8" s="83"/>
      <c r="K8" s="79"/>
      <c r="L8" s="79"/>
      <c r="M8" s="146"/>
    </row>
    <row r="9" spans="1:13" s="1" customFormat="1" ht="14.1" customHeight="1">
      <c r="A9" s="186">
        <v>4</v>
      </c>
      <c r="B9" s="81" t="s">
        <v>35</v>
      </c>
      <c r="C9" s="81"/>
      <c r="D9" s="78" t="s">
        <v>70</v>
      </c>
      <c r="E9" s="78"/>
      <c r="F9" s="78"/>
      <c r="G9" s="78"/>
      <c r="H9" s="52">
        <f>SUM(I9)-2</f>
        <v>26</v>
      </c>
      <c r="I9" s="52">
        <f>SUM(J9)-2</f>
        <v>28</v>
      </c>
      <c r="J9" s="54">
        <v>30</v>
      </c>
      <c r="K9" s="52">
        <f>SUM(J9)+1.8</f>
        <v>31.8</v>
      </c>
      <c r="L9" s="52">
        <f>SUM(K9)+1.8</f>
        <v>33.6</v>
      </c>
      <c r="M9" s="147">
        <f>SUM(L9)+1.8</f>
        <v>35.4</v>
      </c>
    </row>
    <row r="10" spans="1:13" s="1" customFormat="1" ht="14.1" customHeight="1">
      <c r="A10" s="109"/>
      <c r="B10" s="61" t="s">
        <v>40</v>
      </c>
      <c r="C10" s="61"/>
      <c r="D10" s="42" t="s">
        <v>43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3" s="1" customFormat="1" ht="14.1" customHeight="1">
      <c r="A11" s="186">
        <v>5</v>
      </c>
      <c r="B11" s="81" t="s">
        <v>190</v>
      </c>
      <c r="C11" s="81"/>
      <c r="D11" s="78"/>
      <c r="E11" s="78"/>
      <c r="F11" s="78"/>
      <c r="G11" s="78"/>
      <c r="H11" s="52">
        <f>SUM(I11)-3</f>
        <v>52</v>
      </c>
      <c r="I11" s="52">
        <f>SUM(J11)-3</f>
        <v>55</v>
      </c>
      <c r="J11" s="54">
        <v>58</v>
      </c>
      <c r="K11" s="52">
        <f>SUM(J11)+3</f>
        <v>61</v>
      </c>
      <c r="L11" s="52">
        <f>SUM(K11)+3</f>
        <v>64</v>
      </c>
      <c r="M11" s="147">
        <f>SUM(L11)+3</f>
        <v>67</v>
      </c>
    </row>
    <row r="12" spans="1:13" s="1" customFormat="1" ht="14.1" customHeight="1">
      <c r="A12" s="109"/>
      <c r="B12" s="61" t="s">
        <v>258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146"/>
    </row>
    <row r="13" spans="1:13" s="1" customFormat="1" ht="14.1" customHeight="1">
      <c r="A13" s="186">
        <v>6</v>
      </c>
      <c r="B13" s="81" t="s">
        <v>259</v>
      </c>
      <c r="C13" s="81"/>
      <c r="D13" s="78"/>
      <c r="E13" s="78"/>
      <c r="F13" s="78"/>
      <c r="G13" s="78"/>
      <c r="H13" s="52">
        <f>SUM(I13)-3</f>
        <v>31</v>
      </c>
      <c r="I13" s="52">
        <f>SUM(J13)-3</f>
        <v>34</v>
      </c>
      <c r="J13" s="54">
        <v>37</v>
      </c>
      <c r="K13" s="52">
        <f>SUM(J13)+3</f>
        <v>40</v>
      </c>
      <c r="L13" s="52">
        <f>SUM(K13)+3</f>
        <v>43</v>
      </c>
      <c r="M13" s="147">
        <f>SUM(L13)+3</f>
        <v>46</v>
      </c>
    </row>
    <row r="14" spans="1:13" s="1" customFormat="1" ht="14.1" customHeight="1">
      <c r="A14" s="109"/>
      <c r="B14" s="61" t="s">
        <v>260</v>
      </c>
      <c r="C14" s="61"/>
      <c r="D14" s="42"/>
      <c r="E14" s="43"/>
      <c r="F14" s="43"/>
      <c r="G14" s="44"/>
      <c r="H14" s="79"/>
      <c r="I14" s="79"/>
      <c r="J14" s="83"/>
      <c r="K14" s="79"/>
      <c r="L14" s="79"/>
      <c r="M14" s="146"/>
    </row>
    <row r="15" spans="1:13" s="1" customFormat="1" ht="14.1" customHeight="1">
      <c r="A15" s="186">
        <v>7</v>
      </c>
      <c r="B15" s="47" t="s">
        <v>261</v>
      </c>
      <c r="C15" s="48"/>
      <c r="D15" s="75"/>
      <c r="E15" s="62"/>
      <c r="F15" s="62"/>
      <c r="G15" s="76"/>
      <c r="H15" s="52">
        <f>SUM(I15)-7</f>
        <v>90</v>
      </c>
      <c r="I15" s="52">
        <f>SUM(J15)-7</f>
        <v>97</v>
      </c>
      <c r="J15" s="54">
        <v>104</v>
      </c>
      <c r="K15" s="52">
        <f>SUM(J15)+7</f>
        <v>111</v>
      </c>
      <c r="L15" s="52">
        <f>SUM(K15)+7</f>
        <v>118</v>
      </c>
      <c r="M15" s="147">
        <f>SUM(L15)+7</f>
        <v>125</v>
      </c>
    </row>
    <row r="16" spans="1:13" s="1" customFormat="1" ht="14.1" customHeight="1" thickBot="1">
      <c r="A16" s="186"/>
      <c r="B16" s="65" t="s">
        <v>262</v>
      </c>
      <c r="C16" s="65"/>
      <c r="D16" s="58" t="s">
        <v>263</v>
      </c>
      <c r="E16" s="59"/>
      <c r="F16" s="59"/>
      <c r="G16" s="60"/>
      <c r="H16" s="53"/>
      <c r="I16" s="53"/>
      <c r="J16" s="134"/>
      <c r="K16" s="53"/>
      <c r="L16" s="53"/>
      <c r="M16" s="148"/>
    </row>
    <row r="17" spans="1:13" s="1" customFormat="1" ht="14.1" customHeight="1" thickTop="1">
      <c r="A17" s="188">
        <v>8</v>
      </c>
      <c r="B17" s="99" t="s">
        <v>264</v>
      </c>
      <c r="C17" s="100"/>
      <c r="D17" s="89"/>
      <c r="E17" s="163"/>
      <c r="F17" s="163"/>
      <c r="G17" s="164"/>
      <c r="H17" s="90">
        <f>SUM(I17)-2</f>
        <v>23.5</v>
      </c>
      <c r="I17" s="90">
        <f>SUM(J17)-2</f>
        <v>25.5</v>
      </c>
      <c r="J17" s="165">
        <v>27.5</v>
      </c>
      <c r="K17" s="90">
        <f>SUM(J17)+2</f>
        <v>29.5</v>
      </c>
      <c r="L17" s="90">
        <f>SUM(K17)+2</f>
        <v>31.5</v>
      </c>
      <c r="M17" s="166">
        <f>SUM(L17)+2</f>
        <v>33.5</v>
      </c>
    </row>
    <row r="18" spans="1:13" s="1" customFormat="1" ht="14.1" customHeight="1">
      <c r="A18" s="109"/>
      <c r="B18" s="61" t="s">
        <v>265</v>
      </c>
      <c r="C18" s="61"/>
      <c r="D18" s="42"/>
      <c r="E18" s="43"/>
      <c r="F18" s="43"/>
      <c r="G18" s="44"/>
      <c r="H18" s="79"/>
      <c r="I18" s="79"/>
      <c r="J18" s="83"/>
      <c r="K18" s="79"/>
      <c r="L18" s="79"/>
      <c r="M18" s="146"/>
    </row>
    <row r="19" spans="1:13" s="1" customFormat="1" ht="14.1" customHeight="1">
      <c r="A19" s="186">
        <v>9</v>
      </c>
      <c r="B19" s="81" t="s">
        <v>37</v>
      </c>
      <c r="C19" s="81"/>
      <c r="D19" s="78" t="s">
        <v>38</v>
      </c>
      <c r="E19" s="78"/>
      <c r="F19" s="78"/>
      <c r="G19" s="78"/>
      <c r="H19" s="52">
        <f>SUM(I19)-1.6</f>
        <v>23.799999999999997</v>
      </c>
      <c r="I19" s="52">
        <f>SUM(J19)-1.6</f>
        <v>25.4</v>
      </c>
      <c r="J19" s="37">
        <v>27</v>
      </c>
      <c r="K19" s="52">
        <f>SUM(J19)+1.4</f>
        <v>28.4</v>
      </c>
      <c r="L19" s="52">
        <f>SUM(K19)+1.4</f>
        <v>29.799999999999997</v>
      </c>
      <c r="M19" s="147">
        <f>SUM(L19)+1.4</f>
        <v>31.199999999999996</v>
      </c>
    </row>
    <row r="20" spans="1:13" s="1" customFormat="1" ht="14.1" customHeight="1">
      <c r="A20" s="109"/>
      <c r="B20" s="61" t="s">
        <v>24</v>
      </c>
      <c r="C20" s="61"/>
      <c r="D20" s="42" t="s">
        <v>42</v>
      </c>
      <c r="E20" s="43"/>
      <c r="F20" s="43"/>
      <c r="G20" s="44"/>
      <c r="H20" s="79"/>
      <c r="I20" s="79"/>
      <c r="J20" s="37"/>
      <c r="K20" s="79"/>
      <c r="L20" s="79"/>
      <c r="M20" s="146"/>
    </row>
    <row r="21" spans="1:13" s="1" customFormat="1" ht="14.1" customHeight="1">
      <c r="A21" s="186">
        <v>10</v>
      </c>
      <c r="B21" s="81" t="s">
        <v>35</v>
      </c>
      <c r="C21" s="81"/>
      <c r="D21" s="78" t="s">
        <v>70</v>
      </c>
      <c r="E21" s="78"/>
      <c r="F21" s="78"/>
      <c r="G21" s="78"/>
      <c r="H21" s="52">
        <f>SUM(I21)-2</f>
        <v>31</v>
      </c>
      <c r="I21" s="52">
        <f>SUM(J21)-2</f>
        <v>33</v>
      </c>
      <c r="J21" s="54">
        <v>35</v>
      </c>
      <c r="K21" s="52">
        <f>SUM(J21)+1.8</f>
        <v>36.799999999999997</v>
      </c>
      <c r="L21" s="52">
        <f>SUM(K21)+1.8</f>
        <v>38.599999999999994</v>
      </c>
      <c r="M21" s="147">
        <f>SUM(L21)+1.8</f>
        <v>40.399999999999991</v>
      </c>
    </row>
    <row r="22" spans="1:13" s="1" customFormat="1" ht="14.1" customHeight="1">
      <c r="A22" s="109"/>
      <c r="B22" s="61" t="s">
        <v>40</v>
      </c>
      <c r="C22" s="61"/>
      <c r="D22" s="42" t="s">
        <v>43</v>
      </c>
      <c r="E22" s="43"/>
      <c r="F22" s="43"/>
      <c r="G22" s="44"/>
      <c r="H22" s="79"/>
      <c r="I22" s="79"/>
      <c r="J22" s="83"/>
      <c r="K22" s="79"/>
      <c r="L22" s="79"/>
      <c r="M22" s="146"/>
    </row>
    <row r="23" spans="1:13" s="1" customFormat="1" ht="14.1" customHeight="1">
      <c r="A23" s="186">
        <v>11</v>
      </c>
      <c r="B23" s="81" t="s">
        <v>41</v>
      </c>
      <c r="C23" s="81"/>
      <c r="D23" s="78" t="s">
        <v>8</v>
      </c>
      <c r="E23" s="78"/>
      <c r="F23" s="78"/>
      <c r="G23" s="78"/>
      <c r="H23" s="52">
        <f>SUM(I23)-1.9</f>
        <v>29.200000000000003</v>
      </c>
      <c r="I23" s="52">
        <f>SUM(J23)-1.9</f>
        <v>31.1</v>
      </c>
      <c r="J23" s="54">
        <v>33</v>
      </c>
      <c r="K23" s="52">
        <f>SUM(J23)+1.7</f>
        <v>34.700000000000003</v>
      </c>
      <c r="L23" s="52">
        <f>SUM(K23)+1.7</f>
        <v>36.400000000000006</v>
      </c>
      <c r="M23" s="147">
        <f>SUM(L23)+1.7</f>
        <v>38.100000000000009</v>
      </c>
    </row>
    <row r="24" spans="1:13" s="1" customFormat="1" ht="14.1" customHeight="1">
      <c r="A24" s="109"/>
      <c r="B24" s="61" t="s">
        <v>25</v>
      </c>
      <c r="C24" s="61"/>
      <c r="D24" s="42" t="s">
        <v>44</v>
      </c>
      <c r="E24" s="43"/>
      <c r="F24" s="43"/>
      <c r="G24" s="44"/>
      <c r="H24" s="79"/>
      <c r="I24" s="79"/>
      <c r="J24" s="83"/>
      <c r="K24" s="79"/>
      <c r="L24" s="79"/>
      <c r="M24" s="146"/>
    </row>
    <row r="25" spans="1:13" s="1" customFormat="1" ht="14.1" customHeight="1">
      <c r="A25" s="186">
        <v>12</v>
      </c>
      <c r="B25" s="81" t="s">
        <v>1</v>
      </c>
      <c r="C25" s="81"/>
      <c r="D25" s="78" t="s">
        <v>141</v>
      </c>
      <c r="E25" s="78"/>
      <c r="F25" s="78"/>
      <c r="G25" s="78"/>
      <c r="H25" s="52">
        <f>SUM(I25)-0.6</f>
        <v>12</v>
      </c>
      <c r="I25" s="52">
        <f>SUM(J25)-0.6</f>
        <v>12.6</v>
      </c>
      <c r="J25" s="54">
        <v>13.2</v>
      </c>
      <c r="K25" s="52">
        <f>SUM(J25)+0.6</f>
        <v>13.799999999999999</v>
      </c>
      <c r="L25" s="52">
        <f>SUM(K25)+0.6</f>
        <v>14.399999999999999</v>
      </c>
      <c r="M25" s="147">
        <f>SUM(L25)+0.6</f>
        <v>14.999999999999998</v>
      </c>
    </row>
    <row r="26" spans="1:13" s="1" customFormat="1" ht="14.1" customHeight="1">
      <c r="A26" s="109"/>
      <c r="B26" s="61" t="s">
        <v>27</v>
      </c>
      <c r="C26" s="61"/>
      <c r="D26" s="42" t="s">
        <v>46</v>
      </c>
      <c r="E26" s="43"/>
      <c r="F26" s="43"/>
      <c r="G26" s="44"/>
      <c r="H26" s="79"/>
      <c r="I26" s="79"/>
      <c r="J26" s="83"/>
      <c r="K26" s="79"/>
      <c r="L26" s="79"/>
      <c r="M26" s="146"/>
    </row>
    <row r="27" spans="1:13" s="1" customFormat="1" ht="14.1" customHeight="1">
      <c r="A27" s="186">
        <v>13</v>
      </c>
      <c r="B27" s="81" t="s">
        <v>2</v>
      </c>
      <c r="C27" s="81"/>
      <c r="D27" s="78" t="s">
        <v>3</v>
      </c>
      <c r="E27" s="78"/>
      <c r="F27" s="78"/>
      <c r="G27" s="78"/>
      <c r="H27" s="52">
        <f>SUM(I27)-0.3</f>
        <v>5.4</v>
      </c>
      <c r="I27" s="52">
        <f>SUM(J27)-0.3</f>
        <v>5.7</v>
      </c>
      <c r="J27" s="37">
        <v>6</v>
      </c>
      <c r="K27" s="38">
        <f>SUM(J27)+0.3</f>
        <v>6.3</v>
      </c>
      <c r="L27" s="38">
        <f>SUM(K27)+0.3</f>
        <v>6.6</v>
      </c>
      <c r="M27" s="174">
        <f>SUM(L27)+0.3</f>
        <v>6.8999999999999995</v>
      </c>
    </row>
    <row r="28" spans="1:13" s="1" customFormat="1" ht="14.1" customHeight="1">
      <c r="A28" s="109"/>
      <c r="B28" s="61" t="s">
        <v>28</v>
      </c>
      <c r="C28" s="61"/>
      <c r="D28" s="42" t="s">
        <v>196</v>
      </c>
      <c r="E28" s="43"/>
      <c r="F28" s="43"/>
      <c r="G28" s="44"/>
      <c r="H28" s="79"/>
      <c r="I28" s="79"/>
      <c r="J28" s="37"/>
      <c r="K28" s="38"/>
      <c r="L28" s="38"/>
      <c r="M28" s="174"/>
    </row>
    <row r="29" spans="1:13" ht="14.1" customHeight="1">
      <c r="A29" s="186">
        <v>14</v>
      </c>
      <c r="B29" s="47" t="s">
        <v>71</v>
      </c>
      <c r="C29" s="48"/>
      <c r="D29" s="75" t="s">
        <v>72</v>
      </c>
      <c r="E29" s="62"/>
      <c r="F29" s="62"/>
      <c r="G29" s="76"/>
      <c r="H29" s="52">
        <f>SUM(I29)-1.6</f>
        <v>31.199999999999996</v>
      </c>
      <c r="I29" s="52">
        <f>SUM(J29)-1.6</f>
        <v>32.799999999999997</v>
      </c>
      <c r="J29" s="37">
        <v>34.4</v>
      </c>
      <c r="K29" s="38">
        <f>SUM(J29)+1.6</f>
        <v>36</v>
      </c>
      <c r="L29" s="38">
        <f>SUM(K29)+1.6</f>
        <v>37.6</v>
      </c>
      <c r="M29" s="174">
        <f>SUM(L29)+1.6</f>
        <v>39.200000000000003</v>
      </c>
    </row>
    <row r="30" spans="1:13" ht="14.1" customHeight="1">
      <c r="A30" s="109"/>
      <c r="B30" s="61" t="s">
        <v>33</v>
      </c>
      <c r="C30" s="61"/>
      <c r="D30" s="42" t="s">
        <v>76</v>
      </c>
      <c r="E30" s="43"/>
      <c r="F30" s="43"/>
      <c r="G30" s="44"/>
      <c r="H30" s="79"/>
      <c r="I30" s="79"/>
      <c r="J30" s="37"/>
      <c r="K30" s="38"/>
      <c r="L30" s="38"/>
      <c r="M30" s="174"/>
    </row>
    <row r="31" spans="1:13" ht="14.1" customHeight="1">
      <c r="A31" s="186">
        <v>15</v>
      </c>
      <c r="B31" s="81" t="s">
        <v>4</v>
      </c>
      <c r="C31" s="81"/>
      <c r="D31" s="78" t="s">
        <v>5</v>
      </c>
      <c r="E31" s="78"/>
      <c r="F31" s="78"/>
      <c r="G31" s="78"/>
      <c r="H31" s="52">
        <f>SUM(I31)-3.7</f>
        <v>32.099999999999994</v>
      </c>
      <c r="I31" s="52">
        <f>SUM(J31)-3.7</f>
        <v>35.799999999999997</v>
      </c>
      <c r="J31" s="54">
        <v>39.5</v>
      </c>
      <c r="K31" s="52">
        <f>SUM(J31)+3.8</f>
        <v>43.3</v>
      </c>
      <c r="L31" s="52">
        <f>SUM(K31)+3.8</f>
        <v>47.099999999999994</v>
      </c>
      <c r="M31" s="147">
        <f>SUM(L31)+3.8</f>
        <v>50.899999999999991</v>
      </c>
    </row>
    <row r="32" spans="1:13" ht="14.1" customHeight="1">
      <c r="A32" s="109"/>
      <c r="B32" s="61" t="s">
        <v>29</v>
      </c>
      <c r="C32" s="61"/>
      <c r="D32" s="42" t="s">
        <v>47</v>
      </c>
      <c r="E32" s="43"/>
      <c r="F32" s="43"/>
      <c r="G32" s="44"/>
      <c r="H32" s="79"/>
      <c r="I32" s="79"/>
      <c r="J32" s="83"/>
      <c r="K32" s="79"/>
      <c r="L32" s="79"/>
      <c r="M32" s="146"/>
    </row>
    <row r="33" spans="1:13" ht="14.1" customHeight="1">
      <c r="A33" s="186">
        <v>16</v>
      </c>
      <c r="B33" s="81" t="s">
        <v>6</v>
      </c>
      <c r="C33" s="81"/>
      <c r="D33" s="75" t="s">
        <v>7</v>
      </c>
      <c r="E33" s="62"/>
      <c r="F33" s="62"/>
      <c r="G33" s="76"/>
      <c r="H33" s="52">
        <f>SUM(I33)-1.4</f>
        <v>21.800000000000004</v>
      </c>
      <c r="I33" s="52">
        <f>SUM(J33)-1.4</f>
        <v>23.200000000000003</v>
      </c>
      <c r="J33" s="54">
        <v>24.6</v>
      </c>
      <c r="K33" s="52">
        <f>SUM(J33)+1.4</f>
        <v>26</v>
      </c>
      <c r="L33" s="52">
        <f>SUM(K33)+1.4</f>
        <v>27.4</v>
      </c>
      <c r="M33" s="147">
        <f>SUM(L33)+1.4</f>
        <v>28.799999999999997</v>
      </c>
    </row>
    <row r="34" spans="1:13" ht="14.1" customHeight="1">
      <c r="A34" s="109"/>
      <c r="B34" s="61" t="s">
        <v>30</v>
      </c>
      <c r="C34" s="61"/>
      <c r="D34" s="42" t="s">
        <v>65</v>
      </c>
      <c r="E34" s="43"/>
      <c r="F34" s="43"/>
      <c r="G34" s="44"/>
      <c r="H34" s="79"/>
      <c r="I34" s="79"/>
      <c r="J34" s="83"/>
      <c r="K34" s="79"/>
      <c r="L34" s="79"/>
      <c r="M34" s="146"/>
    </row>
    <row r="35" spans="1:13" ht="14.1" customHeight="1">
      <c r="A35" s="186">
        <v>17</v>
      </c>
      <c r="B35" s="47" t="s">
        <v>226</v>
      </c>
      <c r="C35" s="48"/>
      <c r="D35" s="78" t="s">
        <v>66</v>
      </c>
      <c r="E35" s="78"/>
      <c r="F35" s="78"/>
      <c r="G35" s="78"/>
      <c r="H35" s="52">
        <f>SUM(I35)-0.6</f>
        <v>14</v>
      </c>
      <c r="I35" s="52">
        <f>SUM(J35)-0.6</f>
        <v>14.6</v>
      </c>
      <c r="J35" s="54">
        <v>15.2</v>
      </c>
      <c r="K35" s="52">
        <f>SUM(J35)+0.6</f>
        <v>15.799999999999999</v>
      </c>
      <c r="L35" s="52">
        <f>SUM(K35)+0.6</f>
        <v>16.399999999999999</v>
      </c>
      <c r="M35" s="147">
        <f>SUM(L35)+0.6</f>
        <v>17</v>
      </c>
    </row>
    <row r="36" spans="1:13" ht="14.1" customHeight="1">
      <c r="A36" s="109"/>
      <c r="B36" s="61" t="s">
        <v>31</v>
      </c>
      <c r="C36" s="61"/>
      <c r="D36" s="42" t="s">
        <v>67</v>
      </c>
      <c r="E36" s="43"/>
      <c r="F36" s="43"/>
      <c r="G36" s="44"/>
      <c r="H36" s="79"/>
      <c r="I36" s="79"/>
      <c r="J36" s="83"/>
      <c r="K36" s="79"/>
      <c r="L36" s="79"/>
      <c r="M36" s="146"/>
    </row>
    <row r="37" spans="1:13" ht="14.1" customHeight="1">
      <c r="A37" s="186">
        <v>18</v>
      </c>
      <c r="B37" s="47"/>
      <c r="C37" s="48"/>
      <c r="D37" s="150"/>
      <c r="E37" s="151"/>
      <c r="F37" s="151"/>
      <c r="G37" s="152"/>
      <c r="H37" s="52"/>
      <c r="I37" s="52"/>
      <c r="J37" s="54"/>
      <c r="K37" s="52"/>
      <c r="L37" s="52"/>
      <c r="M37" s="147"/>
    </row>
    <row r="38" spans="1:13" ht="14.1" customHeight="1">
      <c r="A38" s="109"/>
      <c r="B38" s="40"/>
      <c r="C38" s="41"/>
      <c r="D38" s="159"/>
      <c r="E38" s="160"/>
      <c r="F38" s="160"/>
      <c r="G38" s="161"/>
      <c r="H38" s="79"/>
      <c r="I38" s="79"/>
      <c r="J38" s="83"/>
      <c r="K38" s="79"/>
      <c r="L38" s="79"/>
      <c r="M38" s="146"/>
    </row>
    <row r="39" spans="1:13" ht="14.1" customHeight="1">
      <c r="A39" s="186">
        <v>19</v>
      </c>
      <c r="B39" s="47"/>
      <c r="C39" s="48"/>
      <c r="D39" s="49"/>
      <c r="E39" s="50"/>
      <c r="F39" s="50"/>
      <c r="G39" s="51"/>
      <c r="H39" s="52"/>
      <c r="I39" s="52"/>
      <c r="J39" s="37"/>
      <c r="K39" s="38"/>
      <c r="L39" s="38"/>
      <c r="M39" s="174"/>
    </row>
    <row r="40" spans="1:13" ht="14.1" customHeight="1" thickBot="1">
      <c r="A40" s="187"/>
      <c r="B40" s="178"/>
      <c r="C40" s="179"/>
      <c r="D40" s="180"/>
      <c r="E40" s="181"/>
      <c r="F40" s="181"/>
      <c r="G40" s="182"/>
      <c r="H40" s="77"/>
      <c r="I40" s="77"/>
      <c r="J40" s="66"/>
      <c r="K40" s="67"/>
      <c r="L40" s="67"/>
      <c r="M40" s="177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51CF-D948-4D84-9BD8-D42F3825D737}">
  <sheetPr>
    <tabColor theme="8"/>
    <pageSetUpPr fitToPage="1"/>
  </sheetPr>
  <dimension ref="A1:Q57"/>
  <sheetViews>
    <sheetView zoomScale="110" zoomScaleNormal="110" workbookViewId="0">
      <selection activeCell="B11" sqref="B11:G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105" t="s">
        <v>487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7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SUM(I3)-5</f>
        <v>54</v>
      </c>
      <c r="I3" s="52">
        <f>SUM(J3)-5</f>
        <v>59</v>
      </c>
      <c r="J3" s="193">
        <v>64</v>
      </c>
      <c r="K3" s="194">
        <f>SUM(J3)+5</f>
        <v>69</v>
      </c>
      <c r="L3" s="194">
        <f>SUM(K3)+5</f>
        <v>74</v>
      </c>
      <c r="M3" s="195">
        <f>SUM(L3)+5</f>
        <v>79</v>
      </c>
    </row>
    <row r="4" spans="1:17" s="1" customFormat="1" ht="14.1" customHeight="1">
      <c r="A4" s="45"/>
      <c r="B4" s="61" t="s">
        <v>36</v>
      </c>
      <c r="C4" s="61"/>
      <c r="D4" s="42" t="s">
        <v>488</v>
      </c>
      <c r="E4" s="43"/>
      <c r="F4" s="43"/>
      <c r="G4" s="43"/>
      <c r="H4" s="79"/>
      <c r="I4" s="79"/>
      <c r="J4" s="54"/>
      <c r="K4" s="52"/>
      <c r="L4" s="52"/>
      <c r="M4" s="64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34.599999999999994</v>
      </c>
      <c r="I5" s="52">
        <f>SUM(J5)-2.2</f>
        <v>36.799999999999997</v>
      </c>
      <c r="J5" s="54">
        <v>39</v>
      </c>
      <c r="K5" s="52">
        <f>SUM(J5)+2</f>
        <v>41</v>
      </c>
      <c r="L5" s="52">
        <f>SUM(K5)+2</f>
        <v>43</v>
      </c>
      <c r="M5" s="64">
        <f>SUM(L5)+2</f>
        <v>45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35.5</v>
      </c>
      <c r="I7" s="52">
        <f>SUM(J7)-2.25</f>
        <v>37.75</v>
      </c>
      <c r="J7" s="54">
        <v>40</v>
      </c>
      <c r="K7" s="52">
        <f>SUM(J7)+2</f>
        <v>42</v>
      </c>
      <c r="L7" s="52">
        <f>SUM(K7)+2</f>
        <v>44</v>
      </c>
      <c r="M7" s="64">
        <f>SUM(L7)+2</f>
        <v>46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7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29.4</v>
      </c>
      <c r="I9" s="52">
        <f>SUM(J9)-1.8</f>
        <v>31.2</v>
      </c>
      <c r="J9" s="54">
        <v>33</v>
      </c>
      <c r="K9" s="52">
        <f>SUM(J9)+1.6</f>
        <v>34.6</v>
      </c>
      <c r="L9" s="52">
        <f>SUM(K9)+1.6</f>
        <v>36.200000000000003</v>
      </c>
      <c r="M9" s="64">
        <f>SUM(L9)+1.6</f>
        <v>37.800000000000004</v>
      </c>
    </row>
    <row r="10" spans="1:17" s="1" customFormat="1" ht="14.1" customHeight="1">
      <c r="A10" s="45"/>
      <c r="B10" s="61" t="s">
        <v>25</v>
      </c>
      <c r="C10" s="61"/>
      <c r="D10" s="42" t="s">
        <v>434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7" s="1" customFormat="1" ht="14.1" customHeight="1">
      <c r="A11" s="45">
        <v>5</v>
      </c>
      <c r="B11" s="47" t="s">
        <v>406</v>
      </c>
      <c r="C11" s="48"/>
      <c r="D11" s="75"/>
      <c r="E11" s="62"/>
      <c r="F11" s="62"/>
      <c r="G11" s="76"/>
      <c r="H11" s="53">
        <f>SUM(I11)-0.5</f>
        <v>11.3</v>
      </c>
      <c r="I11" s="53">
        <f>SUM(J11)-0.5</f>
        <v>11.8</v>
      </c>
      <c r="J11" s="83">
        <v>12.3</v>
      </c>
      <c r="K11" s="79">
        <f>SUM(J11)+0.5</f>
        <v>12.8</v>
      </c>
      <c r="L11" s="79">
        <f>SUM(K11)+0.5</f>
        <v>13.3</v>
      </c>
      <c r="M11" s="80">
        <f>SUM(L11)+0.5</f>
        <v>13.8</v>
      </c>
    </row>
    <row r="12" spans="1:17" s="1" customFormat="1" ht="14.1" customHeight="1">
      <c r="A12" s="45"/>
      <c r="B12" s="40" t="s">
        <v>146</v>
      </c>
      <c r="C12" s="41"/>
      <c r="D12" s="42" t="s">
        <v>359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7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SUM(I13)-0.8</f>
        <v>14.899999999999999</v>
      </c>
      <c r="I13" s="52">
        <f>SUM(J13)-0.8</f>
        <v>15.7</v>
      </c>
      <c r="J13" s="37">
        <v>16.5</v>
      </c>
      <c r="K13" s="38">
        <f>SUM(J13)+0.8</f>
        <v>17.3</v>
      </c>
      <c r="L13" s="38">
        <f>SUM(K13)+0.8</f>
        <v>18.100000000000001</v>
      </c>
      <c r="M13" s="63">
        <f>SUM(L13)+0.8</f>
        <v>18.900000000000002</v>
      </c>
    </row>
    <row r="14" spans="1:17" s="1" customFormat="1" ht="14.1" customHeight="1" thickBot="1">
      <c r="A14" s="45"/>
      <c r="B14" s="61" t="s">
        <v>26</v>
      </c>
      <c r="C14" s="61"/>
      <c r="D14" s="42" t="s">
        <v>45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7" s="1" customFormat="1" ht="14.1" customHeight="1" thickTop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SUM(I15)-0.7</f>
        <v>18.100000000000001</v>
      </c>
      <c r="I15" s="52">
        <f>SUM(J15)-0.7</f>
        <v>18.8</v>
      </c>
      <c r="J15" s="37">
        <v>19.5</v>
      </c>
      <c r="K15" s="38">
        <f>SUM(J15)+0.7</f>
        <v>20.2</v>
      </c>
      <c r="L15" s="38">
        <f>SUM(K15)+0.7</f>
        <v>20.9</v>
      </c>
      <c r="M15" s="63">
        <f>SUM(L15)+0.7</f>
        <v>21.599999999999998</v>
      </c>
      <c r="Q15" s="10" t="s">
        <v>300</v>
      </c>
    </row>
    <row r="16" spans="1:17" s="1" customFormat="1" ht="14.1" customHeight="1">
      <c r="A16" s="45"/>
      <c r="B16" s="61" t="s">
        <v>27</v>
      </c>
      <c r="C16" s="61"/>
      <c r="D16" s="42" t="s">
        <v>110</v>
      </c>
      <c r="E16" s="43"/>
      <c r="F16" s="43"/>
      <c r="G16" s="44"/>
      <c r="H16" s="79"/>
      <c r="I16" s="79"/>
      <c r="J16" s="37"/>
      <c r="K16" s="38"/>
      <c r="L16" s="38"/>
      <c r="M16" s="63"/>
      <c r="Q16" s="11">
        <f>SUM(H35+I35+J35+K35+L35+M35)</f>
        <v>393</v>
      </c>
    </row>
    <row r="17" spans="1:17" s="1" customFormat="1" ht="14.1" customHeight="1" thickBo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6.9</v>
      </c>
      <c r="I17" s="52">
        <f>SUM(J17)-0.3</f>
        <v>7.2</v>
      </c>
      <c r="J17" s="37">
        <v>7.5</v>
      </c>
      <c r="K17" s="38">
        <f>SUM(J17)+0.3</f>
        <v>7.8</v>
      </c>
      <c r="L17" s="38">
        <f>SUM(K17)+0.3</f>
        <v>8.1</v>
      </c>
      <c r="M17" s="63">
        <f>SUM(L17)+0.3</f>
        <v>8.4</v>
      </c>
      <c r="Q17" s="12">
        <f>SUM(Q16/6/91.44*1.08)</f>
        <v>0.77362204724409456</v>
      </c>
    </row>
    <row r="18" spans="1:17" s="1" customFormat="1" ht="14.1" customHeight="1" thickTop="1">
      <c r="A18" s="45"/>
      <c r="B18" s="61" t="s">
        <v>28</v>
      </c>
      <c r="C18" s="61"/>
      <c r="D18" s="42" t="s">
        <v>111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7" s="1" customFormat="1" ht="14.1" customHeight="1">
      <c r="A19" s="45">
        <v>9</v>
      </c>
      <c r="B19" s="47" t="s">
        <v>71</v>
      </c>
      <c r="C19" s="48"/>
      <c r="D19" s="75" t="s">
        <v>72</v>
      </c>
      <c r="E19" s="62"/>
      <c r="F19" s="62"/>
      <c r="G19" s="76"/>
      <c r="H19" s="52">
        <f>SUM(I19)-2</f>
        <v>50</v>
      </c>
      <c r="I19" s="52">
        <f>SUM(J19)-2</f>
        <v>52</v>
      </c>
      <c r="J19" s="37">
        <v>54</v>
      </c>
      <c r="K19" s="38">
        <f>SUM(J19)+2</f>
        <v>56</v>
      </c>
      <c r="L19" s="38">
        <f>SUM(K19)+2</f>
        <v>58</v>
      </c>
      <c r="M19" s="63">
        <f>SUM(L19)+2</f>
        <v>60</v>
      </c>
    </row>
    <row r="20" spans="1:17" s="1" customFormat="1" ht="14.1" customHeight="1">
      <c r="A20" s="45"/>
      <c r="B20" s="61" t="s">
        <v>33</v>
      </c>
      <c r="C20" s="61"/>
      <c r="D20" s="42" t="s">
        <v>112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7" s="1" customFormat="1" ht="14.1" customHeight="1">
      <c r="A21" s="45">
        <v>10</v>
      </c>
      <c r="B21" s="81" t="s">
        <v>4</v>
      </c>
      <c r="C21" s="81"/>
      <c r="D21" s="78" t="s">
        <v>5</v>
      </c>
      <c r="E21" s="78"/>
      <c r="F21" s="78"/>
      <c r="G21" s="78"/>
      <c r="H21" s="52">
        <f>SUM(I21)-3.4</f>
        <v>27.700000000000003</v>
      </c>
      <c r="I21" s="52">
        <f>SUM(J21)-3.4</f>
        <v>31.1</v>
      </c>
      <c r="J21" s="37">
        <v>34.5</v>
      </c>
      <c r="K21" s="38">
        <f>SUM(J21)+3.5</f>
        <v>38</v>
      </c>
      <c r="L21" s="38">
        <f>SUM(K21)+3.5</f>
        <v>41.5</v>
      </c>
      <c r="M21" s="63">
        <f>SUM(L21)+3.5</f>
        <v>45</v>
      </c>
    </row>
    <row r="22" spans="1:17" s="1" customFormat="1" ht="14.1" customHeight="1">
      <c r="A22" s="45"/>
      <c r="B22" s="61" t="s">
        <v>29</v>
      </c>
      <c r="C22" s="61"/>
      <c r="D22" s="42" t="s">
        <v>47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7" s="1" customFormat="1" ht="14.1" customHeight="1">
      <c r="A23" s="45">
        <v>11</v>
      </c>
      <c r="B23" s="81" t="s">
        <v>6</v>
      </c>
      <c r="C23" s="81"/>
      <c r="D23" s="75" t="s">
        <v>7</v>
      </c>
      <c r="E23" s="62"/>
      <c r="F23" s="62"/>
      <c r="G23" s="76"/>
      <c r="H23" s="52">
        <f>SUM(I23)-1.6</f>
        <v>28.799999999999997</v>
      </c>
      <c r="I23" s="52">
        <f>SUM(J23)-1.6</f>
        <v>30.4</v>
      </c>
      <c r="J23" s="37">
        <v>32</v>
      </c>
      <c r="K23" s="38">
        <f>SUM(J23)+1.6</f>
        <v>33.6</v>
      </c>
      <c r="L23" s="38">
        <f>SUM(K23)+1.6</f>
        <v>35.200000000000003</v>
      </c>
      <c r="M23" s="63">
        <f>SUM(L23)+1.6</f>
        <v>36.800000000000004</v>
      </c>
    </row>
    <row r="24" spans="1:17" s="1" customFormat="1" ht="14.1" customHeight="1">
      <c r="A24" s="45"/>
      <c r="B24" s="61" t="s">
        <v>30</v>
      </c>
      <c r="C24" s="61"/>
      <c r="D24" s="42" t="s">
        <v>65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7" s="1" customFormat="1" ht="14.1" customHeight="1">
      <c r="A25" s="45">
        <v>12</v>
      </c>
      <c r="B25" s="47" t="s">
        <v>226</v>
      </c>
      <c r="C25" s="48"/>
      <c r="D25" s="78" t="s">
        <v>66</v>
      </c>
      <c r="E25" s="78"/>
      <c r="F25" s="78"/>
      <c r="G25" s="78"/>
      <c r="H25" s="52">
        <f>SUM(I25)-0.6</f>
        <v>14</v>
      </c>
      <c r="I25" s="52">
        <f>SUM(J25)-0.6</f>
        <v>14.6</v>
      </c>
      <c r="J25" s="37">
        <v>15.2</v>
      </c>
      <c r="K25" s="38">
        <f>SUM(J25)+0.6</f>
        <v>15.799999999999999</v>
      </c>
      <c r="L25" s="38">
        <f>SUM(K25)+0.6</f>
        <v>16.399999999999999</v>
      </c>
      <c r="M25" s="63">
        <f>SUM(L25)+0.6</f>
        <v>17</v>
      </c>
    </row>
    <row r="26" spans="1:17" s="1" customFormat="1" ht="14.1" customHeight="1">
      <c r="A26" s="45"/>
      <c r="B26" s="61" t="s">
        <v>31</v>
      </c>
      <c r="C26" s="61"/>
      <c r="D26" s="42" t="s">
        <v>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7" s="1" customFormat="1" ht="14.1" customHeight="1">
      <c r="A27" s="45">
        <v>13</v>
      </c>
      <c r="B27" s="56" t="s">
        <v>397</v>
      </c>
      <c r="C27" s="57"/>
      <c r="D27" s="183"/>
      <c r="E27" s="184"/>
      <c r="F27" s="184"/>
      <c r="G27" s="185"/>
      <c r="H27" s="53">
        <f>SUM(I27)-2.2</f>
        <v>18.600000000000001</v>
      </c>
      <c r="I27" s="53">
        <f>SUM(J27)-2.2</f>
        <v>20.8</v>
      </c>
      <c r="J27" s="83">
        <v>23</v>
      </c>
      <c r="K27" s="79">
        <f>SUM(J27)+1.7</f>
        <v>24.7</v>
      </c>
      <c r="L27" s="79">
        <f>SUM(K27)+2.2</f>
        <v>26.9</v>
      </c>
      <c r="M27" s="80">
        <f>SUM(L27)+2.2</f>
        <v>29.099999999999998</v>
      </c>
    </row>
    <row r="28" spans="1:17" s="1" customFormat="1" ht="14.1" customHeight="1">
      <c r="A28" s="45"/>
      <c r="B28" s="40" t="s">
        <v>319</v>
      </c>
      <c r="C28" s="41"/>
      <c r="D28" s="42" t="s">
        <v>402</v>
      </c>
      <c r="E28" s="43"/>
      <c r="F28" s="43"/>
      <c r="G28" s="44"/>
      <c r="H28" s="79"/>
      <c r="I28" s="79"/>
      <c r="J28" s="37"/>
      <c r="K28" s="38"/>
      <c r="L28" s="38"/>
      <c r="M28" s="63"/>
    </row>
    <row r="29" spans="1:17" s="1" customFormat="1" ht="14.1" customHeight="1">
      <c r="A29" s="45">
        <v>14</v>
      </c>
      <c r="B29" s="56" t="s">
        <v>398</v>
      </c>
      <c r="C29" s="57"/>
      <c r="D29" s="183"/>
      <c r="E29" s="184"/>
      <c r="F29" s="184"/>
      <c r="G29" s="185"/>
      <c r="H29" s="53">
        <f>SUM(I29)-1</f>
        <v>7</v>
      </c>
      <c r="I29" s="53">
        <f>SUM(J29)-1</f>
        <v>8</v>
      </c>
      <c r="J29" s="83">
        <v>9</v>
      </c>
      <c r="K29" s="79">
        <f>SUM(J29)+0.5</f>
        <v>9.5</v>
      </c>
      <c r="L29" s="79">
        <f>SUM(K29)+1</f>
        <v>10.5</v>
      </c>
      <c r="M29" s="80">
        <f>SUM(L29)+1</f>
        <v>11.5</v>
      </c>
    </row>
    <row r="30" spans="1:17" s="1" customFormat="1" ht="14.1" customHeight="1">
      <c r="A30" s="45"/>
      <c r="B30" s="40" t="s">
        <v>374</v>
      </c>
      <c r="C30" s="41"/>
      <c r="D30" s="42" t="s">
        <v>489</v>
      </c>
      <c r="E30" s="43"/>
      <c r="F30" s="43"/>
      <c r="G30" s="44"/>
      <c r="H30" s="79"/>
      <c r="I30" s="79"/>
      <c r="J30" s="37"/>
      <c r="K30" s="38"/>
      <c r="L30" s="38"/>
      <c r="M30" s="63"/>
    </row>
    <row r="31" spans="1:17" s="1" customFormat="1" ht="14.1" customHeight="1">
      <c r="A31" s="45">
        <v>15</v>
      </c>
      <c r="B31" s="56" t="s">
        <v>399</v>
      </c>
      <c r="C31" s="57"/>
      <c r="D31" s="183"/>
      <c r="E31" s="184"/>
      <c r="F31" s="184"/>
      <c r="G31" s="185"/>
      <c r="H31" s="53">
        <f>SUM(I31)-1.2</f>
        <v>11.600000000000001</v>
      </c>
      <c r="I31" s="53">
        <f>SUM(J31)-1.2</f>
        <v>12.8</v>
      </c>
      <c r="J31" s="83">
        <v>14</v>
      </c>
      <c r="K31" s="79">
        <f>SUM(J31)+1.2</f>
        <v>15.2</v>
      </c>
      <c r="L31" s="79">
        <f>SUM(K31)+1.2</f>
        <v>16.399999999999999</v>
      </c>
      <c r="M31" s="80">
        <f>SUM(L31)+1.2</f>
        <v>17.599999999999998</v>
      </c>
    </row>
    <row r="32" spans="1:17" s="1" customFormat="1" ht="14.1" customHeight="1">
      <c r="A32" s="45"/>
      <c r="B32" s="40" t="s">
        <v>375</v>
      </c>
      <c r="C32" s="41"/>
      <c r="D32" s="42" t="s">
        <v>489</v>
      </c>
      <c r="E32" s="43"/>
      <c r="F32" s="43"/>
      <c r="G32" s="44"/>
      <c r="H32" s="79"/>
      <c r="I32" s="79"/>
      <c r="J32" s="37"/>
      <c r="K32" s="38"/>
      <c r="L32" s="38"/>
      <c r="M32" s="63"/>
    </row>
    <row r="33" spans="1:13" s="1" customFormat="1" ht="14.1" customHeight="1">
      <c r="A33" s="45">
        <v>16</v>
      </c>
      <c r="B33" s="47" t="s">
        <v>120</v>
      </c>
      <c r="C33" s="48"/>
      <c r="D33" s="49"/>
      <c r="E33" s="50"/>
      <c r="F33" s="50"/>
      <c r="G33" s="51"/>
      <c r="H33" s="53">
        <f>SUM(I33)-0.3</f>
        <v>4.4000000000000004</v>
      </c>
      <c r="I33" s="53">
        <f>SUM(J33)-0.3</f>
        <v>4.7</v>
      </c>
      <c r="J33" s="83">
        <v>5</v>
      </c>
      <c r="K33" s="79">
        <f>SUM(J33)+0.3</f>
        <v>5.3</v>
      </c>
      <c r="L33" s="79">
        <f>SUM(K33)+0.3</f>
        <v>5.6</v>
      </c>
      <c r="M33" s="80">
        <f>SUM(L33)+0.3</f>
        <v>5.8999999999999995</v>
      </c>
    </row>
    <row r="34" spans="1:13" s="1" customFormat="1" ht="14.1" customHeight="1">
      <c r="A34" s="45"/>
      <c r="B34" s="40" t="s">
        <v>128</v>
      </c>
      <c r="C34" s="41"/>
      <c r="D34" s="42" t="s">
        <v>359</v>
      </c>
      <c r="E34" s="43"/>
      <c r="F34" s="43"/>
      <c r="G34" s="44"/>
      <c r="H34" s="79"/>
      <c r="I34" s="79"/>
      <c r="J34" s="37"/>
      <c r="K34" s="38"/>
      <c r="L34" s="38"/>
      <c r="M34" s="63"/>
    </row>
    <row r="35" spans="1:13" s="1" customFormat="1" ht="14.1" customHeight="1">
      <c r="A35" s="45">
        <v>17</v>
      </c>
      <c r="B35" s="81" t="s">
        <v>490</v>
      </c>
      <c r="C35" s="81"/>
      <c r="D35" s="78"/>
      <c r="E35" s="78"/>
      <c r="F35" s="78"/>
      <c r="G35" s="78"/>
      <c r="H35" s="53">
        <f>SUM(I35)-3</f>
        <v>58</v>
      </c>
      <c r="I35" s="53">
        <f>SUM(J35)-3</f>
        <v>61</v>
      </c>
      <c r="J35" s="37">
        <v>64</v>
      </c>
      <c r="K35" s="79">
        <f>SUM(J35)+3</f>
        <v>67</v>
      </c>
      <c r="L35" s="79">
        <f t="shared" ref="L35:M35" si="0">SUM(K35)+3</f>
        <v>70</v>
      </c>
      <c r="M35" s="80">
        <f t="shared" si="0"/>
        <v>73</v>
      </c>
    </row>
    <row r="36" spans="1:13" s="1" customFormat="1" ht="14.1" customHeight="1" thickBot="1">
      <c r="A36" s="74"/>
      <c r="B36" s="190" t="s">
        <v>491</v>
      </c>
      <c r="C36" s="190"/>
      <c r="D36" s="180" t="s">
        <v>219</v>
      </c>
      <c r="E36" s="181"/>
      <c r="F36" s="181"/>
      <c r="G36" s="182"/>
      <c r="H36" s="77"/>
      <c r="I36" s="77"/>
      <c r="J36" s="66"/>
      <c r="K36" s="67"/>
      <c r="L36" s="67"/>
      <c r="M36" s="68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J13:J14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E17B-1364-4063-B2E4-6E433B7C68EF}">
  <sheetPr>
    <tabColor theme="8"/>
    <pageSetUpPr fitToPage="1"/>
  </sheetPr>
  <dimension ref="A1:M55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8" customWidth="1"/>
  </cols>
  <sheetData>
    <row r="1" spans="1:13" ht="16.5" customHeight="1" thickBot="1">
      <c r="A1" s="105" t="s">
        <v>431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SUM(I3)-4.9</f>
        <v>52.2</v>
      </c>
      <c r="I3" s="52">
        <f>SUM(J3)-4.9</f>
        <v>57.1</v>
      </c>
      <c r="J3" s="54">
        <v>62</v>
      </c>
      <c r="K3" s="52">
        <f>SUM(J3)+4.9</f>
        <v>66.900000000000006</v>
      </c>
      <c r="L3" s="52">
        <f>SUM(K3)+4.9</f>
        <v>71.800000000000011</v>
      </c>
      <c r="M3" s="64">
        <f>SUM(L3)+4.9</f>
        <v>76.700000000000017</v>
      </c>
    </row>
    <row r="4" spans="1:13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83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23.4</v>
      </c>
      <c r="I5" s="52">
        <f>SUM(J5)-1.8</f>
        <v>25.2</v>
      </c>
      <c r="J5" s="54">
        <v>27</v>
      </c>
      <c r="K5" s="52">
        <f>SUM(J5)+1.6</f>
        <v>28.6</v>
      </c>
      <c r="L5" s="52">
        <f>SUM(K5)+1.6</f>
        <v>30.200000000000003</v>
      </c>
      <c r="M5" s="64">
        <f>SUM(L5)+1.6</f>
        <v>31.800000000000004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30.5</v>
      </c>
      <c r="I7" s="52">
        <f>SUM(J7)-2.25</f>
        <v>32.75</v>
      </c>
      <c r="J7" s="54">
        <v>35</v>
      </c>
      <c r="K7" s="52">
        <f>SUM(J7)+2</f>
        <v>37</v>
      </c>
      <c r="L7" s="52">
        <f>SUM(K7)+2</f>
        <v>39</v>
      </c>
      <c r="M7" s="64">
        <f>SUM(L7)+2</f>
        <v>41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163</v>
      </c>
      <c r="C9" s="81"/>
      <c r="D9" s="78"/>
      <c r="E9" s="78"/>
      <c r="F9" s="78"/>
      <c r="G9" s="78"/>
      <c r="H9" s="52">
        <f>SUM(I9)-2.1</f>
        <v>28.799999999999997</v>
      </c>
      <c r="I9" s="52">
        <f>SUM(J9)-2.1</f>
        <v>30.9</v>
      </c>
      <c r="J9" s="54">
        <v>33</v>
      </c>
      <c r="K9" s="52">
        <f>SUM(J9)+1.9</f>
        <v>34.9</v>
      </c>
      <c r="L9" s="52">
        <f>SUM(K9)+1.9</f>
        <v>36.799999999999997</v>
      </c>
      <c r="M9" s="64">
        <f>SUM(L9)+1.9</f>
        <v>38.699999999999996</v>
      </c>
    </row>
    <row r="10" spans="1:13" s="1" customFormat="1" ht="14.1" customHeight="1">
      <c r="A10" s="45"/>
      <c r="B10" s="61" t="s">
        <v>164</v>
      </c>
      <c r="C10" s="61"/>
      <c r="D10" s="42" t="s">
        <v>379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15.399999999999999</v>
      </c>
      <c r="I11" s="52">
        <f>SUM(J11)-0.8</f>
        <v>16.2</v>
      </c>
      <c r="J11" s="37">
        <v>17</v>
      </c>
      <c r="K11" s="38">
        <f>SUM(J11)+0.8</f>
        <v>17.8</v>
      </c>
      <c r="L11" s="38">
        <f>SUM(K11)+0.8</f>
        <v>18.600000000000001</v>
      </c>
      <c r="M11" s="63">
        <f>SUM(L11)+0.8</f>
        <v>19.400000000000002</v>
      </c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3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14.5</v>
      </c>
      <c r="I13" s="52">
        <f>SUM(J13)-0.6</f>
        <v>15.1</v>
      </c>
      <c r="J13" s="37">
        <v>15.7</v>
      </c>
      <c r="K13" s="38">
        <f>SUM(J13)+0.6</f>
        <v>16.3</v>
      </c>
      <c r="L13" s="38">
        <f>SUM(K13)+0.6</f>
        <v>16.900000000000002</v>
      </c>
      <c r="M13" s="63">
        <f>SUM(L13)+0.6</f>
        <v>17.500000000000004</v>
      </c>
    </row>
    <row r="14" spans="1:13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6.4</v>
      </c>
      <c r="I15" s="52">
        <f>SUM(J15)-0.3</f>
        <v>6.7</v>
      </c>
      <c r="J15" s="37">
        <v>7</v>
      </c>
      <c r="K15" s="38">
        <f>SUM(J15)+0.3</f>
        <v>7.3</v>
      </c>
      <c r="L15" s="38">
        <f>SUM(K15)+0.3</f>
        <v>7.6</v>
      </c>
      <c r="M15" s="63">
        <f>SUM(L15)+0.3</f>
        <v>7.8999999999999995</v>
      </c>
    </row>
    <row r="16" spans="1:13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81">
        <f>SUM(I17)-1.6</f>
        <v>37.299999999999997</v>
      </c>
      <c r="I17" s="81">
        <f>SUM(J17)-1.6</f>
        <v>38.9</v>
      </c>
      <c r="J17" s="176">
        <v>40.5</v>
      </c>
      <c r="K17" s="175">
        <f>SUM(J17)+1.6</f>
        <v>42.1</v>
      </c>
      <c r="L17" s="175">
        <f>SUM(K17)+1.6</f>
        <v>43.7</v>
      </c>
      <c r="M17" s="63">
        <f>SUM(L17)+1.6</f>
        <v>45.300000000000004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61"/>
      <c r="I18" s="61"/>
      <c r="J18" s="176"/>
      <c r="K18" s="175"/>
      <c r="L18" s="175"/>
      <c r="M18" s="63"/>
    </row>
    <row r="19" spans="1:13" s="1" customFormat="1" ht="14.1" customHeight="1">
      <c r="A19" s="45">
        <v>9</v>
      </c>
      <c r="B19" s="81" t="s">
        <v>372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63"/>
    </row>
    <row r="20" spans="1:13" s="1" customFormat="1" ht="14.1" customHeight="1">
      <c r="A20" s="45"/>
      <c r="B20" s="61" t="s">
        <v>256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64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80"/>
    </row>
    <row r="23" spans="1:13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/>
      <c r="I23" s="52"/>
      <c r="J23" s="37"/>
      <c r="K23" s="38"/>
      <c r="L23" s="38"/>
      <c r="M23" s="63"/>
    </row>
    <row r="24" spans="1:13" s="1" customFormat="1" ht="14.1" customHeight="1">
      <c r="A24" s="45"/>
      <c r="B24" s="65" t="s">
        <v>31</v>
      </c>
      <c r="C24" s="65"/>
      <c r="D24" s="58" t="s">
        <v>67</v>
      </c>
      <c r="E24" s="59"/>
      <c r="F24" s="59"/>
      <c r="G24" s="60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410</v>
      </c>
      <c r="C25" s="48"/>
      <c r="D25" s="49"/>
      <c r="E25" s="50"/>
      <c r="F25" s="50"/>
      <c r="G25" s="51"/>
      <c r="H25" s="81">
        <f>SUM(I25)-3</f>
        <v>32.4</v>
      </c>
      <c r="I25" s="81">
        <f>SUM(J25)-3</f>
        <v>35.4</v>
      </c>
      <c r="J25" s="176">
        <v>38.4</v>
      </c>
      <c r="K25" s="175">
        <f>SUM(J25)+3</f>
        <v>41.4</v>
      </c>
      <c r="L25" s="175">
        <f>SUM(K25)+3</f>
        <v>44.4</v>
      </c>
      <c r="M25" s="63">
        <f>SUM(L25)+3</f>
        <v>47.4</v>
      </c>
    </row>
    <row r="26" spans="1:13" s="1" customFormat="1" ht="14.1" customHeight="1">
      <c r="A26" s="45"/>
      <c r="B26" s="40" t="s">
        <v>411</v>
      </c>
      <c r="C26" s="41"/>
      <c r="D26" s="42"/>
      <c r="E26" s="43"/>
      <c r="F26" s="43"/>
      <c r="G26" s="44"/>
      <c r="H26" s="61"/>
      <c r="I26" s="61"/>
      <c r="J26" s="176"/>
      <c r="K26" s="175"/>
      <c r="L26" s="175"/>
      <c r="M26" s="63"/>
    </row>
    <row r="27" spans="1:13" s="1" customFormat="1" ht="14.1" customHeight="1">
      <c r="A27" s="45">
        <v>13</v>
      </c>
      <c r="B27" s="47" t="s">
        <v>384</v>
      </c>
      <c r="C27" s="48"/>
      <c r="D27" s="150"/>
      <c r="E27" s="151"/>
      <c r="F27" s="151"/>
      <c r="G27" s="152"/>
      <c r="H27" s="52">
        <f>SUM(I27)-2.4</f>
        <v>27.200000000000003</v>
      </c>
      <c r="I27" s="52">
        <f>SUM(J27)-2.4</f>
        <v>29.6</v>
      </c>
      <c r="J27" s="54">
        <v>32</v>
      </c>
      <c r="K27" s="52">
        <f>SUM(J27)+2.4</f>
        <v>34.4</v>
      </c>
      <c r="L27" s="52">
        <f>SUM(K27)+2.4</f>
        <v>36.799999999999997</v>
      </c>
      <c r="M27" s="64">
        <f>SUM(L27)+2.4</f>
        <v>39.199999999999996</v>
      </c>
    </row>
    <row r="28" spans="1:13" s="1" customFormat="1" ht="14.1" customHeight="1">
      <c r="A28" s="45"/>
      <c r="B28" s="40" t="s">
        <v>385</v>
      </c>
      <c r="C28" s="41"/>
      <c r="D28" s="159"/>
      <c r="E28" s="160"/>
      <c r="F28" s="160"/>
      <c r="G28" s="161"/>
      <c r="H28" s="79"/>
      <c r="I28" s="79"/>
      <c r="J28" s="83"/>
      <c r="K28" s="79"/>
      <c r="L28" s="79"/>
      <c r="M28" s="80"/>
    </row>
    <row r="29" spans="1:13" s="1" customFormat="1" ht="14.1" customHeight="1">
      <c r="A29" s="45">
        <v>14</v>
      </c>
      <c r="B29" s="47"/>
      <c r="C29" s="48"/>
      <c r="D29" s="150"/>
      <c r="E29" s="151"/>
      <c r="F29" s="151"/>
      <c r="G29" s="152"/>
      <c r="H29" s="52"/>
      <c r="I29" s="52"/>
      <c r="J29" s="54"/>
      <c r="K29" s="52"/>
      <c r="L29" s="52"/>
      <c r="M29" s="64"/>
    </row>
    <row r="30" spans="1:13" s="1" customFormat="1" ht="14.1" customHeight="1">
      <c r="A30" s="45"/>
      <c r="B30" s="40"/>
      <c r="C30" s="41"/>
      <c r="D30" s="159"/>
      <c r="E30" s="160"/>
      <c r="F30" s="160"/>
      <c r="G30" s="161"/>
      <c r="H30" s="79"/>
      <c r="I30" s="79"/>
      <c r="J30" s="83"/>
      <c r="K30" s="79"/>
      <c r="L30" s="79"/>
      <c r="M30" s="80"/>
    </row>
    <row r="31" spans="1:13" s="1" customFormat="1" ht="14.1" customHeight="1">
      <c r="A31" s="45">
        <v>15</v>
      </c>
      <c r="B31" s="56"/>
      <c r="C31" s="57"/>
      <c r="D31" s="150"/>
      <c r="E31" s="151"/>
      <c r="F31" s="151"/>
      <c r="G31" s="152"/>
      <c r="H31" s="52"/>
      <c r="I31" s="52"/>
      <c r="J31" s="54"/>
      <c r="K31" s="52"/>
      <c r="L31" s="52"/>
      <c r="M31" s="64"/>
    </row>
    <row r="32" spans="1:13" s="1" customFormat="1" ht="14.1" customHeight="1">
      <c r="A32" s="45"/>
      <c r="B32" s="40"/>
      <c r="C32" s="41"/>
      <c r="D32" s="159"/>
      <c r="E32" s="160"/>
      <c r="F32" s="160"/>
      <c r="G32" s="161"/>
      <c r="H32" s="79"/>
      <c r="I32" s="79"/>
      <c r="J32" s="83"/>
      <c r="K32" s="79"/>
      <c r="L32" s="79"/>
      <c r="M32" s="80"/>
    </row>
    <row r="33" spans="1:13" s="1" customFormat="1" ht="14.1" customHeight="1">
      <c r="A33" s="45">
        <v>16</v>
      </c>
      <c r="B33" s="56"/>
      <c r="C33" s="57"/>
      <c r="D33" s="183"/>
      <c r="E33" s="184"/>
      <c r="F33" s="184"/>
      <c r="G33" s="185"/>
      <c r="H33" s="53"/>
      <c r="I33" s="53"/>
      <c r="J33" s="83"/>
      <c r="K33" s="79"/>
      <c r="L33" s="79"/>
      <c r="M33" s="80"/>
    </row>
    <row r="34" spans="1:13" s="1" customFormat="1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66"/>
      <c r="K34" s="67"/>
      <c r="L34" s="67"/>
      <c r="M34" s="68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8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8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EFDA-7487-4046-B5F6-6D229967F452}">
  <sheetPr>
    <tabColor theme="8"/>
    <pageSetUpPr fitToPage="1"/>
  </sheetPr>
  <dimension ref="A1:M55"/>
  <sheetViews>
    <sheetView topLeftCell="A6" zoomScale="110" zoomScaleNormal="110" workbookViewId="0">
      <selection activeCell="C37" sqref="C3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8" customWidth="1"/>
  </cols>
  <sheetData>
    <row r="1" spans="1:13" ht="16.5" customHeight="1" thickBot="1">
      <c r="A1" s="105" t="s">
        <v>409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73">
        <v>1</v>
      </c>
      <c r="B3" s="110" t="s">
        <v>39</v>
      </c>
      <c r="C3" s="111"/>
      <c r="D3" s="112" t="s">
        <v>371</v>
      </c>
      <c r="E3" s="113"/>
      <c r="F3" s="113"/>
      <c r="G3" s="114"/>
      <c r="H3" s="52">
        <f>SUM(I3)-5</f>
        <v>52</v>
      </c>
      <c r="I3" s="52">
        <f>SUM(J3)-5</f>
        <v>57</v>
      </c>
      <c r="J3" s="54">
        <v>62</v>
      </c>
      <c r="K3" s="52">
        <f>SUM(J3)+5</f>
        <v>67</v>
      </c>
      <c r="L3" s="52">
        <f>SUM(K3)+5</f>
        <v>72</v>
      </c>
      <c r="M3" s="64">
        <f>SUM(L3)+5</f>
        <v>77</v>
      </c>
    </row>
    <row r="4" spans="1:13" s="1" customFormat="1" ht="14.1" customHeight="1">
      <c r="A4" s="109"/>
      <c r="B4" s="40" t="s">
        <v>36</v>
      </c>
      <c r="C4" s="41"/>
      <c r="D4" s="42" t="s">
        <v>75</v>
      </c>
      <c r="E4" s="43"/>
      <c r="F4" s="43"/>
      <c r="G4" s="44"/>
      <c r="H4" s="79"/>
      <c r="I4" s="79"/>
      <c r="J4" s="83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21.799999999999997</v>
      </c>
      <c r="I5" s="52">
        <f>SUM(J5)-1.6</f>
        <v>23.4</v>
      </c>
      <c r="J5" s="54">
        <v>25</v>
      </c>
      <c r="K5" s="52">
        <f>SUM(J5)+1.4</f>
        <v>26.4</v>
      </c>
      <c r="L5" s="52">
        <f>SUM(K5)+1.4</f>
        <v>27.799999999999997</v>
      </c>
      <c r="M5" s="64">
        <f>SUM(L5)+1.4</f>
        <v>29.199999999999996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31</v>
      </c>
      <c r="I7" s="52">
        <f>SUM(J7)-2.25</f>
        <v>33.25</v>
      </c>
      <c r="J7" s="54">
        <v>35.5</v>
      </c>
      <c r="K7" s="52">
        <f>SUM(J7)+2</f>
        <v>37.5</v>
      </c>
      <c r="L7" s="52">
        <f>SUM(K7)+2</f>
        <v>39.5</v>
      </c>
      <c r="M7" s="64">
        <f>SUM(L7)+2</f>
        <v>41.5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163</v>
      </c>
      <c r="C9" s="81"/>
      <c r="D9" s="78"/>
      <c r="E9" s="78"/>
      <c r="F9" s="78"/>
      <c r="G9" s="78"/>
      <c r="H9" s="52">
        <f>SUM(I9)-2.25</f>
        <v>32.5</v>
      </c>
      <c r="I9" s="52">
        <f>SUM(J9)-2.25</f>
        <v>34.75</v>
      </c>
      <c r="J9" s="54">
        <v>37</v>
      </c>
      <c r="K9" s="52">
        <f>SUM(J9)+2</f>
        <v>39</v>
      </c>
      <c r="L9" s="52">
        <f>SUM(K9)+2</f>
        <v>41</v>
      </c>
      <c r="M9" s="64">
        <f>SUM(L9)+2</f>
        <v>43</v>
      </c>
    </row>
    <row r="10" spans="1:13" s="1" customFormat="1" ht="14.1" customHeight="1">
      <c r="A10" s="45"/>
      <c r="B10" s="61" t="s">
        <v>164</v>
      </c>
      <c r="C10" s="61"/>
      <c r="D10" s="42" t="s">
        <v>379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SUM(I11)-0.9</f>
        <v>15.200000000000001</v>
      </c>
      <c r="I11" s="52">
        <f>SUM(J11)-0.9</f>
        <v>16.100000000000001</v>
      </c>
      <c r="J11" s="37">
        <v>17</v>
      </c>
      <c r="K11" s="38">
        <f>SUM(J11)+0.9</f>
        <v>17.899999999999999</v>
      </c>
      <c r="L11" s="38">
        <f>SUM(K11)+0.9</f>
        <v>18.799999999999997</v>
      </c>
      <c r="M11" s="63">
        <f>SUM(L11)+0.9</f>
        <v>19.699999999999996</v>
      </c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3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13.9</v>
      </c>
      <c r="I13" s="52">
        <f>SUM(J13)-0.6</f>
        <v>14.5</v>
      </c>
      <c r="J13" s="37">
        <v>15.1</v>
      </c>
      <c r="K13" s="38">
        <f>SUM(J13)+0.6</f>
        <v>15.7</v>
      </c>
      <c r="L13" s="38">
        <f>SUM(K13)+0.6</f>
        <v>16.3</v>
      </c>
      <c r="M13" s="63">
        <f>SUM(L13)+0.6</f>
        <v>16.900000000000002</v>
      </c>
    </row>
    <row r="14" spans="1:13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6.3000000000000007</v>
      </c>
      <c r="I15" s="52">
        <f>SUM(J15)-0.3</f>
        <v>6.6000000000000005</v>
      </c>
      <c r="J15" s="37">
        <v>6.9</v>
      </c>
      <c r="K15" s="38">
        <f>SUM(J15)+0.3</f>
        <v>7.2</v>
      </c>
      <c r="L15" s="38">
        <f>SUM(K15)+0.3</f>
        <v>7.5</v>
      </c>
      <c r="M15" s="63">
        <f>SUM(L15)+0.3</f>
        <v>7.8</v>
      </c>
    </row>
    <row r="16" spans="1:13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81">
        <f>SUM(I17)-1.6</f>
        <v>36.4</v>
      </c>
      <c r="I17" s="81">
        <f>SUM(J17)-1.6</f>
        <v>38</v>
      </c>
      <c r="J17" s="176">
        <v>39.6</v>
      </c>
      <c r="K17" s="175">
        <f>SUM(J17)+1.6</f>
        <v>41.2</v>
      </c>
      <c r="L17" s="175">
        <f>SUM(K17)+1.6</f>
        <v>42.800000000000004</v>
      </c>
      <c r="M17" s="196">
        <f>SUM(L17)+1.6</f>
        <v>44.400000000000006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61"/>
      <c r="I18" s="61"/>
      <c r="J18" s="176"/>
      <c r="K18" s="175"/>
      <c r="L18" s="175"/>
      <c r="M18" s="196"/>
    </row>
    <row r="19" spans="1:13" s="1" customFormat="1" ht="14.1" customHeight="1">
      <c r="A19" s="45">
        <v>9</v>
      </c>
      <c r="B19" s="81" t="s">
        <v>372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63"/>
    </row>
    <row r="20" spans="1:13" s="1" customFormat="1" ht="14.1" customHeight="1">
      <c r="A20" s="45"/>
      <c r="B20" s="61" t="s">
        <v>256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63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/>
      <c r="I23" s="52"/>
      <c r="J23" s="37"/>
      <c r="K23" s="38"/>
      <c r="L23" s="38"/>
      <c r="M23" s="63"/>
    </row>
    <row r="24" spans="1:13" s="1" customFormat="1" ht="14.1" customHeight="1">
      <c r="A24" s="45"/>
      <c r="B24" s="65" t="s">
        <v>31</v>
      </c>
      <c r="C24" s="65"/>
      <c r="D24" s="58" t="s">
        <v>67</v>
      </c>
      <c r="E24" s="59"/>
      <c r="F24" s="59"/>
      <c r="G24" s="60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410</v>
      </c>
      <c r="C25" s="48"/>
      <c r="D25" s="49"/>
      <c r="E25" s="50"/>
      <c r="F25" s="50"/>
      <c r="G25" s="51"/>
      <c r="H25" s="81">
        <f>SUM(I25)-2.5</f>
        <v>25</v>
      </c>
      <c r="I25" s="81">
        <f>SUM(J25)-2.5</f>
        <v>27.5</v>
      </c>
      <c r="J25" s="176">
        <v>30</v>
      </c>
      <c r="K25" s="175">
        <f>SUM(J25)+2.5</f>
        <v>32.5</v>
      </c>
      <c r="L25" s="175">
        <f>SUM(K25)+2.5</f>
        <v>35</v>
      </c>
      <c r="M25" s="196">
        <f>SUM(L25)+2.5</f>
        <v>37.5</v>
      </c>
    </row>
    <row r="26" spans="1:13" s="1" customFormat="1" ht="14.1" customHeight="1">
      <c r="A26" s="45"/>
      <c r="B26" s="40" t="s">
        <v>411</v>
      </c>
      <c r="C26" s="41"/>
      <c r="D26" s="42"/>
      <c r="E26" s="43"/>
      <c r="F26" s="43"/>
      <c r="G26" s="44"/>
      <c r="H26" s="61"/>
      <c r="I26" s="61"/>
      <c r="J26" s="176"/>
      <c r="K26" s="175"/>
      <c r="L26" s="175"/>
      <c r="M26" s="196"/>
    </row>
    <row r="27" spans="1:13" s="1" customFormat="1" ht="14.1" customHeight="1">
      <c r="A27" s="45">
        <v>13</v>
      </c>
      <c r="B27" s="47" t="s">
        <v>384</v>
      </c>
      <c r="C27" s="48"/>
      <c r="D27" s="150"/>
      <c r="E27" s="151"/>
      <c r="F27" s="151"/>
      <c r="G27" s="152"/>
      <c r="H27" s="52">
        <f>SUM(I27)-2.4</f>
        <v>22.200000000000003</v>
      </c>
      <c r="I27" s="52">
        <f>SUM(J27)-2.4</f>
        <v>24.6</v>
      </c>
      <c r="J27" s="54">
        <v>27</v>
      </c>
      <c r="K27" s="52">
        <f>SUM(J27)+2.4</f>
        <v>29.4</v>
      </c>
      <c r="L27" s="52">
        <f>SUM(K27)+2.4</f>
        <v>31.799999999999997</v>
      </c>
      <c r="M27" s="64">
        <f>SUM(L27)+2.4</f>
        <v>34.199999999999996</v>
      </c>
    </row>
    <row r="28" spans="1:13" s="1" customFormat="1" ht="14.1" customHeight="1">
      <c r="A28" s="45"/>
      <c r="B28" s="40" t="s">
        <v>385</v>
      </c>
      <c r="C28" s="41"/>
      <c r="D28" s="159"/>
      <c r="E28" s="160"/>
      <c r="F28" s="160"/>
      <c r="G28" s="161"/>
      <c r="H28" s="79"/>
      <c r="I28" s="79"/>
      <c r="J28" s="83"/>
      <c r="K28" s="79"/>
      <c r="L28" s="79"/>
      <c r="M28" s="80"/>
    </row>
    <row r="29" spans="1:13" s="1" customFormat="1" ht="14.1" customHeight="1">
      <c r="A29" s="45">
        <v>14</v>
      </c>
      <c r="B29" s="47" t="s">
        <v>120</v>
      </c>
      <c r="C29" s="48"/>
      <c r="D29" s="150"/>
      <c r="E29" s="151"/>
      <c r="F29" s="151"/>
      <c r="G29" s="152"/>
      <c r="H29" s="52">
        <f>SUM(I29)-0.6</f>
        <v>9.2000000000000011</v>
      </c>
      <c r="I29" s="52">
        <f>SUM(J29)-0.6</f>
        <v>9.8000000000000007</v>
      </c>
      <c r="J29" s="54">
        <v>10.4</v>
      </c>
      <c r="K29" s="52">
        <f>SUM(J29)+0.6</f>
        <v>11</v>
      </c>
      <c r="L29" s="52">
        <f>SUM(K29)+0.6</f>
        <v>11.6</v>
      </c>
      <c r="M29" s="64">
        <f>SUM(L29)+0.6</f>
        <v>12.2</v>
      </c>
    </row>
    <row r="30" spans="1:13" s="1" customFormat="1" ht="14.1" customHeight="1">
      <c r="A30" s="45"/>
      <c r="B30" s="40" t="s">
        <v>128</v>
      </c>
      <c r="C30" s="41"/>
      <c r="D30" s="159" t="s">
        <v>412</v>
      </c>
      <c r="E30" s="160"/>
      <c r="F30" s="160"/>
      <c r="G30" s="161"/>
      <c r="H30" s="79"/>
      <c r="I30" s="79"/>
      <c r="J30" s="83"/>
      <c r="K30" s="79"/>
      <c r="L30" s="79"/>
      <c r="M30" s="80"/>
    </row>
    <row r="31" spans="1:13" s="1" customFormat="1" ht="14.1" customHeight="1">
      <c r="A31" s="45">
        <v>15</v>
      </c>
      <c r="B31" s="56" t="s">
        <v>121</v>
      </c>
      <c r="C31" s="57"/>
      <c r="D31" s="150"/>
      <c r="E31" s="151"/>
      <c r="F31" s="151"/>
      <c r="G31" s="152"/>
      <c r="H31" s="52">
        <f>SUM(I31)-0.4</f>
        <v>4.6999999999999993</v>
      </c>
      <c r="I31" s="52">
        <f>SUM(J31)-0.4</f>
        <v>5.0999999999999996</v>
      </c>
      <c r="J31" s="54">
        <v>5.5</v>
      </c>
      <c r="K31" s="52">
        <f>SUM(J31)+0.4</f>
        <v>5.9</v>
      </c>
      <c r="L31" s="52">
        <f>SUM(K31)+0.4</f>
        <v>6.3000000000000007</v>
      </c>
      <c r="M31" s="64">
        <f>SUM(L31)+0.4</f>
        <v>6.7000000000000011</v>
      </c>
    </row>
    <row r="32" spans="1:13" s="1" customFormat="1" ht="14.1" customHeight="1">
      <c r="A32" s="45"/>
      <c r="B32" s="40" t="s">
        <v>129</v>
      </c>
      <c r="C32" s="41"/>
      <c r="D32" s="159" t="s">
        <v>167</v>
      </c>
      <c r="E32" s="160"/>
      <c r="F32" s="160"/>
      <c r="G32" s="161"/>
      <c r="H32" s="79"/>
      <c r="I32" s="79"/>
      <c r="J32" s="83"/>
      <c r="K32" s="79"/>
      <c r="L32" s="79"/>
      <c r="M32" s="80"/>
    </row>
    <row r="33" spans="1:13" s="1" customFormat="1" ht="14.1" customHeight="1">
      <c r="A33" s="45">
        <v>16</v>
      </c>
      <c r="B33" s="56"/>
      <c r="C33" s="57"/>
      <c r="D33" s="183"/>
      <c r="E33" s="184"/>
      <c r="F33" s="184"/>
      <c r="G33" s="185"/>
      <c r="H33" s="53"/>
      <c r="I33" s="53"/>
      <c r="J33" s="83"/>
      <c r="K33" s="79"/>
      <c r="L33" s="79"/>
      <c r="M33" s="80"/>
    </row>
    <row r="34" spans="1:13" s="1" customFormat="1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66"/>
      <c r="K34" s="67"/>
      <c r="L34" s="67"/>
      <c r="M34" s="68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8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8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6F6D-62CE-43F8-9F00-9EC149D4719A}">
  <sheetPr>
    <tabColor theme="8"/>
    <pageSetUpPr fitToPage="1"/>
  </sheetPr>
  <dimension ref="A1:M57"/>
  <sheetViews>
    <sheetView topLeftCell="A4" zoomScale="110" zoomScaleNormal="110" workbookViewId="0">
      <selection activeCell="B34" sqref="B34:C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401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SUM(I3)-5</f>
        <v>58.2</v>
      </c>
      <c r="I3" s="52">
        <f>SUM(J3)-5</f>
        <v>63.2</v>
      </c>
      <c r="J3" s="193">
        <v>68.2</v>
      </c>
      <c r="K3" s="194">
        <f>SUM(J3)+5</f>
        <v>73.2</v>
      </c>
      <c r="L3" s="194">
        <f>SUM(K3)+5</f>
        <v>78.2</v>
      </c>
      <c r="M3" s="197">
        <f>SUM(L3)+5</f>
        <v>83.2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147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21.4</v>
      </c>
      <c r="I5" s="52">
        <f>SUM(J5)-1.8</f>
        <v>23.2</v>
      </c>
      <c r="J5" s="54">
        <v>25</v>
      </c>
      <c r="K5" s="52">
        <f>SUM(J5)+1.6</f>
        <v>26.6</v>
      </c>
      <c r="L5" s="52">
        <f>SUM(K5)+1.6</f>
        <v>28.200000000000003</v>
      </c>
      <c r="M5" s="147">
        <f>SUM(L5)+1.6</f>
        <v>29.800000000000004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147">
        <f>SUM(L7)+2</f>
        <v>39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3" s="1" customFormat="1" ht="14.1" customHeight="1">
      <c r="A9" s="45">
        <v>4</v>
      </c>
      <c r="B9" s="81" t="s">
        <v>163</v>
      </c>
      <c r="C9" s="81"/>
      <c r="D9" s="78" t="s">
        <v>8</v>
      </c>
      <c r="E9" s="78"/>
      <c r="F9" s="78"/>
      <c r="G9" s="78"/>
      <c r="H9" s="52">
        <f>SUM(I9)-2.2</f>
        <v>27.6</v>
      </c>
      <c r="I9" s="52">
        <f>SUM(J9)-2.2</f>
        <v>29.8</v>
      </c>
      <c r="J9" s="54">
        <v>32</v>
      </c>
      <c r="K9" s="52">
        <f>SUM(J9)+2</f>
        <v>34</v>
      </c>
      <c r="L9" s="52">
        <f>SUM(K9)+2</f>
        <v>36</v>
      </c>
      <c r="M9" s="147">
        <f>SUM(L9)+1.9</f>
        <v>37.9</v>
      </c>
    </row>
    <row r="10" spans="1:13" s="1" customFormat="1" ht="14.1" customHeight="1">
      <c r="A10" s="45"/>
      <c r="B10" s="61" t="s">
        <v>164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3" s="1" customFormat="1" ht="14.1" customHeight="1">
      <c r="A11" s="45">
        <v>5</v>
      </c>
      <c r="B11" s="47" t="s">
        <v>406</v>
      </c>
      <c r="C11" s="48"/>
      <c r="D11" s="75"/>
      <c r="E11" s="62"/>
      <c r="F11" s="62"/>
      <c r="G11" s="76"/>
      <c r="H11" s="53">
        <f>SUM(I11)-0.6</f>
        <v>10.3</v>
      </c>
      <c r="I11" s="53">
        <f>SUM(J11)-0.6</f>
        <v>10.9</v>
      </c>
      <c r="J11" s="83">
        <v>11.5</v>
      </c>
      <c r="K11" s="79">
        <f>SUM(J11)+0.6</f>
        <v>12.1</v>
      </c>
      <c r="L11" s="79">
        <f>SUM(K11)+0.6</f>
        <v>12.7</v>
      </c>
      <c r="M11" s="147">
        <f t="shared" ref="M11" si="0">SUM(L11)+1.9</f>
        <v>14.6</v>
      </c>
    </row>
    <row r="12" spans="1:13" s="1" customFormat="1" ht="14.1" customHeight="1">
      <c r="A12" s="45"/>
      <c r="B12" s="40" t="s">
        <v>146</v>
      </c>
      <c r="C12" s="41"/>
      <c r="D12" s="42"/>
      <c r="E12" s="43"/>
      <c r="F12" s="43"/>
      <c r="G12" s="44"/>
      <c r="H12" s="79"/>
      <c r="I12" s="79"/>
      <c r="J12" s="37"/>
      <c r="K12" s="38"/>
      <c r="L12" s="38"/>
      <c r="M12" s="146"/>
    </row>
    <row r="13" spans="1:13" s="1" customFormat="1" ht="14.1" customHeight="1">
      <c r="A13" s="45">
        <v>6</v>
      </c>
      <c r="B13" s="47" t="s">
        <v>407</v>
      </c>
      <c r="C13" s="48"/>
      <c r="D13" s="75"/>
      <c r="E13" s="62"/>
      <c r="F13" s="62"/>
      <c r="G13" s="76"/>
      <c r="H13" s="52">
        <f>SUM(I13)</f>
        <v>10.5</v>
      </c>
      <c r="I13" s="52">
        <f>SUM(J13)-1.5</f>
        <v>10.5</v>
      </c>
      <c r="J13" s="37">
        <v>12</v>
      </c>
      <c r="K13" s="38">
        <f>SUM(J13)+1</f>
        <v>13</v>
      </c>
      <c r="L13" s="38">
        <f>SUM(K13)+1</f>
        <v>14</v>
      </c>
      <c r="M13" s="147">
        <f t="shared" ref="M13" si="1">SUM(L13)+1.9</f>
        <v>15.9</v>
      </c>
    </row>
    <row r="14" spans="1:13" s="1" customFormat="1" ht="14.1" customHeight="1">
      <c r="A14" s="45"/>
      <c r="B14" s="40" t="s">
        <v>408</v>
      </c>
      <c r="C14" s="41"/>
      <c r="D14" s="42" t="s">
        <v>359</v>
      </c>
      <c r="E14" s="43"/>
      <c r="F14" s="43"/>
      <c r="G14" s="44"/>
      <c r="H14" s="79"/>
      <c r="I14" s="79"/>
      <c r="J14" s="37"/>
      <c r="K14" s="38"/>
      <c r="L14" s="38"/>
      <c r="M14" s="146"/>
    </row>
    <row r="15" spans="1:13" s="1" customFormat="1" ht="14.1" customHeight="1">
      <c r="A15" s="45">
        <v>7</v>
      </c>
      <c r="B15" s="81" t="s">
        <v>10</v>
      </c>
      <c r="C15" s="81"/>
      <c r="D15" s="78" t="s">
        <v>0</v>
      </c>
      <c r="E15" s="78"/>
      <c r="F15" s="78"/>
      <c r="G15" s="78"/>
      <c r="H15" s="52">
        <f>SUM(I15)-0.8</f>
        <v>13.999999999999998</v>
      </c>
      <c r="I15" s="52">
        <f>SUM(J15)-0.8</f>
        <v>14.799999999999999</v>
      </c>
      <c r="J15" s="37">
        <v>15.6</v>
      </c>
      <c r="K15" s="38">
        <f>SUM(J15)+0.8</f>
        <v>16.399999999999999</v>
      </c>
      <c r="L15" s="38">
        <f>SUM(K15)+0.8</f>
        <v>17.2</v>
      </c>
      <c r="M15" s="174">
        <f>SUM(L15)+0.9</f>
        <v>18.099999999999998</v>
      </c>
    </row>
    <row r="16" spans="1:13" s="1" customFormat="1" ht="14.1" customHeight="1">
      <c r="A16" s="45"/>
      <c r="B16" s="61" t="s">
        <v>26</v>
      </c>
      <c r="C16" s="61"/>
      <c r="D16" s="42" t="s">
        <v>45</v>
      </c>
      <c r="E16" s="43"/>
      <c r="F16" s="43"/>
      <c r="G16" s="44"/>
      <c r="H16" s="79"/>
      <c r="I16" s="79"/>
      <c r="J16" s="37"/>
      <c r="K16" s="38"/>
      <c r="L16" s="38"/>
      <c r="M16" s="174"/>
    </row>
    <row r="17" spans="1:13" s="1" customFormat="1" ht="14.1" customHeight="1">
      <c r="A17" s="45">
        <v>8</v>
      </c>
      <c r="B17" s="81" t="s">
        <v>1</v>
      </c>
      <c r="C17" s="81"/>
      <c r="D17" s="78" t="s">
        <v>141</v>
      </c>
      <c r="E17" s="78"/>
      <c r="F17" s="78"/>
      <c r="G17" s="78"/>
      <c r="H17" s="52">
        <f>SUM(I17)-0.6</f>
        <v>13</v>
      </c>
      <c r="I17" s="52">
        <f>SUM(J17)-0.6</f>
        <v>13.6</v>
      </c>
      <c r="J17" s="37">
        <v>14.2</v>
      </c>
      <c r="K17" s="38">
        <f>SUM(J17)+0.6</f>
        <v>14.799999999999999</v>
      </c>
      <c r="L17" s="38">
        <f>SUM(K17)+0.6</f>
        <v>15.399999999999999</v>
      </c>
      <c r="M17" s="174">
        <f>SUM(L17)+0.6</f>
        <v>15.999999999999998</v>
      </c>
    </row>
    <row r="18" spans="1:13" s="1" customFormat="1" ht="14.1" customHeight="1">
      <c r="A18" s="45"/>
      <c r="B18" s="61" t="s">
        <v>27</v>
      </c>
      <c r="C18" s="61"/>
      <c r="D18" s="42" t="s">
        <v>147</v>
      </c>
      <c r="E18" s="43"/>
      <c r="F18" s="43"/>
      <c r="G18" s="44"/>
      <c r="H18" s="79"/>
      <c r="I18" s="79"/>
      <c r="J18" s="37"/>
      <c r="K18" s="38"/>
      <c r="L18" s="38"/>
      <c r="M18" s="174"/>
    </row>
    <row r="19" spans="1:13" s="1" customFormat="1" ht="14.1" customHeight="1">
      <c r="A19" s="45">
        <v>9</v>
      </c>
      <c r="B19" s="81" t="s">
        <v>2</v>
      </c>
      <c r="C19" s="81"/>
      <c r="D19" s="78" t="s">
        <v>3</v>
      </c>
      <c r="E19" s="78"/>
      <c r="F19" s="78"/>
      <c r="G19" s="78"/>
      <c r="H19" s="52">
        <f>SUM(I19)-0.3</f>
        <v>5.5</v>
      </c>
      <c r="I19" s="52">
        <f>SUM(J19)-0.3</f>
        <v>5.8</v>
      </c>
      <c r="J19" s="37">
        <v>6.1</v>
      </c>
      <c r="K19" s="38">
        <f>SUM(J19)+0.3</f>
        <v>6.3999999999999995</v>
      </c>
      <c r="L19" s="38">
        <f>SUM(K19)+0.3</f>
        <v>6.6999999999999993</v>
      </c>
      <c r="M19" s="174">
        <f>SUM(L19)+0.3</f>
        <v>6.9999999999999991</v>
      </c>
    </row>
    <row r="20" spans="1:13" s="1" customFormat="1" ht="14.1" customHeight="1">
      <c r="A20" s="45"/>
      <c r="B20" s="61" t="s">
        <v>28</v>
      </c>
      <c r="C20" s="61"/>
      <c r="D20" s="42" t="s">
        <v>148</v>
      </c>
      <c r="E20" s="43"/>
      <c r="F20" s="43"/>
      <c r="G20" s="44"/>
      <c r="H20" s="79"/>
      <c r="I20" s="79"/>
      <c r="J20" s="37"/>
      <c r="K20" s="38"/>
      <c r="L20" s="38"/>
      <c r="M20" s="174"/>
    </row>
    <row r="21" spans="1:13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52">
        <f>SUM(I21)-1.6</f>
        <v>33.4</v>
      </c>
      <c r="I21" s="52">
        <f>SUM(J21)-1.6</f>
        <v>35</v>
      </c>
      <c r="J21" s="37">
        <v>36.6</v>
      </c>
      <c r="K21" s="38">
        <f>SUM(J21)+1.6</f>
        <v>38.200000000000003</v>
      </c>
      <c r="L21" s="38">
        <f>SUM(K21)+1.6</f>
        <v>39.800000000000004</v>
      </c>
      <c r="M21" s="174">
        <f>SUM(L21)+1.6</f>
        <v>41.400000000000006</v>
      </c>
    </row>
    <row r="22" spans="1:13" s="1" customFormat="1" ht="14.1" customHeight="1">
      <c r="A22" s="45"/>
      <c r="B22" s="61" t="s">
        <v>33</v>
      </c>
      <c r="C22" s="61"/>
      <c r="D22" s="42" t="s">
        <v>76</v>
      </c>
      <c r="E22" s="43"/>
      <c r="F22" s="43"/>
      <c r="G22" s="44"/>
      <c r="H22" s="79"/>
      <c r="I22" s="79"/>
      <c r="J22" s="37"/>
      <c r="K22" s="38"/>
      <c r="L22" s="38"/>
      <c r="M22" s="174"/>
    </row>
    <row r="23" spans="1:13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52">
        <f>SUM(I23)-3.6</f>
        <v>34.299999999999997</v>
      </c>
      <c r="I23" s="52">
        <f>SUM(J23)-3.6</f>
        <v>37.9</v>
      </c>
      <c r="J23" s="37">
        <v>41.5</v>
      </c>
      <c r="K23" s="38">
        <f>SUM(J23)+3.7</f>
        <v>45.2</v>
      </c>
      <c r="L23" s="38">
        <f>SUM(K23)+3.7</f>
        <v>48.900000000000006</v>
      </c>
      <c r="M23" s="174">
        <f>SUM(L23)+3.7</f>
        <v>52.600000000000009</v>
      </c>
    </row>
    <row r="24" spans="1:13" s="1" customFormat="1" ht="14.1" customHeight="1">
      <c r="A24" s="45"/>
      <c r="B24" s="61" t="s">
        <v>29</v>
      </c>
      <c r="C24" s="61"/>
      <c r="D24" s="42" t="s">
        <v>47</v>
      </c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52"/>
      <c r="I25" s="52"/>
      <c r="J25" s="37"/>
      <c r="K25" s="38"/>
      <c r="L25" s="38"/>
      <c r="M25" s="174"/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37"/>
      <c r="K26" s="38"/>
      <c r="L26" s="38"/>
      <c r="M26" s="174"/>
    </row>
    <row r="27" spans="1:13" s="1" customFormat="1" ht="14.1" customHeight="1">
      <c r="A27" s="45">
        <v>13</v>
      </c>
      <c r="B27" s="47" t="s">
        <v>226</v>
      </c>
      <c r="C27" s="48"/>
      <c r="D27" s="78" t="s">
        <v>66</v>
      </c>
      <c r="E27" s="78"/>
      <c r="F27" s="78"/>
      <c r="G27" s="78"/>
      <c r="H27" s="52">
        <f>SUM(I27)-0.7</f>
        <v>14.600000000000001</v>
      </c>
      <c r="I27" s="52">
        <f>SUM(J27)-0.7</f>
        <v>15.3</v>
      </c>
      <c r="J27" s="37">
        <v>16</v>
      </c>
      <c r="K27" s="38">
        <f>SUM(J27)+0.7</f>
        <v>16.7</v>
      </c>
      <c r="L27" s="38">
        <f>SUM(K27)+0.7</f>
        <v>17.399999999999999</v>
      </c>
      <c r="M27" s="174">
        <f>SUM(L27)+0.6</f>
        <v>18</v>
      </c>
    </row>
    <row r="28" spans="1:13" s="1" customFormat="1" ht="14.1" customHeight="1">
      <c r="A28" s="45"/>
      <c r="B28" s="61" t="s">
        <v>31</v>
      </c>
      <c r="C28" s="61"/>
      <c r="D28" s="42" t="s">
        <v>67</v>
      </c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14</v>
      </c>
      <c r="B29" s="56" t="s">
        <v>397</v>
      </c>
      <c r="C29" s="57"/>
      <c r="D29" s="183"/>
      <c r="E29" s="184"/>
      <c r="F29" s="184"/>
      <c r="G29" s="185"/>
      <c r="H29" s="53">
        <f>SUM(I29)-3</f>
        <v>38.4</v>
      </c>
      <c r="I29" s="53">
        <f>SUM(J29)-3</f>
        <v>41.4</v>
      </c>
      <c r="J29" s="83">
        <v>44.4</v>
      </c>
      <c r="K29" s="79">
        <f>SUM(J29)+3</f>
        <v>47.4</v>
      </c>
      <c r="L29" s="79">
        <f>SUM(K29)+3</f>
        <v>50.4</v>
      </c>
      <c r="M29" s="146">
        <f>SUM(L29)+3</f>
        <v>53.4</v>
      </c>
    </row>
    <row r="30" spans="1:13" s="1" customFormat="1" ht="14.1" customHeight="1">
      <c r="A30" s="45"/>
      <c r="B30" s="40" t="s">
        <v>319</v>
      </c>
      <c r="C30" s="41"/>
      <c r="D30" s="42" t="s">
        <v>402</v>
      </c>
      <c r="E30" s="43"/>
      <c r="F30" s="43"/>
      <c r="G30" s="44"/>
      <c r="H30" s="79"/>
      <c r="I30" s="79"/>
      <c r="J30" s="37"/>
      <c r="K30" s="38"/>
      <c r="L30" s="38"/>
      <c r="M30" s="174"/>
    </row>
    <row r="31" spans="1:13" s="1" customFormat="1" ht="14.1" customHeight="1">
      <c r="A31" s="45">
        <v>15</v>
      </c>
      <c r="B31" s="56" t="s">
        <v>398</v>
      </c>
      <c r="C31" s="57"/>
      <c r="D31" s="183"/>
      <c r="E31" s="184"/>
      <c r="F31" s="184"/>
      <c r="G31" s="185"/>
      <c r="H31" s="53">
        <f>SUM(I31)-0.8</f>
        <v>11.799999999999999</v>
      </c>
      <c r="I31" s="53">
        <f>SUM(J31)-0.8</f>
        <v>12.6</v>
      </c>
      <c r="J31" s="83">
        <v>13.4</v>
      </c>
      <c r="K31" s="79">
        <f>SUM(J31)+0.8</f>
        <v>14.200000000000001</v>
      </c>
      <c r="L31" s="79">
        <f>SUM(K31)+0.8</f>
        <v>15.000000000000002</v>
      </c>
      <c r="M31" s="146">
        <f>SUM(L31)+1</f>
        <v>16</v>
      </c>
    </row>
    <row r="32" spans="1:13" s="1" customFormat="1" ht="14.1" customHeight="1">
      <c r="A32" s="45"/>
      <c r="B32" s="40" t="s">
        <v>374</v>
      </c>
      <c r="C32" s="41"/>
      <c r="D32" s="42" t="s">
        <v>404</v>
      </c>
      <c r="E32" s="43"/>
      <c r="F32" s="43"/>
      <c r="G32" s="44"/>
      <c r="H32" s="79"/>
      <c r="I32" s="79"/>
      <c r="J32" s="37"/>
      <c r="K32" s="38"/>
      <c r="L32" s="38"/>
      <c r="M32" s="174"/>
    </row>
    <row r="33" spans="1:13" s="1" customFormat="1" ht="14.1" customHeight="1">
      <c r="A33" s="45">
        <v>16</v>
      </c>
      <c r="B33" s="56" t="s">
        <v>399</v>
      </c>
      <c r="C33" s="57"/>
      <c r="D33" s="183"/>
      <c r="E33" s="184"/>
      <c r="F33" s="184"/>
      <c r="G33" s="185"/>
      <c r="H33" s="53">
        <f>SUM(I33)-1</f>
        <v>12</v>
      </c>
      <c r="I33" s="53">
        <f>SUM(J33)-1</f>
        <v>13</v>
      </c>
      <c r="J33" s="83">
        <v>14</v>
      </c>
      <c r="K33" s="79">
        <f>SUM(J33)+1</f>
        <v>15</v>
      </c>
      <c r="L33" s="79">
        <f>SUM(K33)+1</f>
        <v>16</v>
      </c>
      <c r="M33" s="146">
        <f>SUM(L33)+1</f>
        <v>17</v>
      </c>
    </row>
    <row r="34" spans="1:13" s="1" customFormat="1" ht="14.1" customHeight="1">
      <c r="A34" s="45"/>
      <c r="B34" s="40" t="s">
        <v>375</v>
      </c>
      <c r="C34" s="41"/>
      <c r="D34" s="42" t="s">
        <v>405</v>
      </c>
      <c r="E34" s="43"/>
      <c r="F34" s="43"/>
      <c r="G34" s="44"/>
      <c r="H34" s="79"/>
      <c r="I34" s="79"/>
      <c r="J34" s="37"/>
      <c r="K34" s="38"/>
      <c r="L34" s="38"/>
      <c r="M34" s="174"/>
    </row>
    <row r="35" spans="1:13" s="1" customFormat="1" ht="14.1" customHeight="1">
      <c r="A35" s="45">
        <v>17</v>
      </c>
      <c r="B35" s="56" t="s">
        <v>400</v>
      </c>
      <c r="C35" s="57"/>
      <c r="D35" s="183"/>
      <c r="E35" s="184"/>
      <c r="F35" s="184"/>
      <c r="G35" s="185"/>
      <c r="H35" s="53">
        <f>SUM(I35)-1.2</f>
        <v>14.600000000000001</v>
      </c>
      <c r="I35" s="53">
        <f>SUM(J35)-1.2</f>
        <v>15.8</v>
      </c>
      <c r="J35" s="83">
        <v>17</v>
      </c>
      <c r="K35" s="79">
        <f>SUM(J35)+1.2</f>
        <v>18.2</v>
      </c>
      <c r="L35" s="79">
        <f>SUM(K35)+1.2</f>
        <v>19.399999999999999</v>
      </c>
      <c r="M35" s="146">
        <f>SUM(L35)+1</f>
        <v>20.399999999999999</v>
      </c>
    </row>
    <row r="36" spans="1:13" s="1" customFormat="1" ht="14.1" customHeight="1">
      <c r="A36" s="45"/>
      <c r="B36" s="40" t="s">
        <v>403</v>
      </c>
      <c r="C36" s="41"/>
      <c r="D36" s="42" t="s">
        <v>402</v>
      </c>
      <c r="E36" s="43"/>
      <c r="F36" s="43"/>
      <c r="G36" s="44"/>
      <c r="H36" s="79"/>
      <c r="I36" s="79"/>
      <c r="J36" s="37"/>
      <c r="K36" s="38"/>
      <c r="L36" s="38"/>
      <c r="M36" s="174"/>
    </row>
    <row r="37" spans="1:13" s="1" customFormat="1" ht="14.1" customHeight="1">
      <c r="A37" s="45">
        <v>18</v>
      </c>
      <c r="B37" s="47" t="s">
        <v>171</v>
      </c>
      <c r="C37" s="48"/>
      <c r="D37" s="49"/>
      <c r="E37" s="50"/>
      <c r="F37" s="50"/>
      <c r="G37" s="51"/>
      <c r="H37" s="52">
        <f>SUM(I37)-2.4</f>
        <v>25.200000000000003</v>
      </c>
      <c r="I37" s="52">
        <f>SUM(J37)-2.4</f>
        <v>27.6</v>
      </c>
      <c r="J37" s="37">
        <v>30</v>
      </c>
      <c r="K37" s="38">
        <f>SUM(J37)+2.4</f>
        <v>32.4</v>
      </c>
      <c r="L37" s="38">
        <f>SUM(K37)+2.4</f>
        <v>34.799999999999997</v>
      </c>
      <c r="M37" s="174">
        <f>SUM(L37)+2.4</f>
        <v>37.199999999999996</v>
      </c>
    </row>
    <row r="38" spans="1:13" s="1" customFormat="1" ht="14.1" customHeight="1">
      <c r="A38" s="45"/>
      <c r="B38" s="40" t="s">
        <v>188</v>
      </c>
      <c r="C38" s="41"/>
      <c r="D38" s="42"/>
      <c r="E38" s="43"/>
      <c r="F38" s="43"/>
      <c r="G38" s="44"/>
      <c r="H38" s="79"/>
      <c r="I38" s="79"/>
      <c r="J38" s="37"/>
      <c r="K38" s="38"/>
      <c r="L38" s="38"/>
      <c r="M38" s="174"/>
    </row>
    <row r="39" spans="1:13" s="1" customFormat="1" ht="14.1" customHeight="1">
      <c r="A39" s="45">
        <v>19</v>
      </c>
      <c r="B39" s="81"/>
      <c r="C39" s="81"/>
      <c r="D39" s="78"/>
      <c r="E39" s="78"/>
      <c r="F39" s="78"/>
      <c r="G39" s="78"/>
      <c r="H39" s="52"/>
      <c r="I39" s="52"/>
      <c r="J39" s="37"/>
      <c r="K39" s="38"/>
      <c r="L39" s="38"/>
      <c r="M39" s="174">
        <f>SUM(L39)+2.4</f>
        <v>2.4</v>
      </c>
    </row>
    <row r="40" spans="1:13" s="1" customFormat="1" ht="14.1" customHeight="1" thickBot="1">
      <c r="A40" s="74"/>
      <c r="B40" s="190"/>
      <c r="C40" s="190"/>
      <c r="D40" s="180"/>
      <c r="E40" s="181"/>
      <c r="F40" s="181"/>
      <c r="G40" s="182"/>
      <c r="H40" s="77"/>
      <c r="I40" s="77"/>
      <c r="J40" s="66"/>
      <c r="K40" s="67"/>
      <c r="L40" s="67"/>
      <c r="M40" s="177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A13:A14"/>
    <mergeCell ref="B13:C13"/>
    <mergeCell ref="D13:G13"/>
    <mergeCell ref="H13:H14"/>
    <mergeCell ref="I13:I14"/>
    <mergeCell ref="J13:J14"/>
    <mergeCell ref="J7:J8"/>
    <mergeCell ref="K7:K8"/>
    <mergeCell ref="L7:L8"/>
    <mergeCell ref="J11:J12"/>
    <mergeCell ref="K11:K12"/>
    <mergeCell ref="L11:L12"/>
    <mergeCell ref="B12:C12"/>
    <mergeCell ref="D12:G12"/>
    <mergeCell ref="K13:K14"/>
    <mergeCell ref="L13:L14"/>
    <mergeCell ref="B14:C14"/>
    <mergeCell ref="D14:G14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M11:M12"/>
    <mergeCell ref="M13:M14"/>
    <mergeCell ref="M39:M4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K39:K40"/>
    <mergeCell ref="L39:L40"/>
    <mergeCell ref="B40:C40"/>
    <mergeCell ref="D40:G40"/>
    <mergeCell ref="A39:A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AE52-5DC0-4464-872F-482EA9EFC2A8}">
  <sheetPr>
    <tabColor theme="8"/>
    <pageSetUpPr fitToPage="1"/>
  </sheetPr>
  <dimension ref="A1:Q55"/>
  <sheetViews>
    <sheetView zoomScale="110" zoomScaleNormal="110" workbookViewId="0">
      <selection activeCell="B9" sqref="B9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8" customWidth="1"/>
  </cols>
  <sheetData>
    <row r="1" spans="1:17" ht="16.5" customHeight="1" thickBot="1">
      <c r="A1" s="105" t="s">
        <v>413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7" s="1" customFormat="1" ht="14.1" customHeight="1">
      <c r="A3" s="173">
        <v>1</v>
      </c>
      <c r="B3" s="110" t="s">
        <v>39</v>
      </c>
      <c r="C3" s="111"/>
      <c r="D3" s="112" t="s">
        <v>371</v>
      </c>
      <c r="E3" s="113"/>
      <c r="F3" s="113"/>
      <c r="G3" s="114"/>
      <c r="H3" s="52">
        <f>SUM(I3)-5</f>
        <v>57.599999999999994</v>
      </c>
      <c r="I3" s="52">
        <f>SUM(J3)-5</f>
        <v>62.599999999999994</v>
      </c>
      <c r="J3" s="54">
        <v>67.599999999999994</v>
      </c>
      <c r="K3" s="52">
        <f>SUM(J3)+5</f>
        <v>72.599999999999994</v>
      </c>
      <c r="L3" s="52"/>
      <c r="M3" s="147">
        <f>SUM(L3)+5</f>
        <v>5</v>
      </c>
    </row>
    <row r="4" spans="1:17" s="1" customFormat="1" ht="14.1" customHeight="1">
      <c r="A4" s="109"/>
      <c r="B4" s="40" t="s">
        <v>36</v>
      </c>
      <c r="C4" s="41"/>
      <c r="D4" s="42" t="s">
        <v>75</v>
      </c>
      <c r="E4" s="43"/>
      <c r="F4" s="43"/>
      <c r="G4" s="44"/>
      <c r="H4" s="79"/>
      <c r="I4" s="79"/>
      <c r="J4" s="83"/>
      <c r="K4" s="79"/>
      <c r="L4" s="79"/>
      <c r="M4" s="146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21.299999999999997</v>
      </c>
      <c r="I5" s="52">
        <f>SUM(J5)-1.8</f>
        <v>23.099999999999998</v>
      </c>
      <c r="J5" s="54">
        <v>24.9</v>
      </c>
      <c r="K5" s="52">
        <f>SUM(J5)+1.6</f>
        <v>26.5</v>
      </c>
      <c r="L5" s="52"/>
      <c r="M5" s="147">
        <f>SUM(L5)+1.6</f>
        <v>1.6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/>
      <c r="M7" s="147">
        <f>SUM(L7)+2</f>
        <v>2</v>
      </c>
    </row>
    <row r="8" spans="1:17" s="1" customFormat="1" ht="14.1" customHeight="1" thickBo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7" s="1" customFormat="1" ht="14.1" customHeight="1" thickTop="1">
      <c r="A9" s="45">
        <v>4</v>
      </c>
      <c r="B9" s="81" t="s">
        <v>424</v>
      </c>
      <c r="C9" s="81"/>
      <c r="D9" s="78"/>
      <c r="E9" s="78"/>
      <c r="F9" s="78"/>
      <c r="G9" s="78"/>
      <c r="H9" s="52">
        <f>SUM(I9)-3</f>
        <v>52</v>
      </c>
      <c r="I9" s="52">
        <f>SUM(J9)-3</f>
        <v>55</v>
      </c>
      <c r="J9" s="54">
        <v>58</v>
      </c>
      <c r="K9" s="52">
        <f>SUM(J9)+3</f>
        <v>61</v>
      </c>
      <c r="L9" s="52"/>
      <c r="M9" s="147">
        <f>SUM(L9)+3</f>
        <v>3</v>
      </c>
      <c r="Q9" s="10" t="s">
        <v>426</v>
      </c>
    </row>
    <row r="10" spans="1:17" s="1" customFormat="1" ht="14.1" customHeight="1">
      <c r="A10" s="45"/>
      <c r="B10" s="61" t="s">
        <v>425</v>
      </c>
      <c r="C10" s="61"/>
      <c r="D10" s="42" t="s">
        <v>219</v>
      </c>
      <c r="E10" s="43"/>
      <c r="F10" s="43"/>
      <c r="G10" s="44"/>
      <c r="H10" s="79"/>
      <c r="I10" s="79"/>
      <c r="J10" s="83"/>
      <c r="K10" s="79"/>
      <c r="L10" s="79"/>
      <c r="M10" s="146"/>
      <c r="Q10" s="11">
        <f>SUM(H9+I9+J9+K9)</f>
        <v>226</v>
      </c>
    </row>
    <row r="11" spans="1:17" s="1" customFormat="1" ht="14.1" customHeight="1" thickBo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13.799999999999999</v>
      </c>
      <c r="I11" s="52">
        <f>SUM(J11)-0.8</f>
        <v>14.6</v>
      </c>
      <c r="J11" s="37">
        <v>15.4</v>
      </c>
      <c r="K11" s="38">
        <f>SUM(J11)+0.8</f>
        <v>16.2</v>
      </c>
      <c r="L11" s="38"/>
      <c r="M11" s="174">
        <f>SUM(L11)+0.8</f>
        <v>0.8</v>
      </c>
      <c r="Q11" s="12">
        <f>SUM(Q10/4/91.44*1.08)</f>
        <v>0.66732283464566944</v>
      </c>
    </row>
    <row r="12" spans="1:17" s="1" customFormat="1" ht="14.1" customHeight="1" thickTop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174"/>
      <c r="Q12" s="11" t="s">
        <v>428</v>
      </c>
    </row>
    <row r="13" spans="1:17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12.5</v>
      </c>
      <c r="I13" s="52">
        <f>SUM(J13)-0.6</f>
        <v>13.1</v>
      </c>
      <c r="J13" s="37">
        <v>13.7</v>
      </c>
      <c r="K13" s="38">
        <f>SUM(J13)+0.6</f>
        <v>14.299999999999999</v>
      </c>
      <c r="L13" s="38"/>
      <c r="M13" s="174">
        <f>SUM(L13)+0.6</f>
        <v>0.6</v>
      </c>
      <c r="Q13" s="11">
        <f>SUM(H27+I27+J27+K27)*2</f>
        <v>173.59999999999997</v>
      </c>
    </row>
    <row r="14" spans="1:17" s="1" customFormat="1" ht="14.1" customHeight="1" thickBo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174"/>
      <c r="Q14" s="12">
        <f>SUM(Q13/91.44/4*1.08)</f>
        <v>0.51259842519685039</v>
      </c>
    </row>
    <row r="15" spans="1:17" s="1" customFormat="1" ht="14.1" customHeight="1" thickTop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6.2</v>
      </c>
      <c r="I15" s="52">
        <f>SUM(J15)-0.3</f>
        <v>6.5</v>
      </c>
      <c r="J15" s="37">
        <v>6.8</v>
      </c>
      <c r="K15" s="38">
        <f>SUM(J15)+0.3</f>
        <v>7.1</v>
      </c>
      <c r="L15" s="38"/>
      <c r="M15" s="174">
        <f>SUM(L15)+0.3</f>
        <v>0.3</v>
      </c>
    </row>
    <row r="16" spans="1:17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74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81">
        <f>SUM(I17)-1.6</f>
        <v>33.4</v>
      </c>
      <c r="I17" s="81">
        <f>SUM(J17)-1.6</f>
        <v>35</v>
      </c>
      <c r="J17" s="176">
        <v>36.6</v>
      </c>
      <c r="K17" s="175">
        <f>SUM(J17)+1.6</f>
        <v>38.200000000000003</v>
      </c>
      <c r="L17" s="175"/>
      <c r="M17" s="174">
        <f>SUM(L17)+1.6</f>
        <v>1.6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61"/>
      <c r="I18" s="61"/>
      <c r="J18" s="176"/>
      <c r="K18" s="175"/>
      <c r="L18" s="175"/>
      <c r="M18" s="174"/>
    </row>
    <row r="19" spans="1:13" s="1" customFormat="1" ht="14.1" customHeight="1">
      <c r="A19" s="45">
        <v>9</v>
      </c>
      <c r="B19" s="81" t="s">
        <v>414</v>
      </c>
      <c r="C19" s="81"/>
      <c r="D19" s="78" t="s">
        <v>5</v>
      </c>
      <c r="E19" s="78"/>
      <c r="F19" s="78"/>
      <c r="G19" s="78"/>
      <c r="H19" s="52">
        <f>SUM(I19)-3.6</f>
        <v>35.799999999999997</v>
      </c>
      <c r="I19" s="52">
        <f>SUM(J19)-3.6</f>
        <v>39.4</v>
      </c>
      <c r="J19" s="37">
        <v>43</v>
      </c>
      <c r="K19" s="175">
        <f>SUM(J19)+3.7</f>
        <v>46.7</v>
      </c>
      <c r="L19" s="175"/>
      <c r="M19" s="174">
        <f>SUM(L19)+3.7</f>
        <v>3.7</v>
      </c>
    </row>
    <row r="20" spans="1:13" s="1" customFormat="1" ht="14.1" customHeight="1">
      <c r="A20" s="45"/>
      <c r="B20" s="61" t="s">
        <v>415</v>
      </c>
      <c r="C20" s="61"/>
      <c r="D20" s="42" t="s">
        <v>420</v>
      </c>
      <c r="E20" s="43"/>
      <c r="F20" s="43"/>
      <c r="G20" s="44"/>
      <c r="H20" s="79"/>
      <c r="I20" s="79"/>
      <c r="J20" s="37"/>
      <c r="K20" s="175"/>
      <c r="L20" s="175"/>
      <c r="M20" s="174"/>
    </row>
    <row r="21" spans="1:13" s="1" customFormat="1" ht="14.1" customHeight="1">
      <c r="A21" s="45">
        <v>9</v>
      </c>
      <c r="B21" s="47" t="s">
        <v>416</v>
      </c>
      <c r="C21" s="48"/>
      <c r="D21" s="78"/>
      <c r="E21" s="78"/>
      <c r="F21" s="78"/>
      <c r="G21" s="78"/>
      <c r="H21" s="52">
        <f>SUM(I21)-3.6</f>
        <v>35.4</v>
      </c>
      <c r="I21" s="52">
        <f>SUM(J21)-3.6</f>
        <v>39</v>
      </c>
      <c r="J21" s="37">
        <v>42.6</v>
      </c>
      <c r="K21" s="175">
        <f>SUM(J21)+3.7</f>
        <v>46.300000000000004</v>
      </c>
      <c r="L21" s="175"/>
      <c r="M21" s="174">
        <f>SUM(L21)+3.7</f>
        <v>3.7</v>
      </c>
    </row>
    <row r="22" spans="1:13" s="1" customFormat="1" ht="14.1" customHeight="1">
      <c r="A22" s="45"/>
      <c r="B22" s="61" t="s">
        <v>417</v>
      </c>
      <c r="C22" s="61"/>
      <c r="D22" s="126" t="s">
        <v>419</v>
      </c>
      <c r="E22" s="43"/>
      <c r="F22" s="43"/>
      <c r="G22" s="44"/>
      <c r="H22" s="79"/>
      <c r="I22" s="79"/>
      <c r="J22" s="37"/>
      <c r="K22" s="175"/>
      <c r="L22" s="175"/>
      <c r="M22" s="174"/>
    </row>
    <row r="23" spans="1:13" s="1" customFormat="1" ht="14.1" customHeight="1">
      <c r="A23" s="45">
        <v>10</v>
      </c>
      <c r="B23" s="81" t="s">
        <v>6</v>
      </c>
      <c r="C23" s="81"/>
      <c r="D23" s="75" t="s">
        <v>7</v>
      </c>
      <c r="E23" s="62"/>
      <c r="F23" s="62"/>
      <c r="G23" s="76"/>
      <c r="H23" s="52"/>
      <c r="I23" s="52"/>
      <c r="J23" s="37"/>
      <c r="K23" s="38"/>
      <c r="L23" s="38"/>
      <c r="M23" s="147"/>
    </row>
    <row r="24" spans="1:13" s="1" customFormat="1" ht="14.1" customHeight="1">
      <c r="A24" s="45"/>
      <c r="B24" s="61" t="s">
        <v>30</v>
      </c>
      <c r="C24" s="61"/>
      <c r="D24" s="42" t="s">
        <v>65</v>
      </c>
      <c r="E24" s="43"/>
      <c r="F24" s="43"/>
      <c r="G24" s="44"/>
      <c r="H24" s="79"/>
      <c r="I24" s="79"/>
      <c r="J24" s="37"/>
      <c r="K24" s="38"/>
      <c r="L24" s="38"/>
      <c r="M24" s="146"/>
    </row>
    <row r="25" spans="1:13" s="1" customFormat="1" ht="14.1" customHeight="1">
      <c r="A25" s="45">
        <v>13</v>
      </c>
      <c r="B25" s="47" t="s">
        <v>421</v>
      </c>
      <c r="C25" s="48"/>
      <c r="D25" s="78" t="s">
        <v>66</v>
      </c>
      <c r="E25" s="78"/>
      <c r="F25" s="78"/>
      <c r="G25" s="78"/>
      <c r="H25" s="52">
        <f>SUM(I25)-0.7</f>
        <v>13.700000000000001</v>
      </c>
      <c r="I25" s="52">
        <f>SUM(J25)-0.7</f>
        <v>14.4</v>
      </c>
      <c r="J25" s="37">
        <v>15.1</v>
      </c>
      <c r="K25" s="38">
        <f>SUM(J25)+0.7</f>
        <v>15.799999999999999</v>
      </c>
      <c r="L25" s="38"/>
      <c r="M25" s="174">
        <f>SUM(L25)+0.6</f>
        <v>0.6</v>
      </c>
    </row>
    <row r="26" spans="1:13" s="1" customFormat="1" ht="14.1" customHeight="1">
      <c r="A26" s="45"/>
      <c r="B26" s="61" t="s">
        <v>422</v>
      </c>
      <c r="C26" s="61"/>
      <c r="D26" s="42" t="s">
        <v>423</v>
      </c>
      <c r="E26" s="43"/>
      <c r="F26" s="43"/>
      <c r="G26" s="44"/>
      <c r="H26" s="79"/>
      <c r="I26" s="79"/>
      <c r="J26" s="37"/>
      <c r="K26" s="38"/>
      <c r="L26" s="38"/>
      <c r="M26" s="174"/>
    </row>
    <row r="27" spans="1:13" s="1" customFormat="1" ht="14.1" customHeight="1">
      <c r="A27" s="45">
        <v>11</v>
      </c>
      <c r="B27" s="47" t="s">
        <v>418</v>
      </c>
      <c r="C27" s="48"/>
      <c r="D27" s="78"/>
      <c r="E27" s="78"/>
      <c r="F27" s="78"/>
      <c r="G27" s="78"/>
      <c r="H27" s="52">
        <f>SUM(I27)-0.6</f>
        <v>20.799999999999997</v>
      </c>
      <c r="I27" s="52">
        <f>SUM(J27)-0.6</f>
        <v>21.4</v>
      </c>
      <c r="J27" s="37">
        <v>22</v>
      </c>
      <c r="K27" s="38">
        <f>SUM(J27)+0.6</f>
        <v>22.6</v>
      </c>
      <c r="L27" s="38"/>
      <c r="M27" s="174">
        <f>SUM(L27)+0.6</f>
        <v>0.6</v>
      </c>
    </row>
    <row r="28" spans="1:13" s="1" customFormat="1" ht="14.1" customHeight="1">
      <c r="A28" s="45"/>
      <c r="B28" s="61" t="s">
        <v>427</v>
      </c>
      <c r="C28" s="61"/>
      <c r="D28" s="126" t="s">
        <v>419</v>
      </c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12</v>
      </c>
      <c r="B29" s="47" t="s">
        <v>380</v>
      </c>
      <c r="C29" s="48"/>
      <c r="D29" s="49"/>
      <c r="E29" s="50"/>
      <c r="F29" s="50"/>
      <c r="G29" s="51"/>
      <c r="H29" s="52">
        <f>SUM(I29)-2</f>
        <v>22</v>
      </c>
      <c r="I29" s="52">
        <f>SUM(J29)-2</f>
        <v>24</v>
      </c>
      <c r="J29" s="54">
        <v>26</v>
      </c>
      <c r="K29" s="52">
        <f>SUM(J29)+2</f>
        <v>28</v>
      </c>
      <c r="L29" s="52"/>
      <c r="M29" s="147">
        <f>SUM(L29)+3</f>
        <v>3</v>
      </c>
    </row>
    <row r="30" spans="1:13" s="1" customFormat="1" ht="14.1" customHeight="1">
      <c r="A30" s="45"/>
      <c r="B30" s="40" t="s">
        <v>381</v>
      </c>
      <c r="C30" s="41"/>
      <c r="D30" s="42" t="s">
        <v>382</v>
      </c>
      <c r="E30" s="43"/>
      <c r="F30" s="43"/>
      <c r="G30" s="44"/>
      <c r="H30" s="79"/>
      <c r="I30" s="79"/>
      <c r="J30" s="83"/>
      <c r="K30" s="79"/>
      <c r="L30" s="79"/>
      <c r="M30" s="146"/>
    </row>
    <row r="31" spans="1:13" s="1" customFormat="1" ht="14.1" customHeight="1">
      <c r="A31" s="45">
        <v>13</v>
      </c>
      <c r="B31" s="47" t="s">
        <v>155</v>
      </c>
      <c r="C31" s="48"/>
      <c r="D31" s="150"/>
      <c r="E31" s="151"/>
      <c r="F31" s="151"/>
      <c r="G31" s="152"/>
      <c r="H31" s="52">
        <f>SUM(I31)-1.7</f>
        <v>20.200000000000003</v>
      </c>
      <c r="I31" s="52">
        <f>SUM(J31)-1.7</f>
        <v>21.900000000000002</v>
      </c>
      <c r="J31" s="54">
        <v>23.6</v>
      </c>
      <c r="K31" s="52">
        <f>SUM(J31)+1.7</f>
        <v>25.3</v>
      </c>
      <c r="L31" s="52"/>
      <c r="M31" s="147">
        <f>SUM(L31)+0.9</f>
        <v>0.9</v>
      </c>
    </row>
    <row r="32" spans="1:13" s="1" customFormat="1" ht="14.1" customHeight="1">
      <c r="A32" s="45"/>
      <c r="B32" s="79" t="s">
        <v>374</v>
      </c>
      <c r="C32" s="79"/>
      <c r="D32" s="159" t="s">
        <v>383</v>
      </c>
      <c r="E32" s="160"/>
      <c r="F32" s="160"/>
      <c r="G32" s="161"/>
      <c r="H32" s="79"/>
      <c r="I32" s="79"/>
      <c r="J32" s="83"/>
      <c r="K32" s="79"/>
      <c r="L32" s="79"/>
      <c r="M32" s="146"/>
    </row>
    <row r="33" spans="1:13" s="1" customFormat="1" ht="14.1" customHeight="1">
      <c r="A33" s="45">
        <v>14</v>
      </c>
      <c r="B33" s="47" t="s">
        <v>157</v>
      </c>
      <c r="C33" s="48"/>
      <c r="D33" s="150"/>
      <c r="E33" s="151"/>
      <c r="F33" s="151"/>
      <c r="G33" s="152"/>
      <c r="H33" s="52">
        <f>SUM(I33)-1.4</f>
        <v>16.200000000000003</v>
      </c>
      <c r="I33" s="52">
        <f>SUM(J33)-1.4</f>
        <v>17.600000000000001</v>
      </c>
      <c r="J33" s="54">
        <v>19</v>
      </c>
      <c r="K33" s="52">
        <f>SUM(J33)+1.4</f>
        <v>20.399999999999999</v>
      </c>
      <c r="L33" s="52"/>
      <c r="M33" s="147">
        <f>SUM(L33)+1.1</f>
        <v>1.1000000000000001</v>
      </c>
    </row>
    <row r="34" spans="1:13" s="1" customFormat="1" ht="14.1" customHeight="1">
      <c r="A34" s="45"/>
      <c r="B34" s="79" t="s">
        <v>375</v>
      </c>
      <c r="C34" s="79"/>
      <c r="D34" s="159" t="s">
        <v>383</v>
      </c>
      <c r="E34" s="160"/>
      <c r="F34" s="160"/>
      <c r="G34" s="161"/>
      <c r="H34" s="79"/>
      <c r="I34" s="79"/>
      <c r="J34" s="83"/>
      <c r="K34" s="79"/>
      <c r="L34" s="79"/>
      <c r="M34" s="146"/>
    </row>
    <row r="35" spans="1:13" s="1" customFormat="1" ht="14.1" customHeight="1">
      <c r="A35" s="45">
        <v>15</v>
      </c>
      <c r="B35" s="47" t="s">
        <v>384</v>
      </c>
      <c r="C35" s="48"/>
      <c r="D35" s="150"/>
      <c r="E35" s="151"/>
      <c r="F35" s="151"/>
      <c r="G35" s="152"/>
      <c r="H35" s="52">
        <f>SUM(I35)-2.4</f>
        <v>27.200000000000003</v>
      </c>
      <c r="I35" s="52">
        <f>SUM(J35)-2.4</f>
        <v>29.6</v>
      </c>
      <c r="J35" s="54">
        <v>32</v>
      </c>
      <c r="K35" s="52">
        <f>SUM(J35)+2.4</f>
        <v>34.4</v>
      </c>
      <c r="L35" s="52"/>
      <c r="M35" s="174"/>
    </row>
    <row r="36" spans="1:13" s="1" customFormat="1" ht="14.1" customHeight="1">
      <c r="A36" s="45"/>
      <c r="B36" s="40" t="s">
        <v>385</v>
      </c>
      <c r="C36" s="41"/>
      <c r="D36" s="159" t="s">
        <v>386</v>
      </c>
      <c r="E36" s="160"/>
      <c r="F36" s="160"/>
      <c r="G36" s="161"/>
      <c r="H36" s="79"/>
      <c r="I36" s="79"/>
      <c r="J36" s="83"/>
      <c r="K36" s="79"/>
      <c r="L36" s="79"/>
      <c r="M36" s="174"/>
    </row>
    <row r="37" spans="1:13" ht="14.1" customHeight="1">
      <c r="A37" s="45">
        <v>16</v>
      </c>
      <c r="B37" s="56"/>
      <c r="C37" s="57"/>
      <c r="D37" s="183"/>
      <c r="E37" s="184"/>
      <c r="F37" s="184"/>
      <c r="G37" s="185"/>
      <c r="H37" s="53"/>
      <c r="I37" s="53"/>
      <c r="J37" s="83"/>
      <c r="K37" s="79"/>
      <c r="L37" s="79"/>
      <c r="M37" s="146"/>
    </row>
    <row r="38" spans="1:13" ht="14.1" customHeight="1" thickBot="1">
      <c r="A38" s="74"/>
      <c r="B38" s="178"/>
      <c r="C38" s="179"/>
      <c r="D38" s="180"/>
      <c r="E38" s="181"/>
      <c r="F38" s="181"/>
      <c r="G38" s="182"/>
      <c r="H38" s="77"/>
      <c r="I38" s="77"/>
      <c r="J38" s="66"/>
      <c r="K38" s="67"/>
      <c r="L38" s="67"/>
      <c r="M38" s="177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201">
    <mergeCell ref="K33:K34"/>
    <mergeCell ref="L33:L34"/>
    <mergeCell ref="M33:M34"/>
    <mergeCell ref="J33:J34"/>
    <mergeCell ref="J31:J32"/>
    <mergeCell ref="K31:K32"/>
    <mergeCell ref="L31:L32"/>
    <mergeCell ref="M31:M32"/>
    <mergeCell ref="K37:K38"/>
    <mergeCell ref="L37:L38"/>
    <mergeCell ref="M37:M38"/>
    <mergeCell ref="B38:C38"/>
    <mergeCell ref="D38:G38"/>
    <mergeCell ref="J37:J38"/>
    <mergeCell ref="J35:J36"/>
    <mergeCell ref="K35:K36"/>
    <mergeCell ref="L35:L36"/>
    <mergeCell ref="M35:M36"/>
    <mergeCell ref="A37:A38"/>
    <mergeCell ref="B37:C37"/>
    <mergeCell ref="D37:G37"/>
    <mergeCell ref="H37:H38"/>
    <mergeCell ref="I37:I38"/>
    <mergeCell ref="B36:C36"/>
    <mergeCell ref="D36:G36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3:K24"/>
    <mergeCell ref="L23:L24"/>
    <mergeCell ref="M23:M24"/>
    <mergeCell ref="B24:C24"/>
    <mergeCell ref="D24:G24"/>
    <mergeCell ref="J23:J24"/>
    <mergeCell ref="J25:J26"/>
    <mergeCell ref="K25:K26"/>
    <mergeCell ref="L25:L26"/>
    <mergeCell ref="M25:M26"/>
    <mergeCell ref="A27:A28"/>
    <mergeCell ref="B27:C27"/>
    <mergeCell ref="D27:G27"/>
    <mergeCell ref="H27:H28"/>
    <mergeCell ref="I27:I28"/>
    <mergeCell ref="A23:A24"/>
    <mergeCell ref="B23:C23"/>
    <mergeCell ref="D23:G23"/>
    <mergeCell ref="H23:H24"/>
    <mergeCell ref="I23:I24"/>
    <mergeCell ref="A25:A26"/>
    <mergeCell ref="B25:C25"/>
    <mergeCell ref="D25:G25"/>
    <mergeCell ref="H25:H26"/>
    <mergeCell ref="I25:I26"/>
    <mergeCell ref="B26:C26"/>
    <mergeCell ref="D26:G26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A62-C868-4BCC-A886-03CB9E2028AB}">
  <sheetPr>
    <tabColor theme="8"/>
    <pageSetUpPr fitToPage="1"/>
  </sheetPr>
  <dimension ref="A1:P57"/>
  <sheetViews>
    <sheetView topLeftCell="A13" zoomScale="110" zoomScaleNormal="110" workbookViewId="0">
      <selection activeCell="P16" sqref="P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105" t="s">
        <v>460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SUM(I3)-5</f>
        <v>59</v>
      </c>
      <c r="I3" s="52">
        <f>SUM(J3)-5</f>
        <v>64</v>
      </c>
      <c r="J3" s="193">
        <v>69</v>
      </c>
      <c r="K3" s="194">
        <f>SUM(J3)+5</f>
        <v>74</v>
      </c>
      <c r="L3" s="194">
        <f>SUM(K3)+5</f>
        <v>79</v>
      </c>
      <c r="M3" s="197">
        <f>SUM(L3)+5</f>
        <v>84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147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22.2</v>
      </c>
      <c r="I5" s="52">
        <f>SUM(J5)-1.8</f>
        <v>24</v>
      </c>
      <c r="J5" s="54">
        <v>25.8</v>
      </c>
      <c r="K5" s="52">
        <f>SUM(J5)+1.6</f>
        <v>27.400000000000002</v>
      </c>
      <c r="L5" s="52">
        <f>SUM(K5)+1.6</f>
        <v>29.000000000000004</v>
      </c>
      <c r="M5" s="147">
        <f>SUM(L5)+1.6</f>
        <v>30.600000000000005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147">
        <f>SUM(L7)+2</f>
        <v>39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6" s="1" customFormat="1" ht="14.1" customHeight="1">
      <c r="A9" s="45">
        <v>4</v>
      </c>
      <c r="B9" s="81" t="s">
        <v>424</v>
      </c>
      <c r="C9" s="81"/>
      <c r="D9" s="78"/>
      <c r="E9" s="78"/>
      <c r="F9" s="78"/>
      <c r="G9" s="78"/>
      <c r="H9" s="52">
        <f>SUM(I9)-3</f>
        <v>52</v>
      </c>
      <c r="I9" s="52">
        <f>SUM(J9)-3</f>
        <v>55</v>
      </c>
      <c r="J9" s="54">
        <v>58</v>
      </c>
      <c r="K9" s="52">
        <f>SUM(J9)+3</f>
        <v>61</v>
      </c>
      <c r="L9" s="52">
        <f>SUM(K9)+3</f>
        <v>64</v>
      </c>
      <c r="M9" s="147">
        <f>SUM(L9)+1.9</f>
        <v>65.900000000000006</v>
      </c>
    </row>
    <row r="10" spans="1:16" s="1" customFormat="1" ht="14.1" customHeight="1">
      <c r="A10" s="45"/>
      <c r="B10" s="61" t="s">
        <v>425</v>
      </c>
      <c r="C10" s="61"/>
      <c r="D10" s="42" t="s">
        <v>219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6" s="1" customFormat="1" ht="14.1" customHeight="1">
      <c r="A11" s="45">
        <v>5</v>
      </c>
      <c r="B11" s="47" t="s">
        <v>406</v>
      </c>
      <c r="C11" s="48"/>
      <c r="D11" s="75"/>
      <c r="E11" s="62"/>
      <c r="F11" s="62"/>
      <c r="G11" s="76"/>
      <c r="H11" s="53">
        <f>SUM(I11)-0.6</f>
        <v>9.8000000000000007</v>
      </c>
      <c r="I11" s="53">
        <f>SUM(J11)-0.6</f>
        <v>10.4</v>
      </c>
      <c r="J11" s="83">
        <v>11</v>
      </c>
      <c r="K11" s="79">
        <f>SUM(J11)+0.6</f>
        <v>11.6</v>
      </c>
      <c r="L11" s="79">
        <f>SUM(K11)+0.6</f>
        <v>12.2</v>
      </c>
      <c r="M11" s="147">
        <f t="shared" ref="M11" si="0">SUM(L11)+1.9</f>
        <v>14.1</v>
      </c>
    </row>
    <row r="12" spans="1:16" s="1" customFormat="1" ht="14.1" customHeight="1">
      <c r="A12" s="45"/>
      <c r="B12" s="40" t="s">
        <v>146</v>
      </c>
      <c r="C12" s="41"/>
      <c r="D12" s="42" t="s">
        <v>461</v>
      </c>
      <c r="E12" s="43"/>
      <c r="F12" s="43"/>
      <c r="G12" s="44"/>
      <c r="H12" s="79"/>
      <c r="I12" s="79"/>
      <c r="J12" s="37"/>
      <c r="K12" s="38"/>
      <c r="L12" s="38"/>
      <c r="M12" s="146"/>
    </row>
    <row r="13" spans="1:16" s="1" customFormat="1" ht="14.1" customHeight="1" thickBot="1">
      <c r="A13" s="45">
        <v>6</v>
      </c>
      <c r="B13" s="47" t="s">
        <v>165</v>
      </c>
      <c r="C13" s="48"/>
      <c r="D13" s="75"/>
      <c r="E13" s="62"/>
      <c r="F13" s="62"/>
      <c r="G13" s="76"/>
      <c r="H13" s="52">
        <f>SUM(I13)-0.4</f>
        <v>5.3999999999999995</v>
      </c>
      <c r="I13" s="52">
        <f>SUM(J13)-0.4</f>
        <v>5.8</v>
      </c>
      <c r="J13" s="37">
        <v>6.2</v>
      </c>
      <c r="K13" s="38">
        <f>SUM(J13)+0.4</f>
        <v>6.6000000000000005</v>
      </c>
      <c r="L13" s="38">
        <f>SUM(K13)+0.4</f>
        <v>7.0000000000000009</v>
      </c>
      <c r="M13" s="147">
        <f t="shared" ref="M13" si="1">SUM(L13)+1.9</f>
        <v>8.9</v>
      </c>
    </row>
    <row r="14" spans="1:16" s="1" customFormat="1" ht="14.1" customHeight="1" thickTop="1">
      <c r="A14" s="45"/>
      <c r="B14" s="40" t="s">
        <v>462</v>
      </c>
      <c r="C14" s="41"/>
      <c r="D14" s="42" t="s">
        <v>167</v>
      </c>
      <c r="E14" s="43"/>
      <c r="F14" s="43"/>
      <c r="G14" s="44"/>
      <c r="H14" s="79"/>
      <c r="I14" s="79"/>
      <c r="J14" s="37"/>
      <c r="K14" s="38"/>
      <c r="L14" s="38"/>
      <c r="M14" s="146"/>
      <c r="P14" s="23" t="s">
        <v>426</v>
      </c>
    </row>
    <row r="15" spans="1:16" s="1" customFormat="1" ht="14.1" customHeight="1">
      <c r="A15" s="45">
        <v>7</v>
      </c>
      <c r="B15" s="47" t="s">
        <v>168</v>
      </c>
      <c r="C15" s="48"/>
      <c r="D15" s="75"/>
      <c r="E15" s="62"/>
      <c r="F15" s="62"/>
      <c r="G15" s="76"/>
      <c r="H15" s="52">
        <f>SUM(I15)-0.6</f>
        <v>9.3000000000000007</v>
      </c>
      <c r="I15" s="52">
        <f>SUM(J15)-0.6</f>
        <v>9.9</v>
      </c>
      <c r="J15" s="37">
        <v>10.5</v>
      </c>
      <c r="K15" s="38">
        <f>SUM(J15)+0.6</f>
        <v>11.1</v>
      </c>
      <c r="L15" s="38">
        <f>SUM(K15)+0.6</f>
        <v>11.7</v>
      </c>
      <c r="M15" s="147">
        <f t="shared" ref="M15" si="2">SUM(L15)+1.9</f>
        <v>13.6</v>
      </c>
      <c r="P15" s="24">
        <f>SUM(H9+I9+J9+K9+L9)</f>
        <v>290</v>
      </c>
    </row>
    <row r="16" spans="1:16" s="1" customFormat="1" ht="14.1" customHeight="1" thickBot="1">
      <c r="A16" s="45"/>
      <c r="B16" s="40" t="s">
        <v>463</v>
      </c>
      <c r="C16" s="41"/>
      <c r="D16" s="42" t="s">
        <v>149</v>
      </c>
      <c r="E16" s="43"/>
      <c r="F16" s="43"/>
      <c r="G16" s="44"/>
      <c r="H16" s="79"/>
      <c r="I16" s="79"/>
      <c r="J16" s="37"/>
      <c r="K16" s="38"/>
      <c r="L16" s="38"/>
      <c r="M16" s="146"/>
      <c r="P16" s="25">
        <f>SUM(P15/5/91.44*1.08)</f>
        <v>0.68503937007874016</v>
      </c>
    </row>
    <row r="17" spans="1:13" s="1" customFormat="1" ht="14.1" customHeight="1" thickTop="1">
      <c r="A17" s="45">
        <v>8</v>
      </c>
      <c r="B17" s="47" t="s">
        <v>464</v>
      </c>
      <c r="C17" s="48"/>
      <c r="D17" s="75"/>
      <c r="E17" s="62"/>
      <c r="F17" s="62"/>
      <c r="G17" s="76"/>
      <c r="H17" s="52">
        <f>SUM(I17)-0.3</f>
        <v>3.9000000000000004</v>
      </c>
      <c r="I17" s="52">
        <f>SUM(J17)-0.3</f>
        <v>4.2</v>
      </c>
      <c r="J17" s="37">
        <v>4.5</v>
      </c>
      <c r="K17" s="38">
        <f>SUM(J17)+0.3</f>
        <v>4.8</v>
      </c>
      <c r="L17" s="38">
        <f>SUM(K17)+0.3</f>
        <v>5.0999999999999996</v>
      </c>
      <c r="M17" s="147">
        <f t="shared" ref="M17" si="3">SUM(L17)+1.9</f>
        <v>7</v>
      </c>
    </row>
    <row r="18" spans="1:13" s="1" customFormat="1" ht="14.1" customHeight="1">
      <c r="A18" s="45"/>
      <c r="B18" s="40" t="s">
        <v>465</v>
      </c>
      <c r="C18" s="41"/>
      <c r="D18" s="42" t="s">
        <v>359</v>
      </c>
      <c r="E18" s="43"/>
      <c r="F18" s="43"/>
      <c r="G18" s="44"/>
      <c r="H18" s="79"/>
      <c r="I18" s="79"/>
      <c r="J18" s="37"/>
      <c r="K18" s="38"/>
      <c r="L18" s="38"/>
      <c r="M18" s="146"/>
    </row>
    <row r="19" spans="1:13" s="1" customFormat="1" ht="14.1" customHeight="1">
      <c r="A19" s="45">
        <v>9</v>
      </c>
      <c r="B19" s="81" t="s">
        <v>10</v>
      </c>
      <c r="C19" s="81"/>
      <c r="D19" s="78" t="s">
        <v>0</v>
      </c>
      <c r="E19" s="78"/>
      <c r="F19" s="78"/>
      <c r="G19" s="78"/>
      <c r="H19" s="52">
        <f>SUM(I19)-0.8</f>
        <v>13.599999999999998</v>
      </c>
      <c r="I19" s="52">
        <f>SUM(J19)-0.8</f>
        <v>14.399999999999999</v>
      </c>
      <c r="J19" s="37">
        <v>15.2</v>
      </c>
      <c r="K19" s="38">
        <f>SUM(J19)+0.8</f>
        <v>16</v>
      </c>
      <c r="L19" s="38">
        <f>SUM(K19)+0.8</f>
        <v>16.8</v>
      </c>
      <c r="M19" s="174">
        <f>SUM(L19)+0.9</f>
        <v>17.7</v>
      </c>
    </row>
    <row r="20" spans="1:13" s="1" customFormat="1" ht="14.1" customHeight="1">
      <c r="A20" s="45"/>
      <c r="B20" s="61" t="s">
        <v>26</v>
      </c>
      <c r="C20" s="61"/>
      <c r="D20" s="42" t="s">
        <v>45</v>
      </c>
      <c r="E20" s="43"/>
      <c r="F20" s="43"/>
      <c r="G20" s="44"/>
      <c r="H20" s="79"/>
      <c r="I20" s="79"/>
      <c r="J20" s="37"/>
      <c r="K20" s="38"/>
      <c r="L20" s="38"/>
      <c r="M20" s="174"/>
    </row>
    <row r="21" spans="1:13" s="1" customFormat="1" ht="14.1" customHeight="1">
      <c r="A21" s="45">
        <v>10</v>
      </c>
      <c r="B21" s="81" t="s">
        <v>1</v>
      </c>
      <c r="C21" s="81"/>
      <c r="D21" s="78" t="s">
        <v>141</v>
      </c>
      <c r="E21" s="78"/>
      <c r="F21" s="78"/>
      <c r="G21" s="78"/>
      <c r="H21" s="52">
        <f>SUM(I21)-0.6</f>
        <v>12</v>
      </c>
      <c r="I21" s="52">
        <f>SUM(J21)-0.6</f>
        <v>12.6</v>
      </c>
      <c r="J21" s="37">
        <v>13.2</v>
      </c>
      <c r="K21" s="38">
        <f>SUM(J21)+0.6</f>
        <v>13.799999999999999</v>
      </c>
      <c r="L21" s="38">
        <f>SUM(K21)+0.6</f>
        <v>14.399999999999999</v>
      </c>
      <c r="M21" s="174">
        <f>SUM(L21)+0.6</f>
        <v>14.999999999999998</v>
      </c>
    </row>
    <row r="22" spans="1:13" s="1" customFormat="1" ht="14.1" customHeight="1">
      <c r="A22" s="45"/>
      <c r="B22" s="61" t="s">
        <v>27</v>
      </c>
      <c r="C22" s="61"/>
      <c r="D22" s="42" t="s">
        <v>110</v>
      </c>
      <c r="E22" s="43"/>
      <c r="F22" s="43"/>
      <c r="G22" s="44"/>
      <c r="H22" s="79"/>
      <c r="I22" s="79"/>
      <c r="J22" s="37"/>
      <c r="K22" s="38"/>
      <c r="L22" s="38"/>
      <c r="M22" s="174"/>
    </row>
    <row r="23" spans="1:13" s="1" customFormat="1" ht="14.1" customHeight="1">
      <c r="A23" s="45">
        <v>11</v>
      </c>
      <c r="B23" s="81" t="s">
        <v>2</v>
      </c>
      <c r="C23" s="81"/>
      <c r="D23" s="78" t="s">
        <v>3</v>
      </c>
      <c r="E23" s="78"/>
      <c r="F23" s="78"/>
      <c r="G23" s="78"/>
      <c r="H23" s="52">
        <f>SUM(I23)-0.3</f>
        <v>5.8000000000000007</v>
      </c>
      <c r="I23" s="52">
        <f>SUM(J23)-0.3</f>
        <v>6.1000000000000005</v>
      </c>
      <c r="J23" s="37">
        <v>6.4</v>
      </c>
      <c r="K23" s="38">
        <f>SUM(J23)+0.3</f>
        <v>6.7</v>
      </c>
      <c r="L23" s="38">
        <f>SUM(K23)+0.3</f>
        <v>7</v>
      </c>
      <c r="M23" s="174">
        <f>SUM(L23)+0.3</f>
        <v>7.3</v>
      </c>
    </row>
    <row r="24" spans="1:13" s="1" customFormat="1" ht="14.1" customHeight="1">
      <c r="A24" s="45"/>
      <c r="B24" s="61" t="s">
        <v>28</v>
      </c>
      <c r="C24" s="61"/>
      <c r="D24" s="42" t="s">
        <v>111</v>
      </c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45">
        <v>12</v>
      </c>
      <c r="B25" s="47" t="s">
        <v>71</v>
      </c>
      <c r="C25" s="48"/>
      <c r="D25" s="75" t="s">
        <v>72</v>
      </c>
      <c r="E25" s="62"/>
      <c r="F25" s="62"/>
      <c r="G25" s="76"/>
      <c r="H25" s="52">
        <f>SUM(I25)-1.6</f>
        <v>31.799999999999997</v>
      </c>
      <c r="I25" s="52">
        <f>SUM(J25)-1.6</f>
        <v>33.4</v>
      </c>
      <c r="J25" s="37">
        <v>35</v>
      </c>
      <c r="K25" s="38">
        <f>SUM(J25)+1.6</f>
        <v>36.6</v>
      </c>
      <c r="L25" s="38">
        <f>SUM(K25)+1.6</f>
        <v>38.200000000000003</v>
      </c>
      <c r="M25" s="174">
        <f>SUM(L25)+1.6</f>
        <v>39.800000000000004</v>
      </c>
    </row>
    <row r="26" spans="1:13" s="1" customFormat="1" ht="14.1" customHeight="1">
      <c r="A26" s="45"/>
      <c r="B26" s="61" t="s">
        <v>33</v>
      </c>
      <c r="C26" s="61"/>
      <c r="D26" s="42" t="s">
        <v>112</v>
      </c>
      <c r="E26" s="43"/>
      <c r="F26" s="43"/>
      <c r="G26" s="44"/>
      <c r="H26" s="79"/>
      <c r="I26" s="79"/>
      <c r="J26" s="37"/>
      <c r="K26" s="38"/>
      <c r="L26" s="38"/>
      <c r="M26" s="174"/>
    </row>
    <row r="27" spans="1:13" s="1" customFormat="1" ht="14.1" customHeight="1">
      <c r="A27" s="45">
        <v>13</v>
      </c>
      <c r="B27" s="81" t="s">
        <v>4</v>
      </c>
      <c r="C27" s="81"/>
      <c r="D27" s="78" t="s">
        <v>5</v>
      </c>
      <c r="E27" s="78"/>
      <c r="F27" s="78"/>
      <c r="G27" s="78"/>
      <c r="H27" s="52">
        <f>SUM(I27)-3.6</f>
        <v>34.4</v>
      </c>
      <c r="I27" s="52">
        <f>SUM(J27)-3.6</f>
        <v>38</v>
      </c>
      <c r="J27" s="37">
        <v>41.6</v>
      </c>
      <c r="K27" s="38">
        <f>SUM(J27)+3.7</f>
        <v>45.300000000000004</v>
      </c>
      <c r="L27" s="38">
        <f>SUM(K27)+3.7</f>
        <v>49.000000000000007</v>
      </c>
      <c r="M27" s="174">
        <f>SUM(L27)+3.7</f>
        <v>52.70000000000001</v>
      </c>
    </row>
    <row r="28" spans="1:13" s="1" customFormat="1" ht="14.1" customHeight="1">
      <c r="A28" s="45"/>
      <c r="B28" s="61" t="s">
        <v>29</v>
      </c>
      <c r="C28" s="61"/>
      <c r="D28" s="42" t="s">
        <v>47</v>
      </c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14</v>
      </c>
      <c r="B29" s="81" t="s">
        <v>6</v>
      </c>
      <c r="C29" s="81"/>
      <c r="D29" s="75" t="s">
        <v>7</v>
      </c>
      <c r="E29" s="62"/>
      <c r="F29" s="62"/>
      <c r="G29" s="76"/>
      <c r="H29" s="52"/>
      <c r="I29" s="52"/>
      <c r="J29" s="37"/>
      <c r="K29" s="38"/>
      <c r="L29" s="38"/>
      <c r="M29" s="174"/>
    </row>
    <row r="30" spans="1:13" s="1" customFormat="1" ht="14.1" customHeight="1">
      <c r="A30" s="45"/>
      <c r="B30" s="61" t="s">
        <v>30</v>
      </c>
      <c r="C30" s="61"/>
      <c r="D30" s="42" t="s">
        <v>65</v>
      </c>
      <c r="E30" s="43"/>
      <c r="F30" s="43"/>
      <c r="G30" s="44"/>
      <c r="H30" s="79"/>
      <c r="I30" s="79"/>
      <c r="J30" s="37"/>
      <c r="K30" s="38"/>
      <c r="L30" s="38"/>
      <c r="M30" s="174"/>
    </row>
    <row r="31" spans="1:13" s="1" customFormat="1" ht="14.1" customHeight="1">
      <c r="A31" s="45">
        <v>15</v>
      </c>
      <c r="B31" s="47" t="s">
        <v>226</v>
      </c>
      <c r="C31" s="48"/>
      <c r="D31" s="78" t="s">
        <v>66</v>
      </c>
      <c r="E31" s="78"/>
      <c r="F31" s="78"/>
      <c r="G31" s="78"/>
      <c r="H31" s="52">
        <f>SUM(I31)-0.7</f>
        <v>14.600000000000001</v>
      </c>
      <c r="I31" s="52">
        <f>SUM(J31)-0.7</f>
        <v>15.3</v>
      </c>
      <c r="J31" s="37">
        <v>16</v>
      </c>
      <c r="K31" s="38">
        <f>SUM(J31)+0.7</f>
        <v>16.7</v>
      </c>
      <c r="L31" s="38">
        <f>SUM(K31)+0.7</f>
        <v>17.399999999999999</v>
      </c>
      <c r="M31" s="174">
        <f>SUM(L31)+0.6</f>
        <v>18</v>
      </c>
    </row>
    <row r="32" spans="1:13" s="1" customFormat="1" ht="14.1" customHeight="1">
      <c r="A32" s="45"/>
      <c r="B32" s="61" t="s">
        <v>31</v>
      </c>
      <c r="C32" s="61"/>
      <c r="D32" s="42" t="s">
        <v>67</v>
      </c>
      <c r="E32" s="43"/>
      <c r="F32" s="43"/>
      <c r="G32" s="44"/>
      <c r="H32" s="79"/>
      <c r="I32" s="79"/>
      <c r="J32" s="37"/>
      <c r="K32" s="38"/>
      <c r="L32" s="38"/>
      <c r="M32" s="174"/>
    </row>
    <row r="33" spans="1:13" s="1" customFormat="1" ht="14.1" customHeight="1">
      <c r="A33" s="45">
        <v>16</v>
      </c>
      <c r="B33" s="56" t="s">
        <v>397</v>
      </c>
      <c r="C33" s="57"/>
      <c r="D33" s="183"/>
      <c r="E33" s="184"/>
      <c r="F33" s="184"/>
      <c r="G33" s="185"/>
      <c r="H33" s="53">
        <f>SUM(I33)-3.1</f>
        <v>38.599999999999994</v>
      </c>
      <c r="I33" s="53">
        <f>SUM(J33)-3.1</f>
        <v>41.699999999999996</v>
      </c>
      <c r="J33" s="83">
        <v>44.8</v>
      </c>
      <c r="K33" s="79">
        <f>SUM(J33)+3.1</f>
        <v>47.9</v>
      </c>
      <c r="L33" s="79">
        <f>SUM(K33)+3.1</f>
        <v>51</v>
      </c>
      <c r="M33" s="146">
        <f>SUM(L33)+3</f>
        <v>54</v>
      </c>
    </row>
    <row r="34" spans="1:13" s="1" customFormat="1" ht="14.1" customHeight="1">
      <c r="A34" s="45"/>
      <c r="B34" s="40" t="s">
        <v>319</v>
      </c>
      <c r="C34" s="41"/>
      <c r="D34" s="42" t="s">
        <v>467</v>
      </c>
      <c r="E34" s="43"/>
      <c r="F34" s="43"/>
      <c r="G34" s="44"/>
      <c r="H34" s="79"/>
      <c r="I34" s="79"/>
      <c r="J34" s="37"/>
      <c r="K34" s="38"/>
      <c r="L34" s="38"/>
      <c r="M34" s="174"/>
    </row>
    <row r="35" spans="1:13" s="1" customFormat="1" ht="14.1" customHeight="1">
      <c r="A35" s="45">
        <v>17</v>
      </c>
      <c r="B35" s="56" t="s">
        <v>398</v>
      </c>
      <c r="C35" s="57"/>
      <c r="D35" s="183"/>
      <c r="E35" s="184"/>
      <c r="F35" s="184"/>
      <c r="G35" s="185"/>
      <c r="H35" s="53">
        <f>SUM(I35)-0.9</f>
        <v>10.7</v>
      </c>
      <c r="I35" s="53">
        <f>SUM(J35)-0.9</f>
        <v>11.6</v>
      </c>
      <c r="J35" s="83">
        <v>12.5</v>
      </c>
      <c r="K35" s="79">
        <f>SUM(J35)+0.9</f>
        <v>13.4</v>
      </c>
      <c r="L35" s="79">
        <f>SUM(K35)+0.9</f>
        <v>14.3</v>
      </c>
      <c r="M35" s="146">
        <f>SUM(L35)+1</f>
        <v>15.3</v>
      </c>
    </row>
    <row r="36" spans="1:13" s="1" customFormat="1" ht="14.1" customHeight="1">
      <c r="A36" s="45"/>
      <c r="B36" s="40" t="s">
        <v>374</v>
      </c>
      <c r="C36" s="41"/>
      <c r="D36" s="42" t="s">
        <v>466</v>
      </c>
      <c r="E36" s="43"/>
      <c r="F36" s="43"/>
      <c r="G36" s="44"/>
      <c r="H36" s="79"/>
      <c r="I36" s="79"/>
      <c r="J36" s="37"/>
      <c r="K36" s="38"/>
      <c r="L36" s="38"/>
      <c r="M36" s="174"/>
    </row>
    <row r="37" spans="1:13" s="1" customFormat="1" ht="14.1" customHeight="1">
      <c r="A37" s="45">
        <v>18</v>
      </c>
      <c r="B37" s="56" t="s">
        <v>399</v>
      </c>
      <c r="C37" s="57"/>
      <c r="D37" s="183"/>
      <c r="E37" s="184"/>
      <c r="F37" s="184"/>
      <c r="G37" s="185"/>
      <c r="H37" s="53">
        <f>SUM(I37)-0.7</f>
        <v>8.7000000000000011</v>
      </c>
      <c r="I37" s="53">
        <f>SUM(J37)-0.7</f>
        <v>9.4</v>
      </c>
      <c r="J37" s="83">
        <v>10.1</v>
      </c>
      <c r="K37" s="79">
        <f>SUM(J37)+0.7</f>
        <v>10.799999999999999</v>
      </c>
      <c r="L37" s="79">
        <f>SUM(K37)+0.7</f>
        <v>11.499999999999998</v>
      </c>
      <c r="M37" s="146">
        <f>SUM(L37)+1</f>
        <v>12.499999999999998</v>
      </c>
    </row>
    <row r="38" spans="1:13" s="1" customFormat="1" ht="14.1" customHeight="1">
      <c r="A38" s="45"/>
      <c r="B38" s="40" t="s">
        <v>375</v>
      </c>
      <c r="C38" s="41"/>
      <c r="D38" s="42" t="s">
        <v>402</v>
      </c>
      <c r="E38" s="43"/>
      <c r="F38" s="43"/>
      <c r="G38" s="44"/>
      <c r="H38" s="79"/>
      <c r="I38" s="79"/>
      <c r="J38" s="37"/>
      <c r="K38" s="38"/>
      <c r="L38" s="38"/>
      <c r="M38" s="174"/>
    </row>
    <row r="39" spans="1:13" s="1" customFormat="1" ht="14.1" customHeight="1">
      <c r="A39" s="45">
        <v>19</v>
      </c>
      <c r="B39" s="56" t="s">
        <v>400</v>
      </c>
      <c r="C39" s="57"/>
      <c r="D39" s="183"/>
      <c r="E39" s="184"/>
      <c r="F39" s="184"/>
      <c r="G39" s="185"/>
      <c r="H39" s="53">
        <f>SUM(I39)-1.2</f>
        <v>15.700000000000003</v>
      </c>
      <c r="I39" s="53">
        <f>SUM(J39)-1.2</f>
        <v>16.900000000000002</v>
      </c>
      <c r="J39" s="83">
        <v>18.100000000000001</v>
      </c>
      <c r="K39" s="79">
        <f>SUM(J39)+1.2</f>
        <v>19.3</v>
      </c>
      <c r="L39" s="79">
        <f>SUM(K39)+1.2</f>
        <v>20.5</v>
      </c>
      <c r="M39" s="146">
        <f>SUM(L39)+1</f>
        <v>21.5</v>
      </c>
    </row>
    <row r="40" spans="1:13" s="1" customFormat="1" ht="14.1" customHeight="1">
      <c r="A40" s="45"/>
      <c r="B40" s="40" t="s">
        <v>403</v>
      </c>
      <c r="C40" s="41"/>
      <c r="D40" s="42" t="s">
        <v>402</v>
      </c>
      <c r="E40" s="43"/>
      <c r="F40" s="43"/>
      <c r="G40" s="44"/>
      <c r="H40" s="79"/>
      <c r="I40" s="79"/>
      <c r="J40" s="37"/>
      <c r="K40" s="38"/>
      <c r="L40" s="38"/>
      <c r="M40" s="174"/>
    </row>
    <row r="41" spans="1:13" s="1" customFormat="1" ht="14.1" customHeight="1">
      <c r="A41" s="45">
        <v>20</v>
      </c>
      <c r="B41" s="56" t="s">
        <v>345</v>
      </c>
      <c r="C41" s="57"/>
      <c r="D41" s="183"/>
      <c r="E41" s="184"/>
      <c r="F41" s="184"/>
      <c r="G41" s="185"/>
      <c r="H41" s="53">
        <f>SUM(I41)-0.3</f>
        <v>3.4000000000000004</v>
      </c>
      <c r="I41" s="53">
        <f>SUM(J41)-0.3</f>
        <v>3.7</v>
      </c>
      <c r="J41" s="83">
        <v>4</v>
      </c>
      <c r="K41" s="79">
        <f>SUM(J41)+0.3</f>
        <v>4.3</v>
      </c>
      <c r="L41" s="79">
        <f>SUM(K41)+0.3</f>
        <v>4.5999999999999996</v>
      </c>
      <c r="M41" s="146">
        <f>SUM(L41)+1</f>
        <v>5.6</v>
      </c>
    </row>
    <row r="42" spans="1:13" s="1" customFormat="1" ht="14.1" customHeight="1">
      <c r="A42" s="45"/>
      <c r="B42" s="40" t="s">
        <v>468</v>
      </c>
      <c r="C42" s="41"/>
      <c r="D42" s="42" t="s">
        <v>469</v>
      </c>
      <c r="E42" s="43"/>
      <c r="F42" s="43"/>
      <c r="G42" s="44"/>
      <c r="H42" s="79"/>
      <c r="I42" s="79"/>
      <c r="J42" s="37"/>
      <c r="K42" s="38"/>
      <c r="L42" s="38"/>
      <c r="M42" s="174"/>
    </row>
    <row r="43" spans="1:13" ht="14.1" customHeight="1">
      <c r="A43" s="45">
        <v>21</v>
      </c>
      <c r="B43" s="47" t="s">
        <v>171</v>
      </c>
      <c r="C43" s="48"/>
      <c r="D43" s="49"/>
      <c r="E43" s="50"/>
      <c r="F43" s="50"/>
      <c r="G43" s="51"/>
      <c r="H43" s="52">
        <f>SUM(I43)-2.4</f>
        <v>26.200000000000003</v>
      </c>
      <c r="I43" s="52">
        <f>SUM(J43)-2.4</f>
        <v>28.6</v>
      </c>
      <c r="J43" s="37">
        <v>31</v>
      </c>
      <c r="K43" s="38">
        <f>SUM(J43)+2.4</f>
        <v>33.4</v>
      </c>
      <c r="L43" s="38">
        <f>SUM(K43)+2.4</f>
        <v>35.799999999999997</v>
      </c>
      <c r="M43" s="174">
        <f>SUM(L43)+2.4</f>
        <v>38.199999999999996</v>
      </c>
    </row>
    <row r="44" spans="1:13" ht="14.1" customHeight="1">
      <c r="A44" s="45"/>
      <c r="B44" s="40" t="s">
        <v>188</v>
      </c>
      <c r="C44" s="41"/>
      <c r="D44" s="42"/>
      <c r="E44" s="43"/>
      <c r="F44" s="43"/>
      <c r="G44" s="44"/>
      <c r="H44" s="79"/>
      <c r="I44" s="79"/>
      <c r="J44" s="37"/>
      <c r="K44" s="38"/>
      <c r="L44" s="38"/>
      <c r="M44" s="174"/>
    </row>
    <row r="45" spans="1:13" ht="14.1" customHeight="1">
      <c r="A45" s="45">
        <v>22</v>
      </c>
      <c r="B45" s="81"/>
      <c r="C45" s="81"/>
      <c r="D45" s="78"/>
      <c r="E45" s="78"/>
      <c r="F45" s="78"/>
      <c r="G45" s="78"/>
      <c r="H45" s="52"/>
      <c r="I45" s="52"/>
      <c r="J45" s="37"/>
      <c r="K45" s="38"/>
      <c r="L45" s="38"/>
      <c r="M45" s="174">
        <f>SUM(L45)+2.4</f>
        <v>2.4</v>
      </c>
    </row>
    <row r="46" spans="1:13" ht="14.1" customHeight="1" thickBot="1">
      <c r="A46" s="74"/>
      <c r="B46" s="190"/>
      <c r="C46" s="190"/>
      <c r="D46" s="180"/>
      <c r="E46" s="181"/>
      <c r="F46" s="181"/>
      <c r="G46" s="182"/>
      <c r="H46" s="77"/>
      <c r="I46" s="77"/>
      <c r="J46" s="66"/>
      <c r="K46" s="67"/>
      <c r="L46" s="67"/>
      <c r="M46" s="177"/>
    </row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9:A20"/>
    <mergeCell ref="B19:C19"/>
    <mergeCell ref="D19:G19"/>
    <mergeCell ref="H19:H20"/>
    <mergeCell ref="I19:I20"/>
    <mergeCell ref="A15:A16"/>
    <mergeCell ref="B15:C15"/>
    <mergeCell ref="D15:G15"/>
    <mergeCell ref="H15:H16"/>
    <mergeCell ref="I15:I16"/>
    <mergeCell ref="A17:A18"/>
    <mergeCell ref="J19:J20"/>
    <mergeCell ref="K19:K20"/>
    <mergeCell ref="L19:L20"/>
    <mergeCell ref="M19:M20"/>
    <mergeCell ref="B20:C20"/>
    <mergeCell ref="D20:G20"/>
    <mergeCell ref="K15:K16"/>
    <mergeCell ref="L15:L16"/>
    <mergeCell ref="M15:M16"/>
    <mergeCell ref="B16:C16"/>
    <mergeCell ref="D16:G16"/>
    <mergeCell ref="J15:J16"/>
    <mergeCell ref="B17:C17"/>
    <mergeCell ref="D17:G17"/>
    <mergeCell ref="H17:H18"/>
    <mergeCell ref="I17:I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A42"/>
    <mergeCell ref="B41:C41"/>
    <mergeCell ref="D41:G41"/>
    <mergeCell ref="H41:H42"/>
    <mergeCell ref="I41:I42"/>
    <mergeCell ref="A37:A38"/>
    <mergeCell ref="B37:C37"/>
    <mergeCell ref="D37:G37"/>
    <mergeCell ref="H37:H38"/>
    <mergeCell ref="I37:I38"/>
    <mergeCell ref="A39:A40"/>
    <mergeCell ref="J41:J42"/>
    <mergeCell ref="K41:K42"/>
    <mergeCell ref="L41:L42"/>
    <mergeCell ref="M41:M42"/>
    <mergeCell ref="B42:C42"/>
    <mergeCell ref="D42:G42"/>
    <mergeCell ref="K37:K38"/>
    <mergeCell ref="L37:L38"/>
    <mergeCell ref="M37:M38"/>
    <mergeCell ref="B38:C38"/>
    <mergeCell ref="D38:G38"/>
    <mergeCell ref="J37:J38"/>
    <mergeCell ref="K39:K40"/>
    <mergeCell ref="L39:L40"/>
    <mergeCell ref="M39:M40"/>
    <mergeCell ref="B40:C40"/>
    <mergeCell ref="D40:G40"/>
    <mergeCell ref="B39:C39"/>
    <mergeCell ref="D39:G39"/>
    <mergeCell ref="H39:H40"/>
    <mergeCell ref="I39:I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13:A14"/>
    <mergeCell ref="B13:C13"/>
    <mergeCell ref="D13:G13"/>
    <mergeCell ref="H13:H14"/>
    <mergeCell ref="I13:I14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1800-0370-4E7F-91F8-85450124A5EA}">
  <sheetPr>
    <tabColor theme="8"/>
    <pageSetUpPr fitToPage="1"/>
  </sheetPr>
  <dimension ref="A1:P57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105" t="s">
        <v>531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SUM(I3)-5</f>
        <v>58.3</v>
      </c>
      <c r="I3" s="52">
        <f>SUM(J3)-5</f>
        <v>63.3</v>
      </c>
      <c r="J3" s="193">
        <v>68.3</v>
      </c>
      <c r="K3" s="194">
        <f>SUM(J3)+5</f>
        <v>73.3</v>
      </c>
      <c r="L3" s="194">
        <f>SUM(K3)+5</f>
        <v>78.3</v>
      </c>
      <c r="M3" s="197">
        <f>SUM(L3)+5</f>
        <v>83.3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147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19.799999999999997</v>
      </c>
      <c r="I5" s="52">
        <f>SUM(J5)-1.6</f>
        <v>21.4</v>
      </c>
      <c r="J5" s="54">
        <v>23</v>
      </c>
      <c r="K5" s="52">
        <f>SUM(J5)+1.4</f>
        <v>24.4</v>
      </c>
      <c r="L5" s="52">
        <f>SUM(K5)+1.4</f>
        <v>25.799999999999997</v>
      </c>
      <c r="M5" s="147">
        <f>SUM(L5)+1.4</f>
        <v>27.199999999999996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29.5</v>
      </c>
      <c r="I7" s="52">
        <f>SUM(J7)-2.25</f>
        <v>31.75</v>
      </c>
      <c r="J7" s="54">
        <v>34</v>
      </c>
      <c r="K7" s="52">
        <f>SUM(J7)+2</f>
        <v>36</v>
      </c>
      <c r="L7" s="52">
        <f>SUM(K7)+2</f>
        <v>38</v>
      </c>
      <c r="M7" s="147">
        <f>SUM(L7)+2</f>
        <v>40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6" s="1" customFormat="1" ht="14.1" customHeight="1">
      <c r="A9" s="45">
        <v>4</v>
      </c>
      <c r="B9" s="81" t="s">
        <v>163</v>
      </c>
      <c r="C9" s="81"/>
      <c r="D9" s="78" t="s">
        <v>8</v>
      </c>
      <c r="E9" s="78"/>
      <c r="F9" s="78"/>
      <c r="G9" s="78"/>
      <c r="H9" s="52">
        <f>SUM(I9)-2.1</f>
        <v>26.299999999999997</v>
      </c>
      <c r="I9" s="52">
        <f>SUM(J9)-2.1</f>
        <v>28.4</v>
      </c>
      <c r="J9" s="54">
        <v>30.5</v>
      </c>
      <c r="K9" s="52">
        <f>SUM(J9)+1.9</f>
        <v>32.4</v>
      </c>
      <c r="L9" s="52">
        <f>SUM(K9)+1.9</f>
        <v>34.299999999999997</v>
      </c>
      <c r="M9" s="147">
        <f>SUM(L9)+1.9</f>
        <v>36.199999999999996</v>
      </c>
    </row>
    <row r="10" spans="1:16" s="1" customFormat="1" ht="14.1" customHeight="1">
      <c r="A10" s="45"/>
      <c r="B10" s="61" t="s">
        <v>164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6" s="1" customFormat="1" ht="14.1" customHeight="1">
      <c r="A11" s="45">
        <v>5</v>
      </c>
      <c r="B11" s="47" t="s">
        <v>532</v>
      </c>
      <c r="C11" s="48"/>
      <c r="D11" s="75"/>
      <c r="E11" s="62"/>
      <c r="F11" s="62"/>
      <c r="G11" s="76"/>
      <c r="H11" s="53">
        <f>SUM(I11)-1.9</f>
        <v>19.900000000000002</v>
      </c>
      <c r="I11" s="53">
        <f>SUM(J11)-1.9</f>
        <v>21.8</v>
      </c>
      <c r="J11" s="83">
        <v>23.7</v>
      </c>
      <c r="K11" s="79">
        <f>SUM(J11)+1.9</f>
        <v>25.599999999999998</v>
      </c>
      <c r="L11" s="79">
        <f>SUM(K11)+1.9</f>
        <v>27.499999999999996</v>
      </c>
      <c r="M11" s="147">
        <f t="shared" ref="M11" si="0">SUM(L11)+1.9</f>
        <v>29.399999999999995</v>
      </c>
    </row>
    <row r="12" spans="1:16" s="1" customFormat="1" ht="14.1" customHeight="1">
      <c r="A12" s="45"/>
      <c r="B12" s="40" t="s">
        <v>533</v>
      </c>
      <c r="C12" s="41"/>
      <c r="D12" s="42" t="s">
        <v>534</v>
      </c>
      <c r="E12" s="43"/>
      <c r="F12" s="43"/>
      <c r="G12" s="44"/>
      <c r="H12" s="79"/>
      <c r="I12" s="79"/>
      <c r="J12" s="37"/>
      <c r="K12" s="38"/>
      <c r="L12" s="38"/>
      <c r="M12" s="146"/>
    </row>
    <row r="13" spans="1:16" s="1" customFormat="1" ht="14.1" customHeight="1" thickBo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SUM(I13)-0.9</f>
        <v>14.8</v>
      </c>
      <c r="I13" s="52">
        <f>SUM(J13)-0.9</f>
        <v>15.700000000000001</v>
      </c>
      <c r="J13" s="37">
        <v>16.600000000000001</v>
      </c>
      <c r="K13" s="38">
        <f>SUM(J13)+0.9</f>
        <v>17.5</v>
      </c>
      <c r="L13" s="38">
        <f>SUM(K13)+0.9</f>
        <v>18.399999999999999</v>
      </c>
      <c r="M13" s="174">
        <f>SUM(L13)+0.9</f>
        <v>19.299999999999997</v>
      </c>
    </row>
    <row r="14" spans="1:16" s="1" customFormat="1" ht="14.1" customHeight="1" thickTop="1">
      <c r="A14" s="45"/>
      <c r="B14" s="61" t="s">
        <v>26</v>
      </c>
      <c r="C14" s="61"/>
      <c r="D14" s="42" t="s">
        <v>45</v>
      </c>
      <c r="E14" s="43"/>
      <c r="F14" s="43"/>
      <c r="G14" s="44"/>
      <c r="H14" s="79"/>
      <c r="I14" s="79"/>
      <c r="J14" s="37"/>
      <c r="K14" s="38"/>
      <c r="L14" s="38"/>
      <c r="M14" s="174"/>
      <c r="P14" s="10" t="s">
        <v>300</v>
      </c>
    </row>
    <row r="15" spans="1:16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SUM(I15)-0.6</f>
        <v>12.600000000000001</v>
      </c>
      <c r="I15" s="52">
        <f>SUM(J15)-0.6</f>
        <v>13.200000000000001</v>
      </c>
      <c r="J15" s="37">
        <v>13.8</v>
      </c>
      <c r="K15" s="38">
        <f>SUM(J15)+0.6</f>
        <v>14.4</v>
      </c>
      <c r="L15" s="38">
        <f>SUM(K15)+0.6</f>
        <v>15</v>
      </c>
      <c r="M15" s="174">
        <f>SUM(L15)+0.6</f>
        <v>15.6</v>
      </c>
      <c r="P15" s="11">
        <f>SUM(H27+H27+I27+I27+J27+J27+K27+K27+L27+L27+H29+H29+I29+I29+J29+J29+K29+K29+L29+L29)</f>
        <v>409.99999999999994</v>
      </c>
    </row>
    <row r="16" spans="1:16" s="1" customFormat="1" ht="14.1" customHeight="1" thickBot="1">
      <c r="A16" s="45"/>
      <c r="B16" s="61" t="s">
        <v>27</v>
      </c>
      <c r="C16" s="61"/>
      <c r="D16" s="42" t="s">
        <v>147</v>
      </c>
      <c r="E16" s="43"/>
      <c r="F16" s="43"/>
      <c r="G16" s="44"/>
      <c r="H16" s="79"/>
      <c r="I16" s="79"/>
      <c r="J16" s="37"/>
      <c r="K16" s="38"/>
      <c r="L16" s="38"/>
      <c r="M16" s="174"/>
      <c r="P16" s="12">
        <f>SUM(P15/91.44/5*1.08)</f>
        <v>0.96850393700787385</v>
      </c>
    </row>
    <row r="17" spans="1:13" s="1" customFormat="1" ht="14.1" customHeight="1" thickTop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5.4</v>
      </c>
      <c r="I17" s="52">
        <f>SUM(J17)-0.3</f>
        <v>5.7</v>
      </c>
      <c r="J17" s="37">
        <v>6</v>
      </c>
      <c r="K17" s="38">
        <f>SUM(J17)+0.3</f>
        <v>6.3</v>
      </c>
      <c r="L17" s="38">
        <f>SUM(K17)+0.3</f>
        <v>6.6</v>
      </c>
      <c r="M17" s="174">
        <f>SUM(L17)+0.3</f>
        <v>6.8999999999999995</v>
      </c>
    </row>
    <row r="18" spans="1:13" s="1" customFormat="1" ht="14.1" customHeight="1">
      <c r="A18" s="45"/>
      <c r="B18" s="61" t="s">
        <v>28</v>
      </c>
      <c r="C18" s="61"/>
      <c r="D18" s="42" t="s">
        <v>148</v>
      </c>
      <c r="E18" s="43"/>
      <c r="F18" s="43"/>
      <c r="G18" s="44"/>
      <c r="H18" s="79"/>
      <c r="I18" s="79"/>
      <c r="J18" s="37"/>
      <c r="K18" s="38"/>
      <c r="L18" s="38"/>
      <c r="M18" s="174"/>
    </row>
    <row r="19" spans="1:13" s="1" customFormat="1" ht="14.1" customHeight="1">
      <c r="A19" s="45">
        <v>9</v>
      </c>
      <c r="B19" s="47" t="s">
        <v>71</v>
      </c>
      <c r="C19" s="48"/>
      <c r="D19" s="75" t="s">
        <v>72</v>
      </c>
      <c r="E19" s="62"/>
      <c r="F19" s="62"/>
      <c r="G19" s="76"/>
      <c r="H19" s="52">
        <f>SUM(I19)-1.6</f>
        <v>32.4</v>
      </c>
      <c r="I19" s="52">
        <f>SUM(J19)-1.6</f>
        <v>34</v>
      </c>
      <c r="J19" s="37">
        <v>35.6</v>
      </c>
      <c r="K19" s="38">
        <f>SUM(J19)+1.6</f>
        <v>37.200000000000003</v>
      </c>
      <c r="L19" s="38">
        <f>SUM(K19)+1.6</f>
        <v>38.800000000000004</v>
      </c>
      <c r="M19" s="174">
        <f>SUM(L19)+1.6</f>
        <v>40.400000000000006</v>
      </c>
    </row>
    <row r="20" spans="1:13" s="1" customFormat="1" ht="14.1" customHeight="1">
      <c r="A20" s="45"/>
      <c r="B20" s="61" t="s">
        <v>33</v>
      </c>
      <c r="C20" s="61"/>
      <c r="D20" s="42" t="s">
        <v>76</v>
      </c>
      <c r="E20" s="43"/>
      <c r="F20" s="43"/>
      <c r="G20" s="44"/>
      <c r="H20" s="79"/>
      <c r="I20" s="79"/>
      <c r="J20" s="37"/>
      <c r="K20" s="38"/>
      <c r="L20" s="38"/>
      <c r="M20" s="174"/>
    </row>
    <row r="21" spans="1:13" s="1" customFormat="1" ht="14.1" customHeight="1">
      <c r="A21" s="45">
        <v>10</v>
      </c>
      <c r="B21" s="81" t="s">
        <v>414</v>
      </c>
      <c r="C21" s="81"/>
      <c r="D21" s="78" t="s">
        <v>5</v>
      </c>
      <c r="E21" s="78"/>
      <c r="F21" s="78"/>
      <c r="G21" s="78"/>
      <c r="H21" s="52">
        <f>SUM(I21)-3.7</f>
        <v>35.099999999999994</v>
      </c>
      <c r="I21" s="52">
        <f>SUM(J21)-3.7</f>
        <v>38.799999999999997</v>
      </c>
      <c r="J21" s="37">
        <v>42.5</v>
      </c>
      <c r="K21" s="38">
        <f>SUM(J21)+3.8</f>
        <v>46.3</v>
      </c>
      <c r="L21" s="38">
        <f>SUM(K21)+3.8</f>
        <v>50.099999999999994</v>
      </c>
      <c r="M21" s="174">
        <f>SUM(L21)+3.8</f>
        <v>53.899999999999991</v>
      </c>
    </row>
    <row r="22" spans="1:13" s="1" customFormat="1" ht="14.1" customHeight="1">
      <c r="A22" s="45"/>
      <c r="B22" s="61" t="s">
        <v>539</v>
      </c>
      <c r="C22" s="61"/>
      <c r="D22" s="42" t="s">
        <v>47</v>
      </c>
      <c r="E22" s="43"/>
      <c r="F22" s="43"/>
      <c r="G22" s="44"/>
      <c r="H22" s="79"/>
      <c r="I22" s="79"/>
      <c r="J22" s="37"/>
      <c r="K22" s="38"/>
      <c r="L22" s="38"/>
      <c r="M22" s="174"/>
    </row>
    <row r="23" spans="1:13" s="1" customFormat="1" ht="14.1" customHeight="1">
      <c r="A23" s="45">
        <v>11</v>
      </c>
      <c r="B23" s="81" t="s">
        <v>416</v>
      </c>
      <c r="C23" s="81"/>
      <c r="D23" s="78" t="s">
        <v>5</v>
      </c>
      <c r="E23" s="78"/>
      <c r="F23" s="78"/>
      <c r="G23" s="78"/>
      <c r="H23" s="52">
        <f>SUM(I23)-1.2</f>
        <v>16.100000000000001</v>
      </c>
      <c r="I23" s="52">
        <f>SUM(J23)-1.2</f>
        <v>17.3</v>
      </c>
      <c r="J23" s="37">
        <v>18.5</v>
      </c>
      <c r="K23" s="38">
        <f>SUM(J23)+1.5</f>
        <v>20</v>
      </c>
      <c r="L23" s="38">
        <f>SUM(K23)+1.5</f>
        <v>21.5</v>
      </c>
      <c r="M23" s="174">
        <f>SUM(L23)+1.5</f>
        <v>23</v>
      </c>
    </row>
    <row r="24" spans="1:13" s="1" customFormat="1" ht="14.1" customHeight="1">
      <c r="A24" s="45"/>
      <c r="B24" s="61" t="s">
        <v>540</v>
      </c>
      <c r="C24" s="61"/>
      <c r="D24" s="42" t="s">
        <v>47</v>
      </c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52"/>
      <c r="I25" s="52"/>
      <c r="J25" s="37"/>
      <c r="K25" s="38"/>
      <c r="L25" s="38"/>
      <c r="M25" s="174"/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37"/>
      <c r="K26" s="38"/>
      <c r="L26" s="38"/>
      <c r="M26" s="174"/>
    </row>
    <row r="27" spans="1:13" s="1" customFormat="1" ht="14.1" customHeight="1">
      <c r="A27" s="45">
        <v>13</v>
      </c>
      <c r="B27" s="47" t="s">
        <v>302</v>
      </c>
      <c r="C27" s="48"/>
      <c r="D27" s="78"/>
      <c r="E27" s="78"/>
      <c r="F27" s="78"/>
      <c r="G27" s="78"/>
      <c r="H27" s="52">
        <f>SUM(I27)-0.6</f>
        <v>14.8</v>
      </c>
      <c r="I27" s="52">
        <f>SUM(J27)-0.6</f>
        <v>15.4</v>
      </c>
      <c r="J27" s="37">
        <v>16</v>
      </c>
      <c r="K27" s="38">
        <f>SUM(J27)+0.6</f>
        <v>16.600000000000001</v>
      </c>
      <c r="L27" s="38">
        <f>SUM(K27)+0.6</f>
        <v>17.200000000000003</v>
      </c>
      <c r="M27" s="174">
        <f>SUM(L27)+0.6</f>
        <v>17.800000000000004</v>
      </c>
    </row>
    <row r="28" spans="1:13" s="1" customFormat="1" ht="14.1" customHeight="1">
      <c r="A28" s="45"/>
      <c r="B28" s="61" t="s">
        <v>535</v>
      </c>
      <c r="C28" s="61"/>
      <c r="D28" s="42" t="s">
        <v>537</v>
      </c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14</v>
      </c>
      <c r="B29" s="47" t="s">
        <v>302</v>
      </c>
      <c r="C29" s="48"/>
      <c r="D29" s="78"/>
      <c r="E29" s="78"/>
      <c r="F29" s="78"/>
      <c r="G29" s="78"/>
      <c r="H29" s="52">
        <f>SUM(I29)-1.2</f>
        <v>22.6</v>
      </c>
      <c r="I29" s="52">
        <f>SUM(J29)-1.2</f>
        <v>23.8</v>
      </c>
      <c r="J29" s="37">
        <v>25</v>
      </c>
      <c r="K29" s="38">
        <f>SUM(J29)+1.2</f>
        <v>26.2</v>
      </c>
      <c r="L29" s="38">
        <f>SUM(K29)+1.2</f>
        <v>27.4</v>
      </c>
      <c r="M29" s="174">
        <f>SUM(L29)+1.2</f>
        <v>28.599999999999998</v>
      </c>
    </row>
    <row r="30" spans="1:13" s="1" customFormat="1" ht="14.1" customHeight="1">
      <c r="A30" s="45"/>
      <c r="B30" s="61" t="s">
        <v>536</v>
      </c>
      <c r="C30" s="61"/>
      <c r="D30" s="42" t="s">
        <v>538</v>
      </c>
      <c r="E30" s="43"/>
      <c r="F30" s="43"/>
      <c r="G30" s="44"/>
      <c r="H30" s="79"/>
      <c r="I30" s="79"/>
      <c r="J30" s="37"/>
      <c r="K30" s="38"/>
      <c r="L30" s="38"/>
      <c r="M30" s="174"/>
    </row>
    <row r="31" spans="1:13" s="1" customFormat="1" ht="14.1" customHeight="1">
      <c r="A31" s="45">
        <v>15</v>
      </c>
      <c r="B31" s="56" t="s">
        <v>541</v>
      </c>
      <c r="C31" s="57"/>
      <c r="D31" s="183"/>
      <c r="E31" s="184"/>
      <c r="F31" s="184"/>
      <c r="G31" s="185"/>
      <c r="H31" s="53">
        <f>SUM(I31)-3</f>
        <v>36.299999999999997</v>
      </c>
      <c r="I31" s="53">
        <f>SUM(J31)-3</f>
        <v>39.299999999999997</v>
      </c>
      <c r="J31" s="83">
        <v>42.3</v>
      </c>
      <c r="K31" s="79">
        <f>SUM(J31)+3</f>
        <v>45.3</v>
      </c>
      <c r="L31" s="79">
        <f>SUM(K31)+3</f>
        <v>48.3</v>
      </c>
      <c r="M31" s="146">
        <f>SUM(L31)+3</f>
        <v>51.3</v>
      </c>
    </row>
    <row r="32" spans="1:13" s="1" customFormat="1" ht="14.1" customHeight="1">
      <c r="A32" s="45"/>
      <c r="B32" s="40" t="s">
        <v>325</v>
      </c>
      <c r="C32" s="41"/>
      <c r="D32" s="42" t="s">
        <v>402</v>
      </c>
      <c r="E32" s="43"/>
      <c r="F32" s="43"/>
      <c r="G32" s="44"/>
      <c r="H32" s="79"/>
      <c r="I32" s="79"/>
      <c r="J32" s="37"/>
      <c r="K32" s="38"/>
      <c r="L32" s="38"/>
      <c r="M32" s="174"/>
    </row>
    <row r="33" spans="1:13" s="1" customFormat="1" ht="14.1" customHeight="1">
      <c r="A33" s="45">
        <v>16</v>
      </c>
      <c r="B33" s="47" t="s">
        <v>171</v>
      </c>
      <c r="C33" s="48"/>
      <c r="D33" s="49"/>
      <c r="E33" s="50"/>
      <c r="F33" s="50"/>
      <c r="G33" s="51"/>
      <c r="H33" s="52">
        <f>SUM(I33)-2.4</f>
        <v>27.200000000000003</v>
      </c>
      <c r="I33" s="52">
        <f>SUM(J33)-2.4</f>
        <v>29.6</v>
      </c>
      <c r="J33" s="37">
        <v>32</v>
      </c>
      <c r="K33" s="38">
        <f>SUM(J33)+2.4</f>
        <v>34.4</v>
      </c>
      <c r="L33" s="38">
        <f>SUM(K33)+2.4</f>
        <v>36.799999999999997</v>
      </c>
      <c r="M33" s="146">
        <f>SUM(L33)+2.4</f>
        <v>39.199999999999996</v>
      </c>
    </row>
    <row r="34" spans="1:13" s="1" customFormat="1" ht="14.1" customHeight="1">
      <c r="A34" s="45"/>
      <c r="B34" s="40" t="s">
        <v>188</v>
      </c>
      <c r="C34" s="41"/>
      <c r="D34" s="42"/>
      <c r="E34" s="43"/>
      <c r="F34" s="43"/>
      <c r="G34" s="44"/>
      <c r="H34" s="79"/>
      <c r="I34" s="79"/>
      <c r="J34" s="37"/>
      <c r="K34" s="38"/>
      <c r="L34" s="38"/>
      <c r="M34" s="174"/>
    </row>
    <row r="35" spans="1:13" s="1" customFormat="1" ht="14.1" customHeight="1">
      <c r="A35" s="45">
        <v>17</v>
      </c>
      <c r="B35" s="47" t="s">
        <v>120</v>
      </c>
      <c r="C35" s="48"/>
      <c r="D35" s="183"/>
      <c r="E35" s="184"/>
      <c r="F35" s="184"/>
      <c r="G35" s="185"/>
      <c r="H35" s="53">
        <f>SUM(I35)-0.2</f>
        <v>2.5999999999999996</v>
      </c>
      <c r="I35" s="53">
        <f>SUM(J35)-0.2</f>
        <v>2.8</v>
      </c>
      <c r="J35" s="83">
        <v>3</v>
      </c>
      <c r="K35" s="79">
        <f>SUM(J35)+0.2</f>
        <v>3.2</v>
      </c>
      <c r="L35" s="79">
        <f>SUM(K35)+0.2</f>
        <v>3.4000000000000004</v>
      </c>
      <c r="M35" s="146">
        <f>SUM(L35)+0.2</f>
        <v>3.6000000000000005</v>
      </c>
    </row>
    <row r="36" spans="1:13" s="1" customFormat="1" ht="14.1" customHeight="1">
      <c r="A36" s="45"/>
      <c r="B36" s="40" t="s">
        <v>128</v>
      </c>
      <c r="C36" s="41"/>
      <c r="D36" s="42" t="s">
        <v>542</v>
      </c>
      <c r="E36" s="43"/>
      <c r="F36" s="43"/>
      <c r="G36" s="44"/>
      <c r="H36" s="79"/>
      <c r="I36" s="79"/>
      <c r="J36" s="37"/>
      <c r="K36" s="38"/>
      <c r="L36" s="38"/>
      <c r="M36" s="174"/>
    </row>
    <row r="37" spans="1:13" s="1" customFormat="1" ht="14.1" customHeight="1">
      <c r="A37" s="45">
        <v>18</v>
      </c>
      <c r="B37" s="56"/>
      <c r="C37" s="57"/>
      <c r="D37" s="183"/>
      <c r="E37" s="184"/>
      <c r="F37" s="184"/>
      <c r="G37" s="185"/>
      <c r="H37" s="53"/>
      <c r="I37" s="53"/>
      <c r="J37" s="83"/>
      <c r="K37" s="79"/>
      <c r="L37" s="79"/>
      <c r="M37" s="146">
        <f>SUM(L37)+1</f>
        <v>1</v>
      </c>
    </row>
    <row r="38" spans="1:13" s="1" customFormat="1" ht="14.1" customHeight="1" thickBot="1">
      <c r="A38" s="74"/>
      <c r="B38" s="178"/>
      <c r="C38" s="179"/>
      <c r="D38" s="180"/>
      <c r="E38" s="181"/>
      <c r="F38" s="181"/>
      <c r="G38" s="182"/>
      <c r="H38" s="77"/>
      <c r="I38" s="77"/>
      <c r="J38" s="66"/>
      <c r="K38" s="67"/>
      <c r="L38" s="67"/>
      <c r="M38" s="17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J13:J14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19:A20"/>
    <mergeCell ref="B19:C19"/>
    <mergeCell ref="D19:G19"/>
    <mergeCell ref="H19:H20"/>
    <mergeCell ref="I19:I20"/>
    <mergeCell ref="J19:J20"/>
    <mergeCell ref="A21:A22"/>
    <mergeCell ref="B21:C21"/>
    <mergeCell ref="D21:G21"/>
    <mergeCell ref="H21:H22"/>
    <mergeCell ref="I21:I22"/>
    <mergeCell ref="B24:C24"/>
    <mergeCell ref="D24:G24"/>
    <mergeCell ref="K21:K22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A27:A28"/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J25:J26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5669-9FA3-4F43-9072-61B59C95E88F}">
  <sheetPr>
    <tabColor theme="8"/>
    <pageSetUpPr fitToPage="1"/>
  </sheetPr>
  <dimension ref="A1:N51"/>
  <sheetViews>
    <sheetView topLeftCell="A4" zoomScale="110" zoomScaleNormal="110" workbookViewId="0">
      <selection activeCell="B3" sqref="B3:G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292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6" t="s">
        <v>130</v>
      </c>
      <c r="N2" s="17" t="s">
        <v>145</v>
      </c>
    </row>
    <row r="3" spans="1:14" s="1" customFormat="1" ht="14.1" customHeight="1">
      <c r="A3" s="204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33.400000000000006</v>
      </c>
      <c r="I3" s="52">
        <f>SUM(J3)-3.4</f>
        <v>36.800000000000004</v>
      </c>
      <c r="J3" s="193">
        <v>40.200000000000003</v>
      </c>
      <c r="K3" s="194">
        <f>SUM(J3)+2.9</f>
        <v>43.1</v>
      </c>
      <c r="L3" s="194">
        <f>SUM(K3)+2.9</f>
        <v>46</v>
      </c>
      <c r="M3" s="201">
        <f>SUM(L3)+2.9</f>
        <v>48.9</v>
      </c>
      <c r="N3" s="195">
        <f>SUM(M3)+2.9</f>
        <v>51.8</v>
      </c>
    </row>
    <row r="4" spans="1:14" s="1" customFormat="1" ht="14.1" customHeight="1">
      <c r="A4" s="45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54"/>
      <c r="K4" s="52"/>
      <c r="L4" s="52"/>
      <c r="M4" s="200"/>
      <c r="N4" s="64"/>
    </row>
    <row r="5" spans="1:14" s="1" customFormat="1" ht="14.1" customHeight="1">
      <c r="A5" s="45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45</v>
      </c>
      <c r="I5" s="52">
        <f>SUM(J5)-4.5</f>
        <v>49.5</v>
      </c>
      <c r="J5" s="37">
        <v>54</v>
      </c>
      <c r="K5" s="38">
        <f>SUM(J5)+4.5</f>
        <v>58.5</v>
      </c>
      <c r="L5" s="38">
        <f t="shared" ref="L5:M5" si="0">SUM(K5)+4.5</f>
        <v>63</v>
      </c>
      <c r="M5" s="198">
        <f t="shared" si="0"/>
        <v>67.5</v>
      </c>
      <c r="N5" s="63">
        <f t="shared" ref="N5" si="1">SUM(M5)+4.5</f>
        <v>72</v>
      </c>
    </row>
    <row r="6" spans="1:14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198"/>
      <c r="N6" s="63"/>
    </row>
    <row r="7" spans="1:14" s="1" customFormat="1" ht="14.1" customHeight="1">
      <c r="A7" s="45">
        <v>3</v>
      </c>
      <c r="B7" s="47" t="s">
        <v>35</v>
      </c>
      <c r="C7" s="48"/>
      <c r="D7" s="75" t="s">
        <v>242</v>
      </c>
      <c r="E7" s="62"/>
      <c r="F7" s="62"/>
      <c r="G7" s="76"/>
      <c r="H7" s="52">
        <f>SUM(I7)-2.25</f>
        <v>37.5</v>
      </c>
      <c r="I7" s="52">
        <f>SUM(J7)-2.25</f>
        <v>39.75</v>
      </c>
      <c r="J7" s="54">
        <v>42</v>
      </c>
      <c r="K7" s="52">
        <f>SUM(J7)+2</f>
        <v>44</v>
      </c>
      <c r="L7" s="52">
        <f>SUM(K7)+2</f>
        <v>46</v>
      </c>
      <c r="M7" s="200">
        <f>SUM(L7)+2</f>
        <v>48</v>
      </c>
      <c r="N7" s="64">
        <f>SUM(M7)+2</f>
        <v>50</v>
      </c>
    </row>
    <row r="8" spans="1:14" s="1" customFormat="1" ht="14.1" customHeight="1">
      <c r="A8" s="45"/>
      <c r="B8" s="61" t="s">
        <v>40</v>
      </c>
      <c r="C8" s="61"/>
      <c r="D8" s="42" t="s">
        <v>294</v>
      </c>
      <c r="E8" s="43"/>
      <c r="F8" s="43"/>
      <c r="G8" s="44"/>
      <c r="H8" s="79"/>
      <c r="I8" s="79"/>
      <c r="J8" s="83"/>
      <c r="K8" s="79"/>
      <c r="L8" s="79"/>
      <c r="M8" s="121"/>
      <c r="N8" s="80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28.9</v>
      </c>
      <c r="I9" s="52">
        <f>SUM(J9)-1.8</f>
        <v>30.7</v>
      </c>
      <c r="J9" s="54">
        <v>32.5</v>
      </c>
      <c r="K9" s="52">
        <f>SUM(J9)+1.6</f>
        <v>34.1</v>
      </c>
      <c r="L9" s="52">
        <f t="shared" ref="L9:M9" si="2">SUM(K9)+1.6</f>
        <v>35.700000000000003</v>
      </c>
      <c r="M9" s="200">
        <f t="shared" si="2"/>
        <v>37.300000000000004</v>
      </c>
      <c r="N9" s="64">
        <f t="shared" ref="N9" si="3">SUM(M9)+1.6</f>
        <v>38.900000000000006</v>
      </c>
    </row>
    <row r="10" spans="1:14" s="1" customFormat="1" ht="14.1" customHeight="1">
      <c r="A10" s="45"/>
      <c r="B10" s="61" t="s">
        <v>25</v>
      </c>
      <c r="C10" s="61"/>
      <c r="D10" s="42" t="s">
        <v>295</v>
      </c>
      <c r="E10" s="43"/>
      <c r="F10" s="43"/>
      <c r="G10" s="44"/>
      <c r="H10" s="79"/>
      <c r="I10" s="79"/>
      <c r="J10" s="83"/>
      <c r="K10" s="79"/>
      <c r="L10" s="79"/>
      <c r="M10" s="121"/>
      <c r="N10" s="80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38"/>
      <c r="L11" s="38"/>
      <c r="M11" s="198"/>
      <c r="N11" s="63"/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198"/>
      <c r="N12" s="63"/>
    </row>
    <row r="13" spans="1:14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14.8</v>
      </c>
      <c r="I13" s="52">
        <f>SUM(J13)-0.6</f>
        <v>15.4</v>
      </c>
      <c r="J13" s="37">
        <v>16</v>
      </c>
      <c r="K13" s="38">
        <f>SUM(J13)+0.6</f>
        <v>16.600000000000001</v>
      </c>
      <c r="L13" s="38">
        <f>SUM(K13)+0.6</f>
        <v>17.200000000000003</v>
      </c>
      <c r="M13" s="198">
        <f>SUM(L13)+0.6</f>
        <v>17.800000000000004</v>
      </c>
      <c r="N13" s="63">
        <f>SUM(M13)+0.6</f>
        <v>18.400000000000006</v>
      </c>
    </row>
    <row r="14" spans="1:14" s="1" customFormat="1" ht="14.1" customHeight="1">
      <c r="A14" s="45"/>
      <c r="B14" s="61" t="s">
        <v>27</v>
      </c>
      <c r="C14" s="61"/>
      <c r="D14" s="42" t="s">
        <v>147</v>
      </c>
      <c r="E14" s="43"/>
      <c r="F14" s="43"/>
      <c r="G14" s="44"/>
      <c r="H14" s="79"/>
      <c r="I14" s="79"/>
      <c r="J14" s="37"/>
      <c r="K14" s="38"/>
      <c r="L14" s="38"/>
      <c r="M14" s="198"/>
      <c r="N14" s="63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7.4</v>
      </c>
      <c r="I15" s="52">
        <f>SUM(J15)-0.3</f>
        <v>7.7</v>
      </c>
      <c r="J15" s="37">
        <v>8</v>
      </c>
      <c r="K15" s="38">
        <f>SUM(J15)+0.3</f>
        <v>8.3000000000000007</v>
      </c>
      <c r="L15" s="38">
        <f>SUM(K15)+0.3</f>
        <v>8.6000000000000014</v>
      </c>
      <c r="M15" s="198">
        <f>SUM(L15)+0.3</f>
        <v>8.9000000000000021</v>
      </c>
      <c r="N15" s="63">
        <f>SUM(M15)+0.3</f>
        <v>9.2000000000000028</v>
      </c>
    </row>
    <row r="16" spans="1:14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98"/>
      <c r="N16" s="63"/>
    </row>
    <row r="17" spans="1:14" s="1" customFormat="1" ht="14.1" customHeight="1">
      <c r="A17" s="45">
        <v>8</v>
      </c>
      <c r="B17" s="47" t="s">
        <v>71</v>
      </c>
      <c r="C17" s="48"/>
      <c r="D17" s="75" t="s">
        <v>333</v>
      </c>
      <c r="E17" s="62"/>
      <c r="F17" s="62"/>
      <c r="G17" s="76"/>
      <c r="H17" s="52">
        <f>SUM(I17)-1.6</f>
        <v>39.099999999999994</v>
      </c>
      <c r="I17" s="52">
        <f>SUM(J17)-1.6</f>
        <v>40.699999999999996</v>
      </c>
      <c r="J17" s="37">
        <v>42.3</v>
      </c>
      <c r="K17" s="38">
        <f>SUM(J17)+1.6</f>
        <v>43.9</v>
      </c>
      <c r="L17" s="38">
        <f>SUM(K17)+1.6</f>
        <v>45.5</v>
      </c>
      <c r="M17" s="198">
        <f>SUM(L17)+1.6</f>
        <v>47.1</v>
      </c>
      <c r="N17" s="63">
        <f>SUM(M17)+1.6</f>
        <v>48.7</v>
      </c>
    </row>
    <row r="18" spans="1:14" s="1" customFormat="1" ht="14.1" customHeight="1">
      <c r="A18" s="45"/>
      <c r="B18" s="61" t="s">
        <v>33</v>
      </c>
      <c r="C18" s="61"/>
      <c r="D18" s="42" t="s">
        <v>174</v>
      </c>
      <c r="E18" s="43"/>
      <c r="F18" s="43"/>
      <c r="G18" s="44"/>
      <c r="H18" s="79"/>
      <c r="I18" s="79"/>
      <c r="J18" s="37"/>
      <c r="K18" s="38"/>
      <c r="L18" s="38"/>
      <c r="M18" s="198"/>
      <c r="N18" s="63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198"/>
      <c r="N19" s="63"/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19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SUM(I21)-1.7</f>
        <v>31.7</v>
      </c>
      <c r="I21" s="52">
        <f>SUM(J21)-1.7</f>
        <v>33.4</v>
      </c>
      <c r="J21" s="37">
        <v>35.1</v>
      </c>
      <c r="K21" s="38">
        <f>SUM(J21)+1.7</f>
        <v>36.800000000000004</v>
      </c>
      <c r="L21" s="38">
        <f t="shared" ref="L21:M21" si="4">SUM(K21)+1.7</f>
        <v>38.500000000000007</v>
      </c>
      <c r="M21" s="198">
        <f t="shared" si="4"/>
        <v>40.20000000000001</v>
      </c>
      <c r="N21" s="63">
        <f t="shared" ref="N21" si="5">SUM(M21)+1.7</f>
        <v>41.900000000000013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198"/>
      <c r="N22" s="63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198">
        <f>SUM(L23)+0.6</f>
        <v>17</v>
      </c>
      <c r="N23" s="63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198"/>
      <c r="N24" s="63"/>
    </row>
    <row r="25" spans="1:14" s="1" customFormat="1" ht="14.1" customHeight="1">
      <c r="A25" s="45">
        <v>12</v>
      </c>
      <c r="B25" s="47" t="s">
        <v>214</v>
      </c>
      <c r="C25" s="48"/>
      <c r="D25" s="78"/>
      <c r="E25" s="78"/>
      <c r="F25" s="78"/>
      <c r="G25" s="78"/>
      <c r="H25" s="52">
        <f>SUM(I25)-1</f>
        <v>11.5</v>
      </c>
      <c r="I25" s="52">
        <f>SUM(J25)-1</f>
        <v>12.5</v>
      </c>
      <c r="J25" s="54">
        <v>13.5</v>
      </c>
      <c r="K25" s="38">
        <f>SUM(J25)+1</f>
        <v>14.5</v>
      </c>
      <c r="L25" s="38">
        <f t="shared" ref="L25:M25" si="6">SUM(K25)+1</f>
        <v>15.5</v>
      </c>
      <c r="M25" s="198">
        <f t="shared" si="6"/>
        <v>16.5</v>
      </c>
      <c r="N25" s="63">
        <f t="shared" ref="N25" si="7">SUM(M25)+1</f>
        <v>17.5</v>
      </c>
    </row>
    <row r="26" spans="1:14" s="1" customFormat="1" ht="14.1" customHeight="1">
      <c r="A26" s="45"/>
      <c r="B26" s="40" t="s">
        <v>215</v>
      </c>
      <c r="C26" s="41"/>
      <c r="D26" s="42" t="s">
        <v>293</v>
      </c>
      <c r="E26" s="43"/>
      <c r="F26" s="43"/>
      <c r="G26" s="44"/>
      <c r="H26" s="79"/>
      <c r="I26" s="79"/>
      <c r="J26" s="83"/>
      <c r="K26" s="38"/>
      <c r="L26" s="38"/>
      <c r="M26" s="198"/>
      <c r="N26" s="63"/>
    </row>
    <row r="27" spans="1:14" s="1" customFormat="1" ht="14.1" customHeight="1">
      <c r="A27" s="45">
        <v>13</v>
      </c>
      <c r="B27" s="47" t="s">
        <v>216</v>
      </c>
      <c r="C27" s="48"/>
      <c r="D27" s="62"/>
      <c r="E27" s="62"/>
      <c r="F27" s="62"/>
      <c r="G27" s="76"/>
      <c r="H27" s="52">
        <f>SUM(I27)-1</f>
        <v>12</v>
      </c>
      <c r="I27" s="52">
        <f>SUM(J27)-1</f>
        <v>13</v>
      </c>
      <c r="J27" s="37">
        <v>14</v>
      </c>
      <c r="K27" s="38">
        <f>SUM(J27)+1</f>
        <v>15</v>
      </c>
      <c r="L27" s="38">
        <f t="shared" ref="L27:M27" si="8">SUM(K27)+1</f>
        <v>16</v>
      </c>
      <c r="M27" s="198">
        <f t="shared" si="8"/>
        <v>17</v>
      </c>
      <c r="N27" s="63">
        <f t="shared" ref="N27" si="9">SUM(M27)+1</f>
        <v>18</v>
      </c>
    </row>
    <row r="28" spans="1:14" s="1" customFormat="1" ht="14.1" customHeight="1">
      <c r="A28" s="45"/>
      <c r="B28" s="40" t="s">
        <v>217</v>
      </c>
      <c r="C28" s="41"/>
      <c r="D28" s="42"/>
      <c r="E28" s="43"/>
      <c r="F28" s="43"/>
      <c r="G28" s="44"/>
      <c r="H28" s="79"/>
      <c r="I28" s="79"/>
      <c r="J28" s="54"/>
      <c r="K28" s="38"/>
      <c r="L28" s="38"/>
      <c r="M28" s="198"/>
      <c r="N28" s="63"/>
    </row>
    <row r="29" spans="1:14" s="1" customFormat="1" ht="14.1" customHeight="1">
      <c r="A29" s="45">
        <v>14</v>
      </c>
      <c r="B29" s="81" t="s">
        <v>175</v>
      </c>
      <c r="C29" s="81"/>
      <c r="D29" s="75" t="s">
        <v>176</v>
      </c>
      <c r="E29" s="62"/>
      <c r="F29" s="62"/>
      <c r="G29" s="76"/>
      <c r="H29" s="52">
        <f>SUM(I29)-1</f>
        <v>29.5</v>
      </c>
      <c r="I29" s="52">
        <f>SUM(J29)-1</f>
        <v>30.5</v>
      </c>
      <c r="J29" s="37">
        <v>31.5</v>
      </c>
      <c r="K29" s="38">
        <f>SUM(J29)+1</f>
        <v>32.5</v>
      </c>
      <c r="L29" s="38">
        <f>SUM(K29)+1</f>
        <v>33.5</v>
      </c>
      <c r="M29" s="198">
        <f>SUM(L29)+1</f>
        <v>34.5</v>
      </c>
      <c r="N29" s="63">
        <f>SUM(M29)+1</f>
        <v>35.5</v>
      </c>
    </row>
    <row r="30" spans="1:14" s="1" customFormat="1" ht="14.1" customHeight="1">
      <c r="A30" s="45"/>
      <c r="B30" s="61" t="s">
        <v>177</v>
      </c>
      <c r="C30" s="61"/>
      <c r="D30" s="42" t="s">
        <v>178</v>
      </c>
      <c r="E30" s="43"/>
      <c r="F30" s="43"/>
      <c r="G30" s="44"/>
      <c r="H30" s="79"/>
      <c r="I30" s="79"/>
      <c r="J30" s="37"/>
      <c r="K30" s="38"/>
      <c r="L30" s="38"/>
      <c r="M30" s="198"/>
      <c r="N30" s="63"/>
    </row>
    <row r="31" spans="1:14" s="1" customFormat="1" ht="14.1" customHeight="1">
      <c r="A31" s="45">
        <v>15</v>
      </c>
      <c r="B31" s="81" t="s">
        <v>179</v>
      </c>
      <c r="C31" s="81"/>
      <c r="D31" s="75" t="s">
        <v>180</v>
      </c>
      <c r="E31" s="62"/>
      <c r="F31" s="62"/>
      <c r="G31" s="76"/>
      <c r="H31" s="52">
        <f>SUM(I31)-0.8</f>
        <v>21.5</v>
      </c>
      <c r="I31" s="52">
        <f>SUM(J31)-0.8</f>
        <v>22.3</v>
      </c>
      <c r="J31" s="37">
        <v>23.1</v>
      </c>
      <c r="K31" s="38">
        <f>SUM(J31)+0.8</f>
        <v>23.900000000000002</v>
      </c>
      <c r="L31" s="38">
        <f>SUM(K31)+0.8</f>
        <v>24.700000000000003</v>
      </c>
      <c r="M31" s="198">
        <f>SUM(L31)+0.8</f>
        <v>25.500000000000004</v>
      </c>
      <c r="N31" s="63">
        <f>SUM(M31)+0.8</f>
        <v>26.300000000000004</v>
      </c>
    </row>
    <row r="32" spans="1:14" s="1" customFormat="1" ht="14.1" customHeight="1">
      <c r="A32" s="45"/>
      <c r="B32" s="61" t="s">
        <v>181</v>
      </c>
      <c r="C32" s="61"/>
      <c r="D32" s="42" t="s">
        <v>182</v>
      </c>
      <c r="E32" s="43"/>
      <c r="F32" s="43"/>
      <c r="G32" s="44"/>
      <c r="H32" s="79"/>
      <c r="I32" s="79"/>
      <c r="J32" s="37"/>
      <c r="K32" s="38"/>
      <c r="L32" s="38"/>
      <c r="M32" s="198"/>
      <c r="N32" s="63"/>
    </row>
    <row r="33" spans="1:14" s="1" customFormat="1" ht="14.1" customHeight="1">
      <c r="A33" s="45">
        <v>16</v>
      </c>
      <c r="B33" s="47" t="s">
        <v>161</v>
      </c>
      <c r="C33" s="48"/>
      <c r="D33" s="78"/>
      <c r="E33" s="78"/>
      <c r="F33" s="78"/>
      <c r="G33" s="78"/>
      <c r="H33" s="52">
        <v>27.5</v>
      </c>
      <c r="I33" s="52">
        <v>30.5</v>
      </c>
      <c r="J33" s="54">
        <v>34</v>
      </c>
      <c r="K33" s="52">
        <v>36.5</v>
      </c>
      <c r="L33" s="52">
        <v>39.5</v>
      </c>
      <c r="M33" s="200">
        <v>42</v>
      </c>
      <c r="N33" s="64">
        <v>44.5</v>
      </c>
    </row>
    <row r="34" spans="1:14" s="1" customFormat="1" ht="14.1" customHeight="1">
      <c r="A34" s="45"/>
      <c r="B34" s="40" t="s">
        <v>135</v>
      </c>
      <c r="C34" s="41"/>
      <c r="D34" s="42" t="s">
        <v>134</v>
      </c>
      <c r="E34" s="43"/>
      <c r="F34" s="43"/>
      <c r="G34" s="44"/>
      <c r="H34" s="79"/>
      <c r="I34" s="79"/>
      <c r="J34" s="83"/>
      <c r="K34" s="79"/>
      <c r="L34" s="79"/>
      <c r="M34" s="121"/>
      <c r="N34" s="80"/>
    </row>
    <row r="35" spans="1:14" s="1" customFormat="1" ht="14.1" customHeight="1">
      <c r="A35" s="45">
        <v>17</v>
      </c>
      <c r="B35" s="56"/>
      <c r="C35" s="57"/>
      <c r="D35" s="59"/>
      <c r="E35" s="59"/>
      <c r="F35" s="59"/>
      <c r="G35" s="59"/>
      <c r="H35" s="52"/>
      <c r="I35" s="52"/>
      <c r="J35" s="37"/>
      <c r="K35" s="38"/>
      <c r="L35" s="38"/>
      <c r="M35" s="198"/>
      <c r="N35" s="63"/>
    </row>
    <row r="36" spans="1:14" ht="14.1" customHeight="1" thickBot="1">
      <c r="A36" s="74"/>
      <c r="B36" s="190"/>
      <c r="C36" s="190"/>
      <c r="D36" s="180"/>
      <c r="E36" s="181"/>
      <c r="F36" s="181"/>
      <c r="G36" s="182"/>
      <c r="H36" s="77"/>
      <c r="I36" s="77"/>
      <c r="J36" s="66"/>
      <c r="K36" s="67"/>
      <c r="L36" s="67"/>
      <c r="M36" s="199"/>
      <c r="N36" s="68"/>
    </row>
    <row r="37" spans="1:14" ht="14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4" ht="14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4" ht="14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4" ht="14.1" customHeight="1"/>
    <row r="41" spans="1:14" ht="14.1" customHeight="1">
      <c r="N41" s="1"/>
    </row>
    <row r="42" spans="1:14" ht="14.1" customHeight="1">
      <c r="N42" s="1"/>
    </row>
    <row r="43" spans="1:14" ht="14.1" customHeight="1"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N27:N28"/>
    <mergeCell ref="N29:N30"/>
    <mergeCell ref="N31:N32"/>
    <mergeCell ref="N33:N34"/>
    <mergeCell ref="N35:N36"/>
    <mergeCell ref="A1:N1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J35:J36"/>
    <mergeCell ref="K35:K36"/>
    <mergeCell ref="L35:L36"/>
    <mergeCell ref="M35:M36"/>
    <mergeCell ref="B36:C36"/>
    <mergeCell ref="D36:G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BF7E-63F6-4F54-8679-F9914BEE3B4D}">
  <sheetPr>
    <tabColor theme="8"/>
    <pageSetUpPr fitToPage="1"/>
  </sheetPr>
  <dimension ref="A1:Q51"/>
  <sheetViews>
    <sheetView zoomScale="110" zoomScaleNormal="110" workbookViewId="0">
      <selection activeCell="B19" sqref="B19:G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11" t="s">
        <v>208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7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33.200000000000003</v>
      </c>
      <c r="I3" s="52">
        <f>SUM(J3)-3.4</f>
        <v>36.6</v>
      </c>
      <c r="J3" s="54">
        <v>40</v>
      </c>
      <c r="K3" s="52">
        <f>SUM(J3)+2.9</f>
        <v>42.9</v>
      </c>
      <c r="L3" s="52">
        <f>SUM(K3)+2.9</f>
        <v>45.8</v>
      </c>
      <c r="M3" s="115">
        <f>SUM(L3)+2.9</f>
        <v>48.699999999999996</v>
      </c>
      <c r="N3" s="210">
        <f>SUM(M3)+2.9</f>
        <v>51.599999999999994</v>
      </c>
    </row>
    <row r="4" spans="1:17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83"/>
      <c r="K4" s="79"/>
      <c r="L4" s="79"/>
      <c r="M4" s="79"/>
      <c r="N4" s="207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39.799999999999997</v>
      </c>
      <c r="I5" s="52">
        <f>SUM(J5)-2</f>
        <v>41.8</v>
      </c>
      <c r="J5" s="37">
        <v>43.8</v>
      </c>
      <c r="K5" s="38">
        <f>SUM(J5)+1.8</f>
        <v>45.599999999999994</v>
      </c>
      <c r="L5" s="38">
        <f t="shared" ref="L5:N5" si="0">SUM(K5)+1.8</f>
        <v>47.399999999999991</v>
      </c>
      <c r="M5" s="38">
        <f t="shared" si="0"/>
        <v>49.199999999999989</v>
      </c>
      <c r="N5" s="63">
        <f t="shared" si="0"/>
        <v>50.999999999999986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38"/>
      <c r="N6" s="63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43.5</v>
      </c>
      <c r="I7" s="52">
        <f>SUM(J7)-2.25</f>
        <v>45.75</v>
      </c>
      <c r="J7" s="54">
        <v>48</v>
      </c>
      <c r="K7" s="52">
        <f>SUM(J7)+2</f>
        <v>50</v>
      </c>
      <c r="L7" s="52">
        <f>SUM(K7)+2</f>
        <v>52</v>
      </c>
      <c r="M7" s="52">
        <f>SUM(L7)+2</f>
        <v>54</v>
      </c>
      <c r="N7" s="205">
        <f>SUM(M7)+2</f>
        <v>56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7" s="1" customFormat="1" ht="14.1" customHeight="1">
      <c r="A9" s="45">
        <v>4</v>
      </c>
      <c r="B9" s="81" t="s">
        <v>194</v>
      </c>
      <c r="C9" s="81"/>
      <c r="D9" s="78"/>
      <c r="E9" s="78"/>
      <c r="F9" s="78"/>
      <c r="G9" s="78"/>
      <c r="H9" s="52">
        <f>SUM(I9)-3.5</f>
        <v>69</v>
      </c>
      <c r="I9" s="52">
        <f>SUM(J9)-3.5</f>
        <v>72.5</v>
      </c>
      <c r="J9" s="54">
        <v>76</v>
      </c>
      <c r="K9" s="52">
        <f>SUM(J9)+3.5</f>
        <v>79.5</v>
      </c>
      <c r="L9" s="52">
        <f>SUM(K9)+3.5</f>
        <v>83</v>
      </c>
      <c r="M9" s="52">
        <f>SUM(L9)+3.5</f>
        <v>86.5</v>
      </c>
      <c r="N9" s="205">
        <f>SUM(M9)+3.5</f>
        <v>90</v>
      </c>
    </row>
    <row r="10" spans="1:17" s="1" customFormat="1" ht="14.1" customHeight="1">
      <c r="A10" s="45"/>
      <c r="B10" s="61" t="s">
        <v>195</v>
      </c>
      <c r="C10" s="61"/>
      <c r="D10" s="42" t="s">
        <v>207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7" s="1" customFormat="1" ht="14.1" customHeight="1" thickBo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16.7</v>
      </c>
      <c r="I11" s="52">
        <f>SUM(J11)-0.8</f>
        <v>17.5</v>
      </c>
      <c r="J11" s="37">
        <v>18.3</v>
      </c>
      <c r="K11" s="52">
        <f>SUM(J11)+0.8</f>
        <v>19.100000000000001</v>
      </c>
      <c r="L11" s="52">
        <f t="shared" ref="L11:N11" si="1">SUM(K11)+0.8</f>
        <v>19.900000000000002</v>
      </c>
      <c r="M11" s="52">
        <f t="shared" si="1"/>
        <v>20.700000000000003</v>
      </c>
      <c r="N11" s="64">
        <f t="shared" si="1"/>
        <v>21.500000000000004</v>
      </c>
    </row>
    <row r="12" spans="1:17" s="1" customFormat="1" ht="14.1" customHeight="1" thickTop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79"/>
      <c r="N12" s="80"/>
      <c r="Q12" s="10" t="s">
        <v>209</v>
      </c>
    </row>
    <row r="13" spans="1:17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12.4</v>
      </c>
      <c r="I13" s="52">
        <f>SUM(J13)-0.6</f>
        <v>13</v>
      </c>
      <c r="J13" s="37">
        <v>13.6</v>
      </c>
      <c r="K13" s="38">
        <f>SUM(J13)+0.6</f>
        <v>14.2</v>
      </c>
      <c r="L13" s="38">
        <f>SUM(K13)+0.6</f>
        <v>14.799999999999999</v>
      </c>
      <c r="M13" s="38">
        <f>SUM(L13)+0.6</f>
        <v>15.399999999999999</v>
      </c>
      <c r="N13" s="208">
        <f>SUM(M13)+0.6</f>
        <v>15.999999999999998</v>
      </c>
      <c r="Q13" s="11">
        <f>SUM(H9+I9+J9+H29+H29+I29+I29+J29+J29)</f>
        <v>333.9</v>
      </c>
    </row>
    <row r="14" spans="1:17" s="1" customFormat="1" ht="14.1" customHeight="1" thickBo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  <c r="Q14" s="12">
        <f>SUM(Q13/91.44/3*1.08)</f>
        <v>1.3145669291338582</v>
      </c>
    </row>
    <row r="15" spans="1:17" s="1" customFormat="1" ht="14.1" customHeight="1" thickTop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6.5</v>
      </c>
      <c r="I15" s="52">
        <f>SUM(J15)-0.3</f>
        <v>6.8</v>
      </c>
      <c r="J15" s="37">
        <v>7.1</v>
      </c>
      <c r="K15" s="38">
        <f>SUM(J15)+0.3</f>
        <v>7.3999999999999995</v>
      </c>
      <c r="L15" s="38">
        <f>SUM(K15)+0.3</f>
        <v>7.6999999999999993</v>
      </c>
      <c r="M15" s="175">
        <f>SUM(L15)+0.3</f>
        <v>7.9999999999999991</v>
      </c>
      <c r="N15" s="209">
        <f>SUM(M15)+0.3</f>
        <v>8.2999999999999989</v>
      </c>
      <c r="Q15" s="10" t="s">
        <v>210</v>
      </c>
    </row>
    <row r="16" spans="1:17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75"/>
      <c r="N16" s="209"/>
      <c r="Q16" s="11">
        <f>SUM(K9+L9+M9+N9+K29+K29+L29+L29+M29+M29+N29+N29)</f>
        <v>511</v>
      </c>
    </row>
    <row r="17" spans="1:17" s="1" customFormat="1" ht="14.1" customHeight="1" thickBo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34.099999999999994</v>
      </c>
      <c r="I17" s="52">
        <f>SUM(J17)-1.6</f>
        <v>35.699999999999996</v>
      </c>
      <c r="J17" s="37">
        <v>37.299999999999997</v>
      </c>
      <c r="K17" s="38">
        <f>SUM(J17)+1.6</f>
        <v>38.9</v>
      </c>
      <c r="L17" s="38">
        <f>SUM(K17)+1.6</f>
        <v>40.5</v>
      </c>
      <c r="M17" s="175">
        <f>SUM(L17)+1.6</f>
        <v>42.1</v>
      </c>
      <c r="N17" s="209">
        <f>SUM(M17)+1.6</f>
        <v>43.7</v>
      </c>
      <c r="Q17" s="12">
        <f>SUM(Q16/91.44/4*1.08)</f>
        <v>1.5088582677165356</v>
      </c>
    </row>
    <row r="18" spans="1:17" s="1" customFormat="1" ht="14.1" customHeight="1" thickTop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175"/>
      <c r="N18" s="209"/>
    </row>
    <row r="19" spans="1:17" s="1" customFormat="1" ht="14.1" customHeight="1">
      <c r="A19" s="45">
        <v>9</v>
      </c>
      <c r="B19" s="47" t="s">
        <v>73</v>
      </c>
      <c r="C19" s="48"/>
      <c r="D19" s="62" t="s">
        <v>204</v>
      </c>
      <c r="E19" s="62"/>
      <c r="F19" s="62"/>
      <c r="G19" s="62"/>
      <c r="H19" s="52">
        <f>SUM(I19)-0.2</f>
        <v>5.0999999999999996</v>
      </c>
      <c r="I19" s="52">
        <f>SUM(J19)-0.2</f>
        <v>5.3</v>
      </c>
      <c r="J19" s="37">
        <v>5.5</v>
      </c>
      <c r="K19" s="38">
        <f>SUM(J19)+0.2</f>
        <v>5.7</v>
      </c>
      <c r="L19" s="38">
        <f>SUM(K19)+0.2</f>
        <v>5.9</v>
      </c>
      <c r="M19" s="38">
        <f>SUM(L19)+0.2</f>
        <v>6.1000000000000005</v>
      </c>
      <c r="N19" s="208">
        <f>SUM(M19)+0.2</f>
        <v>6.3000000000000007</v>
      </c>
    </row>
    <row r="20" spans="1:17" s="1" customFormat="1" ht="14.1" customHeight="1">
      <c r="A20" s="45"/>
      <c r="B20" s="65" t="s">
        <v>34</v>
      </c>
      <c r="C20" s="65"/>
      <c r="D20" s="58" t="s">
        <v>203</v>
      </c>
      <c r="E20" s="59"/>
      <c r="F20" s="59"/>
      <c r="G20" s="60"/>
      <c r="H20" s="53"/>
      <c r="I20" s="53"/>
      <c r="J20" s="54"/>
      <c r="K20" s="52"/>
      <c r="L20" s="52"/>
      <c r="M20" s="52"/>
      <c r="N20" s="205"/>
    </row>
    <row r="21" spans="1:17" s="1" customFormat="1" ht="14.1" customHeight="1">
      <c r="A21" s="45">
        <v>10</v>
      </c>
      <c r="B21" s="47" t="s">
        <v>205</v>
      </c>
      <c r="C21" s="48"/>
      <c r="D21" s="62" t="s">
        <v>159</v>
      </c>
      <c r="E21" s="62"/>
      <c r="F21" s="62"/>
      <c r="G21" s="62"/>
      <c r="H21" s="52">
        <f>SUM(I21)-0.1</f>
        <v>2.0999999999999996</v>
      </c>
      <c r="I21" s="52">
        <f>SUM(J21)-0.1</f>
        <v>2.1999999999999997</v>
      </c>
      <c r="J21" s="37">
        <v>2.2999999999999998</v>
      </c>
      <c r="K21" s="38">
        <f>SUM(J21)+0.1</f>
        <v>2.4</v>
      </c>
      <c r="L21" s="38">
        <f t="shared" ref="L21:N21" si="2">SUM(K21)+0.1</f>
        <v>2.5</v>
      </c>
      <c r="M21" s="38">
        <f t="shared" si="2"/>
        <v>2.6</v>
      </c>
      <c r="N21" s="63">
        <f t="shared" si="2"/>
        <v>2.7</v>
      </c>
    </row>
    <row r="22" spans="1:17" s="1" customFormat="1" ht="14.1" customHeight="1">
      <c r="A22" s="45"/>
      <c r="B22" s="40" t="s">
        <v>206</v>
      </c>
      <c r="C22" s="41"/>
      <c r="D22" s="58" t="s">
        <v>160</v>
      </c>
      <c r="E22" s="59"/>
      <c r="F22" s="59"/>
      <c r="G22" s="60"/>
      <c r="H22" s="53"/>
      <c r="I22" s="53"/>
      <c r="J22" s="54"/>
      <c r="K22" s="52"/>
      <c r="L22" s="52"/>
      <c r="M22" s="52"/>
      <c r="N22" s="64"/>
    </row>
    <row r="23" spans="1:17" s="1" customFormat="1" ht="14.1" customHeight="1">
      <c r="A23" s="45">
        <v>11</v>
      </c>
      <c r="B23" s="47" t="s">
        <v>201</v>
      </c>
      <c r="C23" s="48"/>
      <c r="D23" s="75"/>
      <c r="E23" s="62"/>
      <c r="F23" s="62"/>
      <c r="G23" s="76"/>
      <c r="H23" s="52">
        <f>SUM(I23)-0.2</f>
        <v>6.8</v>
      </c>
      <c r="I23" s="52">
        <f>SUM(J23)-0.2</f>
        <v>7</v>
      </c>
      <c r="J23" s="54">
        <v>7.2</v>
      </c>
      <c r="K23" s="52">
        <f>SUM(J23)+0.2</f>
        <v>7.4</v>
      </c>
      <c r="L23" s="52">
        <f>SUM(K23)+0.2</f>
        <v>7.6000000000000005</v>
      </c>
      <c r="M23" s="52">
        <f>SUM(L23)+0.2</f>
        <v>7.8000000000000007</v>
      </c>
      <c r="N23" s="64">
        <f>SUM(M23)+0.2</f>
        <v>8</v>
      </c>
    </row>
    <row r="24" spans="1:17" s="1" customFormat="1" ht="14.1" customHeight="1">
      <c r="A24" s="45"/>
      <c r="B24" s="40" t="s">
        <v>202</v>
      </c>
      <c r="C24" s="41"/>
      <c r="D24" s="42"/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7" s="1" customFormat="1" ht="14.1" customHeight="1">
      <c r="A25" s="45">
        <v>12</v>
      </c>
      <c r="B25" s="81" t="s">
        <v>4</v>
      </c>
      <c r="C25" s="81"/>
      <c r="D25" s="78" t="s">
        <v>5</v>
      </c>
      <c r="E25" s="78"/>
      <c r="F25" s="78"/>
      <c r="G25" s="78"/>
      <c r="H25" s="52">
        <f>SUM(I25)-3.5</f>
        <v>26.4</v>
      </c>
      <c r="I25" s="52">
        <f>SUM(J25)-3.5</f>
        <v>29.9</v>
      </c>
      <c r="J25" s="37">
        <v>33.4</v>
      </c>
      <c r="K25" s="52">
        <f>SUM(J25)+3.6</f>
        <v>37</v>
      </c>
      <c r="L25" s="52">
        <f t="shared" ref="L25:N25" si="3">SUM(K25)+3.6</f>
        <v>40.6</v>
      </c>
      <c r="M25" s="52">
        <f t="shared" si="3"/>
        <v>44.2</v>
      </c>
      <c r="N25" s="64">
        <f t="shared" si="3"/>
        <v>47.800000000000004</v>
      </c>
    </row>
    <row r="26" spans="1:17" s="1" customFormat="1" ht="14.1" customHeight="1">
      <c r="A26" s="45"/>
      <c r="B26" s="61" t="s">
        <v>29</v>
      </c>
      <c r="C26" s="61"/>
      <c r="D26" s="42" t="s">
        <v>47</v>
      </c>
      <c r="E26" s="43"/>
      <c r="F26" s="43"/>
      <c r="G26" s="44"/>
      <c r="H26" s="79"/>
      <c r="I26" s="79"/>
      <c r="J26" s="37"/>
      <c r="K26" s="79"/>
      <c r="L26" s="79"/>
      <c r="M26" s="79"/>
      <c r="N26" s="80"/>
    </row>
    <row r="27" spans="1:17" s="1" customFormat="1" ht="14.1" customHeight="1">
      <c r="A27" s="45">
        <v>13</v>
      </c>
      <c r="B27" s="81" t="s">
        <v>6</v>
      </c>
      <c r="C27" s="81"/>
      <c r="D27" s="75" t="s">
        <v>7</v>
      </c>
      <c r="E27" s="62"/>
      <c r="F27" s="62"/>
      <c r="G27" s="76"/>
      <c r="H27" s="52">
        <f>SUM(I27)-1.6</f>
        <v>33.699999999999996</v>
      </c>
      <c r="I27" s="52">
        <f>SUM(J27)-1.6</f>
        <v>35.299999999999997</v>
      </c>
      <c r="J27" s="37">
        <v>36.9</v>
      </c>
      <c r="K27" s="38">
        <f>SUM(J27)+1.6</f>
        <v>38.5</v>
      </c>
      <c r="L27" s="38">
        <f t="shared" ref="L27:N27" si="4">SUM(K27)+1.6</f>
        <v>40.1</v>
      </c>
      <c r="M27" s="38">
        <f t="shared" si="4"/>
        <v>41.7</v>
      </c>
      <c r="N27" s="63">
        <f t="shared" si="4"/>
        <v>43.300000000000004</v>
      </c>
    </row>
    <row r="28" spans="1:17" s="1" customFormat="1" ht="14.1" customHeight="1">
      <c r="A28" s="45"/>
      <c r="B28" s="61" t="s">
        <v>30</v>
      </c>
      <c r="C28" s="61"/>
      <c r="D28" s="42" t="s">
        <v>65</v>
      </c>
      <c r="E28" s="43"/>
      <c r="F28" s="43"/>
      <c r="G28" s="44"/>
      <c r="H28" s="79"/>
      <c r="I28" s="79"/>
      <c r="J28" s="37"/>
      <c r="K28" s="38"/>
      <c r="L28" s="38"/>
      <c r="M28" s="38"/>
      <c r="N28" s="63"/>
    </row>
    <row r="29" spans="1:17" ht="14.1" customHeight="1">
      <c r="A29" s="45">
        <v>14</v>
      </c>
      <c r="B29" s="47" t="s">
        <v>197</v>
      </c>
      <c r="C29" s="48"/>
      <c r="D29" s="78"/>
      <c r="E29" s="78"/>
      <c r="F29" s="78"/>
      <c r="G29" s="78"/>
      <c r="H29" s="52">
        <f>SUM(I29)-0.6</f>
        <v>18.799999999999997</v>
      </c>
      <c r="I29" s="52">
        <f>SUM(J29)-0.6</f>
        <v>19.399999999999999</v>
      </c>
      <c r="J29" s="37">
        <v>20</v>
      </c>
      <c r="K29" s="38">
        <f>SUM(J29)+0.6</f>
        <v>20.6</v>
      </c>
      <c r="L29" s="38">
        <f>SUM(K29)+0.6</f>
        <v>21.200000000000003</v>
      </c>
      <c r="M29" s="38">
        <f>SUM(L29)+0.6</f>
        <v>21.800000000000004</v>
      </c>
      <c r="N29" s="208">
        <f>SUM(M29)+0.6</f>
        <v>22.400000000000006</v>
      </c>
    </row>
    <row r="30" spans="1:17" ht="14.1" customHeight="1">
      <c r="A30" s="45"/>
      <c r="B30" s="61" t="s">
        <v>198</v>
      </c>
      <c r="C30" s="61"/>
      <c r="D30" s="42" t="s">
        <v>207</v>
      </c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7" ht="14.1" customHeight="1">
      <c r="A31" s="45">
        <v>15</v>
      </c>
      <c r="B31" s="47" t="s">
        <v>199</v>
      </c>
      <c r="C31" s="48"/>
      <c r="D31" s="75"/>
      <c r="E31" s="62"/>
      <c r="F31" s="62"/>
      <c r="G31" s="76"/>
      <c r="H31" s="52">
        <f>SUM(I31)-0.5</f>
        <v>11</v>
      </c>
      <c r="I31" s="52">
        <f>SUM(J31)-0.5</f>
        <v>11.5</v>
      </c>
      <c r="J31" s="54">
        <v>12</v>
      </c>
      <c r="K31" s="52">
        <f>SUM(J31)+0.5</f>
        <v>12.5</v>
      </c>
      <c r="L31" s="52">
        <f>SUM(K31)+0.5</f>
        <v>13</v>
      </c>
      <c r="M31" s="52">
        <f>SUM(L31)+0.5</f>
        <v>13.5</v>
      </c>
      <c r="N31" s="205">
        <f>SUM(M31)+0.5</f>
        <v>14</v>
      </c>
    </row>
    <row r="32" spans="1:17" ht="14.1" customHeight="1">
      <c r="A32" s="45"/>
      <c r="B32" s="40" t="s">
        <v>200</v>
      </c>
      <c r="C32" s="41"/>
      <c r="D32" s="123"/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ht="14.1" customHeight="1">
      <c r="A33" s="45">
        <v>16</v>
      </c>
      <c r="B33" s="47" t="s">
        <v>161</v>
      </c>
      <c r="C33" s="48"/>
      <c r="D33" s="78"/>
      <c r="E33" s="78"/>
      <c r="F33" s="78"/>
      <c r="G33" s="78"/>
      <c r="H33" s="52">
        <v>27</v>
      </c>
      <c r="I33" s="52">
        <v>30.5</v>
      </c>
      <c r="J33" s="54">
        <v>33.5</v>
      </c>
      <c r="K33" s="52">
        <v>36</v>
      </c>
      <c r="L33" s="52">
        <v>39</v>
      </c>
      <c r="M33" s="52">
        <v>41.5</v>
      </c>
      <c r="N33" s="205">
        <v>44.5</v>
      </c>
    </row>
    <row r="34" spans="1:14" ht="14.1" customHeight="1">
      <c r="A34" s="45"/>
      <c r="B34" s="40" t="s">
        <v>135</v>
      </c>
      <c r="C34" s="41"/>
      <c r="D34" s="42" t="s">
        <v>134</v>
      </c>
      <c r="E34" s="43"/>
      <c r="F34" s="43"/>
      <c r="G34" s="44"/>
      <c r="H34" s="79"/>
      <c r="I34" s="79"/>
      <c r="J34" s="83"/>
      <c r="K34" s="79"/>
      <c r="L34" s="79"/>
      <c r="M34" s="79"/>
      <c r="N34" s="207"/>
    </row>
    <row r="35" spans="1:14" ht="14.1" customHeight="1">
      <c r="A35" s="45">
        <v>17</v>
      </c>
      <c r="B35" s="47"/>
      <c r="C35" s="48"/>
      <c r="D35" s="49"/>
      <c r="E35" s="50"/>
      <c r="F35" s="50"/>
      <c r="G35" s="51"/>
      <c r="H35" s="52"/>
      <c r="I35" s="52"/>
      <c r="J35" s="54"/>
      <c r="K35" s="52"/>
      <c r="L35" s="52"/>
      <c r="M35" s="52"/>
      <c r="N35" s="64"/>
    </row>
    <row r="36" spans="1:14" ht="14.1" customHeight="1">
      <c r="A36" s="45"/>
      <c r="B36" s="40"/>
      <c r="C36" s="41"/>
      <c r="D36" s="42"/>
      <c r="E36" s="43"/>
      <c r="F36" s="43"/>
      <c r="G36" s="44"/>
      <c r="H36" s="79"/>
      <c r="I36" s="79"/>
      <c r="J36" s="83"/>
      <c r="K36" s="79"/>
      <c r="L36" s="79"/>
      <c r="M36" s="79"/>
      <c r="N36" s="80"/>
    </row>
    <row r="37" spans="1:14" ht="14.1" customHeight="1">
      <c r="A37" s="45">
        <v>18</v>
      </c>
      <c r="B37" s="56"/>
      <c r="C37" s="57"/>
      <c r="D37" s="183"/>
      <c r="E37" s="184"/>
      <c r="F37" s="184"/>
      <c r="G37" s="185"/>
      <c r="H37" s="52"/>
      <c r="I37" s="52"/>
      <c r="J37" s="54"/>
      <c r="K37" s="52"/>
      <c r="L37" s="52"/>
      <c r="M37" s="52"/>
      <c r="N37" s="205"/>
    </row>
    <row r="38" spans="1:14" ht="14.1" customHeight="1" thickBot="1">
      <c r="A38" s="74"/>
      <c r="B38" s="178"/>
      <c r="C38" s="179"/>
      <c r="D38" s="180"/>
      <c r="E38" s="181"/>
      <c r="F38" s="181"/>
      <c r="G38" s="182"/>
      <c r="H38" s="77"/>
      <c r="I38" s="77"/>
      <c r="J38" s="144"/>
      <c r="K38" s="77"/>
      <c r="L38" s="77"/>
      <c r="M38" s="77"/>
      <c r="N38" s="206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5D66-E766-43F7-959E-A79DE5D6A699}">
  <sheetPr>
    <tabColor theme="8"/>
    <pageSetUpPr fitToPage="1"/>
  </sheetPr>
  <dimension ref="A1:Q51"/>
  <sheetViews>
    <sheetView zoomScale="110" zoomScaleNormal="110" workbookViewId="0">
      <selection activeCell="B27" sqref="B27:C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11" t="s">
        <v>211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7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35.200000000000003</v>
      </c>
      <c r="I3" s="52">
        <f>SUM(J3)-3.4</f>
        <v>38.6</v>
      </c>
      <c r="J3" s="54">
        <v>42</v>
      </c>
      <c r="K3" s="52">
        <f>SUM(J3)+2.9</f>
        <v>44.9</v>
      </c>
      <c r="L3" s="52">
        <f>SUM(K3)+2.9</f>
        <v>47.8</v>
      </c>
      <c r="M3" s="115">
        <f>SUM(L3)+2.9</f>
        <v>50.699999999999996</v>
      </c>
      <c r="N3" s="210">
        <f>SUM(M3)+2.9</f>
        <v>53.599999999999994</v>
      </c>
    </row>
    <row r="4" spans="1:17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83"/>
      <c r="K4" s="79"/>
      <c r="L4" s="79"/>
      <c r="M4" s="79"/>
      <c r="N4" s="207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40.599999999999994</v>
      </c>
      <c r="I5" s="52">
        <f>SUM(J5)-2.2</f>
        <v>42.8</v>
      </c>
      <c r="J5" s="37">
        <v>45</v>
      </c>
      <c r="K5" s="38">
        <f>SUM(J5)+2</f>
        <v>47</v>
      </c>
      <c r="L5" s="38">
        <f t="shared" ref="L5:N5" si="0">SUM(K5)+2</f>
        <v>49</v>
      </c>
      <c r="M5" s="38">
        <f t="shared" si="0"/>
        <v>51</v>
      </c>
      <c r="N5" s="63">
        <f t="shared" si="0"/>
        <v>53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38"/>
      <c r="N6" s="63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40.5</v>
      </c>
      <c r="I7" s="52">
        <f>SUM(J7)-2.25</f>
        <v>42.75</v>
      </c>
      <c r="J7" s="54">
        <v>45</v>
      </c>
      <c r="K7" s="52">
        <f>SUM(J7)+2</f>
        <v>47</v>
      </c>
      <c r="L7" s="52">
        <f>SUM(K7)+2</f>
        <v>49</v>
      </c>
      <c r="M7" s="52">
        <f>SUM(L7)+2</f>
        <v>51</v>
      </c>
      <c r="N7" s="205">
        <f>SUM(M7)+2</f>
        <v>53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7" s="1" customFormat="1" ht="14.1" customHeight="1">
      <c r="A9" s="45">
        <v>4</v>
      </c>
      <c r="B9" s="81" t="s">
        <v>194</v>
      </c>
      <c r="C9" s="81"/>
      <c r="D9" s="78"/>
      <c r="E9" s="78"/>
      <c r="F9" s="78"/>
      <c r="G9" s="78"/>
      <c r="H9" s="52">
        <f>SUM(I9)-3.5</f>
        <v>65</v>
      </c>
      <c r="I9" s="52">
        <f>SUM(J9)-3.5</f>
        <v>68.5</v>
      </c>
      <c r="J9" s="54">
        <v>72</v>
      </c>
      <c r="K9" s="52">
        <f>SUM(J9)+3.5</f>
        <v>75.5</v>
      </c>
      <c r="L9" s="52">
        <f>SUM(K9)+3.5</f>
        <v>79</v>
      </c>
      <c r="M9" s="52">
        <f>SUM(L9)+3.5</f>
        <v>82.5</v>
      </c>
      <c r="N9" s="205">
        <f>SUM(M9)+3.5</f>
        <v>86</v>
      </c>
    </row>
    <row r="10" spans="1:17" s="1" customFormat="1" ht="14.1" customHeight="1">
      <c r="A10" s="45"/>
      <c r="B10" s="61" t="s">
        <v>195</v>
      </c>
      <c r="C10" s="61"/>
      <c r="D10" s="42" t="s">
        <v>207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7" s="1" customFormat="1" ht="14.1" customHeight="1" thickBo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16.399999999999999</v>
      </c>
      <c r="I11" s="52">
        <f>SUM(J11)-0.8</f>
        <v>17.2</v>
      </c>
      <c r="J11" s="37">
        <v>18</v>
      </c>
      <c r="K11" s="52">
        <f>SUM(J11)+0.8</f>
        <v>18.8</v>
      </c>
      <c r="L11" s="52">
        <f t="shared" ref="L11:N11" si="1">SUM(K11)+0.8</f>
        <v>19.600000000000001</v>
      </c>
      <c r="M11" s="52">
        <f t="shared" si="1"/>
        <v>20.400000000000002</v>
      </c>
      <c r="N11" s="64">
        <f t="shared" si="1"/>
        <v>21.200000000000003</v>
      </c>
    </row>
    <row r="12" spans="1:17" s="1" customFormat="1" ht="14.1" customHeight="1" thickTop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79"/>
      <c r="N12" s="80"/>
      <c r="Q12" s="10" t="s">
        <v>209</v>
      </c>
    </row>
    <row r="13" spans="1:17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13</v>
      </c>
      <c r="I13" s="52">
        <f>SUM(J13)-0.6</f>
        <v>13.6</v>
      </c>
      <c r="J13" s="37">
        <v>14.2</v>
      </c>
      <c r="K13" s="38">
        <f>SUM(J13)+0.6</f>
        <v>14.799999999999999</v>
      </c>
      <c r="L13" s="38">
        <f>SUM(K13)+0.6</f>
        <v>15.399999999999999</v>
      </c>
      <c r="M13" s="38">
        <f>SUM(L13)+0.6</f>
        <v>15.999999999999998</v>
      </c>
      <c r="N13" s="208">
        <f>SUM(M13)+0.6</f>
        <v>16.599999999999998</v>
      </c>
      <c r="Q13" s="11">
        <f>SUM(H9+I9+J9+H25+H25+I25+I25+J25+J25)</f>
        <v>315.89999999999998</v>
      </c>
    </row>
    <row r="14" spans="1:17" s="1" customFormat="1" ht="14.1" customHeight="1" thickBo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  <c r="Q14" s="12">
        <f>SUM(Q13/91.44/3*1.08)</f>
        <v>1.2437007874015749</v>
      </c>
    </row>
    <row r="15" spans="1:17" s="1" customFormat="1" ht="14.1" customHeight="1" thickTop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6.5</v>
      </c>
      <c r="I15" s="52">
        <f>SUM(J15)-0.3</f>
        <v>6.8</v>
      </c>
      <c r="J15" s="37">
        <v>7.1</v>
      </c>
      <c r="K15" s="38">
        <f>SUM(J15)+0.3</f>
        <v>7.3999999999999995</v>
      </c>
      <c r="L15" s="38">
        <f>SUM(K15)+0.3</f>
        <v>7.6999999999999993</v>
      </c>
      <c r="M15" s="175">
        <f>SUM(L15)+0.3</f>
        <v>7.9999999999999991</v>
      </c>
      <c r="N15" s="209">
        <f>SUM(M15)+0.3</f>
        <v>8.2999999999999989</v>
      </c>
      <c r="Q15" s="10" t="s">
        <v>210</v>
      </c>
    </row>
    <row r="16" spans="1:17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75"/>
      <c r="N16" s="209"/>
      <c r="Q16" s="11">
        <f>SUM(K9+L9+M9+N9+K25+K25+L25+L25+M25+M25+N25+N25)</f>
        <v>487</v>
      </c>
    </row>
    <row r="17" spans="1:17" s="1" customFormat="1" ht="14.1" customHeight="1" thickBo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33.9</v>
      </c>
      <c r="I17" s="52">
        <f>SUM(J17)-1.6</f>
        <v>35.5</v>
      </c>
      <c r="J17" s="37">
        <v>37.1</v>
      </c>
      <c r="K17" s="38">
        <f>SUM(J17)+1.6</f>
        <v>38.700000000000003</v>
      </c>
      <c r="L17" s="38">
        <f>SUM(K17)+1.6</f>
        <v>40.300000000000004</v>
      </c>
      <c r="M17" s="175">
        <f>SUM(L17)+1.6</f>
        <v>41.900000000000006</v>
      </c>
      <c r="N17" s="209">
        <f>SUM(M17)+1.6</f>
        <v>43.500000000000007</v>
      </c>
      <c r="Q17" s="12">
        <f>SUM(Q16/91.44/4*1.08)</f>
        <v>1.4379921259842523</v>
      </c>
    </row>
    <row r="18" spans="1:17" s="1" customFormat="1" ht="14.1" customHeight="1" thickTop="1">
      <c r="A18" s="45"/>
      <c r="B18" s="61" t="s">
        <v>33</v>
      </c>
      <c r="C18" s="61"/>
      <c r="D18" s="42" t="s">
        <v>174</v>
      </c>
      <c r="E18" s="43"/>
      <c r="F18" s="43"/>
      <c r="G18" s="44"/>
      <c r="H18" s="79"/>
      <c r="I18" s="79"/>
      <c r="J18" s="37"/>
      <c r="K18" s="38"/>
      <c r="L18" s="38"/>
      <c r="M18" s="175"/>
      <c r="N18" s="209"/>
    </row>
    <row r="19" spans="1:17" s="1" customFormat="1" ht="14.1" customHeight="1">
      <c r="A19" s="45">
        <v>9</v>
      </c>
      <c r="B19" s="47" t="s">
        <v>73</v>
      </c>
      <c r="C19" s="48"/>
      <c r="D19" s="62" t="s">
        <v>204</v>
      </c>
      <c r="E19" s="62"/>
      <c r="F19" s="62"/>
      <c r="G19" s="62"/>
      <c r="H19" s="52">
        <f>SUM(I19)-0.2</f>
        <v>3.5999999999999996</v>
      </c>
      <c r="I19" s="52">
        <f>SUM(J19)-0.2</f>
        <v>3.8</v>
      </c>
      <c r="J19" s="37">
        <v>4</v>
      </c>
      <c r="K19" s="38">
        <f>SUM(J19)+0.2</f>
        <v>4.2</v>
      </c>
      <c r="L19" s="38">
        <f>SUM(K19)+0.2</f>
        <v>4.4000000000000004</v>
      </c>
      <c r="M19" s="38">
        <f>SUM(L19)+0.2</f>
        <v>4.6000000000000005</v>
      </c>
      <c r="N19" s="208">
        <f>SUM(M19)+0.2</f>
        <v>4.8000000000000007</v>
      </c>
    </row>
    <row r="20" spans="1:17" s="1" customFormat="1" ht="14.1" customHeight="1">
      <c r="A20" s="45"/>
      <c r="B20" s="65" t="s">
        <v>34</v>
      </c>
      <c r="C20" s="65"/>
      <c r="D20" s="58" t="s">
        <v>203</v>
      </c>
      <c r="E20" s="59"/>
      <c r="F20" s="59"/>
      <c r="G20" s="60"/>
      <c r="H20" s="53"/>
      <c r="I20" s="53"/>
      <c r="J20" s="54"/>
      <c r="K20" s="52"/>
      <c r="L20" s="52"/>
      <c r="M20" s="52"/>
      <c r="N20" s="205"/>
    </row>
    <row r="21" spans="1:17" s="1" customFormat="1" ht="14.1" customHeight="1">
      <c r="A21" s="45">
        <v>10</v>
      </c>
      <c r="B21" s="81" t="s">
        <v>4</v>
      </c>
      <c r="C21" s="81"/>
      <c r="D21" s="78" t="s">
        <v>5</v>
      </c>
      <c r="E21" s="78"/>
      <c r="F21" s="78"/>
      <c r="G21" s="78"/>
      <c r="H21" s="52">
        <f>SUM(I21)-3.4</f>
        <v>26.200000000000003</v>
      </c>
      <c r="I21" s="52">
        <f>SUM(J21)-3.4</f>
        <v>29.6</v>
      </c>
      <c r="J21" s="37">
        <v>33</v>
      </c>
      <c r="K21" s="52">
        <f>SUM(J21)+3.5</f>
        <v>36.5</v>
      </c>
      <c r="L21" s="52">
        <f t="shared" ref="L21:N21" si="2">SUM(K21)+3.5</f>
        <v>40</v>
      </c>
      <c r="M21" s="52">
        <f t="shared" si="2"/>
        <v>43.5</v>
      </c>
      <c r="N21" s="64">
        <f t="shared" si="2"/>
        <v>47</v>
      </c>
    </row>
    <row r="22" spans="1:17" s="1" customFormat="1" ht="14.1" customHeight="1">
      <c r="A22" s="45"/>
      <c r="B22" s="61" t="s">
        <v>29</v>
      </c>
      <c r="C22" s="61"/>
      <c r="D22" s="42" t="s">
        <v>47</v>
      </c>
      <c r="E22" s="43"/>
      <c r="F22" s="43"/>
      <c r="G22" s="44"/>
      <c r="H22" s="79"/>
      <c r="I22" s="79"/>
      <c r="J22" s="37"/>
      <c r="K22" s="79"/>
      <c r="L22" s="79"/>
      <c r="M22" s="79"/>
      <c r="N22" s="80"/>
    </row>
    <row r="23" spans="1:17" s="1" customFormat="1" ht="14.1" customHeight="1">
      <c r="A23" s="45">
        <v>11</v>
      </c>
      <c r="B23" s="81" t="s">
        <v>6</v>
      </c>
      <c r="C23" s="81"/>
      <c r="D23" s="75" t="s">
        <v>7</v>
      </c>
      <c r="E23" s="62"/>
      <c r="F23" s="62"/>
      <c r="G23" s="76"/>
      <c r="H23" s="52">
        <f>SUM(I23)-1.6</f>
        <v>32.799999999999997</v>
      </c>
      <c r="I23" s="52">
        <f>SUM(J23)-1.6</f>
        <v>34.4</v>
      </c>
      <c r="J23" s="37">
        <v>36</v>
      </c>
      <c r="K23" s="38">
        <f>SUM(J23)+1.6</f>
        <v>37.6</v>
      </c>
      <c r="L23" s="38">
        <f t="shared" ref="L23:N23" si="3">SUM(K23)+1.6</f>
        <v>39.200000000000003</v>
      </c>
      <c r="M23" s="38">
        <f t="shared" si="3"/>
        <v>40.800000000000004</v>
      </c>
      <c r="N23" s="63">
        <f t="shared" si="3"/>
        <v>42.400000000000006</v>
      </c>
    </row>
    <row r="24" spans="1:17" s="1" customFormat="1" ht="14.1" customHeight="1">
      <c r="A24" s="45"/>
      <c r="B24" s="61" t="s">
        <v>30</v>
      </c>
      <c r="C24" s="61"/>
      <c r="D24" s="42" t="s">
        <v>65</v>
      </c>
      <c r="E24" s="43"/>
      <c r="F24" s="43"/>
      <c r="G24" s="44"/>
      <c r="H24" s="79"/>
      <c r="I24" s="79"/>
      <c r="J24" s="37"/>
      <c r="K24" s="38"/>
      <c r="L24" s="38"/>
      <c r="M24" s="38"/>
      <c r="N24" s="63"/>
    </row>
    <row r="25" spans="1:17" s="1" customFormat="1" ht="14.1" customHeight="1">
      <c r="A25" s="45">
        <v>12</v>
      </c>
      <c r="B25" s="47" t="s">
        <v>197</v>
      </c>
      <c r="C25" s="48"/>
      <c r="D25" s="78"/>
      <c r="E25" s="78"/>
      <c r="F25" s="78"/>
      <c r="G25" s="78"/>
      <c r="H25" s="52">
        <f>SUM(I25)-0.6</f>
        <v>17.799999999999997</v>
      </c>
      <c r="I25" s="52">
        <f>SUM(J25)-0.6</f>
        <v>18.399999999999999</v>
      </c>
      <c r="J25" s="37">
        <v>19</v>
      </c>
      <c r="K25" s="38">
        <f>SUM(J25)+0.6</f>
        <v>19.600000000000001</v>
      </c>
      <c r="L25" s="38">
        <f>SUM(K25)+0.6</f>
        <v>20.200000000000003</v>
      </c>
      <c r="M25" s="38">
        <f>SUM(L25)+0.6</f>
        <v>20.800000000000004</v>
      </c>
      <c r="N25" s="208">
        <f>SUM(M25)+0.6</f>
        <v>21.400000000000006</v>
      </c>
    </row>
    <row r="26" spans="1:17" s="1" customFormat="1" ht="14.1" customHeight="1">
      <c r="A26" s="45"/>
      <c r="B26" s="61" t="s">
        <v>198</v>
      </c>
      <c r="C26" s="61"/>
      <c r="D26" s="42" t="s">
        <v>207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7" s="1" customFormat="1" ht="14.1" customHeight="1">
      <c r="A27" s="45">
        <v>13</v>
      </c>
      <c r="B27" s="47" t="s">
        <v>199</v>
      </c>
      <c r="C27" s="48"/>
      <c r="D27" s="75"/>
      <c r="E27" s="62"/>
      <c r="F27" s="62"/>
      <c r="G27" s="76"/>
      <c r="H27" s="52">
        <f>SUM(I27)-0.5</f>
        <v>11</v>
      </c>
      <c r="I27" s="52">
        <f>SUM(J27)-0.5</f>
        <v>11.5</v>
      </c>
      <c r="J27" s="54">
        <v>12</v>
      </c>
      <c r="K27" s="52">
        <f>SUM(J27)+0.5</f>
        <v>12.5</v>
      </c>
      <c r="L27" s="52">
        <f>SUM(K27)+0.5</f>
        <v>13</v>
      </c>
      <c r="M27" s="52">
        <f>SUM(L27)+0.5</f>
        <v>13.5</v>
      </c>
      <c r="N27" s="205">
        <f>SUM(M27)+0.5</f>
        <v>14</v>
      </c>
    </row>
    <row r="28" spans="1:17" s="1" customFormat="1" ht="14.1" customHeight="1">
      <c r="A28" s="45"/>
      <c r="B28" s="40" t="s">
        <v>200</v>
      </c>
      <c r="C28" s="41"/>
      <c r="D28" s="123"/>
      <c r="E28" s="124"/>
      <c r="F28" s="124"/>
      <c r="G28" s="125"/>
      <c r="H28" s="79"/>
      <c r="I28" s="79"/>
      <c r="J28" s="83"/>
      <c r="K28" s="79"/>
      <c r="L28" s="79"/>
      <c r="M28" s="79"/>
      <c r="N28" s="207"/>
    </row>
    <row r="29" spans="1:17" ht="14.1" customHeight="1">
      <c r="A29" s="45">
        <v>14</v>
      </c>
      <c r="B29" s="47" t="s">
        <v>161</v>
      </c>
      <c r="C29" s="48"/>
      <c r="D29" s="78"/>
      <c r="E29" s="78"/>
      <c r="F29" s="78"/>
      <c r="G29" s="78"/>
      <c r="H29" s="52">
        <v>33.5</v>
      </c>
      <c r="I29" s="52">
        <v>36.5</v>
      </c>
      <c r="J29" s="54">
        <v>40</v>
      </c>
      <c r="K29" s="52">
        <v>43</v>
      </c>
      <c r="L29" s="52">
        <v>46</v>
      </c>
      <c r="M29" s="52">
        <v>49</v>
      </c>
      <c r="N29" s="64">
        <v>51.5</v>
      </c>
    </row>
    <row r="30" spans="1:17" ht="14.1" customHeight="1">
      <c r="A30" s="45"/>
      <c r="B30" s="40" t="s">
        <v>135</v>
      </c>
      <c r="C30" s="41"/>
      <c r="D30" s="42" t="s">
        <v>134</v>
      </c>
      <c r="E30" s="43"/>
      <c r="F30" s="43"/>
      <c r="G30" s="44"/>
      <c r="H30" s="79"/>
      <c r="I30" s="79"/>
      <c r="J30" s="83"/>
      <c r="K30" s="79"/>
      <c r="L30" s="79"/>
      <c r="M30" s="79"/>
      <c r="N30" s="80"/>
    </row>
    <row r="31" spans="1:17" ht="14.1" customHeight="1">
      <c r="A31" s="45">
        <v>15</v>
      </c>
      <c r="B31" s="47" t="s">
        <v>120</v>
      </c>
      <c r="C31" s="48"/>
      <c r="D31" s="49"/>
      <c r="E31" s="50"/>
      <c r="F31" s="50"/>
      <c r="G31" s="51"/>
      <c r="H31" s="52">
        <f>SUM(I31)+0</f>
        <v>3</v>
      </c>
      <c r="I31" s="52">
        <f>SUM(J31)+0</f>
        <v>3</v>
      </c>
      <c r="J31" s="54">
        <v>3</v>
      </c>
      <c r="K31" s="52">
        <f>SUM(J31)+0</f>
        <v>3</v>
      </c>
      <c r="L31" s="52">
        <f t="shared" ref="L31:N31" si="4">SUM(K31)+0</f>
        <v>3</v>
      </c>
      <c r="M31" s="52">
        <f t="shared" si="4"/>
        <v>3</v>
      </c>
      <c r="N31" s="64">
        <f t="shared" si="4"/>
        <v>3</v>
      </c>
    </row>
    <row r="32" spans="1:17" ht="14.1" customHeight="1">
      <c r="A32" s="45"/>
      <c r="B32" s="40" t="s">
        <v>128</v>
      </c>
      <c r="C32" s="41"/>
      <c r="D32" s="42" t="s">
        <v>212</v>
      </c>
      <c r="E32" s="43"/>
      <c r="F32" s="43"/>
      <c r="G32" s="44"/>
      <c r="H32" s="79"/>
      <c r="I32" s="79"/>
      <c r="J32" s="83"/>
      <c r="K32" s="79"/>
      <c r="L32" s="79"/>
      <c r="M32" s="79"/>
      <c r="N32" s="80"/>
    </row>
    <row r="33" spans="1:14" ht="14.1" customHeight="1">
      <c r="A33" s="109">
        <v>16</v>
      </c>
      <c r="B33" s="56"/>
      <c r="C33" s="57"/>
      <c r="D33" s="183"/>
      <c r="E33" s="184"/>
      <c r="F33" s="184"/>
      <c r="G33" s="185"/>
      <c r="H33" s="52"/>
      <c r="I33" s="52"/>
      <c r="J33" s="54"/>
      <c r="K33" s="52"/>
      <c r="L33" s="52"/>
      <c r="M33" s="52"/>
      <c r="N33" s="205"/>
    </row>
    <row r="34" spans="1:14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144"/>
      <c r="K34" s="77"/>
      <c r="L34" s="77"/>
      <c r="M34" s="77"/>
      <c r="N34" s="206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8531-0C50-4F15-A215-5AFE7B4C72FB}">
  <sheetPr>
    <tabColor theme="8"/>
    <pageSetUpPr fitToPage="1"/>
  </sheetPr>
  <dimension ref="A1:Q51"/>
  <sheetViews>
    <sheetView topLeftCell="A7" zoomScale="110" zoomScaleNormal="110" workbookViewId="0">
      <selection activeCell="B39" sqref="B39:G4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105" t="s">
        <v>213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7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36.200000000000003</v>
      </c>
      <c r="I3" s="52">
        <f>SUM(J3)-3.4</f>
        <v>39.6</v>
      </c>
      <c r="J3" s="54">
        <v>43</v>
      </c>
      <c r="K3" s="52">
        <f>SUM(J3)+2.9</f>
        <v>45.9</v>
      </c>
      <c r="L3" s="52">
        <f>SUM(K3)+2.9</f>
        <v>48.8</v>
      </c>
      <c r="M3" s="120">
        <f>SUM(L3)+2.9</f>
        <v>51.699999999999996</v>
      </c>
    </row>
    <row r="4" spans="1:17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83"/>
      <c r="K4" s="79"/>
      <c r="L4" s="79"/>
      <c r="M4" s="80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40.999999999999993</v>
      </c>
      <c r="I5" s="52">
        <f>SUM(J5)-2.2</f>
        <v>43.199999999999996</v>
      </c>
      <c r="J5" s="37">
        <v>45.4</v>
      </c>
      <c r="K5" s="38">
        <f>SUM(J5)+2</f>
        <v>47.4</v>
      </c>
      <c r="L5" s="38">
        <f t="shared" ref="L5:M5" si="0">SUM(K5)+2</f>
        <v>49.4</v>
      </c>
      <c r="M5" s="63">
        <f t="shared" si="0"/>
        <v>51.4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63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SUM(I7)-2.5</f>
        <v>44.7</v>
      </c>
      <c r="I7" s="52">
        <f>SUM(J7)-2.5</f>
        <v>47.2</v>
      </c>
      <c r="J7" s="54">
        <v>49.7</v>
      </c>
      <c r="K7" s="52">
        <f>SUM(J7)+2.25</f>
        <v>51.95</v>
      </c>
      <c r="L7" s="52">
        <f t="shared" ref="L7:M7" si="1">SUM(K7)+2.25</f>
        <v>54.2</v>
      </c>
      <c r="M7" s="64">
        <f t="shared" si="1"/>
        <v>56.45</v>
      </c>
    </row>
    <row r="8" spans="1:17" s="1" customFormat="1" ht="14.1" customHeight="1">
      <c r="A8" s="45"/>
      <c r="B8" s="61" t="s">
        <v>40</v>
      </c>
      <c r="C8" s="61"/>
      <c r="D8" s="42" t="s">
        <v>583</v>
      </c>
      <c r="E8" s="43"/>
      <c r="F8" s="43"/>
      <c r="G8" s="44"/>
      <c r="H8" s="79"/>
      <c r="I8" s="79"/>
      <c r="J8" s="83"/>
      <c r="K8" s="79"/>
      <c r="L8" s="79"/>
      <c r="M8" s="80"/>
    </row>
    <row r="9" spans="1:17" s="1" customFormat="1" ht="14.1" customHeight="1">
      <c r="A9" s="45">
        <v>4</v>
      </c>
      <c r="B9" s="81" t="s">
        <v>194</v>
      </c>
      <c r="C9" s="81"/>
      <c r="D9" s="78"/>
      <c r="E9" s="78"/>
      <c r="F9" s="78"/>
      <c r="G9" s="78"/>
      <c r="H9" s="52">
        <f>SUM(I9)-3.5</f>
        <v>67</v>
      </c>
      <c r="I9" s="52">
        <f>SUM(J9)-3.5</f>
        <v>70.5</v>
      </c>
      <c r="J9" s="54">
        <v>74</v>
      </c>
      <c r="K9" s="52">
        <f>SUM(J9)+3.5</f>
        <v>77.5</v>
      </c>
      <c r="L9" s="52">
        <f>SUM(K9)+3.5</f>
        <v>81</v>
      </c>
      <c r="M9" s="64">
        <f>SUM(L9)+3.5</f>
        <v>84.5</v>
      </c>
    </row>
    <row r="10" spans="1:17" s="1" customFormat="1" ht="14.1" customHeight="1">
      <c r="A10" s="45"/>
      <c r="B10" s="61" t="s">
        <v>195</v>
      </c>
      <c r="C10" s="61"/>
      <c r="D10" s="42" t="s">
        <v>207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7" s="1" customFormat="1" ht="14.1" customHeight="1" thickBo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16.5</v>
      </c>
      <c r="I11" s="52">
        <f>SUM(J11)-0.8</f>
        <v>17.3</v>
      </c>
      <c r="J11" s="37">
        <v>18.100000000000001</v>
      </c>
      <c r="K11" s="52">
        <f>SUM(J11)+0.8</f>
        <v>18.900000000000002</v>
      </c>
      <c r="L11" s="52">
        <f t="shared" ref="L11:M11" si="2">SUM(K11)+0.8</f>
        <v>19.700000000000003</v>
      </c>
      <c r="M11" s="64">
        <f t="shared" si="2"/>
        <v>20.500000000000004</v>
      </c>
    </row>
    <row r="12" spans="1:17" s="1" customFormat="1" ht="14.1" customHeight="1" thickTop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80"/>
      <c r="P12" s="10" t="s">
        <v>210</v>
      </c>
      <c r="Q12" s="10" t="s">
        <v>222</v>
      </c>
    </row>
    <row r="13" spans="1:17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15.100000000000001</v>
      </c>
      <c r="I13" s="52">
        <f>SUM(J13)-0.6</f>
        <v>15.700000000000001</v>
      </c>
      <c r="J13" s="37">
        <v>16.3</v>
      </c>
      <c r="K13" s="38">
        <f>SUM(J13)+0.6</f>
        <v>16.900000000000002</v>
      </c>
      <c r="L13" s="38">
        <f>SUM(K13)+0.6</f>
        <v>17.500000000000004</v>
      </c>
      <c r="M13" s="63">
        <f>SUM(L13)+0.6</f>
        <v>18.100000000000005</v>
      </c>
      <c r="P13" s="11">
        <f>SUM(H9+I9+J9+H29+H29+I29+I29+J29+J29)</f>
        <v>321.89999999999998</v>
      </c>
      <c r="Q13" s="11">
        <f>SUM(H23+I23+J23)</f>
        <v>26.099999999999998</v>
      </c>
    </row>
    <row r="14" spans="1:17" s="1" customFormat="1" ht="14.1" customHeight="1" thickBo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63"/>
      <c r="P14" s="12">
        <f>SUM(P13/91.44/3*1.08)</f>
        <v>1.2673228346456693</v>
      </c>
      <c r="Q14" s="12">
        <f>SUM(Q13/91.44/3*1.08)</f>
        <v>0.10275590551181103</v>
      </c>
    </row>
    <row r="15" spans="1:17" s="1" customFormat="1" ht="14.1" customHeight="1" thickTop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7.7</v>
      </c>
      <c r="I15" s="52">
        <f>SUM(J15)-0.3</f>
        <v>8</v>
      </c>
      <c r="J15" s="37">
        <v>8.3000000000000007</v>
      </c>
      <c r="K15" s="38">
        <f>SUM(J15)+0.3</f>
        <v>8.6000000000000014</v>
      </c>
      <c r="L15" s="38">
        <f>SUM(K15)+0.3</f>
        <v>8.9000000000000021</v>
      </c>
      <c r="M15" s="196">
        <f>SUM(L15)+0.3</f>
        <v>9.2000000000000028</v>
      </c>
      <c r="P15" s="10" t="s">
        <v>223</v>
      </c>
      <c r="Q15" s="10" t="s">
        <v>209</v>
      </c>
    </row>
    <row r="16" spans="1:17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196"/>
      <c r="P16" s="11">
        <f>SUM(K9+L9+M9+K29+K29+L29+L29+M29+M29)</f>
        <v>364.20000000000005</v>
      </c>
      <c r="Q16" s="11">
        <f>SUM(K23+L23+M23)</f>
        <v>28.800000000000004</v>
      </c>
    </row>
    <row r="17" spans="1:17" s="1" customFormat="1" ht="14.1" customHeight="1" thickBo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39.299999999999997</v>
      </c>
      <c r="I17" s="52">
        <f>SUM(J17)-1.6</f>
        <v>40.9</v>
      </c>
      <c r="J17" s="37">
        <v>42.5</v>
      </c>
      <c r="K17" s="38">
        <f>SUM(J17)+1.6</f>
        <v>44.1</v>
      </c>
      <c r="L17" s="38">
        <f>SUM(K17)+1.6</f>
        <v>45.7</v>
      </c>
      <c r="M17" s="196">
        <f>SUM(L17)+1.6</f>
        <v>47.300000000000004</v>
      </c>
      <c r="P17" s="12">
        <f>SUM(P16/91.44/3*1.08)</f>
        <v>1.4338582677165359</v>
      </c>
      <c r="Q17" s="12">
        <f>SUM(Q16/91.44/3*1.08)</f>
        <v>0.11338582677165357</v>
      </c>
    </row>
    <row r="18" spans="1:17" s="1" customFormat="1" ht="14.1" customHeight="1" thickTop="1">
      <c r="A18" s="45"/>
      <c r="B18" s="61" t="s">
        <v>33</v>
      </c>
      <c r="C18" s="61"/>
      <c r="D18" s="42" t="s">
        <v>174</v>
      </c>
      <c r="E18" s="43"/>
      <c r="F18" s="43"/>
      <c r="G18" s="44"/>
      <c r="H18" s="79"/>
      <c r="I18" s="79"/>
      <c r="J18" s="37"/>
      <c r="K18" s="38"/>
      <c r="L18" s="38"/>
      <c r="M18" s="196"/>
    </row>
    <row r="19" spans="1:17" s="1" customFormat="1" ht="14.1" customHeight="1">
      <c r="A19" s="45">
        <v>9</v>
      </c>
      <c r="B19" s="81" t="s">
        <v>175</v>
      </c>
      <c r="C19" s="81"/>
      <c r="D19" s="75" t="s">
        <v>176</v>
      </c>
      <c r="E19" s="62"/>
      <c r="F19" s="62"/>
      <c r="G19" s="76"/>
      <c r="H19" s="52">
        <f>SUM(I19)-1</f>
        <v>29.5</v>
      </c>
      <c r="I19" s="52">
        <f>SUM(J19)-1</f>
        <v>30.5</v>
      </c>
      <c r="J19" s="37">
        <v>31.5</v>
      </c>
      <c r="K19" s="38">
        <f>SUM(J19)+1</f>
        <v>32.5</v>
      </c>
      <c r="L19" s="38">
        <f t="shared" ref="L19:M19" si="3">SUM(K19)+1</f>
        <v>33.5</v>
      </c>
      <c r="M19" s="63">
        <f t="shared" si="3"/>
        <v>34.5</v>
      </c>
    </row>
    <row r="20" spans="1:17" s="1" customFormat="1" ht="14.1" customHeight="1">
      <c r="A20" s="45"/>
      <c r="B20" s="61" t="s">
        <v>177</v>
      </c>
      <c r="C20" s="61"/>
      <c r="D20" s="42" t="s">
        <v>178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7" s="1" customFormat="1" ht="14.1" customHeight="1">
      <c r="A21" s="45">
        <v>10</v>
      </c>
      <c r="B21" s="81" t="s">
        <v>179</v>
      </c>
      <c r="C21" s="81"/>
      <c r="D21" s="75" t="s">
        <v>180</v>
      </c>
      <c r="E21" s="62"/>
      <c r="F21" s="62"/>
      <c r="G21" s="76"/>
      <c r="H21" s="81">
        <f>SUM(I21)-0.8</f>
        <v>21.9</v>
      </c>
      <c r="I21" s="81">
        <f>SUM(J21)-0.8</f>
        <v>22.7</v>
      </c>
      <c r="J21" s="176">
        <v>23.5</v>
      </c>
      <c r="K21" s="175">
        <f>SUM(J21)+0.8</f>
        <v>24.3</v>
      </c>
      <c r="L21" s="175">
        <f t="shared" ref="L21" si="4">SUM(K21)+0.8</f>
        <v>25.1</v>
      </c>
      <c r="M21" s="196">
        <f t="shared" ref="M21" si="5">SUM(L21)+0.8</f>
        <v>25.900000000000002</v>
      </c>
    </row>
    <row r="22" spans="1:17" s="1" customFormat="1" ht="14.1" customHeight="1">
      <c r="A22" s="45"/>
      <c r="B22" s="61" t="s">
        <v>181</v>
      </c>
      <c r="C22" s="61"/>
      <c r="D22" s="42" t="s">
        <v>182</v>
      </c>
      <c r="E22" s="43"/>
      <c r="F22" s="43"/>
      <c r="G22" s="44"/>
      <c r="H22" s="61"/>
      <c r="I22" s="61"/>
      <c r="J22" s="176"/>
      <c r="K22" s="175"/>
      <c r="L22" s="175"/>
      <c r="M22" s="196"/>
    </row>
    <row r="23" spans="1:17" s="1" customFormat="1" ht="14.1" customHeight="1">
      <c r="A23" s="45">
        <v>11</v>
      </c>
      <c r="B23" s="47" t="s">
        <v>220</v>
      </c>
      <c r="C23" s="48"/>
      <c r="D23" s="78"/>
      <c r="E23" s="78"/>
      <c r="F23" s="78"/>
      <c r="G23" s="78"/>
      <c r="H23" s="52">
        <f>SUM(I23)-0.3</f>
        <v>8.3999999999999986</v>
      </c>
      <c r="I23" s="52">
        <f>SUM(J23)-0.3</f>
        <v>8.6999999999999993</v>
      </c>
      <c r="J23" s="37">
        <v>9</v>
      </c>
      <c r="K23" s="38">
        <f>SUM(J23)+0.3</f>
        <v>9.3000000000000007</v>
      </c>
      <c r="L23" s="38">
        <f t="shared" ref="L23:M23" si="6">SUM(K23)+0.3</f>
        <v>9.6000000000000014</v>
      </c>
      <c r="M23" s="63">
        <f t="shared" si="6"/>
        <v>9.9000000000000021</v>
      </c>
    </row>
    <row r="24" spans="1:17" s="1" customFormat="1" ht="14.1" customHeight="1">
      <c r="A24" s="45"/>
      <c r="B24" s="61" t="s">
        <v>221</v>
      </c>
      <c r="C24" s="61"/>
      <c r="D24" s="42" t="s">
        <v>207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7" s="1" customFormat="1" ht="14.1" customHeight="1">
      <c r="A25" s="45">
        <v>12</v>
      </c>
      <c r="B25" s="81" t="s">
        <v>4</v>
      </c>
      <c r="C25" s="81"/>
      <c r="D25" s="78" t="s">
        <v>5</v>
      </c>
      <c r="E25" s="78"/>
      <c r="F25" s="78"/>
      <c r="G25" s="78"/>
      <c r="H25" s="52">
        <f>SUM(I25)-3.4</f>
        <v>23.700000000000003</v>
      </c>
      <c r="I25" s="52">
        <f>SUM(J25)-3.4</f>
        <v>27.1</v>
      </c>
      <c r="J25" s="37">
        <v>30.5</v>
      </c>
      <c r="K25" s="52">
        <f>SUM(J25)+3.5</f>
        <v>34</v>
      </c>
      <c r="L25" s="52">
        <f t="shared" ref="L25:M25" si="7">SUM(K25)+3.5</f>
        <v>37.5</v>
      </c>
      <c r="M25" s="64">
        <f t="shared" si="7"/>
        <v>41</v>
      </c>
    </row>
    <row r="26" spans="1:17" s="1" customFormat="1" ht="14.1" customHeight="1">
      <c r="A26" s="45"/>
      <c r="B26" s="61" t="s">
        <v>29</v>
      </c>
      <c r="C26" s="61"/>
      <c r="D26" s="42" t="s">
        <v>47</v>
      </c>
      <c r="E26" s="43"/>
      <c r="F26" s="43"/>
      <c r="G26" s="44"/>
      <c r="H26" s="79"/>
      <c r="I26" s="79"/>
      <c r="J26" s="37"/>
      <c r="K26" s="79"/>
      <c r="L26" s="79"/>
      <c r="M26" s="80"/>
    </row>
    <row r="27" spans="1:17" s="1" customFormat="1" ht="14.1" customHeight="1">
      <c r="A27" s="45">
        <v>13</v>
      </c>
      <c r="B27" s="81" t="s">
        <v>6</v>
      </c>
      <c r="C27" s="81"/>
      <c r="D27" s="75" t="s">
        <v>7</v>
      </c>
      <c r="E27" s="62"/>
      <c r="F27" s="62"/>
      <c r="G27" s="76"/>
      <c r="H27" s="52">
        <f>SUM(I27)-1.6</f>
        <v>33.099999999999994</v>
      </c>
      <c r="I27" s="52">
        <f>SUM(J27)-1.6</f>
        <v>34.699999999999996</v>
      </c>
      <c r="J27" s="37">
        <v>36.299999999999997</v>
      </c>
      <c r="K27" s="38">
        <f>SUM(J27)+1.6</f>
        <v>37.9</v>
      </c>
      <c r="L27" s="38">
        <f t="shared" ref="L27:M27" si="8">SUM(K27)+1.6</f>
        <v>39.5</v>
      </c>
      <c r="M27" s="63">
        <f t="shared" si="8"/>
        <v>41.1</v>
      </c>
    </row>
    <row r="28" spans="1:17" s="1" customFormat="1" ht="14.1" customHeight="1">
      <c r="A28" s="45"/>
      <c r="B28" s="61" t="s">
        <v>30</v>
      </c>
      <c r="C28" s="61"/>
      <c r="D28" s="42" t="s">
        <v>65</v>
      </c>
      <c r="E28" s="43"/>
      <c r="F28" s="43"/>
      <c r="G28" s="44"/>
      <c r="H28" s="79"/>
      <c r="I28" s="79"/>
      <c r="J28" s="37"/>
      <c r="K28" s="38"/>
      <c r="L28" s="38"/>
      <c r="M28" s="63"/>
    </row>
    <row r="29" spans="1:17" ht="14.1" customHeight="1">
      <c r="A29" s="45">
        <v>14</v>
      </c>
      <c r="B29" s="47" t="s">
        <v>197</v>
      </c>
      <c r="C29" s="48"/>
      <c r="D29" s="78"/>
      <c r="E29" s="78"/>
      <c r="F29" s="78"/>
      <c r="G29" s="78"/>
      <c r="H29" s="52">
        <f>SUM(I29)-0.6</f>
        <v>17.799999999999997</v>
      </c>
      <c r="I29" s="52">
        <f>SUM(J29)-0.6</f>
        <v>18.399999999999999</v>
      </c>
      <c r="J29" s="37">
        <v>19</v>
      </c>
      <c r="K29" s="38">
        <f>SUM(J29)+0.6</f>
        <v>19.600000000000001</v>
      </c>
      <c r="L29" s="38">
        <f>SUM(K29)+0.6</f>
        <v>20.200000000000003</v>
      </c>
      <c r="M29" s="63">
        <f>SUM(L29)+0.6</f>
        <v>20.800000000000004</v>
      </c>
    </row>
    <row r="30" spans="1:17" ht="14.1" customHeight="1">
      <c r="A30" s="45"/>
      <c r="B30" s="61" t="s">
        <v>198</v>
      </c>
      <c r="C30" s="61"/>
      <c r="D30" s="42" t="s">
        <v>207</v>
      </c>
      <c r="E30" s="43"/>
      <c r="F30" s="43"/>
      <c r="G30" s="44"/>
      <c r="H30" s="79"/>
      <c r="I30" s="79"/>
      <c r="J30" s="37"/>
      <c r="K30" s="38"/>
      <c r="L30" s="38"/>
      <c r="M30" s="63"/>
    </row>
    <row r="31" spans="1:17" ht="14.1" customHeight="1">
      <c r="A31" s="45">
        <v>15</v>
      </c>
      <c r="B31" s="47" t="s">
        <v>573</v>
      </c>
      <c r="C31" s="48"/>
      <c r="D31" s="78"/>
      <c r="E31" s="78"/>
      <c r="F31" s="78"/>
      <c r="G31" s="78"/>
      <c r="H31" s="52">
        <f>SUM(I31)-1.9</f>
        <v>11.2</v>
      </c>
      <c r="I31" s="52">
        <f>SUM(J31)-1.9</f>
        <v>13.1</v>
      </c>
      <c r="J31" s="37">
        <v>15</v>
      </c>
      <c r="K31" s="38">
        <f>SUM(J31)+1.5</f>
        <v>16.5</v>
      </c>
      <c r="L31" s="38">
        <f>SUM(K31)+2</f>
        <v>18.5</v>
      </c>
      <c r="M31" s="63">
        <f>SUM(L31)+2</f>
        <v>20.5</v>
      </c>
    </row>
    <row r="32" spans="1:17" ht="14.1" customHeight="1">
      <c r="A32" s="45"/>
      <c r="B32" s="61" t="s">
        <v>574</v>
      </c>
      <c r="C32" s="61"/>
      <c r="D32" s="42"/>
      <c r="E32" s="43"/>
      <c r="F32" s="43"/>
      <c r="G32" s="44"/>
      <c r="H32" s="79"/>
      <c r="I32" s="79"/>
      <c r="J32" s="37"/>
      <c r="K32" s="38"/>
      <c r="L32" s="38"/>
      <c r="M32" s="63"/>
    </row>
    <row r="33" spans="1:13" ht="14.1" customHeight="1">
      <c r="A33" s="45">
        <v>16</v>
      </c>
      <c r="B33" s="47" t="s">
        <v>214</v>
      </c>
      <c r="C33" s="48"/>
      <c r="D33" s="75"/>
      <c r="E33" s="62"/>
      <c r="F33" s="62"/>
      <c r="G33" s="76"/>
      <c r="H33" s="52">
        <f>SUM(I33)-0.6</f>
        <v>11.3</v>
      </c>
      <c r="I33" s="52">
        <f>SUM(J33)-0.6</f>
        <v>11.9</v>
      </c>
      <c r="J33" s="54">
        <v>12.5</v>
      </c>
      <c r="K33" s="52">
        <f>SUM(J33)+0.6</f>
        <v>13.1</v>
      </c>
      <c r="L33" s="52">
        <f t="shared" ref="L33:M33" si="9">SUM(K33)+0.6</f>
        <v>13.7</v>
      </c>
      <c r="M33" s="64">
        <f t="shared" si="9"/>
        <v>14.299999999999999</v>
      </c>
    </row>
    <row r="34" spans="1:13" ht="14.1" customHeight="1">
      <c r="A34" s="45"/>
      <c r="B34" s="40" t="s">
        <v>215</v>
      </c>
      <c r="C34" s="41"/>
      <c r="D34" s="123" t="s">
        <v>219</v>
      </c>
      <c r="E34" s="124"/>
      <c r="F34" s="124"/>
      <c r="G34" s="125"/>
      <c r="H34" s="79"/>
      <c r="I34" s="79"/>
      <c r="J34" s="83"/>
      <c r="K34" s="79"/>
      <c r="L34" s="79"/>
      <c r="M34" s="80"/>
    </row>
    <row r="35" spans="1:13" ht="14.1" customHeight="1">
      <c r="A35" s="45">
        <v>17</v>
      </c>
      <c r="B35" s="47" t="s">
        <v>216</v>
      </c>
      <c r="C35" s="48"/>
      <c r="D35" s="75"/>
      <c r="E35" s="62"/>
      <c r="F35" s="62"/>
      <c r="G35" s="76"/>
      <c r="H35" s="52">
        <f>SUM(I35)-0.6</f>
        <v>11.3</v>
      </c>
      <c r="I35" s="52">
        <f>SUM(J35)-0.6</f>
        <v>11.9</v>
      </c>
      <c r="J35" s="54">
        <v>12.5</v>
      </c>
      <c r="K35" s="52">
        <f>SUM(J35)+0.6</f>
        <v>13.1</v>
      </c>
      <c r="L35" s="52">
        <f t="shared" ref="L35:M35" si="10">SUM(K35)+0.6</f>
        <v>13.7</v>
      </c>
      <c r="M35" s="64">
        <f t="shared" si="10"/>
        <v>14.299999999999999</v>
      </c>
    </row>
    <row r="36" spans="1:13" ht="14.1" customHeight="1">
      <c r="A36" s="45"/>
      <c r="B36" s="40" t="s">
        <v>217</v>
      </c>
      <c r="C36" s="41"/>
      <c r="D36" s="123"/>
      <c r="E36" s="124"/>
      <c r="F36" s="124"/>
      <c r="G36" s="125"/>
      <c r="H36" s="79"/>
      <c r="I36" s="79"/>
      <c r="J36" s="83"/>
      <c r="K36" s="79"/>
      <c r="L36" s="79"/>
      <c r="M36" s="80"/>
    </row>
    <row r="37" spans="1:13" ht="14.1" customHeight="1">
      <c r="A37" s="45">
        <v>18</v>
      </c>
      <c r="B37" s="47" t="s">
        <v>161</v>
      </c>
      <c r="C37" s="48"/>
      <c r="D37" s="78"/>
      <c r="E37" s="78"/>
      <c r="F37" s="78"/>
      <c r="G37" s="78"/>
      <c r="H37" s="52">
        <v>35</v>
      </c>
      <c r="I37" s="52">
        <v>38</v>
      </c>
      <c r="J37" s="54">
        <v>41.5</v>
      </c>
      <c r="K37" s="52">
        <v>44.5</v>
      </c>
      <c r="L37" s="52">
        <v>47.5</v>
      </c>
      <c r="M37" s="64">
        <v>50</v>
      </c>
    </row>
    <row r="38" spans="1:13" ht="14.1" customHeight="1">
      <c r="A38" s="45"/>
      <c r="B38" s="40" t="s">
        <v>135</v>
      </c>
      <c r="C38" s="41"/>
      <c r="D38" s="42" t="s">
        <v>134</v>
      </c>
      <c r="E38" s="43"/>
      <c r="F38" s="43"/>
      <c r="G38" s="44"/>
      <c r="H38" s="79"/>
      <c r="I38" s="79"/>
      <c r="J38" s="83"/>
      <c r="K38" s="79"/>
      <c r="L38" s="79"/>
      <c r="M38" s="80"/>
    </row>
    <row r="39" spans="1:13" ht="14.1" customHeight="1">
      <c r="A39" s="45">
        <v>19</v>
      </c>
      <c r="B39" s="56" t="s">
        <v>120</v>
      </c>
      <c r="C39" s="57"/>
      <c r="D39" s="49"/>
      <c r="E39" s="50"/>
      <c r="F39" s="50"/>
      <c r="G39" s="51"/>
      <c r="H39" s="52">
        <f>SUM(I39-0.3)</f>
        <v>5.4</v>
      </c>
      <c r="I39" s="52">
        <f>SUM(J39-0.3)</f>
        <v>5.7</v>
      </c>
      <c r="J39" s="54">
        <v>6</v>
      </c>
      <c r="K39" s="52">
        <f>SUM(J39)+0.3</f>
        <v>6.3</v>
      </c>
      <c r="L39" s="52">
        <f t="shared" ref="L39:M39" si="11">SUM(K39)+0.3</f>
        <v>6.6</v>
      </c>
      <c r="M39" s="64">
        <f t="shared" si="11"/>
        <v>6.8999999999999995</v>
      </c>
    </row>
    <row r="40" spans="1:13" ht="14.1" customHeight="1">
      <c r="A40" s="45"/>
      <c r="B40" s="56" t="s">
        <v>128</v>
      </c>
      <c r="C40" s="57"/>
      <c r="D40" s="42" t="s">
        <v>218</v>
      </c>
      <c r="E40" s="43"/>
      <c r="F40" s="43"/>
      <c r="G40" s="44"/>
      <c r="H40" s="79"/>
      <c r="I40" s="79"/>
      <c r="J40" s="83"/>
      <c r="K40" s="79"/>
      <c r="L40" s="79"/>
      <c r="M40" s="80"/>
    </row>
    <row r="41" spans="1:13" ht="14.1" customHeight="1">
      <c r="A41" s="45">
        <v>20</v>
      </c>
      <c r="B41" s="47" t="s">
        <v>121</v>
      </c>
      <c r="C41" s="48"/>
      <c r="D41" s="49"/>
      <c r="E41" s="50"/>
      <c r="F41" s="50"/>
      <c r="G41" s="51"/>
      <c r="H41" s="52">
        <f>SUM(I41)-0.5</f>
        <v>8</v>
      </c>
      <c r="I41" s="52">
        <f>SUM(J41)-0.5</f>
        <v>8.5</v>
      </c>
      <c r="J41" s="54">
        <v>9</v>
      </c>
      <c r="K41" s="52">
        <f>SUM(J41)+0.5</f>
        <v>9.5</v>
      </c>
      <c r="L41" s="52">
        <f t="shared" ref="L41:M41" si="12">SUM(K41)+0.5</f>
        <v>10</v>
      </c>
      <c r="M41" s="64">
        <f t="shared" si="12"/>
        <v>10.5</v>
      </c>
    </row>
    <row r="42" spans="1:13" ht="14.1" customHeight="1" thickBot="1">
      <c r="A42" s="74"/>
      <c r="B42" s="178" t="s">
        <v>129</v>
      </c>
      <c r="C42" s="179"/>
      <c r="D42" s="180" t="s">
        <v>563</v>
      </c>
      <c r="E42" s="181"/>
      <c r="F42" s="181"/>
      <c r="G42" s="182"/>
      <c r="H42" s="77"/>
      <c r="I42" s="77"/>
      <c r="J42" s="144"/>
      <c r="K42" s="77"/>
      <c r="L42" s="77"/>
      <c r="M42" s="141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23"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1:M1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9:K30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4:C4"/>
    <mergeCell ref="D4:G4"/>
    <mergeCell ref="K7:K8"/>
    <mergeCell ref="L7:L8"/>
    <mergeCell ref="M7:M8"/>
    <mergeCell ref="B8:C8"/>
    <mergeCell ref="D8:G8"/>
    <mergeCell ref="J3:J4"/>
    <mergeCell ref="K3:K4"/>
    <mergeCell ref="J5:J6"/>
    <mergeCell ref="K5:K6"/>
    <mergeCell ref="L5:L6"/>
    <mergeCell ref="M5:M6"/>
    <mergeCell ref="L3:L4"/>
    <mergeCell ref="M3:M4"/>
    <mergeCell ref="B10:C10"/>
    <mergeCell ref="D10:G10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B6:C6"/>
    <mergeCell ref="D6:G6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3:K2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F3EB-E416-4CEB-B6C0-68CF7645D958}">
  <sheetPr>
    <tabColor theme="8"/>
    <pageSetUpPr fitToPage="1"/>
  </sheetPr>
  <dimension ref="A1:N51"/>
  <sheetViews>
    <sheetView zoomScale="110" zoomScaleNormal="110" workbookViewId="0">
      <selection activeCell="O28" sqref="O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11" t="s">
        <v>254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</f>
        <v>33</v>
      </c>
      <c r="I3" s="52">
        <f>SUM(J3)-3</f>
        <v>36</v>
      </c>
      <c r="J3" s="193">
        <v>39</v>
      </c>
      <c r="K3" s="115">
        <f>SUM(J3)+2.5</f>
        <v>41.5</v>
      </c>
      <c r="L3" s="115">
        <f>SUM(K3)+2.5</f>
        <v>44</v>
      </c>
      <c r="M3" s="115">
        <f>SUM(L3)+2.5</f>
        <v>46.5</v>
      </c>
      <c r="N3" s="210">
        <f>SUM(M3)+2.5</f>
        <v>49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79"/>
      <c r="L4" s="79"/>
      <c r="M4" s="79"/>
      <c r="N4" s="207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36</v>
      </c>
      <c r="I5" s="52">
        <f>SUM(J5)-2</f>
        <v>38</v>
      </c>
      <c r="J5" s="54">
        <v>40</v>
      </c>
      <c r="K5" s="52">
        <f>SUM(J5)+2</f>
        <v>42</v>
      </c>
      <c r="L5" s="52">
        <f>SUM(K5)+2</f>
        <v>44</v>
      </c>
      <c r="M5" s="52">
        <f>SUM(L5)+2</f>
        <v>46</v>
      </c>
      <c r="N5" s="205">
        <f>SUM(M5)+2</f>
        <v>48</v>
      </c>
    </row>
    <row r="6" spans="1:14" s="1" customFormat="1" ht="14.1" customHeight="1">
      <c r="A6" s="45"/>
      <c r="B6" s="61" t="s">
        <v>24</v>
      </c>
      <c r="C6" s="61"/>
      <c r="D6" s="42" t="s">
        <v>255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4" s="1" customFormat="1" ht="14.1" customHeight="1">
      <c r="A7" s="45">
        <v>3</v>
      </c>
      <c r="B7" s="81" t="s">
        <v>35</v>
      </c>
      <c r="C7" s="81"/>
      <c r="D7" s="78" t="s">
        <v>242</v>
      </c>
      <c r="E7" s="78"/>
      <c r="F7" s="78"/>
      <c r="G7" s="78"/>
      <c r="H7" s="52">
        <f>SUM(I7)-2</f>
        <v>38</v>
      </c>
      <c r="I7" s="52">
        <f>SUM(J7)-2</f>
        <v>40</v>
      </c>
      <c r="J7" s="54">
        <v>42</v>
      </c>
      <c r="K7" s="52">
        <f>SUM(J7)+2</f>
        <v>44</v>
      </c>
      <c r="L7" s="52">
        <f>SUM(K7)+2</f>
        <v>46</v>
      </c>
      <c r="M7" s="52">
        <f>SUM(L7)+2</f>
        <v>48</v>
      </c>
      <c r="N7" s="205">
        <f>SUM(M7)+2</f>
        <v>50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SUM(I9)-1.7</f>
        <v>32.599999999999994</v>
      </c>
      <c r="I9" s="52">
        <f>SUM(J9)-1.7</f>
        <v>34.299999999999997</v>
      </c>
      <c r="J9" s="54">
        <v>36</v>
      </c>
      <c r="K9" s="52">
        <f>SUM(J9)+1.7</f>
        <v>37.700000000000003</v>
      </c>
      <c r="L9" s="52">
        <f>SUM(K9)+1.7</f>
        <v>39.400000000000006</v>
      </c>
      <c r="M9" s="52">
        <f>SUM(L9)+1.7</f>
        <v>41.100000000000009</v>
      </c>
      <c r="N9" s="205">
        <f>SUM(M9)+1.7</f>
        <v>42.800000000000011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4" s="1" customFormat="1" ht="14.1" customHeight="1">
      <c r="A11" s="45">
        <v>5</v>
      </c>
      <c r="B11" s="81" t="s">
        <v>243</v>
      </c>
      <c r="C11" s="81"/>
      <c r="D11" s="78"/>
      <c r="E11" s="78"/>
      <c r="F11" s="78"/>
      <c r="G11" s="78"/>
      <c r="H11" s="52">
        <f>SUM(I11)-0</f>
        <v>5</v>
      </c>
      <c r="I11" s="52">
        <f>SUM(J11)-0</f>
        <v>5</v>
      </c>
      <c r="J11" s="54">
        <v>5</v>
      </c>
      <c r="K11" s="52">
        <f>SUM(J11)+0.5</f>
        <v>5.5</v>
      </c>
      <c r="L11" s="52">
        <f>SUM(K11)+0</f>
        <v>5.5</v>
      </c>
      <c r="M11" s="52">
        <f>SUM(L11)+0</f>
        <v>5.5</v>
      </c>
      <c r="N11" s="205">
        <f>SUM(M11)+0</f>
        <v>5.5</v>
      </c>
    </row>
    <row r="12" spans="1:14" s="1" customFormat="1" ht="14.1" customHeight="1">
      <c r="A12" s="45"/>
      <c r="B12" s="61" t="s">
        <v>244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79"/>
      <c r="N12" s="207"/>
    </row>
    <row r="13" spans="1:14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SUM(I13)-0.8</f>
        <v>15.899999999999999</v>
      </c>
      <c r="I13" s="52">
        <f>SUM(J13)-0.8</f>
        <v>16.7</v>
      </c>
      <c r="J13" s="37">
        <v>17.5</v>
      </c>
      <c r="K13" s="52">
        <f>SUM(J13)+0.8</f>
        <v>18.3</v>
      </c>
      <c r="L13" s="52">
        <f>SUM(K13)+0.8</f>
        <v>19.100000000000001</v>
      </c>
      <c r="M13" s="52">
        <f>SUM(L13)+0.8</f>
        <v>19.900000000000002</v>
      </c>
      <c r="N13" s="205">
        <f>SUM(M13)+0.8</f>
        <v>20.700000000000003</v>
      </c>
    </row>
    <row r="14" spans="1:14" s="1" customFormat="1" ht="14.1" customHeight="1">
      <c r="A14" s="45"/>
      <c r="B14" s="61" t="s">
        <v>26</v>
      </c>
      <c r="C14" s="61"/>
      <c r="D14" s="42" t="s">
        <v>45</v>
      </c>
      <c r="E14" s="43"/>
      <c r="F14" s="43"/>
      <c r="G14" s="44"/>
      <c r="H14" s="79"/>
      <c r="I14" s="79"/>
      <c r="J14" s="37"/>
      <c r="K14" s="79"/>
      <c r="L14" s="79"/>
      <c r="M14" s="79"/>
      <c r="N14" s="207"/>
    </row>
    <row r="15" spans="1:14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SUM(I15)-0.6</f>
        <v>13.8</v>
      </c>
      <c r="I15" s="52">
        <f>SUM(J15)-0.6</f>
        <v>14.4</v>
      </c>
      <c r="J15" s="37">
        <v>15</v>
      </c>
      <c r="K15" s="52">
        <f>SUM(J15)+0.6</f>
        <v>15.6</v>
      </c>
      <c r="L15" s="52">
        <f>SUM(K15)+0.6</f>
        <v>16.2</v>
      </c>
      <c r="M15" s="52">
        <f>SUM(L15)+0.6</f>
        <v>16.8</v>
      </c>
      <c r="N15" s="205">
        <f>SUM(M15)+0.6</f>
        <v>17.400000000000002</v>
      </c>
    </row>
    <row r="16" spans="1:14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79"/>
      <c r="I16" s="79"/>
      <c r="J16" s="37"/>
      <c r="K16" s="79"/>
      <c r="L16" s="79"/>
      <c r="M16" s="79"/>
      <c r="N16" s="207"/>
    </row>
    <row r="17" spans="1:14" s="1" customFormat="1" ht="14.1" customHeigh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6.9</v>
      </c>
      <c r="I17" s="52">
        <f>SUM(J17)-0.3</f>
        <v>7.2</v>
      </c>
      <c r="J17" s="37">
        <v>7.5</v>
      </c>
      <c r="K17" s="52">
        <f>SUM(J17)+0.3</f>
        <v>7.8</v>
      </c>
      <c r="L17" s="52">
        <f>SUM(K17)+0.3</f>
        <v>8.1</v>
      </c>
      <c r="M17" s="52">
        <f>SUM(L17)+0.3</f>
        <v>8.4</v>
      </c>
      <c r="N17" s="205">
        <f>SUM(M17)+0.3</f>
        <v>8.7000000000000011</v>
      </c>
    </row>
    <row r="18" spans="1:14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79"/>
      <c r="I18" s="79"/>
      <c r="J18" s="37"/>
      <c r="K18" s="79"/>
      <c r="L18" s="79"/>
      <c r="M18" s="79"/>
      <c r="N18" s="207"/>
    </row>
    <row r="19" spans="1:14" s="1" customFormat="1" ht="14.1" customHeight="1">
      <c r="A19" s="45">
        <v>9</v>
      </c>
      <c r="B19" s="47" t="s">
        <v>245</v>
      </c>
      <c r="C19" s="48"/>
      <c r="D19" s="75"/>
      <c r="E19" s="62"/>
      <c r="F19" s="62"/>
      <c r="G19" s="76"/>
      <c r="H19" s="52">
        <v>2.5</v>
      </c>
      <c r="I19" s="52">
        <v>2.5</v>
      </c>
      <c r="J19" s="54">
        <v>2.5</v>
      </c>
      <c r="K19" s="52">
        <v>2.5</v>
      </c>
      <c r="L19" s="52">
        <v>2.5</v>
      </c>
      <c r="M19" s="52">
        <v>2.5</v>
      </c>
      <c r="N19" s="205">
        <v>2.5</v>
      </c>
    </row>
    <row r="20" spans="1:14" s="1" customFormat="1" ht="14.1" customHeight="1">
      <c r="A20" s="45"/>
      <c r="B20" s="61" t="s">
        <v>246</v>
      </c>
      <c r="C20" s="61"/>
      <c r="D20" s="42"/>
      <c r="E20" s="43"/>
      <c r="F20" s="43"/>
      <c r="G20" s="44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53"/>
      <c r="I21" s="53"/>
      <c r="J21" s="83"/>
      <c r="K21" s="53"/>
      <c r="L21" s="53"/>
      <c r="M21" s="53"/>
      <c r="N21" s="214"/>
    </row>
    <row r="22" spans="1:14" s="1" customFormat="1" ht="14.1" customHeight="1">
      <c r="A22" s="45"/>
      <c r="B22" s="61" t="s">
        <v>33</v>
      </c>
      <c r="C22" s="61"/>
      <c r="D22" s="42" t="s">
        <v>247</v>
      </c>
      <c r="E22" s="43"/>
      <c r="F22" s="43"/>
      <c r="G22" s="44"/>
      <c r="H22" s="79"/>
      <c r="I22" s="79"/>
      <c r="J22" s="37"/>
      <c r="K22" s="79"/>
      <c r="L22" s="79"/>
      <c r="M22" s="79"/>
      <c r="N22" s="207"/>
    </row>
    <row r="23" spans="1:14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52">
        <f>SUM(I23)-3.5</f>
        <v>28</v>
      </c>
      <c r="I23" s="52">
        <f>SUM(J23)-3.5</f>
        <v>31.5</v>
      </c>
      <c r="J23" s="54">
        <v>35</v>
      </c>
      <c r="K23" s="52">
        <f>SUM(J23)+3.5</f>
        <v>38.5</v>
      </c>
      <c r="L23" s="52">
        <f>SUM(K23)+3.5</f>
        <v>42</v>
      </c>
      <c r="M23" s="52">
        <f>SUM(L23)+3.5</f>
        <v>45.5</v>
      </c>
      <c r="N23" s="205">
        <f>SUM(M23)+3.5</f>
        <v>49</v>
      </c>
    </row>
    <row r="24" spans="1:14" s="1" customFormat="1" ht="14.1" customHeight="1">
      <c r="A24" s="45"/>
      <c r="B24" s="61" t="s">
        <v>256</v>
      </c>
      <c r="C24" s="61"/>
      <c r="D24" s="42" t="s">
        <v>47</v>
      </c>
      <c r="E24" s="43"/>
      <c r="F24" s="43"/>
      <c r="G24" s="44"/>
      <c r="H24" s="79"/>
      <c r="I24" s="79"/>
      <c r="J24" s="83"/>
      <c r="K24" s="79"/>
      <c r="L24" s="79"/>
      <c r="M24" s="79"/>
      <c r="N24" s="207"/>
    </row>
    <row r="25" spans="1:14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52">
        <f>SUM(I25)-1.4</f>
        <v>26.200000000000003</v>
      </c>
      <c r="I25" s="52">
        <f>SUM(J25)-1.4</f>
        <v>27.6</v>
      </c>
      <c r="J25" s="54">
        <v>29</v>
      </c>
      <c r="K25" s="52">
        <f>SUM(J25)+1.4</f>
        <v>30.4</v>
      </c>
      <c r="L25" s="52">
        <f>SUM(K25)+1.4</f>
        <v>31.799999999999997</v>
      </c>
      <c r="M25" s="52">
        <f>SUM(L25)+1.4</f>
        <v>33.199999999999996</v>
      </c>
      <c r="N25" s="205">
        <f>SUM(M25)+1.4</f>
        <v>34.599999999999994</v>
      </c>
    </row>
    <row r="26" spans="1:14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83"/>
      <c r="K26" s="79"/>
      <c r="L26" s="79"/>
      <c r="M26" s="79"/>
      <c r="N26" s="207"/>
    </row>
    <row r="27" spans="1:14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52">
        <f>SUM(I27)-0.6</f>
        <v>14.8</v>
      </c>
      <c r="I27" s="52">
        <f>SUM(J27)-0.6</f>
        <v>15.4</v>
      </c>
      <c r="J27" s="54">
        <v>16</v>
      </c>
      <c r="K27" s="52">
        <f>SUM(J27)+0.6</f>
        <v>16.600000000000001</v>
      </c>
      <c r="L27" s="52">
        <f>SUM(K27)+0.6</f>
        <v>17.200000000000003</v>
      </c>
      <c r="M27" s="52">
        <f>SUM(L27)+0.6</f>
        <v>17.800000000000004</v>
      </c>
      <c r="N27" s="205">
        <f>SUM(M27)+0.6</f>
        <v>18.400000000000006</v>
      </c>
    </row>
    <row r="28" spans="1:14" s="1" customFormat="1" ht="14.1" customHeight="1">
      <c r="A28" s="46"/>
      <c r="B28" s="65" t="s">
        <v>31</v>
      </c>
      <c r="C28" s="65"/>
      <c r="D28" s="58" t="s">
        <v>67</v>
      </c>
      <c r="E28" s="59"/>
      <c r="F28" s="59"/>
      <c r="G28" s="60"/>
      <c r="H28" s="79"/>
      <c r="I28" s="79"/>
      <c r="J28" s="83"/>
      <c r="K28" s="79"/>
      <c r="L28" s="79"/>
      <c r="M28" s="79"/>
      <c r="N28" s="207"/>
    </row>
    <row r="29" spans="1:14" ht="14.1" customHeight="1">
      <c r="A29" s="45">
        <v>14</v>
      </c>
      <c r="B29" s="47" t="s">
        <v>248</v>
      </c>
      <c r="C29" s="48"/>
      <c r="D29" s="75"/>
      <c r="E29" s="62"/>
      <c r="F29" s="62"/>
      <c r="G29" s="76"/>
      <c r="H29" s="52">
        <f>SUM(I29)</f>
        <v>5</v>
      </c>
      <c r="I29" s="52">
        <f>SUM(J29)</f>
        <v>5</v>
      </c>
      <c r="J29" s="54">
        <v>5</v>
      </c>
      <c r="K29" s="52">
        <f>SUM(J29)+0.5</f>
        <v>5.5</v>
      </c>
      <c r="L29" s="52">
        <f>SUM(K29)</f>
        <v>5.5</v>
      </c>
      <c r="M29" s="52">
        <f>SUM(L29)</f>
        <v>5.5</v>
      </c>
      <c r="N29" s="205">
        <f>SUM(M29)</f>
        <v>5.5</v>
      </c>
    </row>
    <row r="30" spans="1:14" ht="14.1" customHeight="1">
      <c r="A30" s="46"/>
      <c r="B30" s="40" t="s">
        <v>249</v>
      </c>
      <c r="C30" s="41"/>
      <c r="D30" s="42"/>
      <c r="E30" s="43"/>
      <c r="F30" s="43"/>
      <c r="G30" s="44"/>
      <c r="H30" s="79"/>
      <c r="I30" s="79"/>
      <c r="J30" s="83"/>
      <c r="K30" s="79"/>
      <c r="L30" s="79"/>
      <c r="M30" s="79"/>
      <c r="N30" s="207"/>
    </row>
    <row r="31" spans="1:14" ht="14.1" customHeight="1">
      <c r="A31" s="45">
        <v>15</v>
      </c>
      <c r="B31" s="47" t="s">
        <v>250</v>
      </c>
      <c r="C31" s="48"/>
      <c r="D31" s="78"/>
      <c r="E31" s="78"/>
      <c r="F31" s="78"/>
      <c r="G31" s="78"/>
      <c r="H31" s="52">
        <f>SUM(I31)</f>
        <v>2.5</v>
      </c>
      <c r="I31" s="52">
        <f>SUM(J31)</f>
        <v>2.5</v>
      </c>
      <c r="J31" s="54">
        <v>2.5</v>
      </c>
      <c r="K31" s="52">
        <f>SUM(J31)</f>
        <v>2.5</v>
      </c>
      <c r="L31" s="52">
        <f>SUM(K31)</f>
        <v>2.5</v>
      </c>
      <c r="M31" s="52">
        <f>SUM(L31)</f>
        <v>2.5</v>
      </c>
      <c r="N31" s="205">
        <f>SUM(M31)</f>
        <v>2.5</v>
      </c>
    </row>
    <row r="32" spans="1:14" ht="14.1" customHeight="1">
      <c r="A32" s="45"/>
      <c r="B32" s="40" t="s">
        <v>251</v>
      </c>
      <c r="C32" s="41"/>
      <c r="D32" s="42"/>
      <c r="E32" s="43"/>
      <c r="F32" s="43"/>
      <c r="G32" s="44"/>
      <c r="H32" s="79"/>
      <c r="I32" s="79"/>
      <c r="J32" s="83"/>
      <c r="K32" s="79"/>
      <c r="L32" s="79"/>
      <c r="M32" s="79"/>
      <c r="N32" s="207"/>
    </row>
    <row r="33" spans="1:14" ht="14.1" customHeight="1">
      <c r="A33" s="45">
        <v>16</v>
      </c>
      <c r="B33" s="47" t="s">
        <v>120</v>
      </c>
      <c r="C33" s="48"/>
      <c r="D33" s="49"/>
      <c r="E33" s="50"/>
      <c r="F33" s="50"/>
      <c r="G33" s="51"/>
      <c r="H33" s="52"/>
      <c r="I33" s="52"/>
      <c r="J33" s="37">
        <v>12</v>
      </c>
      <c r="K33" s="38"/>
      <c r="L33" s="38"/>
      <c r="M33" s="38"/>
      <c r="N33" s="208"/>
    </row>
    <row r="34" spans="1:14" ht="14.1" customHeight="1">
      <c r="A34" s="46"/>
      <c r="B34" s="40" t="s">
        <v>128</v>
      </c>
      <c r="C34" s="41"/>
      <c r="D34" s="42" t="s">
        <v>252</v>
      </c>
      <c r="E34" s="43"/>
      <c r="F34" s="43"/>
      <c r="G34" s="44"/>
      <c r="H34" s="53"/>
      <c r="I34" s="53"/>
      <c r="J34" s="54"/>
      <c r="K34" s="52"/>
      <c r="L34" s="52"/>
      <c r="M34" s="52"/>
      <c r="N34" s="205"/>
    </row>
    <row r="35" spans="1:14" ht="14.1" customHeight="1">
      <c r="A35" s="45">
        <v>17</v>
      </c>
      <c r="B35" s="47" t="s">
        <v>121</v>
      </c>
      <c r="C35" s="48"/>
      <c r="D35" s="49" t="s">
        <v>253</v>
      </c>
      <c r="E35" s="50"/>
      <c r="F35" s="50"/>
      <c r="G35" s="51"/>
      <c r="H35" s="52"/>
      <c r="I35" s="52"/>
      <c r="J35" s="37">
        <v>7</v>
      </c>
      <c r="K35" s="38"/>
      <c r="L35" s="38"/>
      <c r="M35" s="38"/>
      <c r="N35" s="208"/>
    </row>
    <row r="36" spans="1:14" ht="14.1" customHeight="1">
      <c r="A36" s="45"/>
      <c r="B36" s="40" t="s">
        <v>129</v>
      </c>
      <c r="C36" s="41"/>
      <c r="D36" s="42" t="s">
        <v>162</v>
      </c>
      <c r="E36" s="43"/>
      <c r="F36" s="43"/>
      <c r="G36" s="44"/>
      <c r="H36" s="79"/>
      <c r="I36" s="79"/>
      <c r="J36" s="37"/>
      <c r="K36" s="38"/>
      <c r="L36" s="38"/>
      <c r="M36" s="38"/>
      <c r="N36" s="208"/>
    </row>
    <row r="37" spans="1:14" ht="14.1" customHeight="1">
      <c r="A37" s="109">
        <v>18</v>
      </c>
      <c r="B37" s="65"/>
      <c r="C37" s="65"/>
      <c r="D37" s="189"/>
      <c r="E37" s="189"/>
      <c r="F37" s="189"/>
      <c r="G37" s="189"/>
      <c r="H37" s="53"/>
      <c r="I37" s="53"/>
      <c r="J37" s="134"/>
      <c r="K37" s="53"/>
      <c r="L37" s="53"/>
      <c r="M37" s="53"/>
      <c r="N37" s="214"/>
    </row>
    <row r="38" spans="1:14" ht="14.1" customHeight="1" thickBot="1">
      <c r="A38" s="74"/>
      <c r="B38" s="190"/>
      <c r="C38" s="190"/>
      <c r="D38" s="180"/>
      <c r="E38" s="181"/>
      <c r="F38" s="181"/>
      <c r="G38" s="182"/>
      <c r="H38" s="77"/>
      <c r="I38" s="77"/>
      <c r="J38" s="144"/>
      <c r="K38" s="77"/>
      <c r="L38" s="77"/>
      <c r="M38" s="77"/>
      <c r="N38" s="206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N29:N30"/>
    <mergeCell ref="N31:N32"/>
    <mergeCell ref="N33:N34"/>
    <mergeCell ref="N35:N36"/>
    <mergeCell ref="N37:N38"/>
    <mergeCell ref="N15:N16"/>
    <mergeCell ref="N17:N18"/>
    <mergeCell ref="N19:N20"/>
    <mergeCell ref="N21:N22"/>
    <mergeCell ref="N23:N24"/>
    <mergeCell ref="N25:N26"/>
    <mergeCell ref="N5:N6"/>
    <mergeCell ref="N7:N8"/>
    <mergeCell ref="N9:N10"/>
    <mergeCell ref="N11:N12"/>
    <mergeCell ref="N13:N14"/>
    <mergeCell ref="I37:I38"/>
    <mergeCell ref="J37:J38"/>
    <mergeCell ref="K37:K38"/>
    <mergeCell ref="L37:L38"/>
    <mergeCell ref="M37:M38"/>
    <mergeCell ref="I35:I36"/>
    <mergeCell ref="J35:J36"/>
    <mergeCell ref="K35:K36"/>
    <mergeCell ref="L35:L36"/>
    <mergeCell ref="M35:M36"/>
    <mergeCell ref="K33:K34"/>
    <mergeCell ref="L33:L34"/>
    <mergeCell ref="M33:M34"/>
    <mergeCell ref="L31:L32"/>
    <mergeCell ref="M31:M32"/>
    <mergeCell ref="K29:K30"/>
    <mergeCell ref="L29:L30"/>
    <mergeCell ref="M29:M30"/>
    <mergeCell ref="N27:N28"/>
    <mergeCell ref="B38:C38"/>
    <mergeCell ref="D38:G38"/>
    <mergeCell ref="B36:C36"/>
    <mergeCell ref="D36:G36"/>
    <mergeCell ref="A37:A38"/>
    <mergeCell ref="B37:C37"/>
    <mergeCell ref="D37:G37"/>
    <mergeCell ref="H37:H38"/>
    <mergeCell ref="A35:A36"/>
    <mergeCell ref="B35:C35"/>
    <mergeCell ref="D35:G35"/>
    <mergeCell ref="H35:H36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B32:C32"/>
    <mergeCell ref="D32:G32"/>
    <mergeCell ref="A31:A32"/>
    <mergeCell ref="B31:C31"/>
    <mergeCell ref="D31:G31"/>
    <mergeCell ref="H31:H32"/>
    <mergeCell ref="I31:I32"/>
    <mergeCell ref="J31:J32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N3:N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1AFC-11D2-4F4E-99E5-7DC7B8E886B0}">
  <sheetPr>
    <tabColor theme="8"/>
    <pageSetUpPr fitToPage="1"/>
  </sheetPr>
  <dimension ref="A1:S51"/>
  <sheetViews>
    <sheetView zoomScale="110" zoomScaleNormal="110" workbookViewId="0">
      <selection activeCell="Q22" sqref="Q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11" t="s">
        <v>387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33.200000000000003</v>
      </c>
      <c r="I3" s="52">
        <f>SUM(J3)-3.4</f>
        <v>36.6</v>
      </c>
      <c r="J3" s="54">
        <v>40</v>
      </c>
      <c r="K3" s="52">
        <f>SUM(J3)+2.9</f>
        <v>42.9</v>
      </c>
      <c r="L3" s="52">
        <f>SUM(K3)+2.9</f>
        <v>45.8</v>
      </c>
      <c r="M3" s="115">
        <f>SUM(L3)+2.9</f>
        <v>48.699999999999996</v>
      </c>
      <c r="N3" s="210">
        <f>SUM(M3)+2.9</f>
        <v>51.599999999999994</v>
      </c>
    </row>
    <row r="4" spans="1:14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83"/>
      <c r="K4" s="79"/>
      <c r="L4" s="79"/>
      <c r="M4" s="79"/>
      <c r="N4" s="207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35</v>
      </c>
      <c r="I5" s="52">
        <f>SUM(J5)-2</f>
        <v>37</v>
      </c>
      <c r="J5" s="54">
        <v>39</v>
      </c>
      <c r="K5" s="52">
        <f>SUM(J5)+1.8</f>
        <v>40.799999999999997</v>
      </c>
      <c r="L5" s="52">
        <f>SUM(K5)+1.8</f>
        <v>42.599999999999994</v>
      </c>
      <c r="M5" s="52">
        <f>SUM(L5)+1.8</f>
        <v>44.399999999999991</v>
      </c>
      <c r="N5" s="205">
        <f>SUM(M5)+1.8</f>
        <v>46.199999999999989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4" s="1" customFormat="1" ht="14.1" customHeight="1">
      <c r="A7" s="45">
        <v>3</v>
      </c>
      <c r="B7" s="81" t="s">
        <v>391</v>
      </c>
      <c r="C7" s="81"/>
      <c r="D7" s="78" t="s">
        <v>70</v>
      </c>
      <c r="E7" s="78"/>
      <c r="F7" s="78"/>
      <c r="G7" s="78"/>
      <c r="H7" s="52">
        <f>SUM(I7)-2.25</f>
        <v>38.5</v>
      </c>
      <c r="I7" s="52">
        <f>SUM(J7)-2.25</f>
        <v>40.75</v>
      </c>
      <c r="J7" s="54">
        <v>43</v>
      </c>
      <c r="K7" s="52">
        <f>SUM(J7)+2</f>
        <v>45</v>
      </c>
      <c r="L7" s="52">
        <f>SUM(K7)+2</f>
        <v>47</v>
      </c>
      <c r="M7" s="52">
        <f>SUM(L7)+2</f>
        <v>49</v>
      </c>
      <c r="N7" s="205">
        <f>SUM(M7)+2</f>
        <v>51</v>
      </c>
    </row>
    <row r="8" spans="1:14" s="1" customFormat="1" ht="14.1" customHeight="1">
      <c r="A8" s="45"/>
      <c r="B8" s="61" t="s">
        <v>390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30.8</v>
      </c>
      <c r="I9" s="52">
        <f>SUM(J9)-1.8</f>
        <v>32.6</v>
      </c>
      <c r="J9" s="54">
        <v>34.4</v>
      </c>
      <c r="K9" s="52">
        <f>SUM(J9)+1.6</f>
        <v>36</v>
      </c>
      <c r="L9" s="52">
        <f>SUM(K9)+1.6</f>
        <v>37.6</v>
      </c>
      <c r="M9" s="52">
        <f>SUM(L9)+1.6</f>
        <v>39.200000000000003</v>
      </c>
      <c r="N9" s="205">
        <f>SUM(M9)+1.6</f>
        <v>40.800000000000004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4" s="1" customFormat="1" ht="14.1" customHeight="1">
      <c r="A11" s="45">
        <v>5</v>
      </c>
      <c r="B11" s="81" t="s">
        <v>388</v>
      </c>
      <c r="C11" s="81"/>
      <c r="D11" s="78"/>
      <c r="E11" s="78"/>
      <c r="F11" s="78"/>
      <c r="G11" s="78"/>
      <c r="H11" s="52">
        <f>SUM(I11)-2.8</f>
        <v>48.400000000000006</v>
      </c>
      <c r="I11" s="52">
        <f>SUM(J11)-2.8</f>
        <v>51.2</v>
      </c>
      <c r="J11" s="54">
        <v>54</v>
      </c>
      <c r="K11" s="52">
        <f>SUM(J11)+2.5</f>
        <v>56.5</v>
      </c>
      <c r="L11" s="52">
        <f>SUM(K11)+2.5</f>
        <v>59</v>
      </c>
      <c r="M11" s="52">
        <f>SUM(L11)+2.5</f>
        <v>61.5</v>
      </c>
      <c r="N11" s="205">
        <f>SUM(M11)+2.5</f>
        <v>64</v>
      </c>
    </row>
    <row r="12" spans="1:14" s="1" customFormat="1" ht="14.1" customHeight="1">
      <c r="A12" s="45"/>
      <c r="B12" s="61" t="s">
        <v>389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79"/>
      <c r="N12" s="207"/>
    </row>
    <row r="13" spans="1:14" s="1" customFormat="1" ht="14.1" customHeight="1">
      <c r="A13" s="45">
        <v>5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SUM(I13)-0.8</f>
        <v>15.399999999999999</v>
      </c>
      <c r="I13" s="52">
        <f>SUM(J13)-0.8</f>
        <v>16.2</v>
      </c>
      <c r="J13" s="37">
        <v>17</v>
      </c>
      <c r="K13" s="38">
        <f>SUM(J13)+0.8</f>
        <v>17.8</v>
      </c>
      <c r="L13" s="38">
        <f>SUM(K13)+0.8</f>
        <v>18.600000000000001</v>
      </c>
      <c r="M13" s="175">
        <f>SUM(L13)+0.8</f>
        <v>19.400000000000002</v>
      </c>
      <c r="N13" s="209">
        <f>SUM(M13)+0.8</f>
        <v>20.200000000000003</v>
      </c>
    </row>
    <row r="14" spans="1:14" s="1" customFormat="1" ht="14.1" customHeight="1">
      <c r="A14" s="45"/>
      <c r="B14" s="61" t="s">
        <v>26</v>
      </c>
      <c r="C14" s="61"/>
      <c r="D14" s="42" t="s">
        <v>45</v>
      </c>
      <c r="E14" s="43"/>
      <c r="F14" s="43"/>
      <c r="G14" s="44"/>
      <c r="H14" s="79"/>
      <c r="I14" s="79"/>
      <c r="J14" s="37"/>
      <c r="K14" s="38"/>
      <c r="L14" s="38"/>
      <c r="M14" s="175"/>
      <c r="N14" s="209"/>
    </row>
    <row r="15" spans="1:14" s="1" customFormat="1" ht="14.1" customHeight="1">
      <c r="A15" s="45">
        <v>6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SUM(I15)-0.6</f>
        <v>14.600000000000001</v>
      </c>
      <c r="I15" s="52">
        <f>SUM(J15)-0.6</f>
        <v>15.200000000000001</v>
      </c>
      <c r="J15" s="37">
        <v>15.8</v>
      </c>
      <c r="K15" s="38">
        <f>SUM(J15)+0.6</f>
        <v>16.400000000000002</v>
      </c>
      <c r="L15" s="38">
        <f>SUM(K15)+0.6</f>
        <v>17.000000000000004</v>
      </c>
      <c r="M15" s="38">
        <f>SUM(L15)+0.6</f>
        <v>17.600000000000005</v>
      </c>
      <c r="N15" s="208">
        <f>SUM(M15)+0.6</f>
        <v>18.200000000000006</v>
      </c>
    </row>
    <row r="16" spans="1:14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9" s="1" customFormat="1" ht="14.1" customHeight="1">
      <c r="A17" s="45">
        <v>7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5.4</v>
      </c>
      <c r="I17" s="52">
        <f>SUM(J17)-0.3</f>
        <v>5.7</v>
      </c>
      <c r="J17" s="37">
        <v>6</v>
      </c>
      <c r="K17" s="38">
        <f>SUM(J17)+0.3</f>
        <v>6.3</v>
      </c>
      <c r="L17" s="38">
        <f>SUM(K17)+0.3</f>
        <v>6.6</v>
      </c>
      <c r="M17" s="175">
        <f>SUM(L17)+0.3</f>
        <v>6.8999999999999995</v>
      </c>
      <c r="N17" s="209">
        <f>SUM(M17)+0.3</f>
        <v>7.1999999999999993</v>
      </c>
      <c r="S17" s="1" t="s">
        <v>189</v>
      </c>
    </row>
    <row r="18" spans="1:19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79"/>
      <c r="I18" s="79"/>
      <c r="J18" s="37"/>
      <c r="K18" s="38"/>
      <c r="L18" s="38"/>
      <c r="M18" s="175"/>
      <c r="N18" s="209"/>
    </row>
    <row r="19" spans="1:19" s="1" customFormat="1" ht="14.1" customHeight="1">
      <c r="A19" s="45">
        <v>8</v>
      </c>
      <c r="B19" s="47" t="s">
        <v>71</v>
      </c>
      <c r="C19" s="48"/>
      <c r="D19" s="75" t="s">
        <v>72</v>
      </c>
      <c r="E19" s="62"/>
      <c r="F19" s="62"/>
      <c r="G19" s="76"/>
      <c r="H19" s="52">
        <f>SUM(I19)-1.6</f>
        <v>35.799999999999997</v>
      </c>
      <c r="I19" s="52">
        <f>SUM(J19)-1.6</f>
        <v>37.4</v>
      </c>
      <c r="J19" s="37">
        <v>39</v>
      </c>
      <c r="K19" s="38">
        <f>SUM(J19)+1.6</f>
        <v>40.6</v>
      </c>
      <c r="L19" s="38">
        <f>SUM(K19)+1.6</f>
        <v>42.2</v>
      </c>
      <c r="M19" s="175">
        <f>SUM(L19)+1.6</f>
        <v>43.800000000000004</v>
      </c>
      <c r="N19" s="209">
        <f>SUM(M19)+1.6</f>
        <v>45.400000000000006</v>
      </c>
    </row>
    <row r="20" spans="1:19" s="1" customFormat="1" ht="14.1" customHeight="1">
      <c r="A20" s="45"/>
      <c r="B20" s="61" t="s">
        <v>33</v>
      </c>
      <c r="C20" s="61"/>
      <c r="D20" s="42" t="s">
        <v>76</v>
      </c>
      <c r="E20" s="43"/>
      <c r="F20" s="43"/>
      <c r="G20" s="44"/>
      <c r="H20" s="79"/>
      <c r="I20" s="79"/>
      <c r="J20" s="37"/>
      <c r="K20" s="38"/>
      <c r="L20" s="38"/>
      <c r="M20" s="175"/>
      <c r="N20" s="209"/>
    </row>
    <row r="21" spans="1:19" s="1" customFormat="1" ht="14.1" customHeight="1">
      <c r="A21" s="45">
        <v>9</v>
      </c>
      <c r="B21" s="47" t="s">
        <v>73</v>
      </c>
      <c r="C21" s="48"/>
      <c r="D21" s="62" t="s">
        <v>159</v>
      </c>
      <c r="E21" s="62"/>
      <c r="F21" s="62"/>
      <c r="G21" s="62"/>
      <c r="H21" s="52">
        <f>SUM(I21)-0.2</f>
        <v>6.6</v>
      </c>
      <c r="I21" s="52">
        <f>SUM(J21)-0.2</f>
        <v>6.8</v>
      </c>
      <c r="J21" s="37">
        <v>7</v>
      </c>
      <c r="K21" s="38">
        <f>SUM(J21)+0.2</f>
        <v>7.2</v>
      </c>
      <c r="L21" s="38">
        <f>SUM(K21)+0.2</f>
        <v>7.4</v>
      </c>
      <c r="M21" s="38">
        <f>SUM(L21)+0.2</f>
        <v>7.6000000000000005</v>
      </c>
      <c r="N21" s="208">
        <f>SUM(M21)+0.2</f>
        <v>7.8000000000000007</v>
      </c>
    </row>
    <row r="22" spans="1:19" s="1" customFormat="1" ht="14.1" customHeight="1">
      <c r="A22" s="46"/>
      <c r="B22" s="65" t="s">
        <v>34</v>
      </c>
      <c r="C22" s="65"/>
      <c r="D22" s="58" t="s">
        <v>160</v>
      </c>
      <c r="E22" s="59"/>
      <c r="F22" s="59"/>
      <c r="G22" s="60"/>
      <c r="H22" s="53"/>
      <c r="I22" s="53"/>
      <c r="J22" s="54"/>
      <c r="K22" s="52"/>
      <c r="L22" s="52"/>
      <c r="M22" s="52"/>
      <c r="N22" s="205"/>
    </row>
    <row r="23" spans="1:19" s="1" customFormat="1" ht="14.1" customHeight="1">
      <c r="A23" s="45">
        <v>10</v>
      </c>
      <c r="B23" s="47" t="s">
        <v>201</v>
      </c>
      <c r="C23" s="48"/>
      <c r="D23" s="62"/>
      <c r="E23" s="62"/>
      <c r="F23" s="62"/>
      <c r="G23" s="62"/>
      <c r="H23" s="52">
        <f>SUM(I23)-0.2</f>
        <v>5.6</v>
      </c>
      <c r="I23" s="52">
        <f>SUM(J23)-0.2</f>
        <v>5.8</v>
      </c>
      <c r="J23" s="37">
        <v>6</v>
      </c>
      <c r="K23" s="38">
        <f>SUM(J23)+0.2</f>
        <v>6.2</v>
      </c>
      <c r="L23" s="38">
        <f>SUM(K23)+0.2</f>
        <v>6.4</v>
      </c>
      <c r="M23" s="38">
        <f>SUM(L23)+0.2</f>
        <v>6.6000000000000005</v>
      </c>
      <c r="N23" s="208">
        <f>SUM(M23)+0.2</f>
        <v>6.8000000000000007</v>
      </c>
    </row>
    <row r="24" spans="1:19" s="1" customFormat="1" ht="14.1" customHeight="1">
      <c r="A24" s="46"/>
      <c r="B24" s="65" t="s">
        <v>202</v>
      </c>
      <c r="C24" s="65"/>
      <c r="D24" s="58"/>
      <c r="E24" s="59"/>
      <c r="F24" s="59"/>
      <c r="G24" s="60"/>
      <c r="H24" s="53"/>
      <c r="I24" s="53"/>
      <c r="J24" s="54"/>
      <c r="K24" s="52"/>
      <c r="L24" s="52"/>
      <c r="M24" s="52"/>
      <c r="N24" s="205"/>
    </row>
    <row r="25" spans="1:19" s="1" customFormat="1" ht="14.1" customHeight="1">
      <c r="A25" s="45">
        <v>11</v>
      </c>
      <c r="B25" s="81" t="s">
        <v>4</v>
      </c>
      <c r="C25" s="81"/>
      <c r="D25" s="78" t="s">
        <v>5</v>
      </c>
      <c r="E25" s="78"/>
      <c r="F25" s="78"/>
      <c r="G25" s="78"/>
      <c r="H25" s="52">
        <f>SUM(I25)-3.5</f>
        <v>29</v>
      </c>
      <c r="I25" s="52">
        <f>SUM(J25)-3.5</f>
        <v>32.5</v>
      </c>
      <c r="J25" s="37">
        <v>36</v>
      </c>
      <c r="K25" s="38">
        <f>SUM(J25)+3.6</f>
        <v>39.6</v>
      </c>
      <c r="L25" s="38">
        <f>SUM(K25)+3.6</f>
        <v>43.2</v>
      </c>
      <c r="M25" s="38">
        <f>SUM(L25)+3.6</f>
        <v>46.800000000000004</v>
      </c>
      <c r="N25" s="208">
        <f>SUM(M25)+3.6</f>
        <v>50.400000000000006</v>
      </c>
    </row>
    <row r="26" spans="1:19" s="1" customFormat="1" ht="14.1" customHeight="1">
      <c r="A26" s="45"/>
      <c r="B26" s="61" t="s">
        <v>29</v>
      </c>
      <c r="C26" s="61"/>
      <c r="D26" s="42" t="s">
        <v>47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9" s="1" customFormat="1" ht="14.1" customHeight="1">
      <c r="A27" s="45">
        <v>12</v>
      </c>
      <c r="B27" s="81" t="s">
        <v>6</v>
      </c>
      <c r="C27" s="81"/>
      <c r="D27" s="75" t="s">
        <v>7</v>
      </c>
      <c r="E27" s="62"/>
      <c r="F27" s="62"/>
      <c r="G27" s="76"/>
      <c r="H27" s="52">
        <f>SUM(I27)-1.6</f>
        <v>30.799999999999997</v>
      </c>
      <c r="I27" s="52">
        <f>SUM(J27)-1.6</f>
        <v>32.4</v>
      </c>
      <c r="J27" s="37">
        <v>34</v>
      </c>
      <c r="K27" s="38">
        <f>SUM(J27)+1.6</f>
        <v>35.6</v>
      </c>
      <c r="L27" s="38">
        <f>SUM(K27)+1.6</f>
        <v>37.200000000000003</v>
      </c>
      <c r="M27" s="38">
        <f>SUM(L27)+1.6</f>
        <v>38.800000000000004</v>
      </c>
      <c r="N27" s="208">
        <f>SUM(M27)+1.6</f>
        <v>40.400000000000006</v>
      </c>
    </row>
    <row r="28" spans="1:19" s="1" customFormat="1" ht="14.1" customHeight="1">
      <c r="A28" s="45"/>
      <c r="B28" s="61" t="s">
        <v>30</v>
      </c>
      <c r="C28" s="61"/>
      <c r="D28" s="42" t="s">
        <v>65</v>
      </c>
      <c r="E28" s="43"/>
      <c r="F28" s="43"/>
      <c r="G28" s="44"/>
      <c r="H28" s="79"/>
      <c r="I28" s="79"/>
      <c r="J28" s="37"/>
      <c r="K28" s="38"/>
      <c r="L28" s="38"/>
      <c r="M28" s="38"/>
      <c r="N28" s="208"/>
    </row>
    <row r="29" spans="1:19" ht="14.1" customHeight="1">
      <c r="A29" s="45">
        <v>13</v>
      </c>
      <c r="B29" s="47" t="s">
        <v>74</v>
      </c>
      <c r="C29" s="48"/>
      <c r="D29" s="78" t="s">
        <v>66</v>
      </c>
      <c r="E29" s="78"/>
      <c r="F29" s="78"/>
      <c r="G29" s="78"/>
      <c r="H29" s="52">
        <f>SUM(I29)-1</f>
        <v>19</v>
      </c>
      <c r="I29" s="52">
        <f>SUM(J29)-1</f>
        <v>20</v>
      </c>
      <c r="J29" s="37">
        <v>21</v>
      </c>
      <c r="K29" s="38">
        <f>SUM(J29)+1</f>
        <v>22</v>
      </c>
      <c r="L29" s="38">
        <f>SUM(K29)+1</f>
        <v>23</v>
      </c>
      <c r="M29" s="38">
        <f>SUM(L29)+1</f>
        <v>24</v>
      </c>
      <c r="N29" s="208">
        <f>SUM(M29)+1</f>
        <v>25</v>
      </c>
    </row>
    <row r="30" spans="1:19" ht="14.1" customHeight="1">
      <c r="A30" s="45"/>
      <c r="B30" s="61" t="s">
        <v>392</v>
      </c>
      <c r="C30" s="61"/>
      <c r="D30" s="42" t="s">
        <v>67</v>
      </c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9" ht="14.1" customHeight="1">
      <c r="A31" s="45">
        <v>14</v>
      </c>
      <c r="B31" s="47" t="s">
        <v>393</v>
      </c>
      <c r="C31" s="48"/>
      <c r="D31" s="75"/>
      <c r="E31" s="62"/>
      <c r="F31" s="62"/>
      <c r="G31" s="76"/>
      <c r="H31" s="52">
        <f>SUM(I31)-0.5</f>
        <v>9</v>
      </c>
      <c r="I31" s="52">
        <f>SUM(J31)-0.5</f>
        <v>9.5</v>
      </c>
      <c r="J31" s="54">
        <v>10</v>
      </c>
      <c r="K31" s="52">
        <f>SUM(J31)+0.5</f>
        <v>10.5</v>
      </c>
      <c r="L31" s="52">
        <f>SUM(K31)+0.5</f>
        <v>11</v>
      </c>
      <c r="M31" s="52">
        <f>SUM(L31)+0.5</f>
        <v>11.5</v>
      </c>
      <c r="N31" s="205">
        <f>SUM(M31)+0.5</f>
        <v>12</v>
      </c>
    </row>
    <row r="32" spans="1:19" ht="14.1" customHeight="1">
      <c r="A32" s="45"/>
      <c r="B32" s="40" t="s">
        <v>394</v>
      </c>
      <c r="C32" s="41"/>
      <c r="D32" s="123"/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ht="14.1" customHeight="1">
      <c r="A33" s="45">
        <v>15</v>
      </c>
      <c r="B33" s="47" t="s">
        <v>395</v>
      </c>
      <c r="C33" s="48"/>
      <c r="D33" s="75"/>
      <c r="E33" s="62"/>
      <c r="F33" s="62"/>
      <c r="G33" s="76"/>
      <c r="H33" s="52">
        <f>SUM(I33)-0.2</f>
        <v>4.0999999999999996</v>
      </c>
      <c r="I33" s="52">
        <f>SUM(J33)-0.2</f>
        <v>4.3</v>
      </c>
      <c r="J33" s="54">
        <v>4.5</v>
      </c>
      <c r="K33" s="52">
        <f>SUM(J33)+0.2</f>
        <v>4.7</v>
      </c>
      <c r="L33" s="52">
        <f>SUM(K33)+0.2</f>
        <v>4.9000000000000004</v>
      </c>
      <c r="M33" s="52">
        <f>SUM(L33)+0.2</f>
        <v>5.1000000000000005</v>
      </c>
      <c r="N33" s="205">
        <f>SUM(M33)+0.2</f>
        <v>5.3000000000000007</v>
      </c>
    </row>
    <row r="34" spans="1:14" ht="14.1" customHeight="1">
      <c r="A34" s="45"/>
      <c r="B34" s="40" t="s">
        <v>396</v>
      </c>
      <c r="C34" s="41"/>
      <c r="D34" s="123"/>
      <c r="E34" s="124"/>
      <c r="F34" s="124"/>
      <c r="G34" s="125"/>
      <c r="H34" s="79"/>
      <c r="I34" s="79"/>
      <c r="J34" s="83"/>
      <c r="K34" s="79"/>
      <c r="L34" s="79"/>
      <c r="M34" s="79"/>
      <c r="N34" s="207"/>
    </row>
    <row r="35" spans="1:14" ht="14.1" customHeight="1">
      <c r="A35" s="45">
        <v>16</v>
      </c>
      <c r="B35" s="47" t="s">
        <v>165</v>
      </c>
      <c r="C35" s="48"/>
      <c r="D35" s="78"/>
      <c r="E35" s="78"/>
      <c r="F35" s="78"/>
      <c r="G35" s="78"/>
      <c r="H35" s="52"/>
      <c r="I35" s="52"/>
      <c r="J35" s="54">
        <v>11</v>
      </c>
      <c r="K35" s="52"/>
      <c r="L35" s="52"/>
      <c r="M35" s="52"/>
      <c r="N35" s="205"/>
    </row>
    <row r="36" spans="1:14" ht="14.1" customHeight="1">
      <c r="A36" s="45"/>
      <c r="B36" s="40" t="s">
        <v>166</v>
      </c>
      <c r="C36" s="41"/>
      <c r="D36" s="42" t="s">
        <v>167</v>
      </c>
      <c r="E36" s="43"/>
      <c r="F36" s="43"/>
      <c r="G36" s="44"/>
      <c r="H36" s="79"/>
      <c r="I36" s="79"/>
      <c r="J36" s="83"/>
      <c r="K36" s="79"/>
      <c r="L36" s="79"/>
      <c r="M36" s="79"/>
      <c r="N36" s="207"/>
    </row>
    <row r="37" spans="1:14" ht="14.1" customHeight="1">
      <c r="A37" s="45">
        <v>17</v>
      </c>
      <c r="B37" s="47" t="s">
        <v>168</v>
      </c>
      <c r="C37" s="48"/>
      <c r="D37" s="78"/>
      <c r="E37" s="78"/>
      <c r="F37" s="78"/>
      <c r="G37" s="78"/>
      <c r="H37" s="52"/>
      <c r="I37" s="52"/>
      <c r="J37" s="54">
        <v>15</v>
      </c>
      <c r="K37" s="52"/>
      <c r="L37" s="52"/>
      <c r="M37" s="52"/>
      <c r="N37" s="205"/>
    </row>
    <row r="38" spans="1:14" ht="14.1" customHeight="1">
      <c r="A38" s="45"/>
      <c r="B38" s="40" t="s">
        <v>169</v>
      </c>
      <c r="C38" s="41"/>
      <c r="D38" s="42" t="s">
        <v>149</v>
      </c>
      <c r="E38" s="43"/>
      <c r="F38" s="43"/>
      <c r="G38" s="44"/>
      <c r="H38" s="79"/>
      <c r="I38" s="79"/>
      <c r="J38" s="83"/>
      <c r="K38" s="79"/>
      <c r="L38" s="79"/>
      <c r="M38" s="79"/>
      <c r="N38" s="207"/>
    </row>
    <row r="39" spans="1:14" ht="14.1" customHeight="1">
      <c r="A39" s="45">
        <v>18</v>
      </c>
      <c r="B39" s="47"/>
      <c r="C39" s="48"/>
      <c r="D39" s="49"/>
      <c r="E39" s="50"/>
      <c r="F39" s="50"/>
      <c r="G39" s="51"/>
      <c r="H39" s="52"/>
      <c r="I39" s="52"/>
      <c r="J39" s="54"/>
      <c r="K39" s="52"/>
      <c r="L39" s="52"/>
      <c r="M39" s="52"/>
      <c r="N39" s="205"/>
    </row>
    <row r="40" spans="1:14" ht="14.1" customHeight="1">
      <c r="A40" s="45"/>
      <c r="B40" s="40"/>
      <c r="C40" s="41"/>
      <c r="D40" s="42"/>
      <c r="E40" s="43"/>
      <c r="F40" s="43"/>
      <c r="G40" s="44"/>
      <c r="H40" s="79"/>
      <c r="I40" s="79"/>
      <c r="J40" s="83"/>
      <c r="K40" s="79"/>
      <c r="L40" s="79"/>
      <c r="M40" s="79"/>
      <c r="N40" s="207"/>
    </row>
    <row r="41" spans="1:14" ht="14.1" customHeight="1">
      <c r="A41" s="45">
        <v>19</v>
      </c>
      <c r="B41" s="56"/>
      <c r="C41" s="57"/>
      <c r="D41" s="183"/>
      <c r="E41" s="184"/>
      <c r="F41" s="184"/>
      <c r="G41" s="185"/>
      <c r="H41" s="52"/>
      <c r="I41" s="52"/>
      <c r="J41" s="54"/>
      <c r="K41" s="52"/>
      <c r="L41" s="52"/>
      <c r="M41" s="52"/>
      <c r="N41" s="205"/>
    </row>
    <row r="42" spans="1:14" ht="14.1" customHeight="1">
      <c r="A42" s="45"/>
      <c r="B42" s="40"/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ht="14.1" customHeight="1">
      <c r="A43" s="109">
        <v>20</v>
      </c>
      <c r="B43" s="56"/>
      <c r="C43" s="57"/>
      <c r="D43" s="58"/>
      <c r="E43" s="59"/>
      <c r="F43" s="59"/>
      <c r="G43" s="60"/>
      <c r="H43" s="53"/>
      <c r="I43" s="53"/>
      <c r="J43" s="134"/>
      <c r="K43" s="53"/>
      <c r="L43" s="53"/>
      <c r="M43" s="53"/>
      <c r="N43" s="214"/>
    </row>
    <row r="44" spans="1:14" ht="14.1" customHeight="1" thickBot="1">
      <c r="A44" s="74"/>
      <c r="B44" s="69"/>
      <c r="C44" s="70"/>
      <c r="D44" s="71"/>
      <c r="E44" s="72"/>
      <c r="F44" s="72"/>
      <c r="G44" s="73"/>
      <c r="H44" s="77"/>
      <c r="I44" s="77"/>
      <c r="J44" s="144"/>
      <c r="K44" s="77"/>
      <c r="L44" s="77"/>
      <c r="M44" s="77"/>
      <c r="N44" s="206"/>
    </row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55"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N41:N42"/>
    <mergeCell ref="N43:N44"/>
    <mergeCell ref="A11:A12"/>
    <mergeCell ref="B11:C11"/>
    <mergeCell ref="D11:G11"/>
    <mergeCell ref="H11:H12"/>
    <mergeCell ref="I11:I12"/>
    <mergeCell ref="J11:J12"/>
    <mergeCell ref="K11:K12"/>
    <mergeCell ref="L11:L12"/>
    <mergeCell ref="N27:N28"/>
    <mergeCell ref="N29:N30"/>
    <mergeCell ref="N31:N32"/>
    <mergeCell ref="N35:N36"/>
    <mergeCell ref="N37:N38"/>
    <mergeCell ref="N39:N40"/>
    <mergeCell ref="N15:N16"/>
    <mergeCell ref="N17:N18"/>
    <mergeCell ref="N19:N20"/>
    <mergeCell ref="N21:N22"/>
    <mergeCell ref="N23:N24"/>
    <mergeCell ref="N25:N26"/>
    <mergeCell ref="J43:J44"/>
    <mergeCell ref="K43:K44"/>
    <mergeCell ref="A1:N1"/>
    <mergeCell ref="N3:N4"/>
    <mergeCell ref="N5:N6"/>
    <mergeCell ref="N7:N8"/>
    <mergeCell ref="N9:N10"/>
    <mergeCell ref="N13:N14"/>
    <mergeCell ref="M11:M12"/>
    <mergeCell ref="N11:N12"/>
    <mergeCell ref="B12:C12"/>
    <mergeCell ref="D12:G12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A13:A14"/>
    <mergeCell ref="B13:C13"/>
    <mergeCell ref="D13:G13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1:K32"/>
    <mergeCell ref="L31:L32"/>
    <mergeCell ref="M31:M32"/>
    <mergeCell ref="B32:C32"/>
    <mergeCell ref="D32:G32"/>
    <mergeCell ref="J31:J32"/>
    <mergeCell ref="K33:K34"/>
    <mergeCell ref="L33:L34"/>
    <mergeCell ref="M33:M34"/>
    <mergeCell ref="A35:A36"/>
    <mergeCell ref="B35:C35"/>
    <mergeCell ref="D35:G35"/>
    <mergeCell ref="H35:H36"/>
    <mergeCell ref="I35:I36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H13:H14"/>
    <mergeCell ref="I13:I14"/>
    <mergeCell ref="A9:A10"/>
    <mergeCell ref="B9:C9"/>
    <mergeCell ref="D9:G9"/>
    <mergeCell ref="H9:H10"/>
    <mergeCell ref="I9:I10"/>
    <mergeCell ref="J9:J10"/>
    <mergeCell ref="J7:J8"/>
    <mergeCell ref="A7:A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5F77-4DE0-43D2-A457-71691946D533}">
  <sheetPr>
    <tabColor theme="8"/>
    <pageSetUpPr fitToPage="1"/>
  </sheetPr>
  <dimension ref="A1:M51"/>
  <sheetViews>
    <sheetView zoomScale="110" zoomScaleNormal="110" workbookViewId="0">
      <selection activeCell="H5" sqref="H5:H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527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</f>
        <v>34</v>
      </c>
      <c r="I3" s="52">
        <f>SUM(J3)-3</f>
        <v>37</v>
      </c>
      <c r="J3" s="193">
        <v>40</v>
      </c>
      <c r="K3" s="115">
        <f>SUM(J3)+2.5</f>
        <v>42.5</v>
      </c>
      <c r="L3" s="115">
        <f>SUM(K3)+2.5</f>
        <v>45</v>
      </c>
      <c r="M3" s="120">
        <f>SUM(L3)+2.5</f>
        <v>47.5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26.799999999999997</v>
      </c>
      <c r="I5" s="52">
        <f>SUM(J5)-1.6</f>
        <v>28.4</v>
      </c>
      <c r="J5" s="54">
        <v>30</v>
      </c>
      <c r="K5" s="52">
        <f>SUM(J5)+1.6</f>
        <v>31.6</v>
      </c>
      <c r="L5" s="52">
        <f>SUM(K5)+1.6</f>
        <v>33.200000000000003</v>
      </c>
      <c r="M5" s="64">
        <f>SUM(L5)+1.6</f>
        <v>34.800000000000004</v>
      </c>
    </row>
    <row r="6" spans="1:13" s="1" customFormat="1" ht="14.1" customHeight="1">
      <c r="A6" s="45"/>
      <c r="B6" s="61" t="s">
        <v>24</v>
      </c>
      <c r="C6" s="61"/>
      <c r="D6" s="42" t="s">
        <v>255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242</v>
      </c>
      <c r="E7" s="78"/>
      <c r="F7" s="78"/>
      <c r="G7" s="78"/>
      <c r="H7" s="52">
        <f>SUM(I7)-2</f>
        <v>36</v>
      </c>
      <c r="I7" s="52">
        <f>SUM(J7)-2</f>
        <v>38</v>
      </c>
      <c r="J7" s="54">
        <v>40</v>
      </c>
      <c r="K7" s="52">
        <f>SUM(J7)+2</f>
        <v>42</v>
      </c>
      <c r="L7" s="52">
        <f>SUM(K7)+2</f>
        <v>44</v>
      </c>
      <c r="M7" s="64">
        <f>SUM(L7)+2</f>
        <v>46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31.400000000000002</v>
      </c>
      <c r="I9" s="52">
        <f>SUM(J9)-1.8</f>
        <v>33.200000000000003</v>
      </c>
      <c r="J9" s="54">
        <v>35</v>
      </c>
      <c r="K9" s="52">
        <f>SUM(J9)+1.8</f>
        <v>36.799999999999997</v>
      </c>
      <c r="L9" s="52">
        <f>SUM(K9)+1.8</f>
        <v>38.599999999999994</v>
      </c>
      <c r="M9" s="64">
        <f>SUM(L9)+1.8</f>
        <v>40.399999999999991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243</v>
      </c>
      <c r="C11" s="81"/>
      <c r="D11" s="78"/>
      <c r="E11" s="78"/>
      <c r="F11" s="78"/>
      <c r="G11" s="78"/>
      <c r="H11" s="52">
        <f>SUM(I11)</f>
        <v>4</v>
      </c>
      <c r="I11" s="52">
        <f>SUM(J11)</f>
        <v>4</v>
      </c>
      <c r="J11" s="54">
        <v>4</v>
      </c>
      <c r="K11" s="52">
        <f>SUM(J11)+0.5</f>
        <v>4.5</v>
      </c>
      <c r="L11" s="52">
        <f>SUM(K11)</f>
        <v>4.5</v>
      </c>
      <c r="M11" s="64">
        <f>SUM(L11)</f>
        <v>4.5</v>
      </c>
    </row>
    <row r="12" spans="1:13" s="1" customFormat="1" ht="14.1" customHeight="1">
      <c r="A12" s="45"/>
      <c r="B12" s="61" t="s">
        <v>244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80"/>
    </row>
    <row r="13" spans="1:13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SUM(I13)-0.8</f>
        <v>16.399999999999999</v>
      </c>
      <c r="I13" s="52">
        <f>SUM(J13)-0.8</f>
        <v>17.2</v>
      </c>
      <c r="J13" s="37">
        <v>18</v>
      </c>
      <c r="K13" s="52">
        <f>SUM(J13)+0.8</f>
        <v>18.8</v>
      </c>
      <c r="L13" s="52">
        <f>SUM(K13)+0.8</f>
        <v>19.600000000000001</v>
      </c>
      <c r="M13" s="64">
        <f>SUM(L13)+0.8</f>
        <v>20.400000000000002</v>
      </c>
    </row>
    <row r="14" spans="1:13" s="1" customFormat="1" ht="14.1" customHeight="1">
      <c r="A14" s="45"/>
      <c r="B14" s="61" t="s">
        <v>26</v>
      </c>
      <c r="C14" s="61"/>
      <c r="D14" s="42" t="s">
        <v>45</v>
      </c>
      <c r="E14" s="43"/>
      <c r="F14" s="43"/>
      <c r="G14" s="44"/>
      <c r="H14" s="79"/>
      <c r="I14" s="79"/>
      <c r="J14" s="37"/>
      <c r="K14" s="79"/>
      <c r="L14" s="79"/>
      <c r="M14" s="80"/>
    </row>
    <row r="15" spans="1:13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SUM(I15)-0.6</f>
        <v>15.4</v>
      </c>
      <c r="I15" s="52">
        <f>SUM(J15)-0.6</f>
        <v>16</v>
      </c>
      <c r="J15" s="37">
        <v>16.600000000000001</v>
      </c>
      <c r="K15" s="52">
        <f>SUM(J15)+0.6</f>
        <v>17.200000000000003</v>
      </c>
      <c r="L15" s="52">
        <f>SUM(K15)+0.6</f>
        <v>17.800000000000004</v>
      </c>
      <c r="M15" s="64">
        <f>SUM(L15)+0.6</f>
        <v>18.400000000000006</v>
      </c>
    </row>
    <row r="16" spans="1:13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79"/>
      <c r="I16" s="79"/>
      <c r="J16" s="37"/>
      <c r="K16" s="79"/>
      <c r="L16" s="79"/>
      <c r="M16" s="80"/>
    </row>
    <row r="17" spans="1:13" s="1" customFormat="1" ht="14.1" customHeigh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6.4</v>
      </c>
      <c r="I17" s="52">
        <f>SUM(J17)-0.3</f>
        <v>6.7</v>
      </c>
      <c r="J17" s="37">
        <v>7</v>
      </c>
      <c r="K17" s="52">
        <f>SUM(J17)+0.3</f>
        <v>7.3</v>
      </c>
      <c r="L17" s="52">
        <f>SUM(K17)+0.3</f>
        <v>7.6</v>
      </c>
      <c r="M17" s="64">
        <f>SUM(L17)+0.3</f>
        <v>7.8999999999999995</v>
      </c>
    </row>
    <row r="18" spans="1:13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79"/>
      <c r="I18" s="79"/>
      <c r="J18" s="37"/>
      <c r="K18" s="79"/>
      <c r="L18" s="79"/>
      <c r="M18" s="80"/>
    </row>
    <row r="19" spans="1:13" s="1" customFormat="1" ht="14.1" customHeight="1">
      <c r="A19" s="45">
        <v>9</v>
      </c>
      <c r="B19" s="47" t="s">
        <v>245</v>
      </c>
      <c r="C19" s="48"/>
      <c r="D19" s="75"/>
      <c r="E19" s="62"/>
      <c r="F19" s="62"/>
      <c r="G19" s="76"/>
      <c r="H19" s="52">
        <f>SUM(I19)</f>
        <v>3</v>
      </c>
      <c r="I19" s="52">
        <f>SUM(J19)</f>
        <v>3</v>
      </c>
      <c r="J19" s="54">
        <v>3</v>
      </c>
      <c r="K19" s="52">
        <f>SUM(J19)</f>
        <v>3</v>
      </c>
      <c r="L19" s="52">
        <f>SUM(K19)</f>
        <v>3</v>
      </c>
      <c r="M19" s="64">
        <f>SUM(L19)</f>
        <v>3</v>
      </c>
    </row>
    <row r="20" spans="1:13" s="1" customFormat="1" ht="14.1" customHeight="1">
      <c r="A20" s="45"/>
      <c r="B20" s="61" t="s">
        <v>246</v>
      </c>
      <c r="C20" s="61"/>
      <c r="D20" s="42"/>
      <c r="E20" s="43"/>
      <c r="F20" s="43"/>
      <c r="G20" s="44"/>
      <c r="H20" s="79"/>
      <c r="I20" s="79"/>
      <c r="J20" s="83"/>
      <c r="K20" s="79"/>
      <c r="L20" s="79"/>
      <c r="M20" s="80"/>
    </row>
    <row r="21" spans="1:13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53"/>
      <c r="I21" s="53"/>
      <c r="J21" s="83"/>
      <c r="K21" s="53"/>
      <c r="L21" s="53"/>
      <c r="M21" s="135"/>
    </row>
    <row r="22" spans="1:13" s="1" customFormat="1" ht="14.1" customHeight="1">
      <c r="A22" s="45"/>
      <c r="B22" s="61" t="s">
        <v>33</v>
      </c>
      <c r="C22" s="61"/>
      <c r="D22" s="42" t="s">
        <v>247</v>
      </c>
      <c r="E22" s="43"/>
      <c r="F22" s="43"/>
      <c r="G22" s="44"/>
      <c r="H22" s="79"/>
      <c r="I22" s="79"/>
      <c r="J22" s="37"/>
      <c r="K22" s="79"/>
      <c r="L22" s="79"/>
      <c r="M22" s="80"/>
    </row>
    <row r="23" spans="1:13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52">
        <f>SUM(I23)-3.7</f>
        <v>30.599999999999998</v>
      </c>
      <c r="I23" s="52">
        <f>SUM(J23)-3.7</f>
        <v>34.299999999999997</v>
      </c>
      <c r="J23" s="54">
        <v>38</v>
      </c>
      <c r="K23" s="52">
        <f>SUM(J23)+3.7</f>
        <v>41.7</v>
      </c>
      <c r="L23" s="52">
        <f>SUM(K23)+3.7</f>
        <v>45.400000000000006</v>
      </c>
      <c r="M23" s="64">
        <f>SUM(L23)+3.7</f>
        <v>49.100000000000009</v>
      </c>
    </row>
    <row r="24" spans="1:13" s="1" customFormat="1" ht="14.1" customHeight="1">
      <c r="A24" s="45"/>
      <c r="B24" s="61" t="s">
        <v>256</v>
      </c>
      <c r="C24" s="61"/>
      <c r="D24" s="42" t="s">
        <v>47</v>
      </c>
      <c r="E24" s="43"/>
      <c r="F24" s="43"/>
      <c r="G24" s="44"/>
      <c r="H24" s="79"/>
      <c r="I24" s="79"/>
      <c r="J24" s="83"/>
      <c r="K24" s="79"/>
      <c r="L24" s="79"/>
      <c r="M24" s="80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52">
        <f>SUM(I25)-1.4</f>
        <v>27.200000000000003</v>
      </c>
      <c r="I25" s="52">
        <f>SUM(J25)-1.4</f>
        <v>28.6</v>
      </c>
      <c r="J25" s="54">
        <v>30</v>
      </c>
      <c r="K25" s="52">
        <f>SUM(J25)+1.4</f>
        <v>31.4</v>
      </c>
      <c r="L25" s="52">
        <f>SUM(K25)+1.4</f>
        <v>32.799999999999997</v>
      </c>
      <c r="M25" s="64">
        <f>SUM(L25)+1.4</f>
        <v>34.199999999999996</v>
      </c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83"/>
      <c r="K26" s="79"/>
      <c r="L26" s="79"/>
      <c r="M26" s="80"/>
    </row>
    <row r="27" spans="1:13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52">
        <f>SUM(I27)-0.6</f>
        <v>14.8</v>
      </c>
      <c r="I27" s="52">
        <f>SUM(J27)-0.6</f>
        <v>15.4</v>
      </c>
      <c r="J27" s="54">
        <v>16</v>
      </c>
      <c r="K27" s="52">
        <f>SUM(J27)+0.6</f>
        <v>16.600000000000001</v>
      </c>
      <c r="L27" s="52">
        <f>SUM(K27)+0.6</f>
        <v>17.200000000000003</v>
      </c>
      <c r="M27" s="64">
        <f>SUM(L27)+0.6</f>
        <v>17.800000000000004</v>
      </c>
    </row>
    <row r="28" spans="1:13" s="1" customFormat="1" ht="14.1" customHeight="1">
      <c r="A28" s="46"/>
      <c r="B28" s="65" t="s">
        <v>31</v>
      </c>
      <c r="C28" s="65"/>
      <c r="D28" s="58" t="s">
        <v>67</v>
      </c>
      <c r="E28" s="59"/>
      <c r="F28" s="59"/>
      <c r="G28" s="60"/>
      <c r="H28" s="79"/>
      <c r="I28" s="79"/>
      <c r="J28" s="83"/>
      <c r="K28" s="79"/>
      <c r="L28" s="79"/>
      <c r="M28" s="80"/>
    </row>
    <row r="29" spans="1:13" ht="14.1" customHeight="1">
      <c r="A29" s="45">
        <v>14</v>
      </c>
      <c r="B29" s="47" t="s">
        <v>248</v>
      </c>
      <c r="C29" s="48"/>
      <c r="D29" s="75"/>
      <c r="E29" s="62"/>
      <c r="F29" s="62"/>
      <c r="G29" s="76"/>
      <c r="H29" s="52">
        <f>SUM(I29)</f>
        <v>3.5</v>
      </c>
      <c r="I29" s="52">
        <f>SUM(J29)</f>
        <v>3.5</v>
      </c>
      <c r="J29" s="54">
        <v>3.5</v>
      </c>
      <c r="K29" s="52">
        <f>SUM(J29)+0.5</f>
        <v>4</v>
      </c>
      <c r="L29" s="52">
        <f>SUM(K29)</f>
        <v>4</v>
      </c>
      <c r="M29" s="64">
        <f>SUM(L29)</f>
        <v>4</v>
      </c>
    </row>
    <row r="30" spans="1:13" ht="14.1" customHeight="1">
      <c r="A30" s="46"/>
      <c r="B30" s="40" t="s">
        <v>249</v>
      </c>
      <c r="C30" s="41"/>
      <c r="D30" s="42"/>
      <c r="E30" s="43"/>
      <c r="F30" s="43"/>
      <c r="G30" s="44"/>
      <c r="H30" s="79"/>
      <c r="I30" s="79"/>
      <c r="J30" s="83"/>
      <c r="K30" s="79"/>
      <c r="L30" s="79"/>
      <c r="M30" s="80"/>
    </row>
    <row r="31" spans="1:13" ht="14.1" customHeight="1">
      <c r="A31" s="45">
        <v>15</v>
      </c>
      <c r="B31" s="47" t="s">
        <v>250</v>
      </c>
      <c r="C31" s="48"/>
      <c r="D31" s="78"/>
      <c r="E31" s="78"/>
      <c r="F31" s="78"/>
      <c r="G31" s="78"/>
      <c r="H31" s="52">
        <f>SUM(I31)</f>
        <v>3</v>
      </c>
      <c r="I31" s="52">
        <f>SUM(J31)</f>
        <v>3</v>
      </c>
      <c r="J31" s="54">
        <v>3</v>
      </c>
      <c r="K31" s="52">
        <f>SUM(J31)</f>
        <v>3</v>
      </c>
      <c r="L31" s="52">
        <f>SUM(K31)</f>
        <v>3</v>
      </c>
      <c r="M31" s="64">
        <f>SUM(L31)</f>
        <v>3</v>
      </c>
    </row>
    <row r="32" spans="1:13" ht="14.1" customHeight="1">
      <c r="A32" s="45"/>
      <c r="B32" s="40" t="s">
        <v>251</v>
      </c>
      <c r="C32" s="41"/>
      <c r="D32" s="42"/>
      <c r="E32" s="43"/>
      <c r="F32" s="43"/>
      <c r="G32" s="44"/>
      <c r="H32" s="79"/>
      <c r="I32" s="79"/>
      <c r="J32" s="83"/>
      <c r="K32" s="79"/>
      <c r="L32" s="79"/>
      <c r="M32" s="80"/>
    </row>
    <row r="33" spans="1:13" ht="14.1" customHeight="1">
      <c r="A33" s="45">
        <v>16</v>
      </c>
      <c r="B33" s="47"/>
      <c r="C33" s="48"/>
      <c r="D33" s="49"/>
      <c r="E33" s="50"/>
      <c r="F33" s="50"/>
      <c r="G33" s="51"/>
      <c r="H33" s="52"/>
      <c r="I33" s="52"/>
      <c r="J33" s="37"/>
      <c r="K33" s="38"/>
      <c r="L33" s="38"/>
      <c r="M33" s="63"/>
    </row>
    <row r="34" spans="1:13" ht="14.1" customHeight="1">
      <c r="A34" s="46"/>
      <c r="B34" s="40"/>
      <c r="C34" s="41"/>
      <c r="D34" s="42"/>
      <c r="E34" s="43"/>
      <c r="F34" s="43"/>
      <c r="G34" s="44"/>
      <c r="H34" s="53"/>
      <c r="I34" s="53"/>
      <c r="J34" s="54"/>
      <c r="K34" s="52"/>
      <c r="L34" s="52"/>
      <c r="M34" s="64"/>
    </row>
    <row r="35" spans="1:13" ht="14.1" customHeight="1">
      <c r="A35" s="45">
        <v>17</v>
      </c>
      <c r="B35" s="47"/>
      <c r="C35" s="48"/>
      <c r="D35" s="49"/>
      <c r="E35" s="50"/>
      <c r="F35" s="50"/>
      <c r="G35" s="51"/>
      <c r="H35" s="52"/>
      <c r="I35" s="52"/>
      <c r="J35" s="37"/>
      <c r="K35" s="38"/>
      <c r="L35" s="38"/>
      <c r="M35" s="63"/>
    </row>
    <row r="36" spans="1:13" ht="14.1" customHeight="1">
      <c r="A36" s="45"/>
      <c r="B36" s="40"/>
      <c r="C36" s="41"/>
      <c r="D36" s="42"/>
      <c r="E36" s="43"/>
      <c r="F36" s="43"/>
      <c r="G36" s="44"/>
      <c r="H36" s="79"/>
      <c r="I36" s="79"/>
      <c r="J36" s="37"/>
      <c r="K36" s="38"/>
      <c r="L36" s="38"/>
      <c r="M36" s="63"/>
    </row>
    <row r="37" spans="1:13" ht="14.1" customHeight="1">
      <c r="A37" s="109">
        <v>18</v>
      </c>
      <c r="B37" s="65"/>
      <c r="C37" s="65"/>
      <c r="D37" s="189"/>
      <c r="E37" s="189"/>
      <c r="F37" s="189"/>
      <c r="G37" s="189"/>
      <c r="H37" s="53"/>
      <c r="I37" s="53"/>
      <c r="J37" s="134"/>
      <c r="K37" s="53"/>
      <c r="L37" s="53"/>
      <c r="M37" s="135"/>
    </row>
    <row r="38" spans="1:13" ht="14.1" customHeight="1" thickBot="1">
      <c r="A38" s="74"/>
      <c r="B38" s="190"/>
      <c r="C38" s="190"/>
      <c r="D38" s="180"/>
      <c r="E38" s="181"/>
      <c r="F38" s="181"/>
      <c r="G38" s="182"/>
      <c r="H38" s="77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39FE-173D-44BF-8BCE-9BF17265D0A7}">
  <sheetPr>
    <tabColor theme="8"/>
    <pageSetUpPr fitToPage="1"/>
  </sheetPr>
  <dimension ref="A1:P51"/>
  <sheetViews>
    <sheetView zoomScale="110" zoomScaleNormal="110" workbookViewId="0">
      <selection activeCell="Q11" sqref="Q1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543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6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215">
        <f>SUM(I3)-2.9</f>
        <v>34.800000000000004</v>
      </c>
      <c r="I3" s="52">
        <f>SUM(J3)-2.9</f>
        <v>37.700000000000003</v>
      </c>
      <c r="J3" s="54">
        <v>40.6</v>
      </c>
      <c r="K3" s="52">
        <f>SUM(J3)+2.4</f>
        <v>43</v>
      </c>
      <c r="L3" s="52">
        <f>SUM(K3)+2.4</f>
        <v>45.4</v>
      </c>
      <c r="M3" s="120">
        <f>SUM(L3)+2.4</f>
        <v>47.8</v>
      </c>
    </row>
    <row r="4" spans="1:16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216"/>
      <c r="I4" s="79"/>
      <c r="J4" s="83"/>
      <c r="K4" s="79"/>
      <c r="L4" s="79"/>
      <c r="M4" s="80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215">
        <f>SUM(I5)-1.8</f>
        <v>31.900000000000002</v>
      </c>
      <c r="I5" s="52">
        <f>SUM(J5)-1.8</f>
        <v>33.700000000000003</v>
      </c>
      <c r="J5" s="37">
        <v>35.5</v>
      </c>
      <c r="K5" s="38">
        <f>SUM(J5)+1.6</f>
        <v>37.1</v>
      </c>
      <c r="L5" s="38">
        <f>SUM(K5)+1.6</f>
        <v>38.700000000000003</v>
      </c>
      <c r="M5" s="63">
        <f>SUM(L5)+1.6</f>
        <v>40.300000000000004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216"/>
      <c r="I6" s="79"/>
      <c r="J6" s="37"/>
      <c r="K6" s="38"/>
      <c r="L6" s="38"/>
      <c r="M6" s="63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215">
        <f>SUM(I7)-2.25</f>
        <v>42.5</v>
      </c>
      <c r="I7" s="52">
        <f>SUM(J7)-2.25</f>
        <v>44.75</v>
      </c>
      <c r="J7" s="54">
        <v>47</v>
      </c>
      <c r="K7" s="52">
        <f>SUM(J7)+2</f>
        <v>49</v>
      </c>
      <c r="L7" s="52">
        <f>SUM(K7)+2</f>
        <v>51</v>
      </c>
      <c r="M7" s="64">
        <f>SUM(L7)+2</f>
        <v>53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216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215">
        <f>SUM(I9)-2.25</f>
        <v>45.5</v>
      </c>
      <c r="I9" s="52">
        <f>SUM(J9)-2.25</f>
        <v>47.75</v>
      </c>
      <c r="J9" s="54">
        <v>50</v>
      </c>
      <c r="K9" s="52">
        <f>SUM(J9)+2</f>
        <v>52</v>
      </c>
      <c r="L9" s="52">
        <f>SUM(K9)+2</f>
        <v>54</v>
      </c>
      <c r="M9" s="64">
        <f>SUM(L9)+2</f>
        <v>56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216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239</v>
      </c>
      <c r="C11" s="81"/>
      <c r="D11" s="78"/>
      <c r="E11" s="78"/>
      <c r="F11" s="78"/>
      <c r="G11" s="78"/>
      <c r="H11" s="215">
        <f>SUM(I11)-4.5</f>
        <v>119</v>
      </c>
      <c r="I11" s="52">
        <f>SUM(J11)-4.5</f>
        <v>123.5</v>
      </c>
      <c r="J11" s="54">
        <v>128</v>
      </c>
      <c r="K11" s="52">
        <f>SUM(J11)+4</f>
        <v>132</v>
      </c>
      <c r="L11" s="52">
        <f>SUM(K11)+4</f>
        <v>136</v>
      </c>
      <c r="M11" s="64">
        <f>SUM(L11)+4</f>
        <v>140</v>
      </c>
    </row>
    <row r="12" spans="1:16" s="1" customFormat="1" ht="14.1" customHeight="1">
      <c r="A12" s="45"/>
      <c r="B12" s="61" t="s">
        <v>458</v>
      </c>
      <c r="C12" s="61"/>
      <c r="D12" s="42" t="s">
        <v>544</v>
      </c>
      <c r="E12" s="43"/>
      <c r="F12" s="43"/>
      <c r="G12" s="44"/>
      <c r="H12" s="216"/>
      <c r="I12" s="79"/>
      <c r="J12" s="83"/>
      <c r="K12" s="79"/>
      <c r="L12" s="79"/>
      <c r="M12" s="80"/>
    </row>
    <row r="13" spans="1:16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215">
        <f>SUM(I13)-0.9</f>
        <v>20.500000000000004</v>
      </c>
      <c r="I13" s="52">
        <f>SUM(J13)-0.9</f>
        <v>21.400000000000002</v>
      </c>
      <c r="J13" s="37">
        <v>22.3</v>
      </c>
      <c r="K13" s="52">
        <f>SUM(J13)+0.9</f>
        <v>23.2</v>
      </c>
      <c r="L13" s="52">
        <f>SUM(K13)+0.9</f>
        <v>24.099999999999998</v>
      </c>
      <c r="M13" s="64">
        <f>SUM(L13)+0.9</f>
        <v>24.999999999999996</v>
      </c>
    </row>
    <row r="14" spans="1:16" s="1" customFormat="1" ht="14.1" customHeight="1" thickBot="1">
      <c r="A14" s="45"/>
      <c r="B14" s="61" t="s">
        <v>26</v>
      </c>
      <c r="C14" s="61"/>
      <c r="D14" s="42" t="s">
        <v>45</v>
      </c>
      <c r="E14" s="43"/>
      <c r="F14" s="43"/>
      <c r="G14" s="44"/>
      <c r="H14" s="216"/>
      <c r="I14" s="79"/>
      <c r="J14" s="37"/>
      <c r="K14" s="79"/>
      <c r="L14" s="79"/>
      <c r="M14" s="80"/>
    </row>
    <row r="15" spans="1:16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215">
        <f>SUM(I15)-0.6</f>
        <v>17.599999999999998</v>
      </c>
      <c r="I15" s="52">
        <f>SUM(J15)-0.6</f>
        <v>18.2</v>
      </c>
      <c r="J15" s="37">
        <v>18.8</v>
      </c>
      <c r="K15" s="38">
        <f>SUM(J15)+0.6</f>
        <v>19.400000000000002</v>
      </c>
      <c r="L15" s="38">
        <f>SUM(K15)+0.6</f>
        <v>20.000000000000004</v>
      </c>
      <c r="M15" s="63">
        <f>SUM(L15)+0.6</f>
        <v>20.600000000000005</v>
      </c>
      <c r="P15" s="32" t="s">
        <v>458</v>
      </c>
    </row>
    <row r="16" spans="1:16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216"/>
      <c r="I16" s="79"/>
      <c r="J16" s="37"/>
      <c r="K16" s="38"/>
      <c r="L16" s="38"/>
      <c r="M16" s="63"/>
      <c r="P16" s="30">
        <f>SUM(I11+J11+K11+L11+M11)</f>
        <v>659.5</v>
      </c>
    </row>
    <row r="17" spans="1:16" s="1" customFormat="1" ht="14.1" customHeight="1" thickBo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215">
        <f>SUM(I17)-0.3</f>
        <v>8.7999999999999989</v>
      </c>
      <c r="I17" s="52">
        <f>SUM(J17)-0.3</f>
        <v>9.1</v>
      </c>
      <c r="J17" s="37">
        <v>9.4</v>
      </c>
      <c r="K17" s="38">
        <f>SUM(J17)+0.3</f>
        <v>9.7000000000000011</v>
      </c>
      <c r="L17" s="38">
        <f>SUM(K17)+0.3</f>
        <v>10.000000000000002</v>
      </c>
      <c r="M17" s="196">
        <f>SUM(L17)+0.3</f>
        <v>10.300000000000002</v>
      </c>
      <c r="P17" s="31">
        <f>SUM(P16/91.44/5*1.08)</f>
        <v>1.5578740157480317</v>
      </c>
    </row>
    <row r="18" spans="1:16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216"/>
      <c r="I18" s="79"/>
      <c r="J18" s="37"/>
      <c r="K18" s="38"/>
      <c r="L18" s="38"/>
      <c r="M18" s="196"/>
    </row>
    <row r="19" spans="1:16" s="1" customFormat="1" ht="14.1" customHeight="1">
      <c r="A19" s="45">
        <v>9</v>
      </c>
      <c r="B19" s="47" t="s">
        <v>71</v>
      </c>
      <c r="C19" s="48"/>
      <c r="D19" s="75" t="s">
        <v>72</v>
      </c>
      <c r="E19" s="62"/>
      <c r="F19" s="62"/>
      <c r="G19" s="76"/>
      <c r="H19" s="215">
        <f>SUM(I19)-1.6</f>
        <v>46.5</v>
      </c>
      <c r="I19" s="52">
        <f>SUM(J19)-1.6</f>
        <v>48.1</v>
      </c>
      <c r="J19" s="37">
        <v>49.7</v>
      </c>
      <c r="K19" s="38">
        <f>SUM(J19)+1.6</f>
        <v>51.300000000000004</v>
      </c>
      <c r="L19" s="38">
        <f>SUM(K19)+1.6</f>
        <v>52.900000000000006</v>
      </c>
      <c r="M19" s="196">
        <f>SUM(L19)+1.6</f>
        <v>54.500000000000007</v>
      </c>
    </row>
    <row r="20" spans="1:16" s="1" customFormat="1" ht="14.1" customHeight="1">
      <c r="A20" s="45"/>
      <c r="B20" s="61" t="s">
        <v>33</v>
      </c>
      <c r="C20" s="61"/>
      <c r="D20" s="42" t="s">
        <v>174</v>
      </c>
      <c r="E20" s="43"/>
      <c r="F20" s="43"/>
      <c r="G20" s="44"/>
      <c r="H20" s="216"/>
      <c r="I20" s="79"/>
      <c r="J20" s="37"/>
      <c r="K20" s="38"/>
      <c r="L20" s="38"/>
      <c r="M20" s="196"/>
    </row>
    <row r="21" spans="1:16" s="1" customFormat="1" ht="14.1" customHeight="1">
      <c r="A21" s="45">
        <v>10</v>
      </c>
      <c r="B21" s="47" t="s">
        <v>73</v>
      </c>
      <c r="C21" s="48"/>
      <c r="D21" s="62" t="s">
        <v>204</v>
      </c>
      <c r="E21" s="62"/>
      <c r="F21" s="62"/>
      <c r="G21" s="62"/>
      <c r="H21" s="215">
        <f>SUM(I21)-0.2</f>
        <v>6.8</v>
      </c>
      <c r="I21" s="52">
        <f>SUM(J21)-0.2</f>
        <v>7</v>
      </c>
      <c r="J21" s="37">
        <v>7.2</v>
      </c>
      <c r="K21" s="38">
        <f>SUM(J21)+0.2</f>
        <v>7.4</v>
      </c>
      <c r="L21" s="38">
        <f>SUM(K21)+0.2</f>
        <v>7.6000000000000005</v>
      </c>
      <c r="M21" s="63">
        <f>SUM(L21)+0.2</f>
        <v>7.8000000000000007</v>
      </c>
    </row>
    <row r="22" spans="1:16" s="1" customFormat="1" ht="14.1" customHeight="1" thickBot="1">
      <c r="A22" s="45"/>
      <c r="B22" s="65" t="s">
        <v>34</v>
      </c>
      <c r="C22" s="65"/>
      <c r="D22" s="58" t="s">
        <v>203</v>
      </c>
      <c r="E22" s="59"/>
      <c r="F22" s="59"/>
      <c r="G22" s="60"/>
      <c r="H22" s="217"/>
      <c r="I22" s="53"/>
      <c r="J22" s="54"/>
      <c r="K22" s="52"/>
      <c r="L22" s="52"/>
      <c r="M22" s="64"/>
    </row>
    <row r="23" spans="1:16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215"/>
      <c r="I23" s="52"/>
      <c r="J23" s="37"/>
      <c r="K23" s="52"/>
      <c r="L23" s="52"/>
      <c r="M23" s="64"/>
      <c r="P23" s="29" t="s">
        <v>548</v>
      </c>
    </row>
    <row r="24" spans="1:16" s="1" customFormat="1" ht="14.1" customHeight="1">
      <c r="A24" s="45"/>
      <c r="B24" s="61" t="s">
        <v>29</v>
      </c>
      <c r="C24" s="61"/>
      <c r="D24" s="42" t="s">
        <v>47</v>
      </c>
      <c r="E24" s="43"/>
      <c r="F24" s="43"/>
      <c r="G24" s="44"/>
      <c r="H24" s="216"/>
      <c r="I24" s="79"/>
      <c r="J24" s="37"/>
      <c r="K24" s="79"/>
      <c r="L24" s="79"/>
      <c r="M24" s="80"/>
      <c r="P24" s="30">
        <f>SUM(I31+J31+K31+L31+M31)</f>
        <v>55.699999999999996</v>
      </c>
    </row>
    <row r="25" spans="1:16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215"/>
      <c r="I25" s="52"/>
      <c r="J25" s="37"/>
      <c r="K25" s="38"/>
      <c r="L25" s="38"/>
      <c r="M25" s="63"/>
      <c r="P25" s="30">
        <f>SUM(P24/91.44/5*1.08)</f>
        <v>0.13157480314960629</v>
      </c>
    </row>
    <row r="26" spans="1:16" s="1" customFormat="1" ht="14.1" customHeight="1" thickBot="1">
      <c r="A26" s="45"/>
      <c r="B26" s="61" t="s">
        <v>30</v>
      </c>
      <c r="C26" s="61"/>
      <c r="D26" s="42" t="s">
        <v>65</v>
      </c>
      <c r="E26" s="43"/>
      <c r="F26" s="43"/>
      <c r="G26" s="44"/>
      <c r="H26" s="216"/>
      <c r="I26" s="79"/>
      <c r="J26" s="37"/>
      <c r="K26" s="38"/>
      <c r="L26" s="38"/>
      <c r="M26" s="63"/>
      <c r="P26" s="31">
        <f>SUM(P25*4)</f>
        <v>0.52629921259842516</v>
      </c>
    </row>
    <row r="27" spans="1:16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215"/>
      <c r="I27" s="52"/>
      <c r="J27" s="37"/>
      <c r="K27" s="38"/>
      <c r="L27" s="38"/>
      <c r="M27" s="63"/>
    </row>
    <row r="28" spans="1:16" s="1" customFormat="1" ht="14.1" customHeight="1">
      <c r="A28" s="45"/>
      <c r="B28" s="65" t="s">
        <v>31</v>
      </c>
      <c r="C28" s="65"/>
      <c r="D28" s="58" t="s">
        <v>67</v>
      </c>
      <c r="E28" s="59"/>
      <c r="F28" s="59"/>
      <c r="G28" s="60"/>
      <c r="H28" s="216"/>
      <c r="I28" s="79"/>
      <c r="J28" s="37"/>
      <c r="K28" s="38"/>
      <c r="L28" s="38"/>
      <c r="M28" s="63"/>
    </row>
    <row r="29" spans="1:16" ht="14.1" customHeight="1">
      <c r="A29" s="45">
        <v>14</v>
      </c>
      <c r="B29" s="47" t="s">
        <v>199</v>
      </c>
      <c r="C29" s="48"/>
      <c r="D29" s="75"/>
      <c r="E29" s="62"/>
      <c r="F29" s="62"/>
      <c r="G29" s="76"/>
      <c r="H29" s="215">
        <f>SUM(I29)-0.5</f>
        <v>10</v>
      </c>
      <c r="I29" s="52">
        <f>SUM(J29)-0.5</f>
        <v>10.5</v>
      </c>
      <c r="J29" s="54">
        <v>11</v>
      </c>
      <c r="K29" s="52">
        <f>SUM(J29)+0.5</f>
        <v>11.5</v>
      </c>
      <c r="L29" s="52">
        <f>SUM(K29)+0.5</f>
        <v>12</v>
      </c>
      <c r="M29" s="64">
        <f>SUM(L29)+0.5</f>
        <v>12.5</v>
      </c>
    </row>
    <row r="30" spans="1:16" ht="14.1" customHeight="1">
      <c r="A30" s="45"/>
      <c r="B30" s="40" t="s">
        <v>200</v>
      </c>
      <c r="C30" s="41"/>
      <c r="D30" s="123"/>
      <c r="E30" s="124"/>
      <c r="F30" s="124"/>
      <c r="G30" s="125"/>
      <c r="H30" s="216"/>
      <c r="I30" s="79"/>
      <c r="J30" s="83"/>
      <c r="K30" s="79"/>
      <c r="L30" s="79"/>
      <c r="M30" s="80"/>
    </row>
    <row r="31" spans="1:16" ht="14.1" customHeight="1">
      <c r="A31" s="45">
        <v>15</v>
      </c>
      <c r="B31" s="47" t="s">
        <v>546</v>
      </c>
      <c r="C31" s="48"/>
      <c r="D31" s="78"/>
      <c r="E31" s="78"/>
      <c r="F31" s="78"/>
      <c r="G31" s="78"/>
      <c r="H31" s="215">
        <f>SUM(I31)-0.9</f>
        <v>8.7999999999999989</v>
      </c>
      <c r="I31" s="52">
        <f>SUM(J31)-0.9</f>
        <v>9.6999999999999993</v>
      </c>
      <c r="J31" s="54">
        <v>10.6</v>
      </c>
      <c r="K31" s="52">
        <f>SUM(J31)+0.6</f>
        <v>11.2</v>
      </c>
      <c r="L31" s="52">
        <f>SUM(K31)+0.6</f>
        <v>11.799999999999999</v>
      </c>
      <c r="M31" s="64">
        <f>SUM(L31)+0.6</f>
        <v>12.399999999999999</v>
      </c>
    </row>
    <row r="32" spans="1:16" ht="14.1" customHeight="1">
      <c r="A32" s="45"/>
      <c r="B32" s="40" t="s">
        <v>547</v>
      </c>
      <c r="C32" s="41"/>
      <c r="D32" s="42" t="s">
        <v>549</v>
      </c>
      <c r="E32" s="43"/>
      <c r="F32" s="43"/>
      <c r="G32" s="44"/>
      <c r="H32" s="216"/>
      <c r="I32" s="79"/>
      <c r="J32" s="83"/>
      <c r="K32" s="79"/>
      <c r="L32" s="79"/>
      <c r="M32" s="80"/>
    </row>
    <row r="33" spans="1:13" ht="14.1" customHeight="1">
      <c r="A33" s="45">
        <v>16</v>
      </c>
      <c r="B33" s="47" t="s">
        <v>161</v>
      </c>
      <c r="C33" s="48"/>
      <c r="D33" s="78"/>
      <c r="E33" s="78"/>
      <c r="F33" s="78"/>
      <c r="G33" s="78"/>
      <c r="H33" s="215">
        <v>35</v>
      </c>
      <c r="I33" s="52">
        <v>38</v>
      </c>
      <c r="J33" s="54">
        <v>40.5</v>
      </c>
      <c r="K33" s="52">
        <v>43</v>
      </c>
      <c r="L33" s="52">
        <v>45.5</v>
      </c>
      <c r="M33" s="64">
        <v>48</v>
      </c>
    </row>
    <row r="34" spans="1:13" ht="14.1" customHeight="1">
      <c r="A34" s="45"/>
      <c r="B34" s="40" t="s">
        <v>135</v>
      </c>
      <c r="C34" s="41"/>
      <c r="D34" s="42" t="s">
        <v>545</v>
      </c>
      <c r="E34" s="43"/>
      <c r="F34" s="43"/>
      <c r="G34" s="44"/>
      <c r="H34" s="216"/>
      <c r="I34" s="79"/>
      <c r="J34" s="83"/>
      <c r="K34" s="79"/>
      <c r="L34" s="79"/>
      <c r="M34" s="80"/>
    </row>
    <row r="35" spans="1:13" ht="14.1" customHeight="1">
      <c r="A35" s="45">
        <v>17</v>
      </c>
      <c r="B35" s="47" t="s">
        <v>120</v>
      </c>
      <c r="C35" s="48"/>
      <c r="D35" s="49"/>
      <c r="E35" s="50"/>
      <c r="F35" s="50"/>
      <c r="G35" s="51"/>
      <c r="H35" s="215">
        <f>SUM(I35)-0.4</f>
        <v>6.1</v>
      </c>
      <c r="I35" s="52">
        <f>SUM(J35)-0.4</f>
        <v>6.5</v>
      </c>
      <c r="J35" s="54">
        <v>6.9</v>
      </c>
      <c r="K35" s="52">
        <f>SUM(J35)+0.4</f>
        <v>7.3000000000000007</v>
      </c>
      <c r="L35" s="52">
        <f>SUM(K35)+0.4</f>
        <v>7.7000000000000011</v>
      </c>
      <c r="M35" s="64">
        <f>SUM(L35)+0.4</f>
        <v>8.1000000000000014</v>
      </c>
    </row>
    <row r="36" spans="1:13" ht="14.1" customHeight="1">
      <c r="A36" s="45"/>
      <c r="B36" s="40" t="s">
        <v>128</v>
      </c>
      <c r="C36" s="41"/>
      <c r="D36" s="42" t="s">
        <v>167</v>
      </c>
      <c r="E36" s="43"/>
      <c r="F36" s="43"/>
      <c r="G36" s="44"/>
      <c r="H36" s="216"/>
      <c r="I36" s="79"/>
      <c r="J36" s="83"/>
      <c r="K36" s="79"/>
      <c r="L36" s="79"/>
      <c r="M36" s="80"/>
    </row>
    <row r="37" spans="1:13" ht="14.1" customHeight="1">
      <c r="A37" s="109">
        <v>18</v>
      </c>
      <c r="B37" s="56"/>
      <c r="C37" s="57"/>
      <c r="D37" s="183"/>
      <c r="E37" s="184"/>
      <c r="F37" s="184"/>
      <c r="G37" s="185"/>
      <c r="H37" s="215"/>
      <c r="I37" s="52"/>
      <c r="J37" s="54"/>
      <c r="K37" s="52"/>
      <c r="L37" s="52"/>
      <c r="M37" s="64"/>
    </row>
    <row r="38" spans="1:13" ht="14.1" customHeight="1" thickBot="1">
      <c r="A38" s="74"/>
      <c r="B38" s="178"/>
      <c r="C38" s="179"/>
      <c r="D38" s="180"/>
      <c r="E38" s="181"/>
      <c r="F38" s="181"/>
      <c r="G38" s="182"/>
      <c r="H38" s="218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B7D3-53E0-40E6-95C1-FEEFAA8F44B2}">
  <sheetPr>
    <tabColor theme="8"/>
    <pageSetUpPr fitToPage="1"/>
  </sheetPr>
  <dimension ref="A1:Q51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105" t="s">
        <v>553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7" s="1" customFormat="1" ht="14.1" customHeight="1">
      <c r="A3" s="173">
        <v>1</v>
      </c>
      <c r="B3" s="56" t="s">
        <v>93</v>
      </c>
      <c r="C3" s="57"/>
      <c r="D3" s="58" t="s">
        <v>92</v>
      </c>
      <c r="E3" s="59"/>
      <c r="F3" s="59"/>
      <c r="G3" s="60"/>
      <c r="H3" s="215">
        <f>SUM(I3)-2.9</f>
        <v>32.300000000000004</v>
      </c>
      <c r="I3" s="52">
        <f>SUM(J3)-2.9</f>
        <v>35.200000000000003</v>
      </c>
      <c r="J3" s="54">
        <v>38.1</v>
      </c>
      <c r="K3" s="52">
        <f>SUM(J3)+2.4</f>
        <v>40.5</v>
      </c>
      <c r="L3" s="52">
        <f>SUM(K3)+2.4</f>
        <v>42.9</v>
      </c>
      <c r="M3" s="120">
        <f>SUM(L3)+2.4</f>
        <v>45.3</v>
      </c>
    </row>
    <row r="4" spans="1:17" s="1" customFormat="1" ht="14.1" customHeight="1">
      <c r="A4" s="109"/>
      <c r="B4" s="61" t="s">
        <v>32</v>
      </c>
      <c r="C4" s="61"/>
      <c r="D4" s="42" t="s">
        <v>91</v>
      </c>
      <c r="E4" s="43"/>
      <c r="F4" s="43"/>
      <c r="G4" s="43"/>
      <c r="H4" s="216"/>
      <c r="I4" s="79"/>
      <c r="J4" s="83"/>
      <c r="K4" s="79"/>
      <c r="L4" s="79"/>
      <c r="M4" s="80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215">
        <f>SUM(I5)-1.8</f>
        <v>30.8</v>
      </c>
      <c r="I5" s="52">
        <f>SUM(J5)-1.8</f>
        <v>32.6</v>
      </c>
      <c r="J5" s="37">
        <v>34.4</v>
      </c>
      <c r="K5" s="38">
        <f>SUM(J5)+1.6</f>
        <v>36</v>
      </c>
      <c r="L5" s="38">
        <f>SUM(K5)+1.6</f>
        <v>37.6</v>
      </c>
      <c r="M5" s="63">
        <f>SUM(L5)+1.6</f>
        <v>39.200000000000003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216"/>
      <c r="I6" s="79"/>
      <c r="J6" s="37"/>
      <c r="K6" s="38"/>
      <c r="L6" s="38"/>
      <c r="M6" s="63"/>
      <c r="O6" s="1" t="s">
        <v>189</v>
      </c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215">
        <f>SUM(I7)-2.25</f>
        <v>39.5</v>
      </c>
      <c r="I7" s="52">
        <f>SUM(J7)-2.25</f>
        <v>41.75</v>
      </c>
      <c r="J7" s="54">
        <v>44</v>
      </c>
      <c r="K7" s="52">
        <f>SUM(J7)+2</f>
        <v>46</v>
      </c>
      <c r="L7" s="52">
        <f>SUM(K7)+2</f>
        <v>48</v>
      </c>
      <c r="M7" s="64">
        <f>SUM(L7)+2</f>
        <v>50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216"/>
      <c r="I8" s="79"/>
      <c r="J8" s="83"/>
      <c r="K8" s="79"/>
      <c r="L8" s="79"/>
      <c r="M8" s="80"/>
    </row>
    <row r="9" spans="1:17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215">
        <f>SUM(I9)-2.25</f>
        <v>40.5</v>
      </c>
      <c r="I9" s="52">
        <f>SUM(J9)-2.25</f>
        <v>42.75</v>
      </c>
      <c r="J9" s="54">
        <v>45</v>
      </c>
      <c r="K9" s="52">
        <f>SUM(J9)+2</f>
        <v>47</v>
      </c>
      <c r="L9" s="52">
        <f>SUM(K9)+2</f>
        <v>49</v>
      </c>
      <c r="M9" s="64">
        <f>SUM(L9)+2</f>
        <v>51</v>
      </c>
      <c r="Q9" s="1" t="s">
        <v>554</v>
      </c>
    </row>
    <row r="10" spans="1:17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216"/>
      <c r="I10" s="79"/>
      <c r="J10" s="83"/>
      <c r="K10" s="79"/>
      <c r="L10" s="79"/>
      <c r="M10" s="80"/>
    </row>
    <row r="11" spans="1:17" s="1" customFormat="1" ht="14.1" customHeight="1">
      <c r="A11" s="45">
        <v>5</v>
      </c>
      <c r="B11" s="81" t="s">
        <v>239</v>
      </c>
      <c r="C11" s="81"/>
      <c r="D11" s="78"/>
      <c r="E11" s="78"/>
      <c r="F11" s="78"/>
      <c r="G11" s="78"/>
      <c r="H11" s="215">
        <f>SUM(I11)-4.5</f>
        <v>119</v>
      </c>
      <c r="I11" s="52">
        <f>SUM(J11)-4.5</f>
        <v>123.5</v>
      </c>
      <c r="J11" s="54">
        <v>128</v>
      </c>
      <c r="K11" s="52">
        <f>SUM(J11)+4</f>
        <v>132</v>
      </c>
      <c r="L11" s="52">
        <f>SUM(K11)+4</f>
        <v>136</v>
      </c>
      <c r="M11" s="64">
        <f>SUM(L11)+4</f>
        <v>140</v>
      </c>
    </row>
    <row r="12" spans="1:17" s="1" customFormat="1" ht="14.1" customHeight="1">
      <c r="A12" s="45"/>
      <c r="B12" s="61" t="s">
        <v>458</v>
      </c>
      <c r="C12" s="61"/>
      <c r="D12" s="42" t="s">
        <v>544</v>
      </c>
      <c r="E12" s="43"/>
      <c r="F12" s="43"/>
      <c r="G12" s="44"/>
      <c r="H12" s="216"/>
      <c r="I12" s="79"/>
      <c r="J12" s="83"/>
      <c r="K12" s="79"/>
      <c r="L12" s="79"/>
      <c r="M12" s="80"/>
    </row>
    <row r="13" spans="1:17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215">
        <f>SUM(I13)-0.9</f>
        <v>18.300000000000004</v>
      </c>
      <c r="I13" s="52">
        <f>SUM(J13)-0.9</f>
        <v>19.200000000000003</v>
      </c>
      <c r="J13" s="37">
        <v>20.100000000000001</v>
      </c>
      <c r="K13" s="52">
        <f>SUM(J13)+0.9</f>
        <v>21</v>
      </c>
      <c r="L13" s="52">
        <f>SUM(K13)+0.9</f>
        <v>21.9</v>
      </c>
      <c r="M13" s="64">
        <f>SUM(L13)+0.9</f>
        <v>22.799999999999997</v>
      </c>
    </row>
    <row r="14" spans="1:17" s="1" customFormat="1" ht="14.1" customHeight="1" thickBot="1">
      <c r="A14" s="45"/>
      <c r="B14" s="61" t="s">
        <v>26</v>
      </c>
      <c r="C14" s="61"/>
      <c r="D14" s="42" t="s">
        <v>45</v>
      </c>
      <c r="E14" s="43"/>
      <c r="F14" s="43"/>
      <c r="G14" s="44"/>
      <c r="H14" s="216"/>
      <c r="I14" s="79"/>
      <c r="J14" s="37"/>
      <c r="K14" s="79"/>
      <c r="L14" s="79"/>
      <c r="M14" s="80"/>
    </row>
    <row r="15" spans="1:17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215">
        <f>SUM(I15)-0.6</f>
        <v>17.599999999999998</v>
      </c>
      <c r="I15" s="52">
        <f>SUM(J15)-0.6</f>
        <v>18.2</v>
      </c>
      <c r="J15" s="37">
        <v>18.8</v>
      </c>
      <c r="K15" s="38">
        <f>SUM(J15)+0.6</f>
        <v>19.400000000000002</v>
      </c>
      <c r="L15" s="38">
        <f>SUM(K15)+0.6</f>
        <v>20.000000000000004</v>
      </c>
      <c r="M15" s="63">
        <f>SUM(L15)+0.6</f>
        <v>20.600000000000005</v>
      </c>
      <c r="P15" s="32" t="s">
        <v>458</v>
      </c>
    </row>
    <row r="16" spans="1:17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216"/>
      <c r="I16" s="79"/>
      <c r="J16" s="37"/>
      <c r="K16" s="38"/>
      <c r="L16" s="38"/>
      <c r="M16" s="63"/>
      <c r="P16" s="30">
        <f>SUM(I11+J11+K11+L11+M11)</f>
        <v>659.5</v>
      </c>
    </row>
    <row r="17" spans="1:16" s="1" customFormat="1" ht="14.1" customHeight="1" thickBo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215">
        <f>SUM(I17)-0.3</f>
        <v>8.7999999999999989</v>
      </c>
      <c r="I17" s="52">
        <f>SUM(J17)-0.3</f>
        <v>9.1</v>
      </c>
      <c r="J17" s="37">
        <v>9.4</v>
      </c>
      <c r="K17" s="38">
        <f>SUM(J17)+0.3</f>
        <v>9.7000000000000011</v>
      </c>
      <c r="L17" s="38">
        <f>SUM(K17)+0.3</f>
        <v>10.000000000000002</v>
      </c>
      <c r="M17" s="196">
        <f>SUM(L17)+0.3</f>
        <v>10.300000000000002</v>
      </c>
      <c r="P17" s="31">
        <f>SUM(P16/91.44/5*1.08)</f>
        <v>1.5578740157480317</v>
      </c>
    </row>
    <row r="18" spans="1:16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216"/>
      <c r="I18" s="79"/>
      <c r="J18" s="37"/>
      <c r="K18" s="38"/>
      <c r="L18" s="38"/>
      <c r="M18" s="196"/>
    </row>
    <row r="19" spans="1:16" s="1" customFormat="1" ht="14.1" customHeight="1">
      <c r="A19" s="45">
        <v>9</v>
      </c>
      <c r="B19" s="47" t="s">
        <v>71</v>
      </c>
      <c r="C19" s="48"/>
      <c r="D19" s="75" t="s">
        <v>72</v>
      </c>
      <c r="E19" s="62"/>
      <c r="F19" s="62"/>
      <c r="G19" s="76"/>
      <c r="H19" s="215">
        <f>SUM(I19)-1.6</f>
        <v>46.5</v>
      </c>
      <c r="I19" s="52">
        <f>SUM(J19)-1.6</f>
        <v>48.1</v>
      </c>
      <c r="J19" s="37">
        <v>49.7</v>
      </c>
      <c r="K19" s="38">
        <f>SUM(J19)+1.6</f>
        <v>51.300000000000004</v>
      </c>
      <c r="L19" s="38">
        <f>SUM(K19)+1.6</f>
        <v>52.900000000000006</v>
      </c>
      <c r="M19" s="196">
        <f>SUM(L19)+1.6</f>
        <v>54.500000000000007</v>
      </c>
    </row>
    <row r="20" spans="1:16" s="1" customFormat="1" ht="14.1" customHeight="1">
      <c r="A20" s="45"/>
      <c r="B20" s="61" t="s">
        <v>33</v>
      </c>
      <c r="C20" s="61"/>
      <c r="D20" s="42" t="s">
        <v>174</v>
      </c>
      <c r="E20" s="43"/>
      <c r="F20" s="43"/>
      <c r="G20" s="44"/>
      <c r="H20" s="216"/>
      <c r="I20" s="79"/>
      <c r="J20" s="37"/>
      <c r="K20" s="38"/>
      <c r="L20" s="38"/>
      <c r="M20" s="196"/>
    </row>
    <row r="21" spans="1:16" s="1" customFormat="1" ht="14.1" customHeight="1">
      <c r="A21" s="45">
        <v>10</v>
      </c>
      <c r="B21" s="47" t="s">
        <v>73</v>
      </c>
      <c r="C21" s="48"/>
      <c r="D21" s="62" t="s">
        <v>204</v>
      </c>
      <c r="E21" s="62"/>
      <c r="F21" s="62"/>
      <c r="G21" s="62"/>
      <c r="H21" s="215">
        <f>SUM(I21)-0.2</f>
        <v>6.8</v>
      </c>
      <c r="I21" s="52">
        <f>SUM(J21)-0.2</f>
        <v>7</v>
      </c>
      <c r="J21" s="37">
        <v>7.2</v>
      </c>
      <c r="K21" s="38">
        <f>SUM(J21)+0.2</f>
        <v>7.4</v>
      </c>
      <c r="L21" s="38">
        <f>SUM(K21)+0.2</f>
        <v>7.6000000000000005</v>
      </c>
      <c r="M21" s="63">
        <f>SUM(L21)+0.2</f>
        <v>7.8000000000000007</v>
      </c>
    </row>
    <row r="22" spans="1:16" s="1" customFormat="1" ht="14.1" customHeight="1" thickBot="1">
      <c r="A22" s="45"/>
      <c r="B22" s="65" t="s">
        <v>34</v>
      </c>
      <c r="C22" s="65"/>
      <c r="D22" s="58" t="s">
        <v>203</v>
      </c>
      <c r="E22" s="59"/>
      <c r="F22" s="59"/>
      <c r="G22" s="60"/>
      <c r="H22" s="217"/>
      <c r="I22" s="53"/>
      <c r="J22" s="54"/>
      <c r="K22" s="52"/>
      <c r="L22" s="52"/>
      <c r="M22" s="64"/>
    </row>
    <row r="23" spans="1:16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215"/>
      <c r="I23" s="52"/>
      <c r="J23" s="37"/>
      <c r="K23" s="52"/>
      <c r="L23" s="52"/>
      <c r="M23" s="64"/>
      <c r="P23" s="29" t="s">
        <v>548</v>
      </c>
    </row>
    <row r="24" spans="1:16" s="1" customFormat="1" ht="14.1" customHeight="1">
      <c r="A24" s="45"/>
      <c r="B24" s="61" t="s">
        <v>29</v>
      </c>
      <c r="C24" s="61"/>
      <c r="D24" s="42" t="s">
        <v>47</v>
      </c>
      <c r="E24" s="43"/>
      <c r="F24" s="43"/>
      <c r="G24" s="44"/>
      <c r="H24" s="216"/>
      <c r="I24" s="79"/>
      <c r="J24" s="37"/>
      <c r="K24" s="79"/>
      <c r="L24" s="79"/>
      <c r="M24" s="80"/>
      <c r="P24" s="30">
        <f>SUM(I31+J31+K31+L31+M31)</f>
        <v>55.699999999999996</v>
      </c>
    </row>
    <row r="25" spans="1:16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215"/>
      <c r="I25" s="52"/>
      <c r="J25" s="37"/>
      <c r="K25" s="38"/>
      <c r="L25" s="38"/>
      <c r="M25" s="63"/>
      <c r="P25" s="30">
        <f>SUM(P24/91.44/5*1.08)</f>
        <v>0.13157480314960629</v>
      </c>
    </row>
    <row r="26" spans="1:16" s="1" customFormat="1" ht="14.1" customHeight="1" thickBot="1">
      <c r="A26" s="45"/>
      <c r="B26" s="61" t="s">
        <v>30</v>
      </c>
      <c r="C26" s="61"/>
      <c r="D26" s="42" t="s">
        <v>65</v>
      </c>
      <c r="E26" s="43"/>
      <c r="F26" s="43"/>
      <c r="G26" s="44"/>
      <c r="H26" s="216"/>
      <c r="I26" s="79"/>
      <c r="J26" s="37"/>
      <c r="K26" s="38"/>
      <c r="L26" s="38"/>
      <c r="M26" s="63"/>
      <c r="P26" s="31">
        <f>SUM(P25*4)</f>
        <v>0.52629921259842516</v>
      </c>
    </row>
    <row r="27" spans="1:16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215"/>
      <c r="I27" s="52"/>
      <c r="J27" s="37"/>
      <c r="K27" s="38"/>
      <c r="L27" s="38"/>
      <c r="M27" s="63"/>
    </row>
    <row r="28" spans="1:16" s="1" customFormat="1" ht="14.1" customHeight="1">
      <c r="A28" s="45"/>
      <c r="B28" s="65" t="s">
        <v>31</v>
      </c>
      <c r="C28" s="65"/>
      <c r="D28" s="58" t="s">
        <v>67</v>
      </c>
      <c r="E28" s="59"/>
      <c r="F28" s="59"/>
      <c r="G28" s="60"/>
      <c r="H28" s="216"/>
      <c r="I28" s="79"/>
      <c r="J28" s="37"/>
      <c r="K28" s="38"/>
      <c r="L28" s="38"/>
      <c r="M28" s="63"/>
    </row>
    <row r="29" spans="1:16" ht="14.1" customHeight="1">
      <c r="A29" s="45">
        <v>14</v>
      </c>
      <c r="B29" s="47" t="s">
        <v>199</v>
      </c>
      <c r="C29" s="48"/>
      <c r="D29" s="75"/>
      <c r="E29" s="62"/>
      <c r="F29" s="62"/>
      <c r="G29" s="76"/>
      <c r="H29" s="215">
        <f>SUM(I29)-0.5</f>
        <v>10</v>
      </c>
      <c r="I29" s="52">
        <f>SUM(J29)-0.5</f>
        <v>10.5</v>
      </c>
      <c r="J29" s="54">
        <v>11</v>
      </c>
      <c r="K29" s="52">
        <f>SUM(J29)+0.5</f>
        <v>11.5</v>
      </c>
      <c r="L29" s="52">
        <f>SUM(K29)+0.5</f>
        <v>12</v>
      </c>
      <c r="M29" s="64">
        <f>SUM(L29)+0.5</f>
        <v>12.5</v>
      </c>
    </row>
    <row r="30" spans="1:16" ht="14.1" customHeight="1">
      <c r="A30" s="45"/>
      <c r="B30" s="40" t="s">
        <v>200</v>
      </c>
      <c r="C30" s="41"/>
      <c r="D30" s="123"/>
      <c r="E30" s="124"/>
      <c r="F30" s="124"/>
      <c r="G30" s="125"/>
      <c r="H30" s="216"/>
      <c r="I30" s="79"/>
      <c r="J30" s="83"/>
      <c r="K30" s="79"/>
      <c r="L30" s="79"/>
      <c r="M30" s="80"/>
    </row>
    <row r="31" spans="1:16" ht="14.1" customHeight="1">
      <c r="A31" s="45">
        <v>15</v>
      </c>
      <c r="B31" s="47" t="s">
        <v>546</v>
      </c>
      <c r="C31" s="48"/>
      <c r="D31" s="78"/>
      <c r="E31" s="78"/>
      <c r="F31" s="78"/>
      <c r="G31" s="78"/>
      <c r="H31" s="215">
        <f>SUM(I31)-0.9</f>
        <v>8.7999999999999989</v>
      </c>
      <c r="I31" s="52">
        <f>SUM(J31)-0.9</f>
        <v>9.6999999999999993</v>
      </c>
      <c r="J31" s="54">
        <v>10.6</v>
      </c>
      <c r="K31" s="52">
        <f>SUM(J31)+0.6</f>
        <v>11.2</v>
      </c>
      <c r="L31" s="52">
        <f>SUM(K31)+0.6</f>
        <v>11.799999999999999</v>
      </c>
      <c r="M31" s="64">
        <f>SUM(L31)+0.6</f>
        <v>12.399999999999999</v>
      </c>
    </row>
    <row r="32" spans="1:16" ht="14.1" customHeight="1">
      <c r="A32" s="45"/>
      <c r="B32" s="40" t="s">
        <v>547</v>
      </c>
      <c r="C32" s="41"/>
      <c r="D32" s="42" t="s">
        <v>549</v>
      </c>
      <c r="E32" s="43"/>
      <c r="F32" s="43"/>
      <c r="G32" s="44"/>
      <c r="H32" s="216"/>
      <c r="I32" s="79"/>
      <c r="J32" s="83"/>
      <c r="K32" s="79"/>
      <c r="L32" s="79"/>
      <c r="M32" s="80"/>
    </row>
    <row r="33" spans="1:13" ht="14.1" customHeight="1">
      <c r="A33" s="45">
        <v>16</v>
      </c>
      <c r="B33" s="47" t="s">
        <v>161</v>
      </c>
      <c r="C33" s="48"/>
      <c r="D33" s="78"/>
      <c r="E33" s="78"/>
      <c r="F33" s="78"/>
      <c r="G33" s="78"/>
      <c r="H33" s="215">
        <v>35</v>
      </c>
      <c r="I33" s="52">
        <v>38</v>
      </c>
      <c r="J33" s="54">
        <v>40.5</v>
      </c>
      <c r="K33" s="52">
        <v>43</v>
      </c>
      <c r="L33" s="52">
        <v>45.5</v>
      </c>
      <c r="M33" s="64">
        <v>48</v>
      </c>
    </row>
    <row r="34" spans="1:13" ht="14.1" customHeight="1">
      <c r="A34" s="45"/>
      <c r="B34" s="40" t="s">
        <v>135</v>
      </c>
      <c r="C34" s="41"/>
      <c r="D34" s="42" t="s">
        <v>545</v>
      </c>
      <c r="E34" s="43"/>
      <c r="F34" s="43"/>
      <c r="G34" s="44"/>
      <c r="H34" s="216"/>
      <c r="I34" s="79"/>
      <c r="J34" s="83"/>
      <c r="K34" s="79"/>
      <c r="L34" s="79"/>
      <c r="M34" s="80"/>
    </row>
    <row r="35" spans="1:13" ht="14.1" customHeight="1">
      <c r="A35" s="45">
        <v>17</v>
      </c>
      <c r="B35" s="47" t="s">
        <v>120</v>
      </c>
      <c r="C35" s="48"/>
      <c r="D35" s="49"/>
      <c r="E35" s="50"/>
      <c r="F35" s="50"/>
      <c r="G35" s="51"/>
      <c r="H35" s="215">
        <f>SUM(I35)-0.4</f>
        <v>6.1</v>
      </c>
      <c r="I35" s="52">
        <f>SUM(J35)-0.4</f>
        <v>6.5</v>
      </c>
      <c r="J35" s="54">
        <v>6.9</v>
      </c>
      <c r="K35" s="52">
        <f>SUM(J35)+0.4</f>
        <v>7.3000000000000007</v>
      </c>
      <c r="L35" s="52">
        <f>SUM(K35)+0.4</f>
        <v>7.7000000000000011</v>
      </c>
      <c r="M35" s="64">
        <f>SUM(L35)+0.4</f>
        <v>8.1000000000000014</v>
      </c>
    </row>
    <row r="36" spans="1:13" ht="14.1" customHeight="1">
      <c r="A36" s="45"/>
      <c r="B36" s="40" t="s">
        <v>128</v>
      </c>
      <c r="C36" s="41"/>
      <c r="D36" s="42" t="s">
        <v>167</v>
      </c>
      <c r="E36" s="43"/>
      <c r="F36" s="43"/>
      <c r="G36" s="44"/>
      <c r="H36" s="216"/>
      <c r="I36" s="79"/>
      <c r="J36" s="83"/>
      <c r="K36" s="79"/>
      <c r="L36" s="79"/>
      <c r="M36" s="80"/>
    </row>
    <row r="37" spans="1:13" ht="14.1" customHeight="1">
      <c r="A37" s="109">
        <v>18</v>
      </c>
      <c r="B37" s="56"/>
      <c r="C37" s="57"/>
      <c r="D37" s="183"/>
      <c r="E37" s="184"/>
      <c r="F37" s="184"/>
      <c r="G37" s="185"/>
      <c r="H37" s="215"/>
      <c r="I37" s="52"/>
      <c r="J37" s="54"/>
      <c r="K37" s="52"/>
      <c r="L37" s="52"/>
      <c r="M37" s="64"/>
    </row>
    <row r="38" spans="1:13" ht="14.1" customHeight="1" thickBot="1">
      <c r="A38" s="74"/>
      <c r="B38" s="178"/>
      <c r="C38" s="179"/>
      <c r="D38" s="180"/>
      <c r="E38" s="181"/>
      <c r="F38" s="181"/>
      <c r="G38" s="182"/>
      <c r="H38" s="218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CD05-EF8E-428B-966B-F21708210B4C}">
  <sheetPr codeName="Sheet101">
    <tabColor theme="8"/>
    <pageSetUpPr fitToPage="1"/>
  </sheetPr>
  <dimension ref="A1:N51"/>
  <sheetViews>
    <sheetView zoomScale="110" zoomScaleNormal="110" workbookViewId="0">
      <selection sqref="A1:N3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  <col min="257" max="257" width="3" bestFit="1" customWidth="1"/>
    <col min="260" max="263" width="8.125" customWidth="1"/>
    <col min="264" max="270" width="5.5" customWidth="1"/>
    <col min="513" max="513" width="3" bestFit="1" customWidth="1"/>
    <col min="516" max="519" width="8.125" customWidth="1"/>
    <col min="520" max="526" width="5.5" customWidth="1"/>
    <col min="769" max="769" width="3" bestFit="1" customWidth="1"/>
    <col min="772" max="775" width="8.125" customWidth="1"/>
    <col min="776" max="782" width="5.5" customWidth="1"/>
    <col min="1025" max="1025" width="3" bestFit="1" customWidth="1"/>
    <col min="1028" max="1031" width="8.125" customWidth="1"/>
    <col min="1032" max="1038" width="5.5" customWidth="1"/>
    <col min="1281" max="1281" width="3" bestFit="1" customWidth="1"/>
    <col min="1284" max="1287" width="8.125" customWidth="1"/>
    <col min="1288" max="1294" width="5.5" customWidth="1"/>
    <col min="1537" max="1537" width="3" bestFit="1" customWidth="1"/>
    <col min="1540" max="1543" width="8.125" customWidth="1"/>
    <col min="1544" max="1550" width="5.5" customWidth="1"/>
    <col min="1793" max="1793" width="3" bestFit="1" customWidth="1"/>
    <col min="1796" max="1799" width="8.125" customWidth="1"/>
    <col min="1800" max="1806" width="5.5" customWidth="1"/>
    <col min="2049" max="2049" width="3" bestFit="1" customWidth="1"/>
    <col min="2052" max="2055" width="8.125" customWidth="1"/>
    <col min="2056" max="2062" width="5.5" customWidth="1"/>
    <col min="2305" max="2305" width="3" bestFit="1" customWidth="1"/>
    <col min="2308" max="2311" width="8.125" customWidth="1"/>
    <col min="2312" max="2318" width="5.5" customWidth="1"/>
    <col min="2561" max="2561" width="3" bestFit="1" customWidth="1"/>
    <col min="2564" max="2567" width="8.125" customWidth="1"/>
    <col min="2568" max="2574" width="5.5" customWidth="1"/>
    <col min="2817" max="2817" width="3" bestFit="1" customWidth="1"/>
    <col min="2820" max="2823" width="8.125" customWidth="1"/>
    <col min="2824" max="2830" width="5.5" customWidth="1"/>
    <col min="3073" max="3073" width="3" bestFit="1" customWidth="1"/>
    <col min="3076" max="3079" width="8.125" customWidth="1"/>
    <col min="3080" max="3086" width="5.5" customWidth="1"/>
    <col min="3329" max="3329" width="3" bestFit="1" customWidth="1"/>
    <col min="3332" max="3335" width="8.125" customWidth="1"/>
    <col min="3336" max="3342" width="5.5" customWidth="1"/>
    <col min="3585" max="3585" width="3" bestFit="1" customWidth="1"/>
    <col min="3588" max="3591" width="8.125" customWidth="1"/>
    <col min="3592" max="3598" width="5.5" customWidth="1"/>
    <col min="3841" max="3841" width="3" bestFit="1" customWidth="1"/>
    <col min="3844" max="3847" width="8.125" customWidth="1"/>
    <col min="3848" max="3854" width="5.5" customWidth="1"/>
    <col min="4097" max="4097" width="3" bestFit="1" customWidth="1"/>
    <col min="4100" max="4103" width="8.125" customWidth="1"/>
    <col min="4104" max="4110" width="5.5" customWidth="1"/>
    <col min="4353" max="4353" width="3" bestFit="1" customWidth="1"/>
    <col min="4356" max="4359" width="8.125" customWidth="1"/>
    <col min="4360" max="4366" width="5.5" customWidth="1"/>
    <col min="4609" max="4609" width="3" bestFit="1" customWidth="1"/>
    <col min="4612" max="4615" width="8.125" customWidth="1"/>
    <col min="4616" max="4622" width="5.5" customWidth="1"/>
    <col min="4865" max="4865" width="3" bestFit="1" customWidth="1"/>
    <col min="4868" max="4871" width="8.125" customWidth="1"/>
    <col min="4872" max="4878" width="5.5" customWidth="1"/>
    <col min="5121" max="5121" width="3" bestFit="1" customWidth="1"/>
    <col min="5124" max="5127" width="8.125" customWidth="1"/>
    <col min="5128" max="5134" width="5.5" customWidth="1"/>
    <col min="5377" max="5377" width="3" bestFit="1" customWidth="1"/>
    <col min="5380" max="5383" width="8.125" customWidth="1"/>
    <col min="5384" max="5390" width="5.5" customWidth="1"/>
    <col min="5633" max="5633" width="3" bestFit="1" customWidth="1"/>
    <col min="5636" max="5639" width="8.125" customWidth="1"/>
    <col min="5640" max="5646" width="5.5" customWidth="1"/>
    <col min="5889" max="5889" width="3" bestFit="1" customWidth="1"/>
    <col min="5892" max="5895" width="8.125" customWidth="1"/>
    <col min="5896" max="5902" width="5.5" customWidth="1"/>
    <col min="6145" max="6145" width="3" bestFit="1" customWidth="1"/>
    <col min="6148" max="6151" width="8.125" customWidth="1"/>
    <col min="6152" max="6158" width="5.5" customWidth="1"/>
    <col min="6401" max="6401" width="3" bestFit="1" customWidth="1"/>
    <col min="6404" max="6407" width="8.125" customWidth="1"/>
    <col min="6408" max="6414" width="5.5" customWidth="1"/>
    <col min="6657" max="6657" width="3" bestFit="1" customWidth="1"/>
    <col min="6660" max="6663" width="8.125" customWidth="1"/>
    <col min="6664" max="6670" width="5.5" customWidth="1"/>
    <col min="6913" max="6913" width="3" bestFit="1" customWidth="1"/>
    <col min="6916" max="6919" width="8.125" customWidth="1"/>
    <col min="6920" max="6926" width="5.5" customWidth="1"/>
    <col min="7169" max="7169" width="3" bestFit="1" customWidth="1"/>
    <col min="7172" max="7175" width="8.125" customWidth="1"/>
    <col min="7176" max="7182" width="5.5" customWidth="1"/>
    <col min="7425" max="7425" width="3" bestFit="1" customWidth="1"/>
    <col min="7428" max="7431" width="8.125" customWidth="1"/>
    <col min="7432" max="7438" width="5.5" customWidth="1"/>
    <col min="7681" max="7681" width="3" bestFit="1" customWidth="1"/>
    <col min="7684" max="7687" width="8.125" customWidth="1"/>
    <col min="7688" max="7694" width="5.5" customWidth="1"/>
    <col min="7937" max="7937" width="3" bestFit="1" customWidth="1"/>
    <col min="7940" max="7943" width="8.125" customWidth="1"/>
    <col min="7944" max="7950" width="5.5" customWidth="1"/>
    <col min="8193" max="8193" width="3" bestFit="1" customWidth="1"/>
    <col min="8196" max="8199" width="8.125" customWidth="1"/>
    <col min="8200" max="8206" width="5.5" customWidth="1"/>
    <col min="8449" max="8449" width="3" bestFit="1" customWidth="1"/>
    <col min="8452" max="8455" width="8.125" customWidth="1"/>
    <col min="8456" max="8462" width="5.5" customWidth="1"/>
    <col min="8705" max="8705" width="3" bestFit="1" customWidth="1"/>
    <col min="8708" max="8711" width="8.125" customWidth="1"/>
    <col min="8712" max="8718" width="5.5" customWidth="1"/>
    <col min="8961" max="8961" width="3" bestFit="1" customWidth="1"/>
    <col min="8964" max="8967" width="8.125" customWidth="1"/>
    <col min="8968" max="8974" width="5.5" customWidth="1"/>
    <col min="9217" max="9217" width="3" bestFit="1" customWidth="1"/>
    <col min="9220" max="9223" width="8.125" customWidth="1"/>
    <col min="9224" max="9230" width="5.5" customWidth="1"/>
    <col min="9473" max="9473" width="3" bestFit="1" customWidth="1"/>
    <col min="9476" max="9479" width="8.125" customWidth="1"/>
    <col min="9480" max="9486" width="5.5" customWidth="1"/>
    <col min="9729" max="9729" width="3" bestFit="1" customWidth="1"/>
    <col min="9732" max="9735" width="8.125" customWidth="1"/>
    <col min="9736" max="9742" width="5.5" customWidth="1"/>
    <col min="9985" max="9985" width="3" bestFit="1" customWidth="1"/>
    <col min="9988" max="9991" width="8.125" customWidth="1"/>
    <col min="9992" max="9998" width="5.5" customWidth="1"/>
    <col min="10241" max="10241" width="3" bestFit="1" customWidth="1"/>
    <col min="10244" max="10247" width="8.125" customWidth="1"/>
    <col min="10248" max="10254" width="5.5" customWidth="1"/>
    <col min="10497" max="10497" width="3" bestFit="1" customWidth="1"/>
    <col min="10500" max="10503" width="8.125" customWidth="1"/>
    <col min="10504" max="10510" width="5.5" customWidth="1"/>
    <col min="10753" max="10753" width="3" bestFit="1" customWidth="1"/>
    <col min="10756" max="10759" width="8.125" customWidth="1"/>
    <col min="10760" max="10766" width="5.5" customWidth="1"/>
    <col min="11009" max="11009" width="3" bestFit="1" customWidth="1"/>
    <col min="11012" max="11015" width="8.125" customWidth="1"/>
    <col min="11016" max="11022" width="5.5" customWidth="1"/>
    <col min="11265" max="11265" width="3" bestFit="1" customWidth="1"/>
    <col min="11268" max="11271" width="8.125" customWidth="1"/>
    <col min="11272" max="11278" width="5.5" customWidth="1"/>
    <col min="11521" max="11521" width="3" bestFit="1" customWidth="1"/>
    <col min="11524" max="11527" width="8.125" customWidth="1"/>
    <col min="11528" max="11534" width="5.5" customWidth="1"/>
    <col min="11777" max="11777" width="3" bestFit="1" customWidth="1"/>
    <col min="11780" max="11783" width="8.125" customWidth="1"/>
    <col min="11784" max="11790" width="5.5" customWidth="1"/>
    <col min="12033" max="12033" width="3" bestFit="1" customWidth="1"/>
    <col min="12036" max="12039" width="8.125" customWidth="1"/>
    <col min="12040" max="12046" width="5.5" customWidth="1"/>
    <col min="12289" max="12289" width="3" bestFit="1" customWidth="1"/>
    <col min="12292" max="12295" width="8.125" customWidth="1"/>
    <col min="12296" max="12302" width="5.5" customWidth="1"/>
    <col min="12545" max="12545" width="3" bestFit="1" customWidth="1"/>
    <col min="12548" max="12551" width="8.125" customWidth="1"/>
    <col min="12552" max="12558" width="5.5" customWidth="1"/>
    <col min="12801" max="12801" width="3" bestFit="1" customWidth="1"/>
    <col min="12804" max="12807" width="8.125" customWidth="1"/>
    <col min="12808" max="12814" width="5.5" customWidth="1"/>
    <col min="13057" max="13057" width="3" bestFit="1" customWidth="1"/>
    <col min="13060" max="13063" width="8.125" customWidth="1"/>
    <col min="13064" max="13070" width="5.5" customWidth="1"/>
    <col min="13313" max="13313" width="3" bestFit="1" customWidth="1"/>
    <col min="13316" max="13319" width="8.125" customWidth="1"/>
    <col min="13320" max="13326" width="5.5" customWidth="1"/>
    <col min="13569" max="13569" width="3" bestFit="1" customWidth="1"/>
    <col min="13572" max="13575" width="8.125" customWidth="1"/>
    <col min="13576" max="13582" width="5.5" customWidth="1"/>
    <col min="13825" max="13825" width="3" bestFit="1" customWidth="1"/>
    <col min="13828" max="13831" width="8.125" customWidth="1"/>
    <col min="13832" max="13838" width="5.5" customWidth="1"/>
    <col min="14081" max="14081" width="3" bestFit="1" customWidth="1"/>
    <col min="14084" max="14087" width="8.125" customWidth="1"/>
    <col min="14088" max="14094" width="5.5" customWidth="1"/>
    <col min="14337" max="14337" width="3" bestFit="1" customWidth="1"/>
    <col min="14340" max="14343" width="8.125" customWidth="1"/>
    <col min="14344" max="14350" width="5.5" customWidth="1"/>
    <col min="14593" max="14593" width="3" bestFit="1" customWidth="1"/>
    <col min="14596" max="14599" width="8.125" customWidth="1"/>
    <col min="14600" max="14606" width="5.5" customWidth="1"/>
    <col min="14849" max="14849" width="3" bestFit="1" customWidth="1"/>
    <col min="14852" max="14855" width="8.125" customWidth="1"/>
    <col min="14856" max="14862" width="5.5" customWidth="1"/>
    <col min="15105" max="15105" width="3" bestFit="1" customWidth="1"/>
    <col min="15108" max="15111" width="8.125" customWidth="1"/>
    <col min="15112" max="15118" width="5.5" customWidth="1"/>
    <col min="15361" max="15361" width="3" bestFit="1" customWidth="1"/>
    <col min="15364" max="15367" width="8.125" customWidth="1"/>
    <col min="15368" max="15374" width="5.5" customWidth="1"/>
    <col min="15617" max="15617" width="3" bestFit="1" customWidth="1"/>
    <col min="15620" max="15623" width="8.125" customWidth="1"/>
    <col min="15624" max="15630" width="5.5" customWidth="1"/>
    <col min="15873" max="15873" width="3" bestFit="1" customWidth="1"/>
    <col min="15876" max="15879" width="8.125" customWidth="1"/>
    <col min="15880" max="15886" width="5.5" customWidth="1"/>
    <col min="16129" max="16129" width="3" bestFit="1" customWidth="1"/>
    <col min="16132" max="16135" width="8.125" customWidth="1"/>
    <col min="16136" max="16142" width="5.5" customWidth="1"/>
  </cols>
  <sheetData>
    <row r="1" spans="1:14" ht="16.5" customHeight="1" thickBot="1">
      <c r="A1" s="105" t="s">
        <v>621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4" s="1" customFormat="1" ht="14.1" customHeight="1">
      <c r="A3" s="204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40.200000000000003</v>
      </c>
      <c r="I3" s="52">
        <f>SUM(J3)-3.4</f>
        <v>43.6</v>
      </c>
      <c r="J3" s="193">
        <v>47</v>
      </c>
      <c r="K3" s="194">
        <f>SUM(J3)+2.9</f>
        <v>49.9</v>
      </c>
      <c r="L3" s="194">
        <f>SUM(K3)+2.9</f>
        <v>52.8</v>
      </c>
      <c r="M3" s="194">
        <f>SUM(L3)+2.9</f>
        <v>55.699999999999996</v>
      </c>
      <c r="N3" s="219">
        <f>SUM(M3)+2.9</f>
        <v>58.599999999999994</v>
      </c>
    </row>
    <row r="4" spans="1:14" s="1" customFormat="1" ht="14.1" customHeight="1">
      <c r="A4" s="45"/>
      <c r="B4" s="61" t="s">
        <v>32</v>
      </c>
      <c r="C4" s="61"/>
      <c r="D4" s="42" t="s">
        <v>605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4" s="1" customFormat="1" ht="14.1" customHeight="1">
      <c r="A5" s="45">
        <v>2</v>
      </c>
      <c r="B5" s="47" t="s">
        <v>37</v>
      </c>
      <c r="C5" s="48"/>
      <c r="D5" s="75" t="s">
        <v>38</v>
      </c>
      <c r="E5" s="62"/>
      <c r="F5" s="62"/>
      <c r="G5" s="76"/>
      <c r="H5" s="52">
        <f>SUM(I5)-2.4</f>
        <v>48.800000000000004</v>
      </c>
      <c r="I5" s="52">
        <f>SUM(J5)-2.4</f>
        <v>51.2</v>
      </c>
      <c r="J5" s="37">
        <v>53.6</v>
      </c>
      <c r="K5" s="38">
        <f>SUM(J5)+2.2</f>
        <v>55.800000000000004</v>
      </c>
      <c r="L5" s="38">
        <f>SUM(K5)+2.2</f>
        <v>58.000000000000007</v>
      </c>
      <c r="M5" s="38">
        <f>SUM(L5)+2.2</f>
        <v>60.20000000000001</v>
      </c>
      <c r="N5" s="208">
        <f>SUM(M5)+2.2</f>
        <v>62.400000000000013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38"/>
      <c r="N6" s="208"/>
    </row>
    <row r="7" spans="1:14" s="1" customFormat="1" ht="14.1" customHeight="1">
      <c r="A7" s="45">
        <v>3</v>
      </c>
      <c r="B7" s="47" t="s">
        <v>35</v>
      </c>
      <c r="C7" s="48"/>
      <c r="D7" s="75" t="s">
        <v>242</v>
      </c>
      <c r="E7" s="62"/>
      <c r="F7" s="62"/>
      <c r="G7" s="76"/>
      <c r="H7" s="52">
        <f>SUM(I7)-2.4</f>
        <v>48.2</v>
      </c>
      <c r="I7" s="52">
        <f>SUM(J7)-2.4</f>
        <v>50.6</v>
      </c>
      <c r="J7" s="37">
        <v>53</v>
      </c>
      <c r="K7" s="38">
        <f>SUM(J7)+2.2</f>
        <v>55.2</v>
      </c>
      <c r="L7" s="38">
        <f>SUM(K7)+2.2</f>
        <v>57.400000000000006</v>
      </c>
      <c r="M7" s="38">
        <f>SUM(L7)+2.2</f>
        <v>59.600000000000009</v>
      </c>
      <c r="N7" s="208">
        <f>SUM(M7)+2.2</f>
        <v>61.800000000000011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37"/>
      <c r="K8" s="38"/>
      <c r="L8" s="38"/>
      <c r="M8" s="38"/>
      <c r="N8" s="208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SUM(I9)-2.4</f>
        <v>45.2</v>
      </c>
      <c r="I9" s="52">
        <f>SUM(J9)-2.4</f>
        <v>47.6</v>
      </c>
      <c r="J9" s="37">
        <v>50</v>
      </c>
      <c r="K9" s="38">
        <f>SUM(J9)+2.2</f>
        <v>52.2</v>
      </c>
      <c r="L9" s="38">
        <f>SUM(K9)+2.2</f>
        <v>54.400000000000006</v>
      </c>
      <c r="M9" s="38">
        <f>SUM(L9)+2.2</f>
        <v>56.600000000000009</v>
      </c>
      <c r="N9" s="208">
        <f>SUM(M9)+2.2</f>
        <v>58.800000000000011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37"/>
      <c r="K10" s="38"/>
      <c r="L10" s="38"/>
      <c r="M10" s="38"/>
      <c r="N10" s="208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18</v>
      </c>
      <c r="I11" s="52">
        <f>SUM(J11)-0.8</f>
        <v>18.8</v>
      </c>
      <c r="J11" s="37">
        <v>19.600000000000001</v>
      </c>
      <c r="K11" s="38">
        <f>SUM(J11)+0.8</f>
        <v>20.400000000000002</v>
      </c>
      <c r="L11" s="38">
        <f>SUM(K11)+0.8</f>
        <v>21.200000000000003</v>
      </c>
      <c r="M11" s="38">
        <f>SUM(L11)+0.8</f>
        <v>22.000000000000004</v>
      </c>
      <c r="N11" s="208">
        <f>SUM(M11)+0.8</f>
        <v>22.800000000000004</v>
      </c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4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52">
        <f>SUM(I13)-0.6</f>
        <v>15.3</v>
      </c>
      <c r="I13" s="52">
        <f>SUM(J13)-0.6</f>
        <v>15.9</v>
      </c>
      <c r="J13" s="37">
        <v>16.5</v>
      </c>
      <c r="K13" s="38">
        <f>SUM(J13)+0.6</f>
        <v>17.100000000000001</v>
      </c>
      <c r="L13" s="38">
        <f>SUM(K13)+0.6</f>
        <v>17.700000000000003</v>
      </c>
      <c r="M13" s="38">
        <f>SUM(L13)+0.6</f>
        <v>18.300000000000004</v>
      </c>
      <c r="N13" s="208">
        <f>SUM(M13)+0.6</f>
        <v>18.900000000000006</v>
      </c>
    </row>
    <row r="14" spans="1:14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6.6000000000000005</v>
      </c>
      <c r="I15" s="52">
        <f>SUM(J15)-0.3</f>
        <v>6.9</v>
      </c>
      <c r="J15" s="37">
        <v>7.2</v>
      </c>
      <c r="K15" s="38">
        <f>SUM(J15)+0.3</f>
        <v>7.5</v>
      </c>
      <c r="L15" s="38">
        <f>SUM(K15)+0.3</f>
        <v>7.8</v>
      </c>
      <c r="M15" s="38">
        <f>SUM(L15)+0.3</f>
        <v>8.1</v>
      </c>
      <c r="N15" s="208">
        <f>SUM(M15)+0.3</f>
        <v>8.4</v>
      </c>
    </row>
    <row r="16" spans="1:14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606</v>
      </c>
      <c r="E17" s="62"/>
      <c r="F17" s="62"/>
      <c r="G17" s="76"/>
      <c r="H17" s="52">
        <f>SUM(I17)-1.6</f>
        <v>37.699999999999996</v>
      </c>
      <c r="I17" s="52">
        <f>SUM(J17)-1.6</f>
        <v>39.299999999999997</v>
      </c>
      <c r="J17" s="37">
        <v>40.9</v>
      </c>
      <c r="K17" s="38">
        <f>SUM(J17)+1.6</f>
        <v>42.5</v>
      </c>
      <c r="L17" s="38">
        <f>SUM(K17)+1.6</f>
        <v>44.1</v>
      </c>
      <c r="M17" s="38">
        <f>SUM(L17)+1.6</f>
        <v>45.7</v>
      </c>
      <c r="N17" s="208">
        <f>SUM(M17)+1.6</f>
        <v>47.300000000000004</v>
      </c>
    </row>
    <row r="18" spans="1:14" s="1" customFormat="1" ht="14.1" customHeight="1">
      <c r="A18" s="45"/>
      <c r="B18" s="61" t="s">
        <v>33</v>
      </c>
      <c r="C18" s="61"/>
      <c r="D18" s="42" t="s">
        <v>607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SUM(I19)-3.3</f>
        <v>22.599999999999998</v>
      </c>
      <c r="I19" s="52">
        <f>SUM(J19)-3.3</f>
        <v>25.9</v>
      </c>
      <c r="J19" s="37">
        <v>29.2</v>
      </c>
      <c r="K19" s="38">
        <f>SUM(J19)+3.4</f>
        <v>32.6</v>
      </c>
      <c r="L19" s="38">
        <f>SUM(K19)+3.4</f>
        <v>36</v>
      </c>
      <c r="M19" s="38">
        <f>SUM(L19)+3.4</f>
        <v>39.4</v>
      </c>
      <c r="N19" s="63">
        <f>SUM(M19)+3.4</f>
        <v>42.8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SUM(I21)-1.6</f>
        <v>35</v>
      </c>
      <c r="I21" s="52">
        <f>SUM(J21)-1.6</f>
        <v>36.6</v>
      </c>
      <c r="J21" s="37">
        <v>38.200000000000003</v>
      </c>
      <c r="K21" s="38">
        <f>SUM(J21)+1.6</f>
        <v>39.800000000000004</v>
      </c>
      <c r="L21" s="38">
        <f>SUM(K21)+1.6</f>
        <v>41.400000000000006</v>
      </c>
      <c r="M21" s="38">
        <f>SUM(L21)+1.6</f>
        <v>43.000000000000007</v>
      </c>
      <c r="N21" s="208">
        <f>SUM(M21)+1.6</f>
        <v>44.600000000000009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608</v>
      </c>
      <c r="C23" s="48"/>
      <c r="D23" s="78"/>
      <c r="E23" s="78"/>
      <c r="F23" s="78"/>
      <c r="G23" s="78"/>
      <c r="H23" s="52">
        <f>SUM(I23)-0.6</f>
        <v>17.799999999999997</v>
      </c>
      <c r="I23" s="52">
        <f>SUM(J23)-0.6</f>
        <v>18.399999999999999</v>
      </c>
      <c r="J23" s="37">
        <v>19</v>
      </c>
      <c r="K23" s="38">
        <f>SUM(J23)+0.6</f>
        <v>19.600000000000001</v>
      </c>
      <c r="L23" s="38">
        <f>SUM(K23)+0.6</f>
        <v>20.200000000000003</v>
      </c>
      <c r="M23" s="38">
        <f>SUM(L23)+0.6</f>
        <v>20.800000000000004</v>
      </c>
      <c r="N23" s="208">
        <f>SUM(M23)+0.6</f>
        <v>21.400000000000006</v>
      </c>
    </row>
    <row r="24" spans="1:14" s="1" customFormat="1" ht="14.1" customHeight="1">
      <c r="A24" s="45"/>
      <c r="B24" s="61" t="s">
        <v>609</v>
      </c>
      <c r="C24" s="61"/>
      <c r="D24" s="42"/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56" t="s">
        <v>73</v>
      </c>
      <c r="C25" s="57"/>
      <c r="D25" s="59" t="s">
        <v>159</v>
      </c>
      <c r="E25" s="59"/>
      <c r="F25" s="59"/>
      <c r="G25" s="59"/>
      <c r="H25" s="52">
        <f>SUM(I25)-0.2</f>
        <v>4.5999999999999996</v>
      </c>
      <c r="I25" s="52">
        <f>SUM(J25)-0.2</f>
        <v>4.8</v>
      </c>
      <c r="J25" s="37">
        <v>5</v>
      </c>
      <c r="K25" s="38">
        <f>SUM(J25)+0.2</f>
        <v>5.2</v>
      </c>
      <c r="L25" s="38">
        <f>SUM(K25)+0.2</f>
        <v>5.4</v>
      </c>
      <c r="M25" s="38">
        <f>SUM(L25)+0.2</f>
        <v>5.6000000000000005</v>
      </c>
      <c r="N25" s="208">
        <f>SUM(M25)+0.2</f>
        <v>5.8000000000000007</v>
      </c>
    </row>
    <row r="26" spans="1:14" s="1" customFormat="1" ht="14.1" customHeight="1">
      <c r="A26" s="45"/>
      <c r="B26" s="61" t="s">
        <v>34</v>
      </c>
      <c r="C26" s="61"/>
      <c r="D26" s="42" t="s">
        <v>160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4" s="1" customFormat="1" ht="14.1" customHeight="1">
      <c r="A27" s="45">
        <v>13</v>
      </c>
      <c r="B27" s="47" t="s">
        <v>610</v>
      </c>
      <c r="C27" s="48"/>
      <c r="D27" s="75" t="s">
        <v>611</v>
      </c>
      <c r="E27" s="62"/>
      <c r="F27" s="62"/>
      <c r="G27" s="76"/>
      <c r="H27" s="52">
        <f>SUM(I27)-0.2</f>
        <v>4.5999999999999996</v>
      </c>
      <c r="I27" s="52">
        <f>SUM(J27)-0.2</f>
        <v>4.8</v>
      </c>
      <c r="J27" s="54">
        <v>5</v>
      </c>
      <c r="K27" s="52">
        <f>SUM(J27)+0.2</f>
        <v>5.2</v>
      </c>
      <c r="L27" s="52">
        <f>SUM(K27)+0.2</f>
        <v>5.4</v>
      </c>
      <c r="M27" s="52">
        <f>SUM(L27)+0.2</f>
        <v>5.6000000000000005</v>
      </c>
      <c r="N27" s="205">
        <f>SUM(M27)+0.2</f>
        <v>5.8000000000000007</v>
      </c>
    </row>
    <row r="28" spans="1:14" s="1" customFormat="1" ht="14.1" customHeight="1">
      <c r="A28" s="45"/>
      <c r="B28" s="40" t="s">
        <v>612</v>
      </c>
      <c r="C28" s="41"/>
      <c r="D28" s="42" t="s">
        <v>613</v>
      </c>
      <c r="E28" s="43"/>
      <c r="F28" s="43"/>
      <c r="G28" s="44"/>
      <c r="H28" s="79"/>
      <c r="I28" s="79"/>
      <c r="J28" s="83"/>
      <c r="K28" s="79"/>
      <c r="L28" s="79"/>
      <c r="M28" s="79"/>
      <c r="N28" s="207"/>
    </row>
    <row r="29" spans="1:14" s="1" customFormat="1" ht="14.1" customHeight="1">
      <c r="A29" s="45">
        <v>14</v>
      </c>
      <c r="B29" s="47" t="s">
        <v>614</v>
      </c>
      <c r="C29" s="48"/>
      <c r="D29" s="75"/>
      <c r="E29" s="62"/>
      <c r="F29" s="62"/>
      <c r="G29" s="76"/>
      <c r="H29" s="52">
        <f>SUM(I29)-0.6</f>
        <v>9.8000000000000007</v>
      </c>
      <c r="I29" s="52">
        <f>SUM(J29)-0.6</f>
        <v>10.4</v>
      </c>
      <c r="J29" s="37">
        <v>11</v>
      </c>
      <c r="K29" s="38">
        <f>SUM(J29)+0.6</f>
        <v>11.6</v>
      </c>
      <c r="L29" s="38">
        <f>SUM(K29)+0.6</f>
        <v>12.2</v>
      </c>
      <c r="M29" s="38">
        <f>SUM(L29)+0.6</f>
        <v>12.799999999999999</v>
      </c>
      <c r="N29" s="208">
        <f>SUM(M29)+0.6</f>
        <v>13.399999999999999</v>
      </c>
    </row>
    <row r="30" spans="1:14" s="1" customFormat="1" ht="14.1" customHeight="1">
      <c r="A30" s="45"/>
      <c r="B30" s="40" t="s">
        <v>200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4" s="1" customFormat="1" ht="14.1" customHeight="1">
      <c r="A31" s="45">
        <v>15</v>
      </c>
      <c r="B31" s="56" t="s">
        <v>556</v>
      </c>
      <c r="C31" s="57"/>
      <c r="D31" s="183" t="s">
        <v>272</v>
      </c>
      <c r="E31" s="184"/>
      <c r="F31" s="184"/>
      <c r="G31" s="185"/>
      <c r="H31" s="52">
        <f>SUM(I31)-0.2</f>
        <v>4.5999999999999996</v>
      </c>
      <c r="I31" s="52">
        <f>SUM(J31)-0.2</f>
        <v>4.8</v>
      </c>
      <c r="J31" s="37">
        <v>5</v>
      </c>
      <c r="K31" s="38">
        <f>SUM(J31)+0.2</f>
        <v>5.2</v>
      </c>
      <c r="L31" s="38">
        <f t="shared" ref="L31:N31" si="0">SUM(K31)+0.2</f>
        <v>5.4</v>
      </c>
      <c r="M31" s="38">
        <f t="shared" si="0"/>
        <v>5.6000000000000005</v>
      </c>
      <c r="N31" s="63">
        <f t="shared" si="0"/>
        <v>5.8000000000000007</v>
      </c>
    </row>
    <row r="32" spans="1:14" s="1" customFormat="1" ht="14.1" customHeight="1">
      <c r="A32" s="45"/>
      <c r="B32" s="40" t="s">
        <v>557</v>
      </c>
      <c r="C32" s="41"/>
      <c r="D32" s="42" t="s">
        <v>273</v>
      </c>
      <c r="E32" s="43"/>
      <c r="F32" s="43"/>
      <c r="G32" s="44"/>
      <c r="H32" s="79"/>
      <c r="I32" s="79"/>
      <c r="J32" s="37"/>
      <c r="K32" s="38"/>
      <c r="L32" s="38"/>
      <c r="M32" s="38"/>
      <c r="N32" s="63"/>
    </row>
    <row r="33" spans="1:14" s="1" customFormat="1" ht="14.1" customHeight="1">
      <c r="A33" s="45">
        <v>16</v>
      </c>
      <c r="B33" s="47" t="s">
        <v>560</v>
      </c>
      <c r="C33" s="48"/>
      <c r="D33" s="49" t="s">
        <v>253</v>
      </c>
      <c r="E33" s="50"/>
      <c r="F33" s="50"/>
      <c r="G33" s="51"/>
      <c r="H33" s="52">
        <f>SUM(I33)-0.3</f>
        <v>4.2</v>
      </c>
      <c r="I33" s="52">
        <f>SUM(J33)-0.3</f>
        <v>4.5</v>
      </c>
      <c r="J33" s="37">
        <v>4.8</v>
      </c>
      <c r="K33" s="38">
        <f>SUM(J33)+0.3</f>
        <v>5.0999999999999996</v>
      </c>
      <c r="L33" s="38">
        <f t="shared" ref="L33:N33" si="1">SUM(K33)+0.3</f>
        <v>5.3999999999999995</v>
      </c>
      <c r="M33" s="38">
        <f t="shared" si="1"/>
        <v>5.6999999999999993</v>
      </c>
      <c r="N33" s="63">
        <f t="shared" si="1"/>
        <v>5.9999999999999991</v>
      </c>
    </row>
    <row r="34" spans="1:14" s="1" customFormat="1" ht="14.1" customHeight="1">
      <c r="A34" s="45"/>
      <c r="B34" s="40" t="s">
        <v>561</v>
      </c>
      <c r="C34" s="41"/>
      <c r="D34" s="42" t="s">
        <v>615</v>
      </c>
      <c r="E34" s="43"/>
      <c r="F34" s="43"/>
      <c r="G34" s="44"/>
      <c r="H34" s="79"/>
      <c r="I34" s="79"/>
      <c r="J34" s="37"/>
      <c r="K34" s="38"/>
      <c r="L34" s="38"/>
      <c r="M34" s="38"/>
      <c r="N34" s="63"/>
    </row>
    <row r="35" spans="1:14" s="1" customFormat="1" ht="14.1" customHeight="1">
      <c r="A35" s="45">
        <v>17</v>
      </c>
      <c r="B35" s="81" t="s">
        <v>616</v>
      </c>
      <c r="C35" s="81"/>
      <c r="D35" s="78"/>
      <c r="E35" s="78"/>
      <c r="F35" s="78"/>
      <c r="G35" s="78"/>
      <c r="H35" s="52">
        <v>39.5</v>
      </c>
      <c r="I35" s="52">
        <v>43</v>
      </c>
      <c r="J35" s="37">
        <v>46</v>
      </c>
      <c r="K35" s="38">
        <v>49</v>
      </c>
      <c r="L35" s="38">
        <v>52</v>
      </c>
      <c r="M35" s="38">
        <v>55</v>
      </c>
      <c r="N35" s="208">
        <v>58</v>
      </c>
    </row>
    <row r="36" spans="1:14" s="1" customFormat="1" ht="14.1" customHeight="1">
      <c r="A36" s="45"/>
      <c r="B36" s="79" t="s">
        <v>617</v>
      </c>
      <c r="C36" s="79"/>
      <c r="D36" s="42" t="s">
        <v>618</v>
      </c>
      <c r="E36" s="43"/>
      <c r="F36" s="43"/>
      <c r="G36" s="44"/>
      <c r="H36" s="79"/>
      <c r="I36" s="79"/>
      <c r="J36" s="37"/>
      <c r="K36" s="38"/>
      <c r="L36" s="38"/>
      <c r="M36" s="38"/>
      <c r="N36" s="208"/>
    </row>
    <row r="37" spans="1:14" s="1" customFormat="1" ht="14.1" customHeight="1">
      <c r="A37" s="45">
        <v>18</v>
      </c>
      <c r="B37" s="56" t="s">
        <v>619</v>
      </c>
      <c r="C37" s="57"/>
      <c r="D37" s="58"/>
      <c r="E37" s="59"/>
      <c r="F37" s="59"/>
      <c r="G37" s="60"/>
      <c r="H37" s="52">
        <f>SUM(I37)-4.5</f>
        <v>84</v>
      </c>
      <c r="I37" s="52">
        <f>SUM(J37)-4.5</f>
        <v>88.5</v>
      </c>
      <c r="J37" s="37">
        <v>93</v>
      </c>
      <c r="K37" s="38">
        <f>SUM(J37)+4.1</f>
        <v>97.1</v>
      </c>
      <c r="L37" s="38">
        <f>SUM(K37)+4.1</f>
        <v>101.19999999999999</v>
      </c>
      <c r="M37" s="38">
        <f>SUM(L37)+4.1</f>
        <v>105.29999999999998</v>
      </c>
      <c r="N37" s="63">
        <f>SUM(M37)+4.1</f>
        <v>109.39999999999998</v>
      </c>
    </row>
    <row r="38" spans="1:14" s="1" customFormat="1" ht="14.1" customHeight="1" thickBot="1">
      <c r="A38" s="74"/>
      <c r="B38" s="178" t="s">
        <v>620</v>
      </c>
      <c r="C38" s="179"/>
      <c r="D38" s="180"/>
      <c r="E38" s="181"/>
      <c r="F38" s="181"/>
      <c r="G38" s="182"/>
      <c r="H38" s="77"/>
      <c r="I38" s="77"/>
      <c r="J38" s="66"/>
      <c r="K38" s="67"/>
      <c r="L38" s="67"/>
      <c r="M38" s="67"/>
      <c r="N38" s="68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A0E7-4026-4DDD-96D9-0F0EF7DA1A4D}">
  <sheetPr>
    <tabColor theme="8"/>
    <pageSetUpPr fitToPage="1"/>
  </sheetPr>
  <dimension ref="A1:M51"/>
  <sheetViews>
    <sheetView zoomScale="110" zoomScaleNormal="110" workbookViewId="0">
      <selection activeCell="O25" sqref="O2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636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215">
        <f>SUM(I3)-3.5</f>
        <v>37</v>
      </c>
      <c r="I3" s="215">
        <f>SUM(J3)-3.5</f>
        <v>40.5</v>
      </c>
      <c r="J3" s="193">
        <v>44</v>
      </c>
      <c r="K3" s="115">
        <f>SUM(J3)+3</f>
        <v>47</v>
      </c>
      <c r="L3" s="115">
        <f>SUM(K3)+3</f>
        <v>50</v>
      </c>
      <c r="M3" s="145">
        <f>SUM(L3)+3</f>
        <v>53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216"/>
      <c r="I4" s="216"/>
      <c r="J4" s="54"/>
      <c r="K4" s="79"/>
      <c r="L4" s="79"/>
      <c r="M4" s="146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215">
        <f>SUM(I5)-2</f>
        <v>34</v>
      </c>
      <c r="I5" s="215">
        <f>SUM(J5)-2</f>
        <v>36</v>
      </c>
      <c r="J5" s="54">
        <v>38</v>
      </c>
      <c r="K5" s="52">
        <f>SUM(J5)+2</f>
        <v>40</v>
      </c>
      <c r="L5" s="52">
        <f>SUM(K5)+2</f>
        <v>42</v>
      </c>
      <c r="M5" s="147">
        <f>SUM(L5)+2</f>
        <v>44</v>
      </c>
    </row>
    <row r="6" spans="1:13" s="1" customFormat="1" ht="14.1" customHeight="1">
      <c r="A6" s="45"/>
      <c r="B6" s="61" t="s">
        <v>24</v>
      </c>
      <c r="C6" s="61"/>
      <c r="D6" s="42" t="s">
        <v>255</v>
      </c>
      <c r="E6" s="43"/>
      <c r="F6" s="43"/>
      <c r="G6" s="44"/>
      <c r="H6" s="216"/>
      <c r="I6" s="216"/>
      <c r="J6" s="83"/>
      <c r="K6" s="79"/>
      <c r="L6" s="79"/>
      <c r="M6" s="146"/>
    </row>
    <row r="7" spans="1:13" s="1" customFormat="1" ht="14.1" customHeight="1">
      <c r="A7" s="45">
        <v>3</v>
      </c>
      <c r="B7" s="81" t="s">
        <v>35</v>
      </c>
      <c r="C7" s="81"/>
      <c r="D7" s="78" t="s">
        <v>242</v>
      </c>
      <c r="E7" s="78"/>
      <c r="F7" s="78"/>
      <c r="G7" s="78"/>
      <c r="H7" s="215">
        <f>SUM(I7)-2</f>
        <v>37</v>
      </c>
      <c r="I7" s="215">
        <f>SUM(J7)-2</f>
        <v>39</v>
      </c>
      <c r="J7" s="54">
        <v>41</v>
      </c>
      <c r="K7" s="52">
        <f>SUM(J7)+2</f>
        <v>43</v>
      </c>
      <c r="L7" s="52">
        <f>SUM(K7)+2</f>
        <v>45</v>
      </c>
      <c r="M7" s="147">
        <f>SUM(L7)+2</f>
        <v>47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216"/>
      <c r="I8" s="216"/>
      <c r="J8" s="83"/>
      <c r="K8" s="79"/>
      <c r="L8" s="79"/>
      <c r="M8" s="146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215">
        <f>SUM(I9)-1.8</f>
        <v>32.400000000000006</v>
      </c>
      <c r="I9" s="215">
        <f>SUM(J9)-1.8</f>
        <v>34.200000000000003</v>
      </c>
      <c r="J9" s="54">
        <v>36</v>
      </c>
      <c r="K9" s="52">
        <f>SUM(J9)+1.8</f>
        <v>37.799999999999997</v>
      </c>
      <c r="L9" s="52">
        <f>SUM(K9)+1.8</f>
        <v>39.599999999999994</v>
      </c>
      <c r="M9" s="147">
        <f>SUM(L9)+1.8</f>
        <v>41.399999999999991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216"/>
      <c r="I10" s="216"/>
      <c r="J10" s="83"/>
      <c r="K10" s="79"/>
      <c r="L10" s="79"/>
      <c r="M10" s="146"/>
    </row>
    <row r="11" spans="1:13" s="1" customFormat="1" ht="14.1" customHeight="1">
      <c r="A11" s="45">
        <v>5</v>
      </c>
      <c r="B11" s="81" t="s">
        <v>243</v>
      </c>
      <c r="C11" s="81"/>
      <c r="D11" s="78"/>
      <c r="E11" s="78"/>
      <c r="F11" s="78"/>
      <c r="G11" s="78"/>
      <c r="H11" s="215">
        <f>SUM(I11)</f>
        <v>5</v>
      </c>
      <c r="I11" s="215">
        <f>SUM(J11)</f>
        <v>5</v>
      </c>
      <c r="J11" s="54">
        <v>5</v>
      </c>
      <c r="K11" s="52">
        <f>SUM(J11)+0.5</f>
        <v>5.5</v>
      </c>
      <c r="L11" s="52">
        <f>SUM(K11)</f>
        <v>5.5</v>
      </c>
      <c r="M11" s="147">
        <f>SUM(L11)</f>
        <v>5.5</v>
      </c>
    </row>
    <row r="12" spans="1:13" s="1" customFormat="1" ht="14.1" customHeight="1">
      <c r="A12" s="45"/>
      <c r="B12" s="61" t="s">
        <v>244</v>
      </c>
      <c r="C12" s="61"/>
      <c r="D12" s="42"/>
      <c r="E12" s="43"/>
      <c r="F12" s="43"/>
      <c r="G12" s="44"/>
      <c r="H12" s="216"/>
      <c r="I12" s="216"/>
      <c r="J12" s="83"/>
      <c r="K12" s="79"/>
      <c r="L12" s="79"/>
      <c r="M12" s="146"/>
    </row>
    <row r="13" spans="1:13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215">
        <f>SUM(I13)-0.8</f>
        <v>16.399999999999999</v>
      </c>
      <c r="I13" s="215">
        <f>SUM(J13)-0.8</f>
        <v>17.2</v>
      </c>
      <c r="J13" s="37">
        <v>18</v>
      </c>
      <c r="K13" s="52">
        <f>SUM(J13)+0.8</f>
        <v>18.8</v>
      </c>
      <c r="L13" s="52">
        <f>SUM(K13)+0.8</f>
        <v>19.600000000000001</v>
      </c>
      <c r="M13" s="147">
        <f>SUM(L13)+0.8</f>
        <v>20.400000000000002</v>
      </c>
    </row>
    <row r="14" spans="1:13" s="1" customFormat="1" ht="14.1" customHeight="1">
      <c r="A14" s="45"/>
      <c r="B14" s="61" t="s">
        <v>26</v>
      </c>
      <c r="C14" s="61"/>
      <c r="D14" s="42" t="s">
        <v>45</v>
      </c>
      <c r="E14" s="43"/>
      <c r="F14" s="43"/>
      <c r="G14" s="44"/>
      <c r="H14" s="216"/>
      <c r="I14" s="216"/>
      <c r="J14" s="37"/>
      <c r="K14" s="79"/>
      <c r="L14" s="79"/>
      <c r="M14" s="146"/>
    </row>
    <row r="15" spans="1:13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215">
        <f>SUM(I15)-0.6</f>
        <v>15.799999999999999</v>
      </c>
      <c r="I15" s="215">
        <f>SUM(J15)-0.6</f>
        <v>16.399999999999999</v>
      </c>
      <c r="J15" s="37">
        <v>17</v>
      </c>
      <c r="K15" s="52">
        <f>SUM(J15)+0.6</f>
        <v>17.600000000000001</v>
      </c>
      <c r="L15" s="52">
        <f>SUM(K15)+0.6</f>
        <v>18.200000000000003</v>
      </c>
      <c r="M15" s="147">
        <f>SUM(L15)+0.6</f>
        <v>18.800000000000004</v>
      </c>
    </row>
    <row r="16" spans="1:13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216"/>
      <c r="I16" s="216"/>
      <c r="J16" s="37"/>
      <c r="K16" s="79"/>
      <c r="L16" s="79"/>
      <c r="M16" s="146"/>
    </row>
    <row r="17" spans="1:13" s="1" customFormat="1" ht="14.1" customHeigh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215">
        <f>SUM(I17)-0.3</f>
        <v>6.9</v>
      </c>
      <c r="I17" s="215">
        <f>SUM(J17)-0.3</f>
        <v>7.2</v>
      </c>
      <c r="J17" s="37">
        <v>7.5</v>
      </c>
      <c r="K17" s="52">
        <f>SUM(J17)+0.3</f>
        <v>7.8</v>
      </c>
      <c r="L17" s="52">
        <f>SUM(K17)+0.3</f>
        <v>8.1</v>
      </c>
      <c r="M17" s="147">
        <f>SUM(L17)+0.3</f>
        <v>8.4</v>
      </c>
    </row>
    <row r="18" spans="1:13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216"/>
      <c r="I18" s="216"/>
      <c r="J18" s="37"/>
      <c r="K18" s="79"/>
      <c r="L18" s="79"/>
      <c r="M18" s="146"/>
    </row>
    <row r="19" spans="1:13" s="1" customFormat="1" ht="14.1" customHeight="1">
      <c r="A19" s="45">
        <v>9</v>
      </c>
      <c r="B19" s="47" t="s">
        <v>245</v>
      </c>
      <c r="C19" s="48"/>
      <c r="D19" s="75"/>
      <c r="E19" s="62"/>
      <c r="F19" s="62"/>
      <c r="G19" s="76"/>
      <c r="H19" s="215">
        <f>SUM(I19)</f>
        <v>3</v>
      </c>
      <c r="I19" s="215">
        <f>SUM(J19)</f>
        <v>3</v>
      </c>
      <c r="J19" s="54">
        <v>3</v>
      </c>
      <c r="K19" s="52">
        <f>SUM(J19)</f>
        <v>3</v>
      </c>
      <c r="L19" s="52">
        <f>SUM(K19)</f>
        <v>3</v>
      </c>
      <c r="M19" s="147">
        <f>SUM(L19)</f>
        <v>3</v>
      </c>
    </row>
    <row r="20" spans="1:13" s="1" customFormat="1" ht="14.1" customHeight="1">
      <c r="A20" s="45"/>
      <c r="B20" s="61" t="s">
        <v>246</v>
      </c>
      <c r="C20" s="61"/>
      <c r="D20" s="42"/>
      <c r="E20" s="43"/>
      <c r="F20" s="43"/>
      <c r="G20" s="44"/>
      <c r="H20" s="216"/>
      <c r="I20" s="216"/>
      <c r="J20" s="83"/>
      <c r="K20" s="79"/>
      <c r="L20" s="79"/>
      <c r="M20" s="146"/>
    </row>
    <row r="21" spans="1:13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217"/>
      <c r="I21" s="217"/>
      <c r="J21" s="83"/>
      <c r="K21" s="53"/>
      <c r="L21" s="53"/>
      <c r="M21" s="148"/>
    </row>
    <row r="22" spans="1:13" s="1" customFormat="1" ht="14.1" customHeight="1">
      <c r="A22" s="45"/>
      <c r="B22" s="61" t="s">
        <v>33</v>
      </c>
      <c r="C22" s="61"/>
      <c r="D22" s="42" t="s">
        <v>247</v>
      </c>
      <c r="E22" s="43"/>
      <c r="F22" s="43"/>
      <c r="G22" s="44"/>
      <c r="H22" s="216"/>
      <c r="I22" s="216"/>
      <c r="J22" s="37"/>
      <c r="K22" s="79"/>
      <c r="L22" s="79"/>
      <c r="M22" s="146"/>
    </row>
    <row r="23" spans="1:13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215">
        <f>SUM(I23)-3.5</f>
        <v>28</v>
      </c>
      <c r="I23" s="215">
        <f>SUM(J23)-3.5</f>
        <v>31.5</v>
      </c>
      <c r="J23" s="54">
        <v>35</v>
      </c>
      <c r="K23" s="52">
        <f>SUM(J23)+3.5</f>
        <v>38.5</v>
      </c>
      <c r="L23" s="52">
        <f>SUM(K23)+3.5</f>
        <v>42</v>
      </c>
      <c r="M23" s="147">
        <f>SUM(L23)+3.5</f>
        <v>45.5</v>
      </c>
    </row>
    <row r="24" spans="1:13" s="1" customFormat="1" ht="14.1" customHeight="1">
      <c r="A24" s="45"/>
      <c r="B24" s="61" t="s">
        <v>256</v>
      </c>
      <c r="C24" s="61"/>
      <c r="D24" s="42" t="s">
        <v>47</v>
      </c>
      <c r="E24" s="43"/>
      <c r="F24" s="43"/>
      <c r="G24" s="44"/>
      <c r="H24" s="216"/>
      <c r="I24" s="216"/>
      <c r="J24" s="83"/>
      <c r="K24" s="79"/>
      <c r="L24" s="79"/>
      <c r="M24" s="146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215">
        <f>SUM(I25)-1.4</f>
        <v>29.200000000000003</v>
      </c>
      <c r="I25" s="215">
        <f>SUM(J25)-1.4</f>
        <v>30.6</v>
      </c>
      <c r="J25" s="54">
        <v>32</v>
      </c>
      <c r="K25" s="52">
        <f>SUM(J25)+1.4</f>
        <v>33.4</v>
      </c>
      <c r="L25" s="52">
        <f>SUM(K25)+1.4</f>
        <v>34.799999999999997</v>
      </c>
      <c r="M25" s="147">
        <f>SUM(L25)+1.4</f>
        <v>36.199999999999996</v>
      </c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216"/>
      <c r="I26" s="216"/>
      <c r="J26" s="83"/>
      <c r="K26" s="79"/>
      <c r="L26" s="79"/>
      <c r="M26" s="146"/>
    </row>
    <row r="27" spans="1:13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215">
        <f>SUM(I27)-0.6</f>
        <v>14.8</v>
      </c>
      <c r="I27" s="215">
        <f>SUM(J27)-0.6</f>
        <v>15.4</v>
      </c>
      <c r="J27" s="54">
        <v>16</v>
      </c>
      <c r="K27" s="52">
        <f>SUM(J27)+0.6</f>
        <v>16.600000000000001</v>
      </c>
      <c r="L27" s="52">
        <f>SUM(K27)+0.6</f>
        <v>17.200000000000003</v>
      </c>
      <c r="M27" s="147">
        <f>SUM(L27)+0.6</f>
        <v>17.800000000000004</v>
      </c>
    </row>
    <row r="28" spans="1:13" s="1" customFormat="1" ht="14.1" customHeight="1">
      <c r="A28" s="46"/>
      <c r="B28" s="65" t="s">
        <v>31</v>
      </c>
      <c r="C28" s="65"/>
      <c r="D28" s="58" t="s">
        <v>67</v>
      </c>
      <c r="E28" s="59"/>
      <c r="F28" s="59"/>
      <c r="G28" s="60"/>
      <c r="H28" s="216"/>
      <c r="I28" s="216"/>
      <c r="J28" s="83"/>
      <c r="K28" s="79"/>
      <c r="L28" s="79"/>
      <c r="M28" s="146"/>
    </row>
    <row r="29" spans="1:13" ht="14.1" customHeight="1">
      <c r="A29" s="45">
        <v>14</v>
      </c>
      <c r="B29" s="47" t="s">
        <v>248</v>
      </c>
      <c r="C29" s="48"/>
      <c r="D29" s="75"/>
      <c r="E29" s="62"/>
      <c r="F29" s="62"/>
      <c r="G29" s="76"/>
      <c r="H29" s="215">
        <f>SUM(I29)</f>
        <v>4</v>
      </c>
      <c r="I29" s="215">
        <f>SUM(J29)</f>
        <v>4</v>
      </c>
      <c r="J29" s="54">
        <v>4</v>
      </c>
      <c r="K29" s="52">
        <f>SUM(J29)+0.5</f>
        <v>4.5</v>
      </c>
      <c r="L29" s="52">
        <f>SUM(K29)</f>
        <v>4.5</v>
      </c>
      <c r="M29" s="147">
        <f>SUM(L29)</f>
        <v>4.5</v>
      </c>
    </row>
    <row r="30" spans="1:13" ht="14.1" customHeight="1">
      <c r="A30" s="46"/>
      <c r="B30" s="40" t="s">
        <v>249</v>
      </c>
      <c r="C30" s="41"/>
      <c r="D30" s="42"/>
      <c r="E30" s="43"/>
      <c r="F30" s="43"/>
      <c r="G30" s="44"/>
      <c r="H30" s="216"/>
      <c r="I30" s="216"/>
      <c r="J30" s="83"/>
      <c r="K30" s="79"/>
      <c r="L30" s="79"/>
      <c r="M30" s="146"/>
    </row>
    <row r="31" spans="1:13" ht="14.1" customHeight="1">
      <c r="A31" s="45">
        <v>15</v>
      </c>
      <c r="B31" s="47" t="s">
        <v>250</v>
      </c>
      <c r="C31" s="48"/>
      <c r="D31" s="78"/>
      <c r="E31" s="78"/>
      <c r="F31" s="78"/>
      <c r="G31" s="78"/>
      <c r="H31" s="215">
        <f>SUM(I31)</f>
        <v>3</v>
      </c>
      <c r="I31" s="215">
        <f>SUM(J31)</f>
        <v>3</v>
      </c>
      <c r="J31" s="54">
        <v>3</v>
      </c>
      <c r="K31" s="52">
        <f>SUM(J31)</f>
        <v>3</v>
      </c>
      <c r="L31" s="52">
        <f>SUM(K31)</f>
        <v>3</v>
      </c>
      <c r="M31" s="147">
        <f>SUM(L31)</f>
        <v>3</v>
      </c>
    </row>
    <row r="32" spans="1:13" ht="14.1" customHeight="1">
      <c r="A32" s="45"/>
      <c r="B32" s="40" t="s">
        <v>251</v>
      </c>
      <c r="C32" s="41"/>
      <c r="D32" s="42"/>
      <c r="E32" s="43"/>
      <c r="F32" s="43"/>
      <c r="G32" s="44"/>
      <c r="H32" s="216"/>
      <c r="I32" s="216"/>
      <c r="J32" s="83"/>
      <c r="K32" s="79"/>
      <c r="L32" s="79"/>
      <c r="M32" s="146"/>
    </row>
    <row r="33" spans="1:13" ht="14.1" customHeight="1">
      <c r="A33" s="45">
        <v>16</v>
      </c>
      <c r="B33" s="47"/>
      <c r="C33" s="48"/>
      <c r="D33" s="49"/>
      <c r="E33" s="50"/>
      <c r="F33" s="50"/>
      <c r="G33" s="51"/>
      <c r="H33" s="215"/>
      <c r="I33" s="215"/>
      <c r="J33" s="37"/>
      <c r="K33" s="38"/>
      <c r="L33" s="38"/>
      <c r="M33" s="174"/>
    </row>
    <row r="34" spans="1:13" ht="14.1" customHeight="1">
      <c r="A34" s="46"/>
      <c r="B34" s="40"/>
      <c r="C34" s="41"/>
      <c r="D34" s="42"/>
      <c r="E34" s="43"/>
      <c r="F34" s="43"/>
      <c r="G34" s="44"/>
      <c r="H34" s="217"/>
      <c r="I34" s="217"/>
      <c r="J34" s="54"/>
      <c r="K34" s="52"/>
      <c r="L34" s="52"/>
      <c r="M34" s="147"/>
    </row>
    <row r="35" spans="1:13" ht="14.1" customHeight="1">
      <c r="A35" s="45">
        <v>17</v>
      </c>
      <c r="B35" s="47"/>
      <c r="C35" s="48"/>
      <c r="D35" s="49"/>
      <c r="E35" s="50"/>
      <c r="F35" s="50"/>
      <c r="G35" s="51"/>
      <c r="H35" s="215"/>
      <c r="I35" s="215"/>
      <c r="J35" s="37"/>
      <c r="K35" s="38"/>
      <c r="L35" s="38"/>
      <c r="M35" s="174"/>
    </row>
    <row r="36" spans="1:13" ht="14.1" customHeight="1">
      <c r="A36" s="45"/>
      <c r="B36" s="40"/>
      <c r="C36" s="41"/>
      <c r="D36" s="42"/>
      <c r="E36" s="43"/>
      <c r="F36" s="43"/>
      <c r="G36" s="44"/>
      <c r="H36" s="216"/>
      <c r="I36" s="216"/>
      <c r="J36" s="37"/>
      <c r="K36" s="38"/>
      <c r="L36" s="38"/>
      <c r="M36" s="174"/>
    </row>
    <row r="37" spans="1:13" ht="14.1" customHeight="1">
      <c r="A37" s="109">
        <v>18</v>
      </c>
      <c r="B37" s="65"/>
      <c r="C37" s="65"/>
      <c r="D37" s="189"/>
      <c r="E37" s="189"/>
      <c r="F37" s="189"/>
      <c r="G37" s="189"/>
      <c r="H37" s="217"/>
      <c r="I37" s="217"/>
      <c r="J37" s="134"/>
      <c r="K37" s="53"/>
      <c r="L37" s="53"/>
      <c r="M37" s="148"/>
    </row>
    <row r="38" spans="1:13" ht="14.1" customHeight="1" thickBot="1">
      <c r="A38" s="74"/>
      <c r="B38" s="190"/>
      <c r="C38" s="190"/>
      <c r="D38" s="180"/>
      <c r="E38" s="181"/>
      <c r="F38" s="181"/>
      <c r="G38" s="182"/>
      <c r="H38" s="218"/>
      <c r="I38" s="218"/>
      <c r="J38" s="144"/>
      <c r="K38" s="77"/>
      <c r="L38" s="77"/>
      <c r="M38" s="14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C540-BBB1-480A-9E66-8289FD99BAC9}">
  <sheetPr>
    <tabColor theme="8"/>
    <pageSetUpPr fitToPage="1"/>
  </sheetPr>
  <dimension ref="A1:M51"/>
  <sheetViews>
    <sheetView zoomScale="110" zoomScaleNormal="110" workbookViewId="0">
      <selection activeCell="P12" sqref="P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637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215">
        <f>SUM(I3)-3.5</f>
        <v>36.5</v>
      </c>
      <c r="I3" s="215">
        <f>SUM(J3)-3.5</f>
        <v>40</v>
      </c>
      <c r="J3" s="193">
        <v>43.5</v>
      </c>
      <c r="K3" s="115">
        <f>SUM(J3)+3</f>
        <v>46.5</v>
      </c>
      <c r="L3" s="115">
        <f>SUM(K3)+3</f>
        <v>49.5</v>
      </c>
      <c r="M3" s="120">
        <f>SUM(L3)+3</f>
        <v>52.5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216"/>
      <c r="I4" s="216"/>
      <c r="J4" s="54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215">
        <f>SUM(I5)-2</f>
        <v>34</v>
      </c>
      <c r="I5" s="215">
        <f>SUM(J5)-2</f>
        <v>36</v>
      </c>
      <c r="J5" s="54">
        <v>38</v>
      </c>
      <c r="K5" s="52">
        <f>SUM(J5)+2</f>
        <v>40</v>
      </c>
      <c r="L5" s="52">
        <f>SUM(K5)+2</f>
        <v>42</v>
      </c>
      <c r="M5" s="64">
        <f>SUM(L5)+2</f>
        <v>44</v>
      </c>
    </row>
    <row r="6" spans="1:13" s="1" customFormat="1" ht="14.1" customHeight="1">
      <c r="A6" s="45"/>
      <c r="B6" s="61" t="s">
        <v>24</v>
      </c>
      <c r="C6" s="61"/>
      <c r="D6" s="42" t="s">
        <v>255</v>
      </c>
      <c r="E6" s="43"/>
      <c r="F6" s="43"/>
      <c r="G6" s="44"/>
      <c r="H6" s="216"/>
      <c r="I6" s="216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242</v>
      </c>
      <c r="E7" s="78"/>
      <c r="F7" s="78"/>
      <c r="G7" s="78"/>
      <c r="H7" s="215">
        <f>SUM(I7)-2</f>
        <v>37</v>
      </c>
      <c r="I7" s="215">
        <f>SUM(J7)-2</f>
        <v>39</v>
      </c>
      <c r="J7" s="54">
        <v>41</v>
      </c>
      <c r="K7" s="52">
        <f>SUM(J7)+2</f>
        <v>43</v>
      </c>
      <c r="L7" s="52">
        <f>SUM(K7)+2</f>
        <v>45</v>
      </c>
      <c r="M7" s="64">
        <f>SUM(L7)+2</f>
        <v>47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216"/>
      <c r="I8" s="216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215">
        <f>SUM(I9)-1.8</f>
        <v>31.400000000000002</v>
      </c>
      <c r="I9" s="215">
        <f>SUM(J9)-1.8</f>
        <v>33.200000000000003</v>
      </c>
      <c r="J9" s="54">
        <v>35</v>
      </c>
      <c r="K9" s="52">
        <f>SUM(J9)+1.8</f>
        <v>36.799999999999997</v>
      </c>
      <c r="L9" s="52">
        <f>SUM(K9)+1.8</f>
        <v>38.599999999999994</v>
      </c>
      <c r="M9" s="64">
        <f>SUM(L9)+1.8</f>
        <v>40.399999999999991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216"/>
      <c r="I10" s="216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243</v>
      </c>
      <c r="C11" s="81"/>
      <c r="D11" s="78"/>
      <c r="E11" s="78"/>
      <c r="F11" s="78"/>
      <c r="G11" s="78"/>
      <c r="H11" s="215">
        <f>SUM(I11)</f>
        <v>3</v>
      </c>
      <c r="I11" s="215">
        <f>SUM(J11)</f>
        <v>3</v>
      </c>
      <c r="J11" s="54">
        <v>3</v>
      </c>
      <c r="K11" s="52">
        <f>SUM(J11)+0.5</f>
        <v>3.5</v>
      </c>
      <c r="L11" s="52">
        <f>SUM(K11)</f>
        <v>3.5</v>
      </c>
      <c r="M11" s="64">
        <f>SUM(L11)</f>
        <v>3.5</v>
      </c>
    </row>
    <row r="12" spans="1:13" s="1" customFormat="1" ht="14.1" customHeight="1">
      <c r="A12" s="45"/>
      <c r="B12" s="61" t="s">
        <v>244</v>
      </c>
      <c r="C12" s="61"/>
      <c r="D12" s="42"/>
      <c r="E12" s="43"/>
      <c r="F12" s="43"/>
      <c r="G12" s="44"/>
      <c r="H12" s="216"/>
      <c r="I12" s="216"/>
      <c r="J12" s="83"/>
      <c r="K12" s="79"/>
      <c r="L12" s="79"/>
      <c r="M12" s="80"/>
    </row>
    <row r="13" spans="1:13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215">
        <f>SUM(I13)-0.8</f>
        <v>16.399999999999999</v>
      </c>
      <c r="I13" s="215">
        <f>SUM(J13)-0.8</f>
        <v>17.2</v>
      </c>
      <c r="J13" s="37">
        <v>18</v>
      </c>
      <c r="K13" s="52">
        <f>SUM(J13)+0.8</f>
        <v>18.8</v>
      </c>
      <c r="L13" s="52">
        <f>SUM(K13)+0.8</f>
        <v>19.600000000000001</v>
      </c>
      <c r="M13" s="64">
        <f>SUM(L13)+0.8</f>
        <v>20.400000000000002</v>
      </c>
    </row>
    <row r="14" spans="1:13" s="1" customFormat="1" ht="14.1" customHeight="1">
      <c r="A14" s="45"/>
      <c r="B14" s="61" t="s">
        <v>26</v>
      </c>
      <c r="C14" s="61"/>
      <c r="D14" s="42" t="s">
        <v>45</v>
      </c>
      <c r="E14" s="43"/>
      <c r="F14" s="43"/>
      <c r="G14" s="44"/>
      <c r="H14" s="216"/>
      <c r="I14" s="216"/>
      <c r="J14" s="37"/>
      <c r="K14" s="79"/>
      <c r="L14" s="79"/>
      <c r="M14" s="80"/>
    </row>
    <row r="15" spans="1:13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215">
        <f>SUM(I15)-0.6</f>
        <v>15.799999999999999</v>
      </c>
      <c r="I15" s="215">
        <f>SUM(J15)-0.6</f>
        <v>16.399999999999999</v>
      </c>
      <c r="J15" s="37">
        <v>17</v>
      </c>
      <c r="K15" s="52">
        <f>SUM(J15)+0.6</f>
        <v>17.600000000000001</v>
      </c>
      <c r="L15" s="52">
        <f>SUM(K15)+0.6</f>
        <v>18.200000000000003</v>
      </c>
      <c r="M15" s="64">
        <f>SUM(L15)+0.6</f>
        <v>18.800000000000004</v>
      </c>
    </row>
    <row r="16" spans="1:13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216"/>
      <c r="I16" s="216"/>
      <c r="J16" s="37"/>
      <c r="K16" s="79"/>
      <c r="L16" s="79"/>
      <c r="M16" s="80"/>
    </row>
    <row r="17" spans="1:13" s="1" customFormat="1" ht="14.1" customHeigh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215">
        <f>SUM(I17)-0.3</f>
        <v>6.9</v>
      </c>
      <c r="I17" s="215">
        <f>SUM(J17)-0.3</f>
        <v>7.2</v>
      </c>
      <c r="J17" s="37">
        <v>7.5</v>
      </c>
      <c r="K17" s="52">
        <f>SUM(J17)+0.3</f>
        <v>7.8</v>
      </c>
      <c r="L17" s="52">
        <f>SUM(K17)+0.3</f>
        <v>8.1</v>
      </c>
      <c r="M17" s="64">
        <f>SUM(L17)+0.3</f>
        <v>8.4</v>
      </c>
    </row>
    <row r="18" spans="1:13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216"/>
      <c r="I18" s="216"/>
      <c r="J18" s="37"/>
      <c r="K18" s="79"/>
      <c r="L18" s="79"/>
      <c r="M18" s="80"/>
    </row>
    <row r="19" spans="1:13" s="1" customFormat="1" ht="14.1" customHeight="1">
      <c r="A19" s="45">
        <v>9</v>
      </c>
      <c r="B19" s="47" t="s">
        <v>245</v>
      </c>
      <c r="C19" s="48"/>
      <c r="D19" s="75"/>
      <c r="E19" s="62"/>
      <c r="F19" s="62"/>
      <c r="G19" s="76"/>
      <c r="H19" s="215">
        <f>SUM(I19)</f>
        <v>2.2000000000000002</v>
      </c>
      <c r="I19" s="215">
        <f>SUM(J19)</f>
        <v>2.2000000000000002</v>
      </c>
      <c r="J19" s="54">
        <v>2.2000000000000002</v>
      </c>
      <c r="K19" s="52">
        <f>SUM(J19)</f>
        <v>2.2000000000000002</v>
      </c>
      <c r="L19" s="52">
        <f>SUM(K19)</f>
        <v>2.2000000000000002</v>
      </c>
      <c r="M19" s="64">
        <f>SUM(L19)</f>
        <v>2.2000000000000002</v>
      </c>
    </row>
    <row r="20" spans="1:13" s="1" customFormat="1" ht="14.1" customHeight="1">
      <c r="A20" s="45"/>
      <c r="B20" s="61" t="s">
        <v>246</v>
      </c>
      <c r="C20" s="61"/>
      <c r="D20" s="42"/>
      <c r="E20" s="43"/>
      <c r="F20" s="43"/>
      <c r="G20" s="44"/>
      <c r="H20" s="216"/>
      <c r="I20" s="216"/>
      <c r="J20" s="83"/>
      <c r="K20" s="79"/>
      <c r="L20" s="79"/>
      <c r="M20" s="80"/>
    </row>
    <row r="21" spans="1:13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217"/>
      <c r="I21" s="217"/>
      <c r="J21" s="83"/>
      <c r="K21" s="53"/>
      <c r="L21" s="53"/>
      <c r="M21" s="135"/>
    </row>
    <row r="22" spans="1:13" s="1" customFormat="1" ht="14.1" customHeight="1">
      <c r="A22" s="45"/>
      <c r="B22" s="61" t="s">
        <v>33</v>
      </c>
      <c r="C22" s="61"/>
      <c r="D22" s="42" t="s">
        <v>247</v>
      </c>
      <c r="E22" s="43"/>
      <c r="F22" s="43"/>
      <c r="G22" s="44"/>
      <c r="H22" s="216"/>
      <c r="I22" s="216"/>
      <c r="J22" s="37"/>
      <c r="K22" s="79"/>
      <c r="L22" s="79"/>
      <c r="M22" s="80"/>
    </row>
    <row r="23" spans="1:13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215">
        <f>SUM(I23)-3.5</f>
        <v>28</v>
      </c>
      <c r="I23" s="215">
        <f>SUM(J23)-3.5</f>
        <v>31.5</v>
      </c>
      <c r="J23" s="54">
        <v>35</v>
      </c>
      <c r="K23" s="52">
        <f>SUM(J23)+3.5</f>
        <v>38.5</v>
      </c>
      <c r="L23" s="52">
        <f>SUM(K23)+3.5</f>
        <v>42</v>
      </c>
      <c r="M23" s="64">
        <f>SUM(L23)+3.5</f>
        <v>45.5</v>
      </c>
    </row>
    <row r="24" spans="1:13" s="1" customFormat="1" ht="14.1" customHeight="1">
      <c r="A24" s="45"/>
      <c r="B24" s="61" t="s">
        <v>256</v>
      </c>
      <c r="C24" s="61"/>
      <c r="D24" s="42" t="s">
        <v>47</v>
      </c>
      <c r="E24" s="43"/>
      <c r="F24" s="43"/>
      <c r="G24" s="44"/>
      <c r="H24" s="216"/>
      <c r="I24" s="216"/>
      <c r="J24" s="83"/>
      <c r="K24" s="79"/>
      <c r="L24" s="79"/>
      <c r="M24" s="80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215">
        <f>SUM(I25)-1.4</f>
        <v>29.200000000000003</v>
      </c>
      <c r="I25" s="215">
        <f>SUM(J25)-1.4</f>
        <v>30.6</v>
      </c>
      <c r="J25" s="54">
        <v>32</v>
      </c>
      <c r="K25" s="52">
        <f>SUM(J25)+1.4</f>
        <v>33.4</v>
      </c>
      <c r="L25" s="52">
        <f>SUM(K25)+1.4</f>
        <v>34.799999999999997</v>
      </c>
      <c r="M25" s="64">
        <f>SUM(L25)+1.4</f>
        <v>36.199999999999996</v>
      </c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216"/>
      <c r="I26" s="216"/>
      <c r="J26" s="83"/>
      <c r="K26" s="79"/>
      <c r="L26" s="79"/>
      <c r="M26" s="80"/>
    </row>
    <row r="27" spans="1:13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215">
        <f>SUM(I27)-0.6</f>
        <v>14.8</v>
      </c>
      <c r="I27" s="215">
        <f>SUM(J27)-0.6</f>
        <v>15.4</v>
      </c>
      <c r="J27" s="54">
        <v>16</v>
      </c>
      <c r="K27" s="52">
        <f>SUM(J27)+0.6</f>
        <v>16.600000000000001</v>
      </c>
      <c r="L27" s="52">
        <f>SUM(K27)+0.6</f>
        <v>17.200000000000003</v>
      </c>
      <c r="M27" s="64">
        <f>SUM(L27)+0.6</f>
        <v>17.800000000000004</v>
      </c>
    </row>
    <row r="28" spans="1:13" s="1" customFormat="1" ht="14.1" customHeight="1">
      <c r="A28" s="46"/>
      <c r="B28" s="65" t="s">
        <v>31</v>
      </c>
      <c r="C28" s="65"/>
      <c r="D28" s="58" t="s">
        <v>67</v>
      </c>
      <c r="E28" s="59"/>
      <c r="F28" s="59"/>
      <c r="G28" s="60"/>
      <c r="H28" s="216"/>
      <c r="I28" s="216"/>
      <c r="J28" s="83"/>
      <c r="K28" s="79"/>
      <c r="L28" s="79"/>
      <c r="M28" s="80"/>
    </row>
    <row r="29" spans="1:13" ht="14.1" customHeight="1">
      <c r="A29" s="45">
        <v>14</v>
      </c>
      <c r="B29" s="47" t="s">
        <v>248</v>
      </c>
      <c r="C29" s="48"/>
      <c r="D29" s="75"/>
      <c r="E29" s="62"/>
      <c r="F29" s="62"/>
      <c r="G29" s="76"/>
      <c r="H29" s="215">
        <f>SUM(I29)</f>
        <v>2.5</v>
      </c>
      <c r="I29" s="215">
        <f>SUM(J29)</f>
        <v>2.5</v>
      </c>
      <c r="J29" s="54">
        <v>2.5</v>
      </c>
      <c r="K29" s="52">
        <f>SUM(J29)+0.5</f>
        <v>3</v>
      </c>
      <c r="L29" s="52">
        <f>SUM(K29)</f>
        <v>3</v>
      </c>
      <c r="M29" s="64">
        <f>SUM(L29)</f>
        <v>3</v>
      </c>
    </row>
    <row r="30" spans="1:13" ht="14.1" customHeight="1">
      <c r="A30" s="46"/>
      <c r="B30" s="40" t="s">
        <v>249</v>
      </c>
      <c r="C30" s="41"/>
      <c r="D30" s="42"/>
      <c r="E30" s="43"/>
      <c r="F30" s="43"/>
      <c r="G30" s="44"/>
      <c r="H30" s="216"/>
      <c r="I30" s="216"/>
      <c r="J30" s="83"/>
      <c r="K30" s="79"/>
      <c r="L30" s="79"/>
      <c r="M30" s="80"/>
    </row>
    <row r="31" spans="1:13" ht="14.1" customHeight="1">
      <c r="A31" s="45">
        <v>15</v>
      </c>
      <c r="B31" s="47" t="s">
        <v>250</v>
      </c>
      <c r="C31" s="48"/>
      <c r="D31" s="78"/>
      <c r="E31" s="78"/>
      <c r="F31" s="78"/>
      <c r="G31" s="78"/>
      <c r="H31" s="215">
        <f>SUM(I31)</f>
        <v>3</v>
      </c>
      <c r="I31" s="215">
        <f>SUM(J31)</f>
        <v>3</v>
      </c>
      <c r="J31" s="54">
        <v>3</v>
      </c>
      <c r="K31" s="52">
        <f>SUM(J31)</f>
        <v>3</v>
      </c>
      <c r="L31" s="52">
        <f>SUM(K31)</f>
        <v>3</v>
      </c>
      <c r="M31" s="64">
        <f>SUM(L31)</f>
        <v>3</v>
      </c>
    </row>
    <row r="32" spans="1:13" ht="14.1" customHeight="1">
      <c r="A32" s="45"/>
      <c r="B32" s="40" t="s">
        <v>251</v>
      </c>
      <c r="C32" s="41"/>
      <c r="D32" s="42"/>
      <c r="E32" s="43"/>
      <c r="F32" s="43"/>
      <c r="G32" s="44"/>
      <c r="H32" s="216"/>
      <c r="I32" s="216"/>
      <c r="J32" s="83"/>
      <c r="K32" s="79"/>
      <c r="L32" s="79"/>
      <c r="M32" s="80"/>
    </row>
    <row r="33" spans="1:13" ht="14.1" customHeight="1">
      <c r="A33" s="45">
        <v>16</v>
      </c>
      <c r="B33" s="47"/>
      <c r="C33" s="48"/>
      <c r="D33" s="49"/>
      <c r="E33" s="50"/>
      <c r="F33" s="50"/>
      <c r="G33" s="51"/>
      <c r="H33" s="215"/>
      <c r="I33" s="215"/>
      <c r="J33" s="37"/>
      <c r="K33" s="38"/>
      <c r="L33" s="38"/>
      <c r="M33" s="63"/>
    </row>
    <row r="34" spans="1:13" ht="14.1" customHeight="1">
      <c r="A34" s="46"/>
      <c r="B34" s="40"/>
      <c r="C34" s="41"/>
      <c r="D34" s="42"/>
      <c r="E34" s="43"/>
      <c r="F34" s="43"/>
      <c r="G34" s="44"/>
      <c r="H34" s="217"/>
      <c r="I34" s="217"/>
      <c r="J34" s="54"/>
      <c r="K34" s="52"/>
      <c r="L34" s="52"/>
      <c r="M34" s="64"/>
    </row>
    <row r="35" spans="1:13" ht="14.1" customHeight="1">
      <c r="A35" s="45">
        <v>17</v>
      </c>
      <c r="B35" s="47"/>
      <c r="C35" s="48"/>
      <c r="D35" s="49"/>
      <c r="E35" s="50"/>
      <c r="F35" s="50"/>
      <c r="G35" s="51"/>
      <c r="H35" s="215"/>
      <c r="I35" s="215"/>
      <c r="J35" s="37"/>
      <c r="K35" s="38"/>
      <c r="L35" s="38"/>
      <c r="M35" s="63"/>
    </row>
    <row r="36" spans="1:13" ht="14.1" customHeight="1">
      <c r="A36" s="45"/>
      <c r="B36" s="40"/>
      <c r="C36" s="41"/>
      <c r="D36" s="42"/>
      <c r="E36" s="43"/>
      <c r="F36" s="43"/>
      <c r="G36" s="44"/>
      <c r="H36" s="216"/>
      <c r="I36" s="216"/>
      <c r="J36" s="37"/>
      <c r="K36" s="38"/>
      <c r="L36" s="38"/>
      <c r="M36" s="63"/>
    </row>
    <row r="37" spans="1:13" ht="14.1" customHeight="1">
      <c r="A37" s="109">
        <v>18</v>
      </c>
      <c r="B37" s="65"/>
      <c r="C37" s="65"/>
      <c r="D37" s="189"/>
      <c r="E37" s="189"/>
      <c r="F37" s="189"/>
      <c r="G37" s="189"/>
      <c r="H37" s="217"/>
      <c r="I37" s="217"/>
      <c r="J37" s="134"/>
      <c r="K37" s="53"/>
      <c r="L37" s="53"/>
      <c r="M37" s="135"/>
    </row>
    <row r="38" spans="1:13" ht="14.1" customHeight="1" thickBot="1">
      <c r="A38" s="74"/>
      <c r="B38" s="190"/>
      <c r="C38" s="190"/>
      <c r="D38" s="180"/>
      <c r="E38" s="181"/>
      <c r="F38" s="181"/>
      <c r="G38" s="182"/>
      <c r="H38" s="218"/>
      <c r="I38" s="218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FEF3-F02B-4B1F-8C6F-B40A10C1B667}">
  <sheetPr>
    <tabColor theme="8"/>
    <pageSetUpPr fitToPage="1"/>
  </sheetPr>
  <dimension ref="A1:N52"/>
  <sheetViews>
    <sheetView zoomScale="110" zoomScaleNormal="110" workbookViewId="0">
      <selection activeCell="B50" sqref="B50:C5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11" t="s">
        <v>234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229">
        <f>SUM(I9)-2.2</f>
        <v>-4.4000000000000004</v>
      </c>
      <c r="I9" s="229">
        <f>SUM(J9)-2.2</f>
        <v>-2.2000000000000002</v>
      </c>
      <c r="J9" s="134"/>
      <c r="K9" s="224">
        <f>SUM(J9)+2.2</f>
        <v>2.2000000000000002</v>
      </c>
      <c r="L9" s="224">
        <f>SUM(K9)+2.2</f>
        <v>4.4000000000000004</v>
      </c>
      <c r="M9" s="224">
        <f>SUM(L9)+2.2</f>
        <v>6.6000000000000005</v>
      </c>
      <c r="N9" s="222">
        <f>SUM(M9)+2.2</f>
        <v>8.8000000000000007</v>
      </c>
    </row>
    <row r="10" spans="1:14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225"/>
      <c r="I10" s="225"/>
      <c r="J10" s="83"/>
      <c r="K10" s="225"/>
      <c r="L10" s="225"/>
      <c r="M10" s="225"/>
      <c r="N10" s="223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52">
        <f>SUM(I11)-3.5</f>
        <v>65.400000000000006</v>
      </c>
      <c r="I11" s="52">
        <f>SUM(J11)-3.5</f>
        <v>68.900000000000006</v>
      </c>
      <c r="J11" s="134">
        <v>72.400000000000006</v>
      </c>
      <c r="K11" s="52">
        <f>SUM(J11)+3.5</f>
        <v>75.900000000000006</v>
      </c>
      <c r="L11" s="52">
        <f>SUM(K11)+3.5</f>
        <v>79.400000000000006</v>
      </c>
      <c r="M11" s="52">
        <f>SUM(L11)+3.5</f>
        <v>82.9</v>
      </c>
      <c r="N11" s="205">
        <f>SUM(M11)+3.5</f>
        <v>86.4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79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122</v>
      </c>
      <c r="E13" s="62"/>
      <c r="F13" s="62"/>
      <c r="G13" s="76"/>
      <c r="H13" s="52">
        <f>SUM(I13)-4</f>
        <v>73.3</v>
      </c>
      <c r="I13" s="52">
        <f>SUM(J13)-4</f>
        <v>77.3</v>
      </c>
      <c r="J13" s="54">
        <v>81.3</v>
      </c>
      <c r="K13" s="52">
        <f>SUM(J13)+4</f>
        <v>85.3</v>
      </c>
      <c r="L13" s="52">
        <f>SUM(K13)+4</f>
        <v>89.3</v>
      </c>
      <c r="M13" s="52">
        <f>SUM(L13)+4</f>
        <v>93.3</v>
      </c>
      <c r="N13" s="205">
        <f>SUM(M13)+4</f>
        <v>97.3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79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52">
        <f>SUM(I15)-0.7</f>
        <v>13.8</v>
      </c>
      <c r="I15" s="52">
        <f>SUM(J15)-0.7</f>
        <v>14.5</v>
      </c>
      <c r="J15" s="54">
        <v>15.2</v>
      </c>
      <c r="K15" s="52">
        <f>SUM(J15)+1.2</f>
        <v>16.399999999999999</v>
      </c>
      <c r="L15" s="52">
        <f>SUM(K15)+0.7</f>
        <v>17.099999999999998</v>
      </c>
      <c r="M15" s="52">
        <f t="shared" ref="M15:N15" si="0">SUM(L15)+0.7</f>
        <v>17.799999999999997</v>
      </c>
      <c r="N15" s="205">
        <f t="shared" si="0"/>
        <v>18.499999999999996</v>
      </c>
    </row>
    <row r="16" spans="1:14" s="1" customFormat="1" ht="14.1" customHeight="1">
      <c r="A16" s="119"/>
      <c r="B16" s="121" t="s">
        <v>102</v>
      </c>
      <c r="C16" s="122"/>
      <c r="D16" s="126" t="s">
        <v>235</v>
      </c>
      <c r="E16" s="127"/>
      <c r="F16" s="127"/>
      <c r="G16" s="128"/>
      <c r="H16" s="79"/>
      <c r="I16" s="79"/>
      <c r="J16" s="83"/>
      <c r="K16" s="79"/>
      <c r="L16" s="79"/>
      <c r="M16" s="79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/>
      <c r="I17" s="52"/>
      <c r="J17" s="54"/>
      <c r="K17" s="52"/>
      <c r="L17" s="52"/>
      <c r="M17" s="81"/>
      <c r="N17" s="220"/>
    </row>
    <row r="18" spans="1:14" s="1" customFormat="1" ht="14.1" customHeight="1">
      <c r="A18" s="119"/>
      <c r="B18" s="121" t="s">
        <v>126</v>
      </c>
      <c r="C18" s="122"/>
      <c r="D18" s="126" t="s">
        <v>235</v>
      </c>
      <c r="E18" s="127"/>
      <c r="F18" s="127"/>
      <c r="G18" s="128"/>
      <c r="H18" s="61"/>
      <c r="I18" s="79"/>
      <c r="J18" s="83"/>
      <c r="K18" s="79"/>
      <c r="L18" s="79"/>
      <c r="M18" s="61"/>
      <c r="N18" s="221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/>
      <c r="I19" s="52"/>
      <c r="J19" s="54"/>
      <c r="K19" s="52"/>
      <c r="L19" s="52"/>
      <c r="M19" s="52"/>
      <c r="N19" s="205"/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54</v>
      </c>
      <c r="I21" s="52">
        <f>SUM(J21)-7</f>
        <v>61</v>
      </c>
      <c r="J21" s="54">
        <v>68</v>
      </c>
      <c r="K21" s="52">
        <f>SUM(J21)+6</f>
        <v>74</v>
      </c>
      <c r="L21" s="52">
        <f>SUM(K21)+6</f>
        <v>80</v>
      </c>
      <c r="M21" s="52">
        <f>SUM(L21)+6</f>
        <v>86</v>
      </c>
      <c r="N21" s="205">
        <f>SUM(M21)+6</f>
        <v>92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SUM(I23)-1.6</f>
        <v>31.4</v>
      </c>
      <c r="I23" s="52">
        <f>SUM(J23)-1.6</f>
        <v>33</v>
      </c>
      <c r="J23" s="54">
        <v>34.6</v>
      </c>
      <c r="K23" s="52">
        <f>SUM(J23)+1.6</f>
        <v>36.200000000000003</v>
      </c>
      <c r="L23" s="52">
        <f>SUM(K23)+1.6</f>
        <v>37.800000000000004</v>
      </c>
      <c r="M23" s="52">
        <f>SUM(L23)+1.6</f>
        <v>39.400000000000006</v>
      </c>
      <c r="N23" s="205">
        <f>SUM(M23)+1.6</f>
        <v>41.000000000000007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207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21.299999999999997</v>
      </c>
      <c r="I25" s="52">
        <f>SUM(J25)-1.1</f>
        <v>22.4</v>
      </c>
      <c r="J25" s="54">
        <v>23.5</v>
      </c>
      <c r="K25" s="52">
        <f>SUM(J25)+1.6</f>
        <v>25.1</v>
      </c>
      <c r="L25" s="52">
        <f>SUM(K25)+1.1</f>
        <v>26.200000000000003</v>
      </c>
      <c r="M25" s="81">
        <f>SUM(L25)+1.1</f>
        <v>27.300000000000004</v>
      </c>
      <c r="N25" s="220">
        <f>SUM(M25)+1.1</f>
        <v>28.400000000000006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21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28.4</v>
      </c>
      <c r="I27" s="52">
        <f>SUM(J27)-1.3</f>
        <v>29.7</v>
      </c>
      <c r="J27" s="54">
        <v>31</v>
      </c>
      <c r="K27" s="52">
        <f>SUM(J27)+1.8</f>
        <v>32.799999999999997</v>
      </c>
      <c r="L27" s="52">
        <f>SUM(K27)+1.3</f>
        <v>34.099999999999994</v>
      </c>
      <c r="M27" s="81">
        <f>SUM(L27)+1.3</f>
        <v>35.399999999999991</v>
      </c>
      <c r="N27" s="220">
        <f>SUM(M27)+1.3</f>
        <v>36.699999999999989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21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81">
        <f>SUM(I29)-2.6</f>
        <v>48.5</v>
      </c>
      <c r="I29" s="52">
        <f>SUM(J29)-2.6</f>
        <v>51.1</v>
      </c>
      <c r="J29" s="54">
        <v>53.7</v>
      </c>
      <c r="K29" s="52">
        <f>SUM(J29)+2.6</f>
        <v>56.300000000000004</v>
      </c>
      <c r="L29" s="52">
        <f>SUM(K29)+2.6</f>
        <v>58.900000000000006</v>
      </c>
      <c r="M29" s="81">
        <f>SUM(L29)+2.6</f>
        <v>61.500000000000007</v>
      </c>
      <c r="N29" s="220">
        <f>SUM(M29)+2.6</f>
        <v>64.100000000000009</v>
      </c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61"/>
      <c r="I30" s="79"/>
      <c r="J30" s="83"/>
      <c r="K30" s="79"/>
      <c r="L30" s="79"/>
      <c r="M30" s="61"/>
      <c r="N30" s="221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81">
        <f>SUM(I31)-6</f>
        <v>33</v>
      </c>
      <c r="I31" s="52">
        <f>SUM(J31)-6</f>
        <v>39</v>
      </c>
      <c r="J31" s="54">
        <v>45</v>
      </c>
      <c r="K31" s="52">
        <f>SUM(J31)+4.5</f>
        <v>49.5</v>
      </c>
      <c r="L31" s="52">
        <f>SUM(K31)+5</f>
        <v>54.5</v>
      </c>
      <c r="M31" s="81">
        <f>SUM(L31)+5</f>
        <v>59.5</v>
      </c>
      <c r="N31" s="220">
        <f>SUM(M31)+5</f>
        <v>64.5</v>
      </c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61"/>
      <c r="I32" s="79"/>
      <c r="J32" s="83"/>
      <c r="K32" s="79"/>
      <c r="L32" s="79"/>
      <c r="M32" s="61"/>
      <c r="N32" s="221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>
        <f>SUM(I33)-2.3</f>
        <v>46.7</v>
      </c>
      <c r="I33" s="52">
        <f>SUM(J33)-2.3</f>
        <v>49</v>
      </c>
      <c r="J33" s="54">
        <v>51.3</v>
      </c>
      <c r="K33" s="52">
        <f>SUM(J33)+2.3</f>
        <v>53.599999999999994</v>
      </c>
      <c r="L33" s="52">
        <f>SUM(K33)+2.3</f>
        <v>55.899999999999991</v>
      </c>
      <c r="M33" s="81">
        <f>SUM(L33)+2.3</f>
        <v>58.199999999999989</v>
      </c>
      <c r="N33" s="220">
        <f>SUM(M33)+2.3</f>
        <v>60.499999999999986</v>
      </c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21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81">
        <f>SUM(I35)-3.4</f>
        <v>34.200000000000003</v>
      </c>
      <c r="I35" s="52">
        <f>SUM(J35)-3.4</f>
        <v>37.6</v>
      </c>
      <c r="J35" s="54">
        <v>41</v>
      </c>
      <c r="K35" s="52">
        <f>SUM(J35)+3.3</f>
        <v>44.3</v>
      </c>
      <c r="L35" s="52">
        <f>SUM(K35)+3</f>
        <v>47.3</v>
      </c>
      <c r="M35" s="81">
        <f>SUM(L35)+3</f>
        <v>50.3</v>
      </c>
      <c r="N35" s="220">
        <f>SUM(M35)+3</f>
        <v>53.3</v>
      </c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61"/>
      <c r="I36" s="79"/>
      <c r="J36" s="83"/>
      <c r="K36" s="79"/>
      <c r="L36" s="79"/>
      <c r="M36" s="61"/>
      <c r="N36" s="221"/>
    </row>
    <row r="37" spans="1:14" s="1" customFormat="1" ht="14.1" customHeight="1">
      <c r="A37" s="129">
        <v>18</v>
      </c>
      <c r="B37" s="47" t="s">
        <v>236</v>
      </c>
      <c r="C37" s="48"/>
      <c r="D37" s="75"/>
      <c r="E37" s="62"/>
      <c r="F37" s="62"/>
      <c r="G37" s="76"/>
      <c r="H37" s="52">
        <f>SUM(I37)-0.5</f>
        <v>10.5</v>
      </c>
      <c r="I37" s="52">
        <f>SUM(J37)-0.5</f>
        <v>11</v>
      </c>
      <c r="J37" s="54">
        <v>11.5</v>
      </c>
      <c r="K37" s="52">
        <f>SUM(J37)+0.5</f>
        <v>12</v>
      </c>
      <c r="L37" s="52">
        <f>SUM(K37)+0.5</f>
        <v>12.5</v>
      </c>
      <c r="M37" s="52">
        <f>SUM(L37)+0.5</f>
        <v>13</v>
      </c>
      <c r="N37" s="205">
        <f>SUM(M37)+0.5</f>
        <v>13.5</v>
      </c>
    </row>
    <row r="38" spans="1:14" s="1" customFormat="1" ht="14.1" customHeight="1">
      <c r="A38" s="119"/>
      <c r="B38" s="121" t="s">
        <v>237</v>
      </c>
      <c r="C38" s="122"/>
      <c r="D38" s="123"/>
      <c r="E38" s="124"/>
      <c r="F38" s="124"/>
      <c r="G38" s="125"/>
      <c r="H38" s="79"/>
      <c r="I38" s="79"/>
      <c r="J38" s="83"/>
      <c r="K38" s="79"/>
      <c r="L38" s="79"/>
      <c r="M38" s="79"/>
      <c r="N38" s="207"/>
    </row>
    <row r="39" spans="1:14" s="1" customFormat="1" ht="14.1" customHeight="1">
      <c r="A39" s="129">
        <v>19</v>
      </c>
      <c r="B39" s="47" t="s">
        <v>97</v>
      </c>
      <c r="C39" s="48"/>
      <c r="D39" s="75"/>
      <c r="E39" s="62"/>
      <c r="F39" s="62"/>
      <c r="G39" s="76"/>
      <c r="H39" s="52">
        <f>SUM(I39)-0.5</f>
        <v>10</v>
      </c>
      <c r="I39" s="52">
        <f>SUM(J39)-0.5</f>
        <v>10.5</v>
      </c>
      <c r="J39" s="54">
        <v>11</v>
      </c>
      <c r="K39" s="52">
        <f>SUM(J39)+0.5</f>
        <v>11.5</v>
      </c>
      <c r="L39" s="52">
        <f>SUM(K39)+0.5</f>
        <v>12</v>
      </c>
      <c r="M39" s="52">
        <f>SUM(L39)+0.5</f>
        <v>12.5</v>
      </c>
      <c r="N39" s="205">
        <f>SUM(M39)+0.5</f>
        <v>13</v>
      </c>
    </row>
    <row r="40" spans="1:14" s="1" customFormat="1" ht="14.1" customHeight="1">
      <c r="A40" s="119"/>
      <c r="B40" s="40" t="s">
        <v>96</v>
      </c>
      <c r="C40" s="41"/>
      <c r="D40" s="123"/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95</v>
      </c>
      <c r="C41" s="48"/>
      <c r="D41" s="78"/>
      <c r="E41" s="78"/>
      <c r="F41" s="78"/>
      <c r="G41" s="78"/>
      <c r="H41" s="52">
        <f>SUM(I41)-0.5</f>
        <v>10.5</v>
      </c>
      <c r="I41" s="52">
        <f>SUM(J41)-0.5</f>
        <v>11</v>
      </c>
      <c r="J41" s="54">
        <v>11.5</v>
      </c>
      <c r="K41" s="52">
        <f>SUM(J41)+0.5</f>
        <v>12</v>
      </c>
      <c r="L41" s="52">
        <f>SUM(K41)+0.5</f>
        <v>12.5</v>
      </c>
      <c r="M41" s="52">
        <f>SUM(L41)+0.5</f>
        <v>13</v>
      </c>
      <c r="N41" s="205">
        <f>SUM(M41)+0.5</f>
        <v>13.5</v>
      </c>
    </row>
    <row r="42" spans="1:14" s="1" customFormat="1" ht="14.1" customHeight="1">
      <c r="A42" s="119"/>
      <c r="B42" s="65" t="s">
        <v>94</v>
      </c>
      <c r="C42" s="65"/>
      <c r="D42" s="58"/>
      <c r="E42" s="59"/>
      <c r="F42" s="59"/>
      <c r="G42" s="60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239</v>
      </c>
      <c r="C43" s="48"/>
      <c r="D43" s="78"/>
      <c r="E43" s="78"/>
      <c r="F43" s="78"/>
      <c r="G43" s="78"/>
      <c r="H43" s="52">
        <f>SUM(I43)-1.6</f>
        <v>43.4</v>
      </c>
      <c r="I43" s="52">
        <f>SUM(J43)-1.6</f>
        <v>45</v>
      </c>
      <c r="J43" s="54">
        <v>46.6</v>
      </c>
      <c r="K43" s="52">
        <f>SUM(J43)+1.6</f>
        <v>48.2</v>
      </c>
      <c r="L43" s="52">
        <f>SUM(K43)+1.6</f>
        <v>49.800000000000004</v>
      </c>
      <c r="M43" s="52">
        <f>SUM(L43)+1.6</f>
        <v>51.400000000000006</v>
      </c>
      <c r="N43" s="205">
        <f>SUM(M43)+1.6</f>
        <v>53.000000000000007</v>
      </c>
    </row>
    <row r="44" spans="1:14" s="1" customFormat="1" ht="14.1" customHeight="1">
      <c r="A44" s="119"/>
      <c r="B44" s="65" t="s">
        <v>240</v>
      </c>
      <c r="C44" s="65"/>
      <c r="D44" s="58" t="s">
        <v>241</v>
      </c>
      <c r="E44" s="59"/>
      <c r="F44" s="59"/>
      <c r="G44" s="60"/>
      <c r="H44" s="79"/>
      <c r="I44" s="79"/>
      <c r="J44" s="83"/>
      <c r="K44" s="79"/>
      <c r="L44" s="79"/>
      <c r="M44" s="79"/>
      <c r="N44" s="207"/>
    </row>
    <row r="45" spans="1:14" s="1" customFormat="1" ht="14.1" customHeight="1">
      <c r="A45" s="129">
        <v>22</v>
      </c>
      <c r="B45" s="47" t="s">
        <v>172</v>
      </c>
      <c r="C45" s="48"/>
      <c r="D45" s="78" t="s">
        <v>552</v>
      </c>
      <c r="E45" s="78"/>
      <c r="F45" s="78"/>
      <c r="G45" s="78"/>
      <c r="H45" s="52">
        <f>SUM(I45)</f>
        <v>36</v>
      </c>
      <c r="I45" s="52">
        <f>SUM(J45)</f>
        <v>36</v>
      </c>
      <c r="J45" s="54">
        <v>36</v>
      </c>
      <c r="K45" s="52">
        <f>SUM(J45)</f>
        <v>36</v>
      </c>
      <c r="L45" s="52">
        <f>SUM(K45)</f>
        <v>36</v>
      </c>
      <c r="M45" s="52">
        <f>SUM(L45)</f>
        <v>36</v>
      </c>
      <c r="N45" s="205">
        <f>SUM(M45)</f>
        <v>36</v>
      </c>
    </row>
    <row r="46" spans="1:14" ht="14.1" customHeight="1">
      <c r="A46" s="119"/>
      <c r="B46" s="65" t="s">
        <v>173</v>
      </c>
      <c r="C46" s="65"/>
      <c r="D46" s="58" t="s">
        <v>144</v>
      </c>
      <c r="E46" s="59"/>
      <c r="F46" s="59"/>
      <c r="G46" s="60"/>
      <c r="H46" s="79"/>
      <c r="I46" s="79"/>
      <c r="J46" s="83"/>
      <c r="K46" s="79"/>
      <c r="L46" s="79"/>
      <c r="M46" s="79"/>
      <c r="N46" s="207"/>
    </row>
    <row r="47" spans="1:14" ht="14.1" customHeight="1">
      <c r="A47" s="129">
        <v>23</v>
      </c>
      <c r="B47" s="47" t="s">
        <v>120</v>
      </c>
      <c r="C47" s="48"/>
      <c r="D47" s="78"/>
      <c r="E47" s="78"/>
      <c r="F47" s="78"/>
      <c r="G47" s="78"/>
      <c r="H47" s="52">
        <v>0</v>
      </c>
      <c r="I47" s="52">
        <v>0</v>
      </c>
      <c r="J47" s="54">
        <v>0</v>
      </c>
      <c r="K47" s="52">
        <v>0</v>
      </c>
      <c r="L47" s="52">
        <v>0</v>
      </c>
      <c r="M47" s="52">
        <v>0</v>
      </c>
      <c r="N47" s="205">
        <v>0</v>
      </c>
    </row>
    <row r="48" spans="1:14" ht="14.1" customHeight="1">
      <c r="A48" s="119"/>
      <c r="B48" s="40" t="s">
        <v>128</v>
      </c>
      <c r="C48" s="41"/>
      <c r="D48" s="58" t="s">
        <v>238</v>
      </c>
      <c r="E48" s="59"/>
      <c r="F48" s="59"/>
      <c r="G48" s="60"/>
      <c r="H48" s="79"/>
      <c r="I48" s="79"/>
      <c r="J48" s="83"/>
      <c r="K48" s="79"/>
      <c r="L48" s="79"/>
      <c r="M48" s="79"/>
      <c r="N48" s="207"/>
    </row>
    <row r="49" spans="1:14" ht="14.1" customHeight="1">
      <c r="A49" s="129">
        <v>24</v>
      </c>
      <c r="B49" s="56"/>
      <c r="C49" s="57"/>
      <c r="D49" s="78"/>
      <c r="E49" s="78"/>
      <c r="F49" s="78"/>
      <c r="G49" s="78"/>
      <c r="H49" s="52"/>
      <c r="I49" s="52"/>
      <c r="J49" s="54"/>
      <c r="K49" s="52"/>
      <c r="L49" s="52"/>
      <c r="M49" s="52"/>
      <c r="N49" s="205"/>
    </row>
    <row r="50" spans="1:14" ht="14.1" customHeight="1">
      <c r="A50" s="119"/>
      <c r="B50" s="40"/>
      <c r="C50" s="41"/>
      <c r="D50" s="58"/>
      <c r="E50" s="59"/>
      <c r="F50" s="59"/>
      <c r="G50" s="60"/>
      <c r="H50" s="79"/>
      <c r="I50" s="79"/>
      <c r="J50" s="83"/>
      <c r="K50" s="79"/>
      <c r="L50" s="79"/>
      <c r="M50" s="79"/>
      <c r="N50" s="207"/>
    </row>
    <row r="51" spans="1:14" ht="14.1" customHeight="1">
      <c r="A51" s="129">
        <v>25</v>
      </c>
      <c r="B51" s="47"/>
      <c r="C51" s="48"/>
      <c r="D51" s="78"/>
      <c r="E51" s="78"/>
      <c r="F51" s="78"/>
      <c r="G51" s="78"/>
      <c r="H51" s="52"/>
      <c r="I51" s="52"/>
      <c r="J51" s="54"/>
      <c r="K51" s="52"/>
      <c r="L51" s="52"/>
      <c r="M51" s="52"/>
      <c r="N51" s="205"/>
    </row>
    <row r="52" spans="1:14" ht="13.5" customHeight="1" thickBot="1">
      <c r="A52" s="143"/>
      <c r="B52" s="190"/>
      <c r="C52" s="190"/>
      <c r="D52" s="180"/>
      <c r="E52" s="181"/>
      <c r="F52" s="181"/>
      <c r="G52" s="182"/>
      <c r="H52" s="77"/>
      <c r="I52" s="77"/>
      <c r="J52" s="144"/>
      <c r="K52" s="77"/>
      <c r="L52" s="77"/>
      <c r="M52" s="77"/>
      <c r="N52" s="206"/>
    </row>
  </sheetData>
  <mergeCells count="303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B52:C52"/>
    <mergeCell ref="D52:G52"/>
    <mergeCell ref="A1:N1"/>
    <mergeCell ref="N3:N4"/>
    <mergeCell ref="N5:N6"/>
    <mergeCell ref="N7:N8"/>
    <mergeCell ref="N9:N10"/>
    <mergeCell ref="A51:A52"/>
    <mergeCell ref="B51:C51"/>
    <mergeCell ref="D51:G51"/>
    <mergeCell ref="H51:H52"/>
    <mergeCell ref="I51:I52"/>
    <mergeCell ref="J51:J5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N11:N12"/>
    <mergeCell ref="N13:N14"/>
    <mergeCell ref="N15:N16"/>
    <mergeCell ref="N17:N18"/>
    <mergeCell ref="N19:N20"/>
    <mergeCell ref="N21:N22"/>
    <mergeCell ref="K51:K52"/>
    <mergeCell ref="L51:L52"/>
    <mergeCell ref="M51:M52"/>
    <mergeCell ref="N35:N36"/>
    <mergeCell ref="N37:N38"/>
    <mergeCell ref="N39:N40"/>
    <mergeCell ref="N41:N42"/>
    <mergeCell ref="N43:N44"/>
    <mergeCell ref="N51:N52"/>
    <mergeCell ref="N23:N24"/>
    <mergeCell ref="N25:N26"/>
    <mergeCell ref="N27:N28"/>
    <mergeCell ref="N29:N30"/>
    <mergeCell ref="N31:N32"/>
    <mergeCell ref="N33:N34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4BB3-47A8-4C1A-905A-6A349B7F77B0}">
  <sheetPr>
    <tabColor theme="8"/>
    <pageSetUpPr fitToPage="1"/>
  </sheetPr>
  <dimension ref="A1:S52"/>
  <sheetViews>
    <sheetView zoomScale="110" zoomScaleNormal="110" workbookViewId="0">
      <selection activeCell="B43" sqref="B43:G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451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22" t="s">
        <v>130</v>
      </c>
      <c r="N2" s="8" t="s">
        <v>145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12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80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134"/>
      <c r="K5" s="53"/>
      <c r="L5" s="53"/>
      <c r="M5" s="53"/>
      <c r="N5" s="135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134"/>
      <c r="K7" s="53"/>
      <c r="L7" s="53"/>
      <c r="M7" s="53"/>
      <c r="N7" s="135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229">
        <f>SUM(I9)-2.2</f>
        <v>-4.4000000000000004</v>
      </c>
      <c r="I9" s="229">
        <f>SUM(J9)-2.2</f>
        <v>-2.2000000000000002</v>
      </c>
      <c r="J9" s="134"/>
      <c r="K9" s="224">
        <f>SUM(J9)+2.2</f>
        <v>2.2000000000000002</v>
      </c>
      <c r="L9" s="224">
        <f>SUM(K9)+2.2</f>
        <v>4.4000000000000004</v>
      </c>
      <c r="M9" s="224">
        <f>SUM(L9)+2.2</f>
        <v>6.6000000000000005</v>
      </c>
      <c r="N9" s="232">
        <f>SUM(M9)+2.2</f>
        <v>8.8000000000000007</v>
      </c>
    </row>
    <row r="10" spans="1:14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225"/>
      <c r="I10" s="225"/>
      <c r="J10" s="83"/>
      <c r="K10" s="225"/>
      <c r="L10" s="225"/>
      <c r="M10" s="225"/>
      <c r="N10" s="233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52">
        <f>SUM(I11)-3.5</f>
        <v>64</v>
      </c>
      <c r="I11" s="52">
        <f>SUM(J11)-3.5</f>
        <v>67.5</v>
      </c>
      <c r="J11" s="134">
        <v>71</v>
      </c>
      <c r="K11" s="52">
        <f>SUM(J11)+3.5</f>
        <v>74.5</v>
      </c>
      <c r="L11" s="52">
        <f>SUM(K11)+3.5</f>
        <v>78</v>
      </c>
      <c r="M11" s="52">
        <f>SUM(L11)+3.5</f>
        <v>81.5</v>
      </c>
      <c r="N11" s="64">
        <f>SUM(M11)+3.5</f>
        <v>85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79"/>
      <c r="I12" s="79"/>
      <c r="J12" s="83"/>
      <c r="K12" s="79"/>
      <c r="L12" s="79"/>
      <c r="M12" s="79"/>
      <c r="N12" s="80"/>
    </row>
    <row r="13" spans="1:14" s="1" customFormat="1" ht="14.1" customHeight="1">
      <c r="A13" s="129">
        <v>6</v>
      </c>
      <c r="B13" s="47" t="s">
        <v>11</v>
      </c>
      <c r="C13" s="48"/>
      <c r="D13" s="75" t="s">
        <v>122</v>
      </c>
      <c r="E13" s="62"/>
      <c r="F13" s="62"/>
      <c r="G13" s="76"/>
      <c r="H13" s="52">
        <f>SUM(I13)-4.9</f>
        <v>81.499999999999986</v>
      </c>
      <c r="I13" s="52">
        <f>SUM(J13)-4.9</f>
        <v>86.399999999999991</v>
      </c>
      <c r="J13" s="54">
        <v>91.3</v>
      </c>
      <c r="K13" s="52">
        <f>SUM(J13)+4.9</f>
        <v>96.2</v>
      </c>
      <c r="L13" s="52">
        <f t="shared" ref="L13:N13" si="0">SUM(K13)+4.9</f>
        <v>101.10000000000001</v>
      </c>
      <c r="M13" s="52">
        <f t="shared" si="0"/>
        <v>106.00000000000001</v>
      </c>
      <c r="N13" s="64">
        <f t="shared" si="0"/>
        <v>110.90000000000002</v>
      </c>
    </row>
    <row r="14" spans="1:14" s="1" customFormat="1" ht="14.1" customHeight="1">
      <c r="A14" s="119"/>
      <c r="B14" s="121" t="s">
        <v>48</v>
      </c>
      <c r="C14" s="122"/>
      <c r="D14" s="123" t="s">
        <v>452</v>
      </c>
      <c r="E14" s="124"/>
      <c r="F14" s="124"/>
      <c r="G14" s="125"/>
      <c r="H14" s="79"/>
      <c r="I14" s="79"/>
      <c r="J14" s="83"/>
      <c r="K14" s="79"/>
      <c r="L14" s="79"/>
      <c r="M14" s="79"/>
      <c r="N14" s="80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52">
        <f>SUM(I15)-0.7</f>
        <v>13.400000000000002</v>
      </c>
      <c r="I15" s="52">
        <f>SUM(J15)-0.7</f>
        <v>14.100000000000001</v>
      </c>
      <c r="J15" s="54">
        <v>14.8</v>
      </c>
      <c r="K15" s="52">
        <f>SUM(J15)+1.2</f>
        <v>16</v>
      </c>
      <c r="L15" s="52">
        <f>SUM(K15)+0.7</f>
        <v>16.7</v>
      </c>
      <c r="M15" s="52">
        <f t="shared" ref="M15:N15" si="1">SUM(L15)+0.7</f>
        <v>17.399999999999999</v>
      </c>
      <c r="N15" s="64">
        <f t="shared" si="1"/>
        <v>18.099999999999998</v>
      </c>
    </row>
    <row r="16" spans="1:14" s="1" customFormat="1" ht="14.1" customHeight="1">
      <c r="A16" s="119"/>
      <c r="B16" s="121" t="s">
        <v>102</v>
      </c>
      <c r="C16" s="122"/>
      <c r="D16" s="126" t="s">
        <v>235</v>
      </c>
      <c r="E16" s="127"/>
      <c r="F16" s="127"/>
      <c r="G16" s="128"/>
      <c r="H16" s="79"/>
      <c r="I16" s="79"/>
      <c r="J16" s="83"/>
      <c r="K16" s="79"/>
      <c r="L16" s="79"/>
      <c r="M16" s="79"/>
      <c r="N16" s="80"/>
    </row>
    <row r="17" spans="1:19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/>
      <c r="I17" s="52"/>
      <c r="J17" s="54"/>
      <c r="K17" s="52"/>
      <c r="L17" s="52"/>
      <c r="M17" s="81"/>
      <c r="N17" s="230"/>
    </row>
    <row r="18" spans="1:19" s="1" customFormat="1" ht="14.1" customHeight="1">
      <c r="A18" s="119"/>
      <c r="B18" s="121" t="s">
        <v>126</v>
      </c>
      <c r="C18" s="122"/>
      <c r="D18" s="126" t="s">
        <v>235</v>
      </c>
      <c r="E18" s="127"/>
      <c r="F18" s="127"/>
      <c r="G18" s="128"/>
      <c r="H18" s="61"/>
      <c r="I18" s="79"/>
      <c r="J18" s="83"/>
      <c r="K18" s="79"/>
      <c r="L18" s="79"/>
      <c r="M18" s="61"/>
      <c r="N18" s="231"/>
    </row>
    <row r="19" spans="1:19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/>
      <c r="I19" s="52"/>
      <c r="J19" s="54"/>
      <c r="K19" s="52"/>
      <c r="L19" s="52"/>
      <c r="M19" s="52"/>
      <c r="N19" s="64"/>
    </row>
    <row r="20" spans="1:19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80"/>
    </row>
    <row r="21" spans="1:19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52.5</v>
      </c>
      <c r="I21" s="52">
        <f>SUM(J21)-7</f>
        <v>59.5</v>
      </c>
      <c r="J21" s="54">
        <v>66.5</v>
      </c>
      <c r="K21" s="52">
        <f>SUM(J21)+6</f>
        <v>72.5</v>
      </c>
      <c r="L21" s="52">
        <f>SUM(K21)+6</f>
        <v>78.5</v>
      </c>
      <c r="M21" s="52">
        <f>SUM(L21)+6</f>
        <v>84.5</v>
      </c>
      <c r="N21" s="64">
        <f>SUM(M21)+6</f>
        <v>90.5</v>
      </c>
    </row>
    <row r="22" spans="1:19" s="1" customFormat="1" ht="14.1" customHeight="1" thickBo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80"/>
    </row>
    <row r="23" spans="1:19" s="1" customFormat="1" ht="14.1" customHeight="1" thickTop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SUM(I23)-1.8</f>
        <v>36.400000000000006</v>
      </c>
      <c r="I23" s="52">
        <f>SUM(J23)-1.8</f>
        <v>38.200000000000003</v>
      </c>
      <c r="J23" s="54">
        <v>40</v>
      </c>
      <c r="K23" s="52">
        <f>SUM(J23)+1.8</f>
        <v>41.8</v>
      </c>
      <c r="L23" s="52">
        <f t="shared" ref="L23:N23" si="2">SUM(K23)+1.8</f>
        <v>43.599999999999994</v>
      </c>
      <c r="M23" s="52">
        <f t="shared" si="2"/>
        <v>45.399999999999991</v>
      </c>
      <c r="N23" s="64">
        <f t="shared" si="2"/>
        <v>47.199999999999989</v>
      </c>
      <c r="S23" s="10" t="s">
        <v>453</v>
      </c>
    </row>
    <row r="24" spans="1:19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  <c r="S24" s="11">
        <f>SUM(H41+H41+I41+I41+J41+J41+K41+K41+L41+L41+M41+M41+N41+N41)</f>
        <v>179.2</v>
      </c>
    </row>
    <row r="25" spans="1:19" s="1" customFormat="1" ht="14.1" customHeight="1" thickBo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21.099999999999998</v>
      </c>
      <c r="I25" s="52">
        <f>SUM(J25)-1.1</f>
        <v>22.2</v>
      </c>
      <c r="J25" s="54">
        <v>23.3</v>
      </c>
      <c r="K25" s="52">
        <f>SUM(J25)+1.6</f>
        <v>24.900000000000002</v>
      </c>
      <c r="L25" s="52">
        <f>SUM(K25)+1.1</f>
        <v>26.000000000000004</v>
      </c>
      <c r="M25" s="81">
        <f>SUM(L25)+1.1</f>
        <v>27.100000000000005</v>
      </c>
      <c r="N25" s="230">
        <f>SUM(M25)+1.1</f>
        <v>28.200000000000006</v>
      </c>
      <c r="S25" s="12">
        <f>SUM(S24/91.44/7*1.08)</f>
        <v>0.30236220472440944</v>
      </c>
    </row>
    <row r="26" spans="1:19" s="1" customFormat="1" ht="14.1" customHeight="1" thickTop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31"/>
    </row>
    <row r="27" spans="1:19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28.599999999999998</v>
      </c>
      <c r="I27" s="52">
        <f>SUM(J27)-1.3</f>
        <v>29.9</v>
      </c>
      <c r="J27" s="54">
        <v>31.2</v>
      </c>
      <c r="K27" s="52">
        <f>SUM(J27)+1.8</f>
        <v>33</v>
      </c>
      <c r="L27" s="52">
        <f>SUM(K27)+1.3</f>
        <v>34.299999999999997</v>
      </c>
      <c r="M27" s="81">
        <f>SUM(L27)+1.3</f>
        <v>35.599999999999994</v>
      </c>
      <c r="N27" s="230">
        <f>SUM(M27)+1.3</f>
        <v>36.899999999999991</v>
      </c>
    </row>
    <row r="28" spans="1:19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31"/>
    </row>
    <row r="29" spans="1:19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>
        <f>SUM(I29)-3.1</f>
        <v>48.099999999999994</v>
      </c>
      <c r="I29" s="52">
        <f>SUM(J29)-3.1</f>
        <v>51.199999999999996</v>
      </c>
      <c r="J29" s="54">
        <v>54.3</v>
      </c>
      <c r="K29" s="52">
        <f>SUM(J29)+3</f>
        <v>57.3</v>
      </c>
      <c r="L29" s="52">
        <f t="shared" ref="L29:N29" si="3">SUM(K29)+3</f>
        <v>60.3</v>
      </c>
      <c r="M29" s="52">
        <f t="shared" si="3"/>
        <v>63.3</v>
      </c>
      <c r="N29" s="64">
        <f t="shared" si="3"/>
        <v>66.3</v>
      </c>
    </row>
    <row r="30" spans="1:19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80"/>
    </row>
    <row r="31" spans="1:19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81">
        <f>SUM(I31)-6</f>
        <v>32</v>
      </c>
      <c r="I31" s="52">
        <f>SUM(J31)-6</f>
        <v>38</v>
      </c>
      <c r="J31" s="54">
        <v>44</v>
      </c>
      <c r="K31" s="52">
        <f>SUM(J31)+4.5</f>
        <v>48.5</v>
      </c>
      <c r="L31" s="52">
        <f>SUM(K31)+5</f>
        <v>53.5</v>
      </c>
      <c r="M31" s="81">
        <f>SUM(L31)+5</f>
        <v>58.5</v>
      </c>
      <c r="N31" s="230">
        <f>SUM(M31)+5</f>
        <v>63.5</v>
      </c>
    </row>
    <row r="32" spans="1:19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61"/>
      <c r="I32" s="79"/>
      <c r="J32" s="83"/>
      <c r="K32" s="79"/>
      <c r="L32" s="79"/>
      <c r="M32" s="61"/>
      <c r="N32" s="231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52">
        <f>SUM(I33)-2.2</f>
        <v>42.999999999999993</v>
      </c>
      <c r="I33" s="52">
        <f>SUM(J33)-2.2</f>
        <v>45.199999999999996</v>
      </c>
      <c r="J33" s="54">
        <v>47.4</v>
      </c>
      <c r="K33" s="52">
        <f>SUM(J33)+2.2</f>
        <v>49.6</v>
      </c>
      <c r="L33" s="52">
        <f t="shared" ref="L33:N33" si="4">SUM(K33)+2.2</f>
        <v>51.800000000000004</v>
      </c>
      <c r="M33" s="52">
        <f t="shared" si="4"/>
        <v>54.000000000000007</v>
      </c>
      <c r="N33" s="64">
        <f t="shared" si="4"/>
        <v>56.20000000000001</v>
      </c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79"/>
      <c r="I34" s="79"/>
      <c r="J34" s="83"/>
      <c r="K34" s="79"/>
      <c r="L34" s="79"/>
      <c r="M34" s="79"/>
      <c r="N34" s="80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>
        <f>SUM(I35)-3.3</f>
        <v>32.900000000000006</v>
      </c>
      <c r="I35" s="52">
        <f>SUM(J35)-3.3</f>
        <v>36.200000000000003</v>
      </c>
      <c r="J35" s="54">
        <v>39.5</v>
      </c>
      <c r="K35" s="52">
        <f>SUM(J35)+3.2</f>
        <v>42.7</v>
      </c>
      <c r="L35" s="52">
        <f>SUM(K35)+2.9</f>
        <v>45.6</v>
      </c>
      <c r="M35" s="52">
        <f>SUM(L35)+2.9</f>
        <v>48.5</v>
      </c>
      <c r="N35" s="64">
        <f>SUM(M35)+2.9</f>
        <v>51.4</v>
      </c>
    </row>
    <row r="36" spans="1:14" s="1" customFormat="1" ht="14.1" customHeight="1">
      <c r="A36" s="119"/>
      <c r="B36" s="136" t="s">
        <v>79</v>
      </c>
      <c r="C36" s="137"/>
      <c r="D36" s="138" t="s">
        <v>116</v>
      </c>
      <c r="E36" s="139"/>
      <c r="F36" s="139"/>
      <c r="G36" s="140"/>
      <c r="H36" s="53"/>
      <c r="I36" s="53"/>
      <c r="J36" s="134"/>
      <c r="K36" s="53"/>
      <c r="L36" s="53"/>
      <c r="M36" s="53"/>
      <c r="N36" s="135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SUM(I37)-0.2</f>
        <v>5.5</v>
      </c>
      <c r="I37" s="52">
        <f>SUM(J37)-0.2</f>
        <v>5.7</v>
      </c>
      <c r="J37" s="54">
        <v>5.9</v>
      </c>
      <c r="K37" s="52">
        <f>SUM(J37)+0.2</f>
        <v>6.1000000000000005</v>
      </c>
      <c r="L37" s="52">
        <f t="shared" ref="L37:N37" si="5">SUM(K37)+0.2</f>
        <v>6.3000000000000007</v>
      </c>
      <c r="M37" s="52">
        <f t="shared" si="5"/>
        <v>6.5000000000000009</v>
      </c>
      <c r="N37" s="64">
        <f t="shared" si="5"/>
        <v>6.7000000000000011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53"/>
      <c r="I38" s="53"/>
      <c r="J38" s="134"/>
      <c r="K38" s="53"/>
      <c r="L38" s="53"/>
      <c r="M38" s="53"/>
      <c r="N38" s="135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SUM(I39)-0.6</f>
        <v>9.2000000000000011</v>
      </c>
      <c r="I39" s="52">
        <f>SUM(J39)-0.6</f>
        <v>9.8000000000000007</v>
      </c>
      <c r="J39" s="54">
        <v>10.4</v>
      </c>
      <c r="K39" s="52">
        <f>SUM(J39)+0.6</f>
        <v>11</v>
      </c>
      <c r="L39" s="52">
        <f t="shared" ref="L39:N39" si="6">SUM(K39)+0.6</f>
        <v>11.6</v>
      </c>
      <c r="M39" s="52">
        <f t="shared" si="6"/>
        <v>12.2</v>
      </c>
      <c r="N39" s="64">
        <f t="shared" si="6"/>
        <v>12.799999999999999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53"/>
      <c r="I40" s="53"/>
      <c r="J40" s="134"/>
      <c r="K40" s="53"/>
      <c r="L40" s="53"/>
      <c r="M40" s="53"/>
      <c r="N40" s="135"/>
    </row>
    <row r="41" spans="1:14" s="1" customFormat="1" ht="14.1" customHeight="1">
      <c r="A41" s="129">
        <v>20</v>
      </c>
      <c r="B41" s="47" t="s">
        <v>454</v>
      </c>
      <c r="C41" s="48"/>
      <c r="D41" s="75"/>
      <c r="E41" s="62"/>
      <c r="F41" s="62"/>
      <c r="G41" s="76"/>
      <c r="H41" s="52">
        <f>SUM(I41)-0.6</f>
        <v>11</v>
      </c>
      <c r="I41" s="52">
        <f>SUM(J41)-0.6</f>
        <v>11.6</v>
      </c>
      <c r="J41" s="54">
        <v>12.2</v>
      </c>
      <c r="K41" s="52">
        <f>SUM(J41)+0.6</f>
        <v>12.799999999999999</v>
      </c>
      <c r="L41" s="52">
        <f t="shared" ref="L41:N41" si="7">SUM(K41)+0.6</f>
        <v>13.399999999999999</v>
      </c>
      <c r="M41" s="52">
        <f t="shared" si="7"/>
        <v>13.999999999999998</v>
      </c>
      <c r="N41" s="64">
        <f t="shared" si="7"/>
        <v>14.599999999999998</v>
      </c>
    </row>
    <row r="42" spans="1:14" s="1" customFormat="1" ht="14.1" customHeight="1">
      <c r="A42" s="119"/>
      <c r="B42" s="121" t="s">
        <v>455</v>
      </c>
      <c r="C42" s="122"/>
      <c r="D42" s="123" t="s">
        <v>219</v>
      </c>
      <c r="E42" s="124"/>
      <c r="F42" s="124"/>
      <c r="G42" s="125"/>
      <c r="H42" s="53"/>
      <c r="I42" s="53"/>
      <c r="J42" s="134"/>
      <c r="K42" s="53"/>
      <c r="L42" s="53"/>
      <c r="M42" s="53"/>
      <c r="N42" s="135"/>
    </row>
    <row r="43" spans="1:14" s="1" customFormat="1" ht="14.1" customHeight="1">
      <c r="A43" s="129">
        <v>21</v>
      </c>
      <c r="B43" s="47" t="s">
        <v>120</v>
      </c>
      <c r="C43" s="48"/>
      <c r="D43" s="75"/>
      <c r="E43" s="62"/>
      <c r="F43" s="62"/>
      <c r="G43" s="76"/>
      <c r="H43" s="52">
        <f>SUM(I43)</f>
        <v>5.2</v>
      </c>
      <c r="I43" s="52">
        <f>SUM(J43)</f>
        <v>5.2</v>
      </c>
      <c r="J43" s="54">
        <v>5.2</v>
      </c>
      <c r="K43" s="52">
        <f>SUM(J43)+0.1</f>
        <v>5.3</v>
      </c>
      <c r="L43" s="52">
        <f t="shared" ref="L43:N43" si="8">SUM(K43)+0.1</f>
        <v>5.3999999999999995</v>
      </c>
      <c r="M43" s="52">
        <f t="shared" si="8"/>
        <v>5.4999999999999991</v>
      </c>
      <c r="N43" s="64">
        <f t="shared" si="8"/>
        <v>5.5999999999999988</v>
      </c>
    </row>
    <row r="44" spans="1:14" s="1" customFormat="1" ht="14.1" customHeight="1">
      <c r="A44" s="129"/>
      <c r="B44" s="56" t="s">
        <v>128</v>
      </c>
      <c r="C44" s="57"/>
      <c r="D44" s="138" t="s">
        <v>456</v>
      </c>
      <c r="E44" s="139"/>
      <c r="F44" s="139"/>
      <c r="G44" s="14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 t="s">
        <v>457</v>
      </c>
      <c r="C45" s="48"/>
      <c r="D45" s="75"/>
      <c r="E45" s="62"/>
      <c r="F45" s="62"/>
      <c r="G45" s="76"/>
      <c r="H45" s="52">
        <f>SUM(I45)-1.8</f>
        <v>48.400000000000006</v>
      </c>
      <c r="I45" s="52">
        <f>SUM(J45)-1.8</f>
        <v>50.2</v>
      </c>
      <c r="J45" s="54">
        <v>52</v>
      </c>
      <c r="K45" s="52">
        <f>SUM(J45)+1.8</f>
        <v>53.8</v>
      </c>
      <c r="L45" s="52">
        <f t="shared" ref="L45:N45" si="9">SUM(K45)+1.8</f>
        <v>55.599999999999994</v>
      </c>
      <c r="M45" s="52">
        <f t="shared" si="9"/>
        <v>57.399999999999991</v>
      </c>
      <c r="N45" s="64">
        <f t="shared" si="9"/>
        <v>59.199999999999989</v>
      </c>
    </row>
    <row r="46" spans="1:14" ht="14.1" customHeight="1" thickBot="1">
      <c r="A46" s="143"/>
      <c r="B46" s="190" t="s">
        <v>458</v>
      </c>
      <c r="C46" s="190"/>
      <c r="D46" s="71" t="s">
        <v>459</v>
      </c>
      <c r="E46" s="72"/>
      <c r="F46" s="72"/>
      <c r="G46" s="73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FA0D-BD97-4903-B877-664893E72966}">
  <sheetPr>
    <tabColor theme="8"/>
    <pageSetUpPr fitToPage="1"/>
  </sheetPr>
  <dimension ref="A1:M52"/>
  <sheetViews>
    <sheetView zoomScale="110" zoomScaleNormal="110" workbookViewId="0">
      <selection activeCell="B24" sqref="B24:C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308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/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20">
        <f>SUM(L3)+3</f>
        <v>60</v>
      </c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80"/>
    </row>
    <row r="5" spans="1:13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134"/>
      <c r="K5" s="53"/>
      <c r="L5" s="53"/>
      <c r="M5" s="135"/>
    </row>
    <row r="6" spans="1:13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80"/>
    </row>
    <row r="7" spans="1:13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134"/>
      <c r="K7" s="53"/>
      <c r="L7" s="53"/>
      <c r="M7" s="135"/>
    </row>
    <row r="8" spans="1:13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80"/>
    </row>
    <row r="9" spans="1:13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229"/>
      <c r="I9" s="229">
        <f>SUM(J9)-2.2</f>
        <v>-2.2000000000000002</v>
      </c>
      <c r="J9" s="134"/>
      <c r="K9" s="224">
        <f>SUM(J9)+2.2</f>
        <v>2.2000000000000002</v>
      </c>
      <c r="L9" s="224">
        <f>SUM(K9)+2.2</f>
        <v>4.4000000000000004</v>
      </c>
      <c r="M9" s="232">
        <f>SUM(L9)+2.2</f>
        <v>6.6000000000000005</v>
      </c>
    </row>
    <row r="10" spans="1:13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225"/>
      <c r="I10" s="225"/>
      <c r="J10" s="83"/>
      <c r="K10" s="225"/>
      <c r="L10" s="225"/>
      <c r="M10" s="233"/>
    </row>
    <row r="11" spans="1:13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52"/>
      <c r="I11" s="52">
        <f>SUM(J11)-3.5</f>
        <v>66.8</v>
      </c>
      <c r="J11" s="134">
        <v>70.3</v>
      </c>
      <c r="K11" s="52">
        <f>SUM(J11)+3.5</f>
        <v>73.8</v>
      </c>
      <c r="L11" s="52">
        <f>SUM(K11)+3.5</f>
        <v>77.3</v>
      </c>
      <c r="M11" s="64">
        <f>SUM(L11)+3.5</f>
        <v>80.8</v>
      </c>
    </row>
    <row r="12" spans="1:13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79"/>
      <c r="I12" s="79"/>
      <c r="J12" s="83"/>
      <c r="K12" s="79"/>
      <c r="L12" s="79"/>
      <c r="M12" s="80"/>
    </row>
    <row r="13" spans="1:13" s="1" customFormat="1" ht="14.1" customHeight="1">
      <c r="A13" s="129">
        <v>6</v>
      </c>
      <c r="B13" s="47" t="s">
        <v>11</v>
      </c>
      <c r="C13" s="48"/>
      <c r="D13" s="75" t="s">
        <v>122</v>
      </c>
      <c r="E13" s="62"/>
      <c r="F13" s="62"/>
      <c r="G13" s="76"/>
      <c r="H13" s="52"/>
      <c r="I13" s="52">
        <f>SUM(J13)-4</f>
        <v>70.7</v>
      </c>
      <c r="J13" s="54">
        <v>74.7</v>
      </c>
      <c r="K13" s="52">
        <f>SUM(J13)+4</f>
        <v>78.7</v>
      </c>
      <c r="L13" s="52">
        <f>SUM(K13)+4</f>
        <v>82.7</v>
      </c>
      <c r="M13" s="64">
        <f>SUM(L13)+4</f>
        <v>86.7</v>
      </c>
    </row>
    <row r="14" spans="1:13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79"/>
      <c r="I14" s="79"/>
      <c r="J14" s="83"/>
      <c r="K14" s="79"/>
      <c r="L14" s="79"/>
      <c r="M14" s="80"/>
    </row>
    <row r="15" spans="1:13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52"/>
      <c r="I15" s="52">
        <f>SUM(J15)-0.7</f>
        <v>13.9</v>
      </c>
      <c r="J15" s="54">
        <v>14.6</v>
      </c>
      <c r="K15" s="52">
        <f>SUM(J15)+1.2</f>
        <v>15.799999999999999</v>
      </c>
      <c r="L15" s="52">
        <f>SUM(K15)+0.7</f>
        <v>16.5</v>
      </c>
      <c r="M15" s="64">
        <f t="shared" ref="M15" si="0">SUM(L15)+0.7</f>
        <v>17.2</v>
      </c>
    </row>
    <row r="16" spans="1:13" s="1" customFormat="1" ht="14.1" customHeight="1">
      <c r="A16" s="119"/>
      <c r="B16" s="121" t="s">
        <v>102</v>
      </c>
      <c r="C16" s="122"/>
      <c r="D16" s="126" t="s">
        <v>235</v>
      </c>
      <c r="E16" s="127"/>
      <c r="F16" s="127"/>
      <c r="G16" s="128"/>
      <c r="H16" s="79"/>
      <c r="I16" s="79"/>
      <c r="J16" s="83"/>
      <c r="K16" s="79"/>
      <c r="L16" s="79"/>
      <c r="M16" s="80"/>
    </row>
    <row r="17" spans="1:13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/>
      <c r="I17" s="52"/>
      <c r="J17" s="54"/>
      <c r="K17" s="52"/>
      <c r="L17" s="52"/>
      <c r="M17" s="230"/>
    </row>
    <row r="18" spans="1:13" s="1" customFormat="1" ht="14.1" customHeight="1">
      <c r="A18" s="119"/>
      <c r="B18" s="121" t="s">
        <v>126</v>
      </c>
      <c r="C18" s="122"/>
      <c r="D18" s="126" t="s">
        <v>235</v>
      </c>
      <c r="E18" s="127"/>
      <c r="F18" s="127"/>
      <c r="G18" s="128"/>
      <c r="H18" s="61"/>
      <c r="I18" s="79"/>
      <c r="J18" s="83"/>
      <c r="K18" s="79"/>
      <c r="L18" s="79"/>
      <c r="M18" s="231"/>
    </row>
    <row r="19" spans="1:13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/>
      <c r="I19" s="52"/>
      <c r="J19" s="54"/>
      <c r="K19" s="52"/>
      <c r="L19" s="52"/>
      <c r="M19" s="64"/>
    </row>
    <row r="20" spans="1:13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80"/>
    </row>
    <row r="21" spans="1:13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/>
      <c r="I21" s="52">
        <f>SUM(J21)-7</f>
        <v>59</v>
      </c>
      <c r="J21" s="54">
        <v>66</v>
      </c>
      <c r="K21" s="52">
        <f>SUM(J21)+6</f>
        <v>72</v>
      </c>
      <c r="L21" s="52">
        <f>SUM(K21)+6</f>
        <v>78</v>
      </c>
      <c r="M21" s="64">
        <f>SUM(L21)+6</f>
        <v>84</v>
      </c>
    </row>
    <row r="22" spans="1:13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/>
      <c r="I23" s="52">
        <f>SUM(J23)-1.8</f>
        <v>41.2</v>
      </c>
      <c r="J23" s="54">
        <v>43</v>
      </c>
      <c r="K23" s="52">
        <f>SUM(J23)+1.8</f>
        <v>44.8</v>
      </c>
      <c r="L23" s="52">
        <f t="shared" ref="L23:M23" si="1">SUM(K23)+1.8</f>
        <v>46.599999999999994</v>
      </c>
      <c r="M23" s="64">
        <f t="shared" si="1"/>
        <v>48.399999999999991</v>
      </c>
    </row>
    <row r="24" spans="1:13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80"/>
    </row>
    <row r="25" spans="1:13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/>
      <c r="I25" s="52">
        <f>SUM(J25)-1.1</f>
        <v>22.299999999999997</v>
      </c>
      <c r="J25" s="54">
        <v>23.4</v>
      </c>
      <c r="K25" s="52">
        <f>SUM(J25)+1.6</f>
        <v>25</v>
      </c>
      <c r="L25" s="52">
        <f>SUM(K25)+1.1</f>
        <v>26.1</v>
      </c>
      <c r="M25" s="230">
        <f>SUM(L25)+1.1</f>
        <v>27.200000000000003</v>
      </c>
    </row>
    <row r="26" spans="1:13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231"/>
    </row>
    <row r="27" spans="1:13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/>
      <c r="I27" s="52">
        <f>SUM(J27)-1.3</f>
        <v>29.4</v>
      </c>
      <c r="J27" s="54">
        <v>30.7</v>
      </c>
      <c r="K27" s="52">
        <f>SUM(J27)+1.8</f>
        <v>32.5</v>
      </c>
      <c r="L27" s="52">
        <f>SUM(K27)+1.3</f>
        <v>33.799999999999997</v>
      </c>
      <c r="M27" s="230">
        <f>SUM(L27)+1.3</f>
        <v>35.099999999999994</v>
      </c>
    </row>
    <row r="28" spans="1:13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231"/>
    </row>
    <row r="29" spans="1:13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>
        <f>SUM(J29)-2.5</f>
        <v>45.7</v>
      </c>
      <c r="J29" s="54">
        <v>48.2</v>
      </c>
      <c r="K29" s="52">
        <f>SUM(J29)+2.5</f>
        <v>50.7</v>
      </c>
      <c r="L29" s="52">
        <f t="shared" ref="L29:M29" si="2">SUM(K29)+2.5</f>
        <v>53.2</v>
      </c>
      <c r="M29" s="64">
        <f t="shared" si="2"/>
        <v>55.7</v>
      </c>
    </row>
    <row r="30" spans="1:13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81"/>
      <c r="I31" s="52">
        <f>SUM(J31)-6</f>
        <v>37.700000000000003</v>
      </c>
      <c r="J31" s="54">
        <v>43.7</v>
      </c>
      <c r="K31" s="52">
        <f>SUM(J31)+4.5</f>
        <v>48.2</v>
      </c>
      <c r="L31" s="52">
        <f>SUM(K31)+5</f>
        <v>53.2</v>
      </c>
      <c r="M31" s="230">
        <f>SUM(L31)+5</f>
        <v>58.2</v>
      </c>
    </row>
    <row r="32" spans="1:13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61"/>
      <c r="I32" s="79"/>
      <c r="J32" s="83"/>
      <c r="K32" s="79"/>
      <c r="L32" s="79"/>
      <c r="M32" s="231"/>
    </row>
    <row r="33" spans="1:13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52"/>
      <c r="I33" s="52">
        <f>SUM(J33)-1.9</f>
        <v>43.1</v>
      </c>
      <c r="J33" s="54">
        <v>45</v>
      </c>
      <c r="K33" s="52">
        <f>SUM(J33)+1.9</f>
        <v>46.9</v>
      </c>
      <c r="L33" s="52">
        <f t="shared" ref="L33:M33" si="3">SUM(K33)+1.9</f>
        <v>48.8</v>
      </c>
      <c r="M33" s="64">
        <f t="shared" si="3"/>
        <v>50.699999999999996</v>
      </c>
    </row>
    <row r="34" spans="1:13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79"/>
      <c r="I34" s="79"/>
      <c r="J34" s="83"/>
      <c r="K34" s="79"/>
      <c r="L34" s="79"/>
      <c r="M34" s="80"/>
    </row>
    <row r="35" spans="1:13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81"/>
      <c r="I35" s="52">
        <f>SUM(J35)-3.4</f>
        <v>36.9</v>
      </c>
      <c r="J35" s="54">
        <v>40.299999999999997</v>
      </c>
      <c r="K35" s="52">
        <f>SUM(J35)+3.3</f>
        <v>43.599999999999994</v>
      </c>
      <c r="L35" s="52">
        <f>SUM(K35)+3</f>
        <v>46.599999999999994</v>
      </c>
      <c r="M35" s="230">
        <f>SUM(L35)+3</f>
        <v>49.599999999999994</v>
      </c>
    </row>
    <row r="36" spans="1:13" s="1" customFormat="1" ht="14.1" customHeight="1" thickBot="1">
      <c r="A36" s="129"/>
      <c r="B36" s="136" t="s">
        <v>79</v>
      </c>
      <c r="C36" s="137"/>
      <c r="D36" s="138" t="s">
        <v>116</v>
      </c>
      <c r="E36" s="139"/>
      <c r="F36" s="139"/>
      <c r="G36" s="140"/>
      <c r="H36" s="65"/>
      <c r="I36" s="53"/>
      <c r="J36" s="134"/>
      <c r="K36" s="53"/>
      <c r="L36" s="53"/>
      <c r="M36" s="234"/>
    </row>
    <row r="37" spans="1:13" s="1" customFormat="1" ht="14.1" customHeight="1" thickTop="1">
      <c r="A37" s="162">
        <v>18</v>
      </c>
      <c r="B37" s="99" t="s">
        <v>309</v>
      </c>
      <c r="C37" s="100"/>
      <c r="D37" s="235"/>
      <c r="E37" s="236"/>
      <c r="F37" s="236"/>
      <c r="G37" s="237"/>
      <c r="H37" s="90"/>
      <c r="I37" s="90">
        <f>SUM(J37)-1</f>
        <v>16.3</v>
      </c>
      <c r="J37" s="165">
        <v>17.3</v>
      </c>
      <c r="K37" s="90">
        <f>SUM(J37)+1</f>
        <v>18.3</v>
      </c>
      <c r="L37" s="90">
        <f t="shared" ref="L37:M37" si="4">SUM(K37)+1</f>
        <v>19.3</v>
      </c>
      <c r="M37" s="167">
        <f t="shared" si="4"/>
        <v>20.3</v>
      </c>
    </row>
    <row r="38" spans="1:13" s="1" customFormat="1" ht="14.1" customHeight="1">
      <c r="A38" s="119"/>
      <c r="B38" s="53" t="s">
        <v>310</v>
      </c>
      <c r="C38" s="53"/>
      <c r="D38" s="238" t="s">
        <v>311</v>
      </c>
      <c r="E38" s="160"/>
      <c r="F38" s="160"/>
      <c r="G38" s="161"/>
      <c r="H38" s="79"/>
      <c r="I38" s="79"/>
      <c r="J38" s="83"/>
      <c r="K38" s="79"/>
      <c r="L38" s="79"/>
      <c r="M38" s="80"/>
    </row>
    <row r="39" spans="1:13" s="1" customFormat="1" ht="14.1" customHeight="1">
      <c r="A39" s="129">
        <v>19</v>
      </c>
      <c r="B39" s="47" t="s">
        <v>312</v>
      </c>
      <c r="C39" s="48"/>
      <c r="D39" s="75"/>
      <c r="E39" s="62"/>
      <c r="F39" s="62"/>
      <c r="G39" s="76"/>
      <c r="H39" s="52"/>
      <c r="I39" s="52">
        <f>SUM(J39)-1</f>
        <v>17.5</v>
      </c>
      <c r="J39" s="54">
        <v>18.5</v>
      </c>
      <c r="K39" s="52">
        <f>SUM(J39)+1</f>
        <v>19.5</v>
      </c>
      <c r="L39" s="52">
        <f t="shared" ref="L39:M39" si="5">SUM(K39)+1</f>
        <v>20.5</v>
      </c>
      <c r="M39" s="64">
        <f t="shared" si="5"/>
        <v>21.5</v>
      </c>
    </row>
    <row r="40" spans="1:13" s="1" customFormat="1" ht="14.1" customHeight="1">
      <c r="A40" s="119"/>
      <c r="B40" s="79" t="s">
        <v>313</v>
      </c>
      <c r="C40" s="79"/>
      <c r="D40" s="126" t="s">
        <v>311</v>
      </c>
      <c r="E40" s="124"/>
      <c r="F40" s="124"/>
      <c r="G40" s="125"/>
      <c r="H40" s="79"/>
      <c r="I40" s="79"/>
      <c r="J40" s="83"/>
      <c r="K40" s="79"/>
      <c r="L40" s="79"/>
      <c r="M40" s="80"/>
    </row>
    <row r="41" spans="1:13" s="1" customFormat="1" ht="14.1" customHeight="1">
      <c r="A41" s="129">
        <v>20</v>
      </c>
      <c r="B41" s="47" t="s">
        <v>314</v>
      </c>
      <c r="C41" s="48"/>
      <c r="D41" s="75"/>
      <c r="E41" s="62"/>
      <c r="F41" s="62"/>
      <c r="G41" s="76"/>
      <c r="H41" s="52"/>
      <c r="I41" s="52">
        <f>SUM(J41)-1.5</f>
        <v>26.5</v>
      </c>
      <c r="J41" s="54">
        <v>28</v>
      </c>
      <c r="K41" s="52">
        <f>SUM(J41)+1.5</f>
        <v>29.5</v>
      </c>
      <c r="L41" s="52">
        <f t="shared" ref="L41:M41" si="6">SUM(K41)+1.5</f>
        <v>31</v>
      </c>
      <c r="M41" s="64">
        <f t="shared" si="6"/>
        <v>32.5</v>
      </c>
    </row>
    <row r="42" spans="1:13" s="1" customFormat="1" ht="14.1" customHeight="1">
      <c r="A42" s="119"/>
      <c r="B42" s="79" t="s">
        <v>315</v>
      </c>
      <c r="C42" s="79"/>
      <c r="D42" s="126" t="s">
        <v>316</v>
      </c>
      <c r="E42" s="124"/>
      <c r="F42" s="124"/>
      <c r="G42" s="125"/>
      <c r="H42" s="79"/>
      <c r="I42" s="79"/>
      <c r="J42" s="83"/>
      <c r="K42" s="79"/>
      <c r="L42" s="79"/>
      <c r="M42" s="80"/>
    </row>
    <row r="43" spans="1:13" s="1" customFormat="1" ht="14.1" customHeight="1">
      <c r="A43" s="129">
        <v>21</v>
      </c>
      <c r="B43" s="47"/>
      <c r="C43" s="48"/>
      <c r="D43" s="78"/>
      <c r="E43" s="78"/>
      <c r="F43" s="78"/>
      <c r="G43" s="78"/>
      <c r="H43" s="52"/>
      <c r="I43" s="52"/>
      <c r="J43" s="54"/>
      <c r="K43" s="52"/>
      <c r="L43" s="52"/>
      <c r="M43" s="64"/>
    </row>
    <row r="44" spans="1:13" s="1" customFormat="1" ht="14.1" customHeight="1">
      <c r="A44" s="119"/>
      <c r="B44" s="65"/>
      <c r="C44" s="65"/>
      <c r="D44" s="58"/>
      <c r="E44" s="59"/>
      <c r="F44" s="59"/>
      <c r="G44" s="60"/>
      <c r="H44" s="79"/>
      <c r="I44" s="79"/>
      <c r="J44" s="83"/>
      <c r="K44" s="79"/>
      <c r="L44" s="79"/>
      <c r="M44" s="80"/>
    </row>
    <row r="45" spans="1:13" s="1" customFormat="1" ht="14.1" customHeight="1">
      <c r="A45" s="129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64"/>
    </row>
    <row r="46" spans="1:13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141"/>
    </row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</sheetData>
  <mergeCells count="245"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F172-3D8D-47A7-8ACA-60CB4BCE4EF2}">
  <sheetPr>
    <tabColor theme="8"/>
    <pageSetUpPr fitToPage="1"/>
  </sheetPr>
  <dimension ref="A1:N52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358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240">
        <f>SUM(L3)+3</f>
        <v>60</v>
      </c>
      <c r="N3" s="12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121"/>
      <c r="N4" s="80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136"/>
      <c r="N5" s="135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121"/>
      <c r="N6" s="80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136"/>
      <c r="N7" s="135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121"/>
      <c r="N8" s="80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200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121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61</v>
      </c>
      <c r="I11" s="52">
        <f>SUM(J11)-4.5</f>
        <v>65.5</v>
      </c>
      <c r="J11" s="134">
        <v>70</v>
      </c>
      <c r="K11" s="53">
        <f>SUM(J11)+4.5</f>
        <v>74.5</v>
      </c>
      <c r="L11" s="53">
        <f>SUM(K11)+4.5</f>
        <v>79</v>
      </c>
      <c r="M11" s="136">
        <f>SUM(L11)+4.5</f>
        <v>83.5</v>
      </c>
      <c r="N11" s="135">
        <f>SUM(M11)+4.5</f>
        <v>88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121"/>
      <c r="N12" s="80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65</v>
      </c>
      <c r="I13" s="52">
        <f>SUM(J13)-5</f>
        <v>70</v>
      </c>
      <c r="J13" s="54">
        <v>75</v>
      </c>
      <c r="K13" s="52">
        <f>SUM(J13)+5</f>
        <v>80</v>
      </c>
      <c r="L13" s="52">
        <f>SUM(K13)+5</f>
        <v>85</v>
      </c>
      <c r="M13" s="200">
        <f>SUM(L13)+5</f>
        <v>90</v>
      </c>
      <c r="N13" s="64">
        <f>SUM(M13)+5</f>
        <v>95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121"/>
      <c r="N14" s="80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47">
        <f>SUM(L15)+0.7</f>
        <v>13.099999999999998</v>
      </c>
      <c r="N15" s="64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40"/>
      <c r="N16" s="80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47">
        <f>SUM(L17)+0.7</f>
        <v>13.099999999999998</v>
      </c>
      <c r="N17" s="64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40"/>
      <c r="N18" s="80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200">
        <f>SUM(L19)+0</f>
        <v>3.3</v>
      </c>
      <c r="N19" s="64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121"/>
      <c r="N20" s="80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50</v>
      </c>
      <c r="I21" s="52">
        <f>SUM(J21)-7</f>
        <v>57</v>
      </c>
      <c r="J21" s="54">
        <v>64</v>
      </c>
      <c r="K21" s="52">
        <f>SUM(J21)+6</f>
        <v>70</v>
      </c>
      <c r="L21" s="52">
        <f>SUM(K21)+6</f>
        <v>76</v>
      </c>
      <c r="M21" s="200">
        <f>SUM(L21)+6</f>
        <v>82</v>
      </c>
      <c r="N21" s="64">
        <f>SUM(M21)+6</f>
        <v>88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121"/>
      <c r="N22" s="80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SUM(I23)-2.2</f>
        <v>37.599999999999994</v>
      </c>
      <c r="I23" s="52">
        <f>SUM(J23)-2.2</f>
        <v>39.799999999999997</v>
      </c>
      <c r="J23" s="54">
        <v>42</v>
      </c>
      <c r="K23" s="52">
        <f>SUM(J23)+2.2</f>
        <v>44.2</v>
      </c>
      <c r="L23" s="52">
        <f>SUM(K23)+2.2</f>
        <v>46.400000000000006</v>
      </c>
      <c r="M23" s="200">
        <f>SUM(L23)+2.2</f>
        <v>48.600000000000009</v>
      </c>
      <c r="N23" s="64">
        <f>SUM(M23)+2.2</f>
        <v>50.800000000000011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121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20.799999999999997</v>
      </c>
      <c r="I25" s="52">
        <f>SUM(J25)-1.1</f>
        <v>21.9</v>
      </c>
      <c r="J25" s="54">
        <v>23</v>
      </c>
      <c r="K25" s="52">
        <f>SUM(J25)+1.6</f>
        <v>24.6</v>
      </c>
      <c r="L25" s="52">
        <f>SUM(K25)+1.1</f>
        <v>25.700000000000003</v>
      </c>
      <c r="M25" s="47">
        <f>SUM(L25)+1.1</f>
        <v>26.800000000000004</v>
      </c>
      <c r="N25" s="64">
        <f>SUM(M25)+1.1</f>
        <v>27.900000000000006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40"/>
      <c r="N26" s="80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27.4</v>
      </c>
      <c r="I27" s="52">
        <f>SUM(J27)-1.3</f>
        <v>28.7</v>
      </c>
      <c r="J27" s="54">
        <v>30</v>
      </c>
      <c r="K27" s="52">
        <f>SUM(J27)+1.8</f>
        <v>31.8</v>
      </c>
      <c r="L27" s="52">
        <f>SUM(K27)+1.3</f>
        <v>33.1</v>
      </c>
      <c r="M27" s="47">
        <f>SUM(L27)+1.3</f>
        <v>34.4</v>
      </c>
      <c r="N27" s="64">
        <f>SUM(M27)+1.3</f>
        <v>35.699999999999996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40"/>
      <c r="N28" s="80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200"/>
      <c r="N29" s="64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121"/>
      <c r="N30" s="80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200"/>
      <c r="N31" s="64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121"/>
      <c r="N32" s="80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47"/>
      <c r="N33" s="64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40"/>
      <c r="N34" s="80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200"/>
      <c r="N35" s="64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121"/>
      <c r="N36" s="80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239">
        <f>SUM(L37)+0.5</f>
        <v>9.5</v>
      </c>
      <c r="N37" s="63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239"/>
      <c r="N38" s="63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5.4</v>
      </c>
      <c r="I39" s="52">
        <f>SUM(J39)-0.3</f>
        <v>5.7</v>
      </c>
      <c r="J39" s="54">
        <v>6</v>
      </c>
      <c r="K39" s="52">
        <f>SUM(J39)+0.3</f>
        <v>6.3</v>
      </c>
      <c r="L39" s="52">
        <f>SUM(K39)+0.3</f>
        <v>6.6</v>
      </c>
      <c r="M39" s="200">
        <f>SUM(L39)+0.3</f>
        <v>6.8999999999999995</v>
      </c>
      <c r="N39" s="64">
        <f>SUM(M39)+0.3</f>
        <v>7.1999999999999993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121"/>
      <c r="N40" s="80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</v>
      </c>
      <c r="I41" s="52">
        <f>SUM(J41)-0.5</f>
        <v>10.5</v>
      </c>
      <c r="J41" s="54">
        <v>11</v>
      </c>
      <c r="K41" s="52">
        <f>SUM(J41)+0.5</f>
        <v>11.5</v>
      </c>
      <c r="L41" s="52">
        <f>SUM(K41)+0.5</f>
        <v>12</v>
      </c>
      <c r="M41" s="200">
        <f>SUM(L41)+0.5</f>
        <v>12.5</v>
      </c>
      <c r="N41" s="64">
        <f>SUM(M41)+0.5</f>
        <v>13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121"/>
      <c r="N42" s="80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9</v>
      </c>
      <c r="I43" s="52">
        <f>SUM(J43)-0.5</f>
        <v>9.5</v>
      </c>
      <c r="J43" s="54">
        <v>10</v>
      </c>
      <c r="K43" s="52">
        <f>SUM(J43)+0.5</f>
        <v>10.5</v>
      </c>
      <c r="L43" s="52">
        <f>SUM(K43)+0.5</f>
        <v>11</v>
      </c>
      <c r="M43" s="200">
        <f>SUM(L43)+0.5</f>
        <v>11.5</v>
      </c>
      <c r="N43" s="64">
        <f>SUM(M43)+0.5</f>
        <v>12</v>
      </c>
    </row>
    <row r="44" spans="1:14" s="1" customFormat="1" ht="14.1" customHeight="1">
      <c r="A44" s="129"/>
      <c r="B44" s="65" t="s">
        <v>94</v>
      </c>
      <c r="C44" s="65"/>
      <c r="D44" s="58" t="s">
        <v>359</v>
      </c>
      <c r="E44" s="59"/>
      <c r="F44" s="59"/>
      <c r="G44" s="60"/>
      <c r="H44" s="53"/>
      <c r="I44" s="53"/>
      <c r="J44" s="134"/>
      <c r="K44" s="53"/>
      <c r="L44" s="53"/>
      <c r="M44" s="136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200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69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BDFD-7F4C-41FE-AF13-E82BEE43BBC7}">
  <sheetPr>
    <tabColor theme="8"/>
    <pageSetUpPr fitToPage="1"/>
  </sheetPr>
  <dimension ref="A1:N52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360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61</v>
      </c>
      <c r="I11" s="52">
        <f>SUM(J11)-4.5</f>
        <v>65.5</v>
      </c>
      <c r="J11" s="134">
        <v>70</v>
      </c>
      <c r="K11" s="53">
        <f>SUM(J11)+4.5</f>
        <v>74.5</v>
      </c>
      <c r="L11" s="53">
        <f>SUM(K11)+4.5</f>
        <v>79</v>
      </c>
      <c r="M11" s="53">
        <f>SUM(L11)+4.5</f>
        <v>83.5</v>
      </c>
      <c r="N11" s="214">
        <f>SUM(M11)+4.5</f>
        <v>88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68</v>
      </c>
      <c r="I13" s="52">
        <f>SUM(J13)-5</f>
        <v>73</v>
      </c>
      <c r="J13" s="54">
        <v>78</v>
      </c>
      <c r="K13" s="52">
        <f>SUM(J13)+5</f>
        <v>83</v>
      </c>
      <c r="L13" s="52">
        <f>SUM(K13)+5</f>
        <v>88</v>
      </c>
      <c r="M13" s="52">
        <f>SUM(L13)+5</f>
        <v>93</v>
      </c>
      <c r="N13" s="205">
        <f>SUM(M13)+5</f>
        <v>98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05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05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SUM(I21)-5</f>
        <v>46</v>
      </c>
      <c r="I21" s="52">
        <f>SUM(J21)-5</f>
        <v>51</v>
      </c>
      <c r="J21" s="54">
        <v>56</v>
      </c>
      <c r="K21" s="52">
        <f>SUM(J21)+4.5</f>
        <v>60.5</v>
      </c>
      <c r="L21" s="52">
        <f>SUM(K21)+4.5</f>
        <v>65</v>
      </c>
      <c r="M21" s="52">
        <f>SUM(L21)+4.5</f>
        <v>69.5</v>
      </c>
      <c r="N21" s="205">
        <f>SUM(M21)+4.5</f>
        <v>74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SUM(I23)-2.4</f>
        <v>44.2</v>
      </c>
      <c r="I23" s="52">
        <f>SUM(J23)-2.4</f>
        <v>46.6</v>
      </c>
      <c r="J23" s="54">
        <v>49</v>
      </c>
      <c r="K23" s="52">
        <f>SUM(J23)+2.4</f>
        <v>51.4</v>
      </c>
      <c r="L23" s="52">
        <f>SUM(K23)+2.4</f>
        <v>53.8</v>
      </c>
      <c r="M23" s="52">
        <f>SUM(L23)+2.4</f>
        <v>56.199999999999996</v>
      </c>
      <c r="N23" s="64">
        <f>SUM(M23)+2.4</f>
        <v>58.599999999999994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21.299999999999997</v>
      </c>
      <c r="I25" s="52">
        <f>SUM(J25)-1.1</f>
        <v>22.4</v>
      </c>
      <c r="J25" s="54">
        <v>23.5</v>
      </c>
      <c r="K25" s="52">
        <f>SUM(J25)+1.6</f>
        <v>25.1</v>
      </c>
      <c r="L25" s="52">
        <f>SUM(K25)+1.1</f>
        <v>26.200000000000003</v>
      </c>
      <c r="M25" s="81">
        <f>SUM(L25)+1.1</f>
        <v>27.300000000000004</v>
      </c>
      <c r="N25" s="205">
        <f>SUM(M25)+1.1</f>
        <v>28.400000000000006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28.4</v>
      </c>
      <c r="I27" s="52">
        <f>SUM(J27)-1.3</f>
        <v>29.7</v>
      </c>
      <c r="J27" s="54">
        <v>31</v>
      </c>
      <c r="K27" s="52">
        <f>SUM(J27)+1.8</f>
        <v>32.799999999999997</v>
      </c>
      <c r="L27" s="52">
        <f>SUM(K27)+1.3</f>
        <v>34.099999999999994</v>
      </c>
      <c r="M27" s="81">
        <f>SUM(L27)+1.3</f>
        <v>35.399999999999991</v>
      </c>
      <c r="N27" s="205">
        <f>SUM(M27)+1.3</f>
        <v>36.699999999999989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175">
        <f>SUM(L37)+0.5</f>
        <v>9.5</v>
      </c>
      <c r="N37" s="208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5.9</v>
      </c>
      <c r="I39" s="52">
        <f>SUM(J39)-0.3</f>
        <v>6.2</v>
      </c>
      <c r="J39" s="54">
        <v>6.5</v>
      </c>
      <c r="K39" s="52">
        <f>SUM(J39)+0.3</f>
        <v>6.8</v>
      </c>
      <c r="L39" s="52">
        <f>SUM(K39)+0.3</f>
        <v>7.1</v>
      </c>
      <c r="M39" s="52">
        <f>SUM(L39)+0.3</f>
        <v>7.3999999999999995</v>
      </c>
      <c r="N39" s="205">
        <f>SUM(M39)+0.3</f>
        <v>7.6999999999999993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10.5</v>
      </c>
      <c r="I41" s="52">
        <f>SUM(J41)-0.5</f>
        <v>11</v>
      </c>
      <c r="J41" s="54">
        <v>11.5</v>
      </c>
      <c r="K41" s="52">
        <f>SUM(J41)+0.5</f>
        <v>12</v>
      </c>
      <c r="L41" s="52">
        <f>SUM(K41)+0.5</f>
        <v>12.5</v>
      </c>
      <c r="M41" s="52">
        <f>SUM(L41)+0.5</f>
        <v>13</v>
      </c>
      <c r="N41" s="205">
        <f>SUM(M41)+0.5</f>
        <v>13.5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10</v>
      </c>
      <c r="I43" s="52">
        <f>SUM(J43)-0.5</f>
        <v>10.5</v>
      </c>
      <c r="J43" s="54">
        <v>11</v>
      </c>
      <c r="K43" s="52">
        <f>SUM(J43)+0.5</f>
        <v>11.5</v>
      </c>
      <c r="L43" s="52">
        <f>SUM(K43)+0.5</f>
        <v>12</v>
      </c>
      <c r="M43" s="52">
        <f>SUM(L43)+0.5</f>
        <v>12.5</v>
      </c>
      <c r="N43" s="64">
        <f>SUM(M43)+0.5</f>
        <v>13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5F38-D3B5-4C9B-AD48-5368B0FA4C1D}">
  <sheetPr>
    <tabColor theme="8"/>
    <pageSetUpPr fitToPage="1"/>
  </sheetPr>
  <dimension ref="A1:N63"/>
  <sheetViews>
    <sheetView topLeftCell="A25" zoomScale="110" zoomScaleNormal="110" workbookViewId="0">
      <selection activeCell="Q20" sqref="Q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526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61</v>
      </c>
      <c r="I11" s="52">
        <f>SUM(J11)-4.5</f>
        <v>65.5</v>
      </c>
      <c r="J11" s="134">
        <v>70</v>
      </c>
      <c r="K11" s="53">
        <f>SUM(J11)+4.5</f>
        <v>74.5</v>
      </c>
      <c r="L11" s="53">
        <f>SUM(K11)+4.5</f>
        <v>79</v>
      </c>
      <c r="M11" s="53">
        <f>SUM(L11)+4.5</f>
        <v>83.5</v>
      </c>
      <c r="N11" s="214">
        <f>SUM(M11)+4.5</f>
        <v>88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65</v>
      </c>
      <c r="I13" s="52">
        <f>SUM(J13)-5</f>
        <v>70</v>
      </c>
      <c r="J13" s="54">
        <v>75</v>
      </c>
      <c r="K13" s="52">
        <f>SUM(J13)+5</f>
        <v>80</v>
      </c>
      <c r="L13" s="52">
        <f>SUM(K13)+5</f>
        <v>85</v>
      </c>
      <c r="M13" s="52">
        <f>SUM(L13)+5</f>
        <v>90</v>
      </c>
      <c r="N13" s="205">
        <f>SUM(M13)+5</f>
        <v>95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05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05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50</v>
      </c>
      <c r="I21" s="52">
        <f>SUM(J21)-7</f>
        <v>57</v>
      </c>
      <c r="J21" s="54">
        <v>64</v>
      </c>
      <c r="K21" s="52">
        <f>SUM(J21)+6</f>
        <v>70</v>
      </c>
      <c r="L21" s="52">
        <f>SUM(K21)+6</f>
        <v>76</v>
      </c>
      <c r="M21" s="52">
        <f>SUM(L21)+6</f>
        <v>82</v>
      </c>
      <c r="N21" s="205">
        <f>SUM(M21)+6</f>
        <v>88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SUM(I23)-2.2</f>
        <v>38.599999999999994</v>
      </c>
      <c r="I23" s="52">
        <f>SUM(J23)-2.2</f>
        <v>40.799999999999997</v>
      </c>
      <c r="J23" s="54">
        <v>43</v>
      </c>
      <c r="K23" s="52">
        <f>SUM(J23)+2.2</f>
        <v>45.2</v>
      </c>
      <c r="L23" s="52">
        <f>SUM(K23)+2.2</f>
        <v>47.400000000000006</v>
      </c>
      <c r="M23" s="52">
        <f>SUM(L23)+2.2</f>
        <v>49.600000000000009</v>
      </c>
      <c r="N23" s="64">
        <f>SUM(M23)+2.2</f>
        <v>51.800000000000011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20.799999999999997</v>
      </c>
      <c r="I25" s="52">
        <f>SUM(J25)-1.1</f>
        <v>21.9</v>
      </c>
      <c r="J25" s="54">
        <v>23</v>
      </c>
      <c r="K25" s="52">
        <f>SUM(J25)+1.6</f>
        <v>24.6</v>
      </c>
      <c r="L25" s="52">
        <f>SUM(K25)+1.1</f>
        <v>25.700000000000003</v>
      </c>
      <c r="M25" s="81">
        <f>SUM(L25)+1.1</f>
        <v>26.800000000000004</v>
      </c>
      <c r="N25" s="205">
        <f>SUM(M25)+1.1</f>
        <v>27.900000000000006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27.4</v>
      </c>
      <c r="I27" s="52">
        <f>SUM(J27)-1.3</f>
        <v>28.7</v>
      </c>
      <c r="J27" s="54">
        <v>30</v>
      </c>
      <c r="K27" s="52">
        <f>SUM(J27)+1.8</f>
        <v>31.8</v>
      </c>
      <c r="L27" s="52">
        <f>SUM(K27)+1.3</f>
        <v>33.1</v>
      </c>
      <c r="M27" s="81">
        <f>SUM(L27)+1.3</f>
        <v>34.4</v>
      </c>
      <c r="N27" s="205">
        <f>SUM(M27)+1.3</f>
        <v>35.699999999999996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SUM(I37)-0.2</f>
        <v>4.0999999999999996</v>
      </c>
      <c r="I37" s="52">
        <f>SUM(J37)-0.2</f>
        <v>4.3</v>
      </c>
      <c r="J37" s="37">
        <v>4.5</v>
      </c>
      <c r="K37" s="38">
        <f>SUM(J37)+0.2</f>
        <v>4.7</v>
      </c>
      <c r="L37" s="38">
        <f>SUM(K37)+0.2</f>
        <v>4.9000000000000004</v>
      </c>
      <c r="M37" s="175">
        <f>SUM(L37)+0.2</f>
        <v>5.1000000000000005</v>
      </c>
      <c r="N37" s="208">
        <f>SUM(M37)+0.2</f>
        <v>5.3000000000000007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SUM(I39)-0.6</f>
        <v>10.3</v>
      </c>
      <c r="I39" s="52">
        <f>SUM(J39)-0.6</f>
        <v>10.9</v>
      </c>
      <c r="J39" s="54">
        <v>11.5</v>
      </c>
      <c r="K39" s="52">
        <f>SUM(J39)+0.6</f>
        <v>12.1</v>
      </c>
      <c r="L39" s="52">
        <f>SUM(K39)+0.6</f>
        <v>12.7</v>
      </c>
      <c r="M39" s="52">
        <f>SUM(L39)+0.6</f>
        <v>13.299999999999999</v>
      </c>
      <c r="N39" s="205">
        <f>SUM(M39)+0.6</f>
        <v>13.899999999999999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</v>
      </c>
      <c r="I41" s="52">
        <f>SUM(J41)-0.5</f>
        <v>10.5</v>
      </c>
      <c r="J41" s="54">
        <v>11</v>
      </c>
      <c r="K41" s="52">
        <f>SUM(J41)+0.5</f>
        <v>11.5</v>
      </c>
      <c r="L41" s="52">
        <f>SUM(K41)+0.5</f>
        <v>12</v>
      </c>
      <c r="M41" s="52">
        <f>SUM(L41)+0.5</f>
        <v>12.5</v>
      </c>
      <c r="N41" s="205">
        <f>SUM(M41)+0.5</f>
        <v>13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10.5</v>
      </c>
      <c r="I43" s="52">
        <f>SUM(J43)-0.5</f>
        <v>11</v>
      </c>
      <c r="J43" s="54">
        <v>11.5</v>
      </c>
      <c r="K43" s="52">
        <f>SUM(J43)+0.5</f>
        <v>12</v>
      </c>
      <c r="L43" s="52">
        <f>SUM(K43)+0.5</f>
        <v>12.5</v>
      </c>
      <c r="M43" s="52">
        <f>SUM(L43)+0.5</f>
        <v>13</v>
      </c>
      <c r="N43" s="64">
        <f>SUM(M43)+0.5</f>
        <v>13.5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 t="s">
        <v>363</v>
      </c>
      <c r="C45" s="48"/>
      <c r="D45" s="75"/>
      <c r="E45" s="62"/>
      <c r="F45" s="62"/>
      <c r="G45" s="76"/>
      <c r="H45" s="52">
        <f>SUM(I45)-0.6</f>
        <v>12.3</v>
      </c>
      <c r="I45" s="52">
        <f>SUM(J45)-0.6</f>
        <v>12.9</v>
      </c>
      <c r="J45" s="37">
        <v>13.5</v>
      </c>
      <c r="K45" s="38">
        <f>SUM(J45)+0.6</f>
        <v>14.1</v>
      </c>
      <c r="L45" s="38">
        <f>SUM(K45)+0.6</f>
        <v>14.7</v>
      </c>
      <c r="M45" s="175">
        <f>SUM(L45)+0.6</f>
        <v>15.299999999999999</v>
      </c>
      <c r="N45" s="208">
        <f>SUM(M45)+0.6</f>
        <v>15.899999999999999</v>
      </c>
    </row>
    <row r="46" spans="1:14" ht="14.1" customHeight="1">
      <c r="A46" s="119"/>
      <c r="B46" s="121" t="s">
        <v>364</v>
      </c>
      <c r="C46" s="122"/>
      <c r="D46" s="123"/>
      <c r="E46" s="124"/>
      <c r="F46" s="124"/>
      <c r="G46" s="125"/>
      <c r="H46" s="79"/>
      <c r="I46" s="79"/>
      <c r="J46" s="37"/>
      <c r="K46" s="38"/>
      <c r="L46" s="38"/>
      <c r="M46" s="175"/>
      <c r="N46" s="208"/>
    </row>
    <row r="47" spans="1:14" ht="14.1" customHeight="1">
      <c r="A47" s="129">
        <v>23</v>
      </c>
      <c r="B47" s="47" t="s">
        <v>365</v>
      </c>
      <c r="C47" s="48"/>
      <c r="D47" s="75"/>
      <c r="E47" s="62"/>
      <c r="F47" s="62"/>
      <c r="G47" s="76"/>
      <c r="H47" s="52">
        <f>SUM(I47)-0.2</f>
        <v>4.5999999999999996</v>
      </c>
      <c r="I47" s="52">
        <f>SUM(J47)-0.2</f>
        <v>4.8</v>
      </c>
      <c r="J47" s="54">
        <v>5</v>
      </c>
      <c r="K47" s="52">
        <f>SUM(J47)+0.2</f>
        <v>5.2</v>
      </c>
      <c r="L47" s="52">
        <f>SUM(K47)+0.2</f>
        <v>5.4</v>
      </c>
      <c r="M47" s="52">
        <f>SUM(L47)+0.2</f>
        <v>5.6000000000000005</v>
      </c>
      <c r="N47" s="205">
        <f>SUM(M47)+0.2</f>
        <v>5.8000000000000007</v>
      </c>
    </row>
    <row r="48" spans="1:14" ht="14.1" customHeight="1">
      <c r="A48" s="119"/>
      <c r="B48" s="121" t="s">
        <v>366</v>
      </c>
      <c r="C48" s="122"/>
      <c r="D48" s="123"/>
      <c r="E48" s="124"/>
      <c r="F48" s="124"/>
      <c r="G48" s="125"/>
      <c r="H48" s="79"/>
      <c r="I48" s="79"/>
      <c r="J48" s="83"/>
      <c r="K48" s="79"/>
      <c r="L48" s="79"/>
      <c r="M48" s="79"/>
      <c r="N48" s="207"/>
    </row>
    <row r="49" spans="1:14" ht="13.5" customHeight="1">
      <c r="A49" s="129">
        <v>24</v>
      </c>
      <c r="B49" s="47" t="s">
        <v>367</v>
      </c>
      <c r="C49" s="48"/>
      <c r="D49" s="78"/>
      <c r="E49" s="78"/>
      <c r="F49" s="78"/>
      <c r="G49" s="78"/>
      <c r="H49" s="52">
        <f>SUM(I49)-0.6</f>
        <v>11.8</v>
      </c>
      <c r="I49" s="52">
        <f>SUM(J49)-0.6</f>
        <v>12.4</v>
      </c>
      <c r="J49" s="37">
        <v>13</v>
      </c>
      <c r="K49" s="38">
        <f>SUM(J49)+0.6</f>
        <v>13.6</v>
      </c>
      <c r="L49" s="38">
        <f>SUM(K49)+0.6</f>
        <v>14.2</v>
      </c>
      <c r="M49" s="175">
        <f>SUM(L49)+0.6</f>
        <v>14.799999999999999</v>
      </c>
      <c r="N49" s="208">
        <f>SUM(M49)+0.6</f>
        <v>15.399999999999999</v>
      </c>
    </row>
    <row r="50" spans="1:14" ht="13.5" customHeight="1">
      <c r="A50" s="119"/>
      <c r="B50" s="40" t="s">
        <v>369</v>
      </c>
      <c r="C50" s="41"/>
      <c r="D50" s="42"/>
      <c r="E50" s="43"/>
      <c r="F50" s="43"/>
      <c r="G50" s="44"/>
      <c r="H50" s="79"/>
      <c r="I50" s="79"/>
      <c r="J50" s="37"/>
      <c r="K50" s="38"/>
      <c r="L50" s="38"/>
      <c r="M50" s="175"/>
      <c r="N50" s="208"/>
    </row>
    <row r="51" spans="1:14" ht="13.5" customHeight="1">
      <c r="A51" s="129">
        <v>25</v>
      </c>
      <c r="B51" s="47" t="s">
        <v>368</v>
      </c>
      <c r="C51" s="48"/>
      <c r="D51" s="78"/>
      <c r="E51" s="78"/>
      <c r="F51" s="78"/>
      <c r="G51" s="78"/>
      <c r="H51" s="52">
        <f>SUM(I51)-0.6</f>
        <v>11.8</v>
      </c>
      <c r="I51" s="52">
        <f>SUM(J51)-0.6</f>
        <v>12.4</v>
      </c>
      <c r="J51" s="37">
        <v>13</v>
      </c>
      <c r="K51" s="38">
        <f>SUM(J51)+0.6</f>
        <v>13.6</v>
      </c>
      <c r="L51" s="38">
        <f>SUM(K51)+0.6</f>
        <v>14.2</v>
      </c>
      <c r="M51" s="175">
        <f>SUM(L51)+0.6</f>
        <v>14.799999999999999</v>
      </c>
      <c r="N51" s="208">
        <f>SUM(M51)+0.6</f>
        <v>15.399999999999999</v>
      </c>
    </row>
    <row r="52" spans="1:14" ht="13.5" customHeight="1">
      <c r="A52" s="129"/>
      <c r="B52" s="65" t="s">
        <v>370</v>
      </c>
      <c r="C52" s="65"/>
      <c r="D52" s="58"/>
      <c r="E52" s="59"/>
      <c r="F52" s="59"/>
      <c r="G52" s="60"/>
      <c r="H52" s="79"/>
      <c r="I52" s="79"/>
      <c r="J52" s="37"/>
      <c r="K52" s="38"/>
      <c r="L52" s="38"/>
      <c r="M52" s="175"/>
      <c r="N52" s="208"/>
    </row>
    <row r="53" spans="1:14" ht="13.5" customHeight="1">
      <c r="A53" s="142">
        <v>26</v>
      </c>
      <c r="B53" s="47"/>
      <c r="C53" s="48"/>
      <c r="D53" s="78"/>
      <c r="E53" s="78"/>
      <c r="F53" s="78"/>
      <c r="G53" s="78"/>
      <c r="H53" s="52"/>
      <c r="I53" s="52"/>
      <c r="J53" s="54"/>
      <c r="K53" s="52"/>
      <c r="L53" s="52"/>
      <c r="M53" s="52"/>
      <c r="N53" s="64"/>
    </row>
    <row r="54" spans="1:14" ht="13.5" customHeight="1" thickBot="1">
      <c r="A54" s="143"/>
      <c r="B54" s="190"/>
      <c r="C54" s="190"/>
      <c r="D54" s="180"/>
      <c r="E54" s="181"/>
      <c r="F54" s="181"/>
      <c r="G54" s="182"/>
      <c r="H54" s="77"/>
      <c r="I54" s="77"/>
      <c r="J54" s="144"/>
      <c r="K54" s="77"/>
      <c r="L54" s="77"/>
      <c r="M54" s="77"/>
      <c r="N54" s="14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  <row r="62" spans="1:14" ht="13.5" customHeight="1"/>
    <row r="63" spans="1:14" ht="13.5" customHeight="1"/>
  </sheetData>
  <mergeCells count="315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53:K54"/>
    <mergeCell ref="L53:L54"/>
    <mergeCell ref="M53:M54"/>
    <mergeCell ref="N53:N54"/>
    <mergeCell ref="B54:C54"/>
    <mergeCell ref="D54:G54"/>
    <mergeCell ref="A53:A54"/>
    <mergeCell ref="B53:C53"/>
    <mergeCell ref="D53:G53"/>
    <mergeCell ref="H53:H54"/>
    <mergeCell ref="I53:I54"/>
    <mergeCell ref="J53:J54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4CE5-8C71-48A2-A56C-602D9B3E79D5}">
  <sheetPr>
    <tabColor theme="8"/>
    <pageSetUpPr fitToPage="1"/>
  </sheetPr>
  <dimension ref="A1:N52"/>
  <sheetViews>
    <sheetView zoomScale="110" zoomScaleNormal="110" workbookViewId="0">
      <selection activeCell="A2" sqref="A2:N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354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65</v>
      </c>
      <c r="I11" s="52">
        <f>SUM(J11)-4.5</f>
        <v>69.5</v>
      </c>
      <c r="J11" s="134">
        <v>74</v>
      </c>
      <c r="K11" s="53">
        <f>SUM(J11)+4.5</f>
        <v>78.5</v>
      </c>
      <c r="L11" s="53">
        <f>SUM(K11)+4.5</f>
        <v>83</v>
      </c>
      <c r="M11" s="53">
        <f>SUM(L11)+4.5</f>
        <v>87.5</v>
      </c>
      <c r="N11" s="214">
        <f>SUM(M11)+4.5</f>
        <v>92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70</v>
      </c>
      <c r="I13" s="52">
        <f>SUM(J13)-5</f>
        <v>75</v>
      </c>
      <c r="J13" s="54">
        <v>80</v>
      </c>
      <c r="K13" s="52">
        <f>SUM(J13)+5</f>
        <v>85</v>
      </c>
      <c r="L13" s="52">
        <f>SUM(K13)+5</f>
        <v>90</v>
      </c>
      <c r="M13" s="52">
        <f>SUM(L13)+5</f>
        <v>95</v>
      </c>
      <c r="N13" s="205">
        <f>SUM(M13)+5</f>
        <v>100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05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05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52</v>
      </c>
      <c r="I21" s="52">
        <f>SUM(J21)-7</f>
        <v>59</v>
      </c>
      <c r="J21" s="54">
        <v>66</v>
      </c>
      <c r="K21" s="52">
        <f>SUM(J21)+6</f>
        <v>72</v>
      </c>
      <c r="L21" s="52">
        <f>SUM(K21)+6</f>
        <v>78</v>
      </c>
      <c r="M21" s="52">
        <f>SUM(L21)+6</f>
        <v>84</v>
      </c>
      <c r="N21" s="205">
        <f>SUM(M21)+6</f>
        <v>90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SUM(I23)-2.2</f>
        <v>35.599999999999994</v>
      </c>
      <c r="I23" s="52">
        <f>SUM(J23)-2.2</f>
        <v>37.799999999999997</v>
      </c>
      <c r="J23" s="54">
        <v>40</v>
      </c>
      <c r="K23" s="52">
        <f>SUM(J23)+2.2</f>
        <v>42.2</v>
      </c>
      <c r="L23" s="52">
        <f>SUM(K23)+2.2</f>
        <v>44.400000000000006</v>
      </c>
      <c r="M23" s="52">
        <f>SUM(L23)+2.2</f>
        <v>46.600000000000009</v>
      </c>
      <c r="N23" s="64">
        <f>SUM(M23)+2.2</f>
        <v>48.800000000000011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20.799999999999997</v>
      </c>
      <c r="I25" s="52">
        <f>SUM(J25)-1.1</f>
        <v>21.9</v>
      </c>
      <c r="J25" s="54">
        <v>23</v>
      </c>
      <c r="K25" s="52">
        <f>SUM(J25)+1.6</f>
        <v>24.6</v>
      </c>
      <c r="L25" s="52">
        <f>SUM(K25)+1.1</f>
        <v>25.700000000000003</v>
      </c>
      <c r="M25" s="81">
        <f>SUM(L25)+1.1</f>
        <v>26.800000000000004</v>
      </c>
      <c r="N25" s="205">
        <f>SUM(M25)+1.1</f>
        <v>27.900000000000006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27.4</v>
      </c>
      <c r="I27" s="52">
        <f>SUM(J27)-1.3</f>
        <v>28.7</v>
      </c>
      <c r="J27" s="54">
        <v>30</v>
      </c>
      <c r="K27" s="52">
        <f>SUM(J27)+1.8</f>
        <v>31.8</v>
      </c>
      <c r="L27" s="52">
        <f>SUM(K27)+1.3</f>
        <v>33.1</v>
      </c>
      <c r="M27" s="81">
        <f>SUM(L27)+1.3</f>
        <v>34.4</v>
      </c>
      <c r="N27" s="205">
        <f>SUM(M27)+1.3</f>
        <v>35.699999999999996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175">
        <f>SUM(L37)+0.5</f>
        <v>9.5</v>
      </c>
      <c r="N37" s="208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5.9</v>
      </c>
      <c r="I39" s="52">
        <f>SUM(J39)-0.3</f>
        <v>6.2</v>
      </c>
      <c r="J39" s="54">
        <v>6.5</v>
      </c>
      <c r="K39" s="52">
        <f>SUM(J39)+0.3</f>
        <v>6.8</v>
      </c>
      <c r="L39" s="52">
        <f>SUM(K39)+0.3</f>
        <v>7.1</v>
      </c>
      <c r="M39" s="52">
        <f>SUM(L39)+0.3</f>
        <v>7.3999999999999995</v>
      </c>
      <c r="N39" s="205">
        <f>SUM(M39)+0.3</f>
        <v>7.6999999999999993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10.5</v>
      </c>
      <c r="I41" s="52">
        <f>SUM(J41)-0.5</f>
        <v>11</v>
      </c>
      <c r="J41" s="54">
        <v>11.5</v>
      </c>
      <c r="K41" s="52">
        <f>SUM(J41)+0.5</f>
        <v>12</v>
      </c>
      <c r="L41" s="52">
        <f>SUM(K41)+0.5</f>
        <v>12.5</v>
      </c>
      <c r="M41" s="52">
        <f>SUM(L41)+0.5</f>
        <v>13</v>
      </c>
      <c r="N41" s="205">
        <f>SUM(M41)+0.5</f>
        <v>13.5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10.5</v>
      </c>
      <c r="I43" s="52">
        <f>SUM(J43)-0.5</f>
        <v>11</v>
      </c>
      <c r="J43" s="54">
        <v>11.5</v>
      </c>
      <c r="K43" s="52">
        <f>SUM(J43)+0.5</f>
        <v>12</v>
      </c>
      <c r="L43" s="52">
        <f>SUM(K43)+0.5</f>
        <v>12.5</v>
      </c>
      <c r="M43" s="52">
        <f>SUM(L43)+0.5</f>
        <v>13</v>
      </c>
      <c r="N43" s="64">
        <f>SUM(M43)+0.5</f>
        <v>13.5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2A8B-A455-402C-BC1C-89BF4851A722}">
  <sheetPr>
    <tabColor theme="8"/>
    <pageSetUpPr fitToPage="1"/>
  </sheetPr>
  <dimension ref="A1:N52"/>
  <sheetViews>
    <sheetView topLeftCell="A4"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356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63</v>
      </c>
      <c r="I11" s="52">
        <f>SUM(J11)-4.5</f>
        <v>67.5</v>
      </c>
      <c r="J11" s="134">
        <v>72</v>
      </c>
      <c r="K11" s="53">
        <f>SUM(J11)+4.5</f>
        <v>76.5</v>
      </c>
      <c r="L11" s="53">
        <f>SUM(K11)+4.5</f>
        <v>81</v>
      </c>
      <c r="M11" s="53">
        <f>SUM(L11)+4.5</f>
        <v>85.5</v>
      </c>
      <c r="N11" s="214">
        <f>SUM(M11)+4.5</f>
        <v>90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82</v>
      </c>
      <c r="I13" s="52">
        <f>SUM(J13)-5</f>
        <v>87</v>
      </c>
      <c r="J13" s="54">
        <v>92</v>
      </c>
      <c r="K13" s="52">
        <f>SUM(J13)+5</f>
        <v>97</v>
      </c>
      <c r="L13" s="52">
        <f>SUM(K13)+5</f>
        <v>102</v>
      </c>
      <c r="M13" s="52">
        <f>SUM(L13)+5</f>
        <v>107</v>
      </c>
      <c r="N13" s="205">
        <f>SUM(M13)+5</f>
        <v>112</v>
      </c>
    </row>
    <row r="14" spans="1:14" s="1" customFormat="1" ht="14.1" customHeight="1">
      <c r="A14" s="119"/>
      <c r="B14" s="121" t="s">
        <v>357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05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05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52</v>
      </c>
      <c r="I21" s="52">
        <f>SUM(J21)-7</f>
        <v>59</v>
      </c>
      <c r="J21" s="54">
        <v>66</v>
      </c>
      <c r="K21" s="52">
        <f>SUM(J21)+6</f>
        <v>72</v>
      </c>
      <c r="L21" s="52">
        <f>SUM(K21)+6</f>
        <v>78</v>
      </c>
      <c r="M21" s="52">
        <f>SUM(L21)+6</f>
        <v>84</v>
      </c>
      <c r="N21" s="205">
        <f>SUM(M21)+6</f>
        <v>90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SUM(I23)-2.4</f>
        <v>43.2</v>
      </c>
      <c r="I23" s="52">
        <f>SUM(J23)-2.4</f>
        <v>45.6</v>
      </c>
      <c r="J23" s="54">
        <v>48</v>
      </c>
      <c r="K23" s="52">
        <f>SUM(J23)+2.4</f>
        <v>50.4</v>
      </c>
      <c r="L23" s="52">
        <f>SUM(K23)+2.4</f>
        <v>52.8</v>
      </c>
      <c r="M23" s="52">
        <f>SUM(L23)+2.4</f>
        <v>55.199999999999996</v>
      </c>
      <c r="N23" s="64">
        <f>SUM(M23)+2.4</f>
        <v>57.599999999999994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20.799999999999997</v>
      </c>
      <c r="I25" s="52">
        <f>SUM(J25)-1.1</f>
        <v>21.9</v>
      </c>
      <c r="J25" s="54">
        <v>23</v>
      </c>
      <c r="K25" s="52">
        <f>SUM(J25)+1.6</f>
        <v>24.6</v>
      </c>
      <c r="L25" s="52">
        <f>SUM(K25)+1.1</f>
        <v>25.700000000000003</v>
      </c>
      <c r="M25" s="81">
        <f>SUM(L25)+1.1</f>
        <v>26.800000000000004</v>
      </c>
      <c r="N25" s="205">
        <f>SUM(M25)+1.1</f>
        <v>27.900000000000006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27.4</v>
      </c>
      <c r="I27" s="52">
        <f>SUM(J27)-1.3</f>
        <v>28.7</v>
      </c>
      <c r="J27" s="54">
        <v>30</v>
      </c>
      <c r="K27" s="52">
        <f>SUM(J27)+1.8</f>
        <v>31.8</v>
      </c>
      <c r="L27" s="52">
        <f>SUM(K27)+1.3</f>
        <v>33.1</v>
      </c>
      <c r="M27" s="81">
        <f>SUM(L27)+1.3</f>
        <v>34.4</v>
      </c>
      <c r="N27" s="205">
        <f>SUM(M27)+1.3</f>
        <v>35.699999999999996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175">
        <f>SUM(L37)+0.5</f>
        <v>9.5</v>
      </c>
      <c r="N37" s="208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5.9</v>
      </c>
      <c r="I39" s="52">
        <f>SUM(J39)-0.3</f>
        <v>6.2</v>
      </c>
      <c r="J39" s="54">
        <v>6.5</v>
      </c>
      <c r="K39" s="52">
        <f>SUM(J39)+0.3</f>
        <v>6.8</v>
      </c>
      <c r="L39" s="52">
        <f>SUM(K39)+0.3</f>
        <v>7.1</v>
      </c>
      <c r="M39" s="52">
        <f>SUM(L39)+0.3</f>
        <v>7.3999999999999995</v>
      </c>
      <c r="N39" s="205">
        <f>SUM(M39)+0.3</f>
        <v>7.6999999999999993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11</v>
      </c>
      <c r="I41" s="52">
        <f>SUM(J41)-0.5</f>
        <v>11.5</v>
      </c>
      <c r="J41" s="54">
        <v>12</v>
      </c>
      <c r="K41" s="52">
        <f>SUM(J41)+0.5</f>
        <v>12.5</v>
      </c>
      <c r="L41" s="52">
        <f>SUM(K41)+0.5</f>
        <v>13</v>
      </c>
      <c r="M41" s="52">
        <f>SUM(L41)+0.5</f>
        <v>13.5</v>
      </c>
      <c r="N41" s="205">
        <f>SUM(M41)+0.5</f>
        <v>14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11</v>
      </c>
      <c r="I43" s="52">
        <f>SUM(J43)-0.5</f>
        <v>11.5</v>
      </c>
      <c r="J43" s="54">
        <v>12</v>
      </c>
      <c r="K43" s="52">
        <f>SUM(J43)+0.5</f>
        <v>12.5</v>
      </c>
      <c r="L43" s="52">
        <f>SUM(K43)+0.5</f>
        <v>13</v>
      </c>
      <c r="M43" s="52">
        <f>SUM(L43)+0.5</f>
        <v>13.5</v>
      </c>
      <c r="N43" s="64">
        <f>SUM(M43)+0.5</f>
        <v>14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0428-A2E8-4814-8323-FD2ED3BECC25}">
  <sheetPr>
    <tabColor theme="8"/>
    <pageSetUpPr fitToPage="1"/>
  </sheetPr>
  <dimension ref="A1:N52"/>
  <sheetViews>
    <sheetView zoomScale="110" zoomScaleNormal="110" workbookViewId="0">
      <selection activeCell="P26" sqref="P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439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63</v>
      </c>
      <c r="I11" s="52">
        <f>SUM(J11)-4.5</f>
        <v>67.5</v>
      </c>
      <c r="J11" s="134">
        <v>72</v>
      </c>
      <c r="K11" s="53">
        <f>SUM(J11)+4.5</f>
        <v>76.5</v>
      </c>
      <c r="L11" s="53">
        <f>SUM(K11)+4.5</f>
        <v>81</v>
      </c>
      <c r="M11" s="53">
        <f>SUM(L11)+4.5</f>
        <v>85.5</v>
      </c>
      <c r="N11" s="214">
        <f>SUM(M11)+4.5</f>
        <v>90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74</v>
      </c>
      <c r="I13" s="52">
        <f>SUM(J13)-5</f>
        <v>79</v>
      </c>
      <c r="J13" s="54">
        <v>84</v>
      </c>
      <c r="K13" s="52">
        <f>SUM(J13)+5</f>
        <v>89</v>
      </c>
      <c r="L13" s="52">
        <f>SUM(K13)+5</f>
        <v>94</v>
      </c>
      <c r="M13" s="52">
        <f>SUM(L13)+5</f>
        <v>99</v>
      </c>
      <c r="N13" s="205">
        <f>SUM(M13)+5</f>
        <v>104</v>
      </c>
    </row>
    <row r="14" spans="1:14" s="1" customFormat="1" ht="14.1" customHeight="1">
      <c r="A14" s="119"/>
      <c r="B14" s="121" t="s">
        <v>440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10.600000000000001</v>
      </c>
      <c r="I15" s="52">
        <f>SUM(J15)-0.7</f>
        <v>11.3</v>
      </c>
      <c r="J15" s="54">
        <v>12</v>
      </c>
      <c r="K15" s="52">
        <f>SUM(J15)+0.7</f>
        <v>12.7</v>
      </c>
      <c r="L15" s="52">
        <f>SUM(K15)+0.7</f>
        <v>13.399999999999999</v>
      </c>
      <c r="M15" s="81">
        <f>SUM(L15)+0.7</f>
        <v>14.099999999999998</v>
      </c>
      <c r="N15" s="205">
        <f>SUM(M15)+0.7</f>
        <v>14.799999999999997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10.600000000000001</v>
      </c>
      <c r="I17" s="52">
        <f>SUM(J17)-0.7</f>
        <v>11.3</v>
      </c>
      <c r="J17" s="54">
        <v>12</v>
      </c>
      <c r="K17" s="52">
        <f>SUM(J17)+0.7</f>
        <v>12.7</v>
      </c>
      <c r="L17" s="52">
        <f>SUM(K17)+0.7</f>
        <v>13.399999999999999</v>
      </c>
      <c r="M17" s="81">
        <f>SUM(L17)+0.7</f>
        <v>14.099999999999998</v>
      </c>
      <c r="N17" s="205">
        <f>SUM(M17)+0.7</f>
        <v>14.799999999999997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54</v>
      </c>
      <c r="I21" s="52">
        <f>SUM(J21)-7</f>
        <v>61</v>
      </c>
      <c r="J21" s="54">
        <v>68</v>
      </c>
      <c r="K21" s="52">
        <f>SUM(J21)+6</f>
        <v>74</v>
      </c>
      <c r="L21" s="52">
        <f>SUM(K21)+6</f>
        <v>80</v>
      </c>
      <c r="M21" s="52">
        <f>SUM(L21)+6</f>
        <v>86</v>
      </c>
      <c r="N21" s="205">
        <f>SUM(M21)+6</f>
        <v>92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</f>
        <v>34</v>
      </c>
      <c r="I23" s="52">
        <f>SUM(J23)-2</f>
        <v>36</v>
      </c>
      <c r="J23" s="54">
        <v>38</v>
      </c>
      <c r="K23" s="52">
        <f>SUM(J23)+2</f>
        <v>40</v>
      </c>
      <c r="L23" s="52">
        <f>SUM(K23)+2</f>
        <v>42</v>
      </c>
      <c r="M23" s="52">
        <f>SUM(L23)+2</f>
        <v>44</v>
      </c>
      <c r="N23" s="64">
        <f>SUM(M23)+2</f>
        <v>46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22.799999999999997</v>
      </c>
      <c r="I25" s="52">
        <f>SUM(J25)-1.1</f>
        <v>23.9</v>
      </c>
      <c r="J25" s="54">
        <v>25</v>
      </c>
      <c r="K25" s="52">
        <f>SUM(J25)+1.6</f>
        <v>26.6</v>
      </c>
      <c r="L25" s="52">
        <f>SUM(K25)+1.1</f>
        <v>27.700000000000003</v>
      </c>
      <c r="M25" s="81">
        <f>SUM(L25)+1.1</f>
        <v>28.800000000000004</v>
      </c>
      <c r="N25" s="205">
        <f>SUM(M25)+1.1</f>
        <v>29.900000000000006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29.4</v>
      </c>
      <c r="I27" s="52">
        <f>SUM(J27)-1.3</f>
        <v>30.7</v>
      </c>
      <c r="J27" s="54">
        <v>32</v>
      </c>
      <c r="K27" s="52">
        <f>SUM(J27)+1.8</f>
        <v>33.799999999999997</v>
      </c>
      <c r="L27" s="52">
        <f>SUM(K27)+1.3</f>
        <v>35.099999999999994</v>
      </c>
      <c r="M27" s="81">
        <f>SUM(L27)+1.3</f>
        <v>36.399999999999991</v>
      </c>
      <c r="N27" s="205">
        <f>SUM(M27)+1.3</f>
        <v>37.699999999999989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175">
        <f>SUM(L37)+0.5</f>
        <v>9.5</v>
      </c>
      <c r="N37" s="208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5.4</v>
      </c>
      <c r="I39" s="52">
        <f>SUM(J39)-0.3</f>
        <v>5.7</v>
      </c>
      <c r="J39" s="54">
        <v>6</v>
      </c>
      <c r="K39" s="52">
        <f>SUM(J39)+0.3</f>
        <v>6.3</v>
      </c>
      <c r="L39" s="52">
        <f>SUM(K39)+0.3</f>
        <v>6.6</v>
      </c>
      <c r="M39" s="52">
        <f>SUM(L39)+0.3</f>
        <v>6.8999999999999995</v>
      </c>
      <c r="N39" s="205">
        <f>SUM(M39)+0.3</f>
        <v>7.1999999999999993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</v>
      </c>
      <c r="I41" s="52">
        <f>SUM(J41)-0.5</f>
        <v>10.5</v>
      </c>
      <c r="J41" s="54">
        <v>11</v>
      </c>
      <c r="K41" s="52">
        <f>SUM(J41)+0.5</f>
        <v>11.5</v>
      </c>
      <c r="L41" s="52">
        <f>SUM(K41)+0.5</f>
        <v>12</v>
      </c>
      <c r="M41" s="52">
        <f>SUM(L41)+0.5</f>
        <v>12.5</v>
      </c>
      <c r="N41" s="205">
        <f>SUM(M41)+0.5</f>
        <v>13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11.5</v>
      </c>
      <c r="I43" s="52">
        <f>SUM(J43)-0.5</f>
        <v>12</v>
      </c>
      <c r="J43" s="54">
        <v>12.5</v>
      </c>
      <c r="K43" s="52">
        <f>SUM(J43)+0.5</f>
        <v>13</v>
      </c>
      <c r="L43" s="52">
        <f>SUM(K43)+0.5</f>
        <v>13.5</v>
      </c>
      <c r="M43" s="52">
        <f>SUM(L43)+0.5</f>
        <v>14</v>
      </c>
      <c r="N43" s="64">
        <f>SUM(M43)+0.5</f>
        <v>14.5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6012-9B54-4B10-A0E9-287F6CFF5364}">
  <sheetPr>
    <tabColor theme="8"/>
    <pageSetUpPr fitToPage="1"/>
  </sheetPr>
  <dimension ref="A1:N52"/>
  <sheetViews>
    <sheetView topLeftCell="A4" zoomScale="110" zoomScaleNormal="110" workbookViewId="0">
      <selection activeCell="P20" sqref="P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105" t="s">
        <v>497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8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215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216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215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216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215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216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215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3">
        <f>SUM(L9)+2.2</f>
        <v>47.600000000000009</v>
      </c>
      <c r="N9" s="135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216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215">
        <f>SUM(I11)-4.5</f>
        <v>57</v>
      </c>
      <c r="I11" s="52">
        <f>SUM(J11)-4.5</f>
        <v>61.5</v>
      </c>
      <c r="J11" s="134">
        <v>66</v>
      </c>
      <c r="K11" s="53">
        <f>SUM(J11)+4.5</f>
        <v>70.5</v>
      </c>
      <c r="L11" s="53">
        <f>SUM(K11)+4.5</f>
        <v>75</v>
      </c>
      <c r="M11" s="53">
        <f>SUM(L11)+4.5</f>
        <v>79.5</v>
      </c>
      <c r="N11" s="214">
        <f>SUM(M11)+4.5</f>
        <v>84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216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215">
        <f>SUM(I13)-5</f>
        <v>58</v>
      </c>
      <c r="I13" s="52">
        <f>SUM(J13)-5</f>
        <v>63</v>
      </c>
      <c r="J13" s="54">
        <v>68</v>
      </c>
      <c r="K13" s="52">
        <f>SUM(J13)+5</f>
        <v>73</v>
      </c>
      <c r="L13" s="52">
        <f>SUM(K13)+5</f>
        <v>78</v>
      </c>
      <c r="M13" s="52">
        <f>SUM(L13)+5</f>
        <v>83</v>
      </c>
      <c r="N13" s="205">
        <f>SUM(M13)+5</f>
        <v>88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216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215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20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216"/>
      <c r="I16" s="79"/>
      <c r="J16" s="83"/>
      <c r="K16" s="79"/>
      <c r="L16" s="79"/>
      <c r="M16" s="61"/>
      <c r="N16" s="221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215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20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216"/>
      <c r="I18" s="79"/>
      <c r="J18" s="83"/>
      <c r="K18" s="79"/>
      <c r="L18" s="79"/>
      <c r="M18" s="61"/>
      <c r="N18" s="221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215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64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216"/>
      <c r="I20" s="79"/>
      <c r="J20" s="83"/>
      <c r="K20" s="79"/>
      <c r="L20" s="79"/>
      <c r="M20" s="79"/>
      <c r="N20" s="80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215">
        <f>SUM(I21)-7</f>
        <v>49</v>
      </c>
      <c r="I21" s="52">
        <f>SUM(J21)-7</f>
        <v>56</v>
      </c>
      <c r="J21" s="54">
        <v>63</v>
      </c>
      <c r="K21" s="52">
        <f>SUM(J21)+6</f>
        <v>69</v>
      </c>
      <c r="L21" s="52">
        <f>SUM(K21)+6</f>
        <v>75</v>
      </c>
      <c r="M21" s="52">
        <f>SUM(L21)+6</f>
        <v>81</v>
      </c>
      <c r="N21" s="64">
        <f>SUM(M21)+6</f>
        <v>87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216"/>
      <c r="I22" s="79"/>
      <c r="J22" s="83"/>
      <c r="K22" s="79"/>
      <c r="L22" s="79"/>
      <c r="M22" s="79"/>
      <c r="N22" s="80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215">
        <f>SUM(I23)-2</f>
        <v>33</v>
      </c>
      <c r="I23" s="52">
        <f>SUM(J23)-2</f>
        <v>35</v>
      </c>
      <c r="J23" s="54">
        <v>37</v>
      </c>
      <c r="K23" s="52">
        <f>SUM(J23)+2</f>
        <v>39</v>
      </c>
      <c r="L23" s="52">
        <f>SUM(K23)+2</f>
        <v>41</v>
      </c>
      <c r="M23" s="52">
        <f>SUM(L23)+2</f>
        <v>43</v>
      </c>
      <c r="N23" s="64">
        <f>SUM(M23)+2</f>
        <v>45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216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215">
        <f>SUM(I25)-1.1</f>
        <v>19.799999999999997</v>
      </c>
      <c r="I25" s="52">
        <f>SUM(J25)-1.1</f>
        <v>20.9</v>
      </c>
      <c r="J25" s="54">
        <v>22</v>
      </c>
      <c r="K25" s="52">
        <f>SUM(J25)+1.6</f>
        <v>23.6</v>
      </c>
      <c r="L25" s="52">
        <f>SUM(K25)+1.1</f>
        <v>24.700000000000003</v>
      </c>
      <c r="M25" s="81">
        <f>SUM(L25)+1.1</f>
        <v>25.800000000000004</v>
      </c>
      <c r="N25" s="220">
        <f>SUM(M25)+1.1</f>
        <v>26.900000000000006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216"/>
      <c r="I26" s="79"/>
      <c r="J26" s="83"/>
      <c r="K26" s="79"/>
      <c r="L26" s="79"/>
      <c r="M26" s="61"/>
      <c r="N26" s="221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215">
        <f>SUM(I27)-1.3</f>
        <v>25.9</v>
      </c>
      <c r="I27" s="52">
        <f>SUM(J27)-1.3</f>
        <v>27.2</v>
      </c>
      <c r="J27" s="54">
        <v>28.5</v>
      </c>
      <c r="K27" s="52">
        <f>SUM(J27)+1.8</f>
        <v>30.3</v>
      </c>
      <c r="L27" s="52">
        <f>SUM(K27)+1.3</f>
        <v>31.6</v>
      </c>
      <c r="M27" s="81">
        <f>SUM(L27)+1.3</f>
        <v>32.9</v>
      </c>
      <c r="N27" s="220">
        <f>SUM(M27)+1.3</f>
        <v>34.199999999999996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216"/>
      <c r="I28" s="79"/>
      <c r="J28" s="83"/>
      <c r="K28" s="79"/>
      <c r="L28" s="79"/>
      <c r="M28" s="61"/>
      <c r="N28" s="221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215"/>
      <c r="I29" s="52"/>
      <c r="J29" s="54">
        <v>38</v>
      </c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216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215"/>
      <c r="I31" s="52"/>
      <c r="J31" s="54"/>
      <c r="K31" s="52"/>
      <c r="L31" s="52"/>
      <c r="M31" s="52"/>
      <c r="N31" s="64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216"/>
      <c r="I32" s="79"/>
      <c r="J32" s="83"/>
      <c r="K32" s="79"/>
      <c r="L32" s="79"/>
      <c r="M32" s="79"/>
      <c r="N32" s="80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215">
        <f>SUM(I33)-1.6</f>
        <v>26.199999999999996</v>
      </c>
      <c r="I33" s="52">
        <f>SUM(J33)-1.6</f>
        <v>27.799999999999997</v>
      </c>
      <c r="J33" s="54">
        <v>29.4</v>
      </c>
      <c r="K33" s="52">
        <f>SUM(J33)+1.6</f>
        <v>31</v>
      </c>
      <c r="L33" s="52">
        <f>SUM(K33)+1.6</f>
        <v>32.6</v>
      </c>
      <c r="M33" s="81">
        <f>SUM(L33)+1.6</f>
        <v>34.200000000000003</v>
      </c>
      <c r="N33" s="220">
        <f>SUM(M33)+1.6</f>
        <v>35.800000000000004</v>
      </c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216"/>
      <c r="I34" s="79"/>
      <c r="J34" s="83"/>
      <c r="K34" s="79"/>
      <c r="L34" s="79"/>
      <c r="M34" s="61"/>
      <c r="N34" s="221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215"/>
      <c r="I35" s="52"/>
      <c r="J35" s="54">
        <v>40</v>
      </c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216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215">
        <f>SUM(I37)-0.6</f>
        <v>6.8000000000000007</v>
      </c>
      <c r="I37" s="52">
        <f>SUM(J37)-0.6</f>
        <v>7.4</v>
      </c>
      <c r="J37" s="37">
        <v>8</v>
      </c>
      <c r="K37" s="38">
        <f>SUM(J37)+0.6</f>
        <v>8.6</v>
      </c>
      <c r="L37" s="38">
        <f>SUM(K37)+0.6</f>
        <v>9.1999999999999993</v>
      </c>
      <c r="M37" s="38">
        <f>SUM(L37)+0.6</f>
        <v>9.7999999999999989</v>
      </c>
      <c r="N37" s="63">
        <f>SUM(M37)+0.6</f>
        <v>10.399999999999999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216"/>
      <c r="I38" s="79"/>
      <c r="J38" s="37"/>
      <c r="K38" s="38"/>
      <c r="L38" s="38"/>
      <c r="M38" s="38"/>
      <c r="N38" s="63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215">
        <f>SUM(I39)-0.4</f>
        <v>4.6999999999999993</v>
      </c>
      <c r="I39" s="52">
        <f>SUM(J39)-0.4</f>
        <v>5.0999999999999996</v>
      </c>
      <c r="J39" s="54">
        <v>5.5</v>
      </c>
      <c r="K39" s="52">
        <f>SUM(J39)+0.4</f>
        <v>5.9</v>
      </c>
      <c r="L39" s="52">
        <f>SUM(K39)+0.4</f>
        <v>6.3000000000000007</v>
      </c>
      <c r="M39" s="52">
        <f>SUM(L39)+0.4</f>
        <v>6.7000000000000011</v>
      </c>
      <c r="N39" s="64">
        <f>SUM(M39)+0.4</f>
        <v>7.1000000000000014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216"/>
      <c r="I40" s="79"/>
      <c r="J40" s="83"/>
      <c r="K40" s="79"/>
      <c r="L40" s="79"/>
      <c r="M40" s="79"/>
      <c r="N40" s="80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215">
        <f>SUM(I41)-0.5</f>
        <v>10</v>
      </c>
      <c r="I41" s="52">
        <f>SUM(J41)-0.5</f>
        <v>10.5</v>
      </c>
      <c r="J41" s="54">
        <v>11</v>
      </c>
      <c r="K41" s="52">
        <f>SUM(J41)+0.5</f>
        <v>11.5</v>
      </c>
      <c r="L41" s="52">
        <f>SUM(K41)+0.5</f>
        <v>12</v>
      </c>
      <c r="M41" s="52">
        <f>SUM(L41)+0.5</f>
        <v>12.5</v>
      </c>
      <c r="N41" s="205">
        <f>SUM(M41)+0.5</f>
        <v>13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216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215">
        <f>SUM(I43)-0.5</f>
        <v>10.5</v>
      </c>
      <c r="I43" s="52">
        <f>SUM(J43)-0.5</f>
        <v>11</v>
      </c>
      <c r="J43" s="54">
        <v>11.5</v>
      </c>
      <c r="K43" s="52">
        <f>SUM(J43)+0.5</f>
        <v>12</v>
      </c>
      <c r="L43" s="52">
        <f>SUM(K43)+0.5</f>
        <v>12.5</v>
      </c>
      <c r="M43" s="52">
        <f>SUM(L43)+0.5</f>
        <v>13</v>
      </c>
      <c r="N43" s="205">
        <f>SUM(M43)+0.5</f>
        <v>13.5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217"/>
      <c r="I44" s="53"/>
      <c r="J44" s="134"/>
      <c r="K44" s="53"/>
      <c r="L44" s="53"/>
      <c r="M44" s="53"/>
      <c r="N44" s="214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9013-195C-451F-97A8-DF5E89229E8F}">
  <sheetPr>
    <tabColor theme="8"/>
    <pageSetUpPr fitToPage="1"/>
  </sheetPr>
  <dimension ref="A1:N52"/>
  <sheetViews>
    <sheetView zoomScale="110" zoomScaleNormal="110" workbookViewId="0">
      <selection activeCell="K23" sqref="K23:K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498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63</v>
      </c>
      <c r="I11" s="52">
        <f>SUM(J11)-4.5</f>
        <v>67.5</v>
      </c>
      <c r="J11" s="134">
        <v>72</v>
      </c>
      <c r="K11" s="53">
        <f>SUM(J11)+4.5</f>
        <v>76.5</v>
      </c>
      <c r="L11" s="53">
        <f>SUM(K11)+4.5</f>
        <v>81</v>
      </c>
      <c r="M11" s="53">
        <f>SUM(L11)+4.5</f>
        <v>85.5</v>
      </c>
      <c r="N11" s="214">
        <f>SUM(M11)+4.5</f>
        <v>90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65</v>
      </c>
      <c r="I13" s="52">
        <f>SUM(J13)-5</f>
        <v>70</v>
      </c>
      <c r="J13" s="54">
        <v>75</v>
      </c>
      <c r="K13" s="52">
        <f>SUM(J13)+5</f>
        <v>80</v>
      </c>
      <c r="L13" s="52">
        <f>SUM(K13)+5</f>
        <v>85</v>
      </c>
      <c r="M13" s="52">
        <f>SUM(L13)+5</f>
        <v>90</v>
      </c>
      <c r="N13" s="205">
        <f>SUM(M13)+5</f>
        <v>95</v>
      </c>
    </row>
    <row r="14" spans="1:14" s="1" customFormat="1" ht="14.1" customHeight="1">
      <c r="A14" s="119"/>
      <c r="B14" s="121" t="s">
        <v>440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10.600000000000001</v>
      </c>
      <c r="I15" s="52">
        <f>SUM(J15)-0.7</f>
        <v>11.3</v>
      </c>
      <c r="J15" s="54">
        <v>12</v>
      </c>
      <c r="K15" s="52">
        <f>SUM(J15)+0.7</f>
        <v>12.7</v>
      </c>
      <c r="L15" s="52">
        <f>SUM(K15)+0.7</f>
        <v>13.399999999999999</v>
      </c>
      <c r="M15" s="81">
        <f>SUM(L15)+0.7</f>
        <v>14.099999999999998</v>
      </c>
      <c r="N15" s="205">
        <f>SUM(M15)+0.7</f>
        <v>14.799999999999997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10.600000000000001</v>
      </c>
      <c r="I17" s="52">
        <f>SUM(J17)-0.7</f>
        <v>11.3</v>
      </c>
      <c r="J17" s="54">
        <v>12</v>
      </c>
      <c r="K17" s="52">
        <f>SUM(J17)+0.7</f>
        <v>12.7</v>
      </c>
      <c r="L17" s="52">
        <f>SUM(K17)+0.7</f>
        <v>13.399999999999999</v>
      </c>
      <c r="M17" s="81">
        <f>SUM(L17)+0.7</f>
        <v>14.099999999999998</v>
      </c>
      <c r="N17" s="205">
        <f>SUM(M17)+0.7</f>
        <v>14.799999999999997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54</v>
      </c>
      <c r="I21" s="52">
        <f>SUM(J21)-7</f>
        <v>61</v>
      </c>
      <c r="J21" s="54">
        <v>68</v>
      </c>
      <c r="K21" s="52">
        <f>SUM(J21)+6</f>
        <v>74</v>
      </c>
      <c r="L21" s="52">
        <f>SUM(K21)+6</f>
        <v>80</v>
      </c>
      <c r="M21" s="52">
        <f>SUM(L21)+6</f>
        <v>86</v>
      </c>
      <c r="N21" s="205">
        <f>SUM(M21)+6</f>
        <v>92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</f>
        <v>34</v>
      </c>
      <c r="I23" s="52">
        <f>SUM(J23)-2</f>
        <v>36</v>
      </c>
      <c r="J23" s="54">
        <v>38</v>
      </c>
      <c r="K23" s="52">
        <f>SUM(J23)+2</f>
        <v>40</v>
      </c>
      <c r="L23" s="52">
        <f>SUM(K23)+2</f>
        <v>42</v>
      </c>
      <c r="M23" s="52">
        <f>SUM(L23)+2</f>
        <v>44</v>
      </c>
      <c r="N23" s="64">
        <f>SUM(M23)+2</f>
        <v>46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21.299999999999997</v>
      </c>
      <c r="I25" s="52">
        <f>SUM(J25)-1.1</f>
        <v>22.4</v>
      </c>
      <c r="J25" s="54">
        <v>23.5</v>
      </c>
      <c r="K25" s="52">
        <f>SUM(J25)+1.6</f>
        <v>25.1</v>
      </c>
      <c r="L25" s="52">
        <f>SUM(K25)+1.1</f>
        <v>26.200000000000003</v>
      </c>
      <c r="M25" s="81">
        <f>SUM(L25)+1.1</f>
        <v>27.300000000000004</v>
      </c>
      <c r="N25" s="205">
        <f>SUM(M25)+1.1</f>
        <v>28.400000000000006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28.4</v>
      </c>
      <c r="I27" s="52">
        <f>SUM(J27)-1.3</f>
        <v>29.7</v>
      </c>
      <c r="J27" s="54">
        <v>31</v>
      </c>
      <c r="K27" s="52">
        <f>SUM(J27)+1.8</f>
        <v>32.799999999999997</v>
      </c>
      <c r="L27" s="52">
        <f>SUM(K27)+1.3</f>
        <v>34.099999999999994</v>
      </c>
      <c r="M27" s="81">
        <f>SUM(L27)+1.3</f>
        <v>35.399999999999991</v>
      </c>
      <c r="N27" s="205">
        <f>SUM(M27)+1.3</f>
        <v>36.699999999999989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7.5</v>
      </c>
      <c r="I37" s="52">
        <f>SUM(J37)-0.5</f>
        <v>8</v>
      </c>
      <c r="J37" s="37">
        <v>8.5</v>
      </c>
      <c r="K37" s="38">
        <f>SUM(J37)+0.5</f>
        <v>9</v>
      </c>
      <c r="L37" s="38">
        <f>SUM(K37)+0.5</f>
        <v>9.5</v>
      </c>
      <c r="M37" s="175">
        <f>SUM(L37)+0.5</f>
        <v>10</v>
      </c>
      <c r="N37" s="208">
        <f>SUM(M37)+0.5</f>
        <v>10.5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5.4</v>
      </c>
      <c r="I39" s="52">
        <f>SUM(J39)-0.3</f>
        <v>5.7</v>
      </c>
      <c r="J39" s="54">
        <v>6</v>
      </c>
      <c r="K39" s="52">
        <f>SUM(J39)+0.3</f>
        <v>6.3</v>
      </c>
      <c r="L39" s="52">
        <f>SUM(K39)+0.3</f>
        <v>6.6</v>
      </c>
      <c r="M39" s="52">
        <f>SUM(L39)+0.3</f>
        <v>6.8999999999999995</v>
      </c>
      <c r="N39" s="205">
        <f>SUM(M39)+0.3</f>
        <v>7.1999999999999993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10.5</v>
      </c>
      <c r="I41" s="52">
        <f>SUM(J41)-0.5</f>
        <v>11</v>
      </c>
      <c r="J41" s="54">
        <v>11.5</v>
      </c>
      <c r="K41" s="52">
        <f>SUM(J41)+0.5</f>
        <v>12</v>
      </c>
      <c r="L41" s="52">
        <f>SUM(K41)+0.5</f>
        <v>12.5</v>
      </c>
      <c r="M41" s="52">
        <f>SUM(L41)+0.5</f>
        <v>13</v>
      </c>
      <c r="N41" s="205">
        <f>SUM(M41)+0.5</f>
        <v>13.5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10</v>
      </c>
      <c r="I43" s="52">
        <f>SUM(J43)-0.5</f>
        <v>10.5</v>
      </c>
      <c r="J43" s="54">
        <v>11</v>
      </c>
      <c r="K43" s="52">
        <f>SUM(J43)+0.5</f>
        <v>11.5</v>
      </c>
      <c r="L43" s="52">
        <f>SUM(K43)+0.5</f>
        <v>12</v>
      </c>
      <c r="M43" s="52">
        <f>SUM(L43)+0.5</f>
        <v>12.5</v>
      </c>
      <c r="N43" s="64">
        <f>SUM(M43)+0.5</f>
        <v>13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7D12-746D-40B0-9FCC-2C74FF71DDEB}">
  <sheetPr>
    <tabColor theme="8"/>
    <pageSetUpPr fitToPage="1"/>
  </sheetPr>
  <dimension ref="A1:N63"/>
  <sheetViews>
    <sheetView zoomScale="110" zoomScaleNormal="110" workbookViewId="0">
      <selection activeCell="Q12" sqref="Q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4" ht="16.5" customHeight="1" thickBot="1">
      <c r="A1" s="211" t="s">
        <v>530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  <c r="N2" s="15" t="s">
        <v>132</v>
      </c>
    </row>
    <row r="3" spans="1:14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81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>SUM(K3)+3</f>
        <v>57</v>
      </c>
      <c r="M3" s="115">
        <f>SUM(L3)+3</f>
        <v>60</v>
      </c>
      <c r="N3" s="210">
        <f>SUM(M3)+3</f>
        <v>63</v>
      </c>
    </row>
    <row r="4" spans="1:14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61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81"/>
      <c r="I5" s="52"/>
      <c r="J5" s="134"/>
      <c r="K5" s="53"/>
      <c r="L5" s="53"/>
      <c r="M5" s="53"/>
      <c r="N5" s="214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61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81"/>
      <c r="I7" s="52"/>
      <c r="J7" s="134"/>
      <c r="K7" s="53"/>
      <c r="L7" s="53"/>
      <c r="M7" s="53"/>
      <c r="N7" s="214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61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 t="s">
        <v>362</v>
      </c>
      <c r="E9" s="227"/>
      <c r="F9" s="227"/>
      <c r="G9" s="228"/>
      <c r="H9" s="52">
        <f>SUM(I9)-2.2</f>
        <v>36.599999999999994</v>
      </c>
      <c r="I9" s="52">
        <f>SUM(J9)-2.2</f>
        <v>38.799999999999997</v>
      </c>
      <c r="J9" s="134">
        <v>41</v>
      </c>
      <c r="K9" s="53">
        <f>SUM(J9)+2.2</f>
        <v>43.2</v>
      </c>
      <c r="L9" s="53">
        <f>SUM(K9)+2.2</f>
        <v>45.400000000000006</v>
      </c>
      <c r="M9" s="52">
        <f>SUM(L9)+2.2</f>
        <v>47.600000000000009</v>
      </c>
      <c r="N9" s="64">
        <f>SUM(M9)+2.2</f>
        <v>49.800000000000011</v>
      </c>
    </row>
    <row r="10" spans="1:14" s="1" customFormat="1" ht="14.1" customHeight="1">
      <c r="A10" s="119"/>
      <c r="B10" s="121" t="s">
        <v>118</v>
      </c>
      <c r="C10" s="122"/>
      <c r="D10" s="159" t="s">
        <v>355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63</v>
      </c>
      <c r="I11" s="52">
        <f>SUM(J11)-4.5</f>
        <v>67.5</v>
      </c>
      <c r="J11" s="134">
        <v>72</v>
      </c>
      <c r="K11" s="53">
        <f>SUM(J11)+4.5</f>
        <v>76.5</v>
      </c>
      <c r="L11" s="53">
        <f>SUM(K11)+4.5</f>
        <v>81</v>
      </c>
      <c r="M11" s="53">
        <f>SUM(L11)+4.5</f>
        <v>85.5</v>
      </c>
      <c r="N11" s="214">
        <f>SUM(M11)+4.5</f>
        <v>90</v>
      </c>
    </row>
    <row r="12" spans="1:14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11</v>
      </c>
      <c r="C13" s="48"/>
      <c r="D13" s="75" t="s">
        <v>353</v>
      </c>
      <c r="E13" s="62"/>
      <c r="F13" s="62"/>
      <c r="G13" s="76"/>
      <c r="H13" s="81">
        <f>SUM(I13)-5</f>
        <v>70</v>
      </c>
      <c r="I13" s="52">
        <f>SUM(J13)-5</f>
        <v>75</v>
      </c>
      <c r="J13" s="54">
        <v>80</v>
      </c>
      <c r="K13" s="52">
        <f>SUM(J13)+5</f>
        <v>85</v>
      </c>
      <c r="L13" s="52">
        <f>SUM(K13)+5</f>
        <v>90</v>
      </c>
      <c r="M13" s="52">
        <f>SUM(L13)+5</f>
        <v>95</v>
      </c>
      <c r="N13" s="205">
        <f>SUM(M13)+5</f>
        <v>100</v>
      </c>
    </row>
    <row r="14" spans="1:14" s="1" customFormat="1" ht="14.1" customHeight="1">
      <c r="A14" s="119"/>
      <c r="B14" s="121" t="s">
        <v>48</v>
      </c>
      <c r="C14" s="122"/>
      <c r="D14" s="123" t="s">
        <v>90</v>
      </c>
      <c r="E14" s="124"/>
      <c r="F14" s="124"/>
      <c r="G14" s="125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103</v>
      </c>
      <c r="C15" s="48"/>
      <c r="D15" s="75"/>
      <c r="E15" s="62"/>
      <c r="F15" s="62"/>
      <c r="G15" s="76"/>
      <c r="H15" s="81">
        <f>SUM(I15)-0.7</f>
        <v>9.6000000000000014</v>
      </c>
      <c r="I15" s="52">
        <f>SUM(J15)-0.7</f>
        <v>10.3</v>
      </c>
      <c r="J15" s="54">
        <v>11</v>
      </c>
      <c r="K15" s="52">
        <f>SUM(J15)+0.7</f>
        <v>11.7</v>
      </c>
      <c r="L15" s="52">
        <f>SUM(K15)+0.7</f>
        <v>12.399999999999999</v>
      </c>
      <c r="M15" s="81">
        <f>SUM(L15)+0.7</f>
        <v>13.099999999999998</v>
      </c>
      <c r="N15" s="205">
        <f>SUM(M15)+0.7</f>
        <v>13.799999999999997</v>
      </c>
    </row>
    <row r="16" spans="1:14" s="1" customFormat="1" ht="14.1" customHeight="1">
      <c r="A16" s="119"/>
      <c r="B16" s="121" t="s">
        <v>102</v>
      </c>
      <c r="C16" s="122"/>
      <c r="D16" s="126" t="s">
        <v>138</v>
      </c>
      <c r="E16" s="127"/>
      <c r="F16" s="127"/>
      <c r="G16" s="128"/>
      <c r="H16" s="61"/>
      <c r="I16" s="79"/>
      <c r="J16" s="83"/>
      <c r="K16" s="79"/>
      <c r="L16" s="79"/>
      <c r="M16" s="61"/>
      <c r="N16" s="207"/>
    </row>
    <row r="17" spans="1:14" s="1" customFormat="1" ht="14.1" customHeight="1">
      <c r="A17" s="129">
        <v>8</v>
      </c>
      <c r="B17" s="47" t="s">
        <v>125</v>
      </c>
      <c r="C17" s="48"/>
      <c r="D17" s="75"/>
      <c r="E17" s="62"/>
      <c r="F17" s="62"/>
      <c r="G17" s="76"/>
      <c r="H17" s="81">
        <f>SUM(I17)-0.7</f>
        <v>9.6000000000000014</v>
      </c>
      <c r="I17" s="52">
        <f>SUM(J17)-0.7</f>
        <v>10.3</v>
      </c>
      <c r="J17" s="54">
        <v>11</v>
      </c>
      <c r="K17" s="52">
        <f>SUM(J17)+0.7</f>
        <v>11.7</v>
      </c>
      <c r="L17" s="52">
        <f>SUM(K17)+0.7</f>
        <v>12.399999999999999</v>
      </c>
      <c r="M17" s="81">
        <f>SUM(L17)+0.7</f>
        <v>13.099999999999998</v>
      </c>
      <c r="N17" s="205">
        <f>SUM(M17)+0.7</f>
        <v>13.799999999999997</v>
      </c>
    </row>
    <row r="18" spans="1:14" s="1" customFormat="1" ht="14.1" customHeight="1">
      <c r="A18" s="119"/>
      <c r="B18" s="121" t="s">
        <v>126</v>
      </c>
      <c r="C18" s="122"/>
      <c r="D18" s="126" t="s">
        <v>127</v>
      </c>
      <c r="E18" s="127"/>
      <c r="F18" s="127"/>
      <c r="G18" s="128"/>
      <c r="H18" s="61"/>
      <c r="I18" s="79"/>
      <c r="J18" s="83"/>
      <c r="K18" s="79"/>
      <c r="L18" s="79"/>
      <c r="M18" s="61"/>
      <c r="N18" s="207"/>
    </row>
    <row r="19" spans="1:14" s="1" customFormat="1" ht="14.1" customHeight="1">
      <c r="A19" s="129">
        <v>9</v>
      </c>
      <c r="B19" s="47" t="s">
        <v>137</v>
      </c>
      <c r="C19" s="48"/>
      <c r="D19" s="75"/>
      <c r="E19" s="62"/>
      <c r="F19" s="62"/>
      <c r="G19" s="76"/>
      <c r="H19" s="52">
        <f>SUM(I19)-0</f>
        <v>2.8</v>
      </c>
      <c r="I19" s="52">
        <f>SUM(J19)-0</f>
        <v>2.8</v>
      </c>
      <c r="J19" s="54">
        <v>2.8</v>
      </c>
      <c r="K19" s="52">
        <f>SUM(J19)+0.5</f>
        <v>3.3</v>
      </c>
      <c r="L19" s="52">
        <f>SUM(K19)+0</f>
        <v>3.3</v>
      </c>
      <c r="M19" s="52">
        <f>SUM(L19)+0</f>
        <v>3.3</v>
      </c>
      <c r="N19" s="205">
        <f>SUM(M19)+0</f>
        <v>3.3</v>
      </c>
    </row>
    <row r="20" spans="1:14" s="1" customFormat="1" ht="14.1" customHeight="1">
      <c r="A20" s="119"/>
      <c r="B20" s="121" t="s">
        <v>136</v>
      </c>
      <c r="C20" s="122"/>
      <c r="D20" s="126"/>
      <c r="E20" s="127"/>
      <c r="F20" s="127"/>
      <c r="G20" s="128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129">
        <v>10</v>
      </c>
      <c r="B21" s="47" t="s">
        <v>9</v>
      </c>
      <c r="C21" s="48"/>
      <c r="D21" s="75" t="s">
        <v>70</v>
      </c>
      <c r="E21" s="62"/>
      <c r="F21" s="62"/>
      <c r="G21" s="76"/>
      <c r="H21" s="52">
        <f>SUM(I21)-7</f>
        <v>52</v>
      </c>
      <c r="I21" s="52">
        <f>SUM(J21)-7</f>
        <v>59</v>
      </c>
      <c r="J21" s="54">
        <v>66</v>
      </c>
      <c r="K21" s="52">
        <f>SUM(J21)+6</f>
        <v>72</v>
      </c>
      <c r="L21" s="52">
        <f>SUM(K21)+6</f>
        <v>78</v>
      </c>
      <c r="M21" s="52">
        <f>SUM(L21)+6</f>
        <v>84</v>
      </c>
      <c r="N21" s="205">
        <f>SUM(M21)+6</f>
        <v>90</v>
      </c>
    </row>
    <row r="22" spans="1:14" s="1" customFormat="1" ht="14.1" customHeight="1">
      <c r="A22" s="119"/>
      <c r="B22" s="121" t="s">
        <v>49</v>
      </c>
      <c r="C22" s="122"/>
      <c r="D22" s="123" t="s">
        <v>89</v>
      </c>
      <c r="E22" s="124"/>
      <c r="F22" s="124"/>
      <c r="G22" s="125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29">
        <v>11</v>
      </c>
      <c r="B23" s="47" t="s">
        <v>14</v>
      </c>
      <c r="C23" s="48"/>
      <c r="D23" s="75" t="s">
        <v>15</v>
      </c>
      <c r="E23" s="62"/>
      <c r="F23" s="62"/>
      <c r="G23" s="76"/>
      <c r="H23" s="52">
        <f>SUM(I23)-2.2</f>
        <v>35.599999999999994</v>
      </c>
      <c r="I23" s="52">
        <f>SUM(J23)-2.2</f>
        <v>37.799999999999997</v>
      </c>
      <c r="J23" s="54">
        <v>40</v>
      </c>
      <c r="K23" s="52">
        <f>SUM(J23)+2.2</f>
        <v>42.2</v>
      </c>
      <c r="L23" s="52">
        <f>SUM(K23)+2.2</f>
        <v>44.400000000000006</v>
      </c>
      <c r="M23" s="52">
        <f>SUM(L23)+2.2</f>
        <v>46.600000000000009</v>
      </c>
      <c r="N23" s="64">
        <f>SUM(M23)+2.2</f>
        <v>48.800000000000011</v>
      </c>
    </row>
    <row r="24" spans="1:14" s="1" customFormat="1" ht="14.1" customHeight="1">
      <c r="A24" s="119"/>
      <c r="B24" s="121" t="s">
        <v>50</v>
      </c>
      <c r="C24" s="122"/>
      <c r="D24" s="42" t="s">
        <v>88</v>
      </c>
      <c r="E24" s="43"/>
      <c r="F24" s="43"/>
      <c r="G24" s="44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29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SUM(I25)-1.1</f>
        <v>20.799999999999997</v>
      </c>
      <c r="I25" s="52">
        <f>SUM(J25)-1.1</f>
        <v>21.9</v>
      </c>
      <c r="J25" s="54">
        <v>23</v>
      </c>
      <c r="K25" s="52">
        <f>SUM(J25)+1.6</f>
        <v>24.6</v>
      </c>
      <c r="L25" s="52">
        <f>SUM(K25)+1.1</f>
        <v>25.700000000000003</v>
      </c>
      <c r="M25" s="81">
        <f>SUM(L25)+1.1</f>
        <v>26.800000000000004</v>
      </c>
      <c r="N25" s="205">
        <f>SUM(M25)+1.1</f>
        <v>27.900000000000006</v>
      </c>
    </row>
    <row r="26" spans="1:14" s="1" customFormat="1" ht="14.1" customHeight="1">
      <c r="A26" s="11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61"/>
      <c r="N26" s="207"/>
    </row>
    <row r="27" spans="1:14" s="1" customFormat="1" ht="14.1" customHeight="1">
      <c r="A27" s="129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SUM(I27)-1.3</f>
        <v>27.4</v>
      </c>
      <c r="I27" s="52">
        <f>SUM(J27)-1.3</f>
        <v>28.7</v>
      </c>
      <c r="J27" s="54">
        <v>30</v>
      </c>
      <c r="K27" s="52">
        <f>SUM(J27)+1.8</f>
        <v>31.8</v>
      </c>
      <c r="L27" s="52">
        <f>SUM(K27)+1.3</f>
        <v>33.1</v>
      </c>
      <c r="M27" s="81">
        <f>SUM(L27)+1.3</f>
        <v>34.4</v>
      </c>
      <c r="N27" s="205">
        <f>SUM(M27)+1.3</f>
        <v>35.699999999999996</v>
      </c>
    </row>
    <row r="28" spans="1:14" s="1" customFormat="1" ht="14.1" customHeight="1">
      <c r="A28" s="11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61"/>
      <c r="N28" s="207"/>
    </row>
    <row r="29" spans="1:14" s="1" customFormat="1" ht="14.1" customHeight="1">
      <c r="A29" s="129">
        <v>14</v>
      </c>
      <c r="B29" s="47" t="s">
        <v>18</v>
      </c>
      <c r="C29" s="48"/>
      <c r="D29" s="75" t="s">
        <v>19</v>
      </c>
      <c r="E29" s="62"/>
      <c r="F29" s="62"/>
      <c r="G29" s="76"/>
      <c r="H29" s="52"/>
      <c r="I29" s="52"/>
      <c r="J29" s="54"/>
      <c r="K29" s="52"/>
      <c r="L29" s="52"/>
      <c r="M29" s="52"/>
      <c r="N29" s="205"/>
    </row>
    <row r="30" spans="1:14" s="1" customFormat="1" ht="14.1" customHeight="1">
      <c r="A30" s="119"/>
      <c r="B30" s="121" t="s">
        <v>54</v>
      </c>
      <c r="C30" s="122"/>
      <c r="D30" s="123" t="s">
        <v>86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s="1" customFormat="1" ht="14.1" customHeight="1">
      <c r="A31" s="129">
        <v>15</v>
      </c>
      <c r="B31" s="47" t="s">
        <v>20</v>
      </c>
      <c r="C31" s="48"/>
      <c r="D31" s="75" t="s">
        <v>21</v>
      </c>
      <c r="E31" s="62"/>
      <c r="F31" s="62"/>
      <c r="G31" s="76"/>
      <c r="H31" s="52"/>
      <c r="I31" s="52"/>
      <c r="J31" s="54"/>
      <c r="K31" s="52"/>
      <c r="L31" s="52"/>
      <c r="M31" s="52"/>
      <c r="N31" s="205"/>
    </row>
    <row r="32" spans="1:14" s="1" customFormat="1" ht="14.1" customHeight="1">
      <c r="A32" s="119"/>
      <c r="B32" s="121" t="s">
        <v>53</v>
      </c>
      <c r="C32" s="122"/>
      <c r="D32" s="123" t="s">
        <v>85</v>
      </c>
      <c r="E32" s="124"/>
      <c r="F32" s="124"/>
      <c r="G32" s="125"/>
      <c r="H32" s="79"/>
      <c r="I32" s="79"/>
      <c r="J32" s="83"/>
      <c r="K32" s="79"/>
      <c r="L32" s="79"/>
      <c r="M32" s="79"/>
      <c r="N32" s="207"/>
    </row>
    <row r="33" spans="1:14" s="1" customFormat="1" ht="14.1" customHeight="1">
      <c r="A33" s="129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81"/>
      <c r="N33" s="205"/>
    </row>
    <row r="34" spans="1:14" s="1" customFormat="1" ht="14.1" customHeight="1">
      <c r="A34" s="11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61"/>
      <c r="N34" s="207"/>
    </row>
    <row r="35" spans="1:14" s="1" customFormat="1" ht="14.1" customHeight="1">
      <c r="A35" s="129">
        <v>17</v>
      </c>
      <c r="B35" s="47" t="s">
        <v>81</v>
      </c>
      <c r="C35" s="48"/>
      <c r="D35" s="75" t="s">
        <v>80</v>
      </c>
      <c r="E35" s="62"/>
      <c r="F35" s="62"/>
      <c r="G35" s="76"/>
      <c r="H35" s="52"/>
      <c r="I35" s="52"/>
      <c r="J35" s="54"/>
      <c r="K35" s="52"/>
      <c r="L35" s="52"/>
      <c r="M35" s="52"/>
      <c r="N35" s="205"/>
    </row>
    <row r="36" spans="1:14" s="1" customFormat="1" ht="14.1" customHeight="1">
      <c r="A36" s="119"/>
      <c r="B36" s="121" t="s">
        <v>79</v>
      </c>
      <c r="C36" s="122"/>
      <c r="D36" s="123" t="s">
        <v>116</v>
      </c>
      <c r="E36" s="124"/>
      <c r="F36" s="124"/>
      <c r="G36" s="125"/>
      <c r="H36" s="79"/>
      <c r="I36" s="79"/>
      <c r="J36" s="83"/>
      <c r="K36" s="79"/>
      <c r="L36" s="79"/>
      <c r="M36" s="79"/>
      <c r="N36" s="207"/>
    </row>
    <row r="37" spans="1:14" s="1" customFormat="1" ht="14.1" customHeight="1">
      <c r="A37" s="129">
        <v>18</v>
      </c>
      <c r="B37" s="47" t="s">
        <v>101</v>
      </c>
      <c r="C37" s="48"/>
      <c r="D37" s="75" t="s">
        <v>22</v>
      </c>
      <c r="E37" s="62"/>
      <c r="F37" s="62"/>
      <c r="G37" s="76"/>
      <c r="H37" s="52">
        <f>SUM(I37)-0.5</f>
        <v>7</v>
      </c>
      <c r="I37" s="52">
        <f>SUM(J37)-0.5</f>
        <v>7.5</v>
      </c>
      <c r="J37" s="37">
        <v>8</v>
      </c>
      <c r="K37" s="38">
        <f>SUM(J37)+0.5</f>
        <v>8.5</v>
      </c>
      <c r="L37" s="38">
        <f>SUM(K37)+0.5</f>
        <v>9</v>
      </c>
      <c r="M37" s="175">
        <f>SUM(L37)+0.5</f>
        <v>9.5</v>
      </c>
      <c r="N37" s="208">
        <f>SUM(M37)+0.5</f>
        <v>10</v>
      </c>
    </row>
    <row r="38" spans="1:14" s="1" customFormat="1" ht="14.1" customHeight="1">
      <c r="A38" s="119"/>
      <c r="B38" s="121" t="s">
        <v>52</v>
      </c>
      <c r="C38" s="122"/>
      <c r="D38" s="123" t="s">
        <v>100</v>
      </c>
      <c r="E38" s="124"/>
      <c r="F38" s="124"/>
      <c r="G38" s="125"/>
      <c r="H38" s="79"/>
      <c r="I38" s="79"/>
      <c r="J38" s="37"/>
      <c r="K38" s="38"/>
      <c r="L38" s="38"/>
      <c r="M38" s="175"/>
      <c r="N38" s="208"/>
    </row>
    <row r="39" spans="1:14" s="1" customFormat="1" ht="14.1" customHeight="1">
      <c r="A39" s="129">
        <v>19</v>
      </c>
      <c r="B39" s="47" t="s">
        <v>99</v>
      </c>
      <c r="C39" s="48"/>
      <c r="D39" s="75" t="s">
        <v>23</v>
      </c>
      <c r="E39" s="62"/>
      <c r="F39" s="62"/>
      <c r="G39" s="76"/>
      <c r="H39" s="52">
        <f>SUM(I39)-0.3</f>
        <v>5.9</v>
      </c>
      <c r="I39" s="52">
        <f>SUM(J39)-0.3</f>
        <v>6.2</v>
      </c>
      <c r="J39" s="54">
        <v>6.5</v>
      </c>
      <c r="K39" s="52">
        <f>SUM(J39)+0.3</f>
        <v>6.8</v>
      </c>
      <c r="L39" s="52">
        <f>SUM(K39)+0.3</f>
        <v>7.1</v>
      </c>
      <c r="M39" s="52">
        <f>SUM(L39)+0.3</f>
        <v>7.3999999999999995</v>
      </c>
      <c r="N39" s="205">
        <f>SUM(M39)+0.3</f>
        <v>7.6999999999999993</v>
      </c>
    </row>
    <row r="40" spans="1:14" s="1" customFormat="1" ht="14.1" customHeight="1">
      <c r="A40" s="119"/>
      <c r="B40" s="121" t="s">
        <v>51</v>
      </c>
      <c r="C40" s="122"/>
      <c r="D40" s="123" t="s">
        <v>98</v>
      </c>
      <c r="E40" s="124"/>
      <c r="F40" s="124"/>
      <c r="G40" s="125"/>
      <c r="H40" s="79"/>
      <c r="I40" s="79"/>
      <c r="J40" s="83"/>
      <c r="K40" s="79"/>
      <c r="L40" s="79"/>
      <c r="M40" s="79"/>
      <c r="N40" s="207"/>
    </row>
    <row r="41" spans="1:14" s="1" customFormat="1" ht="14.1" customHeight="1">
      <c r="A41" s="129">
        <v>20</v>
      </c>
      <c r="B41" s="47" t="s">
        <v>97</v>
      </c>
      <c r="C41" s="48"/>
      <c r="D41" s="78"/>
      <c r="E41" s="78"/>
      <c r="F41" s="78"/>
      <c r="G41" s="78"/>
      <c r="H41" s="52">
        <f>SUM(I41)-0.5</f>
        <v>10.5</v>
      </c>
      <c r="I41" s="52">
        <f>SUM(J41)-0.5</f>
        <v>11</v>
      </c>
      <c r="J41" s="54">
        <v>11.5</v>
      </c>
      <c r="K41" s="52">
        <f>SUM(J41)+0.5</f>
        <v>12</v>
      </c>
      <c r="L41" s="52">
        <f>SUM(K41)+0.5</f>
        <v>12.5</v>
      </c>
      <c r="M41" s="52">
        <f>SUM(L41)+0.5</f>
        <v>13</v>
      </c>
      <c r="N41" s="205">
        <f>SUM(M41)+0.5</f>
        <v>13.5</v>
      </c>
    </row>
    <row r="42" spans="1:14" s="1" customFormat="1" ht="14.1" customHeight="1">
      <c r="A42" s="119"/>
      <c r="B42" s="40" t="s">
        <v>96</v>
      </c>
      <c r="C42" s="41"/>
      <c r="D42" s="42"/>
      <c r="E42" s="43"/>
      <c r="F42" s="43"/>
      <c r="G42" s="44"/>
      <c r="H42" s="79"/>
      <c r="I42" s="79"/>
      <c r="J42" s="83"/>
      <c r="K42" s="79"/>
      <c r="L42" s="79"/>
      <c r="M42" s="79"/>
      <c r="N42" s="207"/>
    </row>
    <row r="43" spans="1:14" s="1" customFormat="1" ht="14.1" customHeight="1">
      <c r="A43" s="129">
        <v>21</v>
      </c>
      <c r="B43" s="47" t="s">
        <v>95</v>
      </c>
      <c r="C43" s="48"/>
      <c r="D43" s="78"/>
      <c r="E43" s="78"/>
      <c r="F43" s="78"/>
      <c r="G43" s="78"/>
      <c r="H43" s="52">
        <f>SUM(I43)-0.5</f>
        <v>10.5</v>
      </c>
      <c r="I43" s="52">
        <f>SUM(J43)-0.5</f>
        <v>11</v>
      </c>
      <c r="J43" s="54">
        <v>11.5</v>
      </c>
      <c r="K43" s="52">
        <f>SUM(J43)+0.5</f>
        <v>12</v>
      </c>
      <c r="L43" s="52">
        <f>SUM(K43)+0.5</f>
        <v>12.5</v>
      </c>
      <c r="M43" s="52">
        <f>SUM(L43)+0.5</f>
        <v>13</v>
      </c>
      <c r="N43" s="64">
        <f>SUM(M43)+0.5</f>
        <v>13.5</v>
      </c>
    </row>
    <row r="44" spans="1:14" s="1" customFormat="1" ht="14.1" customHeight="1">
      <c r="A44" s="129"/>
      <c r="B44" s="65" t="s">
        <v>94</v>
      </c>
      <c r="C44" s="65"/>
      <c r="D44" s="58"/>
      <c r="E44" s="59"/>
      <c r="F44" s="59"/>
      <c r="G44" s="60"/>
      <c r="H44" s="53"/>
      <c r="I44" s="53"/>
      <c r="J44" s="134"/>
      <c r="K44" s="53"/>
      <c r="L44" s="53"/>
      <c r="M44" s="53"/>
      <c r="N44" s="135"/>
    </row>
    <row r="45" spans="1:14" s="1" customFormat="1" ht="14.1" customHeight="1">
      <c r="A45" s="142">
        <v>22</v>
      </c>
      <c r="B45" s="47"/>
      <c r="C45" s="48"/>
      <c r="D45" s="78"/>
      <c r="E45" s="78"/>
      <c r="F45" s="78"/>
      <c r="G45" s="78"/>
      <c r="H45" s="52"/>
      <c r="I45" s="52"/>
      <c r="J45" s="54"/>
      <c r="K45" s="52"/>
      <c r="L45" s="52"/>
      <c r="M45" s="52"/>
      <c r="N45" s="64"/>
    </row>
    <row r="46" spans="1:14" ht="14.1" customHeight="1" thickBot="1">
      <c r="A46" s="143"/>
      <c r="B46" s="190"/>
      <c r="C46" s="190"/>
      <c r="D46" s="180"/>
      <c r="E46" s="181"/>
      <c r="F46" s="181"/>
      <c r="G46" s="182"/>
      <c r="H46" s="77"/>
      <c r="I46" s="77"/>
      <c r="J46" s="144"/>
      <c r="K46" s="77"/>
      <c r="L46" s="77"/>
      <c r="M46" s="77"/>
      <c r="N46" s="141"/>
    </row>
    <row r="47" spans="1:14" ht="14.1" customHeight="1"/>
    <row r="48" spans="1:14" ht="14.1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E352-0710-4D4A-92FE-F142A36461A9}">
  <sheetPr>
    <tabColor theme="8"/>
    <pageSetUpPr fitToPage="1"/>
  </sheetPr>
  <dimension ref="A1:Q74"/>
  <sheetViews>
    <sheetView zoomScale="110" zoomScaleNormal="110" workbookViewId="0">
      <selection activeCell="S16" sqref="S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529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145</v>
      </c>
    </row>
    <row r="3" spans="1:14" s="1" customFormat="1" ht="14.1" customHeight="1">
      <c r="A3" s="109">
        <v>1</v>
      </c>
      <c r="B3" s="56" t="s">
        <v>106</v>
      </c>
      <c r="C3" s="57"/>
      <c r="D3" s="58" t="s">
        <v>68</v>
      </c>
      <c r="E3" s="59"/>
      <c r="F3" s="59"/>
      <c r="G3" s="60"/>
      <c r="H3" s="53">
        <f>SUM(I3)-3</f>
        <v>45</v>
      </c>
      <c r="I3" s="53">
        <f>SUM(J3)-3</f>
        <v>48</v>
      </c>
      <c r="J3" s="134">
        <v>51</v>
      </c>
      <c r="K3" s="53">
        <f>SUM(J3)+3</f>
        <v>54</v>
      </c>
      <c r="L3" s="53">
        <f t="shared" ref="L3:N3" si="0">SUM(K3)+3</f>
        <v>57</v>
      </c>
      <c r="M3" s="53">
        <f t="shared" si="0"/>
        <v>60</v>
      </c>
      <c r="N3" s="135">
        <f t="shared" si="0"/>
        <v>63</v>
      </c>
    </row>
    <row r="4" spans="1:14" s="1" customFormat="1" ht="14.1" customHeight="1">
      <c r="A4" s="45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79"/>
      <c r="N4" s="80"/>
    </row>
    <row r="5" spans="1:14" s="1" customFormat="1" ht="14.1" customHeight="1">
      <c r="A5" s="109">
        <v>2</v>
      </c>
      <c r="B5" s="47" t="s">
        <v>113</v>
      </c>
      <c r="C5" s="48"/>
      <c r="D5" s="58"/>
      <c r="E5" s="59"/>
      <c r="F5" s="59"/>
      <c r="G5" s="60"/>
      <c r="H5" s="52">
        <f>SUM(I5)-3.5</f>
        <v>73</v>
      </c>
      <c r="I5" s="52">
        <f>SUM(J5)-3.5</f>
        <v>76.5</v>
      </c>
      <c r="J5" s="134">
        <v>80</v>
      </c>
      <c r="K5" s="53">
        <f>SUM(J5)+3.5</f>
        <v>83.5</v>
      </c>
      <c r="L5" s="53">
        <f>SUM(K5)+3.5</f>
        <v>87</v>
      </c>
      <c r="M5" s="53">
        <f>SUM(L5)+3.5</f>
        <v>90.5</v>
      </c>
      <c r="N5" s="135">
        <f>SUM(M5)+3.5</f>
        <v>94</v>
      </c>
    </row>
    <row r="6" spans="1:14" s="1" customFormat="1" ht="14.1" customHeight="1">
      <c r="A6" s="45"/>
      <c r="B6" s="121" t="s">
        <v>114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109">
        <v>3</v>
      </c>
      <c r="B7" s="47" t="s">
        <v>11</v>
      </c>
      <c r="C7" s="48"/>
      <c r="D7" s="75"/>
      <c r="E7" s="62"/>
      <c r="F7" s="62"/>
      <c r="G7" s="76"/>
      <c r="H7" s="52">
        <f>SUM(I7)-4</f>
        <v>92</v>
      </c>
      <c r="I7" s="52">
        <f>SUM(J7)-4</f>
        <v>96</v>
      </c>
      <c r="J7" s="54">
        <v>100</v>
      </c>
      <c r="K7" s="52">
        <f>SUM(J7)+4</f>
        <v>104</v>
      </c>
      <c r="L7" s="52">
        <f>SUM(K7)+4</f>
        <v>108</v>
      </c>
      <c r="M7" s="52">
        <f>SUM(L7)+4</f>
        <v>112</v>
      </c>
      <c r="N7" s="64">
        <f>SUM(M7)+4</f>
        <v>116</v>
      </c>
    </row>
    <row r="8" spans="1:14" s="1" customFormat="1" ht="14.1" customHeight="1">
      <c r="A8" s="45"/>
      <c r="B8" s="121" t="s">
        <v>48</v>
      </c>
      <c r="C8" s="122"/>
      <c r="D8" s="123" t="s">
        <v>484</v>
      </c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09">
        <v>4</v>
      </c>
      <c r="B9" s="47" t="s">
        <v>103</v>
      </c>
      <c r="C9" s="48"/>
      <c r="D9" s="75"/>
      <c r="E9" s="62"/>
      <c r="F9" s="62"/>
      <c r="G9" s="76"/>
      <c r="H9" s="81">
        <f>SUM(I9)-0.7</f>
        <v>13.8</v>
      </c>
      <c r="I9" s="52">
        <f>SUM(J9)-0.7</f>
        <v>14.5</v>
      </c>
      <c r="J9" s="54">
        <v>15.2</v>
      </c>
      <c r="K9" s="52">
        <f>SUM(J9)+1.2</f>
        <v>16.399999999999999</v>
      </c>
      <c r="L9" s="52">
        <f t="shared" ref="L9:N9" si="1">SUM(K9)+0.7</f>
        <v>17.099999999999998</v>
      </c>
      <c r="M9" s="52">
        <f t="shared" si="1"/>
        <v>17.799999999999997</v>
      </c>
      <c r="N9" s="64">
        <f t="shared" si="1"/>
        <v>18.499999999999996</v>
      </c>
    </row>
    <row r="10" spans="1:14" s="1" customFormat="1" ht="14.1" customHeight="1">
      <c r="A10" s="45"/>
      <c r="B10" s="121" t="s">
        <v>102</v>
      </c>
      <c r="C10" s="122"/>
      <c r="D10" s="126" t="s">
        <v>138</v>
      </c>
      <c r="E10" s="127"/>
      <c r="F10" s="127"/>
      <c r="G10" s="128"/>
      <c r="H10" s="61"/>
      <c r="I10" s="79"/>
      <c r="J10" s="83"/>
      <c r="K10" s="79"/>
      <c r="L10" s="79"/>
      <c r="M10" s="79"/>
      <c r="N10" s="80"/>
    </row>
    <row r="11" spans="1:14" s="1" customFormat="1" ht="14.1" customHeight="1">
      <c r="A11" s="109">
        <v>5</v>
      </c>
      <c r="B11" s="47" t="s">
        <v>125</v>
      </c>
      <c r="C11" s="48"/>
      <c r="D11" s="75"/>
      <c r="E11" s="62"/>
      <c r="F11" s="62"/>
      <c r="G11" s="76"/>
      <c r="H11" s="81"/>
      <c r="I11" s="52"/>
      <c r="J11" s="54"/>
      <c r="K11" s="52"/>
      <c r="L11" s="52"/>
      <c r="M11" s="52"/>
      <c r="N11" s="64"/>
    </row>
    <row r="12" spans="1:14" s="1" customFormat="1" ht="14.1" customHeight="1">
      <c r="A12" s="45"/>
      <c r="B12" s="121" t="s">
        <v>126</v>
      </c>
      <c r="C12" s="122"/>
      <c r="D12" s="126" t="s">
        <v>127</v>
      </c>
      <c r="E12" s="127"/>
      <c r="F12" s="127"/>
      <c r="G12" s="128"/>
      <c r="H12" s="61"/>
      <c r="I12" s="79"/>
      <c r="J12" s="83"/>
      <c r="K12" s="79"/>
      <c r="L12" s="79"/>
      <c r="M12" s="79"/>
      <c r="N12" s="80"/>
    </row>
    <row r="13" spans="1:14" s="1" customFormat="1" ht="14.1" customHeight="1">
      <c r="A13" s="109">
        <v>6</v>
      </c>
      <c r="B13" s="47" t="s">
        <v>137</v>
      </c>
      <c r="C13" s="48"/>
      <c r="D13" s="75"/>
      <c r="E13" s="62"/>
      <c r="F13" s="62"/>
      <c r="G13" s="76"/>
      <c r="H13" s="52"/>
      <c r="I13" s="52"/>
      <c r="J13" s="54"/>
      <c r="K13" s="52"/>
      <c r="L13" s="52"/>
      <c r="M13" s="52"/>
      <c r="N13" s="64"/>
    </row>
    <row r="14" spans="1:14" s="1" customFormat="1" ht="14.1" customHeight="1">
      <c r="A14" s="45"/>
      <c r="B14" s="121" t="s">
        <v>136</v>
      </c>
      <c r="C14" s="122"/>
      <c r="D14" s="126"/>
      <c r="E14" s="127"/>
      <c r="F14" s="127"/>
      <c r="G14" s="128"/>
      <c r="H14" s="79"/>
      <c r="I14" s="79"/>
      <c r="J14" s="83"/>
      <c r="K14" s="79"/>
      <c r="L14" s="79"/>
      <c r="M14" s="79"/>
      <c r="N14" s="80"/>
    </row>
    <row r="15" spans="1:14" s="1" customFormat="1" ht="14.1" customHeight="1">
      <c r="A15" s="109">
        <v>7</v>
      </c>
      <c r="B15" s="47" t="s">
        <v>9</v>
      </c>
      <c r="C15" s="48"/>
      <c r="D15" s="75" t="s">
        <v>70</v>
      </c>
      <c r="E15" s="62"/>
      <c r="F15" s="62"/>
      <c r="G15" s="76"/>
      <c r="H15" s="52">
        <f>SUM(I15)-7</f>
        <v>54.3</v>
      </c>
      <c r="I15" s="52">
        <f>SUM(J15)-7</f>
        <v>61.3</v>
      </c>
      <c r="J15" s="54">
        <v>68.3</v>
      </c>
      <c r="K15" s="52">
        <f>SUM(J15)+6</f>
        <v>74.3</v>
      </c>
      <c r="L15" s="52">
        <f>SUM(K15)+6</f>
        <v>80.3</v>
      </c>
      <c r="M15" s="52">
        <f>SUM(L15)+6</f>
        <v>86.3</v>
      </c>
      <c r="N15" s="64">
        <f>SUM(M15)+6</f>
        <v>92.3</v>
      </c>
    </row>
    <row r="16" spans="1:14" s="1" customFormat="1" ht="14.1" customHeight="1">
      <c r="A16" s="45"/>
      <c r="B16" s="121" t="s">
        <v>570</v>
      </c>
      <c r="C16" s="122"/>
      <c r="D16" s="123" t="s">
        <v>89</v>
      </c>
      <c r="E16" s="124"/>
      <c r="F16" s="124"/>
      <c r="G16" s="125"/>
      <c r="H16" s="79"/>
      <c r="I16" s="79"/>
      <c r="J16" s="83"/>
      <c r="K16" s="79"/>
      <c r="L16" s="79"/>
      <c r="M16" s="79"/>
      <c r="N16" s="80"/>
    </row>
    <row r="17" spans="1:14" s="1" customFormat="1" ht="14.1" customHeight="1">
      <c r="A17" s="109">
        <v>8</v>
      </c>
      <c r="B17" s="47" t="s">
        <v>14</v>
      </c>
      <c r="C17" s="48"/>
      <c r="D17" s="75" t="s">
        <v>15</v>
      </c>
      <c r="E17" s="62"/>
      <c r="F17" s="62"/>
      <c r="G17" s="76"/>
      <c r="H17" s="52">
        <f>SUM(I17)-1.6</f>
        <v>34.799999999999997</v>
      </c>
      <c r="I17" s="52">
        <f>SUM(J17)-1.6</f>
        <v>36.4</v>
      </c>
      <c r="J17" s="54">
        <v>38</v>
      </c>
      <c r="K17" s="52">
        <f>SUM(J17)+1.6</f>
        <v>39.6</v>
      </c>
      <c r="L17" s="52">
        <f t="shared" ref="L17:N17" si="2">SUM(K17)+1.6</f>
        <v>41.2</v>
      </c>
      <c r="M17" s="52">
        <f t="shared" si="2"/>
        <v>42.800000000000004</v>
      </c>
      <c r="N17" s="64">
        <f t="shared" si="2"/>
        <v>44.400000000000006</v>
      </c>
    </row>
    <row r="18" spans="1:14" s="1" customFormat="1" ht="14.1" customHeight="1">
      <c r="A18" s="45"/>
      <c r="B18" s="121" t="s">
        <v>50</v>
      </c>
      <c r="C18" s="122"/>
      <c r="D18" s="42" t="s">
        <v>88</v>
      </c>
      <c r="E18" s="43"/>
      <c r="F18" s="43"/>
      <c r="G18" s="44"/>
      <c r="H18" s="79"/>
      <c r="I18" s="79"/>
      <c r="J18" s="83"/>
      <c r="K18" s="79"/>
      <c r="L18" s="79"/>
      <c r="M18" s="79"/>
      <c r="N18" s="80"/>
    </row>
    <row r="19" spans="1:14" s="1" customFormat="1" ht="14.1" customHeight="1">
      <c r="A19" s="109">
        <v>9</v>
      </c>
      <c r="B19" s="47" t="s">
        <v>16</v>
      </c>
      <c r="C19" s="48"/>
      <c r="D19" s="75" t="s">
        <v>13</v>
      </c>
      <c r="E19" s="62"/>
      <c r="F19" s="62"/>
      <c r="G19" s="76"/>
      <c r="H19" s="81">
        <f>SUM(I19)-1.1</f>
        <v>21.599999999999998</v>
      </c>
      <c r="I19" s="52">
        <f>SUM(J19)-1.1</f>
        <v>22.7</v>
      </c>
      <c r="J19" s="54">
        <v>23.8</v>
      </c>
      <c r="K19" s="52">
        <f>SUM(J19)+1.6</f>
        <v>25.400000000000002</v>
      </c>
      <c r="L19" s="52">
        <f>SUM(K19)+1.1</f>
        <v>26.500000000000004</v>
      </c>
      <c r="M19" s="52">
        <f>SUM(L19)+1.1</f>
        <v>27.600000000000005</v>
      </c>
      <c r="N19" s="64">
        <f>SUM(M19)+1.1</f>
        <v>28.700000000000006</v>
      </c>
    </row>
    <row r="20" spans="1:14" s="1" customFormat="1" ht="14.1" customHeight="1">
      <c r="A20" s="45"/>
      <c r="B20" s="121" t="s">
        <v>56</v>
      </c>
      <c r="C20" s="122"/>
      <c r="D20" s="123" t="s">
        <v>87</v>
      </c>
      <c r="E20" s="124"/>
      <c r="F20" s="124"/>
      <c r="G20" s="125"/>
      <c r="H20" s="61"/>
      <c r="I20" s="79"/>
      <c r="J20" s="83"/>
      <c r="K20" s="79"/>
      <c r="L20" s="79"/>
      <c r="M20" s="79"/>
      <c r="N20" s="80"/>
    </row>
    <row r="21" spans="1:14" s="1" customFormat="1" ht="14.1" customHeight="1">
      <c r="A21" s="109">
        <v>10</v>
      </c>
      <c r="B21" s="47" t="s">
        <v>17</v>
      </c>
      <c r="C21" s="48"/>
      <c r="D21" s="75" t="s">
        <v>13</v>
      </c>
      <c r="E21" s="62"/>
      <c r="F21" s="62"/>
      <c r="G21" s="76"/>
      <c r="H21" s="81">
        <f>SUM(I21)-1.3</f>
        <v>28.4</v>
      </c>
      <c r="I21" s="52">
        <f>SUM(J21)-1.3</f>
        <v>29.7</v>
      </c>
      <c r="J21" s="54">
        <v>31</v>
      </c>
      <c r="K21" s="52">
        <f>SUM(J21)+1.8</f>
        <v>32.799999999999997</v>
      </c>
      <c r="L21" s="52">
        <f>SUM(K21)+1.3</f>
        <v>34.099999999999994</v>
      </c>
      <c r="M21" s="52">
        <f>SUM(L21)+1.3</f>
        <v>35.399999999999991</v>
      </c>
      <c r="N21" s="64">
        <f>SUM(M21)+1.3</f>
        <v>36.699999999999989</v>
      </c>
    </row>
    <row r="22" spans="1:14" s="1" customFormat="1" ht="14.1" customHeight="1">
      <c r="A22" s="45"/>
      <c r="B22" s="121" t="s">
        <v>55</v>
      </c>
      <c r="C22" s="122"/>
      <c r="D22" s="123" t="s">
        <v>87</v>
      </c>
      <c r="E22" s="124"/>
      <c r="F22" s="124"/>
      <c r="G22" s="125"/>
      <c r="H22" s="61"/>
      <c r="I22" s="79"/>
      <c r="J22" s="83"/>
      <c r="K22" s="79"/>
      <c r="L22" s="79"/>
      <c r="M22" s="79"/>
      <c r="N22" s="80"/>
    </row>
    <row r="23" spans="1:14" s="1" customFormat="1" ht="14.1" customHeight="1">
      <c r="A23" s="109">
        <v>11</v>
      </c>
      <c r="B23" s="47" t="s">
        <v>18</v>
      </c>
      <c r="C23" s="48"/>
      <c r="D23" s="75" t="s">
        <v>19</v>
      </c>
      <c r="E23" s="62"/>
      <c r="F23" s="62"/>
      <c r="G23" s="76"/>
      <c r="H23" s="52">
        <f>SUM(I23)-2.8</f>
        <v>55.900000000000006</v>
      </c>
      <c r="I23" s="52">
        <f>SUM(J23)-2.8</f>
        <v>58.7</v>
      </c>
      <c r="J23" s="54">
        <v>61.5</v>
      </c>
      <c r="K23" s="52">
        <f>SUM(J23)+2.7</f>
        <v>64.2</v>
      </c>
      <c r="L23" s="52">
        <f t="shared" ref="L23:N23" si="3">SUM(K23)+2.7</f>
        <v>66.900000000000006</v>
      </c>
      <c r="M23" s="52">
        <f t="shared" si="3"/>
        <v>69.600000000000009</v>
      </c>
      <c r="N23" s="64">
        <f t="shared" si="3"/>
        <v>72.300000000000011</v>
      </c>
    </row>
    <row r="24" spans="1:14" s="1" customFormat="1" ht="14.1" customHeight="1">
      <c r="A24" s="45"/>
      <c r="B24" s="121" t="s">
        <v>54</v>
      </c>
      <c r="C24" s="122"/>
      <c r="D24" s="123" t="s">
        <v>86</v>
      </c>
      <c r="E24" s="124"/>
      <c r="F24" s="124"/>
      <c r="G24" s="125"/>
      <c r="H24" s="79"/>
      <c r="I24" s="79"/>
      <c r="J24" s="83"/>
      <c r="K24" s="79"/>
      <c r="L24" s="79"/>
      <c r="M24" s="79"/>
      <c r="N24" s="80"/>
    </row>
    <row r="25" spans="1:14" s="1" customFormat="1" ht="14.1" customHeight="1">
      <c r="A25" s="109">
        <v>12</v>
      </c>
      <c r="B25" s="47" t="s">
        <v>20</v>
      </c>
      <c r="C25" s="48"/>
      <c r="D25" s="75" t="s">
        <v>21</v>
      </c>
      <c r="E25" s="62"/>
      <c r="F25" s="62"/>
      <c r="G25" s="76"/>
      <c r="H25" s="52">
        <f>SUM(I25)-6</f>
        <v>33.1</v>
      </c>
      <c r="I25" s="52">
        <f>SUM(J25)-6</f>
        <v>39.1</v>
      </c>
      <c r="J25" s="54">
        <v>45.1</v>
      </c>
      <c r="K25" s="52">
        <f>SUM(J25)+4.5</f>
        <v>49.6</v>
      </c>
      <c r="L25" s="52">
        <f>SUM(K25)+5</f>
        <v>54.6</v>
      </c>
      <c r="M25" s="52">
        <f>SUM(L25)+5</f>
        <v>59.6</v>
      </c>
      <c r="N25" s="64">
        <f>SUM(M25)+5</f>
        <v>64.599999999999994</v>
      </c>
    </row>
    <row r="26" spans="1:14" s="1" customFormat="1" ht="14.1" customHeight="1">
      <c r="A26" s="45"/>
      <c r="B26" s="121" t="s">
        <v>53</v>
      </c>
      <c r="C26" s="122"/>
      <c r="D26" s="123" t="s">
        <v>85</v>
      </c>
      <c r="E26" s="124"/>
      <c r="F26" s="124"/>
      <c r="G26" s="125"/>
      <c r="H26" s="79"/>
      <c r="I26" s="79"/>
      <c r="J26" s="83"/>
      <c r="K26" s="79"/>
      <c r="L26" s="79"/>
      <c r="M26" s="79"/>
      <c r="N26" s="80"/>
    </row>
    <row r="27" spans="1:14" s="1" customFormat="1" ht="14.1" customHeight="1">
      <c r="A27" s="109">
        <v>13</v>
      </c>
      <c r="B27" s="47" t="s">
        <v>84</v>
      </c>
      <c r="C27" s="48"/>
      <c r="D27" s="75" t="s">
        <v>82</v>
      </c>
      <c r="E27" s="62"/>
      <c r="F27" s="62"/>
      <c r="G27" s="76"/>
      <c r="H27" s="52">
        <f>SUM(I27)-2.3</f>
        <v>51.900000000000006</v>
      </c>
      <c r="I27" s="52">
        <f>SUM(J27)-2.3</f>
        <v>54.2</v>
      </c>
      <c r="J27" s="54">
        <v>56.5</v>
      </c>
      <c r="K27" s="52">
        <f>SUM(J27)+2.3</f>
        <v>58.8</v>
      </c>
      <c r="L27" s="52">
        <f t="shared" ref="L27:N27" si="4">SUM(K27)+2.3</f>
        <v>61.099999999999994</v>
      </c>
      <c r="M27" s="52">
        <f t="shared" si="4"/>
        <v>63.399999999999991</v>
      </c>
      <c r="N27" s="64">
        <f t="shared" si="4"/>
        <v>65.699999999999989</v>
      </c>
    </row>
    <row r="28" spans="1:14" s="1" customFormat="1" ht="14.1" customHeight="1">
      <c r="A28" s="45"/>
      <c r="B28" s="121" t="s">
        <v>83</v>
      </c>
      <c r="C28" s="122"/>
      <c r="D28" s="123" t="s">
        <v>82</v>
      </c>
      <c r="E28" s="124"/>
      <c r="F28" s="124"/>
      <c r="G28" s="125"/>
      <c r="H28" s="79"/>
      <c r="I28" s="79"/>
      <c r="J28" s="83"/>
      <c r="K28" s="79"/>
      <c r="L28" s="79"/>
      <c r="M28" s="79"/>
      <c r="N28" s="80"/>
    </row>
    <row r="29" spans="1:14" s="1" customFormat="1" ht="14.1" customHeight="1">
      <c r="A29" s="109">
        <v>14</v>
      </c>
      <c r="B29" s="47" t="s">
        <v>81</v>
      </c>
      <c r="C29" s="48"/>
      <c r="D29" s="75" t="s">
        <v>80</v>
      </c>
      <c r="E29" s="62"/>
      <c r="F29" s="62"/>
      <c r="G29" s="76"/>
      <c r="H29" s="52">
        <f>SUM(I29)-3.3</f>
        <v>34.200000000000003</v>
      </c>
      <c r="I29" s="52">
        <f>SUM(J29)-3.3</f>
        <v>37.5</v>
      </c>
      <c r="J29" s="54">
        <v>40.799999999999997</v>
      </c>
      <c r="K29" s="52">
        <f>SUM(J29)+3.2</f>
        <v>44</v>
      </c>
      <c r="L29" s="52">
        <f>SUM(K29)+2.9</f>
        <v>46.9</v>
      </c>
      <c r="M29" s="52">
        <f>SUM(L29)+2.9</f>
        <v>49.8</v>
      </c>
      <c r="N29" s="64">
        <f>SUM(M29)+2.9</f>
        <v>52.699999999999996</v>
      </c>
    </row>
    <row r="30" spans="1:14" s="1" customFormat="1" ht="14.1" customHeight="1">
      <c r="A30" s="45"/>
      <c r="B30" s="121" t="s">
        <v>79</v>
      </c>
      <c r="C30" s="122"/>
      <c r="D30" s="123" t="s">
        <v>116</v>
      </c>
      <c r="E30" s="124"/>
      <c r="F30" s="124"/>
      <c r="G30" s="125"/>
      <c r="H30" s="79"/>
      <c r="I30" s="79"/>
      <c r="J30" s="83"/>
      <c r="K30" s="79"/>
      <c r="L30" s="79"/>
      <c r="M30" s="79"/>
      <c r="N30" s="80"/>
    </row>
    <row r="31" spans="1:14" ht="14.1" customHeight="1">
      <c r="A31" s="109">
        <v>15</v>
      </c>
      <c r="B31" s="47" t="s">
        <v>236</v>
      </c>
      <c r="C31" s="48"/>
      <c r="D31" s="75"/>
      <c r="E31" s="62"/>
      <c r="F31" s="62"/>
      <c r="G31" s="76"/>
      <c r="H31" s="52">
        <f>SUM(I31)-0.5</f>
        <v>10.5</v>
      </c>
      <c r="I31" s="52">
        <f>SUM(J31)-0.5</f>
        <v>11</v>
      </c>
      <c r="J31" s="37">
        <v>11.5</v>
      </c>
      <c r="K31" s="38">
        <f>SUM(J31)+0.5</f>
        <v>12</v>
      </c>
      <c r="L31" s="38">
        <f>SUM(K31)+0.5</f>
        <v>12.5</v>
      </c>
      <c r="M31" s="38">
        <f t="shared" ref="M31:N31" si="5">SUM(L31)+0.2</f>
        <v>12.7</v>
      </c>
      <c r="N31" s="63">
        <f t="shared" si="5"/>
        <v>12.899999999999999</v>
      </c>
    </row>
    <row r="32" spans="1:14" ht="14.1" customHeight="1">
      <c r="A32" s="45"/>
      <c r="B32" s="121" t="s">
        <v>237</v>
      </c>
      <c r="C32" s="122"/>
      <c r="D32" s="123"/>
      <c r="E32" s="124"/>
      <c r="F32" s="124"/>
      <c r="G32" s="125"/>
      <c r="H32" s="79"/>
      <c r="I32" s="79"/>
      <c r="J32" s="37"/>
      <c r="K32" s="38"/>
      <c r="L32" s="38"/>
      <c r="M32" s="38"/>
      <c r="N32" s="63"/>
    </row>
    <row r="33" spans="1:14" ht="14.1" customHeight="1">
      <c r="A33" s="109">
        <v>16</v>
      </c>
      <c r="B33" s="47" t="s">
        <v>199</v>
      </c>
      <c r="C33" s="48"/>
      <c r="D33" s="78"/>
      <c r="E33" s="78"/>
      <c r="F33" s="78"/>
      <c r="G33" s="78"/>
      <c r="H33" s="52">
        <f>SUM(I33)-0.5</f>
        <v>11</v>
      </c>
      <c r="I33" s="52">
        <f>SUM(J33)-0.5</f>
        <v>11.5</v>
      </c>
      <c r="J33" s="54">
        <v>12</v>
      </c>
      <c r="K33" s="52">
        <f>SUM(J33)+0.5</f>
        <v>12.5</v>
      </c>
      <c r="L33" s="52">
        <f>SUM(K33)+0.5</f>
        <v>13</v>
      </c>
      <c r="M33" s="52">
        <f>SUM(L33)+0.5</f>
        <v>13.5</v>
      </c>
      <c r="N33" s="64">
        <f>SUM(M33)+0.5</f>
        <v>14</v>
      </c>
    </row>
    <row r="34" spans="1:14" ht="14.1" customHeight="1">
      <c r="A34" s="45"/>
      <c r="B34" s="40" t="s">
        <v>200</v>
      </c>
      <c r="C34" s="41"/>
      <c r="D34" s="42" t="s">
        <v>485</v>
      </c>
      <c r="E34" s="43"/>
      <c r="F34" s="43"/>
      <c r="G34" s="44"/>
      <c r="H34" s="79"/>
      <c r="I34" s="79"/>
      <c r="J34" s="83"/>
      <c r="K34" s="79"/>
      <c r="L34" s="79"/>
      <c r="M34" s="79"/>
      <c r="N34" s="80"/>
    </row>
    <row r="35" spans="1:14" ht="14.1" customHeight="1">
      <c r="A35" s="109">
        <v>17</v>
      </c>
      <c r="B35" s="47" t="s">
        <v>239</v>
      </c>
      <c r="C35" s="48"/>
      <c r="D35" s="78"/>
      <c r="E35" s="78"/>
      <c r="F35" s="78"/>
      <c r="G35" s="78"/>
      <c r="H35" s="52">
        <f>SUM(I35)-1.6</f>
        <v>46.8</v>
      </c>
      <c r="I35" s="52">
        <f>SUM(J35)-1.6</f>
        <v>48.4</v>
      </c>
      <c r="J35" s="54">
        <v>50</v>
      </c>
      <c r="K35" s="52">
        <f>SUM(J35)+1.6</f>
        <v>51.6</v>
      </c>
      <c r="L35" s="52">
        <f t="shared" ref="L35:N35" si="6">SUM(K35)+1.6</f>
        <v>53.2</v>
      </c>
      <c r="M35" s="52">
        <f t="shared" si="6"/>
        <v>54.800000000000004</v>
      </c>
      <c r="N35" s="64">
        <f t="shared" si="6"/>
        <v>56.400000000000006</v>
      </c>
    </row>
    <row r="36" spans="1:14" ht="14.1" customHeight="1">
      <c r="A36" s="45"/>
      <c r="B36" s="65" t="s">
        <v>240</v>
      </c>
      <c r="C36" s="65"/>
      <c r="D36" s="58" t="s">
        <v>486</v>
      </c>
      <c r="E36" s="59"/>
      <c r="F36" s="59"/>
      <c r="G36" s="60"/>
      <c r="H36" s="79"/>
      <c r="I36" s="79"/>
      <c r="J36" s="83"/>
      <c r="K36" s="79"/>
      <c r="L36" s="79"/>
      <c r="M36" s="79"/>
      <c r="N36" s="80"/>
    </row>
    <row r="37" spans="1:14" ht="14.1" customHeight="1">
      <c r="A37" s="109">
        <v>18</v>
      </c>
      <c r="B37" s="47"/>
      <c r="C37" s="48"/>
      <c r="D37" s="75"/>
      <c r="E37" s="62"/>
      <c r="F37" s="62"/>
      <c r="G37" s="76"/>
      <c r="H37" s="52"/>
      <c r="I37" s="52"/>
      <c r="J37" s="54"/>
      <c r="K37" s="52"/>
      <c r="L37" s="52"/>
      <c r="M37" s="52"/>
      <c r="N37" s="64"/>
    </row>
    <row r="38" spans="1:14" ht="14.1" customHeight="1" thickBot="1">
      <c r="A38" s="74"/>
      <c r="B38" s="178"/>
      <c r="C38" s="179"/>
      <c r="D38" s="71"/>
      <c r="E38" s="72"/>
      <c r="F38" s="72"/>
      <c r="G38" s="73"/>
      <c r="H38" s="77"/>
      <c r="I38" s="77"/>
      <c r="J38" s="144"/>
      <c r="K38" s="77"/>
      <c r="L38" s="77"/>
      <c r="M38" s="77"/>
      <c r="N38" s="141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>
      <c r="N45" s="1"/>
    </row>
    <row r="46" spans="1:14" ht="14.1" customHeight="1">
      <c r="N46" s="1"/>
    </row>
    <row r="47" spans="1:14" ht="14.1" customHeight="1"/>
    <row r="48" spans="1:14" ht="14.1" customHeight="1"/>
    <row r="49" spans="17:17" ht="14.1" customHeight="1"/>
    <row r="50" spans="17:17" ht="14.1" customHeight="1"/>
    <row r="51" spans="17:17" ht="14.1" customHeight="1"/>
    <row r="52" spans="17:17" ht="13.5" customHeight="1"/>
    <row r="53" spans="17:17" ht="14.1" customHeight="1">
      <c r="Q53">
        <f>SUM(H35+I35+J35+K35+L35+M35+N35)*2</f>
        <v>722.40000000000009</v>
      </c>
    </row>
    <row r="54" spans="17:17" ht="14.1" customHeight="1">
      <c r="Q54">
        <f>SUM(Q53/91.44/7*1.08)</f>
        <v>1.218897637795276</v>
      </c>
    </row>
    <row r="55" spans="17:17" ht="14.1" customHeight="1"/>
    <row r="56" spans="17:17" ht="14.1" customHeight="1"/>
    <row r="57" spans="17:17" ht="14.1" customHeight="1"/>
    <row r="58" spans="17:17" ht="14.1" customHeight="1"/>
    <row r="59" spans="17:17" ht="14.1" customHeight="1"/>
    <row r="60" spans="17:17" ht="14.1" customHeight="1"/>
    <row r="61" spans="17:17" ht="14.1" customHeight="1"/>
    <row r="62" spans="17:17" ht="14.1" customHeight="1"/>
    <row r="63" spans="17:17" ht="14.1" customHeight="1"/>
    <row r="64" spans="17:17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/>
    <row r="72" spans="1:14" ht="14.1" customHeight="1"/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219"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5:K6"/>
    <mergeCell ref="L5:L6"/>
    <mergeCell ref="M5:M6"/>
    <mergeCell ref="N5:N6"/>
    <mergeCell ref="B6:C6"/>
    <mergeCell ref="D6:G6"/>
    <mergeCell ref="A5:A6"/>
    <mergeCell ref="B5:C5"/>
    <mergeCell ref="D5:G5"/>
    <mergeCell ref="H5:H6"/>
    <mergeCell ref="I5:I6"/>
    <mergeCell ref="J5:J6"/>
    <mergeCell ref="A1:N1"/>
    <mergeCell ref="B2:C2"/>
    <mergeCell ref="D2:G2"/>
    <mergeCell ref="K3:K4"/>
    <mergeCell ref="L3:L4"/>
    <mergeCell ref="M3:M4"/>
    <mergeCell ref="N3:N4"/>
    <mergeCell ref="B4:C4"/>
    <mergeCell ref="D4:G4"/>
    <mergeCell ref="A3:A4"/>
    <mergeCell ref="B3:C3"/>
    <mergeCell ref="D3:G3"/>
    <mergeCell ref="H3:H4"/>
    <mergeCell ref="I3:I4"/>
    <mergeCell ref="J3:J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4D6A-D64F-4BD2-8A0F-DDF587623744}">
  <sheetPr>
    <tabColor theme="8"/>
    <pageSetUpPr fitToPage="1"/>
  </sheetPr>
  <dimension ref="A1:M79"/>
  <sheetViews>
    <sheetView zoomScale="110" zoomScaleNormal="110" workbookViewId="0">
      <selection sqref="A1:M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>
      <c r="A1" s="105" t="s">
        <v>551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56" t="s">
        <v>106</v>
      </c>
      <c r="C3" s="57"/>
      <c r="D3" s="58" t="s">
        <v>68</v>
      </c>
      <c r="E3" s="59"/>
      <c r="F3" s="59"/>
      <c r="G3" s="60"/>
      <c r="H3" s="53">
        <f>SUM(I3)-3</f>
        <v>45</v>
      </c>
      <c r="I3" s="53">
        <f>SUM(J3)-3</f>
        <v>48</v>
      </c>
      <c r="J3" s="134">
        <v>51</v>
      </c>
      <c r="K3" s="53">
        <f>SUM(J3)+3</f>
        <v>54</v>
      </c>
      <c r="L3" s="53">
        <f t="shared" ref="L3:M3" si="0">SUM(K3)+3</f>
        <v>57</v>
      </c>
      <c r="M3" s="135">
        <f t="shared" si="0"/>
        <v>60</v>
      </c>
    </row>
    <row r="4" spans="1:13" s="1" customFormat="1" ht="14.1" customHeight="1">
      <c r="A4" s="45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3" s="1" customFormat="1" ht="14.1" customHeight="1">
      <c r="A5" s="45">
        <v>2</v>
      </c>
      <c r="B5" s="47" t="s">
        <v>113</v>
      </c>
      <c r="C5" s="48"/>
      <c r="D5" s="58"/>
      <c r="E5" s="59"/>
      <c r="F5" s="59"/>
      <c r="G5" s="60"/>
      <c r="H5" s="52">
        <f>SUM(I5)-3.5</f>
        <v>58</v>
      </c>
      <c r="I5" s="52">
        <f>SUM(J5)-3.5</f>
        <v>61.5</v>
      </c>
      <c r="J5" s="134">
        <v>65</v>
      </c>
      <c r="K5" s="53">
        <f>SUM(J5)+3.5</f>
        <v>68.5</v>
      </c>
      <c r="L5" s="53">
        <f>SUM(K5)+3.5</f>
        <v>72</v>
      </c>
      <c r="M5" s="135">
        <f>SUM(L5)+3.5</f>
        <v>75.5</v>
      </c>
    </row>
    <row r="6" spans="1:13" s="1" customFormat="1" ht="14.1" customHeight="1">
      <c r="A6" s="45"/>
      <c r="B6" s="121" t="s">
        <v>114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47" t="s">
        <v>11</v>
      </c>
      <c r="C7" s="48"/>
      <c r="D7" s="75" t="s">
        <v>122</v>
      </c>
      <c r="E7" s="62"/>
      <c r="F7" s="62"/>
      <c r="G7" s="76"/>
      <c r="H7" s="52">
        <f>SUM(I7)-4</f>
        <v>60.2</v>
      </c>
      <c r="I7" s="52">
        <f>SUM(J7)-4</f>
        <v>64.2</v>
      </c>
      <c r="J7" s="54">
        <v>68.2</v>
      </c>
      <c r="K7" s="52">
        <f>SUM(J7)+4</f>
        <v>72.2</v>
      </c>
      <c r="L7" s="52">
        <f>SUM(K7)+4</f>
        <v>76.2</v>
      </c>
      <c r="M7" s="64">
        <f>SUM(L7)+4</f>
        <v>80.2</v>
      </c>
    </row>
    <row r="8" spans="1:13" s="1" customFormat="1" ht="14.1" customHeight="1">
      <c r="A8" s="45"/>
      <c r="B8" s="121" t="s">
        <v>48</v>
      </c>
      <c r="C8" s="122"/>
      <c r="D8" s="123" t="s">
        <v>90</v>
      </c>
      <c r="E8" s="124"/>
      <c r="F8" s="124"/>
      <c r="G8" s="125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47" t="s">
        <v>103</v>
      </c>
      <c r="C9" s="48"/>
      <c r="D9" s="75"/>
      <c r="E9" s="62"/>
      <c r="F9" s="62"/>
      <c r="G9" s="76"/>
      <c r="H9" s="81">
        <f>SUM(I9)-0.7</f>
        <v>14.000000000000002</v>
      </c>
      <c r="I9" s="52">
        <f>SUM(J9)-0.7</f>
        <v>14.700000000000001</v>
      </c>
      <c r="J9" s="54">
        <v>15.4</v>
      </c>
      <c r="K9" s="52">
        <f>SUM(J9)+1.2</f>
        <v>16.600000000000001</v>
      </c>
      <c r="L9" s="52">
        <f t="shared" ref="L9:M9" si="1">SUM(K9)+0.7</f>
        <v>17.3</v>
      </c>
      <c r="M9" s="64">
        <f t="shared" si="1"/>
        <v>18</v>
      </c>
    </row>
    <row r="10" spans="1:13" s="1" customFormat="1" ht="14.1" customHeight="1">
      <c r="A10" s="45"/>
      <c r="B10" s="121" t="s">
        <v>102</v>
      </c>
      <c r="C10" s="122"/>
      <c r="D10" s="126" t="s">
        <v>117</v>
      </c>
      <c r="E10" s="127"/>
      <c r="F10" s="127"/>
      <c r="G10" s="128"/>
      <c r="H10" s="61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47" t="s">
        <v>125</v>
      </c>
      <c r="C11" s="48"/>
      <c r="D11" s="75"/>
      <c r="E11" s="62"/>
      <c r="F11" s="62"/>
      <c r="G11" s="76"/>
      <c r="H11" s="81"/>
      <c r="I11" s="52"/>
      <c r="J11" s="54"/>
      <c r="K11" s="52"/>
      <c r="L11" s="52"/>
      <c r="M11" s="64"/>
    </row>
    <row r="12" spans="1:13" s="1" customFormat="1" ht="14.1" customHeight="1">
      <c r="A12" s="45"/>
      <c r="B12" s="121" t="s">
        <v>126</v>
      </c>
      <c r="C12" s="122"/>
      <c r="D12" s="126" t="s">
        <v>127</v>
      </c>
      <c r="E12" s="127"/>
      <c r="F12" s="127"/>
      <c r="G12" s="128"/>
      <c r="H12" s="61"/>
      <c r="I12" s="79"/>
      <c r="J12" s="83"/>
      <c r="K12" s="79"/>
      <c r="L12" s="79"/>
      <c r="M12" s="80"/>
    </row>
    <row r="13" spans="1:13" s="1" customFormat="1" ht="14.1" customHeight="1">
      <c r="A13" s="45">
        <v>6</v>
      </c>
      <c r="B13" s="47" t="s">
        <v>9</v>
      </c>
      <c r="C13" s="48"/>
      <c r="D13" s="75" t="s">
        <v>70</v>
      </c>
      <c r="E13" s="62"/>
      <c r="F13" s="62"/>
      <c r="G13" s="76"/>
      <c r="H13" s="52">
        <f>SUM(I13)-7</f>
        <v>49.3</v>
      </c>
      <c r="I13" s="52">
        <f>SUM(J13)-7</f>
        <v>56.3</v>
      </c>
      <c r="J13" s="54">
        <v>63.3</v>
      </c>
      <c r="K13" s="52">
        <f>SUM(J13)+6</f>
        <v>69.3</v>
      </c>
      <c r="L13" s="52">
        <f>SUM(K13)+6</f>
        <v>75.3</v>
      </c>
      <c r="M13" s="64">
        <f>SUM(L13)+6</f>
        <v>81.3</v>
      </c>
    </row>
    <row r="14" spans="1:13" s="1" customFormat="1" ht="14.1" customHeight="1">
      <c r="A14" s="45"/>
      <c r="B14" s="121" t="s">
        <v>49</v>
      </c>
      <c r="C14" s="122"/>
      <c r="D14" s="123" t="s">
        <v>89</v>
      </c>
      <c r="E14" s="124"/>
      <c r="F14" s="124"/>
      <c r="G14" s="125"/>
      <c r="H14" s="79"/>
      <c r="I14" s="79"/>
      <c r="J14" s="83"/>
      <c r="K14" s="79"/>
      <c r="L14" s="79"/>
      <c r="M14" s="80"/>
    </row>
    <row r="15" spans="1:13" s="1" customFormat="1" ht="14.1" customHeight="1">
      <c r="A15" s="45">
        <v>7</v>
      </c>
      <c r="B15" s="47" t="s">
        <v>14</v>
      </c>
      <c r="C15" s="48"/>
      <c r="D15" s="75" t="s">
        <v>15</v>
      </c>
      <c r="E15" s="62"/>
      <c r="F15" s="62"/>
      <c r="G15" s="76"/>
      <c r="H15" s="52">
        <f>SUM(I15)-1.8</f>
        <v>32.900000000000006</v>
      </c>
      <c r="I15" s="52">
        <f>SUM(J15)-1.8</f>
        <v>34.700000000000003</v>
      </c>
      <c r="J15" s="54">
        <v>36.5</v>
      </c>
      <c r="K15" s="52">
        <f>SUM(J15)+1.8</f>
        <v>38.299999999999997</v>
      </c>
      <c r="L15" s="52">
        <f>SUM(K15)+1.8</f>
        <v>40.099999999999994</v>
      </c>
      <c r="M15" s="64">
        <f>SUM(L15)+1.8</f>
        <v>41.899999999999991</v>
      </c>
    </row>
    <row r="16" spans="1:13" s="1" customFormat="1" ht="14.1" customHeight="1">
      <c r="A16" s="45"/>
      <c r="B16" s="121" t="s">
        <v>50</v>
      </c>
      <c r="C16" s="122"/>
      <c r="D16" s="42" t="s">
        <v>88</v>
      </c>
      <c r="E16" s="43"/>
      <c r="F16" s="43"/>
      <c r="G16" s="44"/>
      <c r="H16" s="79"/>
      <c r="I16" s="79"/>
      <c r="J16" s="83"/>
      <c r="K16" s="79"/>
      <c r="L16" s="79"/>
      <c r="M16" s="80"/>
    </row>
    <row r="17" spans="1:13" s="1" customFormat="1" ht="14.1" customHeight="1">
      <c r="A17" s="45">
        <v>8</v>
      </c>
      <c r="B17" s="47" t="s">
        <v>16</v>
      </c>
      <c r="C17" s="48"/>
      <c r="D17" s="75" t="s">
        <v>13</v>
      </c>
      <c r="E17" s="62"/>
      <c r="F17" s="62"/>
      <c r="G17" s="76"/>
      <c r="H17" s="81">
        <f>SUM(I17)-1.1</f>
        <v>21.599999999999998</v>
      </c>
      <c r="I17" s="52">
        <f>SUM(J17)-1.1</f>
        <v>22.7</v>
      </c>
      <c r="J17" s="54">
        <v>23.8</v>
      </c>
      <c r="K17" s="52">
        <f>SUM(J17)+1.6</f>
        <v>25.400000000000002</v>
      </c>
      <c r="L17" s="52">
        <f>SUM(K17)+1.1</f>
        <v>26.500000000000004</v>
      </c>
      <c r="M17" s="64">
        <f>SUM(L17)+1.1</f>
        <v>27.600000000000005</v>
      </c>
    </row>
    <row r="18" spans="1:13" s="1" customFormat="1" ht="14.1" customHeight="1">
      <c r="A18" s="45"/>
      <c r="B18" s="121" t="s">
        <v>56</v>
      </c>
      <c r="C18" s="122"/>
      <c r="D18" s="123" t="s">
        <v>87</v>
      </c>
      <c r="E18" s="124"/>
      <c r="F18" s="124"/>
      <c r="G18" s="125"/>
      <c r="H18" s="61"/>
      <c r="I18" s="79"/>
      <c r="J18" s="83"/>
      <c r="K18" s="79"/>
      <c r="L18" s="79"/>
      <c r="M18" s="80"/>
    </row>
    <row r="19" spans="1:13" s="1" customFormat="1" ht="14.1" customHeight="1">
      <c r="A19" s="45">
        <v>9</v>
      </c>
      <c r="B19" s="47" t="s">
        <v>17</v>
      </c>
      <c r="C19" s="48"/>
      <c r="D19" s="75" t="s">
        <v>13</v>
      </c>
      <c r="E19" s="62"/>
      <c r="F19" s="62"/>
      <c r="G19" s="76"/>
      <c r="H19" s="81">
        <f>SUM(I19)-1.3</f>
        <v>26</v>
      </c>
      <c r="I19" s="52">
        <f>SUM(J19)-1.3</f>
        <v>27.3</v>
      </c>
      <c r="J19" s="54">
        <v>28.6</v>
      </c>
      <c r="K19" s="52">
        <f>SUM(J19)+1.8</f>
        <v>30.400000000000002</v>
      </c>
      <c r="L19" s="52">
        <f>SUM(K19)+1.3</f>
        <v>31.700000000000003</v>
      </c>
      <c r="M19" s="64">
        <f>SUM(L19)+1.3</f>
        <v>33</v>
      </c>
    </row>
    <row r="20" spans="1:13" s="1" customFormat="1" ht="14.1" customHeight="1">
      <c r="A20" s="45"/>
      <c r="B20" s="121" t="s">
        <v>55</v>
      </c>
      <c r="C20" s="122"/>
      <c r="D20" s="123" t="s">
        <v>87</v>
      </c>
      <c r="E20" s="124"/>
      <c r="F20" s="124"/>
      <c r="G20" s="125"/>
      <c r="H20" s="61"/>
      <c r="I20" s="79"/>
      <c r="J20" s="83"/>
      <c r="K20" s="79"/>
      <c r="L20" s="79"/>
      <c r="M20" s="80"/>
    </row>
    <row r="21" spans="1:13" s="1" customFormat="1" ht="14.1" customHeight="1">
      <c r="A21" s="45">
        <v>10</v>
      </c>
      <c r="B21" s="47" t="s">
        <v>18</v>
      </c>
      <c r="C21" s="48"/>
      <c r="D21" s="75" t="s">
        <v>19</v>
      </c>
      <c r="E21" s="62"/>
      <c r="F21" s="62"/>
      <c r="G21" s="76"/>
      <c r="H21" s="52">
        <f>SUM(I21)-2.7</f>
        <v>33.499999999999993</v>
      </c>
      <c r="I21" s="52">
        <f>SUM(J21)-2.7</f>
        <v>36.199999999999996</v>
      </c>
      <c r="J21" s="54">
        <v>38.9</v>
      </c>
      <c r="K21" s="52">
        <f>SUM(J21)+2.6</f>
        <v>41.5</v>
      </c>
      <c r="L21" s="52">
        <f>SUM(K21)+2.6</f>
        <v>44.1</v>
      </c>
      <c r="M21" s="64">
        <f>SUM(L21)+2.6</f>
        <v>46.7</v>
      </c>
    </row>
    <row r="22" spans="1:13" s="1" customFormat="1" ht="14.1" customHeight="1">
      <c r="A22" s="45"/>
      <c r="B22" s="121" t="s">
        <v>54</v>
      </c>
      <c r="C22" s="122"/>
      <c r="D22" s="123" t="s">
        <v>86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s="1" customFormat="1" ht="14.1" customHeight="1">
      <c r="A23" s="45">
        <v>11</v>
      </c>
      <c r="B23" s="47" t="s">
        <v>20</v>
      </c>
      <c r="C23" s="48"/>
      <c r="D23" s="75" t="s">
        <v>21</v>
      </c>
      <c r="E23" s="62"/>
      <c r="F23" s="62"/>
      <c r="G23" s="76"/>
      <c r="H23" s="52">
        <f>SUM(I23)-6</f>
        <v>28.5</v>
      </c>
      <c r="I23" s="52">
        <f>SUM(J23)-6</f>
        <v>34.5</v>
      </c>
      <c r="J23" s="54">
        <v>40.5</v>
      </c>
      <c r="K23" s="52">
        <f>SUM(J23)+4.5</f>
        <v>45</v>
      </c>
      <c r="L23" s="52">
        <f>SUM(K23)+5</f>
        <v>50</v>
      </c>
      <c r="M23" s="64">
        <f>SUM(L23)+5</f>
        <v>55</v>
      </c>
    </row>
    <row r="24" spans="1:13" s="1" customFormat="1" ht="14.1" customHeight="1">
      <c r="A24" s="45"/>
      <c r="B24" s="121" t="s">
        <v>53</v>
      </c>
      <c r="C24" s="122"/>
      <c r="D24" s="123" t="s">
        <v>85</v>
      </c>
      <c r="E24" s="124"/>
      <c r="F24" s="124"/>
      <c r="G24" s="125"/>
      <c r="H24" s="79"/>
      <c r="I24" s="79"/>
      <c r="J24" s="83"/>
      <c r="K24" s="79"/>
      <c r="L24" s="79"/>
      <c r="M24" s="80"/>
    </row>
    <row r="25" spans="1:13" s="1" customFormat="1" ht="14.1" customHeight="1">
      <c r="A25" s="45">
        <v>12</v>
      </c>
      <c r="B25" s="47" t="s">
        <v>84</v>
      </c>
      <c r="C25" s="48"/>
      <c r="D25" s="75" t="s">
        <v>82</v>
      </c>
      <c r="E25" s="62"/>
      <c r="F25" s="62"/>
      <c r="G25" s="76"/>
      <c r="H25" s="52">
        <f>SUM(I25)-1.6</f>
        <v>29.199999999999996</v>
      </c>
      <c r="I25" s="52">
        <f>SUM(J25)-1.5</f>
        <v>30.799999999999997</v>
      </c>
      <c r="J25" s="54">
        <v>32.299999999999997</v>
      </c>
      <c r="K25" s="52">
        <f>SUM(J25)+1.5</f>
        <v>33.799999999999997</v>
      </c>
      <c r="L25" s="52">
        <f>SUM(K25)+1.6</f>
        <v>35.4</v>
      </c>
      <c r="M25" s="64">
        <f>SUM(L25)+1.6</f>
        <v>37</v>
      </c>
    </row>
    <row r="26" spans="1:13" s="1" customFormat="1" ht="14.1" customHeight="1">
      <c r="A26" s="45"/>
      <c r="B26" s="121" t="s">
        <v>83</v>
      </c>
      <c r="C26" s="122"/>
      <c r="D26" s="123" t="s">
        <v>82</v>
      </c>
      <c r="E26" s="124"/>
      <c r="F26" s="124"/>
      <c r="G26" s="125"/>
      <c r="H26" s="79"/>
      <c r="I26" s="79"/>
      <c r="J26" s="83"/>
      <c r="K26" s="79"/>
      <c r="L26" s="79"/>
      <c r="M26" s="80"/>
    </row>
    <row r="27" spans="1:13" s="1" customFormat="1" ht="14.1" customHeight="1">
      <c r="A27" s="45">
        <v>13</v>
      </c>
      <c r="B27" s="47" t="s">
        <v>81</v>
      </c>
      <c r="C27" s="48"/>
      <c r="D27" s="75" t="s">
        <v>80</v>
      </c>
      <c r="E27" s="62"/>
      <c r="F27" s="62"/>
      <c r="G27" s="76"/>
      <c r="H27" s="52">
        <f>SUM(I27)-3.3</f>
        <v>31.7</v>
      </c>
      <c r="I27" s="52">
        <f>SUM(J27)-3.3</f>
        <v>35</v>
      </c>
      <c r="J27" s="54">
        <v>38.299999999999997</v>
      </c>
      <c r="K27" s="52">
        <f>SUM(J27)+3.2</f>
        <v>41.5</v>
      </c>
      <c r="L27" s="52">
        <f>SUM(K27)+2.9</f>
        <v>44.4</v>
      </c>
      <c r="M27" s="64">
        <f>SUM(L27)+2.9</f>
        <v>47.3</v>
      </c>
    </row>
    <row r="28" spans="1:13" s="1" customFormat="1" ht="14.1" customHeight="1">
      <c r="A28" s="45"/>
      <c r="B28" s="121" t="s">
        <v>79</v>
      </c>
      <c r="C28" s="122"/>
      <c r="D28" s="123" t="s">
        <v>116</v>
      </c>
      <c r="E28" s="124"/>
      <c r="F28" s="124"/>
      <c r="G28" s="125"/>
      <c r="H28" s="79"/>
      <c r="I28" s="79"/>
      <c r="J28" s="83"/>
      <c r="K28" s="79"/>
      <c r="L28" s="79"/>
      <c r="M28" s="80"/>
    </row>
    <row r="29" spans="1:13" s="1" customFormat="1" ht="14.1" customHeight="1">
      <c r="A29" s="45">
        <v>14</v>
      </c>
      <c r="B29" s="47" t="s">
        <v>519</v>
      </c>
      <c r="C29" s="48"/>
      <c r="D29" s="75"/>
      <c r="E29" s="62"/>
      <c r="F29" s="62"/>
      <c r="G29" s="76"/>
      <c r="H29" s="52">
        <f>SUM(I29)-0.7</f>
        <v>12.600000000000001</v>
      </c>
      <c r="I29" s="52">
        <f>SUM(J29)-0.7</f>
        <v>13.3</v>
      </c>
      <c r="J29" s="54">
        <v>14</v>
      </c>
      <c r="K29" s="52">
        <f>SUM(J29)+0.7</f>
        <v>14.7</v>
      </c>
      <c r="L29" s="52">
        <f t="shared" ref="L29:M29" si="2">SUM(K29)+0.7</f>
        <v>15.399999999999999</v>
      </c>
      <c r="M29" s="64">
        <f t="shared" si="2"/>
        <v>16.099999999999998</v>
      </c>
    </row>
    <row r="30" spans="1:13" s="1" customFormat="1" ht="14.1" customHeight="1">
      <c r="A30" s="45"/>
      <c r="B30" s="40" t="s">
        <v>520</v>
      </c>
      <c r="C30" s="41"/>
      <c r="D30" s="42" t="s">
        <v>525</v>
      </c>
      <c r="E30" s="43"/>
      <c r="F30" s="43"/>
      <c r="G30" s="44"/>
      <c r="H30" s="79"/>
      <c r="I30" s="79"/>
      <c r="J30" s="83"/>
      <c r="K30" s="79"/>
      <c r="L30" s="79"/>
      <c r="M30" s="80"/>
    </row>
    <row r="31" spans="1:13" s="1" customFormat="1" ht="14.1" customHeight="1">
      <c r="A31" s="45">
        <v>15</v>
      </c>
      <c r="B31" s="47"/>
      <c r="C31" s="48"/>
      <c r="D31" s="75"/>
      <c r="E31" s="62"/>
      <c r="F31" s="62"/>
      <c r="G31" s="76"/>
      <c r="H31" s="52"/>
      <c r="I31" s="52"/>
      <c r="J31" s="37"/>
      <c r="K31" s="38"/>
      <c r="L31" s="38"/>
      <c r="M31" s="63"/>
    </row>
    <row r="32" spans="1:13" s="1" customFormat="1" ht="14.1" customHeight="1" thickBot="1">
      <c r="A32" s="74"/>
      <c r="B32" s="69"/>
      <c r="C32" s="70"/>
      <c r="D32" s="71"/>
      <c r="E32" s="72"/>
      <c r="F32" s="72"/>
      <c r="G32" s="73"/>
      <c r="H32" s="77"/>
      <c r="I32" s="77"/>
      <c r="J32" s="66"/>
      <c r="K32" s="67"/>
      <c r="L32" s="67"/>
      <c r="M32" s="68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68">
    <mergeCell ref="A1:M1"/>
    <mergeCell ref="B2:C2"/>
    <mergeCell ref="D2:G2"/>
    <mergeCell ref="J3:J4"/>
    <mergeCell ref="K3:K4"/>
    <mergeCell ref="L3:L4"/>
    <mergeCell ref="M3:M4"/>
    <mergeCell ref="B4:C4"/>
    <mergeCell ref="D4:G4"/>
    <mergeCell ref="A3:A4"/>
    <mergeCell ref="B3:C3"/>
    <mergeCell ref="D3:G3"/>
    <mergeCell ref="H3:H4"/>
    <mergeCell ref="I3:I4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J5:J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8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B600-2880-4AEA-BE1E-4D70AB85E7DD}">
  <sheetPr>
    <tabColor theme="8"/>
    <pageSetUpPr fitToPage="1"/>
  </sheetPr>
  <dimension ref="A1:N74"/>
  <sheetViews>
    <sheetView zoomScale="110" zoomScaleNormal="110" workbookViewId="0">
      <selection activeCell="J15" sqref="J15:J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569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3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4" s="1" customFormat="1" ht="14.1" customHeight="1">
      <c r="A3" s="109">
        <v>1</v>
      </c>
      <c r="B3" s="56" t="s">
        <v>106</v>
      </c>
      <c r="C3" s="57"/>
      <c r="D3" s="58" t="s">
        <v>68</v>
      </c>
      <c r="E3" s="59"/>
      <c r="F3" s="59"/>
      <c r="G3" s="60"/>
      <c r="H3" s="53">
        <f>SUM(I3)-3</f>
        <v>45</v>
      </c>
      <c r="I3" s="53">
        <f>SUM(J3)-3</f>
        <v>48</v>
      </c>
      <c r="J3" s="134">
        <v>51</v>
      </c>
      <c r="K3" s="53">
        <f>SUM(J3)+3</f>
        <v>54</v>
      </c>
      <c r="L3" s="53">
        <f t="shared" ref="L3:M3" si="0">SUM(K3)+3</f>
        <v>57</v>
      </c>
      <c r="M3" s="135">
        <f t="shared" si="0"/>
        <v>60</v>
      </c>
    </row>
    <row r="4" spans="1:14" s="1" customFormat="1" ht="14.1" customHeight="1">
      <c r="A4" s="45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4" s="1" customFormat="1" ht="14.1" customHeight="1">
      <c r="A5" s="109">
        <v>2</v>
      </c>
      <c r="B5" s="47" t="s">
        <v>113</v>
      </c>
      <c r="C5" s="48"/>
      <c r="D5" s="58"/>
      <c r="E5" s="59"/>
      <c r="F5" s="59"/>
      <c r="G5" s="60"/>
      <c r="H5" s="52">
        <f>SUM(I5)-3.5</f>
        <v>65</v>
      </c>
      <c r="I5" s="52">
        <f>SUM(J5)-3.5</f>
        <v>68.5</v>
      </c>
      <c r="J5" s="134">
        <v>72</v>
      </c>
      <c r="K5" s="53">
        <f>SUM(J5)+3.5</f>
        <v>75.5</v>
      </c>
      <c r="L5" s="53">
        <f>SUM(K5)+3.5</f>
        <v>79</v>
      </c>
      <c r="M5" s="135">
        <f>SUM(L5)+3.5</f>
        <v>82.5</v>
      </c>
    </row>
    <row r="6" spans="1:14" s="1" customFormat="1" ht="14.1" customHeight="1">
      <c r="A6" s="45"/>
      <c r="B6" s="121" t="s">
        <v>114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80"/>
    </row>
    <row r="7" spans="1:14" s="1" customFormat="1" ht="14.1" customHeight="1">
      <c r="A7" s="109">
        <v>3</v>
      </c>
      <c r="B7" s="47" t="s">
        <v>11</v>
      </c>
      <c r="C7" s="48"/>
      <c r="D7" s="75"/>
      <c r="E7" s="62"/>
      <c r="F7" s="62"/>
      <c r="G7" s="76"/>
      <c r="H7" s="52">
        <f>SUM(I7)-4</f>
        <v>67.599999999999994</v>
      </c>
      <c r="I7" s="52">
        <f>SUM(J7)-4</f>
        <v>71.599999999999994</v>
      </c>
      <c r="J7" s="54">
        <v>75.599999999999994</v>
      </c>
      <c r="K7" s="52">
        <f>SUM(J7)+4</f>
        <v>79.599999999999994</v>
      </c>
      <c r="L7" s="52">
        <f>SUM(K7)+4</f>
        <v>83.6</v>
      </c>
      <c r="M7" s="64">
        <f>SUM(L7)+4</f>
        <v>87.6</v>
      </c>
    </row>
    <row r="8" spans="1:14" s="1" customFormat="1" ht="14.1" customHeight="1">
      <c r="A8" s="45"/>
      <c r="B8" s="121" t="s">
        <v>48</v>
      </c>
      <c r="C8" s="122"/>
      <c r="D8" s="123" t="s">
        <v>432</v>
      </c>
      <c r="E8" s="124"/>
      <c r="F8" s="124"/>
      <c r="G8" s="125"/>
      <c r="H8" s="79"/>
      <c r="I8" s="79"/>
      <c r="J8" s="83"/>
      <c r="K8" s="79"/>
      <c r="L8" s="79"/>
      <c r="M8" s="80"/>
    </row>
    <row r="9" spans="1:14" s="1" customFormat="1" ht="14.1" customHeight="1">
      <c r="A9" s="109">
        <v>4</v>
      </c>
      <c r="B9" s="47" t="s">
        <v>103</v>
      </c>
      <c r="C9" s="48"/>
      <c r="D9" s="75"/>
      <c r="E9" s="62"/>
      <c r="F9" s="62"/>
      <c r="G9" s="76"/>
      <c r="H9" s="81">
        <f>SUM(I9)-0.7</f>
        <v>12.200000000000001</v>
      </c>
      <c r="I9" s="52">
        <f>SUM(J9)-0.7</f>
        <v>12.9</v>
      </c>
      <c r="J9" s="54">
        <v>13.6</v>
      </c>
      <c r="K9" s="52">
        <f>SUM(J9)+1.2</f>
        <v>14.799999999999999</v>
      </c>
      <c r="L9" s="52">
        <f t="shared" ref="L9:M9" si="1">SUM(K9)+0.7</f>
        <v>15.499999999999998</v>
      </c>
      <c r="M9" s="64">
        <f t="shared" si="1"/>
        <v>16.2</v>
      </c>
    </row>
    <row r="10" spans="1:14" s="1" customFormat="1" ht="14.1" customHeight="1">
      <c r="A10" s="45"/>
      <c r="B10" s="121" t="s">
        <v>102</v>
      </c>
      <c r="C10" s="122"/>
      <c r="D10" s="126" t="s">
        <v>138</v>
      </c>
      <c r="E10" s="127"/>
      <c r="F10" s="127"/>
      <c r="G10" s="128"/>
      <c r="H10" s="61"/>
      <c r="I10" s="79"/>
      <c r="J10" s="83"/>
      <c r="K10" s="79"/>
      <c r="L10" s="79"/>
      <c r="M10" s="80"/>
    </row>
    <row r="11" spans="1:14" s="1" customFormat="1" ht="14.1" customHeight="1">
      <c r="A11" s="109">
        <v>5</v>
      </c>
      <c r="B11" s="47" t="s">
        <v>125</v>
      </c>
      <c r="C11" s="48"/>
      <c r="D11" s="75"/>
      <c r="E11" s="62"/>
      <c r="F11" s="62"/>
      <c r="G11" s="76"/>
      <c r="H11" s="81"/>
      <c r="I11" s="52"/>
      <c r="J11" s="54"/>
      <c r="K11" s="52"/>
      <c r="L11" s="52"/>
      <c r="M11" s="230"/>
    </row>
    <row r="12" spans="1:14" s="1" customFormat="1" ht="14.1" customHeight="1">
      <c r="A12" s="45"/>
      <c r="B12" s="121" t="s">
        <v>126</v>
      </c>
      <c r="C12" s="122"/>
      <c r="D12" s="126" t="s">
        <v>127</v>
      </c>
      <c r="E12" s="127"/>
      <c r="F12" s="127"/>
      <c r="G12" s="128"/>
      <c r="H12" s="61"/>
      <c r="I12" s="79"/>
      <c r="J12" s="83"/>
      <c r="K12" s="79"/>
      <c r="L12" s="79"/>
      <c r="M12" s="231"/>
    </row>
    <row r="13" spans="1:14" s="1" customFormat="1" ht="14.1" customHeight="1">
      <c r="A13" s="109">
        <v>6</v>
      </c>
      <c r="B13" s="47" t="s">
        <v>137</v>
      </c>
      <c r="C13" s="48"/>
      <c r="D13" s="75"/>
      <c r="E13" s="62"/>
      <c r="F13" s="62"/>
      <c r="G13" s="76"/>
      <c r="H13" s="52"/>
      <c r="I13" s="52"/>
      <c r="J13" s="54"/>
      <c r="K13" s="52"/>
      <c r="L13" s="52"/>
      <c r="M13" s="64"/>
    </row>
    <row r="14" spans="1:14" s="1" customFormat="1" ht="14.1" customHeight="1">
      <c r="A14" s="45"/>
      <c r="B14" s="121" t="s">
        <v>136</v>
      </c>
      <c r="C14" s="122"/>
      <c r="D14" s="126"/>
      <c r="E14" s="127"/>
      <c r="F14" s="127"/>
      <c r="G14" s="128"/>
      <c r="H14" s="79"/>
      <c r="I14" s="79"/>
      <c r="J14" s="83"/>
      <c r="K14" s="79"/>
      <c r="L14" s="79"/>
      <c r="M14" s="80"/>
    </row>
    <row r="15" spans="1:14" s="1" customFormat="1" ht="14.1" customHeight="1">
      <c r="A15" s="109">
        <v>7</v>
      </c>
      <c r="B15" s="47" t="s">
        <v>9</v>
      </c>
      <c r="C15" s="48"/>
      <c r="D15" s="75" t="s">
        <v>70</v>
      </c>
      <c r="E15" s="62"/>
      <c r="F15" s="62"/>
      <c r="G15" s="76"/>
      <c r="H15" s="52">
        <f>SUM(I15)-7</f>
        <v>53</v>
      </c>
      <c r="I15" s="52">
        <f>SUM(J15)-7</f>
        <v>60</v>
      </c>
      <c r="J15" s="54">
        <v>67</v>
      </c>
      <c r="K15" s="52">
        <f>SUM(J15)+6</f>
        <v>73</v>
      </c>
      <c r="L15" s="52">
        <f>SUM(K15)+6</f>
        <v>79</v>
      </c>
      <c r="M15" s="64">
        <f>SUM(L15)+6</f>
        <v>85</v>
      </c>
    </row>
    <row r="16" spans="1:14" s="1" customFormat="1" ht="14.1" customHeight="1">
      <c r="A16" s="45"/>
      <c r="B16" s="121" t="s">
        <v>49</v>
      </c>
      <c r="C16" s="122"/>
      <c r="D16" s="123" t="s">
        <v>89</v>
      </c>
      <c r="E16" s="124"/>
      <c r="F16" s="124"/>
      <c r="G16" s="125"/>
      <c r="H16" s="79"/>
      <c r="I16" s="79"/>
      <c r="J16" s="83"/>
      <c r="K16" s="79"/>
      <c r="L16" s="79"/>
      <c r="M16" s="80"/>
    </row>
    <row r="17" spans="1:13" s="1" customFormat="1" ht="14.1" customHeight="1">
      <c r="A17" s="109">
        <v>8</v>
      </c>
      <c r="B17" s="47" t="s">
        <v>14</v>
      </c>
      <c r="C17" s="48"/>
      <c r="D17" s="75" t="s">
        <v>15</v>
      </c>
      <c r="E17" s="62"/>
      <c r="F17" s="62"/>
      <c r="G17" s="76"/>
      <c r="H17" s="52">
        <f>SUM(I17)-1</f>
        <v>20</v>
      </c>
      <c r="I17" s="52">
        <f>SUM(J17)-1</f>
        <v>21</v>
      </c>
      <c r="J17" s="54">
        <v>22</v>
      </c>
      <c r="K17" s="52">
        <f>SUM(J17)+1</f>
        <v>23</v>
      </c>
      <c r="L17" s="52">
        <f t="shared" ref="L17:M17" si="2">SUM(K17)+1</f>
        <v>24</v>
      </c>
      <c r="M17" s="64">
        <f t="shared" si="2"/>
        <v>25</v>
      </c>
    </row>
    <row r="18" spans="1:13" s="1" customFormat="1" ht="14.1" customHeight="1">
      <c r="A18" s="45"/>
      <c r="B18" s="121" t="s">
        <v>50</v>
      </c>
      <c r="C18" s="122"/>
      <c r="D18" s="42" t="s">
        <v>88</v>
      </c>
      <c r="E18" s="43"/>
      <c r="F18" s="43"/>
      <c r="G18" s="44"/>
      <c r="H18" s="79"/>
      <c r="I18" s="79"/>
      <c r="J18" s="83"/>
      <c r="K18" s="79"/>
      <c r="L18" s="79"/>
      <c r="M18" s="80"/>
    </row>
    <row r="19" spans="1:13" s="1" customFormat="1" ht="14.1" customHeight="1">
      <c r="A19" s="109">
        <v>9</v>
      </c>
      <c r="B19" s="47" t="s">
        <v>16</v>
      </c>
      <c r="C19" s="48"/>
      <c r="D19" s="75" t="s">
        <v>13</v>
      </c>
      <c r="E19" s="62"/>
      <c r="F19" s="62"/>
      <c r="G19" s="76"/>
      <c r="H19" s="81">
        <f>SUM(I19)-1.1</f>
        <v>20.9</v>
      </c>
      <c r="I19" s="52">
        <f>SUM(J19)-1.1</f>
        <v>22</v>
      </c>
      <c r="J19" s="54">
        <v>23.1</v>
      </c>
      <c r="K19" s="52">
        <f>SUM(J19)+1.6</f>
        <v>24.700000000000003</v>
      </c>
      <c r="L19" s="52">
        <f>SUM(K19)+1.1</f>
        <v>25.800000000000004</v>
      </c>
      <c r="M19" s="230">
        <f>SUM(L19)+1.1</f>
        <v>26.900000000000006</v>
      </c>
    </row>
    <row r="20" spans="1:13" s="1" customFormat="1" ht="14.1" customHeight="1">
      <c r="A20" s="45"/>
      <c r="B20" s="121" t="s">
        <v>56</v>
      </c>
      <c r="C20" s="122"/>
      <c r="D20" s="123" t="s">
        <v>87</v>
      </c>
      <c r="E20" s="124"/>
      <c r="F20" s="124"/>
      <c r="G20" s="125"/>
      <c r="H20" s="61"/>
      <c r="I20" s="79"/>
      <c r="J20" s="83"/>
      <c r="K20" s="79"/>
      <c r="L20" s="79"/>
      <c r="M20" s="231"/>
    </row>
    <row r="21" spans="1:13" s="1" customFormat="1" ht="14.1" customHeight="1">
      <c r="A21" s="109">
        <v>10</v>
      </c>
      <c r="B21" s="47" t="s">
        <v>17</v>
      </c>
      <c r="C21" s="48"/>
      <c r="D21" s="75" t="s">
        <v>13</v>
      </c>
      <c r="E21" s="62"/>
      <c r="F21" s="62"/>
      <c r="G21" s="76"/>
      <c r="H21" s="81">
        <f>SUM(I21)-1.3</f>
        <v>27.7</v>
      </c>
      <c r="I21" s="52">
        <f>SUM(J21)-1.3</f>
        <v>29</v>
      </c>
      <c r="J21" s="54">
        <v>30.3</v>
      </c>
      <c r="K21" s="52">
        <f>SUM(J21)+1.8</f>
        <v>32.1</v>
      </c>
      <c r="L21" s="52">
        <f>SUM(K21)+1.3</f>
        <v>33.4</v>
      </c>
      <c r="M21" s="230">
        <f>SUM(L21)+1.3</f>
        <v>34.699999999999996</v>
      </c>
    </row>
    <row r="22" spans="1:13" s="1" customFormat="1" ht="14.1" customHeight="1">
      <c r="A22" s="45"/>
      <c r="B22" s="121" t="s">
        <v>55</v>
      </c>
      <c r="C22" s="122"/>
      <c r="D22" s="123" t="s">
        <v>87</v>
      </c>
      <c r="E22" s="124"/>
      <c r="F22" s="124"/>
      <c r="G22" s="125"/>
      <c r="H22" s="61"/>
      <c r="I22" s="79"/>
      <c r="J22" s="83"/>
      <c r="K22" s="79"/>
      <c r="L22" s="79"/>
      <c r="M22" s="231"/>
    </row>
    <row r="23" spans="1:13" s="1" customFormat="1" ht="14.1" customHeight="1">
      <c r="A23" s="109">
        <v>11</v>
      </c>
      <c r="B23" s="47" t="s">
        <v>18</v>
      </c>
      <c r="C23" s="48"/>
      <c r="D23" s="75" t="s">
        <v>19</v>
      </c>
      <c r="E23" s="62"/>
      <c r="F23" s="62"/>
      <c r="G23" s="76"/>
      <c r="H23" s="52">
        <f>SUM(I23)-2.7</f>
        <v>42.699999999999996</v>
      </c>
      <c r="I23" s="52">
        <f>SUM(J23)-2.7</f>
        <v>45.4</v>
      </c>
      <c r="J23" s="54">
        <v>48.1</v>
      </c>
      <c r="K23" s="52">
        <f>SUM(J23)+2.6</f>
        <v>50.7</v>
      </c>
      <c r="L23" s="52">
        <f>SUM(K23)+2.6</f>
        <v>53.300000000000004</v>
      </c>
      <c r="M23" s="64">
        <f>SUM(L23)+2.6</f>
        <v>55.900000000000006</v>
      </c>
    </row>
    <row r="24" spans="1:13" s="1" customFormat="1" ht="14.1" customHeight="1">
      <c r="A24" s="45"/>
      <c r="B24" s="121" t="s">
        <v>54</v>
      </c>
      <c r="C24" s="122"/>
      <c r="D24" s="123" t="s">
        <v>86</v>
      </c>
      <c r="E24" s="124"/>
      <c r="F24" s="124"/>
      <c r="G24" s="125"/>
      <c r="H24" s="79"/>
      <c r="I24" s="79"/>
      <c r="J24" s="83"/>
      <c r="K24" s="79"/>
      <c r="L24" s="79"/>
      <c r="M24" s="80"/>
    </row>
    <row r="25" spans="1:13" s="1" customFormat="1" ht="14.1" customHeight="1">
      <c r="A25" s="109">
        <v>12</v>
      </c>
      <c r="B25" s="47" t="s">
        <v>20</v>
      </c>
      <c r="C25" s="48"/>
      <c r="D25" s="75" t="s">
        <v>21</v>
      </c>
      <c r="E25" s="62"/>
      <c r="F25" s="62"/>
      <c r="G25" s="76"/>
      <c r="H25" s="52">
        <f>SUM(I25)-6</f>
        <v>33.299999999999997</v>
      </c>
      <c r="I25" s="52">
        <f>SUM(J25)-6</f>
        <v>39.299999999999997</v>
      </c>
      <c r="J25" s="54">
        <v>45.3</v>
      </c>
      <c r="K25" s="52">
        <f>SUM(J25)+4.5</f>
        <v>49.8</v>
      </c>
      <c r="L25" s="52">
        <f>SUM(K25)+5</f>
        <v>54.8</v>
      </c>
      <c r="M25" s="64">
        <f>SUM(L25)+5</f>
        <v>59.8</v>
      </c>
    </row>
    <row r="26" spans="1:13" s="1" customFormat="1" ht="14.1" customHeight="1">
      <c r="A26" s="45"/>
      <c r="B26" s="121" t="s">
        <v>53</v>
      </c>
      <c r="C26" s="122"/>
      <c r="D26" s="123" t="s">
        <v>85</v>
      </c>
      <c r="E26" s="124"/>
      <c r="F26" s="124"/>
      <c r="G26" s="125"/>
      <c r="H26" s="79"/>
      <c r="I26" s="79"/>
      <c r="J26" s="83"/>
      <c r="K26" s="79"/>
      <c r="L26" s="79"/>
      <c r="M26" s="80"/>
    </row>
    <row r="27" spans="1:13" s="1" customFormat="1" ht="14.1" customHeight="1">
      <c r="A27" s="109">
        <v>13</v>
      </c>
      <c r="B27" s="47" t="s">
        <v>84</v>
      </c>
      <c r="C27" s="48"/>
      <c r="D27" s="75" t="s">
        <v>82</v>
      </c>
      <c r="E27" s="62"/>
      <c r="F27" s="62"/>
      <c r="G27" s="76"/>
      <c r="H27" s="52">
        <f>SUM(I27)-1.8</f>
        <v>38.000000000000007</v>
      </c>
      <c r="I27" s="52">
        <f>SUM(J27)-1.8</f>
        <v>39.800000000000004</v>
      </c>
      <c r="J27" s="54">
        <v>41.6</v>
      </c>
      <c r="K27" s="52">
        <f>SUM(J27)+1.8</f>
        <v>43.4</v>
      </c>
      <c r="L27" s="52">
        <f t="shared" ref="L27:M27" si="3">SUM(K27)+1.8</f>
        <v>45.199999999999996</v>
      </c>
      <c r="M27" s="64">
        <f t="shared" si="3"/>
        <v>46.999999999999993</v>
      </c>
    </row>
    <row r="28" spans="1:13" s="1" customFormat="1" ht="14.1" customHeight="1">
      <c r="A28" s="45"/>
      <c r="B28" s="121" t="s">
        <v>83</v>
      </c>
      <c r="C28" s="122"/>
      <c r="D28" s="123" t="s">
        <v>82</v>
      </c>
      <c r="E28" s="124"/>
      <c r="F28" s="124"/>
      <c r="G28" s="125"/>
      <c r="H28" s="79"/>
      <c r="I28" s="79"/>
      <c r="J28" s="83"/>
      <c r="K28" s="79"/>
      <c r="L28" s="79"/>
      <c r="M28" s="80"/>
    </row>
    <row r="29" spans="1:13" s="1" customFormat="1" ht="14.1" customHeight="1">
      <c r="A29" s="109">
        <v>14</v>
      </c>
      <c r="B29" s="47" t="s">
        <v>81</v>
      </c>
      <c r="C29" s="48"/>
      <c r="D29" s="75" t="s">
        <v>80</v>
      </c>
      <c r="E29" s="62"/>
      <c r="F29" s="62"/>
      <c r="G29" s="76"/>
      <c r="H29" s="52">
        <f>SUM(I29)-3.3</f>
        <v>32.700000000000003</v>
      </c>
      <c r="I29" s="52">
        <f>SUM(J29)-3.3</f>
        <v>36</v>
      </c>
      <c r="J29" s="54">
        <v>39.299999999999997</v>
      </c>
      <c r="K29" s="52">
        <f>SUM(J29)+3.2</f>
        <v>42.5</v>
      </c>
      <c r="L29" s="52">
        <f>SUM(K29)+2.9</f>
        <v>45.4</v>
      </c>
      <c r="M29" s="64">
        <f t="shared" ref="M29" si="4">SUM(L29)+2.9</f>
        <v>48.3</v>
      </c>
    </row>
    <row r="30" spans="1:13" s="1" customFormat="1" ht="14.1" customHeight="1">
      <c r="A30" s="45"/>
      <c r="B30" s="121" t="s">
        <v>79</v>
      </c>
      <c r="C30" s="122"/>
      <c r="D30" s="123" t="s">
        <v>116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ht="14.1" customHeight="1">
      <c r="A31" s="109">
        <v>15</v>
      </c>
      <c r="B31" s="47" t="s">
        <v>236</v>
      </c>
      <c r="C31" s="48"/>
      <c r="D31" s="75"/>
      <c r="E31" s="62"/>
      <c r="F31" s="62"/>
      <c r="G31" s="76"/>
      <c r="H31" s="52">
        <f>SUM(I31)-0.5</f>
        <v>10.5</v>
      </c>
      <c r="I31" s="52">
        <f>SUM(J31)-0.5</f>
        <v>11</v>
      </c>
      <c r="J31" s="37">
        <v>11.5</v>
      </c>
      <c r="K31" s="38">
        <f>SUM(J31)+0.5</f>
        <v>12</v>
      </c>
      <c r="L31" s="38">
        <f t="shared" ref="L31:M31" si="5">SUM(K31)+0.5</f>
        <v>12.5</v>
      </c>
      <c r="M31" s="63">
        <f t="shared" si="5"/>
        <v>13</v>
      </c>
    </row>
    <row r="32" spans="1:13" ht="14.1" customHeight="1">
      <c r="A32" s="45"/>
      <c r="B32" s="121" t="s">
        <v>237</v>
      </c>
      <c r="C32" s="122"/>
      <c r="D32" s="123"/>
      <c r="E32" s="124"/>
      <c r="F32" s="124"/>
      <c r="G32" s="125"/>
      <c r="H32" s="79"/>
      <c r="I32" s="79"/>
      <c r="J32" s="37"/>
      <c r="K32" s="38"/>
      <c r="L32" s="38"/>
      <c r="M32" s="63"/>
    </row>
    <row r="33" spans="1:13" ht="14.1" customHeight="1">
      <c r="A33" s="109">
        <v>16</v>
      </c>
      <c r="B33" s="47" t="s">
        <v>97</v>
      </c>
      <c r="C33" s="48"/>
      <c r="D33" s="78"/>
      <c r="E33" s="78"/>
      <c r="F33" s="78"/>
      <c r="G33" s="78"/>
      <c r="H33" s="52">
        <f>SUM(I33)-0.5</f>
        <v>10</v>
      </c>
      <c r="I33" s="52">
        <f>SUM(J33)-0.5</f>
        <v>10.5</v>
      </c>
      <c r="J33" s="54">
        <v>11</v>
      </c>
      <c r="K33" s="52">
        <f>SUM(J33)+0.5</f>
        <v>11.5</v>
      </c>
      <c r="L33" s="52">
        <f>SUM(K33)+0.5</f>
        <v>12</v>
      </c>
      <c r="M33" s="64">
        <f>SUM(L33)+0.5</f>
        <v>12.5</v>
      </c>
    </row>
    <row r="34" spans="1:13" ht="14.1" customHeight="1">
      <c r="A34" s="45"/>
      <c r="B34" s="40" t="s">
        <v>96</v>
      </c>
      <c r="C34" s="41"/>
      <c r="D34" s="42"/>
      <c r="E34" s="43"/>
      <c r="F34" s="43"/>
      <c r="G34" s="44"/>
      <c r="H34" s="79"/>
      <c r="I34" s="79"/>
      <c r="J34" s="83"/>
      <c r="K34" s="79"/>
      <c r="L34" s="79"/>
      <c r="M34" s="80"/>
    </row>
    <row r="35" spans="1:13" ht="14.1" customHeight="1">
      <c r="A35" s="109">
        <v>17</v>
      </c>
      <c r="B35" s="47" t="s">
        <v>95</v>
      </c>
      <c r="C35" s="48"/>
      <c r="D35" s="78"/>
      <c r="E35" s="78"/>
      <c r="F35" s="78"/>
      <c r="G35" s="78"/>
      <c r="H35" s="52">
        <f>SUM(I35)-0.5</f>
        <v>10.5</v>
      </c>
      <c r="I35" s="52">
        <f>SUM(J35)-0.5</f>
        <v>11</v>
      </c>
      <c r="J35" s="54">
        <v>11.5</v>
      </c>
      <c r="K35" s="52">
        <f>SUM(J35)+0.5</f>
        <v>12</v>
      </c>
      <c r="L35" s="52">
        <f>SUM(K35)+0.5</f>
        <v>12.5</v>
      </c>
      <c r="M35" s="64">
        <f>SUM(L35)+0.5</f>
        <v>13</v>
      </c>
    </row>
    <row r="36" spans="1:13" ht="14.1" customHeight="1">
      <c r="A36" s="45"/>
      <c r="B36" s="65" t="s">
        <v>94</v>
      </c>
      <c r="C36" s="65"/>
      <c r="D36" s="58"/>
      <c r="E36" s="59"/>
      <c r="F36" s="59"/>
      <c r="G36" s="60"/>
      <c r="H36" s="53"/>
      <c r="I36" s="53"/>
      <c r="J36" s="134"/>
      <c r="K36" s="53"/>
      <c r="L36" s="53"/>
      <c r="M36" s="135"/>
    </row>
    <row r="37" spans="1:13" ht="14.1" customHeight="1">
      <c r="A37" s="109">
        <v>18</v>
      </c>
      <c r="B37" s="47"/>
      <c r="C37" s="48"/>
      <c r="D37" s="75"/>
      <c r="E37" s="62"/>
      <c r="F37" s="62"/>
      <c r="G37" s="76"/>
      <c r="H37" s="52"/>
      <c r="I37" s="52"/>
      <c r="J37" s="54"/>
      <c r="K37" s="52"/>
      <c r="L37" s="52"/>
      <c r="M37" s="64"/>
    </row>
    <row r="38" spans="1:13" ht="14.1" customHeight="1" thickBot="1">
      <c r="A38" s="74"/>
      <c r="B38" s="178"/>
      <c r="C38" s="179"/>
      <c r="D38" s="180"/>
      <c r="E38" s="181"/>
      <c r="F38" s="181"/>
      <c r="G38" s="182"/>
      <c r="H38" s="77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201">
    <mergeCell ref="A1:M1"/>
    <mergeCell ref="B2:C2"/>
    <mergeCell ref="D2:G2"/>
    <mergeCell ref="A5:A6"/>
    <mergeCell ref="B5:C5"/>
    <mergeCell ref="D5:G5"/>
    <mergeCell ref="H5:H6"/>
    <mergeCell ref="I5:I6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K3:K4"/>
    <mergeCell ref="L3:L4"/>
    <mergeCell ref="M3:M4"/>
    <mergeCell ref="B4:C4"/>
    <mergeCell ref="D4:G4"/>
    <mergeCell ref="J3:J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4DA6-D89A-42E4-9E0D-3C3C75DF2E6B}">
  <sheetPr>
    <tabColor theme="8"/>
    <pageSetUpPr fitToPage="1"/>
  </sheetPr>
  <dimension ref="A1:N74"/>
  <sheetViews>
    <sheetView zoomScale="110" zoomScaleNormal="110" workbookViewId="0">
      <selection activeCell="B57" sqref="B57:C5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433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3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41</v>
      </c>
      <c r="I3" s="52">
        <f>SUM(J3)-3.5</f>
        <v>44.5</v>
      </c>
      <c r="J3" s="193">
        <v>48</v>
      </c>
      <c r="K3" s="194">
        <f>SUM(J3)+3</f>
        <v>51</v>
      </c>
      <c r="L3" s="194">
        <f t="shared" ref="L3:M3" si="0">SUM(K3)+3</f>
        <v>54</v>
      </c>
      <c r="M3" s="195">
        <f t="shared" si="0"/>
        <v>57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4" s="1" customFormat="1" ht="14.1" customHeight="1">
      <c r="A5" s="109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45</v>
      </c>
      <c r="I5" s="52">
        <f>SUM(J5)-4.5</f>
        <v>49.5</v>
      </c>
      <c r="J5" s="37">
        <v>54</v>
      </c>
      <c r="K5" s="38">
        <f>SUM(J5)+4.5</f>
        <v>58.5</v>
      </c>
      <c r="L5" s="38">
        <f t="shared" ref="L5:M5" si="1">SUM(K5)+4.5</f>
        <v>63</v>
      </c>
      <c r="M5" s="63">
        <f t="shared" si="1"/>
        <v>67.5</v>
      </c>
    </row>
    <row r="6" spans="1:14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63"/>
    </row>
    <row r="7" spans="1:14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37.5</v>
      </c>
      <c r="I7" s="52">
        <f>SUM(J7)-2.25</f>
        <v>39.75</v>
      </c>
      <c r="J7" s="54">
        <v>42</v>
      </c>
      <c r="K7" s="52">
        <f>SUM(J7)+2</f>
        <v>44</v>
      </c>
      <c r="L7" s="52">
        <f>SUM(K7)+2</f>
        <v>46</v>
      </c>
      <c r="M7" s="64">
        <f>SUM(L7)+2</f>
        <v>48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4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30.400000000000002</v>
      </c>
      <c r="I9" s="52">
        <f>SUM(J9)-1.8</f>
        <v>32.200000000000003</v>
      </c>
      <c r="J9" s="54">
        <v>34</v>
      </c>
      <c r="K9" s="52">
        <f>SUM(J9)+1.6</f>
        <v>35.6</v>
      </c>
      <c r="L9" s="52">
        <f t="shared" ref="L9:M9" si="2">SUM(K9)+1.6</f>
        <v>37.200000000000003</v>
      </c>
      <c r="M9" s="64">
        <f t="shared" si="2"/>
        <v>38.800000000000004</v>
      </c>
    </row>
    <row r="10" spans="1:14" s="1" customFormat="1" ht="14.1" customHeight="1">
      <c r="A10" s="45"/>
      <c r="B10" s="61" t="s">
        <v>25</v>
      </c>
      <c r="C10" s="61"/>
      <c r="D10" s="42" t="s">
        <v>434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4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38"/>
      <c r="L11" s="38"/>
      <c r="M11" s="63"/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4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16.399999999999999</v>
      </c>
      <c r="I13" s="52">
        <f>SUM(J13)-0.6</f>
        <v>17</v>
      </c>
      <c r="J13" s="37">
        <v>17.600000000000001</v>
      </c>
      <c r="K13" s="38">
        <f>SUM(J13)+0.6</f>
        <v>18.200000000000003</v>
      </c>
      <c r="L13" s="38">
        <f>SUM(K13)+0.6</f>
        <v>18.800000000000004</v>
      </c>
      <c r="M13" s="63">
        <f>SUM(L13)+0.6</f>
        <v>19.400000000000006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4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6.1000000000000005</v>
      </c>
      <c r="I15" s="52">
        <f>SUM(J15)-0.3</f>
        <v>6.4</v>
      </c>
      <c r="J15" s="37">
        <v>6.7</v>
      </c>
      <c r="K15" s="38">
        <f>SUM(J15)+0.3</f>
        <v>7</v>
      </c>
      <c r="L15" s="38">
        <f>SUM(K15)+0.3</f>
        <v>7.3</v>
      </c>
      <c r="M15" s="63">
        <f>SUM(L15)+0.3</f>
        <v>7.6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40.799999999999997</v>
      </c>
      <c r="I17" s="52">
        <f>SUM(J17)-1.6</f>
        <v>42.4</v>
      </c>
      <c r="J17" s="37">
        <v>44</v>
      </c>
      <c r="K17" s="38">
        <f>SUM(J17)+1.6</f>
        <v>45.6</v>
      </c>
      <c r="L17" s="38">
        <f>SUM(K17)+1.6</f>
        <v>47.2</v>
      </c>
      <c r="M17" s="63">
        <f>SUM(L17)+1.6</f>
        <v>48.800000000000004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63"/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SUM(I21)-1.7</f>
        <v>29.5</v>
      </c>
      <c r="I21" s="52">
        <f>SUM(J21)-1.7</f>
        <v>31.2</v>
      </c>
      <c r="J21" s="37">
        <v>32.9</v>
      </c>
      <c r="K21" s="38">
        <f>SUM(J21)+1.7</f>
        <v>34.6</v>
      </c>
      <c r="L21" s="38">
        <f t="shared" ref="L21:M21" si="3">SUM(K21)+1.7</f>
        <v>36.300000000000004</v>
      </c>
      <c r="M21" s="63">
        <f t="shared" si="3"/>
        <v>38.000000000000007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109">
        <v>12</v>
      </c>
      <c r="B25" s="47" t="s">
        <v>437</v>
      </c>
      <c r="C25" s="48"/>
      <c r="D25" s="78"/>
      <c r="E25" s="78"/>
      <c r="F25" s="78"/>
      <c r="G25" s="78"/>
      <c r="H25" s="52">
        <f>SUM(I25)-1</f>
        <v>6</v>
      </c>
      <c r="I25" s="52">
        <f>SUM(J25)-1</f>
        <v>7</v>
      </c>
      <c r="J25" s="37">
        <v>8</v>
      </c>
      <c r="K25" s="38">
        <f>SUM(J25)+0.3</f>
        <v>8.3000000000000007</v>
      </c>
      <c r="L25" s="38">
        <f t="shared" ref="L25:M25" si="4">SUM(K25)+0.8</f>
        <v>9.1000000000000014</v>
      </c>
      <c r="M25" s="63">
        <f t="shared" si="4"/>
        <v>9.9000000000000021</v>
      </c>
    </row>
    <row r="26" spans="1:13" s="1" customFormat="1" ht="14.1" customHeight="1">
      <c r="A26" s="45"/>
      <c r="B26" s="40" t="s">
        <v>436</v>
      </c>
      <c r="C26" s="41"/>
      <c r="D26" s="126" t="s">
        <v>438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109">
        <v>13</v>
      </c>
      <c r="B27" s="47" t="s">
        <v>120</v>
      </c>
      <c r="C27" s="48"/>
      <c r="D27" s="49" t="s">
        <v>272</v>
      </c>
      <c r="E27" s="50"/>
      <c r="F27" s="50"/>
      <c r="G27" s="51"/>
      <c r="H27" s="52">
        <f>SUM(I27)-0.3</f>
        <v>4.7</v>
      </c>
      <c r="I27" s="52">
        <f>SUM(J27)-0.3</f>
        <v>5</v>
      </c>
      <c r="J27" s="37">
        <v>5.3</v>
      </c>
      <c r="K27" s="38">
        <f>SUM(J27)+0.3</f>
        <v>5.6</v>
      </c>
      <c r="L27" s="38">
        <f t="shared" ref="L27:M27" si="5">SUM(K27)+0.3</f>
        <v>5.8999999999999995</v>
      </c>
      <c r="M27" s="63">
        <f t="shared" si="5"/>
        <v>6.1999999999999993</v>
      </c>
    </row>
    <row r="28" spans="1:13" s="1" customFormat="1" ht="14.1" customHeight="1" thickBot="1">
      <c r="A28" s="46"/>
      <c r="B28" s="56" t="s">
        <v>128</v>
      </c>
      <c r="C28" s="57"/>
      <c r="D28" s="58" t="s">
        <v>435</v>
      </c>
      <c r="E28" s="59"/>
      <c r="F28" s="59"/>
      <c r="G28" s="60"/>
      <c r="H28" s="53"/>
      <c r="I28" s="53"/>
      <c r="J28" s="54"/>
      <c r="K28" s="52"/>
      <c r="L28" s="52"/>
      <c r="M28" s="64"/>
    </row>
    <row r="29" spans="1:13" s="1" customFormat="1" ht="14.1" customHeight="1" thickTop="1">
      <c r="A29" s="86">
        <v>14</v>
      </c>
      <c r="B29" s="99" t="s">
        <v>106</v>
      </c>
      <c r="C29" s="100"/>
      <c r="D29" s="89" t="s">
        <v>68</v>
      </c>
      <c r="E29" s="163"/>
      <c r="F29" s="163"/>
      <c r="G29" s="164"/>
      <c r="H29" s="90">
        <f>SUM(I29)-3</f>
        <v>45</v>
      </c>
      <c r="I29" s="90">
        <f>SUM(J29)-3</f>
        <v>48</v>
      </c>
      <c r="J29" s="165">
        <v>51</v>
      </c>
      <c r="K29" s="90">
        <f>SUM(J29)+3</f>
        <v>54</v>
      </c>
      <c r="L29" s="90">
        <f t="shared" ref="L29:M29" si="6">SUM(K29)+3</f>
        <v>57</v>
      </c>
      <c r="M29" s="167">
        <f t="shared" si="6"/>
        <v>60</v>
      </c>
    </row>
    <row r="30" spans="1:13" s="1" customFormat="1" ht="14.1" customHeight="1">
      <c r="A30" s="45"/>
      <c r="B30" s="121" t="s">
        <v>77</v>
      </c>
      <c r="C30" s="122"/>
      <c r="D30" s="123" t="s">
        <v>69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ht="14.1" customHeight="1">
      <c r="A31" s="109">
        <v>15</v>
      </c>
      <c r="B31" s="47" t="s">
        <v>113</v>
      </c>
      <c r="C31" s="48"/>
      <c r="D31" s="58"/>
      <c r="E31" s="59"/>
      <c r="F31" s="59"/>
      <c r="G31" s="60"/>
      <c r="H31" s="52">
        <f>SUM(I31)-3.5</f>
        <v>65</v>
      </c>
      <c r="I31" s="52">
        <f>SUM(J31)-3.5</f>
        <v>68.5</v>
      </c>
      <c r="J31" s="134">
        <v>72</v>
      </c>
      <c r="K31" s="53">
        <f>SUM(J31)+3.5</f>
        <v>75.5</v>
      </c>
      <c r="L31" s="53">
        <f>SUM(K31)+3.5</f>
        <v>79</v>
      </c>
      <c r="M31" s="135">
        <f>SUM(L31)+3.5</f>
        <v>82.5</v>
      </c>
    </row>
    <row r="32" spans="1:13" ht="14.1" customHeight="1">
      <c r="A32" s="45"/>
      <c r="B32" s="121" t="s">
        <v>114</v>
      </c>
      <c r="C32" s="122"/>
      <c r="D32" s="123"/>
      <c r="E32" s="124"/>
      <c r="F32" s="124"/>
      <c r="G32" s="125"/>
      <c r="H32" s="79"/>
      <c r="I32" s="79"/>
      <c r="J32" s="83"/>
      <c r="K32" s="79"/>
      <c r="L32" s="79"/>
      <c r="M32" s="80"/>
    </row>
    <row r="33" spans="1:13" ht="14.1" customHeight="1">
      <c r="A33" s="109">
        <v>16</v>
      </c>
      <c r="B33" s="47" t="s">
        <v>11</v>
      </c>
      <c r="C33" s="48"/>
      <c r="D33" s="75"/>
      <c r="E33" s="62"/>
      <c r="F33" s="62"/>
      <c r="G33" s="76"/>
      <c r="H33" s="52">
        <f>SUM(I33)-4</f>
        <v>67.599999999999994</v>
      </c>
      <c r="I33" s="52">
        <f>SUM(J33)-4</f>
        <v>71.599999999999994</v>
      </c>
      <c r="J33" s="54">
        <v>75.599999999999994</v>
      </c>
      <c r="K33" s="52">
        <f>SUM(J33)+4</f>
        <v>79.599999999999994</v>
      </c>
      <c r="L33" s="52">
        <f>SUM(K33)+4</f>
        <v>83.6</v>
      </c>
      <c r="M33" s="64">
        <f>SUM(L33)+4</f>
        <v>87.6</v>
      </c>
    </row>
    <row r="34" spans="1:13" ht="14.1" customHeight="1">
      <c r="A34" s="45"/>
      <c r="B34" s="121" t="s">
        <v>48</v>
      </c>
      <c r="C34" s="122"/>
      <c r="D34" s="123" t="s">
        <v>432</v>
      </c>
      <c r="E34" s="124"/>
      <c r="F34" s="124"/>
      <c r="G34" s="125"/>
      <c r="H34" s="79"/>
      <c r="I34" s="79"/>
      <c r="J34" s="83"/>
      <c r="K34" s="79"/>
      <c r="L34" s="79"/>
      <c r="M34" s="80"/>
    </row>
    <row r="35" spans="1:13" ht="14.1" customHeight="1">
      <c r="A35" s="109">
        <v>17</v>
      </c>
      <c r="B35" s="47" t="s">
        <v>103</v>
      </c>
      <c r="C35" s="48"/>
      <c r="D35" s="75"/>
      <c r="E35" s="62"/>
      <c r="F35" s="62"/>
      <c r="G35" s="76"/>
      <c r="H35" s="81">
        <f>SUM(I35)-0.7</f>
        <v>12.200000000000001</v>
      </c>
      <c r="I35" s="52">
        <f>SUM(J35)-0.7</f>
        <v>12.9</v>
      </c>
      <c r="J35" s="54">
        <v>13.6</v>
      </c>
      <c r="K35" s="52">
        <f>SUM(J35)+1.2</f>
        <v>14.799999999999999</v>
      </c>
      <c r="L35" s="52">
        <f t="shared" ref="L35:M35" si="7">SUM(K35)+0.7</f>
        <v>15.499999999999998</v>
      </c>
      <c r="M35" s="64">
        <f t="shared" si="7"/>
        <v>16.2</v>
      </c>
    </row>
    <row r="36" spans="1:13" ht="14.1" customHeight="1">
      <c r="A36" s="45"/>
      <c r="B36" s="121" t="s">
        <v>102</v>
      </c>
      <c r="C36" s="122"/>
      <c r="D36" s="126" t="s">
        <v>138</v>
      </c>
      <c r="E36" s="127"/>
      <c r="F36" s="127"/>
      <c r="G36" s="128"/>
      <c r="H36" s="61"/>
      <c r="I36" s="79"/>
      <c r="J36" s="83"/>
      <c r="K36" s="79"/>
      <c r="L36" s="79"/>
      <c r="M36" s="80"/>
    </row>
    <row r="37" spans="1:13" ht="14.1" customHeight="1">
      <c r="A37" s="109">
        <v>18</v>
      </c>
      <c r="B37" s="47" t="s">
        <v>125</v>
      </c>
      <c r="C37" s="48"/>
      <c r="D37" s="75"/>
      <c r="E37" s="62"/>
      <c r="F37" s="62"/>
      <c r="G37" s="76"/>
      <c r="H37" s="81"/>
      <c r="I37" s="52"/>
      <c r="J37" s="54"/>
      <c r="K37" s="52"/>
      <c r="L37" s="52"/>
      <c r="M37" s="230"/>
    </row>
    <row r="38" spans="1:13" ht="14.1" customHeight="1">
      <c r="A38" s="45"/>
      <c r="B38" s="121" t="s">
        <v>126</v>
      </c>
      <c r="C38" s="122"/>
      <c r="D38" s="126" t="s">
        <v>127</v>
      </c>
      <c r="E38" s="127"/>
      <c r="F38" s="127"/>
      <c r="G38" s="128"/>
      <c r="H38" s="61"/>
      <c r="I38" s="79"/>
      <c r="J38" s="83"/>
      <c r="K38" s="79"/>
      <c r="L38" s="79"/>
      <c r="M38" s="231"/>
    </row>
    <row r="39" spans="1:13" ht="14.1" customHeight="1">
      <c r="A39" s="109">
        <v>19</v>
      </c>
      <c r="B39" s="47" t="s">
        <v>137</v>
      </c>
      <c r="C39" s="48"/>
      <c r="D39" s="75"/>
      <c r="E39" s="62"/>
      <c r="F39" s="62"/>
      <c r="G39" s="76"/>
      <c r="H39" s="52"/>
      <c r="I39" s="52"/>
      <c r="J39" s="54"/>
      <c r="K39" s="52"/>
      <c r="L39" s="52"/>
      <c r="M39" s="64"/>
    </row>
    <row r="40" spans="1:13" ht="14.1" customHeight="1">
      <c r="A40" s="45"/>
      <c r="B40" s="121" t="s">
        <v>136</v>
      </c>
      <c r="C40" s="122"/>
      <c r="D40" s="126"/>
      <c r="E40" s="127"/>
      <c r="F40" s="127"/>
      <c r="G40" s="128"/>
      <c r="H40" s="79"/>
      <c r="I40" s="79"/>
      <c r="J40" s="83"/>
      <c r="K40" s="79"/>
      <c r="L40" s="79"/>
      <c r="M40" s="80"/>
    </row>
    <row r="41" spans="1:13" ht="14.1" customHeight="1">
      <c r="A41" s="109">
        <v>20</v>
      </c>
      <c r="B41" s="47" t="s">
        <v>9</v>
      </c>
      <c r="C41" s="48"/>
      <c r="D41" s="75" t="s">
        <v>70</v>
      </c>
      <c r="E41" s="62"/>
      <c r="F41" s="62"/>
      <c r="G41" s="76"/>
      <c r="H41" s="52">
        <f>SUM(I41)-7</f>
        <v>53</v>
      </c>
      <c r="I41" s="52">
        <f>SUM(J41)-7</f>
        <v>60</v>
      </c>
      <c r="J41" s="54">
        <v>67</v>
      </c>
      <c r="K41" s="52">
        <f>SUM(J41)+6</f>
        <v>73</v>
      </c>
      <c r="L41" s="52">
        <f>SUM(K41)+6</f>
        <v>79</v>
      </c>
      <c r="M41" s="64">
        <f>SUM(L41)+6</f>
        <v>85</v>
      </c>
    </row>
    <row r="42" spans="1:13" ht="14.1" customHeight="1">
      <c r="A42" s="45"/>
      <c r="B42" s="121" t="s">
        <v>49</v>
      </c>
      <c r="C42" s="122"/>
      <c r="D42" s="123" t="s">
        <v>89</v>
      </c>
      <c r="E42" s="124"/>
      <c r="F42" s="124"/>
      <c r="G42" s="125"/>
      <c r="H42" s="79"/>
      <c r="I42" s="79"/>
      <c r="J42" s="83"/>
      <c r="K42" s="79"/>
      <c r="L42" s="79"/>
      <c r="M42" s="80"/>
    </row>
    <row r="43" spans="1:13" ht="14.1" customHeight="1">
      <c r="A43" s="109">
        <v>21</v>
      </c>
      <c r="B43" s="47" t="s">
        <v>14</v>
      </c>
      <c r="C43" s="48"/>
      <c r="D43" s="75" t="s">
        <v>15</v>
      </c>
      <c r="E43" s="62"/>
      <c r="F43" s="62"/>
      <c r="G43" s="76"/>
      <c r="H43" s="52">
        <f>SUM(I43)-1</f>
        <v>20</v>
      </c>
      <c r="I43" s="52">
        <f>SUM(J43)-1</f>
        <v>21</v>
      </c>
      <c r="J43" s="54">
        <v>22</v>
      </c>
      <c r="K43" s="52">
        <f>SUM(J43)+1</f>
        <v>23</v>
      </c>
      <c r="L43" s="52">
        <f t="shared" ref="L43:M43" si="8">SUM(K43)+1</f>
        <v>24</v>
      </c>
      <c r="M43" s="64">
        <f t="shared" si="8"/>
        <v>25</v>
      </c>
    </row>
    <row r="44" spans="1:13" ht="14.1" customHeight="1">
      <c r="A44" s="45"/>
      <c r="B44" s="121" t="s">
        <v>50</v>
      </c>
      <c r="C44" s="122"/>
      <c r="D44" s="42" t="s">
        <v>88</v>
      </c>
      <c r="E44" s="43"/>
      <c r="F44" s="43"/>
      <c r="G44" s="44"/>
      <c r="H44" s="79"/>
      <c r="I44" s="79"/>
      <c r="J44" s="83"/>
      <c r="K44" s="79"/>
      <c r="L44" s="79"/>
      <c r="M44" s="80"/>
    </row>
    <row r="45" spans="1:13" ht="14.1" customHeight="1">
      <c r="A45" s="109">
        <v>22</v>
      </c>
      <c r="B45" s="47" t="s">
        <v>16</v>
      </c>
      <c r="C45" s="48"/>
      <c r="D45" s="75" t="s">
        <v>13</v>
      </c>
      <c r="E45" s="62"/>
      <c r="F45" s="62"/>
      <c r="G45" s="76"/>
      <c r="H45" s="81">
        <f>SUM(I45)-1.1</f>
        <v>20.9</v>
      </c>
      <c r="I45" s="52">
        <f>SUM(J45)-1.1</f>
        <v>22</v>
      </c>
      <c r="J45" s="54">
        <v>23.1</v>
      </c>
      <c r="K45" s="52">
        <f>SUM(J45)+1.6</f>
        <v>24.700000000000003</v>
      </c>
      <c r="L45" s="52">
        <f>SUM(K45)+1.1</f>
        <v>25.800000000000004</v>
      </c>
      <c r="M45" s="230">
        <f>SUM(L45)+1.1</f>
        <v>26.900000000000006</v>
      </c>
    </row>
    <row r="46" spans="1:13" ht="14.1" customHeight="1">
      <c r="A46" s="45"/>
      <c r="B46" s="121" t="s">
        <v>56</v>
      </c>
      <c r="C46" s="122"/>
      <c r="D46" s="123" t="s">
        <v>87</v>
      </c>
      <c r="E46" s="124"/>
      <c r="F46" s="124"/>
      <c r="G46" s="125"/>
      <c r="H46" s="61"/>
      <c r="I46" s="79"/>
      <c r="J46" s="83"/>
      <c r="K46" s="79"/>
      <c r="L46" s="79"/>
      <c r="M46" s="231"/>
    </row>
    <row r="47" spans="1:13" ht="14.1" customHeight="1">
      <c r="A47" s="109">
        <v>23</v>
      </c>
      <c r="B47" s="47" t="s">
        <v>17</v>
      </c>
      <c r="C47" s="48"/>
      <c r="D47" s="75" t="s">
        <v>13</v>
      </c>
      <c r="E47" s="62"/>
      <c r="F47" s="62"/>
      <c r="G47" s="76"/>
      <c r="H47" s="81">
        <f>SUM(I47)-1.3</f>
        <v>27.7</v>
      </c>
      <c r="I47" s="52">
        <f>SUM(J47)-1.3</f>
        <v>29</v>
      </c>
      <c r="J47" s="54">
        <v>30.3</v>
      </c>
      <c r="K47" s="52">
        <f>SUM(J47)+1.8</f>
        <v>32.1</v>
      </c>
      <c r="L47" s="52">
        <f>SUM(K47)+1.3</f>
        <v>33.4</v>
      </c>
      <c r="M47" s="230">
        <f>SUM(L47)+1.3</f>
        <v>34.699999999999996</v>
      </c>
    </row>
    <row r="48" spans="1:13" ht="14.1" customHeight="1">
      <c r="A48" s="45"/>
      <c r="B48" s="121" t="s">
        <v>55</v>
      </c>
      <c r="C48" s="122"/>
      <c r="D48" s="123" t="s">
        <v>87</v>
      </c>
      <c r="E48" s="124"/>
      <c r="F48" s="124"/>
      <c r="G48" s="125"/>
      <c r="H48" s="61"/>
      <c r="I48" s="79"/>
      <c r="J48" s="83"/>
      <c r="K48" s="79"/>
      <c r="L48" s="79"/>
      <c r="M48" s="231"/>
    </row>
    <row r="49" spans="1:13" ht="14.1" customHeight="1">
      <c r="A49" s="109">
        <v>24</v>
      </c>
      <c r="B49" s="47" t="s">
        <v>18</v>
      </c>
      <c r="C49" s="48"/>
      <c r="D49" s="75" t="s">
        <v>19</v>
      </c>
      <c r="E49" s="62"/>
      <c r="F49" s="62"/>
      <c r="G49" s="76"/>
      <c r="H49" s="52">
        <f>SUM(I49)-2.7</f>
        <v>42.699999999999996</v>
      </c>
      <c r="I49" s="52">
        <f>SUM(J49)-2.7</f>
        <v>45.4</v>
      </c>
      <c r="J49" s="54">
        <v>48.1</v>
      </c>
      <c r="K49" s="52">
        <f>SUM(J49)+2.6</f>
        <v>50.7</v>
      </c>
      <c r="L49" s="52">
        <f>SUM(K49)+2.6</f>
        <v>53.300000000000004</v>
      </c>
      <c r="M49" s="64">
        <f>SUM(L49)+2.6</f>
        <v>55.900000000000006</v>
      </c>
    </row>
    <row r="50" spans="1:13" ht="14.1" customHeight="1">
      <c r="A50" s="45"/>
      <c r="B50" s="121" t="s">
        <v>54</v>
      </c>
      <c r="C50" s="122"/>
      <c r="D50" s="123" t="s">
        <v>86</v>
      </c>
      <c r="E50" s="124"/>
      <c r="F50" s="124"/>
      <c r="G50" s="125"/>
      <c r="H50" s="79"/>
      <c r="I50" s="79"/>
      <c r="J50" s="83"/>
      <c r="K50" s="79"/>
      <c r="L50" s="79"/>
      <c r="M50" s="80"/>
    </row>
    <row r="51" spans="1:13" ht="14.1" customHeight="1">
      <c r="A51" s="109">
        <v>25</v>
      </c>
      <c r="B51" s="47" t="s">
        <v>20</v>
      </c>
      <c r="C51" s="48"/>
      <c r="D51" s="75" t="s">
        <v>21</v>
      </c>
      <c r="E51" s="62"/>
      <c r="F51" s="62"/>
      <c r="G51" s="76"/>
      <c r="H51" s="52">
        <f>SUM(I51)-6</f>
        <v>33.299999999999997</v>
      </c>
      <c r="I51" s="52">
        <f>SUM(J51)-6</f>
        <v>39.299999999999997</v>
      </c>
      <c r="J51" s="54">
        <v>45.3</v>
      </c>
      <c r="K51" s="52">
        <f>SUM(J51)+4.5</f>
        <v>49.8</v>
      </c>
      <c r="L51" s="52">
        <f>SUM(K51)+5</f>
        <v>54.8</v>
      </c>
      <c r="M51" s="64">
        <f>SUM(L51)+5</f>
        <v>59.8</v>
      </c>
    </row>
    <row r="52" spans="1:13" ht="13.5" customHeight="1">
      <c r="A52" s="45"/>
      <c r="B52" s="121" t="s">
        <v>53</v>
      </c>
      <c r="C52" s="122"/>
      <c r="D52" s="123" t="s">
        <v>85</v>
      </c>
      <c r="E52" s="124"/>
      <c r="F52" s="124"/>
      <c r="G52" s="125"/>
      <c r="H52" s="79"/>
      <c r="I52" s="79"/>
      <c r="J52" s="83"/>
      <c r="K52" s="79"/>
      <c r="L52" s="79"/>
      <c r="M52" s="80"/>
    </row>
    <row r="53" spans="1:13" ht="14.1" customHeight="1">
      <c r="A53" s="109">
        <v>26</v>
      </c>
      <c r="B53" s="47" t="s">
        <v>84</v>
      </c>
      <c r="C53" s="48"/>
      <c r="D53" s="75" t="s">
        <v>82</v>
      </c>
      <c r="E53" s="62"/>
      <c r="F53" s="62"/>
      <c r="G53" s="76"/>
      <c r="H53" s="52">
        <f>SUM(I53)-1.8</f>
        <v>38.000000000000007</v>
      </c>
      <c r="I53" s="52">
        <f>SUM(J53)-1.8</f>
        <v>39.800000000000004</v>
      </c>
      <c r="J53" s="54">
        <v>41.6</v>
      </c>
      <c r="K53" s="52">
        <f>SUM(J53)+1.8</f>
        <v>43.4</v>
      </c>
      <c r="L53" s="52">
        <f t="shared" ref="L53:M53" si="9">SUM(K53)+1.8</f>
        <v>45.199999999999996</v>
      </c>
      <c r="M53" s="64">
        <f t="shared" si="9"/>
        <v>46.999999999999993</v>
      </c>
    </row>
    <row r="54" spans="1:13" ht="14.1" customHeight="1">
      <c r="A54" s="45"/>
      <c r="B54" s="121" t="s">
        <v>83</v>
      </c>
      <c r="C54" s="122"/>
      <c r="D54" s="123" t="s">
        <v>82</v>
      </c>
      <c r="E54" s="124"/>
      <c r="F54" s="124"/>
      <c r="G54" s="125"/>
      <c r="H54" s="79"/>
      <c r="I54" s="79"/>
      <c r="J54" s="83"/>
      <c r="K54" s="79"/>
      <c r="L54" s="79"/>
      <c r="M54" s="80"/>
    </row>
    <row r="55" spans="1:13" ht="14.1" customHeight="1">
      <c r="A55" s="109">
        <v>27</v>
      </c>
      <c r="B55" s="47" t="s">
        <v>81</v>
      </c>
      <c r="C55" s="48"/>
      <c r="D55" s="75" t="s">
        <v>80</v>
      </c>
      <c r="E55" s="62"/>
      <c r="F55" s="62"/>
      <c r="G55" s="76"/>
      <c r="H55" s="52">
        <f>SUM(I55)-3.3</f>
        <v>32.700000000000003</v>
      </c>
      <c r="I55" s="52">
        <f>SUM(J55)-3.3</f>
        <v>36</v>
      </c>
      <c r="J55" s="54">
        <v>39.299999999999997</v>
      </c>
      <c r="K55" s="52">
        <f>SUM(J55)+3.2</f>
        <v>42.5</v>
      </c>
      <c r="L55" s="52">
        <f>SUM(K55)+2.9</f>
        <v>45.4</v>
      </c>
      <c r="M55" s="64">
        <f t="shared" ref="M55" si="10">SUM(L55)+2.9</f>
        <v>48.3</v>
      </c>
    </row>
    <row r="56" spans="1:13" ht="14.1" customHeight="1">
      <c r="A56" s="45"/>
      <c r="B56" s="121" t="s">
        <v>79</v>
      </c>
      <c r="C56" s="122"/>
      <c r="D56" s="123" t="s">
        <v>116</v>
      </c>
      <c r="E56" s="124"/>
      <c r="F56" s="124"/>
      <c r="G56" s="125"/>
      <c r="H56" s="79"/>
      <c r="I56" s="79"/>
      <c r="J56" s="83"/>
      <c r="K56" s="79"/>
      <c r="L56" s="79"/>
      <c r="M56" s="80"/>
    </row>
    <row r="57" spans="1:13" ht="14.1" customHeight="1">
      <c r="A57" s="109">
        <v>28</v>
      </c>
      <c r="B57" s="47" t="s">
        <v>236</v>
      </c>
      <c r="C57" s="48"/>
      <c r="D57" s="75"/>
      <c r="E57" s="62"/>
      <c r="F57" s="62"/>
      <c r="G57" s="76"/>
      <c r="H57" s="52">
        <f>SUM(I57)-0.5</f>
        <v>10.5</v>
      </c>
      <c r="I57" s="52">
        <f>SUM(J57)-0.5</f>
        <v>11</v>
      </c>
      <c r="J57" s="37">
        <v>11.5</v>
      </c>
      <c r="K57" s="38">
        <f>SUM(J57)+0.5</f>
        <v>12</v>
      </c>
      <c r="L57" s="38">
        <f t="shared" ref="L57:M57" si="11">SUM(K57)+0.5</f>
        <v>12.5</v>
      </c>
      <c r="M57" s="63">
        <f t="shared" si="11"/>
        <v>13</v>
      </c>
    </row>
    <row r="58" spans="1:13" ht="14.1" customHeight="1">
      <c r="A58" s="45"/>
      <c r="B58" s="121" t="s">
        <v>237</v>
      </c>
      <c r="C58" s="122"/>
      <c r="D58" s="123"/>
      <c r="E58" s="124"/>
      <c r="F58" s="124"/>
      <c r="G58" s="125"/>
      <c r="H58" s="79"/>
      <c r="I58" s="79"/>
      <c r="J58" s="37"/>
      <c r="K58" s="38"/>
      <c r="L58" s="38"/>
      <c r="M58" s="63"/>
    </row>
    <row r="59" spans="1:13" ht="14.1" customHeight="1">
      <c r="A59" s="109">
        <v>29</v>
      </c>
      <c r="B59" s="47" t="s">
        <v>97</v>
      </c>
      <c r="C59" s="48"/>
      <c r="D59" s="78"/>
      <c r="E59" s="78"/>
      <c r="F59" s="78"/>
      <c r="G59" s="78"/>
      <c r="H59" s="52">
        <f>SUM(I59)-0.5</f>
        <v>10</v>
      </c>
      <c r="I59" s="52">
        <f>SUM(J59)-0.5</f>
        <v>10.5</v>
      </c>
      <c r="J59" s="54">
        <v>11</v>
      </c>
      <c r="K59" s="52">
        <f>SUM(J59)+0.5</f>
        <v>11.5</v>
      </c>
      <c r="L59" s="52">
        <f>SUM(K59)+0.5</f>
        <v>12</v>
      </c>
      <c r="M59" s="64">
        <f>SUM(L59)+0.5</f>
        <v>12.5</v>
      </c>
    </row>
    <row r="60" spans="1:13" ht="14.1" customHeight="1">
      <c r="A60" s="45"/>
      <c r="B60" s="40" t="s">
        <v>96</v>
      </c>
      <c r="C60" s="41"/>
      <c r="D60" s="42"/>
      <c r="E60" s="43"/>
      <c r="F60" s="43"/>
      <c r="G60" s="44"/>
      <c r="H60" s="79"/>
      <c r="I60" s="79"/>
      <c r="J60" s="83"/>
      <c r="K60" s="79"/>
      <c r="L60" s="79"/>
      <c r="M60" s="80"/>
    </row>
    <row r="61" spans="1:13" ht="14.1" customHeight="1">
      <c r="A61" s="109">
        <v>30</v>
      </c>
      <c r="B61" s="47" t="s">
        <v>95</v>
      </c>
      <c r="C61" s="48"/>
      <c r="D61" s="78"/>
      <c r="E61" s="78"/>
      <c r="F61" s="78"/>
      <c r="G61" s="78"/>
      <c r="H61" s="52">
        <f>SUM(I61)-0.5</f>
        <v>10.5</v>
      </c>
      <c r="I61" s="52">
        <f>SUM(J61)-0.5</f>
        <v>11</v>
      </c>
      <c r="J61" s="54">
        <v>11.5</v>
      </c>
      <c r="K61" s="52">
        <f>SUM(J61)+0.5</f>
        <v>12</v>
      </c>
      <c r="L61" s="52">
        <f>SUM(K61)+0.5</f>
        <v>12.5</v>
      </c>
      <c r="M61" s="64">
        <f>SUM(L61)+0.5</f>
        <v>13</v>
      </c>
    </row>
    <row r="62" spans="1:13" ht="14.1" customHeight="1">
      <c r="A62" s="45"/>
      <c r="B62" s="65" t="s">
        <v>94</v>
      </c>
      <c r="C62" s="65"/>
      <c r="D62" s="58"/>
      <c r="E62" s="59"/>
      <c r="F62" s="59"/>
      <c r="G62" s="60"/>
      <c r="H62" s="53"/>
      <c r="I62" s="53"/>
      <c r="J62" s="134"/>
      <c r="K62" s="53"/>
      <c r="L62" s="53"/>
      <c r="M62" s="135"/>
    </row>
    <row r="63" spans="1:13" ht="14.1" customHeight="1">
      <c r="A63" s="45"/>
      <c r="B63" s="47"/>
      <c r="C63" s="48"/>
      <c r="D63" s="75"/>
      <c r="E63" s="62"/>
      <c r="F63" s="62"/>
      <c r="G63" s="76"/>
      <c r="H63" s="52"/>
      <c r="I63" s="52"/>
      <c r="J63" s="54"/>
      <c r="K63" s="52"/>
      <c r="L63" s="52"/>
      <c r="M63" s="64"/>
    </row>
    <row r="64" spans="1:13" ht="14.1" customHeight="1" thickBot="1">
      <c r="A64" s="74"/>
      <c r="B64" s="178"/>
      <c r="C64" s="179"/>
      <c r="D64" s="180"/>
      <c r="E64" s="181"/>
      <c r="F64" s="181"/>
      <c r="G64" s="182"/>
      <c r="H64" s="77"/>
      <c r="I64" s="77"/>
      <c r="J64" s="144"/>
      <c r="K64" s="77"/>
      <c r="L64" s="77"/>
      <c r="M64" s="141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44">
    <mergeCell ref="A1:M1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K63:K64"/>
    <mergeCell ref="L63:L64"/>
    <mergeCell ref="M63:M64"/>
    <mergeCell ref="B64:C64"/>
    <mergeCell ref="D64:G64"/>
    <mergeCell ref="A63:A64"/>
    <mergeCell ref="B63:C63"/>
    <mergeCell ref="D63:G63"/>
    <mergeCell ref="H63:H64"/>
    <mergeCell ref="I63:I64"/>
    <mergeCell ref="J63:J64"/>
    <mergeCell ref="K61:K62"/>
    <mergeCell ref="L61:L62"/>
    <mergeCell ref="M61:M62"/>
    <mergeCell ref="B62:C62"/>
    <mergeCell ref="D62:G62"/>
    <mergeCell ref="A61:A62"/>
    <mergeCell ref="B61:C61"/>
    <mergeCell ref="D61:G61"/>
    <mergeCell ref="H61:H62"/>
    <mergeCell ref="I61:I62"/>
    <mergeCell ref="J61:J62"/>
    <mergeCell ref="K59:K60"/>
    <mergeCell ref="L59:L60"/>
    <mergeCell ref="M59:M60"/>
    <mergeCell ref="B60:C60"/>
    <mergeCell ref="D60:G60"/>
    <mergeCell ref="A59:A60"/>
    <mergeCell ref="B59:C59"/>
    <mergeCell ref="D59:G59"/>
    <mergeCell ref="H59:H60"/>
    <mergeCell ref="I59:I60"/>
    <mergeCell ref="J59:J60"/>
    <mergeCell ref="A57:A58"/>
    <mergeCell ref="K57:K58"/>
    <mergeCell ref="L57:L58"/>
    <mergeCell ref="M57:M58"/>
    <mergeCell ref="B58:C58"/>
    <mergeCell ref="D58:G58"/>
    <mergeCell ref="B57:C57"/>
    <mergeCell ref="D57:G57"/>
    <mergeCell ref="H57:H58"/>
    <mergeCell ref="I57:I58"/>
    <mergeCell ref="J57:J58"/>
    <mergeCell ref="K55:K56"/>
    <mergeCell ref="L55:L56"/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FD1C-D02D-419F-B4D5-3864D152DBC8}">
  <sheetPr>
    <tabColor theme="8"/>
    <pageSetUpPr fitToPage="1"/>
  </sheetPr>
  <dimension ref="A1:Q74"/>
  <sheetViews>
    <sheetView topLeftCell="A37" zoomScale="110" zoomScaleNormal="110" workbookViewId="0">
      <selection activeCell="P23" sqref="P2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483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145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38</v>
      </c>
      <c r="I3" s="52">
        <f>SUM(J3)-3.5</f>
        <v>41.5</v>
      </c>
      <c r="J3" s="193">
        <v>45</v>
      </c>
      <c r="K3" s="194">
        <f>SUM(J3)+3</f>
        <v>48</v>
      </c>
      <c r="L3" s="194">
        <f t="shared" ref="L3:N3" si="0">SUM(K3)+3</f>
        <v>51</v>
      </c>
      <c r="M3" s="194">
        <f t="shared" si="0"/>
        <v>54</v>
      </c>
      <c r="N3" s="195">
        <f t="shared" si="0"/>
        <v>57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64"/>
    </row>
    <row r="5" spans="1:14" s="1" customFormat="1" ht="14.1" customHeight="1">
      <c r="A5" s="109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45.1</v>
      </c>
      <c r="I5" s="52">
        <f>SUM(J5)-4.5</f>
        <v>49.6</v>
      </c>
      <c r="J5" s="37">
        <v>54.1</v>
      </c>
      <c r="K5" s="38">
        <f>SUM(J5)+4.5</f>
        <v>58.6</v>
      </c>
      <c r="L5" s="38">
        <f t="shared" ref="L5:N5" si="1">SUM(K5)+4.5</f>
        <v>63.1</v>
      </c>
      <c r="M5" s="38">
        <f t="shared" si="1"/>
        <v>67.599999999999994</v>
      </c>
      <c r="N5" s="63">
        <f t="shared" si="1"/>
        <v>72.099999999999994</v>
      </c>
    </row>
    <row r="6" spans="1:14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38"/>
      <c r="N6" s="63"/>
    </row>
    <row r="7" spans="1:14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40.4</v>
      </c>
      <c r="I7" s="52">
        <f>SUM(J7)-2.25</f>
        <v>42.65</v>
      </c>
      <c r="J7" s="54">
        <v>44.9</v>
      </c>
      <c r="K7" s="52">
        <f>SUM(J7)+2</f>
        <v>46.9</v>
      </c>
      <c r="L7" s="52">
        <f>SUM(K7)+2</f>
        <v>48.9</v>
      </c>
      <c r="M7" s="52">
        <f>SUM(L7)+2</f>
        <v>50.9</v>
      </c>
      <c r="N7" s="64">
        <f>SUM(M7)+2</f>
        <v>52.9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SUM(I9)-1.6</f>
        <v>27.799999999999997</v>
      </c>
      <c r="I9" s="52">
        <f>SUM(J9)-1.6</f>
        <v>29.4</v>
      </c>
      <c r="J9" s="54">
        <v>31</v>
      </c>
      <c r="K9" s="52">
        <f>SUM(J9)+1.4</f>
        <v>32.4</v>
      </c>
      <c r="L9" s="52">
        <f t="shared" ref="L9:M9" si="2">SUM(K9)+1.4</f>
        <v>33.799999999999997</v>
      </c>
      <c r="M9" s="52">
        <f t="shared" si="2"/>
        <v>35.199999999999996</v>
      </c>
      <c r="N9" s="64">
        <f t="shared" ref="N9" si="3">SUM(M9)+1.4</f>
        <v>36.599999999999994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52"/>
      <c r="L11" s="52"/>
      <c r="M11" s="52"/>
      <c r="N11" s="64"/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79"/>
      <c r="N12" s="80"/>
    </row>
    <row r="13" spans="1:14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15.6</v>
      </c>
      <c r="I13" s="52">
        <f>SUM(J13)-0.6</f>
        <v>16.2</v>
      </c>
      <c r="J13" s="37">
        <v>16.8</v>
      </c>
      <c r="K13" s="38">
        <f>SUM(J13)+0.6</f>
        <v>17.400000000000002</v>
      </c>
      <c r="L13" s="38">
        <f>SUM(K13)+0.6</f>
        <v>18.000000000000004</v>
      </c>
      <c r="M13" s="38">
        <f>SUM(L13)+0.6</f>
        <v>18.600000000000005</v>
      </c>
      <c r="N13" s="63">
        <f>SUM(M13)+0.6</f>
        <v>19.200000000000006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63"/>
    </row>
    <row r="15" spans="1:14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5.5</v>
      </c>
      <c r="I15" s="52">
        <f>SUM(J15)-0.3</f>
        <v>5.8</v>
      </c>
      <c r="J15" s="37">
        <v>6.1</v>
      </c>
      <c r="K15" s="38">
        <f>SUM(J15)+0.3</f>
        <v>6.3999999999999995</v>
      </c>
      <c r="L15" s="38">
        <f>SUM(K15)+0.3</f>
        <v>6.6999999999999993</v>
      </c>
      <c r="M15" s="38">
        <f>SUM(L15)+0.3</f>
        <v>6.9999999999999991</v>
      </c>
      <c r="N15" s="63">
        <f>SUM(M15)+0.3</f>
        <v>7.2999999999999989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63"/>
    </row>
    <row r="17" spans="1:14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38.799999999999997</v>
      </c>
      <c r="I17" s="52">
        <f>SUM(J17)-1.6</f>
        <v>40.4</v>
      </c>
      <c r="J17" s="37">
        <v>42</v>
      </c>
      <c r="K17" s="38">
        <f>SUM(J17)+1.6</f>
        <v>43.6</v>
      </c>
      <c r="L17" s="38">
        <f>SUM(K17)+1.6</f>
        <v>45.2</v>
      </c>
      <c r="M17" s="38">
        <f>SUM(L17)+1.6</f>
        <v>46.800000000000004</v>
      </c>
      <c r="N17" s="63">
        <f>SUM(M17)+1.6</f>
        <v>48.400000000000006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63"/>
    </row>
    <row r="19" spans="1:14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38"/>
      <c r="N19" s="63"/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63"/>
    </row>
    <row r="21" spans="1:14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33.700000000000003</v>
      </c>
      <c r="I21" s="52">
        <f>SUM(J21)-1.5</f>
        <v>35.200000000000003</v>
      </c>
      <c r="J21" s="37">
        <v>36.700000000000003</v>
      </c>
      <c r="K21" s="38">
        <f>SUM(J21)+1.6</f>
        <v>38.300000000000004</v>
      </c>
      <c r="L21" s="38">
        <f t="shared" ref="L21:N21" si="4">SUM(K21)+1.6</f>
        <v>39.900000000000006</v>
      </c>
      <c r="M21" s="38">
        <f t="shared" si="4"/>
        <v>41.500000000000007</v>
      </c>
      <c r="N21" s="63">
        <f t="shared" si="4"/>
        <v>43.100000000000009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63"/>
    </row>
    <row r="23" spans="1:14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38">
        <f>SUM(L23)+0.6</f>
        <v>17</v>
      </c>
      <c r="N23" s="63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63"/>
    </row>
    <row r="25" spans="1:14" s="1" customFormat="1" ht="14.1" customHeight="1">
      <c r="A25" s="109">
        <v>12</v>
      </c>
      <c r="B25" s="47" t="s">
        <v>120</v>
      </c>
      <c r="C25" s="48"/>
      <c r="D25" s="49" t="s">
        <v>272</v>
      </c>
      <c r="E25" s="50"/>
      <c r="F25" s="50"/>
      <c r="G25" s="51"/>
      <c r="H25" s="52">
        <f>SUM(I25)-0.2</f>
        <v>3.5999999999999996</v>
      </c>
      <c r="I25" s="52">
        <f>SUM(J25)-0.2</f>
        <v>3.8</v>
      </c>
      <c r="J25" s="37">
        <v>4</v>
      </c>
      <c r="K25" s="38">
        <f>SUM(J25)+0.2</f>
        <v>4.2</v>
      </c>
      <c r="L25" s="38">
        <f t="shared" ref="L25:M25" si="5">SUM(K25)+0.2</f>
        <v>4.4000000000000004</v>
      </c>
      <c r="M25" s="38">
        <f t="shared" si="5"/>
        <v>4.6000000000000005</v>
      </c>
      <c r="N25" s="63">
        <f t="shared" ref="N25" si="6">SUM(M25)+0.2</f>
        <v>4.8000000000000007</v>
      </c>
    </row>
    <row r="26" spans="1:14" s="1" customFormat="1" ht="14.1" customHeight="1">
      <c r="A26" s="45"/>
      <c r="B26" s="56" t="s">
        <v>128</v>
      </c>
      <c r="C26" s="57"/>
      <c r="D26" s="58" t="s">
        <v>435</v>
      </c>
      <c r="E26" s="59"/>
      <c r="F26" s="59"/>
      <c r="G26" s="60"/>
      <c r="H26" s="53"/>
      <c r="I26" s="53"/>
      <c r="J26" s="54"/>
      <c r="K26" s="52"/>
      <c r="L26" s="52"/>
      <c r="M26" s="52"/>
      <c r="N26" s="64"/>
    </row>
    <row r="27" spans="1:14" s="1" customFormat="1" ht="14.1" customHeight="1">
      <c r="A27" s="109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38"/>
      <c r="N27" s="63"/>
    </row>
    <row r="28" spans="1:14" s="1" customFormat="1" ht="14.1" customHeight="1" thickBot="1">
      <c r="A28" s="46"/>
      <c r="B28" s="56"/>
      <c r="C28" s="57"/>
      <c r="D28" s="58"/>
      <c r="E28" s="59"/>
      <c r="F28" s="59"/>
      <c r="G28" s="60"/>
      <c r="H28" s="53"/>
      <c r="I28" s="53"/>
      <c r="J28" s="54"/>
      <c r="K28" s="52"/>
      <c r="L28" s="52"/>
      <c r="M28" s="52"/>
      <c r="N28" s="64"/>
    </row>
    <row r="29" spans="1:14" s="1" customFormat="1" ht="14.1" customHeight="1" thickTop="1">
      <c r="A29" s="86">
        <v>14</v>
      </c>
      <c r="B29" s="99" t="s">
        <v>106</v>
      </c>
      <c r="C29" s="100"/>
      <c r="D29" s="89" t="s">
        <v>68</v>
      </c>
      <c r="E29" s="163"/>
      <c r="F29" s="163"/>
      <c r="G29" s="164"/>
      <c r="H29" s="90">
        <f>SUM(I29)-3</f>
        <v>45</v>
      </c>
      <c r="I29" s="90">
        <f>SUM(J29)-3</f>
        <v>48</v>
      </c>
      <c r="J29" s="165">
        <v>51</v>
      </c>
      <c r="K29" s="90">
        <f>SUM(J29)+3</f>
        <v>54</v>
      </c>
      <c r="L29" s="90">
        <f t="shared" ref="L29:N29" si="7">SUM(K29)+3</f>
        <v>57</v>
      </c>
      <c r="M29" s="90">
        <f t="shared" si="7"/>
        <v>60</v>
      </c>
      <c r="N29" s="167">
        <f t="shared" si="7"/>
        <v>63</v>
      </c>
    </row>
    <row r="30" spans="1:14" s="1" customFormat="1" ht="14.1" customHeight="1">
      <c r="A30" s="45"/>
      <c r="B30" s="121" t="s">
        <v>77</v>
      </c>
      <c r="C30" s="122"/>
      <c r="D30" s="123" t="s">
        <v>69</v>
      </c>
      <c r="E30" s="124"/>
      <c r="F30" s="124"/>
      <c r="G30" s="125"/>
      <c r="H30" s="79"/>
      <c r="I30" s="79"/>
      <c r="J30" s="83"/>
      <c r="K30" s="79"/>
      <c r="L30" s="79"/>
      <c r="M30" s="79"/>
      <c r="N30" s="80"/>
    </row>
    <row r="31" spans="1:14" ht="14.1" customHeight="1">
      <c r="A31" s="109">
        <v>15</v>
      </c>
      <c r="B31" s="47" t="s">
        <v>113</v>
      </c>
      <c r="C31" s="48"/>
      <c r="D31" s="58"/>
      <c r="E31" s="59"/>
      <c r="F31" s="59"/>
      <c r="G31" s="60"/>
      <c r="H31" s="52">
        <f>SUM(I31)-3.5</f>
        <v>73</v>
      </c>
      <c r="I31" s="52">
        <f>SUM(J31)-3.5</f>
        <v>76.5</v>
      </c>
      <c r="J31" s="134">
        <v>80</v>
      </c>
      <c r="K31" s="53">
        <f>SUM(J31)+3.5</f>
        <v>83.5</v>
      </c>
      <c r="L31" s="53">
        <f>SUM(K31)+3.5</f>
        <v>87</v>
      </c>
      <c r="M31" s="53">
        <f>SUM(L31)+3.5</f>
        <v>90.5</v>
      </c>
      <c r="N31" s="135">
        <f>SUM(M31)+3.5</f>
        <v>94</v>
      </c>
    </row>
    <row r="32" spans="1:14" ht="14.1" customHeight="1">
      <c r="A32" s="45"/>
      <c r="B32" s="121" t="s">
        <v>114</v>
      </c>
      <c r="C32" s="122"/>
      <c r="D32" s="123"/>
      <c r="E32" s="124"/>
      <c r="F32" s="124"/>
      <c r="G32" s="125"/>
      <c r="H32" s="79"/>
      <c r="I32" s="79"/>
      <c r="J32" s="83"/>
      <c r="K32" s="79"/>
      <c r="L32" s="79"/>
      <c r="M32" s="79"/>
      <c r="N32" s="80"/>
    </row>
    <row r="33" spans="1:14" ht="14.1" customHeight="1">
      <c r="A33" s="109">
        <v>16</v>
      </c>
      <c r="B33" s="47" t="s">
        <v>11</v>
      </c>
      <c r="C33" s="48"/>
      <c r="D33" s="75"/>
      <c r="E33" s="62"/>
      <c r="F33" s="62"/>
      <c r="G33" s="76"/>
      <c r="H33" s="52">
        <f>SUM(I33)-4</f>
        <v>92</v>
      </c>
      <c r="I33" s="52">
        <f>SUM(J33)-4</f>
        <v>96</v>
      </c>
      <c r="J33" s="54">
        <v>100</v>
      </c>
      <c r="K33" s="52">
        <f>SUM(J33)+4</f>
        <v>104</v>
      </c>
      <c r="L33" s="52">
        <f>SUM(K33)+4</f>
        <v>108</v>
      </c>
      <c r="M33" s="52">
        <f>SUM(L33)+4</f>
        <v>112</v>
      </c>
      <c r="N33" s="64">
        <f>SUM(M33)+4</f>
        <v>116</v>
      </c>
    </row>
    <row r="34" spans="1:14" ht="14.1" customHeight="1">
      <c r="A34" s="45"/>
      <c r="B34" s="121" t="s">
        <v>48</v>
      </c>
      <c r="C34" s="122"/>
      <c r="D34" s="123" t="s">
        <v>484</v>
      </c>
      <c r="E34" s="124"/>
      <c r="F34" s="124"/>
      <c r="G34" s="125"/>
      <c r="H34" s="79"/>
      <c r="I34" s="79"/>
      <c r="J34" s="83"/>
      <c r="K34" s="79"/>
      <c r="L34" s="79"/>
      <c r="M34" s="79"/>
      <c r="N34" s="80"/>
    </row>
    <row r="35" spans="1:14" ht="14.1" customHeight="1">
      <c r="A35" s="109">
        <v>17</v>
      </c>
      <c r="B35" s="47" t="s">
        <v>103</v>
      </c>
      <c r="C35" s="48"/>
      <c r="D35" s="75"/>
      <c r="E35" s="62"/>
      <c r="F35" s="62"/>
      <c r="G35" s="76"/>
      <c r="H35" s="81">
        <f>SUM(I35)-0.7</f>
        <v>13.8</v>
      </c>
      <c r="I35" s="52">
        <f>SUM(J35)-0.7</f>
        <v>14.5</v>
      </c>
      <c r="J35" s="54">
        <v>15.2</v>
      </c>
      <c r="K35" s="52">
        <f>SUM(J35)+1.2</f>
        <v>16.399999999999999</v>
      </c>
      <c r="L35" s="52">
        <f t="shared" ref="L35:N35" si="8">SUM(K35)+0.7</f>
        <v>17.099999999999998</v>
      </c>
      <c r="M35" s="52">
        <f t="shared" si="8"/>
        <v>17.799999999999997</v>
      </c>
      <c r="N35" s="64">
        <f t="shared" si="8"/>
        <v>18.499999999999996</v>
      </c>
    </row>
    <row r="36" spans="1:14" ht="14.1" customHeight="1">
      <c r="A36" s="45"/>
      <c r="B36" s="121" t="s">
        <v>102</v>
      </c>
      <c r="C36" s="122"/>
      <c r="D36" s="126" t="s">
        <v>138</v>
      </c>
      <c r="E36" s="127"/>
      <c r="F36" s="127"/>
      <c r="G36" s="128"/>
      <c r="H36" s="61"/>
      <c r="I36" s="79"/>
      <c r="J36" s="83"/>
      <c r="K36" s="79"/>
      <c r="L36" s="79"/>
      <c r="M36" s="79"/>
      <c r="N36" s="80"/>
    </row>
    <row r="37" spans="1:14" ht="14.1" customHeight="1">
      <c r="A37" s="109">
        <v>18</v>
      </c>
      <c r="B37" s="47" t="s">
        <v>125</v>
      </c>
      <c r="C37" s="48"/>
      <c r="D37" s="75"/>
      <c r="E37" s="62"/>
      <c r="F37" s="62"/>
      <c r="G37" s="76"/>
      <c r="H37" s="81"/>
      <c r="I37" s="52"/>
      <c r="J37" s="54"/>
      <c r="K37" s="52"/>
      <c r="L37" s="52"/>
      <c r="M37" s="52"/>
      <c r="N37" s="64"/>
    </row>
    <row r="38" spans="1:14" ht="14.1" customHeight="1">
      <c r="A38" s="45"/>
      <c r="B38" s="121" t="s">
        <v>126</v>
      </c>
      <c r="C38" s="122"/>
      <c r="D38" s="126" t="s">
        <v>127</v>
      </c>
      <c r="E38" s="127"/>
      <c r="F38" s="127"/>
      <c r="G38" s="128"/>
      <c r="H38" s="61"/>
      <c r="I38" s="79"/>
      <c r="J38" s="83"/>
      <c r="K38" s="79"/>
      <c r="L38" s="79"/>
      <c r="M38" s="79"/>
      <c r="N38" s="80"/>
    </row>
    <row r="39" spans="1:14" ht="14.1" customHeight="1">
      <c r="A39" s="109">
        <v>19</v>
      </c>
      <c r="B39" s="47" t="s">
        <v>137</v>
      </c>
      <c r="C39" s="48"/>
      <c r="D39" s="75"/>
      <c r="E39" s="62"/>
      <c r="F39" s="62"/>
      <c r="G39" s="76"/>
      <c r="H39" s="52"/>
      <c r="I39" s="52"/>
      <c r="J39" s="54"/>
      <c r="K39" s="52"/>
      <c r="L39" s="52"/>
      <c r="M39" s="52"/>
      <c r="N39" s="64"/>
    </row>
    <row r="40" spans="1:14" ht="14.1" customHeight="1">
      <c r="A40" s="45"/>
      <c r="B40" s="121" t="s">
        <v>136</v>
      </c>
      <c r="C40" s="122"/>
      <c r="D40" s="126"/>
      <c r="E40" s="127"/>
      <c r="F40" s="127"/>
      <c r="G40" s="128"/>
      <c r="H40" s="79"/>
      <c r="I40" s="79"/>
      <c r="J40" s="83"/>
      <c r="K40" s="79"/>
      <c r="L40" s="79"/>
      <c r="M40" s="79"/>
      <c r="N40" s="80"/>
    </row>
    <row r="41" spans="1:14" ht="14.1" customHeight="1">
      <c r="A41" s="109">
        <v>20</v>
      </c>
      <c r="B41" s="47" t="s">
        <v>9</v>
      </c>
      <c r="C41" s="48"/>
      <c r="D41" s="75" t="s">
        <v>70</v>
      </c>
      <c r="E41" s="62"/>
      <c r="F41" s="62"/>
      <c r="G41" s="76"/>
      <c r="H41" s="52">
        <f>SUM(I41)-7</f>
        <v>54.8</v>
      </c>
      <c r="I41" s="52">
        <f>SUM(J41)-7</f>
        <v>61.8</v>
      </c>
      <c r="J41" s="54">
        <v>68.8</v>
      </c>
      <c r="K41" s="52">
        <f>SUM(J41)+6</f>
        <v>74.8</v>
      </c>
      <c r="L41" s="52">
        <f>SUM(K41)+6</f>
        <v>80.8</v>
      </c>
      <c r="M41" s="52">
        <f>SUM(L41)+6</f>
        <v>86.8</v>
      </c>
      <c r="N41" s="64">
        <f>SUM(M41)+6</f>
        <v>92.8</v>
      </c>
    </row>
    <row r="42" spans="1:14" ht="14.1" customHeight="1">
      <c r="A42" s="45"/>
      <c r="B42" s="121" t="s">
        <v>49</v>
      </c>
      <c r="C42" s="122"/>
      <c r="D42" s="123" t="s">
        <v>89</v>
      </c>
      <c r="E42" s="124"/>
      <c r="F42" s="124"/>
      <c r="G42" s="125"/>
      <c r="H42" s="79"/>
      <c r="I42" s="79"/>
      <c r="J42" s="83"/>
      <c r="K42" s="79"/>
      <c r="L42" s="79"/>
      <c r="M42" s="79"/>
      <c r="N42" s="80"/>
    </row>
    <row r="43" spans="1:14" ht="14.1" customHeight="1">
      <c r="A43" s="109">
        <v>21</v>
      </c>
      <c r="B43" s="47" t="s">
        <v>14</v>
      </c>
      <c r="C43" s="48"/>
      <c r="D43" s="75" t="s">
        <v>15</v>
      </c>
      <c r="E43" s="62"/>
      <c r="F43" s="62"/>
      <c r="G43" s="76"/>
      <c r="H43" s="52">
        <f>SUM(I43)-1.6</f>
        <v>34.799999999999997</v>
      </c>
      <c r="I43" s="52">
        <f>SUM(J43)-1.6</f>
        <v>36.4</v>
      </c>
      <c r="J43" s="54">
        <v>38</v>
      </c>
      <c r="K43" s="52">
        <f>SUM(J43)+1.6</f>
        <v>39.6</v>
      </c>
      <c r="L43" s="52">
        <f t="shared" ref="L43:M43" si="9">SUM(K43)+1.6</f>
        <v>41.2</v>
      </c>
      <c r="M43" s="52">
        <f t="shared" si="9"/>
        <v>42.800000000000004</v>
      </c>
      <c r="N43" s="64">
        <f t="shared" ref="N43" si="10">SUM(M43)+1.6</f>
        <v>44.400000000000006</v>
      </c>
    </row>
    <row r="44" spans="1:14" ht="14.1" customHeight="1">
      <c r="A44" s="45"/>
      <c r="B44" s="121" t="s">
        <v>50</v>
      </c>
      <c r="C44" s="122"/>
      <c r="D44" s="42" t="s">
        <v>88</v>
      </c>
      <c r="E44" s="43"/>
      <c r="F44" s="43"/>
      <c r="G44" s="44"/>
      <c r="H44" s="79"/>
      <c r="I44" s="79"/>
      <c r="J44" s="83"/>
      <c r="K44" s="79"/>
      <c r="L44" s="79"/>
      <c r="M44" s="79"/>
      <c r="N44" s="80"/>
    </row>
    <row r="45" spans="1:14" ht="14.1" customHeight="1">
      <c r="A45" s="109">
        <v>22</v>
      </c>
      <c r="B45" s="47" t="s">
        <v>16</v>
      </c>
      <c r="C45" s="48"/>
      <c r="D45" s="75" t="s">
        <v>13</v>
      </c>
      <c r="E45" s="62"/>
      <c r="F45" s="62"/>
      <c r="G45" s="76"/>
      <c r="H45" s="81">
        <f>SUM(I45)-1.1</f>
        <v>21.599999999999998</v>
      </c>
      <c r="I45" s="52">
        <f>SUM(J45)-1.1</f>
        <v>22.7</v>
      </c>
      <c r="J45" s="54">
        <v>23.8</v>
      </c>
      <c r="K45" s="52">
        <f>SUM(J45)+1.6</f>
        <v>25.400000000000002</v>
      </c>
      <c r="L45" s="52">
        <f>SUM(K45)+1.1</f>
        <v>26.500000000000004</v>
      </c>
      <c r="M45" s="52">
        <f>SUM(L45)+1.1</f>
        <v>27.600000000000005</v>
      </c>
      <c r="N45" s="64">
        <f>SUM(M45)+1.1</f>
        <v>28.700000000000006</v>
      </c>
    </row>
    <row r="46" spans="1:14" ht="14.1" customHeight="1">
      <c r="A46" s="45"/>
      <c r="B46" s="121" t="s">
        <v>56</v>
      </c>
      <c r="C46" s="122"/>
      <c r="D46" s="123" t="s">
        <v>87</v>
      </c>
      <c r="E46" s="124"/>
      <c r="F46" s="124"/>
      <c r="G46" s="125"/>
      <c r="H46" s="61"/>
      <c r="I46" s="79"/>
      <c r="J46" s="83"/>
      <c r="K46" s="79"/>
      <c r="L46" s="79"/>
      <c r="M46" s="79"/>
      <c r="N46" s="80"/>
    </row>
    <row r="47" spans="1:14" ht="14.1" customHeight="1">
      <c r="A47" s="109">
        <v>23</v>
      </c>
      <c r="B47" s="47" t="s">
        <v>17</v>
      </c>
      <c r="C47" s="48"/>
      <c r="D47" s="75" t="s">
        <v>13</v>
      </c>
      <c r="E47" s="62"/>
      <c r="F47" s="62"/>
      <c r="G47" s="76"/>
      <c r="H47" s="81">
        <f>SUM(I47)-1.3</f>
        <v>28.4</v>
      </c>
      <c r="I47" s="52">
        <f>SUM(J47)-1.3</f>
        <v>29.7</v>
      </c>
      <c r="J47" s="54">
        <v>31</v>
      </c>
      <c r="K47" s="52">
        <f>SUM(J47)+1.8</f>
        <v>32.799999999999997</v>
      </c>
      <c r="L47" s="52">
        <f>SUM(K47)+1.3</f>
        <v>34.099999999999994</v>
      </c>
      <c r="M47" s="52">
        <f>SUM(L47)+1.3</f>
        <v>35.399999999999991</v>
      </c>
      <c r="N47" s="64">
        <f>SUM(M47)+1.3</f>
        <v>36.699999999999989</v>
      </c>
    </row>
    <row r="48" spans="1:14" ht="14.1" customHeight="1">
      <c r="A48" s="45"/>
      <c r="B48" s="121" t="s">
        <v>55</v>
      </c>
      <c r="C48" s="122"/>
      <c r="D48" s="123" t="s">
        <v>87</v>
      </c>
      <c r="E48" s="124"/>
      <c r="F48" s="124"/>
      <c r="G48" s="125"/>
      <c r="H48" s="61"/>
      <c r="I48" s="79"/>
      <c r="J48" s="83"/>
      <c r="K48" s="79"/>
      <c r="L48" s="79"/>
      <c r="M48" s="79"/>
      <c r="N48" s="80"/>
    </row>
    <row r="49" spans="1:17" ht="14.1" customHeight="1">
      <c r="A49" s="109">
        <v>24</v>
      </c>
      <c r="B49" s="47" t="s">
        <v>18</v>
      </c>
      <c r="C49" s="48"/>
      <c r="D49" s="75" t="s">
        <v>19</v>
      </c>
      <c r="E49" s="62"/>
      <c r="F49" s="62"/>
      <c r="G49" s="76"/>
      <c r="H49" s="52">
        <f>SUM(I49)-2.8</f>
        <v>55.900000000000006</v>
      </c>
      <c r="I49" s="52">
        <f>SUM(J49)-2.8</f>
        <v>58.7</v>
      </c>
      <c r="J49" s="54">
        <v>61.5</v>
      </c>
      <c r="K49" s="52">
        <f>SUM(J49)+2.7</f>
        <v>64.2</v>
      </c>
      <c r="L49" s="52">
        <f t="shared" ref="L49:M49" si="11">SUM(K49)+2.7</f>
        <v>66.900000000000006</v>
      </c>
      <c r="M49" s="52">
        <f t="shared" si="11"/>
        <v>69.600000000000009</v>
      </c>
      <c r="N49" s="64">
        <f t="shared" ref="N49" si="12">SUM(M49)+2.7</f>
        <v>72.300000000000011</v>
      </c>
    </row>
    <row r="50" spans="1:17" ht="14.1" customHeight="1">
      <c r="A50" s="45"/>
      <c r="B50" s="121" t="s">
        <v>54</v>
      </c>
      <c r="C50" s="122"/>
      <c r="D50" s="123" t="s">
        <v>86</v>
      </c>
      <c r="E50" s="124"/>
      <c r="F50" s="124"/>
      <c r="G50" s="125"/>
      <c r="H50" s="79"/>
      <c r="I50" s="79"/>
      <c r="J50" s="83"/>
      <c r="K50" s="79"/>
      <c r="L50" s="79"/>
      <c r="M50" s="79"/>
      <c r="N50" s="80"/>
    </row>
    <row r="51" spans="1:17" ht="14.1" customHeight="1">
      <c r="A51" s="109">
        <v>25</v>
      </c>
      <c r="B51" s="47" t="s">
        <v>20</v>
      </c>
      <c r="C51" s="48"/>
      <c r="D51" s="75" t="s">
        <v>21</v>
      </c>
      <c r="E51" s="62"/>
      <c r="F51" s="62"/>
      <c r="G51" s="76"/>
      <c r="H51" s="52">
        <f>SUM(I51)-6</f>
        <v>33.1</v>
      </c>
      <c r="I51" s="52">
        <f>SUM(J51)-6</f>
        <v>39.1</v>
      </c>
      <c r="J51" s="54">
        <v>45.1</v>
      </c>
      <c r="K51" s="52">
        <f>SUM(J51)+4.5</f>
        <v>49.6</v>
      </c>
      <c r="L51" s="52">
        <f>SUM(K51)+5</f>
        <v>54.6</v>
      </c>
      <c r="M51" s="52">
        <f>SUM(L51)+5</f>
        <v>59.6</v>
      </c>
      <c r="N51" s="64">
        <f>SUM(M51)+5</f>
        <v>64.599999999999994</v>
      </c>
    </row>
    <row r="52" spans="1:17" ht="13.5" customHeight="1">
      <c r="A52" s="45"/>
      <c r="B52" s="121" t="s">
        <v>53</v>
      </c>
      <c r="C52" s="122"/>
      <c r="D52" s="123" t="s">
        <v>85</v>
      </c>
      <c r="E52" s="124"/>
      <c r="F52" s="124"/>
      <c r="G52" s="125"/>
      <c r="H52" s="79"/>
      <c r="I52" s="79"/>
      <c r="J52" s="83"/>
      <c r="K52" s="79"/>
      <c r="L52" s="79"/>
      <c r="M52" s="79"/>
      <c r="N52" s="80"/>
    </row>
    <row r="53" spans="1:17" ht="14.1" customHeight="1">
      <c r="A53" s="109">
        <v>26</v>
      </c>
      <c r="B53" s="47" t="s">
        <v>84</v>
      </c>
      <c r="C53" s="48"/>
      <c r="D53" s="75" t="s">
        <v>82</v>
      </c>
      <c r="E53" s="62"/>
      <c r="F53" s="62"/>
      <c r="G53" s="76"/>
      <c r="H53" s="52">
        <f>SUM(I53)-2.3</f>
        <v>51.900000000000006</v>
      </c>
      <c r="I53" s="52">
        <f>SUM(J53)-2.3</f>
        <v>54.2</v>
      </c>
      <c r="J53" s="54">
        <v>56.5</v>
      </c>
      <c r="K53" s="52">
        <f>SUM(J53)+2.3</f>
        <v>58.8</v>
      </c>
      <c r="L53" s="52">
        <f t="shared" ref="L53:M53" si="13">SUM(K53)+2.3</f>
        <v>61.099999999999994</v>
      </c>
      <c r="M53" s="52">
        <f t="shared" si="13"/>
        <v>63.399999999999991</v>
      </c>
      <c r="N53" s="64">
        <f t="shared" ref="N53" si="14">SUM(M53)+2.3</f>
        <v>65.699999999999989</v>
      </c>
      <c r="Q53">
        <f>SUM(H61+I61+J61+K61+L61+M61+N61)*2</f>
        <v>722.40000000000009</v>
      </c>
    </row>
    <row r="54" spans="1:17" ht="14.1" customHeight="1">
      <c r="A54" s="45"/>
      <c r="B54" s="121" t="s">
        <v>83</v>
      </c>
      <c r="C54" s="122"/>
      <c r="D54" s="123" t="s">
        <v>82</v>
      </c>
      <c r="E54" s="124"/>
      <c r="F54" s="124"/>
      <c r="G54" s="125"/>
      <c r="H54" s="79"/>
      <c r="I54" s="79"/>
      <c r="J54" s="83"/>
      <c r="K54" s="79"/>
      <c r="L54" s="79"/>
      <c r="M54" s="79"/>
      <c r="N54" s="80"/>
      <c r="Q54">
        <f>SUM(Q53/91.44/7*1.08)</f>
        <v>1.218897637795276</v>
      </c>
    </row>
    <row r="55" spans="1:17" ht="14.1" customHeight="1">
      <c r="A55" s="109">
        <v>27</v>
      </c>
      <c r="B55" s="47" t="s">
        <v>81</v>
      </c>
      <c r="C55" s="48"/>
      <c r="D55" s="75" t="s">
        <v>80</v>
      </c>
      <c r="E55" s="62"/>
      <c r="F55" s="62"/>
      <c r="G55" s="76"/>
      <c r="H55" s="52">
        <f>SUM(I55)-3.3</f>
        <v>34.200000000000003</v>
      </c>
      <c r="I55" s="52">
        <f>SUM(J55)-3.3</f>
        <v>37.5</v>
      </c>
      <c r="J55" s="54">
        <v>40.799999999999997</v>
      </c>
      <c r="K55" s="52">
        <f>SUM(J55)+3.2</f>
        <v>44</v>
      </c>
      <c r="L55" s="52">
        <f>SUM(K55)+2.9</f>
        <v>46.9</v>
      </c>
      <c r="M55" s="52">
        <f>SUM(L55)+2.9</f>
        <v>49.8</v>
      </c>
      <c r="N55" s="64">
        <f>SUM(M55)+2.9</f>
        <v>52.699999999999996</v>
      </c>
    </row>
    <row r="56" spans="1:17" ht="14.1" customHeight="1">
      <c r="A56" s="45"/>
      <c r="B56" s="121" t="s">
        <v>79</v>
      </c>
      <c r="C56" s="122"/>
      <c r="D56" s="123" t="s">
        <v>116</v>
      </c>
      <c r="E56" s="124"/>
      <c r="F56" s="124"/>
      <c r="G56" s="125"/>
      <c r="H56" s="79"/>
      <c r="I56" s="79"/>
      <c r="J56" s="83"/>
      <c r="K56" s="79"/>
      <c r="L56" s="79"/>
      <c r="M56" s="79"/>
      <c r="N56" s="80"/>
    </row>
    <row r="57" spans="1:17" ht="14.1" customHeight="1">
      <c r="A57" s="109">
        <v>28</v>
      </c>
      <c r="B57" s="47" t="s">
        <v>236</v>
      </c>
      <c r="C57" s="48"/>
      <c r="D57" s="75"/>
      <c r="E57" s="62"/>
      <c r="F57" s="62"/>
      <c r="G57" s="76"/>
      <c r="H57" s="52">
        <f>SUM(I57)-0.5</f>
        <v>10.5</v>
      </c>
      <c r="I57" s="52">
        <f>SUM(J57)-0.5</f>
        <v>11</v>
      </c>
      <c r="J57" s="37">
        <v>11.5</v>
      </c>
      <c r="K57" s="38">
        <f>SUM(J57)+0.5</f>
        <v>12</v>
      </c>
      <c r="L57" s="38">
        <f>SUM(K57)+0.5</f>
        <v>12.5</v>
      </c>
      <c r="M57" s="38">
        <f t="shared" ref="M57:N57" si="15">SUM(L57)+0.2</f>
        <v>12.7</v>
      </c>
      <c r="N57" s="63">
        <f t="shared" si="15"/>
        <v>12.899999999999999</v>
      </c>
    </row>
    <row r="58" spans="1:17" ht="14.1" customHeight="1">
      <c r="A58" s="45"/>
      <c r="B58" s="121" t="s">
        <v>237</v>
      </c>
      <c r="C58" s="122"/>
      <c r="D58" s="123"/>
      <c r="E58" s="124"/>
      <c r="F58" s="124"/>
      <c r="G58" s="125"/>
      <c r="H58" s="79"/>
      <c r="I58" s="79"/>
      <c r="J58" s="37"/>
      <c r="K58" s="38"/>
      <c r="L58" s="38"/>
      <c r="M58" s="38"/>
      <c r="N58" s="63"/>
    </row>
    <row r="59" spans="1:17" ht="14.1" customHeight="1">
      <c r="A59" s="109">
        <v>29</v>
      </c>
      <c r="B59" s="47" t="s">
        <v>199</v>
      </c>
      <c r="C59" s="48"/>
      <c r="D59" s="78"/>
      <c r="E59" s="78"/>
      <c r="F59" s="78"/>
      <c r="G59" s="78"/>
      <c r="H59" s="52">
        <f>SUM(I59)-0.5</f>
        <v>11</v>
      </c>
      <c r="I59" s="52">
        <f>SUM(J59)-0.5</f>
        <v>11.5</v>
      </c>
      <c r="J59" s="54">
        <v>12</v>
      </c>
      <c r="K59" s="52">
        <f>SUM(J59)+0.5</f>
        <v>12.5</v>
      </c>
      <c r="L59" s="52">
        <f>SUM(K59)+0.5</f>
        <v>13</v>
      </c>
      <c r="M59" s="52">
        <f>SUM(L59)+0.5</f>
        <v>13.5</v>
      </c>
      <c r="N59" s="64">
        <f>SUM(M59)+0.5</f>
        <v>14</v>
      </c>
    </row>
    <row r="60" spans="1:17" ht="14.1" customHeight="1">
      <c r="A60" s="45"/>
      <c r="B60" s="40" t="s">
        <v>200</v>
      </c>
      <c r="C60" s="41"/>
      <c r="D60" s="42" t="s">
        <v>485</v>
      </c>
      <c r="E60" s="43"/>
      <c r="F60" s="43"/>
      <c r="G60" s="44"/>
      <c r="H60" s="79"/>
      <c r="I60" s="79"/>
      <c r="J60" s="83"/>
      <c r="K60" s="79"/>
      <c r="L60" s="79"/>
      <c r="M60" s="79"/>
      <c r="N60" s="80"/>
    </row>
    <row r="61" spans="1:17" ht="14.1" customHeight="1">
      <c r="A61" s="109">
        <v>30</v>
      </c>
      <c r="B61" s="47" t="s">
        <v>239</v>
      </c>
      <c r="C61" s="48"/>
      <c r="D61" s="78"/>
      <c r="E61" s="78"/>
      <c r="F61" s="78"/>
      <c r="G61" s="78"/>
      <c r="H61" s="52">
        <f>SUM(I61)-1.6</f>
        <v>46.8</v>
      </c>
      <c r="I61" s="52">
        <f>SUM(J61)-1.6</f>
        <v>48.4</v>
      </c>
      <c r="J61" s="54">
        <v>50</v>
      </c>
      <c r="K61" s="52">
        <f>SUM(J61)+1.6</f>
        <v>51.6</v>
      </c>
      <c r="L61" s="52">
        <f t="shared" ref="L61:M61" si="16">SUM(K61)+1.6</f>
        <v>53.2</v>
      </c>
      <c r="M61" s="52">
        <f t="shared" si="16"/>
        <v>54.800000000000004</v>
      </c>
      <c r="N61" s="64">
        <f t="shared" ref="N61" si="17">SUM(M61)+1.6</f>
        <v>56.400000000000006</v>
      </c>
    </row>
    <row r="62" spans="1:17" ht="14.1" customHeight="1">
      <c r="A62" s="45"/>
      <c r="B62" s="65" t="s">
        <v>240</v>
      </c>
      <c r="C62" s="65"/>
      <c r="D62" s="58" t="s">
        <v>486</v>
      </c>
      <c r="E62" s="59"/>
      <c r="F62" s="59"/>
      <c r="G62" s="60"/>
      <c r="H62" s="79"/>
      <c r="I62" s="79"/>
      <c r="J62" s="83"/>
      <c r="K62" s="79"/>
      <c r="L62" s="79"/>
      <c r="M62" s="79"/>
      <c r="N62" s="80"/>
    </row>
    <row r="63" spans="1:17" ht="14.1" customHeight="1">
      <c r="A63" s="109">
        <v>31</v>
      </c>
      <c r="B63" s="47"/>
      <c r="C63" s="48"/>
      <c r="D63" s="75"/>
      <c r="E63" s="62"/>
      <c r="F63" s="62"/>
      <c r="G63" s="76"/>
      <c r="H63" s="52"/>
      <c r="I63" s="52"/>
      <c r="J63" s="54"/>
      <c r="K63" s="52"/>
      <c r="L63" s="52"/>
      <c r="M63" s="52"/>
      <c r="N63" s="64"/>
    </row>
    <row r="64" spans="1:17" ht="14.1" customHeight="1" thickBot="1">
      <c r="A64" s="74"/>
      <c r="B64" s="178"/>
      <c r="C64" s="179"/>
      <c r="D64" s="71"/>
      <c r="E64" s="72"/>
      <c r="F64" s="72"/>
      <c r="G64" s="73"/>
      <c r="H64" s="77"/>
      <c r="I64" s="77"/>
      <c r="J64" s="144"/>
      <c r="K64" s="77"/>
      <c r="L64" s="77"/>
      <c r="M64" s="77"/>
      <c r="N64" s="141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75">
    <mergeCell ref="A1:N1"/>
    <mergeCell ref="N51:N52"/>
    <mergeCell ref="N53:N54"/>
    <mergeCell ref="N55:N56"/>
    <mergeCell ref="N57:N58"/>
    <mergeCell ref="N59:N60"/>
    <mergeCell ref="N61:N62"/>
    <mergeCell ref="N39:N40"/>
    <mergeCell ref="N41:N42"/>
    <mergeCell ref="N43:N44"/>
    <mergeCell ref="N45:N46"/>
    <mergeCell ref="N47:N48"/>
    <mergeCell ref="N49:N50"/>
    <mergeCell ref="N27:N28"/>
    <mergeCell ref="N29:N30"/>
    <mergeCell ref="N31:N32"/>
    <mergeCell ref="N33:N34"/>
    <mergeCell ref="N35:N36"/>
    <mergeCell ref="N37:N38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K63:K64"/>
    <mergeCell ref="L63:L64"/>
    <mergeCell ref="M63:M64"/>
    <mergeCell ref="K61:K62"/>
    <mergeCell ref="L61:L62"/>
    <mergeCell ref="M61:M62"/>
    <mergeCell ref="K59:K60"/>
    <mergeCell ref="L59:L60"/>
    <mergeCell ref="M59:M60"/>
    <mergeCell ref="N63:N64"/>
    <mergeCell ref="L3:L4"/>
    <mergeCell ref="M3:M4"/>
    <mergeCell ref="K7:K8"/>
    <mergeCell ref="L7:L8"/>
    <mergeCell ref="M7:M8"/>
    <mergeCell ref="K5:K6"/>
    <mergeCell ref="L5:L6"/>
    <mergeCell ref="B64:C64"/>
    <mergeCell ref="D64:G64"/>
    <mergeCell ref="A63:A64"/>
    <mergeCell ref="B63:C63"/>
    <mergeCell ref="D63:G63"/>
    <mergeCell ref="H63:H64"/>
    <mergeCell ref="I63:I64"/>
    <mergeCell ref="J63:J64"/>
    <mergeCell ref="J61:J62"/>
    <mergeCell ref="B62:C62"/>
    <mergeCell ref="D62:G62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59:J60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B60:C60"/>
    <mergeCell ref="D60:G60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J7:J8"/>
    <mergeCell ref="B8:C8"/>
    <mergeCell ref="D8:G8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B4:C4"/>
    <mergeCell ref="D4:G4"/>
    <mergeCell ref="A5:A6"/>
    <mergeCell ref="B5:C5"/>
    <mergeCell ref="D5:G5"/>
    <mergeCell ref="H5:H6"/>
    <mergeCell ref="I5:I6"/>
    <mergeCell ref="J5:J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076F-BD22-4595-950B-0A366F9B33CB}">
  <sheetPr>
    <tabColor theme="8"/>
    <pageSetUpPr fitToPage="1"/>
  </sheetPr>
  <dimension ref="A1:M79"/>
  <sheetViews>
    <sheetView zoomScale="110" zoomScaleNormal="110" workbookViewId="0">
      <selection activeCell="B59" sqref="B59:C5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>
      <c r="A1" s="105" t="s">
        <v>521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</f>
        <v>29.200000000000003</v>
      </c>
      <c r="I3" s="52">
        <f>SUM(J3)-3</f>
        <v>32.200000000000003</v>
      </c>
      <c r="J3" s="193">
        <v>35.200000000000003</v>
      </c>
      <c r="K3" s="194">
        <f>SUM(J3)+2.5</f>
        <v>37.700000000000003</v>
      </c>
      <c r="L3" s="194">
        <f>SUM(K3)+2.5</f>
        <v>40.200000000000003</v>
      </c>
      <c r="M3" s="195">
        <f>SUM(L3)+2.5</f>
        <v>42.7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</v>
      </c>
      <c r="I5" s="52">
        <f>SUM(J5)-1.8</f>
        <v>24.8</v>
      </c>
      <c r="J5" s="37">
        <v>26.6</v>
      </c>
      <c r="K5" s="38">
        <f>SUM(J5)+1.6</f>
        <v>28.200000000000003</v>
      </c>
      <c r="L5" s="38">
        <f>SUM(K5)+1.6</f>
        <v>29.800000000000004</v>
      </c>
      <c r="M5" s="63">
        <f>SUM(L5)+1.6</f>
        <v>31.400000000000006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63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30</v>
      </c>
      <c r="I7" s="52">
        <f>SUM(J7)-2.25</f>
        <v>32.25</v>
      </c>
      <c r="J7" s="54">
        <v>34.5</v>
      </c>
      <c r="K7" s="52">
        <f>SUM(J7)+2</f>
        <v>36.5</v>
      </c>
      <c r="L7" s="52">
        <f>SUM(K7)+2</f>
        <v>38.5</v>
      </c>
      <c r="M7" s="64">
        <f>SUM(L7)+2</f>
        <v>40.5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30</v>
      </c>
      <c r="I9" s="52">
        <f>SUM(J9)-2.25</f>
        <v>32.25</v>
      </c>
      <c r="J9" s="54">
        <v>34.5</v>
      </c>
      <c r="K9" s="52">
        <f>SUM(J9)+2</f>
        <v>36.5</v>
      </c>
      <c r="L9" s="52">
        <f>SUM(K9)+2</f>
        <v>38.5</v>
      </c>
      <c r="M9" s="64">
        <f>SUM(L9)+2</f>
        <v>40.5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10</v>
      </c>
      <c r="C11" s="81"/>
      <c r="D11" s="78" t="s">
        <v>517</v>
      </c>
      <c r="E11" s="78"/>
      <c r="F11" s="78"/>
      <c r="G11" s="78"/>
      <c r="H11" s="52">
        <f>SUM(I11)-0.8</f>
        <v>13.899999999999999</v>
      </c>
      <c r="I11" s="52">
        <f>SUM(J11)-0.8</f>
        <v>14.7</v>
      </c>
      <c r="J11" s="37">
        <v>15.5</v>
      </c>
      <c r="K11" s="52">
        <f>SUM(J11)+0.8</f>
        <v>16.3</v>
      </c>
      <c r="L11" s="52">
        <f t="shared" ref="L11" si="0">SUM(K11)+0.8</f>
        <v>17.100000000000001</v>
      </c>
      <c r="M11" s="64">
        <f>SUM(L11)+0.9</f>
        <v>18</v>
      </c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80"/>
    </row>
    <row r="13" spans="1:13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52">
        <f>SUM(I13)-0.6</f>
        <v>16.799999999999997</v>
      </c>
      <c r="I13" s="52">
        <f>SUM(J13)-0.6</f>
        <v>17.399999999999999</v>
      </c>
      <c r="J13" s="37">
        <v>18</v>
      </c>
      <c r="K13" s="38">
        <f>SUM(J13)+0.6</f>
        <v>18.600000000000001</v>
      </c>
      <c r="L13" s="38">
        <f>SUM(K13)+0.6</f>
        <v>19.200000000000003</v>
      </c>
      <c r="M13" s="63">
        <f>SUM(L13)+0.6</f>
        <v>19.800000000000004</v>
      </c>
    </row>
    <row r="14" spans="1:13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5.9</v>
      </c>
      <c r="I15" s="52">
        <f>SUM(J15)-0.3</f>
        <v>6.2</v>
      </c>
      <c r="J15" s="37">
        <v>6.5</v>
      </c>
      <c r="K15" s="38">
        <f>SUM(J15)+0.3</f>
        <v>6.8</v>
      </c>
      <c r="L15" s="38">
        <f>SUM(K15)+0.3</f>
        <v>7.1</v>
      </c>
      <c r="M15" s="63">
        <f>SUM(L15)+0.3</f>
        <v>7.3999999999999995</v>
      </c>
    </row>
    <row r="16" spans="1:13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39.799999999999997</v>
      </c>
      <c r="I17" s="52">
        <f>SUM(J17)-1.6</f>
        <v>41.4</v>
      </c>
      <c r="J17" s="37">
        <v>43</v>
      </c>
      <c r="K17" s="38">
        <f>SUM(J17)+1.6</f>
        <v>44.6</v>
      </c>
      <c r="L17" s="38">
        <f>SUM(K17)+1.6</f>
        <v>46.2</v>
      </c>
      <c r="M17" s="63">
        <f>SUM(L17)+1.6</f>
        <v>47.800000000000004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32.5</v>
      </c>
      <c r="I19" s="52">
        <f>SUM(J19)-3.6</f>
        <v>36.1</v>
      </c>
      <c r="J19" s="37">
        <v>39.700000000000003</v>
      </c>
      <c r="K19" s="38">
        <f>SUM(J19)+3.7</f>
        <v>43.400000000000006</v>
      </c>
      <c r="L19" s="38">
        <f>SUM(K19)+3.7</f>
        <v>47.100000000000009</v>
      </c>
      <c r="M19" s="63">
        <f>SUM(L19)+3.7</f>
        <v>50.800000000000011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21.799999999999997</v>
      </c>
      <c r="I21" s="52">
        <f>SUM(J21)-1.3</f>
        <v>23.099999999999998</v>
      </c>
      <c r="J21" s="37">
        <v>24.4</v>
      </c>
      <c r="K21" s="38">
        <f>SUM(J21)+1.3</f>
        <v>25.7</v>
      </c>
      <c r="L21" s="38">
        <f>SUM(K21)+1.3</f>
        <v>27</v>
      </c>
      <c r="M21" s="63">
        <f>SUM(L21)+1.3</f>
        <v>28.3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>
        <f>SUM(I23)-0.7</f>
        <v>15.600000000000001</v>
      </c>
      <c r="I23" s="52">
        <f>SUM(J23)-0.7</f>
        <v>16.3</v>
      </c>
      <c r="J23" s="37">
        <v>17</v>
      </c>
      <c r="K23" s="38">
        <f>SUM(J23)+0.7</f>
        <v>17.7</v>
      </c>
      <c r="L23" s="38">
        <f>SUM(K23)+0.7</f>
        <v>18.399999999999999</v>
      </c>
      <c r="M23" s="63">
        <f>SUM(L23)+0.7</f>
        <v>19.099999999999998</v>
      </c>
    </row>
    <row r="24" spans="1:13" s="1" customFormat="1" ht="14.1" customHeight="1" thickBot="1">
      <c r="A24" s="46"/>
      <c r="B24" s="65" t="s">
        <v>31</v>
      </c>
      <c r="C24" s="65"/>
      <c r="D24" s="58" t="s">
        <v>67</v>
      </c>
      <c r="E24" s="59"/>
      <c r="F24" s="59"/>
      <c r="G24" s="60"/>
      <c r="H24" s="53"/>
      <c r="I24" s="53"/>
      <c r="J24" s="54"/>
      <c r="K24" s="52"/>
      <c r="L24" s="52"/>
      <c r="M24" s="64"/>
    </row>
    <row r="25" spans="1:13" s="1" customFormat="1" ht="14.1" customHeight="1" thickTop="1">
      <c r="A25" s="86">
        <v>12</v>
      </c>
      <c r="B25" s="99" t="s">
        <v>522</v>
      </c>
      <c r="C25" s="100"/>
      <c r="D25" s="88"/>
      <c r="E25" s="88"/>
      <c r="F25" s="88"/>
      <c r="G25" s="89"/>
      <c r="H25" s="90">
        <f>SUM(I25)-2.2</f>
        <v>19.100000000000001</v>
      </c>
      <c r="I25" s="90">
        <f>SUM(J25)-2.2</f>
        <v>21.3</v>
      </c>
      <c r="J25" s="82">
        <v>23.5</v>
      </c>
      <c r="K25" s="84">
        <f>SUM(J25)+1.7</f>
        <v>25.2</v>
      </c>
      <c r="L25" s="84">
        <f t="shared" ref="L25" si="1">SUM(K25)+1.7</f>
        <v>26.9</v>
      </c>
      <c r="M25" s="85">
        <f t="shared" ref="M25" si="2">SUM(L25)+1.7</f>
        <v>28.599999999999998</v>
      </c>
    </row>
    <row r="26" spans="1:13" s="1" customFormat="1" ht="14.1" customHeight="1">
      <c r="A26" s="45"/>
      <c r="B26" s="40" t="s">
        <v>523</v>
      </c>
      <c r="C26" s="41"/>
      <c r="D26" s="42" t="s">
        <v>524</v>
      </c>
      <c r="E26" s="43"/>
      <c r="F26" s="43"/>
      <c r="G26" s="43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81" t="s">
        <v>151</v>
      </c>
      <c r="C27" s="81"/>
      <c r="D27" s="78"/>
      <c r="E27" s="78"/>
      <c r="F27" s="78"/>
      <c r="G27" s="78"/>
      <c r="H27" s="52">
        <f>SUM(I27)-1</f>
        <v>16.899999999999999</v>
      </c>
      <c r="I27" s="52">
        <f>SUM(J27)-1</f>
        <v>17.899999999999999</v>
      </c>
      <c r="J27" s="54">
        <v>18.899999999999999</v>
      </c>
      <c r="K27" s="52">
        <f>SUM(J27)+1.1</f>
        <v>20</v>
      </c>
      <c r="L27" s="52">
        <f t="shared" ref="L27:M27" si="3">SUM(K27)+1.1</f>
        <v>21.1</v>
      </c>
      <c r="M27" s="64">
        <f t="shared" si="3"/>
        <v>22.200000000000003</v>
      </c>
    </row>
    <row r="28" spans="1:13" s="1" customFormat="1" ht="14.1" customHeight="1">
      <c r="A28" s="45"/>
      <c r="B28" s="61" t="s">
        <v>146</v>
      </c>
      <c r="C28" s="61"/>
      <c r="D28" s="42"/>
      <c r="E28" s="43"/>
      <c r="F28" s="43"/>
      <c r="G28" s="44"/>
      <c r="H28" s="79"/>
      <c r="I28" s="79"/>
      <c r="J28" s="83"/>
      <c r="K28" s="79"/>
      <c r="L28" s="79"/>
      <c r="M28" s="80"/>
    </row>
    <row r="29" spans="1:13" s="1" customFormat="1" ht="14.1" customHeight="1">
      <c r="A29" s="45">
        <v>14</v>
      </c>
      <c r="B29" s="47" t="s">
        <v>152</v>
      </c>
      <c r="C29" s="48"/>
      <c r="D29" s="75"/>
      <c r="E29" s="62"/>
      <c r="F29" s="62"/>
      <c r="G29" s="76"/>
      <c r="H29" s="52">
        <f>SUM(I29)-1</f>
        <v>12.6</v>
      </c>
      <c r="I29" s="52">
        <f>SUM(J29)-1</f>
        <v>13.6</v>
      </c>
      <c r="J29" s="54">
        <v>14.6</v>
      </c>
      <c r="K29" s="52">
        <f>SUM(J29)+0.8</f>
        <v>15.4</v>
      </c>
      <c r="L29" s="52">
        <f t="shared" ref="L29:M29" si="4">SUM(K29)+0.8</f>
        <v>16.2</v>
      </c>
      <c r="M29" s="64">
        <f t="shared" si="4"/>
        <v>17</v>
      </c>
    </row>
    <row r="30" spans="1:13" s="1" customFormat="1" ht="14.1" customHeight="1">
      <c r="A30" s="45"/>
      <c r="B30" s="61" t="s">
        <v>153</v>
      </c>
      <c r="C30" s="61"/>
      <c r="D30" s="42" t="s">
        <v>154</v>
      </c>
      <c r="E30" s="43"/>
      <c r="F30" s="43"/>
      <c r="G30" s="44"/>
      <c r="H30" s="79"/>
      <c r="I30" s="79"/>
      <c r="J30" s="83"/>
      <c r="K30" s="79"/>
      <c r="L30" s="79"/>
      <c r="M30" s="80"/>
    </row>
    <row r="31" spans="1:13" s="1" customFormat="1" ht="14.1" customHeight="1">
      <c r="A31" s="45">
        <v>15</v>
      </c>
      <c r="B31" s="47" t="s">
        <v>120</v>
      </c>
      <c r="C31" s="48"/>
      <c r="D31" s="49"/>
      <c r="E31" s="50"/>
      <c r="F31" s="50"/>
      <c r="G31" s="51"/>
      <c r="H31" s="52">
        <f>SUM(I31)-0.1</f>
        <v>3.3</v>
      </c>
      <c r="I31" s="52">
        <f>SUM(J31)-0.1</f>
        <v>3.4</v>
      </c>
      <c r="J31" s="54">
        <v>3.5</v>
      </c>
      <c r="K31" s="52">
        <f>SUM(J31)+0.1</f>
        <v>3.6</v>
      </c>
      <c r="L31" s="52">
        <f t="shared" ref="L31:M31" si="5">SUM(K31)+0.1</f>
        <v>3.7</v>
      </c>
      <c r="M31" s="64">
        <f t="shared" si="5"/>
        <v>3.8000000000000003</v>
      </c>
    </row>
    <row r="32" spans="1:13" s="1" customFormat="1" ht="14.1" customHeight="1">
      <c r="A32" s="45"/>
      <c r="B32" s="40" t="s">
        <v>128</v>
      </c>
      <c r="C32" s="41"/>
      <c r="D32" s="42" t="s">
        <v>359</v>
      </c>
      <c r="E32" s="43"/>
      <c r="F32" s="43"/>
      <c r="G32" s="44"/>
      <c r="H32" s="79"/>
      <c r="I32" s="79"/>
      <c r="J32" s="83"/>
      <c r="K32" s="79"/>
      <c r="L32" s="79"/>
      <c r="M32" s="80"/>
    </row>
    <row r="33" spans="1:13" s="1" customFormat="1" ht="14.1" customHeight="1">
      <c r="A33" s="45">
        <v>16</v>
      </c>
      <c r="B33" s="56"/>
      <c r="C33" s="57"/>
      <c r="D33" s="49"/>
      <c r="E33" s="50"/>
      <c r="F33" s="50"/>
      <c r="G33" s="51"/>
      <c r="H33" s="52"/>
      <c r="I33" s="52"/>
      <c r="J33" s="37"/>
      <c r="K33" s="38"/>
      <c r="L33" s="38"/>
      <c r="M33" s="63"/>
    </row>
    <row r="34" spans="1:13" s="1" customFormat="1" ht="14.1" customHeight="1" thickBot="1">
      <c r="A34" s="46"/>
      <c r="B34" s="56"/>
      <c r="C34" s="57"/>
      <c r="D34" s="58"/>
      <c r="E34" s="59"/>
      <c r="F34" s="59"/>
      <c r="G34" s="60"/>
      <c r="H34" s="53"/>
      <c r="I34" s="53"/>
      <c r="J34" s="54"/>
      <c r="K34" s="52"/>
      <c r="L34" s="52"/>
      <c r="M34" s="64"/>
    </row>
    <row r="35" spans="1:13" s="1" customFormat="1" ht="14.1" customHeight="1" thickTop="1">
      <c r="A35" s="86">
        <v>17</v>
      </c>
      <c r="B35" s="99" t="s">
        <v>106</v>
      </c>
      <c r="C35" s="100"/>
      <c r="D35" s="89" t="s">
        <v>68</v>
      </c>
      <c r="E35" s="163"/>
      <c r="F35" s="163"/>
      <c r="G35" s="164"/>
      <c r="H35" s="90">
        <f>SUM(I35)-3</f>
        <v>45</v>
      </c>
      <c r="I35" s="90">
        <f>SUM(J35)-3</f>
        <v>48</v>
      </c>
      <c r="J35" s="165">
        <v>51</v>
      </c>
      <c r="K35" s="90">
        <f>SUM(J35)+3</f>
        <v>54</v>
      </c>
      <c r="L35" s="90">
        <f t="shared" ref="L35:M35" si="6">SUM(K35)+3</f>
        <v>57</v>
      </c>
      <c r="M35" s="167">
        <f t="shared" si="6"/>
        <v>60</v>
      </c>
    </row>
    <row r="36" spans="1:13" s="1" customFormat="1" ht="14.1" customHeight="1">
      <c r="A36" s="45"/>
      <c r="B36" s="121" t="s">
        <v>77</v>
      </c>
      <c r="C36" s="122"/>
      <c r="D36" s="123" t="s">
        <v>69</v>
      </c>
      <c r="E36" s="124"/>
      <c r="F36" s="124"/>
      <c r="G36" s="125"/>
      <c r="H36" s="79"/>
      <c r="I36" s="79"/>
      <c r="J36" s="83"/>
      <c r="K36" s="79"/>
      <c r="L36" s="79"/>
      <c r="M36" s="80"/>
    </row>
    <row r="37" spans="1:13" s="1" customFormat="1" ht="14.1" customHeight="1">
      <c r="A37" s="45">
        <v>18</v>
      </c>
      <c r="B37" s="47" t="s">
        <v>113</v>
      </c>
      <c r="C37" s="48"/>
      <c r="D37" s="58"/>
      <c r="E37" s="59"/>
      <c r="F37" s="59"/>
      <c r="G37" s="60"/>
      <c r="H37" s="52">
        <f>SUM(I37)-3.5</f>
        <v>58</v>
      </c>
      <c r="I37" s="52">
        <f>SUM(J37)-3.5</f>
        <v>61.5</v>
      </c>
      <c r="J37" s="134">
        <v>65</v>
      </c>
      <c r="K37" s="53">
        <f>SUM(J37)+3.5</f>
        <v>68.5</v>
      </c>
      <c r="L37" s="53">
        <f>SUM(K37)+3.5</f>
        <v>72</v>
      </c>
      <c r="M37" s="135">
        <f>SUM(L37)+3.5</f>
        <v>75.5</v>
      </c>
    </row>
    <row r="38" spans="1:13" s="1" customFormat="1" ht="14.1" customHeight="1">
      <c r="A38" s="45"/>
      <c r="B38" s="121" t="s">
        <v>114</v>
      </c>
      <c r="C38" s="122"/>
      <c r="D38" s="123"/>
      <c r="E38" s="124"/>
      <c r="F38" s="124"/>
      <c r="G38" s="125"/>
      <c r="H38" s="79"/>
      <c r="I38" s="79"/>
      <c r="J38" s="83"/>
      <c r="K38" s="79"/>
      <c r="L38" s="79"/>
      <c r="M38" s="80"/>
    </row>
    <row r="39" spans="1:13" ht="14.1" customHeight="1">
      <c r="A39" s="45">
        <v>19</v>
      </c>
      <c r="B39" s="47" t="s">
        <v>11</v>
      </c>
      <c r="C39" s="48"/>
      <c r="D39" s="75" t="s">
        <v>122</v>
      </c>
      <c r="E39" s="62"/>
      <c r="F39" s="62"/>
      <c r="G39" s="76"/>
      <c r="H39" s="52">
        <f>SUM(I39)-4</f>
        <v>60.2</v>
      </c>
      <c r="I39" s="52">
        <f>SUM(J39)-4</f>
        <v>64.2</v>
      </c>
      <c r="J39" s="54">
        <v>68.2</v>
      </c>
      <c r="K39" s="52">
        <f>SUM(J39)+4</f>
        <v>72.2</v>
      </c>
      <c r="L39" s="52">
        <f>SUM(K39)+4</f>
        <v>76.2</v>
      </c>
      <c r="M39" s="64">
        <f>SUM(L39)+4</f>
        <v>80.2</v>
      </c>
    </row>
    <row r="40" spans="1:13" ht="14.1" customHeight="1">
      <c r="A40" s="45"/>
      <c r="B40" s="121" t="s">
        <v>48</v>
      </c>
      <c r="C40" s="122"/>
      <c r="D40" s="123" t="s">
        <v>90</v>
      </c>
      <c r="E40" s="124"/>
      <c r="F40" s="124"/>
      <c r="G40" s="125"/>
      <c r="H40" s="79"/>
      <c r="I40" s="79"/>
      <c r="J40" s="83"/>
      <c r="K40" s="79"/>
      <c r="L40" s="79"/>
      <c r="M40" s="80"/>
    </row>
    <row r="41" spans="1:13" ht="14.1" customHeight="1">
      <c r="A41" s="45">
        <v>20</v>
      </c>
      <c r="B41" s="47" t="s">
        <v>103</v>
      </c>
      <c r="C41" s="48"/>
      <c r="D41" s="75"/>
      <c r="E41" s="62"/>
      <c r="F41" s="62"/>
      <c r="G41" s="76"/>
      <c r="H41" s="81">
        <f>SUM(I41)-0.7</f>
        <v>14.000000000000002</v>
      </c>
      <c r="I41" s="52">
        <f>SUM(J41)-0.7</f>
        <v>14.700000000000001</v>
      </c>
      <c r="J41" s="54">
        <v>15.4</v>
      </c>
      <c r="K41" s="52">
        <f>SUM(J41)+1.2</f>
        <v>16.600000000000001</v>
      </c>
      <c r="L41" s="52">
        <f t="shared" ref="L41:M41" si="7">SUM(K41)+0.7</f>
        <v>17.3</v>
      </c>
      <c r="M41" s="64">
        <f t="shared" si="7"/>
        <v>18</v>
      </c>
    </row>
    <row r="42" spans="1:13" ht="14.1" customHeight="1">
      <c r="A42" s="45"/>
      <c r="B42" s="121" t="s">
        <v>102</v>
      </c>
      <c r="C42" s="122"/>
      <c r="D42" s="126" t="s">
        <v>117</v>
      </c>
      <c r="E42" s="127"/>
      <c r="F42" s="127"/>
      <c r="G42" s="128"/>
      <c r="H42" s="61"/>
      <c r="I42" s="79"/>
      <c r="J42" s="83"/>
      <c r="K42" s="79"/>
      <c r="L42" s="79"/>
      <c r="M42" s="80"/>
    </row>
    <row r="43" spans="1:13" s="1" customFormat="1" ht="14.1" customHeight="1">
      <c r="A43" s="45">
        <v>21</v>
      </c>
      <c r="B43" s="47" t="s">
        <v>125</v>
      </c>
      <c r="C43" s="48"/>
      <c r="D43" s="75"/>
      <c r="E43" s="62"/>
      <c r="F43" s="62"/>
      <c r="G43" s="76"/>
      <c r="H43" s="81"/>
      <c r="I43" s="52"/>
      <c r="J43" s="54"/>
      <c r="K43" s="52"/>
      <c r="L43" s="52"/>
      <c r="M43" s="64"/>
    </row>
    <row r="44" spans="1:13" s="1" customFormat="1" ht="14.1" customHeight="1">
      <c r="A44" s="45"/>
      <c r="B44" s="121" t="s">
        <v>126</v>
      </c>
      <c r="C44" s="122"/>
      <c r="D44" s="126" t="s">
        <v>127</v>
      </c>
      <c r="E44" s="127"/>
      <c r="F44" s="127"/>
      <c r="G44" s="128"/>
      <c r="H44" s="61"/>
      <c r="I44" s="79"/>
      <c r="J44" s="83"/>
      <c r="K44" s="79"/>
      <c r="L44" s="79"/>
      <c r="M44" s="80"/>
    </row>
    <row r="45" spans="1:13" ht="14.1" customHeight="1">
      <c r="A45" s="45">
        <v>22</v>
      </c>
      <c r="B45" s="47" t="s">
        <v>9</v>
      </c>
      <c r="C45" s="48"/>
      <c r="D45" s="75" t="s">
        <v>70</v>
      </c>
      <c r="E45" s="62"/>
      <c r="F45" s="62"/>
      <c r="G45" s="76"/>
      <c r="H45" s="52">
        <f>SUM(I45)-7</f>
        <v>49.3</v>
      </c>
      <c r="I45" s="52">
        <f>SUM(J45)-7</f>
        <v>56.3</v>
      </c>
      <c r="J45" s="54">
        <v>63.3</v>
      </c>
      <c r="K45" s="52">
        <f>SUM(J45)+6</f>
        <v>69.3</v>
      </c>
      <c r="L45" s="52">
        <f>SUM(K45)+6</f>
        <v>75.3</v>
      </c>
      <c r="M45" s="64">
        <f>SUM(L45)+6</f>
        <v>81.3</v>
      </c>
    </row>
    <row r="46" spans="1:13" ht="14.1" customHeight="1">
      <c r="A46" s="45"/>
      <c r="B46" s="121" t="s">
        <v>49</v>
      </c>
      <c r="C46" s="122"/>
      <c r="D46" s="123" t="s">
        <v>89</v>
      </c>
      <c r="E46" s="124"/>
      <c r="F46" s="124"/>
      <c r="G46" s="125"/>
      <c r="H46" s="79"/>
      <c r="I46" s="79"/>
      <c r="J46" s="83"/>
      <c r="K46" s="79"/>
      <c r="L46" s="79"/>
      <c r="M46" s="80"/>
    </row>
    <row r="47" spans="1:13" ht="14.1" customHeight="1">
      <c r="A47" s="45">
        <v>23</v>
      </c>
      <c r="B47" s="47" t="s">
        <v>14</v>
      </c>
      <c r="C47" s="48"/>
      <c r="D47" s="75" t="s">
        <v>15</v>
      </c>
      <c r="E47" s="62"/>
      <c r="F47" s="62"/>
      <c r="G47" s="76"/>
      <c r="H47" s="52">
        <f>SUM(I47)-1.8</f>
        <v>32.900000000000006</v>
      </c>
      <c r="I47" s="52">
        <f>SUM(J47)-1.8</f>
        <v>34.700000000000003</v>
      </c>
      <c r="J47" s="54">
        <v>36.5</v>
      </c>
      <c r="K47" s="52">
        <f>SUM(J47)+1.8</f>
        <v>38.299999999999997</v>
      </c>
      <c r="L47" s="52">
        <f>SUM(K47)+1.8</f>
        <v>40.099999999999994</v>
      </c>
      <c r="M47" s="64">
        <f>SUM(L47)+1.8</f>
        <v>41.899999999999991</v>
      </c>
    </row>
    <row r="48" spans="1:13" ht="14.1" customHeight="1">
      <c r="A48" s="45"/>
      <c r="B48" s="121" t="s">
        <v>50</v>
      </c>
      <c r="C48" s="122"/>
      <c r="D48" s="42" t="s">
        <v>88</v>
      </c>
      <c r="E48" s="43"/>
      <c r="F48" s="43"/>
      <c r="G48" s="44"/>
      <c r="H48" s="79"/>
      <c r="I48" s="79"/>
      <c r="J48" s="83"/>
      <c r="K48" s="79"/>
      <c r="L48" s="79"/>
      <c r="M48" s="80"/>
    </row>
    <row r="49" spans="1:13" ht="14.1" customHeight="1">
      <c r="A49" s="45">
        <v>24</v>
      </c>
      <c r="B49" s="47" t="s">
        <v>16</v>
      </c>
      <c r="C49" s="48"/>
      <c r="D49" s="75" t="s">
        <v>13</v>
      </c>
      <c r="E49" s="62"/>
      <c r="F49" s="62"/>
      <c r="G49" s="76"/>
      <c r="H49" s="81">
        <f>SUM(I49)-1.1</f>
        <v>21.599999999999998</v>
      </c>
      <c r="I49" s="52">
        <f>SUM(J49)-1.1</f>
        <v>22.7</v>
      </c>
      <c r="J49" s="54">
        <v>23.8</v>
      </c>
      <c r="K49" s="52">
        <f>SUM(J49)+1.6</f>
        <v>25.400000000000002</v>
      </c>
      <c r="L49" s="52">
        <f>SUM(K49)+1.1</f>
        <v>26.500000000000004</v>
      </c>
      <c r="M49" s="64">
        <f>SUM(L49)+1.1</f>
        <v>27.600000000000005</v>
      </c>
    </row>
    <row r="50" spans="1:13" ht="14.1" customHeight="1">
      <c r="A50" s="45"/>
      <c r="B50" s="121" t="s">
        <v>56</v>
      </c>
      <c r="C50" s="122"/>
      <c r="D50" s="123" t="s">
        <v>87</v>
      </c>
      <c r="E50" s="124"/>
      <c r="F50" s="124"/>
      <c r="G50" s="125"/>
      <c r="H50" s="61"/>
      <c r="I50" s="79"/>
      <c r="J50" s="83"/>
      <c r="K50" s="79"/>
      <c r="L50" s="79"/>
      <c r="M50" s="80"/>
    </row>
    <row r="51" spans="1:13" ht="14.1" customHeight="1">
      <c r="A51" s="45">
        <v>25</v>
      </c>
      <c r="B51" s="47" t="s">
        <v>17</v>
      </c>
      <c r="C51" s="48"/>
      <c r="D51" s="75" t="s">
        <v>13</v>
      </c>
      <c r="E51" s="62"/>
      <c r="F51" s="62"/>
      <c r="G51" s="76"/>
      <c r="H51" s="81">
        <f>SUM(I51)-1.3</f>
        <v>26</v>
      </c>
      <c r="I51" s="52">
        <f>SUM(J51)-1.3</f>
        <v>27.3</v>
      </c>
      <c r="J51" s="54">
        <v>28.6</v>
      </c>
      <c r="K51" s="52">
        <f>SUM(J51)+1.8</f>
        <v>30.400000000000002</v>
      </c>
      <c r="L51" s="52">
        <f>SUM(K51)+1.3</f>
        <v>31.700000000000003</v>
      </c>
      <c r="M51" s="64">
        <f>SUM(L51)+1.3</f>
        <v>33</v>
      </c>
    </row>
    <row r="52" spans="1:13" ht="14.1" customHeight="1">
      <c r="A52" s="45"/>
      <c r="B52" s="121" t="s">
        <v>55</v>
      </c>
      <c r="C52" s="122"/>
      <c r="D52" s="123" t="s">
        <v>87</v>
      </c>
      <c r="E52" s="124"/>
      <c r="F52" s="124"/>
      <c r="G52" s="125"/>
      <c r="H52" s="61"/>
      <c r="I52" s="79"/>
      <c r="J52" s="83"/>
      <c r="K52" s="79"/>
      <c r="L52" s="79"/>
      <c r="M52" s="80"/>
    </row>
    <row r="53" spans="1:13" ht="14.1" customHeight="1">
      <c r="A53" s="45">
        <v>26</v>
      </c>
      <c r="B53" s="47" t="s">
        <v>18</v>
      </c>
      <c r="C53" s="48"/>
      <c r="D53" s="75" t="s">
        <v>19</v>
      </c>
      <c r="E53" s="62"/>
      <c r="F53" s="62"/>
      <c r="G53" s="76"/>
      <c r="H53" s="52">
        <f>SUM(I53)-2.7</f>
        <v>33.499999999999993</v>
      </c>
      <c r="I53" s="52">
        <f>SUM(J53)-2.7</f>
        <v>36.199999999999996</v>
      </c>
      <c r="J53" s="54">
        <v>38.9</v>
      </c>
      <c r="K53" s="52">
        <f>SUM(J53)+2.6</f>
        <v>41.5</v>
      </c>
      <c r="L53" s="52">
        <f>SUM(K53)+2.6</f>
        <v>44.1</v>
      </c>
      <c r="M53" s="64">
        <f>SUM(L53)+2.6</f>
        <v>46.7</v>
      </c>
    </row>
    <row r="54" spans="1:13" ht="14.1" customHeight="1">
      <c r="A54" s="45"/>
      <c r="B54" s="121" t="s">
        <v>54</v>
      </c>
      <c r="C54" s="122"/>
      <c r="D54" s="123" t="s">
        <v>86</v>
      </c>
      <c r="E54" s="124"/>
      <c r="F54" s="124"/>
      <c r="G54" s="125"/>
      <c r="H54" s="79"/>
      <c r="I54" s="79"/>
      <c r="J54" s="83"/>
      <c r="K54" s="79"/>
      <c r="L54" s="79"/>
      <c r="M54" s="80"/>
    </row>
    <row r="55" spans="1:13" ht="14.1" customHeight="1">
      <c r="A55" s="45">
        <v>27</v>
      </c>
      <c r="B55" s="47" t="s">
        <v>20</v>
      </c>
      <c r="C55" s="48"/>
      <c r="D55" s="75" t="s">
        <v>21</v>
      </c>
      <c r="E55" s="62"/>
      <c r="F55" s="62"/>
      <c r="G55" s="76"/>
      <c r="H55" s="52">
        <f>SUM(I55)-6</f>
        <v>28.5</v>
      </c>
      <c r="I55" s="52">
        <f>SUM(J55)-6</f>
        <v>34.5</v>
      </c>
      <c r="J55" s="54">
        <v>40.5</v>
      </c>
      <c r="K55" s="52">
        <f>SUM(J55)+4.5</f>
        <v>45</v>
      </c>
      <c r="L55" s="52">
        <f>SUM(K55)+5</f>
        <v>50</v>
      </c>
      <c r="M55" s="64">
        <f>SUM(L55)+5</f>
        <v>55</v>
      </c>
    </row>
    <row r="56" spans="1:13" ht="14.1" customHeight="1">
      <c r="A56" s="45"/>
      <c r="B56" s="121" t="s">
        <v>53</v>
      </c>
      <c r="C56" s="122"/>
      <c r="D56" s="123" t="s">
        <v>85</v>
      </c>
      <c r="E56" s="124"/>
      <c r="F56" s="124"/>
      <c r="G56" s="125"/>
      <c r="H56" s="79"/>
      <c r="I56" s="79"/>
      <c r="J56" s="83"/>
      <c r="K56" s="79"/>
      <c r="L56" s="79"/>
      <c r="M56" s="80"/>
    </row>
    <row r="57" spans="1:13" ht="14.1" customHeight="1">
      <c r="A57" s="45">
        <v>28</v>
      </c>
      <c r="B57" s="47" t="s">
        <v>84</v>
      </c>
      <c r="C57" s="48"/>
      <c r="D57" s="75" t="s">
        <v>82</v>
      </c>
      <c r="E57" s="62"/>
      <c r="F57" s="62"/>
      <c r="G57" s="76"/>
      <c r="H57" s="52">
        <f>SUM(I57)-1.6</f>
        <v>29.199999999999996</v>
      </c>
      <c r="I57" s="52">
        <f>SUM(J57)-1.5</f>
        <v>30.799999999999997</v>
      </c>
      <c r="J57" s="54">
        <v>32.299999999999997</v>
      </c>
      <c r="K57" s="52">
        <f>SUM(J57)+1.5</f>
        <v>33.799999999999997</v>
      </c>
      <c r="L57" s="52">
        <f>SUM(K57)+1.6</f>
        <v>35.4</v>
      </c>
      <c r="M57" s="64">
        <f>SUM(L57)+1.6</f>
        <v>37</v>
      </c>
    </row>
    <row r="58" spans="1:13" ht="14.1" customHeight="1">
      <c r="A58" s="45"/>
      <c r="B58" s="121" t="s">
        <v>83</v>
      </c>
      <c r="C58" s="122"/>
      <c r="D58" s="123" t="s">
        <v>82</v>
      </c>
      <c r="E58" s="124"/>
      <c r="F58" s="124"/>
      <c r="G58" s="125"/>
      <c r="H58" s="79"/>
      <c r="I58" s="79"/>
      <c r="J58" s="83"/>
      <c r="K58" s="79"/>
      <c r="L58" s="79"/>
      <c r="M58" s="80"/>
    </row>
    <row r="59" spans="1:13" ht="14.1" customHeight="1">
      <c r="A59" s="45">
        <v>29</v>
      </c>
      <c r="B59" s="47" t="s">
        <v>81</v>
      </c>
      <c r="C59" s="48"/>
      <c r="D59" s="75" t="s">
        <v>80</v>
      </c>
      <c r="E59" s="62"/>
      <c r="F59" s="62"/>
      <c r="G59" s="76"/>
      <c r="H59" s="52">
        <f>SUM(I59)-3.3</f>
        <v>31.7</v>
      </c>
      <c r="I59" s="52">
        <f>SUM(J59)-3.3</f>
        <v>35</v>
      </c>
      <c r="J59" s="54">
        <v>38.299999999999997</v>
      </c>
      <c r="K59" s="52">
        <f>SUM(J59)+3.2</f>
        <v>41.5</v>
      </c>
      <c r="L59" s="52">
        <f>SUM(K59)+2.9</f>
        <v>44.4</v>
      </c>
      <c r="M59" s="64">
        <f>SUM(L59)+2.9</f>
        <v>47.3</v>
      </c>
    </row>
    <row r="60" spans="1:13" ht="14.1" customHeight="1">
      <c r="A60" s="45"/>
      <c r="B60" s="121" t="s">
        <v>79</v>
      </c>
      <c r="C60" s="122"/>
      <c r="D60" s="123" t="s">
        <v>116</v>
      </c>
      <c r="E60" s="124"/>
      <c r="F60" s="124"/>
      <c r="G60" s="125"/>
      <c r="H60" s="79"/>
      <c r="I60" s="79"/>
      <c r="J60" s="83"/>
      <c r="K60" s="79"/>
      <c r="L60" s="79"/>
      <c r="M60" s="80"/>
    </row>
    <row r="61" spans="1:13" ht="14.1" customHeight="1">
      <c r="A61" s="45">
        <v>30</v>
      </c>
      <c r="B61" s="47" t="s">
        <v>519</v>
      </c>
      <c r="C61" s="48"/>
      <c r="D61" s="75"/>
      <c r="E61" s="62"/>
      <c r="F61" s="62"/>
      <c r="G61" s="76"/>
      <c r="H61" s="52">
        <f>SUM(I61)-0.7</f>
        <v>12.600000000000001</v>
      </c>
      <c r="I61" s="52">
        <f>SUM(J61)-0.7</f>
        <v>13.3</v>
      </c>
      <c r="J61" s="54">
        <v>14</v>
      </c>
      <c r="K61" s="52">
        <f>SUM(J61)+0.7</f>
        <v>14.7</v>
      </c>
      <c r="L61" s="52">
        <f t="shared" ref="L61:M61" si="8">SUM(K61)+0.7</f>
        <v>15.399999999999999</v>
      </c>
      <c r="M61" s="64">
        <f t="shared" si="8"/>
        <v>16.099999999999998</v>
      </c>
    </row>
    <row r="62" spans="1:13" ht="13.5" customHeight="1">
      <c r="A62" s="45"/>
      <c r="B62" s="40" t="s">
        <v>520</v>
      </c>
      <c r="C62" s="41"/>
      <c r="D62" s="42" t="s">
        <v>525</v>
      </c>
      <c r="E62" s="43"/>
      <c r="F62" s="43"/>
      <c r="G62" s="44"/>
      <c r="H62" s="79"/>
      <c r="I62" s="79"/>
      <c r="J62" s="83"/>
      <c r="K62" s="79"/>
      <c r="L62" s="79"/>
      <c r="M62" s="80"/>
    </row>
    <row r="63" spans="1:13" ht="13.5" customHeight="1">
      <c r="A63" s="45">
        <v>31</v>
      </c>
      <c r="B63" s="47"/>
      <c r="C63" s="48"/>
      <c r="D63" s="75"/>
      <c r="E63" s="62"/>
      <c r="F63" s="62"/>
      <c r="G63" s="76"/>
      <c r="H63" s="52"/>
      <c r="I63" s="52"/>
      <c r="J63" s="37"/>
      <c r="K63" s="38"/>
      <c r="L63" s="38"/>
      <c r="M63" s="63"/>
    </row>
    <row r="64" spans="1:13" ht="13.5" customHeight="1" thickBot="1">
      <c r="A64" s="74"/>
      <c r="B64" s="69"/>
      <c r="C64" s="70"/>
      <c r="D64" s="71"/>
      <c r="E64" s="72"/>
      <c r="F64" s="72"/>
      <c r="G64" s="73"/>
      <c r="H64" s="77"/>
      <c r="I64" s="77"/>
      <c r="J64" s="66"/>
      <c r="K64" s="67"/>
      <c r="L64" s="67"/>
      <c r="M64" s="68"/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344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A29:A30"/>
    <mergeCell ref="B29:C29"/>
    <mergeCell ref="D29:G29"/>
    <mergeCell ref="H29:H30"/>
    <mergeCell ref="I29:I30"/>
    <mergeCell ref="J29:J30"/>
    <mergeCell ref="B30:C30"/>
    <mergeCell ref="D30:G30"/>
    <mergeCell ref="J59:J60"/>
    <mergeCell ref="I59:I60"/>
    <mergeCell ref="J47:J48"/>
    <mergeCell ref="I47:I48"/>
    <mergeCell ref="D60:G60"/>
    <mergeCell ref="A55:A56"/>
    <mergeCell ref="J53:J54"/>
    <mergeCell ref="A53:A54"/>
    <mergeCell ref="A51:A52"/>
    <mergeCell ref="J49:J50"/>
    <mergeCell ref="A49:A50"/>
    <mergeCell ref="A47:A48"/>
    <mergeCell ref="J45:J46"/>
    <mergeCell ref="A45:A46"/>
    <mergeCell ref="A43:A44"/>
    <mergeCell ref="J41:J42"/>
    <mergeCell ref="K29:K30"/>
    <mergeCell ref="L29:L30"/>
    <mergeCell ref="M29:M30"/>
    <mergeCell ref="K63:K64"/>
    <mergeCell ref="L63:L64"/>
    <mergeCell ref="M63:M64"/>
    <mergeCell ref="B64:C64"/>
    <mergeCell ref="D64:G64"/>
    <mergeCell ref="A63:A64"/>
    <mergeCell ref="B63:C63"/>
    <mergeCell ref="D63:G63"/>
    <mergeCell ref="H63:H64"/>
    <mergeCell ref="I63:I64"/>
    <mergeCell ref="J63:J64"/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A61:A62"/>
    <mergeCell ref="B61:C61"/>
    <mergeCell ref="D61:G61"/>
    <mergeCell ref="H61:H62"/>
    <mergeCell ref="I61:I62"/>
    <mergeCell ref="A59:A60"/>
    <mergeCell ref="B59:C59"/>
    <mergeCell ref="D59:G59"/>
    <mergeCell ref="J57:J58"/>
    <mergeCell ref="A57:A58"/>
    <mergeCell ref="H59:H60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B57:C57"/>
    <mergeCell ref="D57:G57"/>
    <mergeCell ref="H57:H58"/>
    <mergeCell ref="I57:I58"/>
    <mergeCell ref="B55:C55"/>
    <mergeCell ref="D55:G55"/>
    <mergeCell ref="J55:J56"/>
    <mergeCell ref="I55:I56"/>
    <mergeCell ref="H55:H56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B53:C53"/>
    <mergeCell ref="D53:G53"/>
    <mergeCell ref="H53:H54"/>
    <mergeCell ref="I53:I54"/>
    <mergeCell ref="B51:C51"/>
    <mergeCell ref="D51:G51"/>
    <mergeCell ref="J51:J52"/>
    <mergeCell ref="I51:I52"/>
    <mergeCell ref="H51:H52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B49:C49"/>
    <mergeCell ref="D49:G49"/>
    <mergeCell ref="H49:H50"/>
    <mergeCell ref="I49:I50"/>
    <mergeCell ref="B47:C47"/>
    <mergeCell ref="D47:G47"/>
    <mergeCell ref="H47:H48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B45:C45"/>
    <mergeCell ref="D45:G45"/>
    <mergeCell ref="H45:H46"/>
    <mergeCell ref="I45:I46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J37:J38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J33:J34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7" right="0.7" top="0.75" bottom="0.75" header="0.3" footer="0.3"/>
  <pageSetup paperSize="9" scale="8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52D3-88F7-4A2A-8540-23C130C69887}">
  <sheetPr>
    <tabColor theme="8"/>
    <pageSetUpPr fitToPage="1"/>
  </sheetPr>
  <dimension ref="A1:N74"/>
  <sheetViews>
    <sheetView zoomScale="110" zoomScaleNormal="110" workbookViewId="0">
      <selection activeCell="O66" sqref="O6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105" t="s">
        <v>481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39.9</v>
      </c>
      <c r="I3" s="52">
        <f>SUM(J3)-3.5</f>
        <v>43.4</v>
      </c>
      <c r="J3" s="193">
        <v>46.9</v>
      </c>
      <c r="K3" s="194">
        <f>SUM(J3)+3</f>
        <v>49.9</v>
      </c>
      <c r="L3" s="194">
        <f t="shared" ref="L3" si="0">SUM(K3)+3</f>
        <v>52.9</v>
      </c>
      <c r="M3" s="195"/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3" s="1" customFormat="1" ht="14.1" customHeight="1">
      <c r="A5" s="109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39.599999999999994</v>
      </c>
      <c r="I5" s="52">
        <f>SUM(J5)-2.2</f>
        <v>41.8</v>
      </c>
      <c r="J5" s="37">
        <v>44</v>
      </c>
      <c r="K5" s="38">
        <f>SUM(J5)+2</f>
        <v>46</v>
      </c>
      <c r="L5" s="38">
        <f t="shared" ref="L5" si="1">SUM(K5)+2</f>
        <v>48</v>
      </c>
      <c r="M5" s="63"/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63"/>
    </row>
    <row r="7" spans="1:13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40.5</v>
      </c>
      <c r="I7" s="52">
        <f>SUM(J7)-2.25</f>
        <v>42.75</v>
      </c>
      <c r="J7" s="54">
        <v>45</v>
      </c>
      <c r="K7" s="52">
        <f>SUM(J7)+2</f>
        <v>47</v>
      </c>
      <c r="L7" s="52">
        <f>SUM(K7)+2</f>
        <v>49</v>
      </c>
      <c r="M7" s="64"/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30.199999999999996</v>
      </c>
      <c r="I9" s="52">
        <f>SUM(J9)-1.8</f>
        <v>31.999999999999996</v>
      </c>
      <c r="J9" s="54">
        <v>33.799999999999997</v>
      </c>
      <c r="K9" s="52">
        <f>SUM(J9)+1.6</f>
        <v>35.4</v>
      </c>
      <c r="L9" s="52">
        <f t="shared" ref="L9" si="2">SUM(K9)+1.6</f>
        <v>37</v>
      </c>
      <c r="M9" s="64"/>
    </row>
    <row r="10" spans="1:13" s="1" customFormat="1" ht="14.1" customHeight="1">
      <c r="A10" s="45"/>
      <c r="B10" s="61" t="s">
        <v>25</v>
      </c>
      <c r="C10" s="61"/>
      <c r="D10" s="42" t="s">
        <v>434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15.599999999999998</v>
      </c>
      <c r="I11" s="52">
        <f>SUM(J11)-0.8</f>
        <v>16.399999999999999</v>
      </c>
      <c r="J11" s="37">
        <v>17.2</v>
      </c>
      <c r="K11" s="52">
        <f>SUM(J11)+0.8</f>
        <v>18</v>
      </c>
      <c r="L11" s="52">
        <f t="shared" ref="L11" si="3">SUM(K11)+0.8</f>
        <v>18.8</v>
      </c>
      <c r="M11" s="64"/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80"/>
    </row>
    <row r="13" spans="1:13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15.799999999999999</v>
      </c>
      <c r="I13" s="52">
        <f>SUM(J13)-0.6</f>
        <v>16.399999999999999</v>
      </c>
      <c r="J13" s="37">
        <v>17</v>
      </c>
      <c r="K13" s="38">
        <f>SUM(J13)+0.6</f>
        <v>17.600000000000001</v>
      </c>
      <c r="L13" s="38">
        <f>SUM(K13)+0.6</f>
        <v>18.200000000000003</v>
      </c>
      <c r="M13" s="63"/>
    </row>
    <row r="14" spans="1:13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6.5</v>
      </c>
      <c r="I15" s="52">
        <f>SUM(J15)-0.3</f>
        <v>6.8</v>
      </c>
      <c r="J15" s="37">
        <v>7.1</v>
      </c>
      <c r="K15" s="38">
        <f>SUM(J15)+0.3</f>
        <v>7.3999999999999995</v>
      </c>
      <c r="L15" s="38">
        <f>SUM(K15)+0.3</f>
        <v>7.6999999999999993</v>
      </c>
      <c r="M15" s="63"/>
    </row>
    <row r="16" spans="1:13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41.199999999999996</v>
      </c>
      <c r="I17" s="52">
        <f>SUM(J17)-1.6</f>
        <v>42.8</v>
      </c>
      <c r="J17" s="37">
        <v>44.4</v>
      </c>
      <c r="K17" s="38">
        <f>SUM(J17)+1.6</f>
        <v>46</v>
      </c>
      <c r="L17" s="38">
        <f>SUM(K17)+1.6</f>
        <v>47.6</v>
      </c>
      <c r="M17" s="63"/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25.300000000000004</v>
      </c>
      <c r="I19" s="52">
        <f>SUM(J19)-3.4</f>
        <v>28.700000000000003</v>
      </c>
      <c r="J19" s="37">
        <v>32.1</v>
      </c>
      <c r="K19" s="38">
        <f>SUM(J19)+3.5</f>
        <v>35.6</v>
      </c>
      <c r="L19" s="38">
        <f t="shared" ref="L19" si="4">SUM(K19)+3.5</f>
        <v>39.1</v>
      </c>
      <c r="M19" s="63"/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SUM(I21)-1.6</f>
        <v>30.9</v>
      </c>
      <c r="I21" s="52">
        <f>SUM(J21)-1.6</f>
        <v>32.5</v>
      </c>
      <c r="J21" s="37">
        <v>34.1</v>
      </c>
      <c r="K21" s="38">
        <f>SUM(J21)+1.6</f>
        <v>35.700000000000003</v>
      </c>
      <c r="L21" s="38">
        <f t="shared" ref="L21" si="5">SUM(K21)+1.6</f>
        <v>37.300000000000004</v>
      </c>
      <c r="M21" s="63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/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109">
        <v>12</v>
      </c>
      <c r="B25" s="47"/>
      <c r="C25" s="48"/>
      <c r="D25" s="78"/>
      <c r="E25" s="78"/>
      <c r="F25" s="78"/>
      <c r="G25" s="78"/>
      <c r="H25" s="52"/>
      <c r="I25" s="52"/>
      <c r="J25" s="37"/>
      <c r="K25" s="38"/>
      <c r="L25" s="38"/>
      <c r="M25" s="63"/>
    </row>
    <row r="26" spans="1:13" s="1" customFormat="1" ht="14.1" customHeight="1">
      <c r="A26" s="45"/>
      <c r="B26" s="40"/>
      <c r="C26" s="41"/>
      <c r="D26" s="126"/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109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 thickBot="1">
      <c r="A28" s="46"/>
      <c r="B28" s="56"/>
      <c r="C28" s="57"/>
      <c r="D28" s="58"/>
      <c r="E28" s="59"/>
      <c r="F28" s="59"/>
      <c r="G28" s="60"/>
      <c r="H28" s="53"/>
      <c r="I28" s="53"/>
      <c r="J28" s="54"/>
      <c r="K28" s="52"/>
      <c r="L28" s="52"/>
      <c r="M28" s="64"/>
    </row>
    <row r="29" spans="1:13" s="1" customFormat="1" ht="14.1" customHeight="1" thickTop="1">
      <c r="A29" s="86">
        <v>14</v>
      </c>
      <c r="B29" s="99" t="s">
        <v>106</v>
      </c>
      <c r="C29" s="100"/>
      <c r="D29" s="89" t="s">
        <v>68</v>
      </c>
      <c r="E29" s="163"/>
      <c r="F29" s="163"/>
      <c r="G29" s="164"/>
      <c r="H29" s="90">
        <f>SUM(I29)-3</f>
        <v>45</v>
      </c>
      <c r="I29" s="90">
        <f>SUM(J29)-3</f>
        <v>48</v>
      </c>
      <c r="J29" s="165">
        <v>51</v>
      </c>
      <c r="K29" s="90">
        <f>SUM(J29)+3</f>
        <v>54</v>
      </c>
      <c r="L29" s="90">
        <f t="shared" ref="L29" si="6">SUM(K29)+3</f>
        <v>57</v>
      </c>
      <c r="M29" s="167"/>
    </row>
    <row r="30" spans="1:13" s="1" customFormat="1" ht="14.1" customHeight="1">
      <c r="A30" s="45"/>
      <c r="B30" s="121" t="s">
        <v>77</v>
      </c>
      <c r="C30" s="122"/>
      <c r="D30" s="123" t="s">
        <v>69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ht="14.1" customHeight="1">
      <c r="A31" s="109">
        <v>15</v>
      </c>
      <c r="B31" s="47" t="s">
        <v>113</v>
      </c>
      <c r="C31" s="48"/>
      <c r="D31" s="58"/>
      <c r="E31" s="59"/>
      <c r="F31" s="59"/>
      <c r="G31" s="60"/>
      <c r="H31" s="52">
        <f>SUM(I31)-3.5</f>
        <v>64.900000000000006</v>
      </c>
      <c r="I31" s="52">
        <f>SUM(J31)-3.5</f>
        <v>68.400000000000006</v>
      </c>
      <c r="J31" s="134">
        <v>71.900000000000006</v>
      </c>
      <c r="K31" s="53">
        <f>SUM(J31)+3.5</f>
        <v>75.400000000000006</v>
      </c>
      <c r="L31" s="53">
        <f>SUM(K31)+3.5</f>
        <v>78.900000000000006</v>
      </c>
      <c r="M31" s="135"/>
    </row>
    <row r="32" spans="1:13" ht="14.1" customHeight="1">
      <c r="A32" s="45"/>
      <c r="B32" s="121" t="s">
        <v>114</v>
      </c>
      <c r="C32" s="122"/>
      <c r="D32" s="123"/>
      <c r="E32" s="124"/>
      <c r="F32" s="124"/>
      <c r="G32" s="125"/>
      <c r="H32" s="79"/>
      <c r="I32" s="79"/>
      <c r="J32" s="83"/>
      <c r="K32" s="79"/>
      <c r="L32" s="79"/>
      <c r="M32" s="80"/>
    </row>
    <row r="33" spans="1:13" ht="14.1" customHeight="1">
      <c r="A33" s="109">
        <v>16</v>
      </c>
      <c r="B33" s="47" t="s">
        <v>11</v>
      </c>
      <c r="C33" s="48"/>
      <c r="D33" s="75"/>
      <c r="E33" s="62"/>
      <c r="F33" s="62"/>
      <c r="G33" s="76"/>
      <c r="H33" s="52">
        <f>SUM(I33)-4</f>
        <v>70.900000000000006</v>
      </c>
      <c r="I33" s="52">
        <f>SUM(J33)-4</f>
        <v>74.900000000000006</v>
      </c>
      <c r="J33" s="54">
        <v>78.900000000000006</v>
      </c>
      <c r="K33" s="52">
        <f>SUM(J33)+4</f>
        <v>82.9</v>
      </c>
      <c r="L33" s="52">
        <f>SUM(K33)+4</f>
        <v>86.9</v>
      </c>
      <c r="M33" s="64"/>
    </row>
    <row r="34" spans="1:13" ht="14.1" customHeight="1">
      <c r="A34" s="45"/>
      <c r="B34" s="121" t="s">
        <v>48</v>
      </c>
      <c r="C34" s="122"/>
      <c r="D34" s="123" t="s">
        <v>432</v>
      </c>
      <c r="E34" s="124"/>
      <c r="F34" s="124"/>
      <c r="G34" s="125"/>
      <c r="H34" s="79"/>
      <c r="I34" s="79"/>
      <c r="J34" s="83"/>
      <c r="K34" s="79"/>
      <c r="L34" s="79"/>
      <c r="M34" s="80"/>
    </row>
    <row r="35" spans="1:13" ht="14.1" customHeight="1">
      <c r="A35" s="109">
        <v>17</v>
      </c>
      <c r="B35" s="47" t="s">
        <v>103</v>
      </c>
      <c r="C35" s="48"/>
      <c r="D35" s="75"/>
      <c r="E35" s="62"/>
      <c r="F35" s="62"/>
      <c r="G35" s="76"/>
      <c r="H35" s="81">
        <f>SUM(I35)-0.7</f>
        <v>12.600000000000001</v>
      </c>
      <c r="I35" s="52">
        <f>SUM(J35)-0.7</f>
        <v>13.3</v>
      </c>
      <c r="J35" s="54">
        <v>14</v>
      </c>
      <c r="K35" s="52">
        <f>SUM(J35)+1.2</f>
        <v>15.2</v>
      </c>
      <c r="L35" s="52">
        <f t="shared" ref="L35" si="7">SUM(K35)+0.7</f>
        <v>15.899999999999999</v>
      </c>
      <c r="M35" s="64"/>
    </row>
    <row r="36" spans="1:13" ht="14.1" customHeight="1">
      <c r="A36" s="45"/>
      <c r="B36" s="121" t="s">
        <v>102</v>
      </c>
      <c r="C36" s="122"/>
      <c r="D36" s="126" t="s">
        <v>138</v>
      </c>
      <c r="E36" s="127"/>
      <c r="F36" s="127"/>
      <c r="G36" s="128"/>
      <c r="H36" s="61"/>
      <c r="I36" s="79"/>
      <c r="J36" s="83"/>
      <c r="K36" s="79"/>
      <c r="L36" s="79"/>
      <c r="M36" s="80"/>
    </row>
    <row r="37" spans="1:13" ht="14.1" customHeight="1">
      <c r="A37" s="109">
        <v>18</v>
      </c>
      <c r="B37" s="47" t="s">
        <v>125</v>
      </c>
      <c r="C37" s="48"/>
      <c r="D37" s="75"/>
      <c r="E37" s="62"/>
      <c r="F37" s="62"/>
      <c r="G37" s="76"/>
      <c r="H37" s="81"/>
      <c r="I37" s="52"/>
      <c r="J37" s="54"/>
      <c r="K37" s="52"/>
      <c r="L37" s="52"/>
      <c r="M37" s="230"/>
    </row>
    <row r="38" spans="1:13" ht="14.1" customHeight="1">
      <c r="A38" s="45"/>
      <c r="B38" s="121" t="s">
        <v>126</v>
      </c>
      <c r="C38" s="122"/>
      <c r="D38" s="126" t="s">
        <v>127</v>
      </c>
      <c r="E38" s="127"/>
      <c r="F38" s="127"/>
      <c r="G38" s="128"/>
      <c r="H38" s="61"/>
      <c r="I38" s="79"/>
      <c r="J38" s="83"/>
      <c r="K38" s="79"/>
      <c r="L38" s="79"/>
      <c r="M38" s="231"/>
    </row>
    <row r="39" spans="1:13" ht="14.1" customHeight="1">
      <c r="A39" s="109">
        <v>19</v>
      </c>
      <c r="B39" s="47" t="s">
        <v>137</v>
      </c>
      <c r="C39" s="48"/>
      <c r="D39" s="75"/>
      <c r="E39" s="62"/>
      <c r="F39" s="62"/>
      <c r="G39" s="76"/>
      <c r="H39" s="52"/>
      <c r="I39" s="52"/>
      <c r="J39" s="54"/>
      <c r="K39" s="52"/>
      <c r="L39" s="52"/>
      <c r="M39" s="64"/>
    </row>
    <row r="40" spans="1:13" ht="14.1" customHeight="1">
      <c r="A40" s="45"/>
      <c r="B40" s="121" t="s">
        <v>136</v>
      </c>
      <c r="C40" s="122"/>
      <c r="D40" s="126"/>
      <c r="E40" s="127"/>
      <c r="F40" s="127"/>
      <c r="G40" s="128"/>
      <c r="H40" s="79"/>
      <c r="I40" s="79"/>
      <c r="J40" s="83"/>
      <c r="K40" s="79"/>
      <c r="L40" s="79"/>
      <c r="M40" s="80"/>
    </row>
    <row r="41" spans="1:13" ht="14.1" customHeight="1">
      <c r="A41" s="109">
        <v>20</v>
      </c>
      <c r="B41" s="47" t="s">
        <v>9</v>
      </c>
      <c r="C41" s="48"/>
      <c r="D41" s="75" t="s">
        <v>70</v>
      </c>
      <c r="E41" s="62"/>
      <c r="F41" s="62"/>
      <c r="G41" s="76"/>
      <c r="H41" s="52">
        <f>SUM(I41)-7</f>
        <v>54</v>
      </c>
      <c r="I41" s="52">
        <f>SUM(J41)-7</f>
        <v>61</v>
      </c>
      <c r="J41" s="54">
        <v>68</v>
      </c>
      <c r="K41" s="52">
        <f>SUM(J41)+6</f>
        <v>74</v>
      </c>
      <c r="L41" s="52">
        <f>SUM(K41)+6</f>
        <v>80</v>
      </c>
      <c r="M41" s="64"/>
    </row>
    <row r="42" spans="1:13" ht="14.1" customHeight="1">
      <c r="A42" s="45"/>
      <c r="B42" s="121" t="s">
        <v>49</v>
      </c>
      <c r="C42" s="122"/>
      <c r="D42" s="123" t="s">
        <v>89</v>
      </c>
      <c r="E42" s="124"/>
      <c r="F42" s="124"/>
      <c r="G42" s="125"/>
      <c r="H42" s="79"/>
      <c r="I42" s="79"/>
      <c r="J42" s="83"/>
      <c r="K42" s="79"/>
      <c r="L42" s="79"/>
      <c r="M42" s="80"/>
    </row>
    <row r="43" spans="1:13" ht="14.1" customHeight="1">
      <c r="A43" s="109">
        <v>21</v>
      </c>
      <c r="B43" s="47" t="s">
        <v>14</v>
      </c>
      <c r="C43" s="48"/>
      <c r="D43" s="75" t="s">
        <v>15</v>
      </c>
      <c r="E43" s="62"/>
      <c r="F43" s="62"/>
      <c r="G43" s="76"/>
      <c r="H43" s="52">
        <f>SUM(I43)-1</f>
        <v>20</v>
      </c>
      <c r="I43" s="52">
        <f>SUM(J43)-1</f>
        <v>21</v>
      </c>
      <c r="J43" s="54">
        <v>22</v>
      </c>
      <c r="K43" s="52">
        <f>SUM(J43)+1</f>
        <v>23</v>
      </c>
      <c r="L43" s="52">
        <f t="shared" ref="L43" si="8">SUM(K43)+1</f>
        <v>24</v>
      </c>
      <c r="M43" s="64"/>
    </row>
    <row r="44" spans="1:13" ht="14.1" customHeight="1">
      <c r="A44" s="45"/>
      <c r="B44" s="121" t="s">
        <v>50</v>
      </c>
      <c r="C44" s="122"/>
      <c r="D44" s="42" t="s">
        <v>88</v>
      </c>
      <c r="E44" s="43"/>
      <c r="F44" s="43"/>
      <c r="G44" s="44"/>
      <c r="H44" s="79"/>
      <c r="I44" s="79"/>
      <c r="J44" s="83"/>
      <c r="K44" s="79"/>
      <c r="L44" s="79"/>
      <c r="M44" s="80"/>
    </row>
    <row r="45" spans="1:13" ht="14.1" customHeight="1">
      <c r="A45" s="109">
        <v>22</v>
      </c>
      <c r="B45" s="47" t="s">
        <v>16</v>
      </c>
      <c r="C45" s="48"/>
      <c r="D45" s="75" t="s">
        <v>13</v>
      </c>
      <c r="E45" s="62"/>
      <c r="F45" s="62"/>
      <c r="G45" s="76"/>
      <c r="H45" s="81">
        <f>SUM(I45)-1.1</f>
        <v>20.599999999999998</v>
      </c>
      <c r="I45" s="52">
        <f>SUM(J45)-1.1</f>
        <v>21.7</v>
      </c>
      <c r="J45" s="54">
        <v>22.8</v>
      </c>
      <c r="K45" s="52">
        <f>SUM(J45)+1.6</f>
        <v>24.400000000000002</v>
      </c>
      <c r="L45" s="52">
        <f>SUM(K45)+1.1</f>
        <v>25.500000000000004</v>
      </c>
      <c r="M45" s="230"/>
    </row>
    <row r="46" spans="1:13" ht="14.1" customHeight="1">
      <c r="A46" s="45"/>
      <c r="B46" s="121" t="s">
        <v>56</v>
      </c>
      <c r="C46" s="122"/>
      <c r="D46" s="123" t="s">
        <v>87</v>
      </c>
      <c r="E46" s="124"/>
      <c r="F46" s="124"/>
      <c r="G46" s="125"/>
      <c r="H46" s="61"/>
      <c r="I46" s="79"/>
      <c r="J46" s="83"/>
      <c r="K46" s="79"/>
      <c r="L46" s="79"/>
      <c r="M46" s="231"/>
    </row>
    <row r="47" spans="1:13" ht="14.1" customHeight="1">
      <c r="A47" s="109">
        <v>23</v>
      </c>
      <c r="B47" s="47" t="s">
        <v>17</v>
      </c>
      <c r="C47" s="48"/>
      <c r="D47" s="75" t="s">
        <v>13</v>
      </c>
      <c r="E47" s="62"/>
      <c r="F47" s="62"/>
      <c r="G47" s="76"/>
      <c r="H47" s="81">
        <f>SUM(I47)-1.3</f>
        <v>27.9</v>
      </c>
      <c r="I47" s="52">
        <f>SUM(J47)-1.3</f>
        <v>29.2</v>
      </c>
      <c r="J47" s="54">
        <v>30.5</v>
      </c>
      <c r="K47" s="52">
        <f>SUM(J47)+1.8</f>
        <v>32.299999999999997</v>
      </c>
      <c r="L47" s="52">
        <f>SUM(K47)+1.3</f>
        <v>33.599999999999994</v>
      </c>
      <c r="M47" s="230"/>
    </row>
    <row r="48" spans="1:13" ht="14.1" customHeight="1">
      <c r="A48" s="45"/>
      <c r="B48" s="121" t="s">
        <v>55</v>
      </c>
      <c r="C48" s="122"/>
      <c r="D48" s="123" t="s">
        <v>87</v>
      </c>
      <c r="E48" s="124"/>
      <c r="F48" s="124"/>
      <c r="G48" s="125"/>
      <c r="H48" s="61"/>
      <c r="I48" s="79"/>
      <c r="J48" s="83"/>
      <c r="K48" s="79"/>
      <c r="L48" s="79"/>
      <c r="M48" s="231"/>
    </row>
    <row r="49" spans="1:13" ht="14.1" customHeight="1">
      <c r="A49" s="109">
        <v>24</v>
      </c>
      <c r="B49" s="47" t="s">
        <v>18</v>
      </c>
      <c r="C49" s="48"/>
      <c r="D49" s="75" t="s">
        <v>19</v>
      </c>
      <c r="E49" s="62"/>
      <c r="F49" s="62"/>
      <c r="G49" s="76"/>
      <c r="H49" s="52">
        <f>SUM(I49)-2.7</f>
        <v>43.8</v>
      </c>
      <c r="I49" s="52">
        <f>SUM(J49)-2.7</f>
        <v>46.5</v>
      </c>
      <c r="J49" s="54">
        <v>49.2</v>
      </c>
      <c r="K49" s="52">
        <f>SUM(J49)+2.6</f>
        <v>51.800000000000004</v>
      </c>
      <c r="L49" s="52">
        <f>SUM(K49)+2.6</f>
        <v>54.400000000000006</v>
      </c>
      <c r="M49" s="64"/>
    </row>
    <row r="50" spans="1:13" ht="14.1" customHeight="1">
      <c r="A50" s="45"/>
      <c r="B50" s="121" t="s">
        <v>54</v>
      </c>
      <c r="C50" s="122"/>
      <c r="D50" s="123" t="s">
        <v>86</v>
      </c>
      <c r="E50" s="124"/>
      <c r="F50" s="124"/>
      <c r="G50" s="125"/>
      <c r="H50" s="79"/>
      <c r="I50" s="79"/>
      <c r="J50" s="83"/>
      <c r="K50" s="79"/>
      <c r="L50" s="79"/>
      <c r="M50" s="80"/>
    </row>
    <row r="51" spans="1:13" ht="14.1" customHeight="1">
      <c r="A51" s="109">
        <v>25</v>
      </c>
      <c r="B51" s="47" t="s">
        <v>20</v>
      </c>
      <c r="C51" s="48"/>
      <c r="D51" s="75" t="s">
        <v>21</v>
      </c>
      <c r="E51" s="62"/>
      <c r="F51" s="62"/>
      <c r="G51" s="76"/>
      <c r="H51" s="52">
        <f>SUM(I51)-6</f>
        <v>34.4</v>
      </c>
      <c r="I51" s="52">
        <f>SUM(J51)-6</f>
        <v>40.4</v>
      </c>
      <c r="J51" s="54">
        <v>46.4</v>
      </c>
      <c r="K51" s="52">
        <f>SUM(J51)+4.5</f>
        <v>50.9</v>
      </c>
      <c r="L51" s="52">
        <f>SUM(K51)+5</f>
        <v>55.9</v>
      </c>
      <c r="M51" s="64"/>
    </row>
    <row r="52" spans="1:13" ht="13.5" customHeight="1">
      <c r="A52" s="45"/>
      <c r="B52" s="121" t="s">
        <v>53</v>
      </c>
      <c r="C52" s="122"/>
      <c r="D52" s="123" t="s">
        <v>85</v>
      </c>
      <c r="E52" s="124"/>
      <c r="F52" s="124"/>
      <c r="G52" s="125"/>
      <c r="H52" s="79"/>
      <c r="I52" s="79"/>
      <c r="J52" s="83"/>
      <c r="K52" s="79"/>
      <c r="L52" s="79"/>
      <c r="M52" s="80"/>
    </row>
    <row r="53" spans="1:13" ht="14.1" customHeight="1">
      <c r="A53" s="109">
        <v>26</v>
      </c>
      <c r="B53" s="47" t="s">
        <v>84</v>
      </c>
      <c r="C53" s="48"/>
      <c r="D53" s="75" t="s">
        <v>82</v>
      </c>
      <c r="E53" s="62"/>
      <c r="F53" s="62"/>
      <c r="G53" s="76"/>
      <c r="H53" s="52">
        <f>SUM(I53)-1.9</f>
        <v>39.1</v>
      </c>
      <c r="I53" s="52">
        <f>SUM(J53)-1.9</f>
        <v>41</v>
      </c>
      <c r="J53" s="54">
        <v>42.9</v>
      </c>
      <c r="K53" s="52">
        <f>SUM(J53)+1.9</f>
        <v>44.8</v>
      </c>
      <c r="L53" s="52">
        <f t="shared" ref="L53" si="9">SUM(K53)+1.9</f>
        <v>46.699999999999996</v>
      </c>
      <c r="M53" s="64"/>
    </row>
    <row r="54" spans="1:13" ht="14.1" customHeight="1">
      <c r="A54" s="45"/>
      <c r="B54" s="121" t="s">
        <v>83</v>
      </c>
      <c r="C54" s="122"/>
      <c r="D54" s="123" t="s">
        <v>82</v>
      </c>
      <c r="E54" s="124"/>
      <c r="F54" s="124"/>
      <c r="G54" s="125"/>
      <c r="H54" s="79"/>
      <c r="I54" s="79"/>
      <c r="J54" s="83"/>
      <c r="K54" s="79"/>
      <c r="L54" s="79"/>
      <c r="M54" s="80"/>
    </row>
    <row r="55" spans="1:13" ht="14.1" customHeight="1">
      <c r="A55" s="109">
        <v>27</v>
      </c>
      <c r="B55" s="47" t="s">
        <v>81</v>
      </c>
      <c r="C55" s="48"/>
      <c r="D55" s="75" t="s">
        <v>80</v>
      </c>
      <c r="E55" s="62"/>
      <c r="F55" s="62"/>
      <c r="G55" s="76"/>
      <c r="H55" s="52">
        <f>SUM(I55)-3.2</f>
        <v>32.399999999999991</v>
      </c>
      <c r="I55" s="52">
        <f>SUM(J55)-3.2</f>
        <v>35.599999999999994</v>
      </c>
      <c r="J55" s="54">
        <v>38.799999999999997</v>
      </c>
      <c r="K55" s="52">
        <f>SUM(J55)+3.1</f>
        <v>41.9</v>
      </c>
      <c r="L55" s="52">
        <f>SUM(K55)+2.8</f>
        <v>44.699999999999996</v>
      </c>
      <c r="M55" s="64"/>
    </row>
    <row r="56" spans="1:13" ht="14.1" customHeight="1">
      <c r="A56" s="45"/>
      <c r="B56" s="121" t="s">
        <v>79</v>
      </c>
      <c r="C56" s="122"/>
      <c r="D56" s="123" t="s">
        <v>116</v>
      </c>
      <c r="E56" s="124"/>
      <c r="F56" s="124"/>
      <c r="G56" s="125"/>
      <c r="H56" s="79"/>
      <c r="I56" s="79"/>
      <c r="J56" s="83"/>
      <c r="K56" s="79"/>
      <c r="L56" s="79"/>
      <c r="M56" s="80"/>
    </row>
    <row r="57" spans="1:13" ht="14.1" customHeight="1">
      <c r="A57" s="109">
        <v>28</v>
      </c>
      <c r="B57" s="47" t="s">
        <v>101</v>
      </c>
      <c r="C57" s="48"/>
      <c r="D57" s="75" t="s">
        <v>22</v>
      </c>
      <c r="E57" s="62"/>
      <c r="F57" s="62"/>
      <c r="G57" s="76"/>
      <c r="H57" s="52">
        <f>SUM(I57)-0.2</f>
        <v>4.5</v>
      </c>
      <c r="I57" s="52">
        <f>SUM(J57)-0.2</f>
        <v>4.7</v>
      </c>
      <c r="J57" s="37">
        <v>4.9000000000000004</v>
      </c>
      <c r="K57" s="38">
        <f>SUM(J57)+0.2</f>
        <v>5.1000000000000005</v>
      </c>
      <c r="L57" s="38">
        <f t="shared" ref="L57" si="10">SUM(K57)+0.2</f>
        <v>5.3000000000000007</v>
      </c>
      <c r="M57" s="63"/>
    </row>
    <row r="58" spans="1:13" ht="14.1" customHeight="1">
      <c r="A58" s="45"/>
      <c r="B58" s="121" t="s">
        <v>52</v>
      </c>
      <c r="C58" s="122"/>
      <c r="D58" s="123" t="s">
        <v>100</v>
      </c>
      <c r="E58" s="124"/>
      <c r="F58" s="124"/>
      <c r="G58" s="125"/>
      <c r="H58" s="79"/>
      <c r="I58" s="79"/>
      <c r="J58" s="37"/>
      <c r="K58" s="38"/>
      <c r="L58" s="38"/>
      <c r="M58" s="63"/>
    </row>
    <row r="59" spans="1:13" ht="14.1" customHeight="1">
      <c r="A59" s="109">
        <v>28</v>
      </c>
      <c r="B59" s="47" t="s">
        <v>99</v>
      </c>
      <c r="C59" s="48"/>
      <c r="D59" s="75" t="s">
        <v>23</v>
      </c>
      <c r="E59" s="62"/>
      <c r="F59" s="62"/>
      <c r="G59" s="76"/>
      <c r="H59" s="52">
        <f>SUM(I59)-0.6</f>
        <v>9.6000000000000014</v>
      </c>
      <c r="I59" s="52">
        <f>SUM(J59)-0.6</f>
        <v>10.200000000000001</v>
      </c>
      <c r="J59" s="37">
        <v>10.8</v>
      </c>
      <c r="K59" s="38">
        <f>SUM(J59)+0.6</f>
        <v>11.4</v>
      </c>
      <c r="L59" s="38">
        <f t="shared" ref="L59" si="11">SUM(K59)+0.6</f>
        <v>12</v>
      </c>
      <c r="M59" s="63"/>
    </row>
    <row r="60" spans="1:13" ht="14.1" customHeight="1">
      <c r="A60" s="45"/>
      <c r="B60" s="121" t="s">
        <v>51</v>
      </c>
      <c r="C60" s="122"/>
      <c r="D60" s="123" t="s">
        <v>98</v>
      </c>
      <c r="E60" s="124"/>
      <c r="F60" s="124"/>
      <c r="G60" s="125"/>
      <c r="H60" s="79"/>
      <c r="I60" s="79"/>
      <c r="J60" s="37"/>
      <c r="K60" s="38"/>
      <c r="L60" s="38"/>
      <c r="M60" s="63"/>
    </row>
    <row r="61" spans="1:13" ht="14.1" customHeight="1">
      <c r="A61" s="109">
        <v>29</v>
      </c>
      <c r="B61" s="47" t="s">
        <v>97</v>
      </c>
      <c r="C61" s="48"/>
      <c r="D61" s="78"/>
      <c r="E61" s="78"/>
      <c r="F61" s="78"/>
      <c r="G61" s="78"/>
      <c r="H61" s="52">
        <f>SUM(I61)-0.5</f>
        <v>10</v>
      </c>
      <c r="I61" s="52">
        <f>SUM(J61)-0.5</f>
        <v>10.5</v>
      </c>
      <c r="J61" s="54">
        <v>11</v>
      </c>
      <c r="K61" s="52">
        <f>SUM(J61)+0.5</f>
        <v>11.5</v>
      </c>
      <c r="L61" s="52">
        <f>SUM(K61)+0.5</f>
        <v>12</v>
      </c>
      <c r="M61" s="64"/>
    </row>
    <row r="62" spans="1:13" ht="14.1" customHeight="1">
      <c r="A62" s="45"/>
      <c r="B62" s="40" t="s">
        <v>96</v>
      </c>
      <c r="C62" s="41"/>
      <c r="D62" s="42"/>
      <c r="E62" s="43"/>
      <c r="F62" s="43"/>
      <c r="G62" s="44"/>
      <c r="H62" s="79"/>
      <c r="I62" s="79"/>
      <c r="J62" s="83"/>
      <c r="K62" s="79"/>
      <c r="L62" s="79"/>
      <c r="M62" s="80"/>
    </row>
    <row r="63" spans="1:13" ht="14.1" customHeight="1">
      <c r="A63" s="109">
        <v>30</v>
      </c>
      <c r="B63" s="47" t="s">
        <v>95</v>
      </c>
      <c r="C63" s="48"/>
      <c r="D63" s="78"/>
      <c r="E63" s="78"/>
      <c r="F63" s="78"/>
      <c r="G63" s="78"/>
      <c r="H63" s="52">
        <f>SUM(I63)-0.5</f>
        <v>10</v>
      </c>
      <c r="I63" s="52">
        <f>SUM(J63)-0.5</f>
        <v>10.5</v>
      </c>
      <c r="J63" s="54">
        <v>11</v>
      </c>
      <c r="K63" s="52">
        <f>SUM(J63)+0.5</f>
        <v>11.5</v>
      </c>
      <c r="L63" s="52">
        <f>SUM(K63)+0.5</f>
        <v>12</v>
      </c>
      <c r="M63" s="64"/>
    </row>
    <row r="64" spans="1:13" ht="14.1" customHeight="1">
      <c r="A64" s="45"/>
      <c r="B64" s="65" t="s">
        <v>94</v>
      </c>
      <c r="C64" s="65"/>
      <c r="D64" s="58"/>
      <c r="E64" s="59"/>
      <c r="F64" s="59"/>
      <c r="G64" s="60"/>
      <c r="H64" s="53"/>
      <c r="I64" s="53"/>
      <c r="J64" s="134"/>
      <c r="K64" s="53"/>
      <c r="L64" s="53"/>
      <c r="M64" s="135"/>
    </row>
    <row r="65" spans="1:14" ht="14.1" customHeight="1">
      <c r="A65" s="109">
        <v>31</v>
      </c>
      <c r="B65" s="47" t="s">
        <v>172</v>
      </c>
      <c r="C65" s="48"/>
      <c r="D65" s="78" t="s">
        <v>552</v>
      </c>
      <c r="E65" s="78"/>
      <c r="F65" s="78"/>
      <c r="G65" s="78"/>
      <c r="H65" s="52">
        <f>SUM(I65)</f>
        <v>36</v>
      </c>
      <c r="I65" s="52">
        <f>SUM(J65)</f>
        <v>36</v>
      </c>
      <c r="J65" s="54">
        <v>36</v>
      </c>
      <c r="K65" s="52">
        <f>SUM(J65)</f>
        <v>36</v>
      </c>
      <c r="L65" s="52">
        <f>SUM(K65)</f>
        <v>36</v>
      </c>
      <c r="M65" s="64"/>
    </row>
    <row r="66" spans="1:14" ht="14.1" customHeight="1">
      <c r="A66" s="45"/>
      <c r="B66" s="65" t="s">
        <v>173</v>
      </c>
      <c r="C66" s="65"/>
      <c r="D66" s="58" t="s">
        <v>144</v>
      </c>
      <c r="E66" s="59"/>
      <c r="F66" s="59"/>
      <c r="G66" s="60"/>
      <c r="H66" s="79"/>
      <c r="I66" s="79"/>
      <c r="J66" s="83"/>
      <c r="K66" s="79"/>
      <c r="L66" s="79"/>
      <c r="M66" s="80"/>
    </row>
    <row r="67" spans="1:14" ht="14.1" customHeight="1">
      <c r="A67" s="109">
        <v>32</v>
      </c>
      <c r="B67" s="47" t="s">
        <v>120</v>
      </c>
      <c r="C67" s="48"/>
      <c r="D67" s="75"/>
      <c r="E67" s="62"/>
      <c r="F67" s="62"/>
      <c r="G67" s="76"/>
      <c r="H67" s="52">
        <f>SUM(I67)-0.5</f>
        <v>3.4000000000000004</v>
      </c>
      <c r="I67" s="52">
        <f>SUM(J67)-0.5</f>
        <v>3.9000000000000004</v>
      </c>
      <c r="J67" s="54">
        <v>4.4000000000000004</v>
      </c>
      <c r="K67" s="52">
        <f>SUM(J67)+0.4</f>
        <v>4.8000000000000007</v>
      </c>
      <c r="L67" s="52">
        <f t="shared" ref="L67" si="12">SUM(K67)+0.4</f>
        <v>5.2000000000000011</v>
      </c>
      <c r="M67" s="64"/>
    </row>
    <row r="68" spans="1:14" ht="14.1" customHeight="1" thickBot="1">
      <c r="A68" s="74"/>
      <c r="B68" s="178" t="s">
        <v>128</v>
      </c>
      <c r="C68" s="179"/>
      <c r="D68" s="71" t="s">
        <v>482</v>
      </c>
      <c r="E68" s="72"/>
      <c r="F68" s="72"/>
      <c r="G68" s="73"/>
      <c r="H68" s="77"/>
      <c r="I68" s="77"/>
      <c r="J68" s="144"/>
      <c r="K68" s="77"/>
      <c r="L68" s="77"/>
      <c r="M68" s="141"/>
    </row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6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D60:G60"/>
    <mergeCell ref="J59:J60"/>
    <mergeCell ref="A67:A68"/>
    <mergeCell ref="B67:C67"/>
    <mergeCell ref="D67:G67"/>
    <mergeCell ref="H67:H68"/>
    <mergeCell ref="I67:I68"/>
    <mergeCell ref="A63:A64"/>
    <mergeCell ref="B63:C63"/>
    <mergeCell ref="D63:G63"/>
    <mergeCell ref="H63:H64"/>
    <mergeCell ref="I63:I64"/>
    <mergeCell ref="A65:A66"/>
    <mergeCell ref="J67:J68"/>
    <mergeCell ref="K67:K68"/>
    <mergeCell ref="L67:L68"/>
    <mergeCell ref="M67:M68"/>
    <mergeCell ref="B68:C68"/>
    <mergeCell ref="D68:G68"/>
    <mergeCell ref="K63:K64"/>
    <mergeCell ref="L63:L64"/>
    <mergeCell ref="M63:M64"/>
    <mergeCell ref="B64:C64"/>
    <mergeCell ref="D64:G64"/>
    <mergeCell ref="J63:J64"/>
    <mergeCell ref="B65:C65"/>
    <mergeCell ref="D65:G65"/>
    <mergeCell ref="H65:H66"/>
    <mergeCell ref="I65:I66"/>
    <mergeCell ref="J65:J66"/>
    <mergeCell ref="K65:K66"/>
    <mergeCell ref="L65:L66"/>
    <mergeCell ref="M65:M66"/>
    <mergeCell ref="B66:C66"/>
    <mergeCell ref="D66:G66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ED6-851E-4FE6-8774-F87B16202B6A}">
  <sheetPr>
    <tabColor theme="8"/>
    <pageSetUpPr fitToPage="1"/>
  </sheetPr>
  <dimension ref="A1:N57"/>
  <sheetViews>
    <sheetView zoomScale="110" zoomScaleNormal="110" workbookViewId="0">
      <selection activeCell="V38" sqref="V3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192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3" t="s">
        <v>60</v>
      </c>
      <c r="I2" s="3" t="s">
        <v>61</v>
      </c>
      <c r="J2" s="7" t="s">
        <v>62</v>
      </c>
      <c r="K2" s="3" t="s">
        <v>63</v>
      </c>
      <c r="L2" s="3" t="s">
        <v>131</v>
      </c>
      <c r="M2" s="14" t="s">
        <v>130</v>
      </c>
      <c r="N2" s="3" t="s">
        <v>145</v>
      </c>
    </row>
    <row r="3" spans="1:14" s="1" customFormat="1" ht="14.1" customHeight="1">
      <c r="A3" s="168">
        <v>1</v>
      </c>
      <c r="B3" s="110" t="s">
        <v>106</v>
      </c>
      <c r="C3" s="111"/>
      <c r="D3" s="252" t="s">
        <v>68</v>
      </c>
      <c r="E3" s="253"/>
      <c r="F3" s="253"/>
      <c r="G3" s="254"/>
      <c r="H3" s="115">
        <f>SUM(I3)-3</f>
        <v>47</v>
      </c>
      <c r="I3" s="115">
        <f>SUM(J3)-3</f>
        <v>50</v>
      </c>
      <c r="J3" s="116">
        <v>53</v>
      </c>
      <c r="K3" s="115">
        <f>SUM(J3)+3</f>
        <v>56</v>
      </c>
      <c r="L3" s="115">
        <f t="shared" ref="L3:M3" si="0">SUM(K3)+3</f>
        <v>59</v>
      </c>
      <c r="M3" s="115">
        <f t="shared" si="0"/>
        <v>62</v>
      </c>
      <c r="N3" s="120">
        <f t="shared" ref="N3" si="1">SUM(M3)+3</f>
        <v>65</v>
      </c>
    </row>
    <row r="4" spans="1:14" s="1" customFormat="1" ht="14.1" customHeight="1">
      <c r="A4" s="169"/>
      <c r="B4" s="121" t="s">
        <v>77</v>
      </c>
      <c r="C4" s="122"/>
      <c r="D4" s="159" t="s">
        <v>69</v>
      </c>
      <c r="E4" s="160"/>
      <c r="F4" s="160"/>
      <c r="G4" s="161"/>
      <c r="H4" s="79"/>
      <c r="I4" s="79"/>
      <c r="J4" s="83"/>
      <c r="K4" s="79"/>
      <c r="L4" s="79"/>
      <c r="M4" s="79"/>
      <c r="N4" s="80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>
        <f>SUM(I5)-1.2</f>
        <v>17.600000000000001</v>
      </c>
      <c r="I5" s="52">
        <f>SUM(J5)-1.2</f>
        <v>18.8</v>
      </c>
      <c r="J5" s="54">
        <v>20</v>
      </c>
      <c r="K5" s="52">
        <f>SUM(J5)+1.2</f>
        <v>21.2</v>
      </c>
      <c r="L5" s="52">
        <f t="shared" ref="L5:M5" si="2">SUM(K5)+1.2</f>
        <v>22.4</v>
      </c>
      <c r="M5" s="52">
        <f t="shared" si="2"/>
        <v>23.599999999999998</v>
      </c>
      <c r="N5" s="64">
        <f t="shared" ref="N5" si="3">SUM(M5)+1.2</f>
        <v>24.799999999999997</v>
      </c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>
        <f>SUM(I7)-1.8</f>
        <v>29.4</v>
      </c>
      <c r="I7" s="52">
        <f>SUM(J7)-1.8</f>
        <v>31.2</v>
      </c>
      <c r="J7" s="54">
        <v>33</v>
      </c>
      <c r="K7" s="52">
        <f>SUM(J7)+1.8</f>
        <v>34.799999999999997</v>
      </c>
      <c r="L7" s="52">
        <f t="shared" ref="L7:M7" si="4">SUM(K7)+1.8</f>
        <v>36.599999999999994</v>
      </c>
      <c r="M7" s="52">
        <f t="shared" si="4"/>
        <v>38.399999999999991</v>
      </c>
      <c r="N7" s="64">
        <f t="shared" ref="N7" si="5">SUM(M7)+1.8</f>
        <v>40.199999999999989</v>
      </c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>
        <f>SUM(I9)-1.8</f>
        <v>33.400000000000006</v>
      </c>
      <c r="I9" s="52">
        <f>SUM(J9)-1.8</f>
        <v>35.200000000000003</v>
      </c>
      <c r="J9" s="54">
        <v>37</v>
      </c>
      <c r="K9" s="52">
        <f>SUM(J9)+1.8</f>
        <v>38.799999999999997</v>
      </c>
      <c r="L9" s="52">
        <f t="shared" ref="L9:M9" si="6">SUM(K9)+1.8</f>
        <v>40.599999999999994</v>
      </c>
      <c r="M9" s="52">
        <f t="shared" si="6"/>
        <v>42.399999999999991</v>
      </c>
      <c r="N9" s="64">
        <f t="shared" ref="N9" si="7">SUM(M9)+1.8</f>
        <v>44.199999999999989</v>
      </c>
    </row>
    <row r="10" spans="1:14" s="1" customFormat="1" ht="14.1" customHeight="1">
      <c r="A10" s="119"/>
      <c r="B10" s="121" t="s">
        <v>118</v>
      </c>
      <c r="C10" s="122"/>
      <c r="D10" s="159" t="s">
        <v>193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109</v>
      </c>
      <c r="C11" s="48"/>
      <c r="D11" s="75"/>
      <c r="E11" s="62"/>
      <c r="F11" s="62"/>
      <c r="G11" s="76"/>
      <c r="H11" s="81">
        <f>SUM(I11)-4.5</f>
        <v>66.8</v>
      </c>
      <c r="I11" s="52">
        <f>SUM(J11)-4.5</f>
        <v>71.3</v>
      </c>
      <c r="J11" s="54">
        <v>75.8</v>
      </c>
      <c r="K11" s="52">
        <f>SUM(J11)+4.5</f>
        <v>80.3</v>
      </c>
      <c r="L11" s="52">
        <f t="shared" ref="L11:M11" si="8">SUM(K11)+4.5</f>
        <v>84.8</v>
      </c>
      <c r="M11" s="52">
        <f t="shared" si="8"/>
        <v>89.3</v>
      </c>
      <c r="N11" s="64">
        <f t="shared" ref="N11" si="9">SUM(M11)+4.5</f>
        <v>93.8</v>
      </c>
    </row>
    <row r="12" spans="1:14" s="1" customFormat="1" ht="14.1" customHeight="1">
      <c r="A12" s="119"/>
      <c r="B12" s="121" t="s">
        <v>108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80"/>
    </row>
    <row r="13" spans="1:14" s="1" customFormat="1" ht="14.1" customHeight="1">
      <c r="A13" s="129">
        <v>6</v>
      </c>
      <c r="B13" s="47" t="s">
        <v>140</v>
      </c>
      <c r="C13" s="48"/>
      <c r="D13" s="150" t="s">
        <v>70</v>
      </c>
      <c r="E13" s="151"/>
      <c r="F13" s="151"/>
      <c r="G13" s="152"/>
      <c r="H13" s="81">
        <f>SUM(I13)-2.5</f>
        <v>25</v>
      </c>
      <c r="I13" s="52">
        <f>SUM(J13)-2.5</f>
        <v>27.5</v>
      </c>
      <c r="J13" s="54">
        <v>30</v>
      </c>
      <c r="K13" s="52">
        <f>SUM(J13)+2.5</f>
        <v>32.5</v>
      </c>
      <c r="L13" s="52">
        <f t="shared" ref="L13:M13" si="10">SUM(K13)+2.5</f>
        <v>35</v>
      </c>
      <c r="M13" s="52">
        <f t="shared" si="10"/>
        <v>37.5</v>
      </c>
      <c r="N13" s="64">
        <f t="shared" ref="N13" si="11">SUM(M13)+2.5</f>
        <v>40</v>
      </c>
    </row>
    <row r="14" spans="1:14" s="1" customFormat="1" ht="14.1" customHeight="1">
      <c r="A14" s="119"/>
      <c r="B14" s="121" t="s">
        <v>139</v>
      </c>
      <c r="C14" s="122"/>
      <c r="D14" s="159" t="s">
        <v>107</v>
      </c>
      <c r="E14" s="160"/>
      <c r="F14" s="160"/>
      <c r="G14" s="161"/>
      <c r="H14" s="61"/>
      <c r="I14" s="79"/>
      <c r="J14" s="83"/>
      <c r="K14" s="79"/>
      <c r="L14" s="79"/>
      <c r="M14" s="79"/>
      <c r="N14" s="80"/>
    </row>
    <row r="15" spans="1:14" s="1" customFormat="1" ht="14.1" customHeight="1">
      <c r="A15" s="46">
        <v>7</v>
      </c>
      <c r="B15" s="47"/>
      <c r="C15" s="48"/>
      <c r="D15" s="150"/>
      <c r="E15" s="151"/>
      <c r="F15" s="151"/>
      <c r="G15" s="152"/>
      <c r="H15" s="52"/>
      <c r="I15" s="52"/>
      <c r="J15" s="54"/>
      <c r="K15" s="52"/>
      <c r="L15" s="52"/>
      <c r="M15" s="52"/>
      <c r="N15" s="64"/>
    </row>
    <row r="16" spans="1:14" s="1" customFormat="1" ht="14.1" customHeight="1" thickBot="1">
      <c r="A16" s="248"/>
      <c r="B16" s="242"/>
      <c r="C16" s="243"/>
      <c r="D16" s="244"/>
      <c r="E16" s="245"/>
      <c r="F16" s="245"/>
      <c r="G16" s="246"/>
      <c r="H16" s="97"/>
      <c r="I16" s="97"/>
      <c r="J16" s="247"/>
      <c r="K16" s="97"/>
      <c r="L16" s="97"/>
      <c r="M16" s="97"/>
      <c r="N16" s="241"/>
    </row>
    <row r="17" spans="1:14" s="1" customFormat="1" ht="14.1" customHeight="1" thickTop="1">
      <c r="A17" s="186">
        <v>8</v>
      </c>
      <c r="B17" s="56" t="s">
        <v>11</v>
      </c>
      <c r="C17" s="57"/>
      <c r="D17" s="58" t="s">
        <v>12</v>
      </c>
      <c r="E17" s="59"/>
      <c r="F17" s="59"/>
      <c r="G17" s="60"/>
      <c r="H17" s="65">
        <f>SUM(I17)-3.2</f>
        <v>53.599999999999994</v>
      </c>
      <c r="I17" s="53">
        <f>SUM(J17)-3.2</f>
        <v>56.8</v>
      </c>
      <c r="J17" s="134">
        <v>60</v>
      </c>
      <c r="K17" s="53">
        <f>SUM(J17)+3.2</f>
        <v>63.2</v>
      </c>
      <c r="L17" s="53">
        <f>SUM(K17)+3.2</f>
        <v>66.400000000000006</v>
      </c>
      <c r="M17" s="53">
        <f t="shared" ref="M17:N17" si="12">SUM(L17)+3.2</f>
        <v>69.600000000000009</v>
      </c>
      <c r="N17" s="135">
        <f t="shared" si="12"/>
        <v>72.800000000000011</v>
      </c>
    </row>
    <row r="18" spans="1:14" s="1" customFormat="1" ht="14.1" customHeight="1">
      <c r="A18" s="109"/>
      <c r="B18" s="121" t="s">
        <v>48</v>
      </c>
      <c r="C18" s="122"/>
      <c r="D18" s="123" t="s">
        <v>90</v>
      </c>
      <c r="E18" s="124"/>
      <c r="F18" s="124"/>
      <c r="G18" s="125"/>
      <c r="H18" s="61"/>
      <c r="I18" s="79"/>
      <c r="J18" s="83"/>
      <c r="K18" s="79"/>
      <c r="L18" s="79"/>
      <c r="M18" s="79"/>
      <c r="N18" s="80"/>
    </row>
    <row r="19" spans="1:14" s="1" customFormat="1" ht="14.1" customHeight="1">
      <c r="A19" s="46">
        <v>9</v>
      </c>
      <c r="B19" s="47" t="s">
        <v>103</v>
      </c>
      <c r="C19" s="48"/>
      <c r="D19" s="75"/>
      <c r="E19" s="62"/>
      <c r="F19" s="62"/>
      <c r="G19" s="76"/>
      <c r="H19" s="81">
        <f>SUM(I19)-0.7</f>
        <v>12.3</v>
      </c>
      <c r="I19" s="52">
        <f>SUM(J19)-0.7</f>
        <v>13</v>
      </c>
      <c r="J19" s="54">
        <v>13.7</v>
      </c>
      <c r="K19" s="52">
        <f>SUM(J19)+1.2</f>
        <v>14.899999999999999</v>
      </c>
      <c r="L19" s="52">
        <f>SUM(K19)+0.7</f>
        <v>15.599999999999998</v>
      </c>
      <c r="M19" s="52">
        <f t="shared" ref="M19:N19" si="13">SUM(L19)+0.7</f>
        <v>16.299999999999997</v>
      </c>
      <c r="N19" s="64">
        <f t="shared" si="13"/>
        <v>16.999999999999996</v>
      </c>
    </row>
    <row r="20" spans="1:14" s="1" customFormat="1" ht="14.1" customHeight="1">
      <c r="A20" s="109"/>
      <c r="B20" s="121" t="s">
        <v>102</v>
      </c>
      <c r="C20" s="122"/>
      <c r="D20" s="126" t="s">
        <v>115</v>
      </c>
      <c r="E20" s="127"/>
      <c r="F20" s="127"/>
      <c r="G20" s="128"/>
      <c r="H20" s="61"/>
      <c r="I20" s="79"/>
      <c r="J20" s="83"/>
      <c r="K20" s="79"/>
      <c r="L20" s="79"/>
      <c r="M20" s="79"/>
      <c r="N20" s="80"/>
    </row>
    <row r="21" spans="1:14" s="1" customFormat="1" ht="14.1" customHeight="1">
      <c r="A21" s="46">
        <v>10</v>
      </c>
      <c r="B21" s="47" t="s">
        <v>9</v>
      </c>
      <c r="C21" s="48"/>
      <c r="D21" s="75" t="s">
        <v>70</v>
      </c>
      <c r="E21" s="62"/>
      <c r="F21" s="62"/>
      <c r="G21" s="76"/>
      <c r="H21" s="81">
        <f>SUM(I21)-1.5</f>
        <v>21.7</v>
      </c>
      <c r="I21" s="52">
        <f>SUM(J21)-1.5</f>
        <v>23.2</v>
      </c>
      <c r="J21" s="54">
        <v>24.7</v>
      </c>
      <c r="K21" s="52">
        <f>SUM(J21)+1.5</f>
        <v>26.2</v>
      </c>
      <c r="L21" s="52">
        <f>SUM(K21)+1.5</f>
        <v>27.7</v>
      </c>
      <c r="M21" s="52">
        <f t="shared" ref="M21:N21" si="14">SUM(L21)+1.5</f>
        <v>29.2</v>
      </c>
      <c r="N21" s="64">
        <f t="shared" si="14"/>
        <v>30.7</v>
      </c>
    </row>
    <row r="22" spans="1:14" ht="14.1" customHeight="1">
      <c r="A22" s="109"/>
      <c r="B22" s="121" t="s">
        <v>49</v>
      </c>
      <c r="C22" s="122"/>
      <c r="D22" s="123" t="s">
        <v>89</v>
      </c>
      <c r="E22" s="124"/>
      <c r="F22" s="124"/>
      <c r="G22" s="125"/>
      <c r="H22" s="61"/>
      <c r="I22" s="79"/>
      <c r="J22" s="83"/>
      <c r="K22" s="79"/>
      <c r="L22" s="79"/>
      <c r="M22" s="79"/>
      <c r="N22" s="80"/>
    </row>
    <row r="23" spans="1:14" ht="14.1" customHeight="1">
      <c r="A23" s="46">
        <v>11</v>
      </c>
      <c r="B23" s="47" t="s">
        <v>14</v>
      </c>
      <c r="C23" s="48"/>
      <c r="D23" s="75" t="s">
        <v>15</v>
      </c>
      <c r="E23" s="62"/>
      <c r="F23" s="62"/>
      <c r="G23" s="76"/>
      <c r="H23" s="81">
        <f>SUM(I23)-1.8</f>
        <v>31.400000000000002</v>
      </c>
      <c r="I23" s="52">
        <f>SUM(J23)-1.8</f>
        <v>33.200000000000003</v>
      </c>
      <c r="J23" s="54">
        <v>35</v>
      </c>
      <c r="K23" s="52">
        <f>SUM(J23)+1.8</f>
        <v>36.799999999999997</v>
      </c>
      <c r="L23" s="52">
        <f>SUM(K23)+1.8</f>
        <v>38.599999999999994</v>
      </c>
      <c r="M23" s="52">
        <f t="shared" ref="M23:N23" si="15">SUM(L23)+1.8</f>
        <v>40.399999999999991</v>
      </c>
      <c r="N23" s="64">
        <f t="shared" si="15"/>
        <v>42.199999999999989</v>
      </c>
    </row>
    <row r="24" spans="1:14" ht="14.1" customHeight="1">
      <c r="A24" s="109"/>
      <c r="B24" s="121" t="s">
        <v>50</v>
      </c>
      <c r="C24" s="122"/>
      <c r="D24" s="42" t="s">
        <v>88</v>
      </c>
      <c r="E24" s="43"/>
      <c r="F24" s="43"/>
      <c r="G24" s="44"/>
      <c r="H24" s="61"/>
      <c r="I24" s="79"/>
      <c r="J24" s="83"/>
      <c r="K24" s="79"/>
      <c r="L24" s="79"/>
      <c r="M24" s="79"/>
      <c r="N24" s="80"/>
    </row>
    <row r="25" spans="1:14" ht="14.1" customHeight="1">
      <c r="A25" s="46">
        <v>12</v>
      </c>
      <c r="B25" s="47" t="s">
        <v>16</v>
      </c>
      <c r="C25" s="48"/>
      <c r="D25" s="75" t="s">
        <v>13</v>
      </c>
      <c r="E25" s="62"/>
      <c r="F25" s="62"/>
      <c r="G25" s="76"/>
      <c r="H25" s="81">
        <f>SUM(I25)-1</f>
        <v>20.100000000000001</v>
      </c>
      <c r="I25" s="52">
        <f>SUM(J25)-1</f>
        <v>21.1</v>
      </c>
      <c r="J25" s="54">
        <v>22.1</v>
      </c>
      <c r="K25" s="52">
        <f>SUM(J25)+1.5</f>
        <v>23.6</v>
      </c>
      <c r="L25" s="52">
        <f>SUM(K25)+1</f>
        <v>24.6</v>
      </c>
      <c r="M25" s="52">
        <f t="shared" ref="M25:N25" si="16">SUM(L25)+1</f>
        <v>25.6</v>
      </c>
      <c r="N25" s="64">
        <f t="shared" si="16"/>
        <v>26.6</v>
      </c>
    </row>
    <row r="26" spans="1:14" ht="14.1" customHeight="1">
      <c r="A26" s="109"/>
      <c r="B26" s="121" t="s">
        <v>56</v>
      </c>
      <c r="C26" s="122"/>
      <c r="D26" s="123" t="s">
        <v>87</v>
      </c>
      <c r="E26" s="124"/>
      <c r="F26" s="124"/>
      <c r="G26" s="125"/>
      <c r="H26" s="61"/>
      <c r="I26" s="79"/>
      <c r="J26" s="83"/>
      <c r="K26" s="79"/>
      <c r="L26" s="79"/>
      <c r="M26" s="79"/>
      <c r="N26" s="80"/>
    </row>
    <row r="27" spans="1:14" ht="14.1" customHeight="1">
      <c r="A27" s="46">
        <v>13</v>
      </c>
      <c r="B27" s="47" t="s">
        <v>17</v>
      </c>
      <c r="C27" s="48"/>
      <c r="D27" s="75" t="s">
        <v>13</v>
      </c>
      <c r="E27" s="62"/>
      <c r="F27" s="62"/>
      <c r="G27" s="76"/>
      <c r="H27" s="81">
        <f>SUM(I27)-1.2</f>
        <v>22.400000000000002</v>
      </c>
      <c r="I27" s="52">
        <f>SUM(J27)-1.2</f>
        <v>23.6</v>
      </c>
      <c r="J27" s="54">
        <v>24.8</v>
      </c>
      <c r="K27" s="52">
        <f>SUM(J27)+1.7</f>
        <v>26.5</v>
      </c>
      <c r="L27" s="52">
        <f>SUM(K27)+1.2</f>
        <v>27.7</v>
      </c>
      <c r="M27" s="52">
        <f t="shared" ref="M27:N27" si="17">SUM(L27)+1.2</f>
        <v>28.9</v>
      </c>
      <c r="N27" s="64">
        <f t="shared" si="17"/>
        <v>30.099999999999998</v>
      </c>
    </row>
    <row r="28" spans="1:14" ht="14.1" customHeight="1">
      <c r="A28" s="109"/>
      <c r="B28" s="121" t="s">
        <v>55</v>
      </c>
      <c r="C28" s="122"/>
      <c r="D28" s="123" t="s">
        <v>87</v>
      </c>
      <c r="E28" s="124"/>
      <c r="F28" s="124"/>
      <c r="G28" s="125"/>
      <c r="H28" s="61"/>
      <c r="I28" s="79"/>
      <c r="J28" s="83"/>
      <c r="K28" s="79"/>
      <c r="L28" s="79"/>
      <c r="M28" s="79"/>
      <c r="N28" s="80"/>
    </row>
    <row r="29" spans="1:14" ht="14.1" customHeight="1">
      <c r="A29" s="46">
        <v>14</v>
      </c>
      <c r="B29" s="47" t="s">
        <v>18</v>
      </c>
      <c r="C29" s="48"/>
      <c r="D29" s="75" t="s">
        <v>19</v>
      </c>
      <c r="E29" s="62"/>
      <c r="F29" s="62"/>
      <c r="G29" s="76"/>
      <c r="H29" s="81"/>
      <c r="I29" s="52"/>
      <c r="J29" s="54"/>
      <c r="K29" s="52"/>
      <c r="L29" s="52"/>
      <c r="M29" s="52"/>
      <c r="N29" s="64"/>
    </row>
    <row r="30" spans="1:14" ht="14.1" customHeight="1">
      <c r="A30" s="109"/>
      <c r="B30" s="121" t="s">
        <v>54</v>
      </c>
      <c r="C30" s="122"/>
      <c r="D30" s="123" t="s">
        <v>86</v>
      </c>
      <c r="E30" s="124"/>
      <c r="F30" s="124"/>
      <c r="G30" s="125"/>
      <c r="H30" s="61"/>
      <c r="I30" s="79"/>
      <c r="J30" s="83"/>
      <c r="K30" s="79"/>
      <c r="L30" s="79"/>
      <c r="M30" s="79"/>
      <c r="N30" s="80"/>
    </row>
    <row r="31" spans="1:14" ht="14.1" customHeight="1">
      <c r="A31" s="46">
        <v>15</v>
      </c>
      <c r="B31" s="47" t="s">
        <v>20</v>
      </c>
      <c r="C31" s="48"/>
      <c r="D31" s="75" t="s">
        <v>21</v>
      </c>
      <c r="E31" s="62"/>
      <c r="F31" s="62"/>
      <c r="G31" s="76"/>
      <c r="H31" s="81"/>
      <c r="I31" s="52"/>
      <c r="J31" s="54"/>
      <c r="K31" s="52"/>
      <c r="L31" s="52"/>
      <c r="M31" s="52"/>
      <c r="N31" s="64"/>
    </row>
    <row r="32" spans="1:14" ht="14.1" customHeight="1">
      <c r="A32" s="109"/>
      <c r="B32" s="121" t="s">
        <v>53</v>
      </c>
      <c r="C32" s="122"/>
      <c r="D32" s="123" t="s">
        <v>85</v>
      </c>
      <c r="E32" s="124"/>
      <c r="F32" s="124"/>
      <c r="G32" s="125"/>
      <c r="H32" s="61"/>
      <c r="I32" s="79"/>
      <c r="J32" s="83"/>
      <c r="K32" s="79"/>
      <c r="L32" s="79"/>
      <c r="M32" s="79"/>
      <c r="N32" s="80"/>
    </row>
    <row r="33" spans="1:14" ht="14.1" customHeight="1">
      <c r="A33" s="46">
        <v>16</v>
      </c>
      <c r="B33" s="47" t="s">
        <v>84</v>
      </c>
      <c r="C33" s="48"/>
      <c r="D33" s="75" t="s">
        <v>82</v>
      </c>
      <c r="E33" s="62"/>
      <c r="F33" s="62"/>
      <c r="G33" s="76"/>
      <c r="H33" s="81"/>
      <c r="I33" s="52"/>
      <c r="J33" s="54"/>
      <c r="K33" s="52"/>
      <c r="L33" s="52"/>
      <c r="M33" s="52"/>
      <c r="N33" s="64"/>
    </row>
    <row r="34" spans="1:14" ht="14.1" customHeight="1">
      <c r="A34" s="109"/>
      <c r="B34" s="121" t="s">
        <v>83</v>
      </c>
      <c r="C34" s="122"/>
      <c r="D34" s="123" t="s">
        <v>82</v>
      </c>
      <c r="E34" s="124"/>
      <c r="F34" s="124"/>
      <c r="G34" s="125"/>
      <c r="H34" s="61"/>
      <c r="I34" s="79"/>
      <c r="J34" s="83"/>
      <c r="K34" s="79"/>
      <c r="L34" s="79"/>
      <c r="M34" s="79"/>
      <c r="N34" s="80"/>
    </row>
    <row r="35" spans="1:14" ht="14.1" customHeight="1">
      <c r="A35" s="46">
        <v>17</v>
      </c>
      <c r="B35" s="47" t="s">
        <v>81</v>
      </c>
      <c r="C35" s="48"/>
      <c r="D35" s="75" t="s">
        <v>80</v>
      </c>
      <c r="E35" s="62"/>
      <c r="F35" s="62"/>
      <c r="G35" s="76"/>
      <c r="H35" s="81"/>
      <c r="I35" s="52"/>
      <c r="J35" s="54"/>
      <c r="K35" s="52"/>
      <c r="L35" s="52"/>
      <c r="M35" s="52"/>
      <c r="N35" s="64"/>
    </row>
    <row r="36" spans="1:14" ht="14.1" customHeight="1" thickBot="1">
      <c r="A36" s="187"/>
      <c r="B36" s="69" t="s">
        <v>79</v>
      </c>
      <c r="C36" s="70"/>
      <c r="D36" s="71" t="s">
        <v>78</v>
      </c>
      <c r="E36" s="72"/>
      <c r="F36" s="72"/>
      <c r="G36" s="73"/>
      <c r="H36" s="190"/>
      <c r="I36" s="77"/>
      <c r="J36" s="144"/>
      <c r="K36" s="77"/>
      <c r="L36" s="77"/>
      <c r="M36" s="77"/>
      <c r="N36" s="141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B6:C6"/>
    <mergeCell ref="D6:G6"/>
    <mergeCell ref="B8:C8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D8:G8"/>
    <mergeCell ref="D15:G15"/>
    <mergeCell ref="H15:H16"/>
    <mergeCell ref="I15:I16"/>
    <mergeCell ref="L3:L4"/>
    <mergeCell ref="M3:M4"/>
    <mergeCell ref="B4:C4"/>
    <mergeCell ref="D4:G4"/>
    <mergeCell ref="A11:A12"/>
    <mergeCell ref="B11:C11"/>
    <mergeCell ref="D11:G11"/>
    <mergeCell ref="H11:H12"/>
    <mergeCell ref="I11:I12"/>
    <mergeCell ref="J11:J12"/>
    <mergeCell ref="B12:C12"/>
    <mergeCell ref="D12:G12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A13:A14"/>
    <mergeCell ref="B13:C13"/>
    <mergeCell ref="D13:G13"/>
    <mergeCell ref="H13:H14"/>
    <mergeCell ref="I13:I14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  <mergeCell ref="J29:J30"/>
    <mergeCell ref="K29:K30"/>
    <mergeCell ref="L29:L30"/>
    <mergeCell ref="M29:M30"/>
    <mergeCell ref="K7:K8"/>
    <mergeCell ref="L7:L8"/>
    <mergeCell ref="M7:M8"/>
    <mergeCell ref="J7:J8"/>
    <mergeCell ref="J25:J26"/>
    <mergeCell ref="K25:K26"/>
    <mergeCell ref="L25:L26"/>
    <mergeCell ref="M25:M26"/>
    <mergeCell ref="J21:J22"/>
    <mergeCell ref="K21:K22"/>
    <mergeCell ref="L21:L22"/>
    <mergeCell ref="M21:M2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N27:N28"/>
    <mergeCell ref="N29:N30"/>
    <mergeCell ref="N31:N32"/>
    <mergeCell ref="N33:N34"/>
    <mergeCell ref="N35:N36"/>
    <mergeCell ref="A1:N1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J9:J10"/>
    <mergeCell ref="K9:K10"/>
    <mergeCell ref="L9:L10"/>
    <mergeCell ref="M9:M10"/>
    <mergeCell ref="B10:C10"/>
    <mergeCell ref="D10:G1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84B2-85D3-4938-A35D-6753B5D60A3B}">
  <sheetPr>
    <tabColor theme="8"/>
    <pageSetUpPr fitToPage="1"/>
  </sheetPr>
  <dimension ref="A1:M51"/>
  <sheetViews>
    <sheetView zoomScale="110" zoomScaleNormal="110" workbookViewId="0">
      <selection activeCell="K29" sqref="K29:K3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8" customWidth="1"/>
    <col min="9" max="13" width="5.5" customWidth="1"/>
  </cols>
  <sheetData>
    <row r="1" spans="1:13" ht="16.5" customHeight="1" thickBot="1">
      <c r="A1" s="105" t="s">
        <v>317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SUM(I3)-3</f>
        <v>45</v>
      </c>
      <c r="I3" s="52">
        <f>SUM(J3)-3</f>
        <v>48</v>
      </c>
      <c r="J3" s="116">
        <v>51</v>
      </c>
      <c r="K3" s="115">
        <f>SUM(J3)+3</f>
        <v>54</v>
      </c>
      <c r="L3" s="115">
        <f t="shared" ref="L3:M3" si="0">SUM(K3)+3</f>
        <v>57</v>
      </c>
      <c r="M3" s="120">
        <f t="shared" si="0"/>
        <v>60</v>
      </c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3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134"/>
      <c r="K5" s="53"/>
      <c r="L5" s="217"/>
      <c r="M5" s="148"/>
    </row>
    <row r="6" spans="1:13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216"/>
      <c r="M6" s="146"/>
    </row>
    <row r="7" spans="1:13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134"/>
      <c r="K7" s="53"/>
      <c r="L7" s="217"/>
      <c r="M7" s="148"/>
    </row>
    <row r="8" spans="1:13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216"/>
      <c r="M8" s="146"/>
    </row>
    <row r="9" spans="1:13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/>
      <c r="I9" s="52"/>
      <c r="J9" s="134"/>
      <c r="K9" s="53"/>
      <c r="L9" s="217"/>
      <c r="M9" s="148"/>
    </row>
    <row r="10" spans="1:13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79"/>
      <c r="I10" s="79"/>
      <c r="J10" s="83"/>
      <c r="K10" s="79"/>
      <c r="L10" s="216"/>
      <c r="M10" s="146"/>
    </row>
    <row r="11" spans="1:13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65</v>
      </c>
      <c r="I11" s="52">
        <f>SUM(J11)-4.5</f>
        <v>69.5</v>
      </c>
      <c r="J11" s="134">
        <v>74</v>
      </c>
      <c r="K11" s="53">
        <f>SUM(J11)+4.5</f>
        <v>78.5</v>
      </c>
      <c r="L11" s="53">
        <f t="shared" ref="L11:M11" si="1">SUM(K11)+4.5</f>
        <v>83</v>
      </c>
      <c r="M11" s="135">
        <f t="shared" si="1"/>
        <v>87.5</v>
      </c>
    </row>
    <row r="12" spans="1:13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80"/>
    </row>
    <row r="13" spans="1:13" s="1" customFormat="1" ht="14.1" customHeight="1">
      <c r="A13" s="129">
        <v>6</v>
      </c>
      <c r="B13" s="47" t="s">
        <v>318</v>
      </c>
      <c r="C13" s="48"/>
      <c r="D13" s="150"/>
      <c r="E13" s="151"/>
      <c r="F13" s="151"/>
      <c r="G13" s="152"/>
      <c r="H13" s="52">
        <f>SUM(I13)-2.5</f>
        <v>26</v>
      </c>
      <c r="I13" s="52">
        <f>SUM(J13)-2.5</f>
        <v>28.5</v>
      </c>
      <c r="J13" s="134">
        <v>31</v>
      </c>
      <c r="K13" s="53">
        <f>SUM(J13)+2.5</f>
        <v>33.5</v>
      </c>
      <c r="L13" s="53">
        <f t="shared" ref="L13:M13" si="2">SUM(K13)+2.5</f>
        <v>36</v>
      </c>
      <c r="M13" s="135">
        <f t="shared" si="2"/>
        <v>38.5</v>
      </c>
    </row>
    <row r="14" spans="1:13" s="1" customFormat="1" ht="14.1" customHeight="1">
      <c r="A14" s="119"/>
      <c r="B14" s="79" t="s">
        <v>319</v>
      </c>
      <c r="C14" s="79"/>
      <c r="D14" s="159" t="s">
        <v>320</v>
      </c>
      <c r="E14" s="160"/>
      <c r="F14" s="160"/>
      <c r="G14" s="161"/>
      <c r="H14" s="79"/>
      <c r="I14" s="79"/>
      <c r="J14" s="83"/>
      <c r="K14" s="79"/>
      <c r="L14" s="79"/>
      <c r="M14" s="80"/>
    </row>
    <row r="15" spans="1:13" s="1" customFormat="1" ht="13.5" customHeight="1">
      <c r="A15" s="129">
        <v>7</v>
      </c>
      <c r="B15" s="47" t="s">
        <v>321</v>
      </c>
      <c r="C15" s="48"/>
      <c r="D15" s="150"/>
      <c r="E15" s="151"/>
      <c r="F15" s="151"/>
      <c r="G15" s="152"/>
      <c r="H15" s="52">
        <f>SUM(I15)-0.9</f>
        <v>9.6999999999999993</v>
      </c>
      <c r="I15" s="52">
        <f>SUM(J15)-0.9</f>
        <v>10.6</v>
      </c>
      <c r="J15" s="134">
        <v>11.5</v>
      </c>
      <c r="K15" s="53">
        <f>SUM(J15)+0.9</f>
        <v>12.4</v>
      </c>
      <c r="L15" s="53">
        <f t="shared" ref="L15:M15" si="3">SUM(K15)+0.9</f>
        <v>13.3</v>
      </c>
      <c r="M15" s="135">
        <f t="shared" si="3"/>
        <v>14.200000000000001</v>
      </c>
    </row>
    <row r="16" spans="1:13" s="1" customFormat="1" ht="14.1" customHeight="1">
      <c r="A16" s="119"/>
      <c r="B16" s="79" t="s">
        <v>322</v>
      </c>
      <c r="C16" s="79"/>
      <c r="D16" s="159" t="s">
        <v>323</v>
      </c>
      <c r="E16" s="160"/>
      <c r="F16" s="160"/>
      <c r="G16" s="161"/>
      <c r="H16" s="79"/>
      <c r="I16" s="79"/>
      <c r="J16" s="83"/>
      <c r="K16" s="79"/>
      <c r="L16" s="79"/>
      <c r="M16" s="80"/>
    </row>
    <row r="17" spans="1:13" ht="14.1" customHeight="1">
      <c r="A17" s="129">
        <v>8</v>
      </c>
      <c r="B17" s="47" t="s">
        <v>324</v>
      </c>
      <c r="C17" s="48"/>
      <c r="D17" s="150"/>
      <c r="E17" s="151"/>
      <c r="F17" s="151"/>
      <c r="G17" s="152"/>
      <c r="H17" s="52">
        <f>SUM(I17)-1.6</f>
        <v>16.299999999999997</v>
      </c>
      <c r="I17" s="52">
        <f>SUM(J17)-1.6</f>
        <v>17.899999999999999</v>
      </c>
      <c r="J17" s="134">
        <v>19.5</v>
      </c>
      <c r="K17" s="53">
        <f>SUM(J17)+1.6</f>
        <v>21.1</v>
      </c>
      <c r="L17" s="53">
        <f t="shared" ref="L17:M17" si="4">SUM(K17)+1.6</f>
        <v>22.700000000000003</v>
      </c>
      <c r="M17" s="135">
        <f t="shared" si="4"/>
        <v>24.300000000000004</v>
      </c>
    </row>
    <row r="18" spans="1:13" ht="14.1" customHeight="1">
      <c r="A18" s="119"/>
      <c r="B18" s="79" t="s">
        <v>325</v>
      </c>
      <c r="C18" s="79"/>
      <c r="D18" s="159" t="s">
        <v>326</v>
      </c>
      <c r="E18" s="160"/>
      <c r="F18" s="160"/>
      <c r="G18" s="161"/>
      <c r="H18" s="79"/>
      <c r="I18" s="79"/>
      <c r="J18" s="83"/>
      <c r="K18" s="79"/>
      <c r="L18" s="79"/>
      <c r="M18" s="80"/>
    </row>
    <row r="19" spans="1:13" ht="14.1" customHeight="1">
      <c r="A19" s="129">
        <v>9</v>
      </c>
      <c r="B19" s="47"/>
      <c r="C19" s="48"/>
      <c r="D19" s="150"/>
      <c r="E19" s="151"/>
      <c r="F19" s="151"/>
      <c r="G19" s="152"/>
      <c r="H19" s="52"/>
      <c r="I19" s="52"/>
      <c r="J19" s="134"/>
      <c r="K19" s="53"/>
      <c r="L19" s="53"/>
      <c r="M19" s="135"/>
    </row>
    <row r="20" spans="1:13" ht="14.1" customHeight="1" thickBot="1">
      <c r="A20" s="129"/>
      <c r="B20" s="53"/>
      <c r="C20" s="53"/>
      <c r="D20" s="156"/>
      <c r="E20" s="157"/>
      <c r="F20" s="157"/>
      <c r="G20" s="158"/>
      <c r="H20" s="53"/>
      <c r="I20" s="53"/>
      <c r="J20" s="134"/>
      <c r="K20" s="53"/>
      <c r="L20" s="53"/>
      <c r="M20" s="135"/>
    </row>
    <row r="21" spans="1:13" ht="14.1" customHeight="1" thickTop="1">
      <c r="A21" s="162">
        <v>10</v>
      </c>
      <c r="B21" s="99" t="s">
        <v>11</v>
      </c>
      <c r="C21" s="100"/>
      <c r="D21" s="89" t="s">
        <v>12</v>
      </c>
      <c r="E21" s="163"/>
      <c r="F21" s="163"/>
      <c r="G21" s="164"/>
      <c r="H21" s="90">
        <f>SUM(I21)-3.2</f>
        <v>53.599999999999994</v>
      </c>
      <c r="I21" s="90">
        <f>SUM(J21)-3.2</f>
        <v>56.8</v>
      </c>
      <c r="J21" s="165">
        <v>60</v>
      </c>
      <c r="K21" s="90">
        <f>SUM(J21)+3.2</f>
        <v>63.2</v>
      </c>
      <c r="L21" s="90">
        <f t="shared" ref="L21:M21" si="5">SUM(K21)+3.2</f>
        <v>66.400000000000006</v>
      </c>
      <c r="M21" s="167">
        <f t="shared" si="5"/>
        <v>69.600000000000009</v>
      </c>
    </row>
    <row r="22" spans="1:13" ht="14.1" customHeight="1">
      <c r="A22" s="119"/>
      <c r="B22" s="121" t="s">
        <v>48</v>
      </c>
      <c r="C22" s="122"/>
      <c r="D22" s="123" t="s">
        <v>90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ht="14.1" customHeight="1">
      <c r="A23" s="129">
        <v>11</v>
      </c>
      <c r="B23" s="47" t="s">
        <v>103</v>
      </c>
      <c r="C23" s="48"/>
      <c r="D23" s="75"/>
      <c r="E23" s="62"/>
      <c r="F23" s="62"/>
      <c r="G23" s="76"/>
      <c r="H23" s="52">
        <f>SUM(I23)-0.7</f>
        <v>10.8</v>
      </c>
      <c r="I23" s="52">
        <f>SUM(J23)-0.7</f>
        <v>11.5</v>
      </c>
      <c r="J23" s="54">
        <v>12.2</v>
      </c>
      <c r="K23" s="52">
        <f>SUM(J23)+1.2</f>
        <v>13.399999999999999</v>
      </c>
      <c r="L23" s="52">
        <f t="shared" ref="L23:M23" si="6">SUM(K23)+1.2</f>
        <v>14.599999999999998</v>
      </c>
      <c r="M23" s="64">
        <f t="shared" si="6"/>
        <v>15.799999999999997</v>
      </c>
    </row>
    <row r="24" spans="1:13" ht="14.1" customHeight="1">
      <c r="A24" s="119"/>
      <c r="B24" s="121" t="s">
        <v>102</v>
      </c>
      <c r="C24" s="122"/>
      <c r="D24" s="126" t="s">
        <v>115</v>
      </c>
      <c r="E24" s="127"/>
      <c r="F24" s="127"/>
      <c r="G24" s="128"/>
      <c r="H24" s="79"/>
      <c r="I24" s="79"/>
      <c r="J24" s="83"/>
      <c r="K24" s="79"/>
      <c r="L24" s="79"/>
      <c r="M24" s="80"/>
    </row>
    <row r="25" spans="1:13" ht="14.1" customHeight="1">
      <c r="A25" s="129">
        <v>12</v>
      </c>
      <c r="B25" s="47" t="s">
        <v>9</v>
      </c>
      <c r="C25" s="48"/>
      <c r="D25" s="75" t="s">
        <v>70</v>
      </c>
      <c r="E25" s="62"/>
      <c r="F25" s="62"/>
      <c r="G25" s="76"/>
      <c r="H25" s="52">
        <f>SUM(I25)-1.5</f>
        <v>20.3</v>
      </c>
      <c r="I25" s="52">
        <f>SUM(J25)-1.5</f>
        <v>21.8</v>
      </c>
      <c r="J25" s="54">
        <v>23.3</v>
      </c>
      <c r="K25" s="52">
        <f>SUM(J25)+1.5</f>
        <v>24.8</v>
      </c>
      <c r="L25" s="52">
        <f t="shared" ref="L25:M25" si="7">SUM(K25)+1.5</f>
        <v>26.3</v>
      </c>
      <c r="M25" s="64">
        <f t="shared" si="7"/>
        <v>27.8</v>
      </c>
    </row>
    <row r="26" spans="1:13" ht="14.1" customHeight="1">
      <c r="A26" s="119"/>
      <c r="B26" s="121" t="s">
        <v>49</v>
      </c>
      <c r="C26" s="122"/>
      <c r="D26" s="123" t="s">
        <v>89</v>
      </c>
      <c r="E26" s="124"/>
      <c r="F26" s="124"/>
      <c r="G26" s="125"/>
      <c r="H26" s="79"/>
      <c r="I26" s="79"/>
      <c r="J26" s="83"/>
      <c r="K26" s="79"/>
      <c r="L26" s="79"/>
      <c r="M26" s="80"/>
    </row>
    <row r="27" spans="1:13" ht="14.1" customHeight="1">
      <c r="A27" s="129">
        <v>13</v>
      </c>
      <c r="B27" s="47" t="s">
        <v>14</v>
      </c>
      <c r="C27" s="48"/>
      <c r="D27" s="75" t="s">
        <v>15</v>
      </c>
      <c r="E27" s="62"/>
      <c r="F27" s="62"/>
      <c r="G27" s="76"/>
      <c r="H27" s="52">
        <f>SUM(I27)-1.8</f>
        <v>31.600000000000005</v>
      </c>
      <c r="I27" s="52">
        <f>SUM(J27)-1.8</f>
        <v>33.400000000000006</v>
      </c>
      <c r="J27" s="54">
        <v>35.200000000000003</v>
      </c>
      <c r="K27" s="52">
        <f>SUM(J27)+1.8</f>
        <v>37</v>
      </c>
      <c r="L27" s="52">
        <f t="shared" ref="L27:M27" si="8">SUM(K27)+1.8</f>
        <v>38.799999999999997</v>
      </c>
      <c r="M27" s="64">
        <f t="shared" si="8"/>
        <v>40.599999999999994</v>
      </c>
    </row>
    <row r="28" spans="1:13" ht="14.1" customHeight="1">
      <c r="A28" s="119"/>
      <c r="B28" s="121" t="s">
        <v>50</v>
      </c>
      <c r="C28" s="122"/>
      <c r="D28" s="42" t="s">
        <v>88</v>
      </c>
      <c r="E28" s="43"/>
      <c r="F28" s="43"/>
      <c r="G28" s="44"/>
      <c r="H28" s="79"/>
      <c r="I28" s="79"/>
      <c r="J28" s="83"/>
      <c r="K28" s="79"/>
      <c r="L28" s="79"/>
      <c r="M28" s="80"/>
    </row>
    <row r="29" spans="1:13" ht="14.1" customHeight="1">
      <c r="A29" s="129">
        <v>14</v>
      </c>
      <c r="B29" s="47" t="s">
        <v>16</v>
      </c>
      <c r="C29" s="48"/>
      <c r="D29" s="75" t="s">
        <v>13</v>
      </c>
      <c r="E29" s="62"/>
      <c r="F29" s="62"/>
      <c r="G29" s="76"/>
      <c r="H29" s="52">
        <f>SUM(I29)-1</f>
        <v>18.8</v>
      </c>
      <c r="I29" s="52">
        <f>SUM(J29)-1</f>
        <v>19.8</v>
      </c>
      <c r="J29" s="54">
        <v>20.8</v>
      </c>
      <c r="K29" s="52">
        <f>SUM(J29)+1.5</f>
        <v>22.3</v>
      </c>
      <c r="L29" s="52">
        <f>SUM(K29)+1</f>
        <v>23.3</v>
      </c>
      <c r="M29" s="64">
        <f>SUM(L29)+1</f>
        <v>24.3</v>
      </c>
    </row>
    <row r="30" spans="1:13" ht="14.1" customHeight="1">
      <c r="A30" s="119"/>
      <c r="B30" s="121" t="s">
        <v>56</v>
      </c>
      <c r="C30" s="122"/>
      <c r="D30" s="123" t="s">
        <v>87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ht="14.1" customHeight="1">
      <c r="A31" s="129">
        <v>15</v>
      </c>
      <c r="B31" s="47" t="s">
        <v>17</v>
      </c>
      <c r="C31" s="48"/>
      <c r="D31" s="75" t="s">
        <v>13</v>
      </c>
      <c r="E31" s="62"/>
      <c r="F31" s="62"/>
      <c r="G31" s="76"/>
      <c r="H31" s="52">
        <f>SUM(I31)-1.2</f>
        <v>20.900000000000002</v>
      </c>
      <c r="I31" s="52">
        <f>SUM(J31)-1.2</f>
        <v>22.1</v>
      </c>
      <c r="J31" s="54">
        <v>23.3</v>
      </c>
      <c r="K31" s="52">
        <f>SUM(J31)+1.7</f>
        <v>25</v>
      </c>
      <c r="L31" s="52">
        <f>SUM(K31)+1.2</f>
        <v>26.2</v>
      </c>
      <c r="M31" s="64">
        <f>SUM(L31)+1.2</f>
        <v>27.4</v>
      </c>
    </row>
    <row r="32" spans="1:13" ht="14.1" customHeight="1">
      <c r="A32" s="129"/>
      <c r="B32" s="136" t="s">
        <v>55</v>
      </c>
      <c r="C32" s="137"/>
      <c r="D32" s="138" t="s">
        <v>87</v>
      </c>
      <c r="E32" s="139"/>
      <c r="F32" s="139"/>
      <c r="G32" s="140"/>
      <c r="H32" s="53"/>
      <c r="I32" s="53"/>
      <c r="J32" s="134"/>
      <c r="K32" s="53"/>
      <c r="L32" s="53"/>
      <c r="M32" s="135"/>
    </row>
    <row r="33" spans="1:13" ht="14.1" customHeight="1">
      <c r="A33" s="142">
        <v>16</v>
      </c>
      <c r="B33" s="47"/>
      <c r="C33" s="48"/>
      <c r="D33" s="75"/>
      <c r="E33" s="62"/>
      <c r="F33" s="62"/>
      <c r="G33" s="76"/>
      <c r="H33" s="52"/>
      <c r="I33" s="52"/>
      <c r="J33" s="54"/>
      <c r="K33" s="52"/>
      <c r="L33" s="52"/>
      <c r="M33" s="147"/>
    </row>
    <row r="34" spans="1:13" ht="14.1" customHeight="1" thickBot="1">
      <c r="A34" s="143"/>
      <c r="B34" s="69"/>
      <c r="C34" s="70"/>
      <c r="D34" s="71"/>
      <c r="E34" s="72"/>
      <c r="F34" s="72"/>
      <c r="G34" s="73"/>
      <c r="H34" s="77"/>
      <c r="I34" s="77"/>
      <c r="J34" s="144"/>
      <c r="K34" s="77"/>
      <c r="L34" s="77"/>
      <c r="M34" s="149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414B-EFCC-4A6A-847D-BE53149DEE74}">
  <sheetPr>
    <tabColor theme="8"/>
    <pageSetUpPr fitToPage="1"/>
  </sheetPr>
  <dimension ref="A1:Q57"/>
  <sheetViews>
    <sheetView zoomScale="110" zoomScaleNormal="110" workbookViewId="0">
      <selection sqref="A1:N3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7" ht="16.5" customHeight="1" thickBot="1">
      <c r="A1" s="105" t="s">
        <v>470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7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3" t="s">
        <v>60</v>
      </c>
      <c r="I2" s="3" t="s">
        <v>61</v>
      </c>
      <c r="J2" s="7" t="s">
        <v>62</v>
      </c>
      <c r="K2" s="3" t="s">
        <v>63</v>
      </c>
      <c r="L2" s="3" t="s">
        <v>131</v>
      </c>
      <c r="M2" s="14" t="s">
        <v>130</v>
      </c>
      <c r="N2" s="3" t="s">
        <v>145</v>
      </c>
    </row>
    <row r="3" spans="1:17" s="1" customFormat="1" ht="14.1" customHeight="1">
      <c r="A3" s="168">
        <v>1</v>
      </c>
      <c r="B3" s="110" t="s">
        <v>106</v>
      </c>
      <c r="C3" s="111"/>
      <c r="D3" s="252" t="s">
        <v>68</v>
      </c>
      <c r="E3" s="253"/>
      <c r="F3" s="253"/>
      <c r="G3" s="254"/>
      <c r="H3" s="115">
        <f>SUM(I3)-3</f>
        <v>47</v>
      </c>
      <c r="I3" s="115">
        <f>SUM(J3)-3</f>
        <v>50</v>
      </c>
      <c r="J3" s="116">
        <v>53</v>
      </c>
      <c r="K3" s="115">
        <f>SUM(J3)+3</f>
        <v>56</v>
      </c>
      <c r="L3" s="115">
        <f>SUM(K3)+3</f>
        <v>59</v>
      </c>
      <c r="M3" s="115">
        <f>SUM(L3)+3</f>
        <v>62</v>
      </c>
      <c r="N3" s="120">
        <f>SUM(M3)+3</f>
        <v>65</v>
      </c>
    </row>
    <row r="4" spans="1:17" s="1" customFormat="1" ht="14.1" customHeight="1">
      <c r="A4" s="169"/>
      <c r="B4" s="121" t="s">
        <v>77</v>
      </c>
      <c r="C4" s="122"/>
      <c r="D4" s="159" t="s">
        <v>69</v>
      </c>
      <c r="E4" s="160"/>
      <c r="F4" s="160"/>
      <c r="G4" s="161"/>
      <c r="H4" s="79"/>
      <c r="I4" s="79"/>
      <c r="J4" s="83"/>
      <c r="K4" s="79"/>
      <c r="L4" s="79"/>
      <c r="M4" s="79"/>
      <c r="N4" s="80"/>
    </row>
    <row r="5" spans="1:17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>
        <f>SUM(I5)-2.25</f>
        <v>23.5</v>
      </c>
      <c r="I5" s="52">
        <f>SUM(J5)-2.25</f>
        <v>25.75</v>
      </c>
      <c r="J5" s="54">
        <v>28</v>
      </c>
      <c r="K5" s="52">
        <f>SUM(J5)+2.25</f>
        <v>30.25</v>
      </c>
      <c r="L5" s="52">
        <f>SUM(K5)+2.25</f>
        <v>32.5</v>
      </c>
      <c r="M5" s="52">
        <f>SUM(L5)+2.25</f>
        <v>34.75</v>
      </c>
      <c r="N5" s="64">
        <f>SUM(M5)+2.25</f>
        <v>37</v>
      </c>
    </row>
    <row r="6" spans="1:17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7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>
        <f>SUM(I7)-0.75</f>
        <v>23.5</v>
      </c>
      <c r="I7" s="52">
        <f>SUM(J7)-0.75</f>
        <v>24.25</v>
      </c>
      <c r="J7" s="54">
        <v>25</v>
      </c>
      <c r="K7" s="52">
        <f>SUM(J7)+0.75</f>
        <v>25.75</v>
      </c>
      <c r="L7" s="52">
        <f>SUM(K7)+0.75</f>
        <v>26.5</v>
      </c>
      <c r="M7" s="52">
        <f>SUM(L7)+0.75</f>
        <v>27.25</v>
      </c>
      <c r="N7" s="64">
        <f>SUM(M7)+0.75</f>
        <v>28</v>
      </c>
    </row>
    <row r="8" spans="1:17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7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>
        <f>SUM(I9)-0.75</f>
        <v>27.5</v>
      </c>
      <c r="I9" s="52">
        <f>SUM(J9)-0.75</f>
        <v>28.25</v>
      </c>
      <c r="J9" s="54">
        <v>29</v>
      </c>
      <c r="K9" s="52">
        <f>SUM(J9)+0.75</f>
        <v>29.75</v>
      </c>
      <c r="L9" s="52">
        <f>SUM(K9)+0.75</f>
        <v>30.5</v>
      </c>
      <c r="M9" s="52">
        <f>SUM(L9)+0.75</f>
        <v>31.25</v>
      </c>
      <c r="N9" s="64">
        <f>SUM(M9)+0.75</f>
        <v>32</v>
      </c>
    </row>
    <row r="10" spans="1:17" s="1" customFormat="1" ht="14.1" customHeight="1" thickBot="1">
      <c r="A10" s="119"/>
      <c r="B10" s="121" t="s">
        <v>118</v>
      </c>
      <c r="C10" s="122"/>
      <c r="D10" s="159" t="s">
        <v>193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7" s="1" customFormat="1" ht="14.1" customHeight="1" thickTop="1">
      <c r="A11" s="129">
        <v>5</v>
      </c>
      <c r="B11" s="47" t="s">
        <v>109</v>
      </c>
      <c r="C11" s="48"/>
      <c r="D11" s="75"/>
      <c r="E11" s="62"/>
      <c r="F11" s="62"/>
      <c r="G11" s="76"/>
      <c r="H11" s="81">
        <f>SUM(I11)-4.5</f>
        <v>60.5</v>
      </c>
      <c r="I11" s="52">
        <f>SUM(J11)-4.5</f>
        <v>65</v>
      </c>
      <c r="J11" s="54">
        <v>69.5</v>
      </c>
      <c r="K11" s="52">
        <f>SUM(J11)+4.5</f>
        <v>74</v>
      </c>
      <c r="L11" s="52">
        <f t="shared" ref="L11:N11" si="0">SUM(K11)+4.5</f>
        <v>78.5</v>
      </c>
      <c r="M11" s="52">
        <f t="shared" si="0"/>
        <v>83</v>
      </c>
      <c r="N11" s="64">
        <f t="shared" si="0"/>
        <v>87.5</v>
      </c>
      <c r="Q11" s="10" t="s">
        <v>223</v>
      </c>
    </row>
    <row r="12" spans="1:17" s="1" customFormat="1" ht="14.1" customHeight="1">
      <c r="A12" s="119"/>
      <c r="B12" s="121" t="s">
        <v>108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80"/>
      <c r="Q12" s="11">
        <f>SUM(H7+I7+J7)</f>
        <v>72.75</v>
      </c>
    </row>
    <row r="13" spans="1:17" s="1" customFormat="1" ht="14.1" customHeight="1" thickBot="1">
      <c r="A13" s="129">
        <v>6</v>
      </c>
      <c r="B13" s="47" t="s">
        <v>140</v>
      </c>
      <c r="C13" s="48"/>
      <c r="D13" s="150"/>
      <c r="E13" s="151"/>
      <c r="F13" s="151"/>
      <c r="G13" s="152"/>
      <c r="H13" s="81">
        <f>SUM(I13)-2.5</f>
        <v>24</v>
      </c>
      <c r="I13" s="52">
        <f>SUM(J13)-2.5</f>
        <v>26.5</v>
      </c>
      <c r="J13" s="54">
        <v>29</v>
      </c>
      <c r="K13" s="52">
        <f>SUM(J13)+2.5</f>
        <v>31.5</v>
      </c>
      <c r="L13" s="52">
        <f t="shared" ref="L13:N13" si="1">SUM(K13)+2.5</f>
        <v>34</v>
      </c>
      <c r="M13" s="52">
        <f t="shared" si="1"/>
        <v>36.5</v>
      </c>
      <c r="N13" s="64">
        <f t="shared" si="1"/>
        <v>39</v>
      </c>
      <c r="Q13" s="12">
        <f>SUM(Q12/91.44/3*1.08)</f>
        <v>0.28641732283464572</v>
      </c>
    </row>
    <row r="14" spans="1:17" s="1" customFormat="1" ht="14.1" customHeight="1" thickTop="1">
      <c r="A14" s="119"/>
      <c r="B14" s="121" t="s">
        <v>139</v>
      </c>
      <c r="C14" s="122"/>
      <c r="D14" s="159" t="s">
        <v>471</v>
      </c>
      <c r="E14" s="160"/>
      <c r="F14" s="160"/>
      <c r="G14" s="161"/>
      <c r="H14" s="61"/>
      <c r="I14" s="79"/>
      <c r="J14" s="83"/>
      <c r="K14" s="79"/>
      <c r="L14" s="79"/>
      <c r="M14" s="79"/>
      <c r="N14" s="80"/>
      <c r="Q14" s="10" t="s">
        <v>477</v>
      </c>
    </row>
    <row r="15" spans="1:17" s="1" customFormat="1" ht="14.1" customHeight="1">
      <c r="A15" s="129">
        <v>7</v>
      </c>
      <c r="B15" s="47" t="s">
        <v>474</v>
      </c>
      <c r="C15" s="48"/>
      <c r="D15" s="150"/>
      <c r="E15" s="151"/>
      <c r="F15" s="151"/>
      <c r="G15" s="152"/>
      <c r="H15" s="52">
        <f>SUM(I15)-0.6</f>
        <v>5.8000000000000007</v>
      </c>
      <c r="I15" s="52">
        <f>SUM(J15)-0.6</f>
        <v>6.4</v>
      </c>
      <c r="J15" s="54">
        <v>7</v>
      </c>
      <c r="K15" s="52">
        <f>SUM(J15)+0.6</f>
        <v>7.6</v>
      </c>
      <c r="L15" s="52">
        <f>SUM(K15)+0.6</f>
        <v>8.1999999999999993</v>
      </c>
      <c r="M15" s="52">
        <f>SUM(L15)+0.6</f>
        <v>8.7999999999999989</v>
      </c>
      <c r="N15" s="64">
        <f>SUM(M15)+0.6</f>
        <v>9.3999999999999986</v>
      </c>
      <c r="Q15" s="11">
        <f>SUM(K7+L7+M7+N7)</f>
        <v>107.5</v>
      </c>
    </row>
    <row r="16" spans="1:17" s="1" customFormat="1" ht="14.1" customHeight="1" thickBot="1">
      <c r="A16" s="119"/>
      <c r="B16" s="121" t="s">
        <v>475</v>
      </c>
      <c r="C16" s="122"/>
      <c r="D16" s="159" t="s">
        <v>471</v>
      </c>
      <c r="E16" s="160"/>
      <c r="F16" s="160"/>
      <c r="G16" s="161"/>
      <c r="H16" s="79"/>
      <c r="I16" s="79"/>
      <c r="J16" s="83"/>
      <c r="K16" s="79"/>
      <c r="L16" s="79"/>
      <c r="M16" s="79"/>
      <c r="N16" s="80"/>
      <c r="Q16" s="12">
        <f>SUM(Q15/4/91.44*1.08)</f>
        <v>0.31742125984251973</v>
      </c>
    </row>
    <row r="17" spans="1:17" s="1" customFormat="1" ht="14.1" customHeight="1" thickTop="1">
      <c r="A17" s="129">
        <v>8</v>
      </c>
      <c r="B17" s="47" t="s">
        <v>472</v>
      </c>
      <c r="C17" s="48"/>
      <c r="D17" s="150"/>
      <c r="E17" s="151"/>
      <c r="F17" s="151"/>
      <c r="G17" s="152"/>
      <c r="H17" s="52">
        <f>SUM(I17)-1</f>
        <v>9</v>
      </c>
      <c r="I17" s="52">
        <f>SUM(J17)-1</f>
        <v>10</v>
      </c>
      <c r="J17" s="54">
        <v>11</v>
      </c>
      <c r="K17" s="52">
        <f>SUM(J17)+1</f>
        <v>12</v>
      </c>
      <c r="L17" s="52">
        <f t="shared" ref="L17:N17" si="2">SUM(K17)+1</f>
        <v>13</v>
      </c>
      <c r="M17" s="52">
        <f t="shared" si="2"/>
        <v>14</v>
      </c>
      <c r="N17" s="64">
        <f t="shared" si="2"/>
        <v>15</v>
      </c>
      <c r="Q17" s="10" t="s">
        <v>478</v>
      </c>
    </row>
    <row r="18" spans="1:17" s="1" customFormat="1" ht="14.1" customHeight="1">
      <c r="A18" s="119"/>
      <c r="B18" s="121" t="s">
        <v>473</v>
      </c>
      <c r="C18" s="122"/>
      <c r="D18" s="159" t="s">
        <v>476</v>
      </c>
      <c r="E18" s="160"/>
      <c r="F18" s="160"/>
      <c r="G18" s="161"/>
      <c r="H18" s="79"/>
      <c r="I18" s="79"/>
      <c r="J18" s="83"/>
      <c r="K18" s="79"/>
      <c r="L18" s="79"/>
      <c r="M18" s="79"/>
      <c r="N18" s="80"/>
      <c r="Q18" s="11">
        <f>SUM(H9+I9+J9+K9+L9+M9+N9)</f>
        <v>208.25</v>
      </c>
    </row>
    <row r="19" spans="1:17" s="1" customFormat="1" ht="14.1" customHeight="1" thickBot="1">
      <c r="A19" s="129">
        <v>9</v>
      </c>
      <c r="B19" s="47"/>
      <c r="C19" s="48"/>
      <c r="D19" s="150"/>
      <c r="E19" s="151"/>
      <c r="F19" s="151"/>
      <c r="G19" s="152"/>
      <c r="H19" s="52"/>
      <c r="I19" s="52"/>
      <c r="J19" s="54"/>
      <c r="K19" s="52"/>
      <c r="L19" s="52"/>
      <c r="M19" s="52"/>
      <c r="N19" s="64"/>
      <c r="Q19" s="12">
        <f>SUM(Q18/91.44/7*1.08)</f>
        <v>0.35137795275590555</v>
      </c>
    </row>
    <row r="20" spans="1:17" s="1" customFormat="1" ht="14.1" customHeight="1" thickTop="1" thickBot="1">
      <c r="A20" s="129"/>
      <c r="B20" s="136"/>
      <c r="C20" s="137"/>
      <c r="D20" s="156"/>
      <c r="E20" s="157"/>
      <c r="F20" s="157"/>
      <c r="G20" s="158"/>
      <c r="H20" s="53"/>
      <c r="I20" s="53"/>
      <c r="J20" s="134"/>
      <c r="K20" s="53"/>
      <c r="L20" s="53"/>
      <c r="M20" s="53"/>
      <c r="N20" s="135"/>
      <c r="Q20" s="26"/>
    </row>
    <row r="21" spans="1:17" s="1" customFormat="1" ht="14.1" customHeight="1" thickTop="1">
      <c r="A21" s="162">
        <v>10</v>
      </c>
      <c r="B21" s="99" t="s">
        <v>11</v>
      </c>
      <c r="C21" s="100"/>
      <c r="D21" s="89" t="s">
        <v>12</v>
      </c>
      <c r="E21" s="163"/>
      <c r="F21" s="163"/>
      <c r="G21" s="164"/>
      <c r="H21" s="87">
        <f>SUM(I21)-3.2</f>
        <v>53.699999999999996</v>
      </c>
      <c r="I21" s="90">
        <f>SUM(J21)-3.2</f>
        <v>56.9</v>
      </c>
      <c r="J21" s="165">
        <v>60.1</v>
      </c>
      <c r="K21" s="90">
        <f>SUM(J21)+3.2</f>
        <v>63.300000000000004</v>
      </c>
      <c r="L21" s="90">
        <f>SUM(K21)+3.2</f>
        <v>66.5</v>
      </c>
      <c r="M21" s="90">
        <f>SUM(L21)+3.2</f>
        <v>69.7</v>
      </c>
      <c r="N21" s="167">
        <f>SUM(M21)+3.2</f>
        <v>72.900000000000006</v>
      </c>
    </row>
    <row r="22" spans="1:17" ht="14.1" customHeight="1">
      <c r="A22" s="119"/>
      <c r="B22" s="121" t="s">
        <v>48</v>
      </c>
      <c r="C22" s="122"/>
      <c r="D22" s="123" t="s">
        <v>90</v>
      </c>
      <c r="E22" s="124"/>
      <c r="F22" s="124"/>
      <c r="G22" s="125"/>
      <c r="H22" s="61"/>
      <c r="I22" s="79"/>
      <c r="J22" s="83"/>
      <c r="K22" s="79"/>
      <c r="L22" s="79"/>
      <c r="M22" s="79"/>
      <c r="N22" s="80"/>
    </row>
    <row r="23" spans="1:17" ht="14.1" customHeight="1">
      <c r="A23" s="129">
        <v>11</v>
      </c>
      <c r="B23" s="47" t="s">
        <v>103</v>
      </c>
      <c r="C23" s="48"/>
      <c r="D23" s="75"/>
      <c r="E23" s="62"/>
      <c r="F23" s="62"/>
      <c r="G23" s="76"/>
      <c r="H23" s="81">
        <f>SUM(I23)-0.7</f>
        <v>14.600000000000001</v>
      </c>
      <c r="I23" s="52">
        <f>SUM(J23)-0.7</f>
        <v>15.3</v>
      </c>
      <c r="J23" s="54">
        <v>16</v>
      </c>
      <c r="K23" s="52">
        <f>SUM(J23)+1.2</f>
        <v>17.2</v>
      </c>
      <c r="L23" s="52">
        <f>SUM(K23)+0.7</f>
        <v>17.899999999999999</v>
      </c>
      <c r="M23" s="52">
        <f>SUM(L23)+0.7</f>
        <v>18.599999999999998</v>
      </c>
      <c r="N23" s="64">
        <f>SUM(M23)+0.7</f>
        <v>19.299999999999997</v>
      </c>
    </row>
    <row r="24" spans="1:17" ht="14.1" customHeight="1">
      <c r="A24" s="119"/>
      <c r="B24" s="121" t="s">
        <v>102</v>
      </c>
      <c r="C24" s="122"/>
      <c r="D24" s="126" t="s">
        <v>115</v>
      </c>
      <c r="E24" s="127"/>
      <c r="F24" s="127"/>
      <c r="G24" s="128"/>
      <c r="H24" s="61"/>
      <c r="I24" s="79"/>
      <c r="J24" s="83"/>
      <c r="K24" s="79"/>
      <c r="L24" s="79"/>
      <c r="M24" s="79"/>
      <c r="N24" s="80"/>
    </row>
    <row r="25" spans="1:17" ht="14.1" customHeight="1">
      <c r="A25" s="129">
        <v>12</v>
      </c>
      <c r="B25" s="47" t="s">
        <v>9</v>
      </c>
      <c r="C25" s="48"/>
      <c r="D25" s="75" t="s">
        <v>70</v>
      </c>
      <c r="E25" s="62"/>
      <c r="F25" s="62"/>
      <c r="G25" s="76"/>
      <c r="H25" s="81">
        <f>SUM(I25)-1.5</f>
        <v>24</v>
      </c>
      <c r="I25" s="52">
        <f>SUM(J25)-1.5</f>
        <v>25.5</v>
      </c>
      <c r="J25" s="54">
        <v>27</v>
      </c>
      <c r="K25" s="52">
        <f>SUM(J25)+1.5</f>
        <v>28.5</v>
      </c>
      <c r="L25" s="52">
        <f>SUM(K25)+1.5</f>
        <v>30</v>
      </c>
      <c r="M25" s="52">
        <f>SUM(L25)+1.5</f>
        <v>31.5</v>
      </c>
      <c r="N25" s="64">
        <f>SUM(M25)+1.5</f>
        <v>33</v>
      </c>
    </row>
    <row r="26" spans="1:17" ht="14.1" customHeight="1">
      <c r="A26" s="119"/>
      <c r="B26" s="121" t="s">
        <v>49</v>
      </c>
      <c r="C26" s="122"/>
      <c r="D26" s="123" t="s">
        <v>89</v>
      </c>
      <c r="E26" s="124"/>
      <c r="F26" s="124"/>
      <c r="G26" s="125"/>
      <c r="H26" s="61"/>
      <c r="I26" s="79"/>
      <c r="J26" s="83"/>
      <c r="K26" s="79"/>
      <c r="L26" s="79"/>
      <c r="M26" s="79"/>
      <c r="N26" s="80"/>
    </row>
    <row r="27" spans="1:17" ht="14.1" customHeight="1">
      <c r="A27" s="129">
        <v>13</v>
      </c>
      <c r="B27" s="47" t="s">
        <v>14</v>
      </c>
      <c r="C27" s="48"/>
      <c r="D27" s="75" t="s">
        <v>15</v>
      </c>
      <c r="E27" s="62"/>
      <c r="F27" s="62"/>
      <c r="G27" s="76"/>
      <c r="H27" s="81">
        <f>SUM(I27)-1.8</f>
        <v>31.400000000000002</v>
      </c>
      <c r="I27" s="52">
        <f>SUM(J27)-1.8</f>
        <v>33.200000000000003</v>
      </c>
      <c r="J27" s="54">
        <v>35</v>
      </c>
      <c r="K27" s="52">
        <f>SUM(J27)+1.8</f>
        <v>36.799999999999997</v>
      </c>
      <c r="L27" s="52">
        <f>SUM(K27)+1.8</f>
        <v>38.599999999999994</v>
      </c>
      <c r="M27" s="52">
        <f>SUM(L27)+1.8</f>
        <v>40.399999999999991</v>
      </c>
      <c r="N27" s="64">
        <f>SUM(M27)+1.8</f>
        <v>42.199999999999989</v>
      </c>
    </row>
    <row r="28" spans="1:17" ht="14.1" customHeight="1">
      <c r="A28" s="119"/>
      <c r="B28" s="121" t="s">
        <v>50</v>
      </c>
      <c r="C28" s="122"/>
      <c r="D28" s="42" t="s">
        <v>88</v>
      </c>
      <c r="E28" s="43"/>
      <c r="F28" s="43"/>
      <c r="G28" s="44"/>
      <c r="H28" s="61"/>
      <c r="I28" s="79"/>
      <c r="J28" s="83"/>
      <c r="K28" s="79"/>
      <c r="L28" s="79"/>
      <c r="M28" s="79"/>
      <c r="N28" s="80"/>
    </row>
    <row r="29" spans="1:17" ht="14.1" customHeight="1">
      <c r="A29" s="129">
        <v>14</v>
      </c>
      <c r="B29" s="47" t="s">
        <v>16</v>
      </c>
      <c r="C29" s="48"/>
      <c r="D29" s="75" t="s">
        <v>13</v>
      </c>
      <c r="E29" s="62"/>
      <c r="F29" s="62"/>
      <c r="G29" s="76"/>
      <c r="H29" s="81">
        <f>SUM(I29)-1</f>
        <v>22.4</v>
      </c>
      <c r="I29" s="52">
        <f>SUM(J29)-1</f>
        <v>23.4</v>
      </c>
      <c r="J29" s="54">
        <v>24.4</v>
      </c>
      <c r="K29" s="52">
        <f>SUM(J29)+1.5</f>
        <v>25.9</v>
      </c>
      <c r="L29" s="52">
        <f>SUM(K29)+1</f>
        <v>26.9</v>
      </c>
      <c r="M29" s="52">
        <f>SUM(L29)+1.1</f>
        <v>28</v>
      </c>
      <c r="N29" s="64">
        <f>SUM(M29)+1.1</f>
        <v>29.1</v>
      </c>
    </row>
    <row r="30" spans="1:17" ht="14.1" customHeight="1">
      <c r="A30" s="119"/>
      <c r="B30" s="121" t="s">
        <v>56</v>
      </c>
      <c r="C30" s="122"/>
      <c r="D30" s="123" t="s">
        <v>87</v>
      </c>
      <c r="E30" s="124"/>
      <c r="F30" s="124"/>
      <c r="G30" s="125"/>
      <c r="H30" s="61"/>
      <c r="I30" s="79"/>
      <c r="J30" s="83"/>
      <c r="K30" s="79"/>
      <c r="L30" s="79"/>
      <c r="M30" s="79"/>
      <c r="N30" s="80"/>
    </row>
    <row r="31" spans="1:17" ht="14.1" customHeight="1">
      <c r="A31" s="129">
        <v>15</v>
      </c>
      <c r="B31" s="47" t="s">
        <v>17</v>
      </c>
      <c r="C31" s="48"/>
      <c r="D31" s="75" t="s">
        <v>13</v>
      </c>
      <c r="E31" s="62"/>
      <c r="F31" s="62"/>
      <c r="G31" s="76"/>
      <c r="H31" s="81">
        <f>SUM(I31)-1.2</f>
        <v>24.700000000000003</v>
      </c>
      <c r="I31" s="52">
        <f>SUM(J31)-1.2</f>
        <v>25.900000000000002</v>
      </c>
      <c r="J31" s="54">
        <v>27.1</v>
      </c>
      <c r="K31" s="52">
        <f>SUM(J31)+1.7</f>
        <v>28.8</v>
      </c>
      <c r="L31" s="52">
        <f>SUM(K31)+1.2</f>
        <v>30</v>
      </c>
      <c r="M31" s="52">
        <f>SUM(L31)+1.2</f>
        <v>31.2</v>
      </c>
      <c r="N31" s="64">
        <f>SUM(M31)+1.2</f>
        <v>32.4</v>
      </c>
    </row>
    <row r="32" spans="1:17" ht="14.1" customHeight="1">
      <c r="A32" s="119"/>
      <c r="B32" s="121" t="s">
        <v>55</v>
      </c>
      <c r="C32" s="122"/>
      <c r="D32" s="123" t="s">
        <v>87</v>
      </c>
      <c r="E32" s="124"/>
      <c r="F32" s="124"/>
      <c r="G32" s="125"/>
      <c r="H32" s="61"/>
      <c r="I32" s="79"/>
      <c r="J32" s="83"/>
      <c r="K32" s="79"/>
      <c r="L32" s="79"/>
      <c r="M32" s="79"/>
      <c r="N32" s="80"/>
    </row>
    <row r="33" spans="1:14" ht="14.1" customHeight="1">
      <c r="A33" s="129">
        <v>16</v>
      </c>
      <c r="B33" s="47"/>
      <c r="C33" s="48"/>
      <c r="D33" s="75"/>
      <c r="E33" s="62"/>
      <c r="F33" s="62"/>
      <c r="G33" s="76"/>
      <c r="H33" s="81"/>
      <c r="I33" s="52"/>
      <c r="J33" s="54"/>
      <c r="K33" s="52"/>
      <c r="L33" s="52"/>
      <c r="M33" s="215"/>
      <c r="N33" s="147"/>
    </row>
    <row r="34" spans="1:14" ht="14.1" customHeight="1">
      <c r="A34" s="119"/>
      <c r="B34" s="121"/>
      <c r="C34" s="122"/>
      <c r="D34" s="123"/>
      <c r="E34" s="124"/>
      <c r="F34" s="124"/>
      <c r="G34" s="125"/>
      <c r="H34" s="61"/>
      <c r="I34" s="79"/>
      <c r="J34" s="83"/>
      <c r="K34" s="79"/>
      <c r="L34" s="79"/>
      <c r="M34" s="216"/>
      <c r="N34" s="146"/>
    </row>
    <row r="35" spans="1:14" ht="14.1" customHeight="1">
      <c r="A35" s="129">
        <v>17</v>
      </c>
      <c r="B35" s="47"/>
      <c r="C35" s="48"/>
      <c r="D35" s="75"/>
      <c r="E35" s="62"/>
      <c r="F35" s="62"/>
      <c r="G35" s="76"/>
      <c r="H35" s="81"/>
      <c r="I35" s="52"/>
      <c r="J35" s="54"/>
      <c r="K35" s="52"/>
      <c r="L35" s="52"/>
      <c r="M35" s="215"/>
      <c r="N35" s="147"/>
    </row>
    <row r="36" spans="1:14" ht="14.1" customHeight="1">
      <c r="A36" s="119"/>
      <c r="B36" s="121"/>
      <c r="C36" s="122"/>
      <c r="D36" s="123"/>
      <c r="E36" s="124"/>
      <c r="F36" s="124"/>
      <c r="G36" s="125"/>
      <c r="H36" s="61"/>
      <c r="I36" s="79"/>
      <c r="J36" s="83"/>
      <c r="K36" s="79"/>
      <c r="L36" s="79"/>
      <c r="M36" s="216"/>
      <c r="N36" s="146"/>
    </row>
    <row r="37" spans="1:14" ht="14.1" customHeight="1">
      <c r="A37" s="129">
        <v>18</v>
      </c>
      <c r="B37" s="47"/>
      <c r="C37" s="48"/>
      <c r="D37" s="75"/>
      <c r="E37" s="62"/>
      <c r="F37" s="62"/>
      <c r="G37" s="76"/>
      <c r="H37" s="81"/>
      <c r="I37" s="52"/>
      <c r="J37" s="54"/>
      <c r="K37" s="52"/>
      <c r="L37" s="52"/>
      <c r="M37" s="215"/>
      <c r="N37" s="147"/>
    </row>
    <row r="38" spans="1:14" ht="14.1" customHeight="1" thickBot="1">
      <c r="A38" s="143"/>
      <c r="B38" s="69"/>
      <c r="C38" s="70"/>
      <c r="D38" s="71"/>
      <c r="E38" s="72"/>
      <c r="F38" s="72"/>
      <c r="G38" s="73"/>
      <c r="H38" s="190"/>
      <c r="I38" s="77"/>
      <c r="J38" s="144"/>
      <c r="K38" s="77"/>
      <c r="L38" s="77"/>
      <c r="M38" s="218"/>
      <c r="N38" s="149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9">
    <mergeCell ref="B12:C12"/>
    <mergeCell ref="D12:G12"/>
    <mergeCell ref="A11:A12"/>
    <mergeCell ref="B11:C11"/>
    <mergeCell ref="D11:G11"/>
    <mergeCell ref="H11:H12"/>
    <mergeCell ref="I11:I12"/>
    <mergeCell ref="J11:J12"/>
    <mergeCell ref="D9:G9"/>
    <mergeCell ref="H9:H10"/>
    <mergeCell ref="I9:I10"/>
    <mergeCell ref="K11:K12"/>
    <mergeCell ref="L11:L12"/>
    <mergeCell ref="J9:J10"/>
    <mergeCell ref="K9:K10"/>
    <mergeCell ref="L9:L10"/>
    <mergeCell ref="M11:M12"/>
    <mergeCell ref="J37:J38"/>
    <mergeCell ref="K37:K38"/>
    <mergeCell ref="L37:L38"/>
    <mergeCell ref="M37:M38"/>
    <mergeCell ref="J33:J34"/>
    <mergeCell ref="K33:K34"/>
    <mergeCell ref="L33:L34"/>
    <mergeCell ref="M33:M34"/>
    <mergeCell ref="J29:J30"/>
    <mergeCell ref="K29:K30"/>
    <mergeCell ref="L29:L30"/>
    <mergeCell ref="M29:M30"/>
    <mergeCell ref="J25:J26"/>
    <mergeCell ref="K25:K26"/>
    <mergeCell ref="L25:L26"/>
    <mergeCell ref="M25:M26"/>
    <mergeCell ref="J17:J18"/>
    <mergeCell ref="K17:K1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L17:L18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B22:C22"/>
    <mergeCell ref="D22:G22"/>
    <mergeCell ref="K19:K20"/>
    <mergeCell ref="L19:L20"/>
    <mergeCell ref="B20:C20"/>
    <mergeCell ref="D20:G20"/>
    <mergeCell ref="J19:J20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B18:C18"/>
    <mergeCell ref="D18:G18"/>
    <mergeCell ref="B14:C14"/>
    <mergeCell ref="D14:G14"/>
    <mergeCell ref="D16:G16"/>
    <mergeCell ref="J7:J8"/>
    <mergeCell ref="K7:K8"/>
    <mergeCell ref="L7:L8"/>
    <mergeCell ref="A15:A16"/>
    <mergeCell ref="B15:C15"/>
    <mergeCell ref="D15:G15"/>
    <mergeCell ref="H15:H16"/>
    <mergeCell ref="I15:I16"/>
    <mergeCell ref="B16:C16"/>
    <mergeCell ref="A7:A8"/>
    <mergeCell ref="B7:C7"/>
    <mergeCell ref="D7:G7"/>
    <mergeCell ref="H7:H8"/>
    <mergeCell ref="I7:I8"/>
    <mergeCell ref="K13:K14"/>
    <mergeCell ref="L13:L14"/>
    <mergeCell ref="J13:J14"/>
    <mergeCell ref="J15:J16"/>
    <mergeCell ref="K15:K16"/>
    <mergeCell ref="L15:L16"/>
    <mergeCell ref="B10:C10"/>
    <mergeCell ref="D10:G10"/>
    <mergeCell ref="A9:A10"/>
    <mergeCell ref="B9:C9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M9:M10"/>
    <mergeCell ref="N37:N38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M17:M18"/>
    <mergeCell ref="M13:M14"/>
    <mergeCell ref="M15:M16"/>
    <mergeCell ref="M21:M22"/>
    <mergeCell ref="M19:M20"/>
    <mergeCell ref="A1:N1"/>
    <mergeCell ref="N21:N22"/>
    <mergeCell ref="N23:N24"/>
    <mergeCell ref="N25:N26"/>
    <mergeCell ref="N27:N28"/>
    <mergeCell ref="N29:N30"/>
    <mergeCell ref="N31:N32"/>
    <mergeCell ref="N33:N34"/>
    <mergeCell ref="N35:N36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6DFE-1DB1-4962-82D6-2B9C0F4FB120}">
  <sheetPr>
    <tabColor theme="8"/>
    <pageSetUpPr fitToPage="1"/>
  </sheetPr>
  <dimension ref="A1:M51"/>
  <sheetViews>
    <sheetView zoomScale="110" zoomScaleNormal="110" workbookViewId="0">
      <selection activeCell="P23" sqref="P23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8" customWidth="1"/>
    <col min="9" max="13" width="5.5" customWidth="1"/>
  </cols>
  <sheetData>
    <row r="1" spans="1:13" ht="16.5" customHeight="1" thickBot="1">
      <c r="A1" s="105" t="s">
        <v>450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15" t="s">
        <v>130</v>
      </c>
    </row>
    <row r="3" spans="1:13" s="1" customFormat="1" ht="14.1" customHeight="1">
      <c r="A3" s="118">
        <v>1</v>
      </c>
      <c r="B3" s="110" t="s">
        <v>106</v>
      </c>
      <c r="C3" s="111"/>
      <c r="D3" s="112" t="s">
        <v>68</v>
      </c>
      <c r="E3" s="113"/>
      <c r="F3" s="113"/>
      <c r="G3" s="114"/>
      <c r="H3" s="52">
        <f>SUM(I3)-2.5</f>
        <v>44</v>
      </c>
      <c r="I3" s="52">
        <f>SUM(J3)-2.5</f>
        <v>46.5</v>
      </c>
      <c r="J3" s="116">
        <v>49</v>
      </c>
      <c r="K3" s="115">
        <f>SUM(J3)+2.5</f>
        <v>51.5</v>
      </c>
      <c r="L3" s="115">
        <f t="shared" ref="L3" si="0">SUM(K3)+2.5</f>
        <v>54</v>
      </c>
      <c r="M3" s="120"/>
    </row>
    <row r="4" spans="1:13" s="1" customFormat="1" ht="14.1" customHeight="1">
      <c r="A4" s="119"/>
      <c r="B4" s="121" t="s">
        <v>77</v>
      </c>
      <c r="C4" s="122"/>
      <c r="D4" s="123" t="s">
        <v>69</v>
      </c>
      <c r="E4" s="124"/>
      <c r="F4" s="124"/>
      <c r="G4" s="125"/>
      <c r="H4" s="79"/>
      <c r="I4" s="79"/>
      <c r="J4" s="83"/>
      <c r="K4" s="79"/>
      <c r="L4" s="79"/>
      <c r="M4" s="80"/>
    </row>
    <row r="5" spans="1:13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134"/>
      <c r="K5" s="53"/>
      <c r="L5" s="217"/>
      <c r="M5" s="148"/>
    </row>
    <row r="6" spans="1:13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216"/>
      <c r="M6" s="146"/>
    </row>
    <row r="7" spans="1:13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134"/>
      <c r="K7" s="53"/>
      <c r="L7" s="217"/>
      <c r="M7" s="148"/>
    </row>
    <row r="8" spans="1:13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216"/>
      <c r="M8" s="146"/>
    </row>
    <row r="9" spans="1:13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/>
      <c r="I9" s="52"/>
      <c r="J9" s="134"/>
      <c r="K9" s="53"/>
      <c r="L9" s="217"/>
      <c r="M9" s="148"/>
    </row>
    <row r="10" spans="1:13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79"/>
      <c r="I10" s="79"/>
      <c r="J10" s="83"/>
      <c r="K10" s="79"/>
      <c r="L10" s="216"/>
      <c r="M10" s="146"/>
    </row>
    <row r="11" spans="1:13" s="1" customFormat="1" ht="14.1" customHeight="1">
      <c r="A11" s="129">
        <v>5</v>
      </c>
      <c r="B11" s="47" t="s">
        <v>113</v>
      </c>
      <c r="C11" s="48"/>
      <c r="D11" s="58"/>
      <c r="E11" s="59"/>
      <c r="F11" s="59"/>
      <c r="G11" s="60"/>
      <c r="H11" s="81">
        <f>SUM(I11)-4.5</f>
        <v>63</v>
      </c>
      <c r="I11" s="52">
        <f>SUM(J11)-4.5</f>
        <v>67.5</v>
      </c>
      <c r="J11" s="134">
        <v>72</v>
      </c>
      <c r="K11" s="53">
        <f>SUM(J11)+4.5</f>
        <v>76.5</v>
      </c>
      <c r="L11" s="53">
        <f t="shared" ref="L11" si="1">SUM(K11)+4.5</f>
        <v>81</v>
      </c>
      <c r="M11" s="135"/>
    </row>
    <row r="12" spans="1:13" s="1" customFormat="1" ht="14.1" customHeight="1">
      <c r="A12" s="119"/>
      <c r="B12" s="121" t="s">
        <v>114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80"/>
    </row>
    <row r="13" spans="1:13" s="1" customFormat="1" ht="14.1" customHeight="1">
      <c r="A13" s="129">
        <v>6</v>
      </c>
      <c r="B13" s="47" t="s">
        <v>318</v>
      </c>
      <c r="C13" s="48"/>
      <c r="D13" s="150"/>
      <c r="E13" s="151"/>
      <c r="F13" s="151"/>
      <c r="G13" s="152"/>
      <c r="H13" s="52">
        <f>SUM(I13)-2.5</f>
        <v>25</v>
      </c>
      <c r="I13" s="52">
        <f>SUM(J13)-2.5</f>
        <v>27.5</v>
      </c>
      <c r="J13" s="134">
        <v>30</v>
      </c>
      <c r="K13" s="53">
        <f>SUM(J13)+2.5</f>
        <v>32.5</v>
      </c>
      <c r="L13" s="53">
        <f t="shared" ref="L13" si="2">SUM(K13)+2.5</f>
        <v>35</v>
      </c>
      <c r="M13" s="135"/>
    </row>
    <row r="14" spans="1:13" s="1" customFormat="1" ht="14.1" customHeight="1">
      <c r="A14" s="119"/>
      <c r="B14" s="79" t="s">
        <v>319</v>
      </c>
      <c r="C14" s="79"/>
      <c r="D14" s="159" t="s">
        <v>320</v>
      </c>
      <c r="E14" s="160"/>
      <c r="F14" s="160"/>
      <c r="G14" s="161"/>
      <c r="H14" s="79"/>
      <c r="I14" s="79"/>
      <c r="J14" s="83"/>
      <c r="K14" s="79"/>
      <c r="L14" s="79"/>
      <c r="M14" s="80"/>
    </row>
    <row r="15" spans="1:13" s="1" customFormat="1" ht="13.5" customHeight="1">
      <c r="A15" s="129">
        <v>7</v>
      </c>
      <c r="B15" s="47" t="s">
        <v>321</v>
      </c>
      <c r="C15" s="48"/>
      <c r="D15" s="150"/>
      <c r="E15" s="151"/>
      <c r="F15" s="151"/>
      <c r="G15" s="152"/>
      <c r="H15" s="52">
        <f>SUM(I15)-0.9</f>
        <v>8.6999999999999993</v>
      </c>
      <c r="I15" s="52">
        <f>SUM(J15)-0.9</f>
        <v>9.6</v>
      </c>
      <c r="J15" s="134">
        <v>10.5</v>
      </c>
      <c r="K15" s="53">
        <f>SUM(J15)+0.9</f>
        <v>11.4</v>
      </c>
      <c r="L15" s="53">
        <f t="shared" ref="L15" si="3">SUM(K15)+0.9</f>
        <v>12.3</v>
      </c>
      <c r="M15" s="135"/>
    </row>
    <row r="16" spans="1:13" s="1" customFormat="1" ht="14.1" customHeight="1">
      <c r="A16" s="119"/>
      <c r="B16" s="79" t="s">
        <v>322</v>
      </c>
      <c r="C16" s="79"/>
      <c r="D16" s="159" t="s">
        <v>320</v>
      </c>
      <c r="E16" s="160"/>
      <c r="F16" s="160"/>
      <c r="G16" s="161"/>
      <c r="H16" s="79"/>
      <c r="I16" s="79"/>
      <c r="J16" s="83"/>
      <c r="K16" s="79"/>
      <c r="L16" s="79"/>
      <c r="M16" s="80"/>
    </row>
    <row r="17" spans="1:13" ht="14.1" customHeight="1">
      <c r="A17" s="129">
        <v>8</v>
      </c>
      <c r="B17" s="47" t="s">
        <v>324</v>
      </c>
      <c r="C17" s="48"/>
      <c r="D17" s="150"/>
      <c r="E17" s="151"/>
      <c r="F17" s="151"/>
      <c r="G17" s="152"/>
      <c r="H17" s="52">
        <f>SUM(I17)-1.6</f>
        <v>16.299999999999997</v>
      </c>
      <c r="I17" s="52">
        <f>SUM(J17)-1.6</f>
        <v>17.899999999999999</v>
      </c>
      <c r="J17" s="134">
        <v>19.5</v>
      </c>
      <c r="K17" s="53">
        <f>SUM(J17)+1.6</f>
        <v>21.1</v>
      </c>
      <c r="L17" s="53">
        <f t="shared" ref="L17" si="4">SUM(K17)+1.6</f>
        <v>22.700000000000003</v>
      </c>
      <c r="M17" s="135"/>
    </row>
    <row r="18" spans="1:13" ht="14.1" customHeight="1">
      <c r="A18" s="119"/>
      <c r="B18" s="79" t="s">
        <v>325</v>
      </c>
      <c r="C18" s="79"/>
      <c r="D18" s="159" t="s">
        <v>442</v>
      </c>
      <c r="E18" s="160"/>
      <c r="F18" s="160"/>
      <c r="G18" s="161"/>
      <c r="H18" s="79"/>
      <c r="I18" s="79"/>
      <c r="J18" s="83"/>
      <c r="K18" s="79"/>
      <c r="L18" s="79"/>
      <c r="M18" s="80"/>
    </row>
    <row r="19" spans="1:13" ht="14.1" customHeight="1">
      <c r="A19" s="129">
        <v>9</v>
      </c>
      <c r="B19" s="47"/>
      <c r="C19" s="48"/>
      <c r="D19" s="150"/>
      <c r="E19" s="151"/>
      <c r="F19" s="151"/>
      <c r="G19" s="152"/>
      <c r="H19" s="52"/>
      <c r="I19" s="52"/>
      <c r="J19" s="134"/>
      <c r="K19" s="53"/>
      <c r="L19" s="53"/>
      <c r="M19" s="135"/>
    </row>
    <row r="20" spans="1:13" ht="14.1" customHeight="1" thickBot="1">
      <c r="A20" s="129"/>
      <c r="B20" s="53"/>
      <c r="C20" s="53"/>
      <c r="D20" s="156"/>
      <c r="E20" s="157"/>
      <c r="F20" s="157"/>
      <c r="G20" s="158"/>
      <c r="H20" s="53"/>
      <c r="I20" s="53"/>
      <c r="J20" s="134"/>
      <c r="K20" s="53"/>
      <c r="L20" s="53"/>
      <c r="M20" s="135"/>
    </row>
    <row r="21" spans="1:13" ht="14.1" customHeight="1" thickTop="1">
      <c r="A21" s="162">
        <v>10</v>
      </c>
      <c r="B21" s="99" t="s">
        <v>11</v>
      </c>
      <c r="C21" s="100"/>
      <c r="D21" s="89" t="s">
        <v>12</v>
      </c>
      <c r="E21" s="163"/>
      <c r="F21" s="163"/>
      <c r="G21" s="164"/>
      <c r="H21" s="90">
        <f>SUM(I21)-3.2</f>
        <v>53.599999999999994</v>
      </c>
      <c r="I21" s="90">
        <f>SUM(J21)-3.2</f>
        <v>56.8</v>
      </c>
      <c r="J21" s="165">
        <v>60</v>
      </c>
      <c r="K21" s="90">
        <f>SUM(J21)+3.2</f>
        <v>63.2</v>
      </c>
      <c r="L21" s="90">
        <f t="shared" ref="L21" si="5">SUM(K21)+3.2</f>
        <v>66.400000000000006</v>
      </c>
      <c r="M21" s="167"/>
    </row>
    <row r="22" spans="1:13" ht="14.1" customHeight="1">
      <c r="A22" s="119"/>
      <c r="B22" s="121" t="s">
        <v>48</v>
      </c>
      <c r="C22" s="122"/>
      <c r="D22" s="123" t="s">
        <v>90</v>
      </c>
      <c r="E22" s="124"/>
      <c r="F22" s="124"/>
      <c r="G22" s="125"/>
      <c r="H22" s="79"/>
      <c r="I22" s="79"/>
      <c r="J22" s="83"/>
      <c r="K22" s="79"/>
      <c r="L22" s="79"/>
      <c r="M22" s="80"/>
    </row>
    <row r="23" spans="1:13" ht="14.1" customHeight="1">
      <c r="A23" s="129">
        <v>11</v>
      </c>
      <c r="B23" s="47" t="s">
        <v>103</v>
      </c>
      <c r="C23" s="48"/>
      <c r="D23" s="75"/>
      <c r="E23" s="62"/>
      <c r="F23" s="62"/>
      <c r="G23" s="76"/>
      <c r="H23" s="52">
        <f>SUM(I23)-0.7</f>
        <v>12.100000000000001</v>
      </c>
      <c r="I23" s="52">
        <f>SUM(J23)-0.7</f>
        <v>12.8</v>
      </c>
      <c r="J23" s="54">
        <v>13.5</v>
      </c>
      <c r="K23" s="52">
        <f>SUM(J23)+1.2</f>
        <v>14.7</v>
      </c>
      <c r="L23" s="52">
        <f>SUM(K23)+0.7</f>
        <v>15.399999999999999</v>
      </c>
      <c r="M23" s="64"/>
    </row>
    <row r="24" spans="1:13" ht="14.1" customHeight="1">
      <c r="A24" s="119"/>
      <c r="B24" s="121" t="s">
        <v>102</v>
      </c>
      <c r="C24" s="122"/>
      <c r="D24" s="126" t="s">
        <v>115</v>
      </c>
      <c r="E24" s="127"/>
      <c r="F24" s="127"/>
      <c r="G24" s="128"/>
      <c r="H24" s="79"/>
      <c r="I24" s="79"/>
      <c r="J24" s="83"/>
      <c r="K24" s="79"/>
      <c r="L24" s="79"/>
      <c r="M24" s="80"/>
    </row>
    <row r="25" spans="1:13" ht="14.1" customHeight="1">
      <c r="A25" s="129">
        <v>12</v>
      </c>
      <c r="B25" s="47" t="s">
        <v>9</v>
      </c>
      <c r="C25" s="48"/>
      <c r="D25" s="75" t="s">
        <v>70</v>
      </c>
      <c r="E25" s="62"/>
      <c r="F25" s="62"/>
      <c r="G25" s="76"/>
      <c r="H25" s="52">
        <f>SUM(I25)-1.5</f>
        <v>20.5</v>
      </c>
      <c r="I25" s="52">
        <f>SUM(J25)-1.5</f>
        <v>22</v>
      </c>
      <c r="J25" s="54">
        <v>23.5</v>
      </c>
      <c r="K25" s="52">
        <f>SUM(J25)+1.5</f>
        <v>25</v>
      </c>
      <c r="L25" s="52">
        <f t="shared" ref="L25" si="6">SUM(K25)+1.5</f>
        <v>26.5</v>
      </c>
      <c r="M25" s="64"/>
    </row>
    <row r="26" spans="1:13" ht="14.1" customHeight="1">
      <c r="A26" s="119"/>
      <c r="B26" s="121" t="s">
        <v>49</v>
      </c>
      <c r="C26" s="122"/>
      <c r="D26" s="123" t="s">
        <v>89</v>
      </c>
      <c r="E26" s="124"/>
      <c r="F26" s="124"/>
      <c r="G26" s="125"/>
      <c r="H26" s="79"/>
      <c r="I26" s="79"/>
      <c r="J26" s="83"/>
      <c r="K26" s="79"/>
      <c r="L26" s="79"/>
      <c r="M26" s="80"/>
    </row>
    <row r="27" spans="1:13" ht="14.1" customHeight="1">
      <c r="A27" s="129">
        <v>13</v>
      </c>
      <c r="B27" s="47" t="s">
        <v>14</v>
      </c>
      <c r="C27" s="48"/>
      <c r="D27" s="75" t="s">
        <v>15</v>
      </c>
      <c r="E27" s="62"/>
      <c r="F27" s="62"/>
      <c r="G27" s="76"/>
      <c r="H27" s="52">
        <f>SUM(I27)-1.8</f>
        <v>31.400000000000002</v>
      </c>
      <c r="I27" s="52">
        <f>SUM(J27)-1.8</f>
        <v>33.200000000000003</v>
      </c>
      <c r="J27" s="54">
        <v>35</v>
      </c>
      <c r="K27" s="52">
        <f>SUM(J27)+1.8</f>
        <v>36.799999999999997</v>
      </c>
      <c r="L27" s="52">
        <f t="shared" ref="L27" si="7">SUM(K27)+1.8</f>
        <v>38.599999999999994</v>
      </c>
      <c r="M27" s="64"/>
    </row>
    <row r="28" spans="1:13" ht="14.1" customHeight="1">
      <c r="A28" s="119"/>
      <c r="B28" s="121" t="s">
        <v>50</v>
      </c>
      <c r="C28" s="122"/>
      <c r="D28" s="42" t="s">
        <v>88</v>
      </c>
      <c r="E28" s="43"/>
      <c r="F28" s="43"/>
      <c r="G28" s="44"/>
      <c r="H28" s="79"/>
      <c r="I28" s="79"/>
      <c r="J28" s="83"/>
      <c r="K28" s="79"/>
      <c r="L28" s="79"/>
      <c r="M28" s="80"/>
    </row>
    <row r="29" spans="1:13" ht="14.1" customHeight="1">
      <c r="A29" s="129">
        <v>14</v>
      </c>
      <c r="B29" s="47" t="s">
        <v>16</v>
      </c>
      <c r="C29" s="48"/>
      <c r="D29" s="75" t="s">
        <v>13</v>
      </c>
      <c r="E29" s="62"/>
      <c r="F29" s="62"/>
      <c r="G29" s="76"/>
      <c r="H29" s="52">
        <f>SUM(I29)-1</f>
        <v>20</v>
      </c>
      <c r="I29" s="52">
        <f>SUM(J29)-1</f>
        <v>21</v>
      </c>
      <c r="J29" s="54">
        <v>22</v>
      </c>
      <c r="K29" s="52">
        <f>SUM(J29)+1.5</f>
        <v>23.5</v>
      </c>
      <c r="L29" s="52">
        <f>SUM(K29)+1</f>
        <v>24.5</v>
      </c>
      <c r="M29" s="64"/>
    </row>
    <row r="30" spans="1:13" ht="14.1" customHeight="1">
      <c r="A30" s="119"/>
      <c r="B30" s="121" t="s">
        <v>56</v>
      </c>
      <c r="C30" s="122"/>
      <c r="D30" s="123" t="s">
        <v>87</v>
      </c>
      <c r="E30" s="124"/>
      <c r="F30" s="124"/>
      <c r="G30" s="125"/>
      <c r="H30" s="79"/>
      <c r="I30" s="79"/>
      <c r="J30" s="83"/>
      <c r="K30" s="79"/>
      <c r="L30" s="79"/>
      <c r="M30" s="80"/>
    </row>
    <row r="31" spans="1:13" ht="14.1" customHeight="1">
      <c r="A31" s="129">
        <v>15</v>
      </c>
      <c r="B31" s="47" t="s">
        <v>17</v>
      </c>
      <c r="C31" s="48"/>
      <c r="D31" s="75" t="s">
        <v>13</v>
      </c>
      <c r="E31" s="62"/>
      <c r="F31" s="62"/>
      <c r="G31" s="76"/>
      <c r="H31" s="52">
        <f>SUM(I31)-1.2</f>
        <v>22.200000000000003</v>
      </c>
      <c r="I31" s="52">
        <f>SUM(J31)-1.2</f>
        <v>23.400000000000002</v>
      </c>
      <c r="J31" s="54">
        <v>24.6</v>
      </c>
      <c r="K31" s="52">
        <f>SUM(J31)+1.7</f>
        <v>26.3</v>
      </c>
      <c r="L31" s="52">
        <f>SUM(K31)+1.2</f>
        <v>27.5</v>
      </c>
      <c r="M31" s="64"/>
    </row>
    <row r="32" spans="1:13" ht="14.1" customHeight="1">
      <c r="A32" s="129"/>
      <c r="B32" s="136" t="s">
        <v>55</v>
      </c>
      <c r="C32" s="137"/>
      <c r="D32" s="138" t="s">
        <v>87</v>
      </c>
      <c r="E32" s="139"/>
      <c r="F32" s="139"/>
      <c r="G32" s="140"/>
      <c r="H32" s="53"/>
      <c r="I32" s="53"/>
      <c r="J32" s="134"/>
      <c r="K32" s="53"/>
      <c r="L32" s="53"/>
      <c r="M32" s="135"/>
    </row>
    <row r="33" spans="1:13" ht="14.1" customHeight="1">
      <c r="A33" s="142">
        <v>16</v>
      </c>
      <c r="B33" s="47"/>
      <c r="C33" s="48"/>
      <c r="D33" s="75"/>
      <c r="E33" s="62"/>
      <c r="F33" s="62"/>
      <c r="G33" s="76"/>
      <c r="H33" s="52"/>
      <c r="I33" s="52"/>
      <c r="J33" s="54"/>
      <c r="K33" s="52"/>
      <c r="L33" s="52"/>
      <c r="M33" s="147"/>
    </row>
    <row r="34" spans="1:13" ht="14.1" customHeight="1" thickBot="1">
      <c r="A34" s="143"/>
      <c r="B34" s="69"/>
      <c r="C34" s="70"/>
      <c r="D34" s="71"/>
      <c r="E34" s="72"/>
      <c r="F34" s="72"/>
      <c r="G34" s="73"/>
      <c r="H34" s="77"/>
      <c r="I34" s="77"/>
      <c r="J34" s="144"/>
      <c r="K34" s="77"/>
      <c r="L34" s="77"/>
      <c r="M34" s="149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7933-D6E7-4C25-904E-AC2555ABCB6F}">
  <sheetPr>
    <tabColor theme="8"/>
    <pageSetUpPr fitToPage="1"/>
  </sheetPr>
  <dimension ref="A1:N57"/>
  <sheetViews>
    <sheetView zoomScale="110" zoomScaleNormal="110" workbookViewId="0">
      <selection activeCell="R13" sqref="R13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492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3" t="s">
        <v>60</v>
      </c>
      <c r="I2" s="3" t="s">
        <v>61</v>
      </c>
      <c r="J2" s="7" t="s">
        <v>62</v>
      </c>
      <c r="K2" s="3" t="s">
        <v>63</v>
      </c>
      <c r="L2" s="3" t="s">
        <v>131</v>
      </c>
      <c r="M2" s="14" t="s">
        <v>130</v>
      </c>
      <c r="N2" s="3" t="s">
        <v>145</v>
      </c>
    </row>
    <row r="3" spans="1:14" s="1" customFormat="1" ht="14.1" customHeight="1">
      <c r="A3" s="168">
        <v>1</v>
      </c>
      <c r="B3" s="110" t="s">
        <v>106</v>
      </c>
      <c r="C3" s="111"/>
      <c r="D3" s="252" t="s">
        <v>68</v>
      </c>
      <c r="E3" s="253"/>
      <c r="F3" s="253"/>
      <c r="G3" s="254"/>
      <c r="H3" s="115">
        <f>SUM(I3)-3</f>
        <v>45</v>
      </c>
      <c r="I3" s="115">
        <f>SUM(J3)-3</f>
        <v>48</v>
      </c>
      <c r="J3" s="116">
        <v>51</v>
      </c>
      <c r="K3" s="115">
        <f>SUM(J3)+3</f>
        <v>54</v>
      </c>
      <c r="L3" s="115">
        <f t="shared" ref="L3:N3" si="0">SUM(K3)+3</f>
        <v>57</v>
      </c>
      <c r="M3" s="115">
        <f t="shared" si="0"/>
        <v>60</v>
      </c>
      <c r="N3" s="120">
        <f t="shared" si="0"/>
        <v>63</v>
      </c>
    </row>
    <row r="4" spans="1:14" s="1" customFormat="1" ht="14.1" customHeight="1">
      <c r="A4" s="169"/>
      <c r="B4" s="121" t="s">
        <v>77</v>
      </c>
      <c r="C4" s="122"/>
      <c r="D4" s="159" t="s">
        <v>69</v>
      </c>
      <c r="E4" s="160"/>
      <c r="F4" s="160"/>
      <c r="G4" s="161"/>
      <c r="H4" s="79"/>
      <c r="I4" s="79"/>
      <c r="J4" s="83"/>
      <c r="K4" s="79"/>
      <c r="L4" s="79"/>
      <c r="M4" s="79"/>
      <c r="N4" s="80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>
        <f>SUM(I5)-1.2</f>
        <v>15.600000000000001</v>
      </c>
      <c r="I5" s="52">
        <f>SUM(J5)-1.2</f>
        <v>16.8</v>
      </c>
      <c r="J5" s="54">
        <v>18</v>
      </c>
      <c r="K5" s="52">
        <f>SUM(J5)+1.2</f>
        <v>19.2</v>
      </c>
      <c r="L5" s="52">
        <f t="shared" ref="L5:N5" si="1">SUM(K5)+1.2</f>
        <v>20.399999999999999</v>
      </c>
      <c r="M5" s="52">
        <f t="shared" si="1"/>
        <v>21.599999999999998</v>
      </c>
      <c r="N5" s="64">
        <f t="shared" si="1"/>
        <v>22.799999999999997</v>
      </c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>
        <f>SUM(I7)-1.8</f>
        <v>29.4</v>
      </c>
      <c r="I7" s="52">
        <f>SUM(J7)-1.8</f>
        <v>31.2</v>
      </c>
      <c r="J7" s="54">
        <v>33</v>
      </c>
      <c r="K7" s="52">
        <f>SUM(J7)+1.8</f>
        <v>34.799999999999997</v>
      </c>
      <c r="L7" s="52">
        <f t="shared" ref="L7:N7" si="2">SUM(K7)+1.8</f>
        <v>36.599999999999994</v>
      </c>
      <c r="M7" s="52">
        <f t="shared" si="2"/>
        <v>38.399999999999991</v>
      </c>
      <c r="N7" s="64">
        <f t="shared" si="2"/>
        <v>40.199999999999989</v>
      </c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>
        <f>SUM(I9)-1.8</f>
        <v>33.400000000000006</v>
      </c>
      <c r="I9" s="52">
        <f>SUM(J9)-1.8</f>
        <v>35.200000000000003</v>
      </c>
      <c r="J9" s="54">
        <v>37</v>
      </c>
      <c r="K9" s="52">
        <f>SUM(J9)+1.8</f>
        <v>38.799999999999997</v>
      </c>
      <c r="L9" s="52">
        <f t="shared" ref="L9:N9" si="3">SUM(K9)+1.8</f>
        <v>40.599999999999994</v>
      </c>
      <c r="M9" s="52">
        <f t="shared" si="3"/>
        <v>42.399999999999991</v>
      </c>
      <c r="N9" s="64">
        <f t="shared" si="3"/>
        <v>44.199999999999989</v>
      </c>
    </row>
    <row r="10" spans="1:14" s="1" customFormat="1" ht="14.1" customHeight="1">
      <c r="A10" s="119"/>
      <c r="B10" s="121" t="s">
        <v>118</v>
      </c>
      <c r="C10" s="122"/>
      <c r="D10" s="159" t="s">
        <v>493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109</v>
      </c>
      <c r="C11" s="48"/>
      <c r="D11" s="75"/>
      <c r="E11" s="62"/>
      <c r="F11" s="62"/>
      <c r="G11" s="76"/>
      <c r="H11" s="81">
        <f>SUM(I11)-4.5</f>
        <v>63</v>
      </c>
      <c r="I11" s="52">
        <f>SUM(J11)-4.5</f>
        <v>67.5</v>
      </c>
      <c r="J11" s="54">
        <v>72</v>
      </c>
      <c r="K11" s="52">
        <f>SUM(J11)+4.5</f>
        <v>76.5</v>
      </c>
      <c r="L11" s="52">
        <f t="shared" ref="L11:N11" si="4">SUM(K11)+4.5</f>
        <v>81</v>
      </c>
      <c r="M11" s="52">
        <f t="shared" si="4"/>
        <v>85.5</v>
      </c>
      <c r="N11" s="64">
        <f t="shared" si="4"/>
        <v>90</v>
      </c>
    </row>
    <row r="12" spans="1:14" s="1" customFormat="1" ht="14.1" customHeight="1">
      <c r="A12" s="119"/>
      <c r="B12" s="121" t="s">
        <v>108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80"/>
    </row>
    <row r="13" spans="1:14" s="1" customFormat="1" ht="14.1" customHeight="1">
      <c r="A13" s="129">
        <v>6</v>
      </c>
      <c r="B13" s="47" t="s">
        <v>140</v>
      </c>
      <c r="C13" s="48"/>
      <c r="D13" s="150" t="s">
        <v>70</v>
      </c>
      <c r="E13" s="151"/>
      <c r="F13" s="151"/>
      <c r="G13" s="152"/>
      <c r="H13" s="81">
        <f>SUM(I13)-2.5</f>
        <v>26</v>
      </c>
      <c r="I13" s="52">
        <f>SUM(J13)-2.5</f>
        <v>28.5</v>
      </c>
      <c r="J13" s="54">
        <v>31</v>
      </c>
      <c r="K13" s="52">
        <f>SUM(J13)+2.5</f>
        <v>33.5</v>
      </c>
      <c r="L13" s="52">
        <f t="shared" ref="L13:N13" si="5">SUM(K13)+2.5</f>
        <v>36</v>
      </c>
      <c r="M13" s="52">
        <f t="shared" si="5"/>
        <v>38.5</v>
      </c>
      <c r="N13" s="64">
        <f t="shared" si="5"/>
        <v>41</v>
      </c>
    </row>
    <row r="14" spans="1:14" s="1" customFormat="1" ht="14.1" customHeight="1">
      <c r="A14" s="119"/>
      <c r="B14" s="121" t="s">
        <v>139</v>
      </c>
      <c r="C14" s="122"/>
      <c r="D14" s="159" t="s">
        <v>107</v>
      </c>
      <c r="E14" s="160"/>
      <c r="F14" s="160"/>
      <c r="G14" s="161"/>
      <c r="H14" s="61"/>
      <c r="I14" s="79"/>
      <c r="J14" s="83"/>
      <c r="K14" s="79"/>
      <c r="L14" s="79"/>
      <c r="M14" s="79"/>
      <c r="N14" s="80"/>
    </row>
    <row r="15" spans="1:14" s="1" customFormat="1" ht="14.1" customHeight="1">
      <c r="A15" s="129">
        <v>7</v>
      </c>
      <c r="B15" s="47" t="s">
        <v>321</v>
      </c>
      <c r="C15" s="48"/>
      <c r="D15" s="150"/>
      <c r="E15" s="151"/>
      <c r="F15" s="151"/>
      <c r="G15" s="152"/>
      <c r="H15" s="81">
        <f>SUM(I15)-1.5</f>
        <v>15</v>
      </c>
      <c r="I15" s="52">
        <f>SUM(J15)-1.5</f>
        <v>16.5</v>
      </c>
      <c r="J15" s="54">
        <v>18</v>
      </c>
      <c r="K15" s="52">
        <f>SUM(J15)+1.5</f>
        <v>19.5</v>
      </c>
      <c r="L15" s="52">
        <f>SUM(K15)+1.5</f>
        <v>21</v>
      </c>
      <c r="M15" s="52">
        <f>SUM(L15)+1.5</f>
        <v>22.5</v>
      </c>
      <c r="N15" s="64">
        <f>SUM(M15)+1.5</f>
        <v>24</v>
      </c>
    </row>
    <row r="16" spans="1:14" s="1" customFormat="1" ht="14.1" customHeight="1">
      <c r="A16" s="119"/>
      <c r="B16" s="121" t="s">
        <v>322</v>
      </c>
      <c r="C16" s="122"/>
      <c r="D16" s="159" t="s">
        <v>494</v>
      </c>
      <c r="E16" s="160"/>
      <c r="F16" s="160"/>
      <c r="G16" s="161"/>
      <c r="H16" s="61"/>
      <c r="I16" s="79"/>
      <c r="J16" s="83"/>
      <c r="K16" s="79"/>
      <c r="L16" s="79"/>
      <c r="M16" s="79"/>
      <c r="N16" s="80"/>
    </row>
    <row r="17" spans="1:14" s="1" customFormat="1" ht="14.1" customHeight="1">
      <c r="A17" s="129">
        <v>8</v>
      </c>
      <c r="B17" s="47" t="s">
        <v>496</v>
      </c>
      <c r="C17" s="48"/>
      <c r="D17" s="150"/>
      <c r="E17" s="151"/>
      <c r="F17" s="151"/>
      <c r="G17" s="152"/>
      <c r="H17" s="81">
        <f>SUM(I17)-5</f>
        <v>69</v>
      </c>
      <c r="I17" s="52">
        <f>SUM(J17)-5</f>
        <v>74</v>
      </c>
      <c r="J17" s="54">
        <v>79</v>
      </c>
      <c r="K17" s="52">
        <f>SUM(J17)+5</f>
        <v>84</v>
      </c>
      <c r="L17" s="52">
        <f>SUM(K17)+5</f>
        <v>89</v>
      </c>
      <c r="M17" s="52">
        <f>SUM(L17)+5</f>
        <v>94</v>
      </c>
      <c r="N17" s="64">
        <f>SUM(M17)+5</f>
        <v>99</v>
      </c>
    </row>
    <row r="18" spans="1:14" s="1" customFormat="1" ht="14.1" customHeight="1">
      <c r="A18" s="119"/>
      <c r="B18" s="121" t="s">
        <v>495</v>
      </c>
      <c r="C18" s="122"/>
      <c r="D18" s="159"/>
      <c r="E18" s="160"/>
      <c r="F18" s="160"/>
      <c r="G18" s="161"/>
      <c r="H18" s="61"/>
      <c r="I18" s="79"/>
      <c r="J18" s="83"/>
      <c r="K18" s="79"/>
      <c r="L18" s="79"/>
      <c r="M18" s="79"/>
      <c r="N18" s="80"/>
    </row>
    <row r="19" spans="1:14" s="1" customFormat="1" ht="14.1" customHeight="1">
      <c r="A19" s="129">
        <v>9</v>
      </c>
      <c r="B19" s="47" t="s">
        <v>125</v>
      </c>
      <c r="C19" s="48"/>
      <c r="D19" s="75"/>
      <c r="E19" s="62"/>
      <c r="F19" s="62"/>
      <c r="G19" s="76"/>
      <c r="H19" s="81">
        <f>SUM(I19)-0.7</f>
        <v>10.600000000000001</v>
      </c>
      <c r="I19" s="52">
        <f>SUM(J19)-0.7</f>
        <v>11.3</v>
      </c>
      <c r="J19" s="54">
        <v>12</v>
      </c>
      <c r="K19" s="52">
        <f>SUM(J19)+0.7</f>
        <v>12.7</v>
      </c>
      <c r="L19" s="52">
        <f>SUM(K19)+0.7</f>
        <v>13.399999999999999</v>
      </c>
      <c r="M19" s="81">
        <f>SUM(L19)+0.7</f>
        <v>14.099999999999998</v>
      </c>
      <c r="N19" s="205">
        <f>SUM(M19)+0.7</f>
        <v>14.799999999999997</v>
      </c>
    </row>
    <row r="20" spans="1:14" s="1" customFormat="1" ht="14.1" customHeight="1">
      <c r="A20" s="119"/>
      <c r="B20" s="121" t="s">
        <v>126</v>
      </c>
      <c r="C20" s="122"/>
      <c r="D20" s="126" t="s">
        <v>127</v>
      </c>
      <c r="E20" s="127"/>
      <c r="F20" s="127"/>
      <c r="G20" s="128"/>
      <c r="H20" s="61"/>
      <c r="I20" s="79"/>
      <c r="J20" s="83"/>
      <c r="K20" s="79"/>
      <c r="L20" s="79"/>
      <c r="M20" s="61"/>
      <c r="N20" s="207"/>
    </row>
    <row r="21" spans="1:14" s="1" customFormat="1" ht="14.1" customHeight="1">
      <c r="A21" s="129">
        <v>10</v>
      </c>
      <c r="B21" s="47" t="s">
        <v>137</v>
      </c>
      <c r="C21" s="48"/>
      <c r="D21" s="75"/>
      <c r="E21" s="62"/>
      <c r="F21" s="62"/>
      <c r="G21" s="76"/>
      <c r="H21" s="52">
        <f>SUM(I21)-0</f>
        <v>2.8</v>
      </c>
      <c r="I21" s="52">
        <f>SUM(J21)-0</f>
        <v>2.8</v>
      </c>
      <c r="J21" s="54">
        <v>2.8</v>
      </c>
      <c r="K21" s="52">
        <f>SUM(J21)+0.5</f>
        <v>3.3</v>
      </c>
      <c r="L21" s="52">
        <f>SUM(K21)+0</f>
        <v>3.3</v>
      </c>
      <c r="M21" s="52">
        <f>SUM(L21)+0</f>
        <v>3.3</v>
      </c>
      <c r="N21" s="205">
        <f>SUM(M21)+0</f>
        <v>3.3</v>
      </c>
    </row>
    <row r="22" spans="1:14" ht="14.1" customHeight="1">
      <c r="A22" s="119"/>
      <c r="B22" s="121" t="s">
        <v>136</v>
      </c>
      <c r="C22" s="122"/>
      <c r="D22" s="126"/>
      <c r="E22" s="127"/>
      <c r="F22" s="127"/>
      <c r="G22" s="128"/>
      <c r="H22" s="79"/>
      <c r="I22" s="79"/>
      <c r="J22" s="83"/>
      <c r="K22" s="79"/>
      <c r="L22" s="79"/>
      <c r="M22" s="79"/>
      <c r="N22" s="207"/>
    </row>
    <row r="23" spans="1:14" ht="14.1" customHeight="1">
      <c r="A23" s="129">
        <v>11</v>
      </c>
      <c r="B23" s="47" t="s">
        <v>101</v>
      </c>
      <c r="C23" s="48"/>
      <c r="D23" s="75" t="s">
        <v>22</v>
      </c>
      <c r="E23" s="62"/>
      <c r="F23" s="62"/>
      <c r="G23" s="76"/>
      <c r="H23" s="52">
        <f>SUM(I23)-0.3</f>
        <v>5.4</v>
      </c>
      <c r="I23" s="52">
        <f>SUM(J23)-0.3</f>
        <v>5.7</v>
      </c>
      <c r="J23" s="37">
        <v>6</v>
      </c>
      <c r="K23" s="38">
        <f>SUM(J23)+0.3</f>
        <v>6.3</v>
      </c>
      <c r="L23" s="38">
        <f>SUM(K23)+0.3</f>
        <v>6.6</v>
      </c>
      <c r="M23" s="175">
        <f>SUM(L23)+0.3</f>
        <v>6.8999999999999995</v>
      </c>
      <c r="N23" s="208">
        <f>SUM(M23)+0.3</f>
        <v>7.1999999999999993</v>
      </c>
    </row>
    <row r="24" spans="1:14" ht="14.1" customHeight="1">
      <c r="A24" s="119"/>
      <c r="B24" s="121" t="s">
        <v>52</v>
      </c>
      <c r="C24" s="122"/>
      <c r="D24" s="123" t="s">
        <v>100</v>
      </c>
      <c r="E24" s="124"/>
      <c r="F24" s="124"/>
      <c r="G24" s="125"/>
      <c r="H24" s="79"/>
      <c r="I24" s="79"/>
      <c r="J24" s="37"/>
      <c r="K24" s="38"/>
      <c r="L24" s="38"/>
      <c r="M24" s="175"/>
      <c r="N24" s="208"/>
    </row>
    <row r="25" spans="1:14" ht="14.1" customHeight="1">
      <c r="A25" s="129">
        <v>12</v>
      </c>
      <c r="B25" s="47" t="s">
        <v>99</v>
      </c>
      <c r="C25" s="48"/>
      <c r="D25" s="75" t="s">
        <v>23</v>
      </c>
      <c r="E25" s="62"/>
      <c r="F25" s="62"/>
      <c r="G25" s="76"/>
      <c r="H25" s="52">
        <f>SUM(I25)-0.5</f>
        <v>7.5</v>
      </c>
      <c r="I25" s="52">
        <f>SUM(J25)-0.5</f>
        <v>8</v>
      </c>
      <c r="J25" s="54">
        <v>8.5</v>
      </c>
      <c r="K25" s="52">
        <f>SUM(J25)+0.5</f>
        <v>9</v>
      </c>
      <c r="L25" s="52">
        <f>SUM(K25)+0.5</f>
        <v>9.5</v>
      </c>
      <c r="M25" s="52">
        <f>SUM(L25)+0.5</f>
        <v>10</v>
      </c>
      <c r="N25" s="205">
        <f>SUM(M25)+0.5</f>
        <v>10.5</v>
      </c>
    </row>
    <row r="26" spans="1:14" ht="14.1" customHeight="1">
      <c r="A26" s="119"/>
      <c r="B26" s="121" t="s">
        <v>51</v>
      </c>
      <c r="C26" s="122"/>
      <c r="D26" s="123" t="s">
        <v>98</v>
      </c>
      <c r="E26" s="124"/>
      <c r="F26" s="124"/>
      <c r="G26" s="125"/>
      <c r="H26" s="79"/>
      <c r="I26" s="79"/>
      <c r="J26" s="83"/>
      <c r="K26" s="79"/>
      <c r="L26" s="79"/>
      <c r="M26" s="79"/>
      <c r="N26" s="207"/>
    </row>
    <row r="27" spans="1:14" ht="14.1" customHeight="1">
      <c r="A27" s="46">
        <v>13</v>
      </c>
      <c r="B27" s="47"/>
      <c r="C27" s="48"/>
      <c r="D27" s="150"/>
      <c r="E27" s="151"/>
      <c r="F27" s="151"/>
      <c r="G27" s="152"/>
      <c r="H27" s="52"/>
      <c r="I27" s="52"/>
      <c r="J27" s="54"/>
      <c r="K27" s="52"/>
      <c r="L27" s="52"/>
      <c r="M27" s="52"/>
      <c r="N27" s="64"/>
    </row>
    <row r="28" spans="1:14" ht="14.1" customHeight="1" thickBot="1">
      <c r="A28" s="248"/>
      <c r="B28" s="242"/>
      <c r="C28" s="243"/>
      <c r="D28" s="244"/>
      <c r="E28" s="245"/>
      <c r="F28" s="245"/>
      <c r="G28" s="246"/>
      <c r="H28" s="97"/>
      <c r="I28" s="97"/>
      <c r="J28" s="247"/>
      <c r="K28" s="97"/>
      <c r="L28" s="97"/>
      <c r="M28" s="97"/>
      <c r="N28" s="241"/>
    </row>
    <row r="29" spans="1:14" ht="14.1" customHeight="1" thickTop="1">
      <c r="A29" s="186">
        <v>14</v>
      </c>
      <c r="B29" s="56" t="s">
        <v>11</v>
      </c>
      <c r="C29" s="57"/>
      <c r="D29" s="58" t="s">
        <v>12</v>
      </c>
      <c r="E29" s="59"/>
      <c r="F29" s="59"/>
      <c r="G29" s="60"/>
      <c r="H29" s="65">
        <f>SUM(I29)-3.2</f>
        <v>53.599999999999994</v>
      </c>
      <c r="I29" s="53">
        <f>SUM(J29)-3.2</f>
        <v>56.8</v>
      </c>
      <c r="J29" s="134">
        <v>60</v>
      </c>
      <c r="K29" s="53">
        <f>SUM(J29)+3.2</f>
        <v>63.2</v>
      </c>
      <c r="L29" s="53">
        <f>SUM(K29)+3.2</f>
        <v>66.400000000000006</v>
      </c>
      <c r="M29" s="53">
        <f t="shared" ref="M29:N29" si="6">SUM(L29)+3.2</f>
        <v>69.600000000000009</v>
      </c>
      <c r="N29" s="135">
        <f t="shared" si="6"/>
        <v>72.800000000000011</v>
      </c>
    </row>
    <row r="30" spans="1:14" ht="14.1" customHeight="1">
      <c r="A30" s="109"/>
      <c r="B30" s="121" t="s">
        <v>48</v>
      </c>
      <c r="C30" s="122"/>
      <c r="D30" s="123" t="s">
        <v>90</v>
      </c>
      <c r="E30" s="124"/>
      <c r="F30" s="124"/>
      <c r="G30" s="125"/>
      <c r="H30" s="61"/>
      <c r="I30" s="79"/>
      <c r="J30" s="83"/>
      <c r="K30" s="79"/>
      <c r="L30" s="79"/>
      <c r="M30" s="79"/>
      <c r="N30" s="80"/>
    </row>
    <row r="31" spans="1:14" ht="14.1" customHeight="1">
      <c r="A31" s="46">
        <v>15</v>
      </c>
      <c r="B31" s="47" t="s">
        <v>103</v>
      </c>
      <c r="C31" s="48"/>
      <c r="D31" s="75"/>
      <c r="E31" s="62"/>
      <c r="F31" s="62"/>
      <c r="G31" s="76"/>
      <c r="H31" s="81">
        <f>SUM(I31)-0.7</f>
        <v>12.3</v>
      </c>
      <c r="I31" s="52">
        <f>SUM(J31)-0.7</f>
        <v>13</v>
      </c>
      <c r="J31" s="54">
        <v>13.7</v>
      </c>
      <c r="K31" s="52">
        <f>SUM(J31)+1.2</f>
        <v>14.899999999999999</v>
      </c>
      <c r="L31" s="52">
        <f>SUM(K31)+0.7</f>
        <v>15.599999999999998</v>
      </c>
      <c r="M31" s="52">
        <f t="shared" ref="M31:N31" si="7">SUM(L31)+0.7</f>
        <v>16.299999999999997</v>
      </c>
      <c r="N31" s="64">
        <f t="shared" si="7"/>
        <v>16.999999999999996</v>
      </c>
    </row>
    <row r="32" spans="1:14" ht="14.1" customHeight="1">
      <c r="A32" s="109"/>
      <c r="B32" s="121" t="s">
        <v>102</v>
      </c>
      <c r="C32" s="122"/>
      <c r="D32" s="126" t="s">
        <v>115</v>
      </c>
      <c r="E32" s="127"/>
      <c r="F32" s="127"/>
      <c r="G32" s="128"/>
      <c r="H32" s="61"/>
      <c r="I32" s="79"/>
      <c r="J32" s="83"/>
      <c r="K32" s="79"/>
      <c r="L32" s="79"/>
      <c r="M32" s="79"/>
      <c r="N32" s="80"/>
    </row>
    <row r="33" spans="1:14" ht="14.1" customHeight="1">
      <c r="A33" s="46">
        <v>16</v>
      </c>
      <c r="B33" s="47" t="s">
        <v>9</v>
      </c>
      <c r="C33" s="48"/>
      <c r="D33" s="75" t="s">
        <v>70</v>
      </c>
      <c r="E33" s="62"/>
      <c r="F33" s="62"/>
      <c r="G33" s="76"/>
      <c r="H33" s="81">
        <f>SUM(I33)-1.5</f>
        <v>17.5</v>
      </c>
      <c r="I33" s="52">
        <f>SUM(J33)-1.5</f>
        <v>19</v>
      </c>
      <c r="J33" s="54">
        <v>20.5</v>
      </c>
      <c r="K33" s="52">
        <f>SUM(J33)+1</f>
        <v>21.5</v>
      </c>
      <c r="L33" s="52">
        <f>SUM(K33)+1.5</f>
        <v>23</v>
      </c>
      <c r="M33" s="52">
        <f t="shared" ref="M33:N33" si="8">SUM(L33)+1.5</f>
        <v>24.5</v>
      </c>
      <c r="N33" s="64">
        <f t="shared" si="8"/>
        <v>26</v>
      </c>
    </row>
    <row r="34" spans="1:14" ht="14.1" customHeight="1">
      <c r="A34" s="109"/>
      <c r="B34" s="121" t="s">
        <v>642</v>
      </c>
      <c r="C34" s="122"/>
      <c r="D34" s="123" t="s">
        <v>89</v>
      </c>
      <c r="E34" s="124"/>
      <c r="F34" s="124"/>
      <c r="G34" s="125"/>
      <c r="H34" s="61"/>
      <c r="I34" s="79"/>
      <c r="J34" s="83"/>
      <c r="K34" s="79"/>
      <c r="L34" s="79"/>
      <c r="M34" s="79"/>
      <c r="N34" s="80"/>
    </row>
    <row r="35" spans="1:14" ht="14.1" customHeight="1">
      <c r="A35" s="46">
        <v>17</v>
      </c>
      <c r="B35" s="47" t="s">
        <v>14</v>
      </c>
      <c r="C35" s="48"/>
      <c r="D35" s="75" t="s">
        <v>15</v>
      </c>
      <c r="E35" s="62"/>
      <c r="F35" s="62"/>
      <c r="G35" s="76"/>
      <c r="H35" s="81">
        <f>SUM(I35)-1.8</f>
        <v>31.400000000000002</v>
      </c>
      <c r="I35" s="52">
        <f>SUM(J35)-1.8</f>
        <v>33.200000000000003</v>
      </c>
      <c r="J35" s="54">
        <v>35</v>
      </c>
      <c r="K35" s="52">
        <f>SUM(J35)+1.8</f>
        <v>36.799999999999997</v>
      </c>
      <c r="L35" s="52">
        <f>SUM(K35)+1.8</f>
        <v>38.599999999999994</v>
      </c>
      <c r="M35" s="52">
        <f t="shared" ref="M35:N35" si="9">SUM(L35)+1.8</f>
        <v>40.399999999999991</v>
      </c>
      <c r="N35" s="64">
        <f t="shared" si="9"/>
        <v>42.199999999999989</v>
      </c>
    </row>
    <row r="36" spans="1:14" ht="14.1" customHeight="1">
      <c r="A36" s="109"/>
      <c r="B36" s="121" t="s">
        <v>50</v>
      </c>
      <c r="C36" s="122"/>
      <c r="D36" s="42" t="s">
        <v>88</v>
      </c>
      <c r="E36" s="43"/>
      <c r="F36" s="43"/>
      <c r="G36" s="44"/>
      <c r="H36" s="61"/>
      <c r="I36" s="79"/>
      <c r="J36" s="83"/>
      <c r="K36" s="79"/>
      <c r="L36" s="79"/>
      <c r="M36" s="79"/>
      <c r="N36" s="80"/>
    </row>
    <row r="37" spans="1:14" ht="14.1" customHeight="1">
      <c r="A37" s="46">
        <v>18</v>
      </c>
      <c r="B37" s="47" t="s">
        <v>16</v>
      </c>
      <c r="C37" s="48"/>
      <c r="D37" s="75" t="s">
        <v>13</v>
      </c>
      <c r="E37" s="62"/>
      <c r="F37" s="62"/>
      <c r="G37" s="76"/>
      <c r="H37" s="81">
        <f>SUM(I37)-1</f>
        <v>16.5</v>
      </c>
      <c r="I37" s="52">
        <f>SUM(J37)-1</f>
        <v>17.5</v>
      </c>
      <c r="J37" s="54">
        <v>18.5</v>
      </c>
      <c r="K37" s="52">
        <f>SUM(J37)+1</f>
        <v>19.5</v>
      </c>
      <c r="L37" s="52">
        <f>SUM(K37)+1</f>
        <v>20.5</v>
      </c>
      <c r="M37" s="52">
        <f t="shared" ref="M37:N37" si="10">SUM(L37)+1</f>
        <v>21.5</v>
      </c>
      <c r="N37" s="64">
        <f t="shared" si="10"/>
        <v>22.5</v>
      </c>
    </row>
    <row r="38" spans="1:14" ht="14.1" customHeight="1">
      <c r="A38" s="109"/>
      <c r="B38" s="121" t="s">
        <v>643</v>
      </c>
      <c r="C38" s="122"/>
      <c r="D38" s="123" t="s">
        <v>87</v>
      </c>
      <c r="E38" s="124"/>
      <c r="F38" s="124"/>
      <c r="G38" s="125"/>
      <c r="H38" s="61"/>
      <c r="I38" s="79"/>
      <c r="J38" s="83"/>
      <c r="K38" s="79"/>
      <c r="L38" s="79"/>
      <c r="M38" s="79"/>
      <c r="N38" s="80"/>
    </row>
    <row r="39" spans="1:14" ht="14.1" customHeight="1">
      <c r="A39" s="46">
        <v>19</v>
      </c>
      <c r="B39" s="47" t="s">
        <v>17</v>
      </c>
      <c r="C39" s="48"/>
      <c r="D39" s="75" t="s">
        <v>13</v>
      </c>
      <c r="E39" s="62"/>
      <c r="F39" s="62"/>
      <c r="G39" s="76"/>
      <c r="H39" s="81">
        <f>SUM(I39)-1.2</f>
        <v>18.700000000000003</v>
      </c>
      <c r="I39" s="52">
        <f>SUM(J39)-1.2</f>
        <v>19.900000000000002</v>
      </c>
      <c r="J39" s="54">
        <v>21.1</v>
      </c>
      <c r="K39" s="52">
        <f>SUM(J39)+1.2</f>
        <v>22.3</v>
      </c>
      <c r="L39" s="52">
        <f>SUM(K39)+1.2</f>
        <v>23.5</v>
      </c>
      <c r="M39" s="52">
        <f t="shared" ref="M39:N39" si="11">SUM(L39)+1.2</f>
        <v>24.7</v>
      </c>
      <c r="N39" s="64">
        <f t="shared" si="11"/>
        <v>25.9</v>
      </c>
    </row>
    <row r="40" spans="1:14" ht="14.1" customHeight="1">
      <c r="A40" s="109"/>
      <c r="B40" s="121" t="s">
        <v>644</v>
      </c>
      <c r="C40" s="122"/>
      <c r="D40" s="123" t="s">
        <v>87</v>
      </c>
      <c r="E40" s="124"/>
      <c r="F40" s="124"/>
      <c r="G40" s="125"/>
      <c r="H40" s="61"/>
      <c r="I40" s="79"/>
      <c r="J40" s="83"/>
      <c r="K40" s="79"/>
      <c r="L40" s="79"/>
      <c r="M40" s="79"/>
      <c r="N40" s="80"/>
    </row>
    <row r="41" spans="1:14" ht="14.1" customHeight="1">
      <c r="A41" s="46">
        <v>20</v>
      </c>
      <c r="B41" s="47" t="s">
        <v>18</v>
      </c>
      <c r="C41" s="48"/>
      <c r="D41" s="75" t="s">
        <v>19</v>
      </c>
      <c r="E41" s="62"/>
      <c r="F41" s="62"/>
      <c r="G41" s="76"/>
      <c r="H41" s="81"/>
      <c r="I41" s="52"/>
      <c r="J41" s="54"/>
      <c r="K41" s="52"/>
      <c r="L41" s="52"/>
      <c r="M41" s="52"/>
      <c r="N41" s="64"/>
    </row>
    <row r="42" spans="1:14" ht="14.1" customHeight="1">
      <c r="A42" s="109"/>
      <c r="B42" s="121" t="s">
        <v>54</v>
      </c>
      <c r="C42" s="122"/>
      <c r="D42" s="123" t="s">
        <v>86</v>
      </c>
      <c r="E42" s="124"/>
      <c r="F42" s="124"/>
      <c r="G42" s="125"/>
      <c r="H42" s="61"/>
      <c r="I42" s="79"/>
      <c r="J42" s="83"/>
      <c r="K42" s="79"/>
      <c r="L42" s="79"/>
      <c r="M42" s="79"/>
      <c r="N42" s="80"/>
    </row>
    <row r="43" spans="1:14" ht="14.1" customHeight="1">
      <c r="A43" s="46">
        <v>21</v>
      </c>
      <c r="B43" s="47" t="s">
        <v>20</v>
      </c>
      <c r="C43" s="48"/>
      <c r="D43" s="75" t="s">
        <v>21</v>
      </c>
      <c r="E43" s="62"/>
      <c r="F43" s="62"/>
      <c r="G43" s="76"/>
      <c r="H43" s="81"/>
      <c r="I43" s="52"/>
      <c r="J43" s="54"/>
      <c r="K43" s="52"/>
      <c r="L43" s="52"/>
      <c r="M43" s="52"/>
      <c r="N43" s="64"/>
    </row>
    <row r="44" spans="1:14" ht="14.1" customHeight="1">
      <c r="A44" s="109"/>
      <c r="B44" s="121" t="s">
        <v>53</v>
      </c>
      <c r="C44" s="122"/>
      <c r="D44" s="123" t="s">
        <v>85</v>
      </c>
      <c r="E44" s="124"/>
      <c r="F44" s="124"/>
      <c r="G44" s="125"/>
      <c r="H44" s="61"/>
      <c r="I44" s="79"/>
      <c r="J44" s="83"/>
      <c r="K44" s="79"/>
      <c r="L44" s="79"/>
      <c r="M44" s="79"/>
      <c r="N44" s="80"/>
    </row>
    <row r="45" spans="1:14" ht="14.1" customHeight="1">
      <c r="A45" s="46">
        <v>22</v>
      </c>
      <c r="B45" s="47" t="s">
        <v>84</v>
      </c>
      <c r="C45" s="48"/>
      <c r="D45" s="75" t="s">
        <v>82</v>
      </c>
      <c r="E45" s="62"/>
      <c r="F45" s="62"/>
      <c r="G45" s="76"/>
      <c r="H45" s="81"/>
      <c r="I45" s="52"/>
      <c r="J45" s="54"/>
      <c r="K45" s="52"/>
      <c r="L45" s="52"/>
      <c r="M45" s="52"/>
      <c r="N45" s="64"/>
    </row>
    <row r="46" spans="1:14" ht="14.1" customHeight="1">
      <c r="A46" s="109"/>
      <c r="B46" s="121" t="s">
        <v>83</v>
      </c>
      <c r="C46" s="122"/>
      <c r="D46" s="123" t="s">
        <v>82</v>
      </c>
      <c r="E46" s="124"/>
      <c r="F46" s="124"/>
      <c r="G46" s="125"/>
      <c r="H46" s="61"/>
      <c r="I46" s="79"/>
      <c r="J46" s="83"/>
      <c r="K46" s="79"/>
      <c r="L46" s="79"/>
      <c r="M46" s="79"/>
      <c r="N46" s="80"/>
    </row>
    <row r="47" spans="1:14" ht="14.1" customHeight="1">
      <c r="A47" s="46">
        <v>23</v>
      </c>
      <c r="B47" s="47" t="s">
        <v>81</v>
      </c>
      <c r="C47" s="48"/>
      <c r="D47" s="75" t="s">
        <v>80</v>
      </c>
      <c r="E47" s="62"/>
      <c r="F47" s="62"/>
      <c r="G47" s="76"/>
      <c r="H47" s="81"/>
      <c r="I47" s="52"/>
      <c r="J47" s="54"/>
      <c r="K47" s="52"/>
      <c r="L47" s="52"/>
      <c r="M47" s="52"/>
      <c r="N47" s="64"/>
    </row>
    <row r="48" spans="1:14" ht="14.1" customHeight="1" thickBot="1">
      <c r="A48" s="187"/>
      <c r="B48" s="69" t="s">
        <v>79</v>
      </c>
      <c r="C48" s="70"/>
      <c r="D48" s="71" t="s">
        <v>78</v>
      </c>
      <c r="E48" s="72"/>
      <c r="F48" s="72"/>
      <c r="G48" s="73"/>
      <c r="H48" s="190"/>
      <c r="I48" s="77"/>
      <c r="J48" s="144"/>
      <c r="K48" s="77"/>
      <c r="L48" s="77"/>
      <c r="M48" s="77"/>
      <c r="N48" s="141"/>
    </row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79"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B07-ABEC-4FF0-86D1-E547902EC427}">
  <sheetPr>
    <tabColor theme="8"/>
    <pageSetUpPr fitToPage="1"/>
  </sheetPr>
  <dimension ref="A1:N57"/>
  <sheetViews>
    <sheetView zoomScale="110" zoomScaleNormal="110" workbookViewId="0">
      <selection activeCell="Q29" sqref="Q29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441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3" t="s">
        <v>60</v>
      </c>
      <c r="I2" s="3" t="s">
        <v>61</v>
      </c>
      <c r="J2" s="7" t="s">
        <v>62</v>
      </c>
      <c r="K2" s="3" t="s">
        <v>63</v>
      </c>
      <c r="L2" s="3" t="s">
        <v>131</v>
      </c>
      <c r="M2" s="14" t="s">
        <v>130</v>
      </c>
      <c r="N2" s="27" t="s">
        <v>145</v>
      </c>
    </row>
    <row r="3" spans="1:14" s="1" customFormat="1" ht="14.1" customHeight="1">
      <c r="A3" s="168">
        <v>1</v>
      </c>
      <c r="B3" s="110" t="s">
        <v>106</v>
      </c>
      <c r="C3" s="111"/>
      <c r="D3" s="252" t="s">
        <v>68</v>
      </c>
      <c r="E3" s="253"/>
      <c r="F3" s="253"/>
      <c r="G3" s="254"/>
      <c r="H3" s="115">
        <f>SUM(I3)-3</f>
        <v>45</v>
      </c>
      <c r="I3" s="115">
        <f>SUM(J3)-3</f>
        <v>48</v>
      </c>
      <c r="J3" s="116">
        <v>51</v>
      </c>
      <c r="K3" s="115">
        <f>SUM(J3)+3</f>
        <v>54</v>
      </c>
      <c r="L3" s="115">
        <f t="shared" ref="L3:N3" si="0">SUM(K3)+3</f>
        <v>57</v>
      </c>
      <c r="M3" s="115">
        <f t="shared" si="0"/>
        <v>60</v>
      </c>
      <c r="N3" s="210">
        <f t="shared" si="0"/>
        <v>63</v>
      </c>
    </row>
    <row r="4" spans="1:14" s="1" customFormat="1" ht="14.1" customHeight="1">
      <c r="A4" s="169"/>
      <c r="B4" s="121" t="s">
        <v>77</v>
      </c>
      <c r="C4" s="122"/>
      <c r="D4" s="159" t="s">
        <v>69</v>
      </c>
      <c r="E4" s="160"/>
      <c r="F4" s="160"/>
      <c r="G4" s="161"/>
      <c r="H4" s="79"/>
      <c r="I4" s="79"/>
      <c r="J4" s="83"/>
      <c r="K4" s="79"/>
      <c r="L4" s="79"/>
      <c r="M4" s="79"/>
      <c r="N4" s="207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/>
      <c r="I5" s="52"/>
      <c r="J5" s="54"/>
      <c r="K5" s="52"/>
      <c r="L5" s="52"/>
      <c r="M5" s="52"/>
      <c r="N5" s="205"/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207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/>
      <c r="I7" s="52"/>
      <c r="J7" s="54"/>
      <c r="K7" s="52"/>
      <c r="L7" s="52"/>
      <c r="M7" s="52"/>
      <c r="N7" s="205"/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207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/>
      <c r="I9" s="52"/>
      <c r="J9" s="54"/>
      <c r="K9" s="52"/>
      <c r="L9" s="52"/>
      <c r="M9" s="52"/>
      <c r="N9" s="205"/>
    </row>
    <row r="10" spans="1:14" s="1" customFormat="1" ht="14.1" customHeight="1">
      <c r="A10" s="119"/>
      <c r="B10" s="121" t="s">
        <v>118</v>
      </c>
      <c r="C10" s="122"/>
      <c r="D10" s="159"/>
      <c r="E10" s="160"/>
      <c r="F10" s="160"/>
      <c r="G10" s="161"/>
      <c r="H10" s="79"/>
      <c r="I10" s="79"/>
      <c r="J10" s="83"/>
      <c r="K10" s="79"/>
      <c r="L10" s="79"/>
      <c r="M10" s="79"/>
      <c r="N10" s="207"/>
    </row>
    <row r="11" spans="1:14" s="1" customFormat="1" ht="14.1" customHeight="1">
      <c r="A11" s="129">
        <v>5</v>
      </c>
      <c r="B11" s="47" t="s">
        <v>109</v>
      </c>
      <c r="C11" s="48"/>
      <c r="D11" s="75"/>
      <c r="E11" s="62"/>
      <c r="F11" s="62"/>
      <c r="G11" s="76"/>
      <c r="H11" s="81">
        <f>SUM(I11)-4.5</f>
        <v>67</v>
      </c>
      <c r="I11" s="52">
        <f>SUM(J11)-4.5</f>
        <v>71.5</v>
      </c>
      <c r="J11" s="54">
        <v>76</v>
      </c>
      <c r="K11" s="52">
        <f>SUM(J11)+4.5</f>
        <v>80.5</v>
      </c>
      <c r="L11" s="52">
        <f t="shared" ref="L11:N11" si="1">SUM(K11)+4.5</f>
        <v>85</v>
      </c>
      <c r="M11" s="52">
        <f t="shared" si="1"/>
        <v>89.5</v>
      </c>
      <c r="N11" s="205">
        <f t="shared" si="1"/>
        <v>94</v>
      </c>
    </row>
    <row r="12" spans="1:14" s="1" customFormat="1" ht="14.1" customHeight="1">
      <c r="A12" s="119"/>
      <c r="B12" s="121" t="s">
        <v>108</v>
      </c>
      <c r="C12" s="122"/>
      <c r="D12" s="123"/>
      <c r="E12" s="124"/>
      <c r="F12" s="124"/>
      <c r="G12" s="125"/>
      <c r="H12" s="61"/>
      <c r="I12" s="79"/>
      <c r="J12" s="83"/>
      <c r="K12" s="79"/>
      <c r="L12" s="79"/>
      <c r="M12" s="79"/>
      <c r="N12" s="207"/>
    </row>
    <row r="13" spans="1:14" s="1" customFormat="1" ht="14.1" customHeight="1">
      <c r="A13" s="129">
        <v>6</v>
      </c>
      <c r="B13" s="47" t="s">
        <v>140</v>
      </c>
      <c r="C13" s="48"/>
      <c r="D13" s="150" t="s">
        <v>70</v>
      </c>
      <c r="E13" s="151"/>
      <c r="F13" s="151"/>
      <c r="G13" s="152"/>
      <c r="H13" s="81">
        <f>SUM(I13)-2.5</f>
        <v>25</v>
      </c>
      <c r="I13" s="52">
        <f>SUM(J13)-2.5</f>
        <v>27.5</v>
      </c>
      <c r="J13" s="54">
        <v>30</v>
      </c>
      <c r="K13" s="52">
        <f>SUM(J13)+2.5</f>
        <v>32.5</v>
      </c>
      <c r="L13" s="52">
        <f t="shared" ref="L13:N13" si="2">SUM(K13)+2.5</f>
        <v>35</v>
      </c>
      <c r="M13" s="52">
        <f t="shared" si="2"/>
        <v>37.5</v>
      </c>
      <c r="N13" s="205">
        <f t="shared" si="2"/>
        <v>40</v>
      </c>
    </row>
    <row r="14" spans="1:14" s="1" customFormat="1" ht="14.1" customHeight="1">
      <c r="A14" s="119"/>
      <c r="B14" s="121" t="s">
        <v>139</v>
      </c>
      <c r="C14" s="122"/>
      <c r="D14" s="159" t="s">
        <v>107</v>
      </c>
      <c r="E14" s="160"/>
      <c r="F14" s="160"/>
      <c r="G14" s="161"/>
      <c r="H14" s="61"/>
      <c r="I14" s="79"/>
      <c r="J14" s="83"/>
      <c r="K14" s="79"/>
      <c r="L14" s="79"/>
      <c r="M14" s="79"/>
      <c r="N14" s="207"/>
    </row>
    <row r="15" spans="1:14" s="1" customFormat="1" ht="14.1" customHeight="1">
      <c r="A15" s="129">
        <v>7</v>
      </c>
      <c r="B15" s="47" t="s">
        <v>155</v>
      </c>
      <c r="C15" s="48"/>
      <c r="D15" s="150"/>
      <c r="E15" s="151"/>
      <c r="F15" s="151"/>
      <c r="G15" s="152"/>
      <c r="H15" s="52">
        <f>SUM(I15)-1.6</f>
        <v>16.099999999999998</v>
      </c>
      <c r="I15" s="52">
        <f>SUM(J15)-1.6</f>
        <v>17.7</v>
      </c>
      <c r="J15" s="54">
        <v>19.3</v>
      </c>
      <c r="K15" s="52">
        <f>SUM(J15)+1.6</f>
        <v>20.900000000000002</v>
      </c>
      <c r="L15" s="52">
        <f t="shared" ref="L15:N15" si="3">SUM(K15)+1.6</f>
        <v>22.500000000000004</v>
      </c>
      <c r="M15" s="52">
        <f t="shared" si="3"/>
        <v>24.100000000000005</v>
      </c>
      <c r="N15" s="205">
        <f t="shared" si="3"/>
        <v>25.700000000000006</v>
      </c>
    </row>
    <row r="16" spans="1:14" s="1" customFormat="1" ht="14.1" customHeight="1">
      <c r="A16" s="119"/>
      <c r="B16" s="121" t="s">
        <v>156</v>
      </c>
      <c r="C16" s="122"/>
      <c r="D16" s="159" t="s">
        <v>235</v>
      </c>
      <c r="E16" s="160"/>
      <c r="F16" s="160"/>
      <c r="G16" s="161"/>
      <c r="H16" s="79"/>
      <c r="I16" s="79"/>
      <c r="J16" s="83"/>
      <c r="K16" s="79"/>
      <c r="L16" s="79"/>
      <c r="M16" s="79"/>
      <c r="N16" s="207"/>
    </row>
    <row r="17" spans="1:14" s="1" customFormat="1" ht="14.1" customHeight="1">
      <c r="A17" s="129">
        <v>8</v>
      </c>
      <c r="B17" s="47" t="s">
        <v>157</v>
      </c>
      <c r="C17" s="48"/>
      <c r="D17" s="150"/>
      <c r="E17" s="151"/>
      <c r="F17" s="151"/>
      <c r="G17" s="152"/>
      <c r="H17" s="52">
        <f>SUM(I17)-0.9</f>
        <v>8.8999999999999986</v>
      </c>
      <c r="I17" s="52">
        <f>SUM(J17)-0.9</f>
        <v>9.7999999999999989</v>
      </c>
      <c r="J17" s="54">
        <v>10.7</v>
      </c>
      <c r="K17" s="52">
        <f>SUM(J17)+0.9</f>
        <v>11.6</v>
      </c>
      <c r="L17" s="52">
        <f t="shared" ref="L17:N17" si="4">SUM(K17)+0.9</f>
        <v>12.5</v>
      </c>
      <c r="M17" s="52">
        <f t="shared" si="4"/>
        <v>13.4</v>
      </c>
      <c r="N17" s="205">
        <f t="shared" si="4"/>
        <v>14.3</v>
      </c>
    </row>
    <row r="18" spans="1:14" s="1" customFormat="1" ht="14.1" customHeight="1">
      <c r="A18" s="119"/>
      <c r="B18" s="121" t="s">
        <v>158</v>
      </c>
      <c r="C18" s="122"/>
      <c r="D18" s="156" t="s">
        <v>442</v>
      </c>
      <c r="E18" s="157"/>
      <c r="F18" s="157"/>
      <c r="G18" s="158"/>
      <c r="H18" s="53"/>
      <c r="I18" s="53"/>
      <c r="J18" s="134"/>
      <c r="K18" s="53"/>
      <c r="L18" s="53"/>
      <c r="M18" s="53"/>
      <c r="N18" s="214"/>
    </row>
    <row r="19" spans="1:14" s="1" customFormat="1" ht="14.1" customHeight="1">
      <c r="A19" s="46">
        <v>9</v>
      </c>
      <c r="B19" s="47"/>
      <c r="C19" s="48"/>
      <c r="D19" s="150"/>
      <c r="E19" s="151"/>
      <c r="F19" s="151"/>
      <c r="G19" s="152"/>
      <c r="H19" s="52"/>
      <c r="I19" s="52"/>
      <c r="J19" s="54"/>
      <c r="K19" s="52"/>
      <c r="L19" s="52"/>
      <c r="M19" s="52"/>
      <c r="N19" s="205"/>
    </row>
    <row r="20" spans="1:14" s="1" customFormat="1" ht="14.1" customHeight="1" thickBot="1">
      <c r="A20" s="248"/>
      <c r="B20" s="242"/>
      <c r="C20" s="243"/>
      <c r="D20" s="244"/>
      <c r="E20" s="245"/>
      <c r="F20" s="245"/>
      <c r="G20" s="246"/>
      <c r="H20" s="97"/>
      <c r="I20" s="97"/>
      <c r="J20" s="247"/>
      <c r="K20" s="97"/>
      <c r="L20" s="97"/>
      <c r="M20" s="97"/>
      <c r="N20" s="255"/>
    </row>
    <row r="21" spans="1:14" s="1" customFormat="1" ht="14.1" customHeight="1" thickTop="1">
      <c r="A21" s="186">
        <v>10</v>
      </c>
      <c r="B21" s="56" t="s">
        <v>11</v>
      </c>
      <c r="C21" s="57"/>
      <c r="D21" s="58" t="s">
        <v>12</v>
      </c>
      <c r="E21" s="59"/>
      <c r="F21" s="59"/>
      <c r="G21" s="60"/>
      <c r="H21" s="65">
        <f>SUM(I21)-3.2</f>
        <v>53.599999999999994</v>
      </c>
      <c r="I21" s="53">
        <f>SUM(J21)-3.2</f>
        <v>56.8</v>
      </c>
      <c r="J21" s="134">
        <v>60</v>
      </c>
      <c r="K21" s="53">
        <f>SUM(J21)+3.2</f>
        <v>63.2</v>
      </c>
      <c r="L21" s="53">
        <f>SUM(K21)+3.2</f>
        <v>66.400000000000006</v>
      </c>
      <c r="M21" s="53">
        <f t="shared" ref="M21:N21" si="5">SUM(L21)+3.2</f>
        <v>69.600000000000009</v>
      </c>
      <c r="N21" s="214">
        <f t="shared" si="5"/>
        <v>72.800000000000011</v>
      </c>
    </row>
    <row r="22" spans="1:14" ht="14.1" customHeight="1">
      <c r="A22" s="109"/>
      <c r="B22" s="121" t="s">
        <v>48</v>
      </c>
      <c r="C22" s="122"/>
      <c r="D22" s="123" t="s">
        <v>90</v>
      </c>
      <c r="E22" s="124"/>
      <c r="F22" s="124"/>
      <c r="G22" s="125"/>
      <c r="H22" s="61"/>
      <c r="I22" s="79"/>
      <c r="J22" s="83"/>
      <c r="K22" s="79"/>
      <c r="L22" s="79"/>
      <c r="M22" s="79"/>
      <c r="N22" s="207"/>
    </row>
    <row r="23" spans="1:14" ht="14.1" customHeight="1">
      <c r="A23" s="46">
        <v>11</v>
      </c>
      <c r="B23" s="47" t="s">
        <v>103</v>
      </c>
      <c r="C23" s="48"/>
      <c r="D23" s="75"/>
      <c r="E23" s="62"/>
      <c r="F23" s="62"/>
      <c r="G23" s="76"/>
      <c r="H23" s="81">
        <f>SUM(I23)-0.7</f>
        <v>13.900000000000002</v>
      </c>
      <c r="I23" s="52">
        <f>SUM(J23)-0.7</f>
        <v>14.600000000000001</v>
      </c>
      <c r="J23" s="54">
        <v>15.3</v>
      </c>
      <c r="K23" s="52">
        <f>SUM(J23)+1.2</f>
        <v>16.5</v>
      </c>
      <c r="L23" s="52">
        <f>SUM(K23)+0.7</f>
        <v>17.2</v>
      </c>
      <c r="M23" s="52">
        <f t="shared" ref="M23:N23" si="6">SUM(L23)+0.7</f>
        <v>17.899999999999999</v>
      </c>
      <c r="N23" s="205">
        <f t="shared" si="6"/>
        <v>18.599999999999998</v>
      </c>
    </row>
    <row r="24" spans="1:14" ht="14.1" customHeight="1">
      <c r="A24" s="109"/>
      <c r="B24" s="121" t="s">
        <v>102</v>
      </c>
      <c r="C24" s="122"/>
      <c r="D24" s="126" t="s">
        <v>115</v>
      </c>
      <c r="E24" s="127"/>
      <c r="F24" s="127"/>
      <c r="G24" s="128"/>
      <c r="H24" s="61"/>
      <c r="I24" s="79"/>
      <c r="J24" s="83"/>
      <c r="K24" s="79"/>
      <c r="L24" s="79"/>
      <c r="M24" s="79"/>
      <c r="N24" s="207"/>
    </row>
    <row r="25" spans="1:14" ht="14.1" customHeight="1">
      <c r="A25" s="46">
        <v>12</v>
      </c>
      <c r="B25" s="47" t="s">
        <v>9</v>
      </c>
      <c r="C25" s="48"/>
      <c r="D25" s="75" t="s">
        <v>70</v>
      </c>
      <c r="E25" s="62"/>
      <c r="F25" s="62"/>
      <c r="G25" s="76"/>
      <c r="H25" s="81">
        <f>SUM(I25)-1.5</f>
        <v>22.3</v>
      </c>
      <c r="I25" s="52">
        <f>SUM(J25)-1.5</f>
        <v>23.8</v>
      </c>
      <c r="J25" s="54">
        <v>25.3</v>
      </c>
      <c r="K25" s="52">
        <f>SUM(J25)+1.5</f>
        <v>26.8</v>
      </c>
      <c r="L25" s="52">
        <f>SUM(K25)+1.5</f>
        <v>28.3</v>
      </c>
      <c r="M25" s="52">
        <f t="shared" ref="M25:N25" si="7">SUM(L25)+1.5</f>
        <v>29.8</v>
      </c>
      <c r="N25" s="205">
        <f t="shared" si="7"/>
        <v>31.3</v>
      </c>
    </row>
    <row r="26" spans="1:14" ht="14.1" customHeight="1">
      <c r="A26" s="109"/>
      <c r="B26" s="121" t="s">
        <v>49</v>
      </c>
      <c r="C26" s="122"/>
      <c r="D26" s="123" t="s">
        <v>89</v>
      </c>
      <c r="E26" s="124"/>
      <c r="F26" s="124"/>
      <c r="G26" s="125"/>
      <c r="H26" s="61"/>
      <c r="I26" s="79"/>
      <c r="J26" s="83"/>
      <c r="K26" s="79"/>
      <c r="L26" s="79"/>
      <c r="M26" s="79"/>
      <c r="N26" s="207"/>
    </row>
    <row r="27" spans="1:14" ht="14.1" customHeight="1">
      <c r="A27" s="46">
        <v>13</v>
      </c>
      <c r="B27" s="47" t="s">
        <v>14</v>
      </c>
      <c r="C27" s="48"/>
      <c r="D27" s="75" t="s">
        <v>15</v>
      </c>
      <c r="E27" s="62"/>
      <c r="F27" s="62"/>
      <c r="G27" s="76"/>
      <c r="H27" s="81">
        <f>SUM(I27)-1.8</f>
        <v>31.400000000000002</v>
      </c>
      <c r="I27" s="52">
        <f>SUM(J27)-1.8</f>
        <v>33.200000000000003</v>
      </c>
      <c r="J27" s="54">
        <v>35</v>
      </c>
      <c r="K27" s="52">
        <f>SUM(J27)+1.8</f>
        <v>36.799999999999997</v>
      </c>
      <c r="L27" s="52">
        <f>SUM(K27)+1.8</f>
        <v>38.599999999999994</v>
      </c>
      <c r="M27" s="52">
        <f t="shared" ref="M27:N27" si="8">SUM(L27)+1.8</f>
        <v>40.399999999999991</v>
      </c>
      <c r="N27" s="205">
        <f t="shared" si="8"/>
        <v>42.199999999999989</v>
      </c>
    </row>
    <row r="28" spans="1:14" ht="14.1" customHeight="1">
      <c r="A28" s="109"/>
      <c r="B28" s="121" t="s">
        <v>50</v>
      </c>
      <c r="C28" s="122"/>
      <c r="D28" s="42" t="s">
        <v>88</v>
      </c>
      <c r="E28" s="43"/>
      <c r="F28" s="43"/>
      <c r="G28" s="44"/>
      <c r="H28" s="61"/>
      <c r="I28" s="79"/>
      <c r="J28" s="83"/>
      <c r="K28" s="79"/>
      <c r="L28" s="79"/>
      <c r="M28" s="79"/>
      <c r="N28" s="207"/>
    </row>
    <row r="29" spans="1:14" ht="14.1" customHeight="1">
      <c r="A29" s="46">
        <v>14</v>
      </c>
      <c r="B29" s="47" t="s">
        <v>16</v>
      </c>
      <c r="C29" s="48"/>
      <c r="D29" s="75" t="s">
        <v>13</v>
      </c>
      <c r="E29" s="62"/>
      <c r="F29" s="62"/>
      <c r="G29" s="76"/>
      <c r="H29" s="52">
        <f>SUM(I29)-1.1</f>
        <v>21.499999999999996</v>
      </c>
      <c r="I29" s="52">
        <f>SUM(J29)-1.1</f>
        <v>22.599999999999998</v>
      </c>
      <c r="J29" s="54">
        <v>23.7</v>
      </c>
      <c r="K29" s="52">
        <f>SUM(J29)+1.6</f>
        <v>25.3</v>
      </c>
      <c r="L29" s="52">
        <f>SUM(K29)+1.1</f>
        <v>26.400000000000002</v>
      </c>
      <c r="M29" s="52">
        <f>SUM(L29)+1.1</f>
        <v>27.500000000000004</v>
      </c>
      <c r="N29" s="205">
        <f>SUM(M29)+1.1</f>
        <v>28.600000000000005</v>
      </c>
    </row>
    <row r="30" spans="1:14" ht="14.1" customHeight="1">
      <c r="A30" s="109"/>
      <c r="B30" s="121" t="s">
        <v>56</v>
      </c>
      <c r="C30" s="122"/>
      <c r="D30" s="123" t="s">
        <v>87</v>
      </c>
      <c r="E30" s="124"/>
      <c r="F30" s="124"/>
      <c r="G30" s="125"/>
      <c r="H30" s="79"/>
      <c r="I30" s="79"/>
      <c r="J30" s="83"/>
      <c r="K30" s="79"/>
      <c r="L30" s="79"/>
      <c r="M30" s="79"/>
      <c r="N30" s="207"/>
    </row>
    <row r="31" spans="1:14" ht="14.1" customHeight="1">
      <c r="A31" s="46">
        <v>15</v>
      </c>
      <c r="B31" s="47" t="s">
        <v>17</v>
      </c>
      <c r="C31" s="48"/>
      <c r="D31" s="75" t="s">
        <v>13</v>
      </c>
      <c r="E31" s="62"/>
      <c r="F31" s="62"/>
      <c r="G31" s="76"/>
      <c r="H31" s="81">
        <f>SUM(I31)-1.2</f>
        <v>24</v>
      </c>
      <c r="I31" s="52">
        <f>SUM(J31)-1.2</f>
        <v>25.2</v>
      </c>
      <c r="J31" s="54">
        <v>26.4</v>
      </c>
      <c r="K31" s="52">
        <f>SUM(J31)+1.7</f>
        <v>28.099999999999998</v>
      </c>
      <c r="L31" s="52">
        <f>SUM(K31)+1.2</f>
        <v>29.299999999999997</v>
      </c>
      <c r="M31" s="52">
        <f t="shared" ref="M31:N31" si="9">SUM(L31)+1.2</f>
        <v>30.499999999999996</v>
      </c>
      <c r="N31" s="205">
        <f t="shared" si="9"/>
        <v>31.699999999999996</v>
      </c>
    </row>
    <row r="32" spans="1:14" ht="14.1" customHeight="1">
      <c r="A32" s="109"/>
      <c r="B32" s="121" t="s">
        <v>55</v>
      </c>
      <c r="C32" s="122"/>
      <c r="D32" s="123" t="s">
        <v>87</v>
      </c>
      <c r="E32" s="124"/>
      <c r="F32" s="124"/>
      <c r="G32" s="125"/>
      <c r="H32" s="61"/>
      <c r="I32" s="79"/>
      <c r="J32" s="83"/>
      <c r="K32" s="79"/>
      <c r="L32" s="79"/>
      <c r="M32" s="79"/>
      <c r="N32" s="207"/>
    </row>
    <row r="33" spans="1:14" ht="14.1" customHeight="1">
      <c r="A33" s="46">
        <v>16</v>
      </c>
      <c r="B33" s="47" t="s">
        <v>18</v>
      </c>
      <c r="C33" s="48"/>
      <c r="D33" s="75" t="s">
        <v>19</v>
      </c>
      <c r="E33" s="62"/>
      <c r="F33" s="62"/>
      <c r="G33" s="76"/>
      <c r="H33" s="81"/>
      <c r="I33" s="52"/>
      <c r="J33" s="54"/>
      <c r="K33" s="52"/>
      <c r="L33" s="52"/>
      <c r="M33" s="52"/>
      <c r="N33" s="205"/>
    </row>
    <row r="34" spans="1:14" ht="14.1" customHeight="1">
      <c r="A34" s="109"/>
      <c r="B34" s="121" t="s">
        <v>54</v>
      </c>
      <c r="C34" s="122"/>
      <c r="D34" s="123" t="s">
        <v>86</v>
      </c>
      <c r="E34" s="124"/>
      <c r="F34" s="124"/>
      <c r="G34" s="125"/>
      <c r="H34" s="61"/>
      <c r="I34" s="79"/>
      <c r="J34" s="83"/>
      <c r="K34" s="79"/>
      <c r="L34" s="79"/>
      <c r="M34" s="79"/>
      <c r="N34" s="207"/>
    </row>
    <row r="35" spans="1:14" ht="14.1" customHeight="1">
      <c r="A35" s="46">
        <v>17</v>
      </c>
      <c r="B35" s="47" t="s">
        <v>20</v>
      </c>
      <c r="C35" s="48"/>
      <c r="D35" s="75" t="s">
        <v>21</v>
      </c>
      <c r="E35" s="62"/>
      <c r="F35" s="62"/>
      <c r="G35" s="76"/>
      <c r="H35" s="81"/>
      <c r="I35" s="52"/>
      <c r="J35" s="54"/>
      <c r="K35" s="52"/>
      <c r="L35" s="52"/>
      <c r="M35" s="52"/>
      <c r="N35" s="205"/>
    </row>
    <row r="36" spans="1:14" ht="14.1" customHeight="1">
      <c r="A36" s="109"/>
      <c r="B36" s="121" t="s">
        <v>53</v>
      </c>
      <c r="C36" s="122"/>
      <c r="D36" s="123" t="s">
        <v>85</v>
      </c>
      <c r="E36" s="124"/>
      <c r="F36" s="124"/>
      <c r="G36" s="125"/>
      <c r="H36" s="61"/>
      <c r="I36" s="79"/>
      <c r="J36" s="83"/>
      <c r="K36" s="79"/>
      <c r="L36" s="79"/>
      <c r="M36" s="79"/>
      <c r="N36" s="207"/>
    </row>
    <row r="37" spans="1:14" ht="14.1" customHeight="1">
      <c r="A37" s="46">
        <v>18</v>
      </c>
      <c r="B37" s="47" t="s">
        <v>84</v>
      </c>
      <c r="C37" s="48"/>
      <c r="D37" s="75" t="s">
        <v>82</v>
      </c>
      <c r="E37" s="62"/>
      <c r="F37" s="62"/>
      <c r="G37" s="76"/>
      <c r="H37" s="81"/>
      <c r="I37" s="52"/>
      <c r="J37" s="54"/>
      <c r="K37" s="52"/>
      <c r="L37" s="52"/>
      <c r="M37" s="52"/>
      <c r="N37" s="205"/>
    </row>
    <row r="38" spans="1:14" ht="14.1" customHeight="1">
      <c r="A38" s="109"/>
      <c r="B38" s="121" t="s">
        <v>83</v>
      </c>
      <c r="C38" s="122"/>
      <c r="D38" s="123" t="s">
        <v>82</v>
      </c>
      <c r="E38" s="124"/>
      <c r="F38" s="124"/>
      <c r="G38" s="125"/>
      <c r="H38" s="61"/>
      <c r="I38" s="79"/>
      <c r="J38" s="83"/>
      <c r="K38" s="79"/>
      <c r="L38" s="79"/>
      <c r="M38" s="79"/>
      <c r="N38" s="207"/>
    </row>
    <row r="39" spans="1:14" ht="14.1" customHeight="1">
      <c r="A39" s="46">
        <v>19</v>
      </c>
      <c r="B39" s="47" t="s">
        <v>81</v>
      </c>
      <c r="C39" s="48"/>
      <c r="D39" s="75" t="s">
        <v>80</v>
      </c>
      <c r="E39" s="62"/>
      <c r="F39" s="62"/>
      <c r="G39" s="76"/>
      <c r="H39" s="81"/>
      <c r="I39" s="52"/>
      <c r="J39" s="54"/>
      <c r="K39" s="52"/>
      <c r="L39" s="52"/>
      <c r="M39" s="52"/>
      <c r="N39" s="205"/>
    </row>
    <row r="40" spans="1:14" ht="14.1" customHeight="1" thickBot="1">
      <c r="A40" s="187"/>
      <c r="B40" s="69" t="s">
        <v>79</v>
      </c>
      <c r="C40" s="70"/>
      <c r="D40" s="71" t="s">
        <v>78</v>
      </c>
      <c r="E40" s="72"/>
      <c r="F40" s="72"/>
      <c r="G40" s="73"/>
      <c r="H40" s="190"/>
      <c r="I40" s="77"/>
      <c r="J40" s="144"/>
      <c r="K40" s="77"/>
      <c r="L40" s="77"/>
      <c r="M40" s="77"/>
      <c r="N40" s="206"/>
    </row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31"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3:A4"/>
    <mergeCell ref="B3:C3"/>
    <mergeCell ref="D3:G3"/>
    <mergeCell ref="H3:H4"/>
    <mergeCell ref="I3:I4"/>
    <mergeCell ref="B16:C16"/>
    <mergeCell ref="D16:G16"/>
    <mergeCell ref="A15:A16"/>
    <mergeCell ref="B15:C15"/>
    <mergeCell ref="D15:G15"/>
    <mergeCell ref="H15:H16"/>
    <mergeCell ref="I15:I16"/>
    <mergeCell ref="A5:A6"/>
    <mergeCell ref="B6:C6"/>
    <mergeCell ref="D6:G6"/>
    <mergeCell ref="B4:C4"/>
    <mergeCell ref="D4:G4"/>
    <mergeCell ref="B5:C5"/>
    <mergeCell ref="D5:G5"/>
    <mergeCell ref="H5:H6"/>
    <mergeCell ref="I5:I6"/>
    <mergeCell ref="B8:C8"/>
    <mergeCell ref="D8:G8"/>
    <mergeCell ref="A7:A8"/>
    <mergeCell ref="I17:I18"/>
    <mergeCell ref="J17:J18"/>
    <mergeCell ref="K17:K18"/>
    <mergeCell ref="L17:L18"/>
    <mergeCell ref="M17:M18"/>
    <mergeCell ref="B18:C18"/>
    <mergeCell ref="D18:G18"/>
    <mergeCell ref="B2:C2"/>
    <mergeCell ref="D2:G2"/>
    <mergeCell ref="J15:J16"/>
    <mergeCell ref="K15:K16"/>
    <mergeCell ref="L15:L16"/>
    <mergeCell ref="M15:M16"/>
    <mergeCell ref="J3:J4"/>
    <mergeCell ref="K3:K4"/>
    <mergeCell ref="J5:J6"/>
    <mergeCell ref="K5:K6"/>
    <mergeCell ref="L5:L6"/>
    <mergeCell ref="M5:M6"/>
    <mergeCell ref="L3:L4"/>
    <mergeCell ref="M3:M4"/>
    <mergeCell ref="K7:K8"/>
    <mergeCell ref="L7:L8"/>
    <mergeCell ref="M7:M8"/>
    <mergeCell ref="N39:N40"/>
    <mergeCell ref="A1:N1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A17:A18"/>
    <mergeCell ref="B17:C17"/>
    <mergeCell ref="D17:G17"/>
    <mergeCell ref="H17:H1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95AD-3E9B-4EFE-AD9B-C6418279E918}">
  <sheetPr>
    <tabColor theme="8"/>
    <pageSetUpPr fitToPage="1"/>
  </sheetPr>
  <dimension ref="A1:N57"/>
  <sheetViews>
    <sheetView zoomScale="110" zoomScaleNormal="110" workbookViewId="0">
      <selection activeCell="Q21" sqref="Q21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11" t="s">
        <v>586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4" t="s">
        <v>57</v>
      </c>
      <c r="B2" s="249" t="s">
        <v>58</v>
      </c>
      <c r="C2" s="250"/>
      <c r="D2" s="249" t="s">
        <v>59</v>
      </c>
      <c r="E2" s="251"/>
      <c r="F2" s="251"/>
      <c r="G2" s="250"/>
      <c r="H2" s="3" t="s">
        <v>60</v>
      </c>
      <c r="I2" s="3" t="s">
        <v>61</v>
      </c>
      <c r="J2" s="7" t="s">
        <v>62</v>
      </c>
      <c r="K2" s="3" t="s">
        <v>63</v>
      </c>
      <c r="L2" s="3" t="s">
        <v>131</v>
      </c>
      <c r="M2" s="14" t="s">
        <v>130</v>
      </c>
      <c r="N2" s="3" t="s">
        <v>145</v>
      </c>
    </row>
    <row r="3" spans="1:14" s="1" customFormat="1" ht="14.1" customHeight="1">
      <c r="A3" s="168">
        <v>1</v>
      </c>
      <c r="B3" s="110" t="s">
        <v>106</v>
      </c>
      <c r="C3" s="111"/>
      <c r="D3" s="252" t="s">
        <v>68</v>
      </c>
      <c r="E3" s="253"/>
      <c r="F3" s="253"/>
      <c r="G3" s="254"/>
      <c r="H3" s="115">
        <f>SUM(I3)-3</f>
        <v>47</v>
      </c>
      <c r="I3" s="115">
        <f>SUM(J3)-3</f>
        <v>50</v>
      </c>
      <c r="J3" s="116">
        <v>53</v>
      </c>
      <c r="K3" s="115">
        <f>SUM(J3)+3</f>
        <v>56</v>
      </c>
      <c r="L3" s="115">
        <f t="shared" ref="L3:N3" si="0">SUM(K3)+3</f>
        <v>59</v>
      </c>
      <c r="M3" s="115">
        <f t="shared" si="0"/>
        <v>62</v>
      </c>
      <c r="N3" s="120">
        <f t="shared" si="0"/>
        <v>65</v>
      </c>
    </row>
    <row r="4" spans="1:14" s="1" customFormat="1" ht="14.1" customHeight="1">
      <c r="A4" s="169"/>
      <c r="B4" s="121" t="s">
        <v>77</v>
      </c>
      <c r="C4" s="122"/>
      <c r="D4" s="159" t="s">
        <v>69</v>
      </c>
      <c r="E4" s="160"/>
      <c r="F4" s="160"/>
      <c r="G4" s="161"/>
      <c r="H4" s="79"/>
      <c r="I4" s="79"/>
      <c r="J4" s="83"/>
      <c r="K4" s="79"/>
      <c r="L4" s="79"/>
      <c r="M4" s="79"/>
      <c r="N4" s="80"/>
    </row>
    <row r="5" spans="1:14" s="1" customFormat="1" ht="14.1" customHeight="1">
      <c r="A5" s="129">
        <v>2</v>
      </c>
      <c r="B5" s="56" t="s">
        <v>124</v>
      </c>
      <c r="C5" s="57"/>
      <c r="D5" s="58"/>
      <c r="E5" s="59"/>
      <c r="F5" s="59"/>
      <c r="G5" s="60"/>
      <c r="H5" s="52">
        <f>SUM(I5)-2.25</f>
        <v>21.5</v>
      </c>
      <c r="I5" s="52">
        <f>SUM(J5)-2.25</f>
        <v>23.75</v>
      </c>
      <c r="J5" s="54">
        <v>26</v>
      </c>
      <c r="K5" s="52">
        <f>SUM(J5)+2.25</f>
        <v>28.25</v>
      </c>
      <c r="L5" s="52">
        <f>SUM(K5)+2.25</f>
        <v>30.5</v>
      </c>
      <c r="M5" s="52">
        <f>SUM(L5)+2.25</f>
        <v>32.75</v>
      </c>
      <c r="N5" s="64">
        <f>SUM(M5)+2.25</f>
        <v>35</v>
      </c>
    </row>
    <row r="6" spans="1:14" s="1" customFormat="1" ht="14.1" customHeight="1">
      <c r="A6" s="119"/>
      <c r="B6" s="121" t="s">
        <v>123</v>
      </c>
      <c r="C6" s="122"/>
      <c r="D6" s="123"/>
      <c r="E6" s="124"/>
      <c r="F6" s="124"/>
      <c r="G6" s="125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129">
        <v>3</v>
      </c>
      <c r="B7" s="56" t="s">
        <v>105</v>
      </c>
      <c r="C7" s="57"/>
      <c r="D7" s="58"/>
      <c r="E7" s="59"/>
      <c r="F7" s="59"/>
      <c r="G7" s="60"/>
      <c r="H7" s="52">
        <f>SUM(I7)-0.75</f>
        <v>25.5</v>
      </c>
      <c r="I7" s="52">
        <f>SUM(J7)-0.75</f>
        <v>26.25</v>
      </c>
      <c r="J7" s="54">
        <v>27</v>
      </c>
      <c r="K7" s="52">
        <f>SUM(J7)+0.75</f>
        <v>27.75</v>
      </c>
      <c r="L7" s="52">
        <f>SUM(K7)+0.75</f>
        <v>28.5</v>
      </c>
      <c r="M7" s="52">
        <f>SUM(L7)+0.75</f>
        <v>29.25</v>
      </c>
      <c r="N7" s="64">
        <f>SUM(M7)+0.75</f>
        <v>30</v>
      </c>
    </row>
    <row r="8" spans="1:14" s="1" customFormat="1" ht="14.1" customHeight="1">
      <c r="A8" s="119"/>
      <c r="B8" s="121" t="s">
        <v>104</v>
      </c>
      <c r="C8" s="122"/>
      <c r="D8" s="123"/>
      <c r="E8" s="124"/>
      <c r="F8" s="124"/>
      <c r="G8" s="125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29">
        <v>4</v>
      </c>
      <c r="B9" s="47" t="s">
        <v>119</v>
      </c>
      <c r="C9" s="48"/>
      <c r="D9" s="226"/>
      <c r="E9" s="227"/>
      <c r="F9" s="227"/>
      <c r="G9" s="228"/>
      <c r="H9" s="52">
        <f>SUM(I9)-0.75</f>
        <v>29.5</v>
      </c>
      <c r="I9" s="52">
        <f>SUM(J9)-0.75</f>
        <v>30.25</v>
      </c>
      <c r="J9" s="54">
        <v>31</v>
      </c>
      <c r="K9" s="52">
        <f>SUM(J9)+0.75</f>
        <v>31.75</v>
      </c>
      <c r="L9" s="52">
        <f>SUM(K9)+0.75</f>
        <v>32.5</v>
      </c>
      <c r="M9" s="52">
        <f>SUM(L9)+0.75</f>
        <v>33.25</v>
      </c>
      <c r="N9" s="64">
        <f>SUM(M9)+0.75</f>
        <v>34</v>
      </c>
    </row>
    <row r="10" spans="1:14" s="1" customFormat="1" ht="14.1" customHeight="1">
      <c r="A10" s="119"/>
      <c r="B10" s="121" t="s">
        <v>118</v>
      </c>
      <c r="C10" s="122"/>
      <c r="D10" s="159" t="s">
        <v>193</v>
      </c>
      <c r="E10" s="160"/>
      <c r="F10" s="160"/>
      <c r="G10" s="161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29">
        <v>5</v>
      </c>
      <c r="B11" s="47" t="s">
        <v>109</v>
      </c>
      <c r="C11" s="48"/>
      <c r="D11" s="75"/>
      <c r="E11" s="62"/>
      <c r="F11" s="62"/>
      <c r="G11" s="76"/>
      <c r="H11" s="52">
        <f>SUM(I11)-4.5</f>
        <v>55</v>
      </c>
      <c r="I11" s="52">
        <f>SUM(J11)-4.5</f>
        <v>59.5</v>
      </c>
      <c r="J11" s="54">
        <v>64</v>
      </c>
      <c r="K11" s="52">
        <f>SUM(J11)+4.5</f>
        <v>68.5</v>
      </c>
      <c r="L11" s="52">
        <f t="shared" ref="L11:N11" si="1">SUM(K11)+4.5</f>
        <v>73</v>
      </c>
      <c r="M11" s="52">
        <f t="shared" si="1"/>
        <v>77.5</v>
      </c>
      <c r="N11" s="64">
        <f t="shared" si="1"/>
        <v>82</v>
      </c>
    </row>
    <row r="12" spans="1:14" s="1" customFormat="1" ht="14.1" customHeight="1">
      <c r="A12" s="119"/>
      <c r="B12" s="121" t="s">
        <v>108</v>
      </c>
      <c r="C12" s="122"/>
      <c r="D12" s="123"/>
      <c r="E12" s="124"/>
      <c r="F12" s="124"/>
      <c r="G12" s="125"/>
      <c r="H12" s="79"/>
      <c r="I12" s="79"/>
      <c r="J12" s="83"/>
      <c r="K12" s="79"/>
      <c r="L12" s="79"/>
      <c r="M12" s="79"/>
      <c r="N12" s="80"/>
    </row>
    <row r="13" spans="1:14" s="1" customFormat="1" ht="14.1" customHeight="1">
      <c r="A13" s="129">
        <v>6</v>
      </c>
      <c r="B13" s="47" t="s">
        <v>140</v>
      </c>
      <c r="C13" s="48"/>
      <c r="D13" s="150" t="s">
        <v>70</v>
      </c>
      <c r="E13" s="151"/>
      <c r="F13" s="151"/>
      <c r="G13" s="152"/>
      <c r="H13" s="52">
        <f>SUM(I13)-2.5</f>
        <v>24</v>
      </c>
      <c r="I13" s="52">
        <f>SUM(J13)-2.5</f>
        <v>26.5</v>
      </c>
      <c r="J13" s="54">
        <v>29</v>
      </c>
      <c r="K13" s="52">
        <f>SUM(J13)+2.5</f>
        <v>31.5</v>
      </c>
      <c r="L13" s="52">
        <f t="shared" ref="L13:N13" si="2">SUM(K13)+2.5</f>
        <v>34</v>
      </c>
      <c r="M13" s="52">
        <f t="shared" si="2"/>
        <v>36.5</v>
      </c>
      <c r="N13" s="64">
        <f t="shared" si="2"/>
        <v>39</v>
      </c>
    </row>
    <row r="14" spans="1:14" s="1" customFormat="1" ht="14.1" customHeight="1">
      <c r="A14" s="119"/>
      <c r="B14" s="121" t="s">
        <v>139</v>
      </c>
      <c r="C14" s="122"/>
      <c r="D14" s="159" t="s">
        <v>107</v>
      </c>
      <c r="E14" s="160"/>
      <c r="F14" s="160"/>
      <c r="G14" s="161"/>
      <c r="H14" s="79"/>
      <c r="I14" s="79"/>
      <c r="J14" s="83"/>
      <c r="K14" s="79"/>
      <c r="L14" s="79"/>
      <c r="M14" s="79"/>
      <c r="N14" s="80"/>
    </row>
    <row r="15" spans="1:14" s="1" customFormat="1" ht="14.1" customHeight="1">
      <c r="A15" s="129">
        <v>7</v>
      </c>
      <c r="B15" s="47" t="s">
        <v>587</v>
      </c>
      <c r="C15" s="48"/>
      <c r="D15" s="150"/>
      <c r="E15" s="151"/>
      <c r="F15" s="151"/>
      <c r="G15" s="152"/>
      <c r="H15" s="52">
        <f>SUM(I15)-0.6</f>
        <v>5.8000000000000007</v>
      </c>
      <c r="I15" s="52">
        <f>SUM(J15)-0.6</f>
        <v>6.4</v>
      </c>
      <c r="J15" s="54">
        <v>7</v>
      </c>
      <c r="K15" s="52">
        <f>SUM(J15)+0.6</f>
        <v>7.6</v>
      </c>
      <c r="L15" s="52">
        <f>SUM(K15)+0.6</f>
        <v>8.1999999999999993</v>
      </c>
      <c r="M15" s="52">
        <f>SUM(L15)+0.6</f>
        <v>8.7999999999999989</v>
      </c>
      <c r="N15" s="64">
        <f>SUM(M15)+0.6</f>
        <v>9.3999999999999986</v>
      </c>
    </row>
    <row r="16" spans="1:14" s="1" customFormat="1" ht="14.1" customHeight="1">
      <c r="A16" s="119"/>
      <c r="B16" s="121" t="s">
        <v>588</v>
      </c>
      <c r="C16" s="122"/>
      <c r="D16" s="159"/>
      <c r="E16" s="160"/>
      <c r="F16" s="160"/>
      <c r="G16" s="161"/>
      <c r="H16" s="79"/>
      <c r="I16" s="79"/>
      <c r="J16" s="83"/>
      <c r="K16" s="79"/>
      <c r="L16" s="79"/>
      <c r="M16" s="79"/>
      <c r="N16" s="80"/>
    </row>
    <row r="17" spans="1:14" s="1" customFormat="1" ht="14.1" customHeight="1">
      <c r="A17" s="46">
        <v>8</v>
      </c>
      <c r="B17" s="47"/>
      <c r="C17" s="48"/>
      <c r="D17" s="150"/>
      <c r="E17" s="151"/>
      <c r="F17" s="151"/>
      <c r="G17" s="152"/>
      <c r="H17" s="52"/>
      <c r="I17" s="52"/>
      <c r="J17" s="54"/>
      <c r="K17" s="52"/>
      <c r="L17" s="52"/>
      <c r="M17" s="52"/>
      <c r="N17" s="64"/>
    </row>
    <row r="18" spans="1:14" s="1" customFormat="1" ht="14.1" customHeight="1" thickBot="1">
      <c r="A18" s="248"/>
      <c r="B18" s="242"/>
      <c r="C18" s="243"/>
      <c r="D18" s="244"/>
      <c r="E18" s="245"/>
      <c r="F18" s="245"/>
      <c r="G18" s="246"/>
      <c r="H18" s="97"/>
      <c r="I18" s="97"/>
      <c r="J18" s="247"/>
      <c r="K18" s="97"/>
      <c r="L18" s="97"/>
      <c r="M18" s="97"/>
      <c r="N18" s="241"/>
    </row>
    <row r="19" spans="1:14" s="1" customFormat="1" ht="14.1" customHeight="1" thickTop="1">
      <c r="A19" s="186">
        <v>9</v>
      </c>
      <c r="B19" s="56" t="s">
        <v>11</v>
      </c>
      <c r="C19" s="57"/>
      <c r="D19" s="58" t="s">
        <v>12</v>
      </c>
      <c r="E19" s="59"/>
      <c r="F19" s="59"/>
      <c r="G19" s="60"/>
      <c r="H19" s="53">
        <f>SUM(I19)-3.2</f>
        <v>53.599999999999994</v>
      </c>
      <c r="I19" s="53">
        <f>SUM(J19)-3.2</f>
        <v>56.8</v>
      </c>
      <c r="J19" s="134">
        <v>60</v>
      </c>
      <c r="K19" s="53">
        <f>SUM(J19)+3.2</f>
        <v>63.2</v>
      </c>
      <c r="L19" s="53">
        <f>SUM(K19)+3.2</f>
        <v>66.400000000000006</v>
      </c>
      <c r="M19" s="53">
        <f t="shared" ref="M19:N19" si="3">SUM(L19)+3.2</f>
        <v>69.600000000000009</v>
      </c>
      <c r="N19" s="135">
        <f t="shared" si="3"/>
        <v>72.800000000000011</v>
      </c>
    </row>
    <row r="20" spans="1:14" s="1" customFormat="1" ht="14.1" customHeight="1">
      <c r="A20" s="109"/>
      <c r="B20" s="121" t="s">
        <v>48</v>
      </c>
      <c r="C20" s="122"/>
      <c r="D20" s="123" t="s">
        <v>90</v>
      </c>
      <c r="E20" s="124"/>
      <c r="F20" s="124"/>
      <c r="G20" s="125"/>
      <c r="H20" s="79"/>
      <c r="I20" s="79"/>
      <c r="J20" s="83"/>
      <c r="K20" s="79"/>
      <c r="L20" s="79"/>
      <c r="M20" s="79"/>
      <c r="N20" s="80"/>
    </row>
    <row r="21" spans="1:14" s="1" customFormat="1" ht="14.1" customHeight="1">
      <c r="A21" s="46">
        <v>10</v>
      </c>
      <c r="B21" s="47" t="s">
        <v>103</v>
      </c>
      <c r="C21" s="48"/>
      <c r="D21" s="75"/>
      <c r="E21" s="62"/>
      <c r="F21" s="62"/>
      <c r="G21" s="76"/>
      <c r="H21" s="52">
        <f>SUM(I21)-0.7</f>
        <v>13.100000000000001</v>
      </c>
      <c r="I21" s="52">
        <f>SUM(J21)-0.7</f>
        <v>13.8</v>
      </c>
      <c r="J21" s="54">
        <v>14.5</v>
      </c>
      <c r="K21" s="52">
        <f>SUM(J21)+1.2</f>
        <v>15.7</v>
      </c>
      <c r="L21" s="52">
        <f>SUM(K21)+0.7</f>
        <v>16.399999999999999</v>
      </c>
      <c r="M21" s="52">
        <f t="shared" ref="M21:N21" si="4">SUM(L21)+0.7</f>
        <v>17.099999999999998</v>
      </c>
      <c r="N21" s="64">
        <f t="shared" si="4"/>
        <v>17.799999999999997</v>
      </c>
    </row>
    <row r="22" spans="1:14" ht="14.1" customHeight="1">
      <c r="A22" s="109"/>
      <c r="B22" s="121" t="s">
        <v>102</v>
      </c>
      <c r="C22" s="122"/>
      <c r="D22" s="126" t="s">
        <v>115</v>
      </c>
      <c r="E22" s="127"/>
      <c r="F22" s="127"/>
      <c r="G22" s="128"/>
      <c r="H22" s="79"/>
      <c r="I22" s="79"/>
      <c r="J22" s="83"/>
      <c r="K22" s="79"/>
      <c r="L22" s="79"/>
      <c r="M22" s="79"/>
      <c r="N22" s="80"/>
    </row>
    <row r="23" spans="1:14" ht="14.1" customHeight="1">
      <c r="A23" s="46">
        <v>11</v>
      </c>
      <c r="B23" s="47" t="s">
        <v>9</v>
      </c>
      <c r="C23" s="48"/>
      <c r="D23" s="75" t="s">
        <v>70</v>
      </c>
      <c r="E23" s="62"/>
      <c r="F23" s="62"/>
      <c r="G23" s="76"/>
      <c r="H23" s="52">
        <f>SUM(I23)-1.5</f>
        <v>22</v>
      </c>
      <c r="I23" s="52">
        <f>SUM(J23)-1.5</f>
        <v>23.5</v>
      </c>
      <c r="J23" s="54">
        <v>25</v>
      </c>
      <c r="K23" s="52">
        <f>SUM(J23)+1.5</f>
        <v>26.5</v>
      </c>
      <c r="L23" s="52">
        <f>SUM(K23)+1.5</f>
        <v>28</v>
      </c>
      <c r="M23" s="52">
        <f t="shared" ref="M23:N23" si="5">SUM(L23)+1.5</f>
        <v>29.5</v>
      </c>
      <c r="N23" s="64">
        <f t="shared" si="5"/>
        <v>31</v>
      </c>
    </row>
    <row r="24" spans="1:14" ht="14.1" customHeight="1">
      <c r="A24" s="109"/>
      <c r="B24" s="121" t="s">
        <v>49</v>
      </c>
      <c r="C24" s="122"/>
      <c r="D24" s="123" t="s">
        <v>89</v>
      </c>
      <c r="E24" s="124"/>
      <c r="F24" s="124"/>
      <c r="G24" s="125"/>
      <c r="H24" s="79"/>
      <c r="I24" s="79"/>
      <c r="J24" s="83"/>
      <c r="K24" s="79"/>
      <c r="L24" s="79"/>
      <c r="M24" s="79"/>
      <c r="N24" s="80"/>
    </row>
    <row r="25" spans="1:14" ht="14.1" customHeight="1">
      <c r="A25" s="46">
        <v>12</v>
      </c>
      <c r="B25" s="47" t="s">
        <v>14</v>
      </c>
      <c r="C25" s="48"/>
      <c r="D25" s="75" t="s">
        <v>15</v>
      </c>
      <c r="E25" s="62"/>
      <c r="F25" s="62"/>
      <c r="G25" s="76"/>
      <c r="H25" s="52">
        <f>SUM(I25)-1.8</f>
        <v>31.400000000000002</v>
      </c>
      <c r="I25" s="52">
        <f>SUM(J25)-1.8</f>
        <v>33.200000000000003</v>
      </c>
      <c r="J25" s="54">
        <v>35</v>
      </c>
      <c r="K25" s="52">
        <f>SUM(J25)+1.8</f>
        <v>36.799999999999997</v>
      </c>
      <c r="L25" s="52">
        <f>SUM(K25)+1.8</f>
        <v>38.599999999999994</v>
      </c>
      <c r="M25" s="52">
        <f t="shared" ref="M25:N25" si="6">SUM(L25)+1.8</f>
        <v>40.399999999999991</v>
      </c>
      <c r="N25" s="64">
        <f t="shared" si="6"/>
        <v>42.199999999999989</v>
      </c>
    </row>
    <row r="26" spans="1:14" ht="14.1" customHeight="1">
      <c r="A26" s="109"/>
      <c r="B26" s="121" t="s">
        <v>50</v>
      </c>
      <c r="C26" s="122"/>
      <c r="D26" s="42" t="s">
        <v>88</v>
      </c>
      <c r="E26" s="43"/>
      <c r="F26" s="43"/>
      <c r="G26" s="44"/>
      <c r="H26" s="79"/>
      <c r="I26" s="79"/>
      <c r="J26" s="83"/>
      <c r="K26" s="79"/>
      <c r="L26" s="79"/>
      <c r="M26" s="79"/>
      <c r="N26" s="80"/>
    </row>
    <row r="27" spans="1:14" ht="14.1" customHeight="1">
      <c r="A27" s="46">
        <v>13</v>
      </c>
      <c r="B27" s="47" t="s">
        <v>16</v>
      </c>
      <c r="C27" s="48"/>
      <c r="D27" s="75" t="s">
        <v>13</v>
      </c>
      <c r="E27" s="62"/>
      <c r="F27" s="62"/>
      <c r="G27" s="76"/>
      <c r="H27" s="52">
        <f>SUM(I27)-1</f>
        <v>20.9</v>
      </c>
      <c r="I27" s="52">
        <f>SUM(J27)-1</f>
        <v>21.9</v>
      </c>
      <c r="J27" s="54">
        <v>22.9</v>
      </c>
      <c r="K27" s="52">
        <f>SUM(J27)+1.5</f>
        <v>24.4</v>
      </c>
      <c r="L27" s="52">
        <f>SUM(K27)+1</f>
        <v>25.4</v>
      </c>
      <c r="M27" s="52">
        <f t="shared" ref="M27:N27" si="7">SUM(L27)+1</f>
        <v>26.4</v>
      </c>
      <c r="N27" s="64">
        <f t="shared" si="7"/>
        <v>27.4</v>
      </c>
    </row>
    <row r="28" spans="1:14" ht="14.1" customHeight="1">
      <c r="A28" s="109"/>
      <c r="B28" s="121" t="s">
        <v>56</v>
      </c>
      <c r="C28" s="122"/>
      <c r="D28" s="123" t="s">
        <v>87</v>
      </c>
      <c r="E28" s="124"/>
      <c r="F28" s="124"/>
      <c r="G28" s="125"/>
      <c r="H28" s="79"/>
      <c r="I28" s="79"/>
      <c r="J28" s="83"/>
      <c r="K28" s="79"/>
      <c r="L28" s="79"/>
      <c r="M28" s="79"/>
      <c r="N28" s="80"/>
    </row>
    <row r="29" spans="1:14" ht="14.1" customHeight="1">
      <c r="A29" s="46">
        <v>14</v>
      </c>
      <c r="B29" s="47" t="s">
        <v>17</v>
      </c>
      <c r="C29" s="48"/>
      <c r="D29" s="75" t="s">
        <v>13</v>
      </c>
      <c r="E29" s="62"/>
      <c r="F29" s="62"/>
      <c r="G29" s="76"/>
      <c r="H29" s="52">
        <f>SUM(I29)-1.2</f>
        <v>23.200000000000003</v>
      </c>
      <c r="I29" s="52">
        <f>SUM(J29)-1.2</f>
        <v>24.400000000000002</v>
      </c>
      <c r="J29" s="54">
        <v>25.6</v>
      </c>
      <c r="K29" s="52">
        <f>SUM(J29)+1.7</f>
        <v>27.3</v>
      </c>
      <c r="L29" s="52">
        <f>SUM(K29)+1.2</f>
        <v>28.5</v>
      </c>
      <c r="M29" s="52">
        <f t="shared" ref="M29:N29" si="8">SUM(L29)+1.2</f>
        <v>29.7</v>
      </c>
      <c r="N29" s="64">
        <f t="shared" si="8"/>
        <v>30.9</v>
      </c>
    </row>
    <row r="30" spans="1:14" ht="14.1" customHeight="1">
      <c r="A30" s="109"/>
      <c r="B30" s="121" t="s">
        <v>55</v>
      </c>
      <c r="C30" s="122"/>
      <c r="D30" s="123" t="s">
        <v>87</v>
      </c>
      <c r="E30" s="124"/>
      <c r="F30" s="124"/>
      <c r="G30" s="125"/>
      <c r="H30" s="79"/>
      <c r="I30" s="79"/>
      <c r="J30" s="83"/>
      <c r="K30" s="79"/>
      <c r="L30" s="79"/>
      <c r="M30" s="79"/>
      <c r="N30" s="80"/>
    </row>
    <row r="31" spans="1:14" ht="14.1" customHeight="1">
      <c r="A31" s="46">
        <v>15</v>
      </c>
      <c r="B31" s="47" t="s">
        <v>18</v>
      </c>
      <c r="C31" s="48"/>
      <c r="D31" s="75" t="s">
        <v>19</v>
      </c>
      <c r="E31" s="62"/>
      <c r="F31" s="62"/>
      <c r="G31" s="76"/>
      <c r="H31" s="215"/>
      <c r="I31" s="52"/>
      <c r="J31" s="54"/>
      <c r="K31" s="52"/>
      <c r="L31" s="52"/>
      <c r="M31" s="52"/>
      <c r="N31" s="64"/>
    </row>
    <row r="32" spans="1:14" ht="14.1" customHeight="1">
      <c r="A32" s="109"/>
      <c r="B32" s="121" t="s">
        <v>54</v>
      </c>
      <c r="C32" s="122"/>
      <c r="D32" s="123" t="s">
        <v>86</v>
      </c>
      <c r="E32" s="124"/>
      <c r="F32" s="124"/>
      <c r="G32" s="125"/>
      <c r="H32" s="216"/>
      <c r="I32" s="79"/>
      <c r="J32" s="83"/>
      <c r="K32" s="79"/>
      <c r="L32" s="79"/>
      <c r="M32" s="79"/>
      <c r="N32" s="80"/>
    </row>
    <row r="33" spans="1:14" ht="14.1" customHeight="1">
      <c r="A33" s="46">
        <v>16</v>
      </c>
      <c r="B33" s="47" t="s">
        <v>20</v>
      </c>
      <c r="C33" s="48"/>
      <c r="D33" s="75" t="s">
        <v>21</v>
      </c>
      <c r="E33" s="62"/>
      <c r="F33" s="62"/>
      <c r="G33" s="76"/>
      <c r="H33" s="215"/>
      <c r="I33" s="52"/>
      <c r="J33" s="54"/>
      <c r="K33" s="52"/>
      <c r="L33" s="52"/>
      <c r="M33" s="52"/>
      <c r="N33" s="64"/>
    </row>
    <row r="34" spans="1:14" ht="14.1" customHeight="1">
      <c r="A34" s="109"/>
      <c r="B34" s="121" t="s">
        <v>53</v>
      </c>
      <c r="C34" s="122"/>
      <c r="D34" s="123" t="s">
        <v>85</v>
      </c>
      <c r="E34" s="124"/>
      <c r="F34" s="124"/>
      <c r="G34" s="125"/>
      <c r="H34" s="216"/>
      <c r="I34" s="79"/>
      <c r="J34" s="83"/>
      <c r="K34" s="79"/>
      <c r="L34" s="79"/>
      <c r="M34" s="79"/>
      <c r="N34" s="80"/>
    </row>
    <row r="35" spans="1:14" ht="14.1" customHeight="1">
      <c r="A35" s="46">
        <v>17</v>
      </c>
      <c r="B35" s="47" t="s">
        <v>84</v>
      </c>
      <c r="C35" s="48"/>
      <c r="D35" s="75" t="s">
        <v>82</v>
      </c>
      <c r="E35" s="62"/>
      <c r="F35" s="62"/>
      <c r="G35" s="76"/>
      <c r="H35" s="215"/>
      <c r="I35" s="52"/>
      <c r="J35" s="54"/>
      <c r="K35" s="52"/>
      <c r="L35" s="52"/>
      <c r="M35" s="52"/>
      <c r="N35" s="64"/>
    </row>
    <row r="36" spans="1:14" ht="14.1" customHeight="1">
      <c r="A36" s="109"/>
      <c r="B36" s="121" t="s">
        <v>83</v>
      </c>
      <c r="C36" s="122"/>
      <c r="D36" s="123" t="s">
        <v>82</v>
      </c>
      <c r="E36" s="124"/>
      <c r="F36" s="124"/>
      <c r="G36" s="125"/>
      <c r="H36" s="216"/>
      <c r="I36" s="79"/>
      <c r="J36" s="83"/>
      <c r="K36" s="79"/>
      <c r="L36" s="79"/>
      <c r="M36" s="79"/>
      <c r="N36" s="80"/>
    </row>
    <row r="37" spans="1:14" ht="14.1" customHeight="1">
      <c r="A37" s="46">
        <v>18</v>
      </c>
      <c r="B37" s="47" t="s">
        <v>81</v>
      </c>
      <c r="C37" s="48"/>
      <c r="D37" s="75" t="s">
        <v>80</v>
      </c>
      <c r="E37" s="62"/>
      <c r="F37" s="62"/>
      <c r="G37" s="76"/>
      <c r="H37" s="215"/>
      <c r="I37" s="52"/>
      <c r="J37" s="54"/>
      <c r="K37" s="52"/>
      <c r="L37" s="52"/>
      <c r="M37" s="52"/>
      <c r="N37" s="64"/>
    </row>
    <row r="38" spans="1:14" ht="14.1" customHeight="1" thickBot="1">
      <c r="A38" s="187"/>
      <c r="B38" s="69" t="s">
        <v>79</v>
      </c>
      <c r="C38" s="70"/>
      <c r="D38" s="71" t="s">
        <v>78</v>
      </c>
      <c r="E38" s="72"/>
      <c r="F38" s="72"/>
      <c r="G38" s="73"/>
      <c r="H38" s="218"/>
      <c r="I38" s="77"/>
      <c r="J38" s="144"/>
      <c r="K38" s="77"/>
      <c r="L38" s="77"/>
      <c r="M38" s="77"/>
      <c r="N38" s="141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9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D14:G14"/>
    <mergeCell ref="A13:A14"/>
    <mergeCell ref="B13:C13"/>
    <mergeCell ref="D13:G13"/>
    <mergeCell ref="H13:H14"/>
    <mergeCell ref="I13:I14"/>
    <mergeCell ref="J13:J14"/>
    <mergeCell ref="K11:K12"/>
    <mergeCell ref="K37:K38"/>
    <mergeCell ref="K35:K36"/>
    <mergeCell ref="K33:K34"/>
    <mergeCell ref="K31:K32"/>
    <mergeCell ref="K29:K30"/>
    <mergeCell ref="K27:K28"/>
    <mergeCell ref="K25:K26"/>
    <mergeCell ref="K23:K24"/>
    <mergeCell ref="K21:K22"/>
    <mergeCell ref="K19:K20"/>
    <mergeCell ref="K17:K18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B16:C16"/>
    <mergeCell ref="D16:G16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K13:K14"/>
    <mergeCell ref="L13:L14"/>
    <mergeCell ref="M13:M14"/>
    <mergeCell ref="B14:C14"/>
    <mergeCell ref="N37:N3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C0FB-2F14-4105-81B3-CE6413F3F9D2}">
  <sheetPr>
    <tabColor theme="8"/>
    <pageSetUpPr fitToPage="1"/>
  </sheetPr>
  <dimension ref="A1:O51"/>
  <sheetViews>
    <sheetView zoomScale="110" zoomScaleNormal="110" workbookViewId="0">
      <selection activeCell="Q25" sqref="Q2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296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35</v>
      </c>
      <c r="I3" s="52">
        <f>SUM(J3)-3.5</f>
        <v>38.5</v>
      </c>
      <c r="J3" s="193">
        <v>42</v>
      </c>
      <c r="K3" s="194">
        <f>SUM(J3)+3</f>
        <v>45</v>
      </c>
      <c r="L3" s="194">
        <f t="shared" ref="L3:M3" si="0">SUM(K3)+3</f>
        <v>48</v>
      </c>
      <c r="M3" s="195">
        <f t="shared" si="0"/>
        <v>51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5" s="1" customFormat="1" ht="14.1" customHeight="1">
      <c r="A5" s="45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44.1</v>
      </c>
      <c r="I5" s="52">
        <f>SUM(J5)-4.5</f>
        <v>48.6</v>
      </c>
      <c r="J5" s="54">
        <v>53.1</v>
      </c>
      <c r="K5" s="52">
        <f>SUM(J5)+4.5</f>
        <v>57.6</v>
      </c>
      <c r="L5" s="52">
        <f t="shared" ref="L5:M5" si="1">SUM(K5)+4.5</f>
        <v>62.1</v>
      </c>
      <c r="M5" s="64">
        <f t="shared" si="1"/>
        <v>66.599999999999994</v>
      </c>
    </row>
    <row r="6" spans="1:15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83"/>
      <c r="K6" s="79"/>
      <c r="L6" s="79"/>
      <c r="M6" s="80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33</v>
      </c>
      <c r="I7" s="52">
        <f>SUM(J7)-2.25</f>
        <v>35.25</v>
      </c>
      <c r="J7" s="54">
        <v>37.5</v>
      </c>
      <c r="K7" s="52">
        <f>SUM(J7)+2</f>
        <v>39.5</v>
      </c>
      <c r="L7" s="52">
        <f>SUM(K7)+2</f>
        <v>41.5</v>
      </c>
      <c r="M7" s="64">
        <f>SUM(L7)+2</f>
        <v>43.5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33</v>
      </c>
      <c r="I9" s="52">
        <f>SUM(J9)-2.25</f>
        <v>35.25</v>
      </c>
      <c r="J9" s="54">
        <v>37.5</v>
      </c>
      <c r="K9" s="52">
        <f>SUM(J9)+2</f>
        <v>39.5</v>
      </c>
      <c r="L9" s="52">
        <f t="shared" ref="L9:M9" si="2">SUM(K9)+2</f>
        <v>41.5</v>
      </c>
      <c r="M9" s="64">
        <f t="shared" si="2"/>
        <v>43.5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38"/>
      <c r="L11" s="38"/>
      <c r="M11" s="63"/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14.3</v>
      </c>
      <c r="I13" s="52">
        <f>SUM(J13)-0.6</f>
        <v>14.9</v>
      </c>
      <c r="J13" s="37">
        <v>15.5</v>
      </c>
      <c r="K13" s="38">
        <f>SUM(J13)+0.6</f>
        <v>16.100000000000001</v>
      </c>
      <c r="L13" s="38">
        <f>SUM(K13)+0.6</f>
        <v>16.700000000000003</v>
      </c>
      <c r="M13" s="63">
        <f>SUM(L13)+0.6</f>
        <v>17.300000000000004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6.2</v>
      </c>
      <c r="I15" s="52">
        <f>SUM(J15)-0.3</f>
        <v>6.5</v>
      </c>
      <c r="J15" s="37">
        <v>6.8</v>
      </c>
      <c r="K15" s="38">
        <f>SUM(J15)+0.3</f>
        <v>7.1</v>
      </c>
      <c r="L15" s="38">
        <f>SUM(K15)+0.3</f>
        <v>7.3999999999999995</v>
      </c>
      <c r="M15" s="63">
        <f>SUM(L15)+0.3</f>
        <v>7.6999999999999993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33.799999999999997</v>
      </c>
      <c r="I17" s="52">
        <f>SUM(J17)-1.6</f>
        <v>35.4</v>
      </c>
      <c r="J17" s="37">
        <v>37</v>
      </c>
      <c r="K17" s="38">
        <f>SUM(J17)+1.6</f>
        <v>38.6</v>
      </c>
      <c r="L17" s="38">
        <f>SUM(K17)+1.6</f>
        <v>40.200000000000003</v>
      </c>
      <c r="M17" s="63">
        <f>SUM(L17)+1.6</f>
        <v>41.800000000000004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63"/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SUM(I21)-1.7</f>
        <v>26.6</v>
      </c>
      <c r="I21" s="52">
        <f>SUM(J21)-1.7</f>
        <v>28.3</v>
      </c>
      <c r="J21" s="37">
        <v>30</v>
      </c>
      <c r="K21" s="38">
        <f>SUM(J21)+1.7</f>
        <v>31.7</v>
      </c>
      <c r="L21" s="38">
        <f t="shared" ref="L21:M21" si="3">SUM(K21)+1.7</f>
        <v>33.4</v>
      </c>
      <c r="M21" s="63">
        <f t="shared" si="3"/>
        <v>35.1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16.600000000000001</v>
      </c>
      <c r="I23" s="52">
        <f>SUM(J23)-0.7</f>
        <v>17.3</v>
      </c>
      <c r="J23" s="37">
        <v>18</v>
      </c>
      <c r="K23" s="38">
        <f>SUM(J23)+0.7</f>
        <v>18.7</v>
      </c>
      <c r="L23" s="38">
        <f t="shared" ref="L23:M23" si="4">SUM(K23)+0.7</f>
        <v>19.399999999999999</v>
      </c>
      <c r="M23" s="63">
        <f t="shared" si="4"/>
        <v>20.099999999999998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SUM(I25)-0.3</f>
        <v>2.4000000000000004</v>
      </c>
      <c r="I25" s="52">
        <f>SUM(J25)-0.3</f>
        <v>2.7</v>
      </c>
      <c r="J25" s="37">
        <v>3</v>
      </c>
      <c r="K25" s="38">
        <f>SUM(J25)+0.3</f>
        <v>3.3</v>
      </c>
      <c r="L25" s="38">
        <f t="shared" ref="L25:M25" si="5">SUM(K25)+0.3</f>
        <v>3.5999999999999996</v>
      </c>
      <c r="M25" s="63">
        <f t="shared" si="5"/>
        <v>3.8999999999999995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71F4-311A-4F3F-AC89-579931D87E69}">
  <sheetPr>
    <tabColor theme="8"/>
    <pageSetUpPr fitToPage="1"/>
  </sheetPr>
  <dimension ref="A1:O51"/>
  <sheetViews>
    <sheetView zoomScale="110" zoomScaleNormal="110" workbookViewId="0">
      <selection activeCell="P9" sqref="P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334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33.6</v>
      </c>
      <c r="I3" s="52">
        <f>SUM(J3)-3</f>
        <v>36.6</v>
      </c>
      <c r="J3" s="193">
        <v>39.6</v>
      </c>
      <c r="K3" s="194">
        <f>SUM(J3)+2.5</f>
        <v>42.1</v>
      </c>
      <c r="L3" s="194">
        <f t="shared" ref="L3:M3" si="0">SUM(K3)+2.5</f>
        <v>44.6</v>
      </c>
      <c r="M3" s="195">
        <f t="shared" si="0"/>
        <v>47.1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5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23.4</v>
      </c>
      <c r="I5" s="52">
        <f>SUM(J5)-1.8</f>
        <v>25.2</v>
      </c>
      <c r="J5" s="54">
        <v>27</v>
      </c>
      <c r="K5" s="52">
        <f>SUM(J5)+1.6</f>
        <v>28.6</v>
      </c>
      <c r="L5" s="52">
        <f t="shared" ref="L5:M5" si="1">SUM(K5)+1.6</f>
        <v>30.200000000000003</v>
      </c>
      <c r="M5" s="64">
        <f t="shared" si="1"/>
        <v>31.800000000000004</v>
      </c>
    </row>
    <row r="6" spans="1:15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29.5</v>
      </c>
      <c r="I7" s="52">
        <f>SUM(J7)-2.25</f>
        <v>31.75</v>
      </c>
      <c r="J7" s="54">
        <v>34</v>
      </c>
      <c r="K7" s="52">
        <f>SUM(J7)+2</f>
        <v>36</v>
      </c>
      <c r="L7" s="52">
        <f>SUM(K7)+2</f>
        <v>38</v>
      </c>
      <c r="M7" s="64">
        <f>SUM(L7)+2</f>
        <v>40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29.5</v>
      </c>
      <c r="I9" s="52">
        <f>SUM(J9)-2.25</f>
        <v>31.75</v>
      </c>
      <c r="J9" s="54">
        <v>34</v>
      </c>
      <c r="K9" s="52">
        <f>SUM(J9)+2</f>
        <v>36</v>
      </c>
      <c r="L9" s="52">
        <f t="shared" ref="L9:M9" si="2">SUM(K9)+2</f>
        <v>38</v>
      </c>
      <c r="M9" s="64">
        <f t="shared" si="2"/>
        <v>40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12.999999999999998</v>
      </c>
      <c r="I11" s="52">
        <f>SUM(J11)-0.8</f>
        <v>13.799999999999999</v>
      </c>
      <c r="J11" s="37">
        <v>14.6</v>
      </c>
      <c r="K11" s="38">
        <f>SUM(J11)+0.8</f>
        <v>15.4</v>
      </c>
      <c r="L11" s="38">
        <f>SUM(K11)+0.8</f>
        <v>16.2</v>
      </c>
      <c r="M11" s="63">
        <f>SUM(L11)+0.8</f>
        <v>17</v>
      </c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13.8</v>
      </c>
      <c r="I13" s="52">
        <f>SUM(J13)-0.6</f>
        <v>14.4</v>
      </c>
      <c r="J13" s="37">
        <v>15</v>
      </c>
      <c r="K13" s="38">
        <f>SUM(J13)+0.6</f>
        <v>15.6</v>
      </c>
      <c r="L13" s="38">
        <f>SUM(K13)+0.6</f>
        <v>16.2</v>
      </c>
      <c r="M13" s="63">
        <f>SUM(L13)+0.6</f>
        <v>16.8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8.3999999999999986</v>
      </c>
      <c r="I15" s="52">
        <f>SUM(J15)-0.3</f>
        <v>8.6999999999999993</v>
      </c>
      <c r="J15" s="37">
        <v>9</v>
      </c>
      <c r="K15" s="38">
        <f>SUM(J15)+0.3</f>
        <v>9.3000000000000007</v>
      </c>
      <c r="L15" s="38">
        <f>SUM(K15)+0.3</f>
        <v>9.6000000000000014</v>
      </c>
      <c r="M15" s="63">
        <f>SUM(L15)+0.3</f>
        <v>9.9000000000000021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SUM(I17)-1.7</f>
        <v>32.599999999999994</v>
      </c>
      <c r="I17" s="52">
        <f>SUM(J17)-1.7</f>
        <v>34.299999999999997</v>
      </c>
      <c r="J17" s="37">
        <v>36</v>
      </c>
      <c r="K17" s="38">
        <f>SUM(J17)+1.7</f>
        <v>37.700000000000003</v>
      </c>
      <c r="L17" s="38">
        <f>SUM(K17)+1.7</f>
        <v>39.400000000000006</v>
      </c>
      <c r="M17" s="63">
        <f>SUM(L17)+1.7</f>
        <v>41.100000000000009</v>
      </c>
    </row>
    <row r="18" spans="1:13" s="1" customFormat="1" ht="14.1" customHeight="1">
      <c r="A18" s="45"/>
      <c r="B18" s="61" t="s">
        <v>571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32.299999999999997</v>
      </c>
      <c r="I19" s="52">
        <f>SUM(J19)-3.6</f>
        <v>35.9</v>
      </c>
      <c r="J19" s="37">
        <v>39.5</v>
      </c>
      <c r="K19" s="38">
        <f>SUM(J19)+3.7</f>
        <v>43.2</v>
      </c>
      <c r="L19" s="38">
        <f t="shared" ref="L19:M19" si="3">SUM(K19)+3.7</f>
        <v>46.900000000000006</v>
      </c>
      <c r="M19" s="63">
        <f t="shared" si="3"/>
        <v>50.600000000000009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SUM(I21)-1.2</f>
        <v>20.200000000000003</v>
      </c>
      <c r="I21" s="52">
        <f>SUM(J21)-1.2</f>
        <v>21.400000000000002</v>
      </c>
      <c r="J21" s="37">
        <v>22.6</v>
      </c>
      <c r="K21" s="38">
        <f>SUM(J21)+1.2</f>
        <v>23.8</v>
      </c>
      <c r="L21" s="38">
        <f t="shared" ref="L21:M21" si="4">SUM(K21)+1.2</f>
        <v>25</v>
      </c>
      <c r="M21" s="63">
        <f t="shared" si="4"/>
        <v>26.2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14.600000000000001</v>
      </c>
      <c r="I23" s="52">
        <f>SUM(J23)-0.7</f>
        <v>15.3</v>
      </c>
      <c r="J23" s="37">
        <v>16</v>
      </c>
      <c r="K23" s="38">
        <f>SUM(J23)+0.7</f>
        <v>16.7</v>
      </c>
      <c r="L23" s="38">
        <f t="shared" ref="L23:M23" si="5">SUM(K23)+0.7</f>
        <v>17.399999999999999</v>
      </c>
      <c r="M23" s="63">
        <f t="shared" si="5"/>
        <v>18.099999999999998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142</v>
      </c>
      <c r="C25" s="48"/>
      <c r="D25" s="49"/>
      <c r="E25" s="50"/>
      <c r="F25" s="50"/>
      <c r="G25" s="51"/>
      <c r="H25" s="52">
        <f>SUM(I25)-0.2</f>
        <v>3.0999999999999996</v>
      </c>
      <c r="I25" s="52">
        <f>SUM(J25)-0.2</f>
        <v>3.3</v>
      </c>
      <c r="J25" s="37">
        <v>3.5</v>
      </c>
      <c r="K25" s="38">
        <f>SUM(J25)+0.2</f>
        <v>3.7</v>
      </c>
      <c r="L25" s="38">
        <f t="shared" ref="L25:M25" si="6">SUM(K25)+0.2</f>
        <v>3.9000000000000004</v>
      </c>
      <c r="M25" s="63">
        <f t="shared" si="6"/>
        <v>4.1000000000000005</v>
      </c>
    </row>
    <row r="26" spans="1:13" s="1" customFormat="1" ht="14.1" customHeight="1">
      <c r="A26" s="45"/>
      <c r="B26" s="40" t="s">
        <v>276</v>
      </c>
      <c r="C26" s="41"/>
      <c r="D26" s="42" t="s">
        <v>335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14</v>
      </c>
      <c r="B27" s="47" t="s">
        <v>278</v>
      </c>
      <c r="C27" s="48"/>
      <c r="D27" s="49"/>
      <c r="E27" s="50"/>
      <c r="F27" s="50"/>
      <c r="G27" s="51"/>
      <c r="H27" s="52">
        <f>SUM(I27)-0.6</f>
        <v>12.8</v>
      </c>
      <c r="I27" s="52">
        <f>SUM(J27)-0.6</f>
        <v>13.4</v>
      </c>
      <c r="J27" s="37">
        <v>14</v>
      </c>
      <c r="K27" s="38">
        <f>SUM(J27)+0.6</f>
        <v>14.6</v>
      </c>
      <c r="L27" s="38">
        <f t="shared" ref="L27:M27" si="7">SUM(K27)+0.6</f>
        <v>15.2</v>
      </c>
      <c r="M27" s="63">
        <f t="shared" si="7"/>
        <v>15.799999999999999</v>
      </c>
    </row>
    <row r="28" spans="1:13" s="1" customFormat="1" ht="14.1" customHeight="1">
      <c r="A28" s="45"/>
      <c r="B28" s="40" t="s">
        <v>279</v>
      </c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15</v>
      </c>
      <c r="B29" s="47" t="s">
        <v>120</v>
      </c>
      <c r="C29" s="48"/>
      <c r="D29" s="49"/>
      <c r="E29" s="50"/>
      <c r="F29" s="50"/>
      <c r="G29" s="51"/>
      <c r="H29" s="52">
        <f>SUM(I29)-0.2</f>
        <v>2.5999999999999996</v>
      </c>
      <c r="I29" s="52">
        <f>SUM(J29)-0.2</f>
        <v>2.8</v>
      </c>
      <c r="J29" s="54">
        <v>3</v>
      </c>
      <c r="K29" s="38">
        <f>SUM(J29)+0.2</f>
        <v>3.2</v>
      </c>
      <c r="L29" s="38">
        <f t="shared" ref="L29:M29" si="8">SUM(K29)+0.2</f>
        <v>3.4000000000000004</v>
      </c>
      <c r="M29" s="63">
        <f t="shared" si="8"/>
        <v>3.6000000000000005</v>
      </c>
    </row>
    <row r="30" spans="1:13" s="1" customFormat="1" ht="14.1" customHeight="1" thickBot="1">
      <c r="A30" s="74"/>
      <c r="B30" s="178" t="s">
        <v>128</v>
      </c>
      <c r="C30" s="179"/>
      <c r="D30" s="180" t="s">
        <v>167</v>
      </c>
      <c r="E30" s="181"/>
      <c r="F30" s="181"/>
      <c r="G30" s="182"/>
      <c r="H30" s="77"/>
      <c r="I30" s="77"/>
      <c r="J30" s="144"/>
      <c r="K30" s="67"/>
      <c r="L30" s="67"/>
      <c r="M30" s="68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24BC-239C-4217-9A64-5F375C0D9A41}">
  <sheetPr>
    <tabColor theme="8"/>
    <pageSetUpPr fitToPage="1"/>
  </sheetPr>
  <dimension ref="A1:P51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297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35.1</v>
      </c>
      <c r="I3" s="52">
        <f>SUM(J3)-3</f>
        <v>38.1</v>
      </c>
      <c r="J3" s="193">
        <v>41.1</v>
      </c>
      <c r="K3" s="194">
        <f>SUM(J3)+2.5</f>
        <v>43.6</v>
      </c>
      <c r="L3" s="194">
        <f t="shared" ref="L3:M3" si="0">SUM(K3)+2.5</f>
        <v>46.1</v>
      </c>
      <c r="M3" s="195">
        <f t="shared" si="0"/>
        <v>48.6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26.4</v>
      </c>
      <c r="I5" s="52">
        <f>SUM(J5)-1.8</f>
        <v>28.2</v>
      </c>
      <c r="J5" s="54">
        <v>30</v>
      </c>
      <c r="K5" s="52">
        <f>SUM(J5)+1.6</f>
        <v>31.6</v>
      </c>
      <c r="L5" s="52">
        <f t="shared" ref="L5:M5" si="1">SUM(K5)+1.6</f>
        <v>33.200000000000003</v>
      </c>
      <c r="M5" s="64">
        <f t="shared" si="1"/>
        <v>34.800000000000004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32</v>
      </c>
      <c r="I7" s="52">
        <f>SUM(J7)-2.25</f>
        <v>34.25</v>
      </c>
      <c r="J7" s="54">
        <v>36.5</v>
      </c>
      <c r="K7" s="52">
        <f>SUM(J7)+2</f>
        <v>38.5</v>
      </c>
      <c r="L7" s="52">
        <f>SUM(K7)+2</f>
        <v>40.5</v>
      </c>
      <c r="M7" s="64">
        <f>SUM(L7)+2</f>
        <v>42.5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32</v>
      </c>
      <c r="I9" s="52">
        <f>SUM(J9)-2.25</f>
        <v>34.25</v>
      </c>
      <c r="J9" s="54">
        <v>36.5</v>
      </c>
      <c r="K9" s="52">
        <f>SUM(J9)+2</f>
        <v>38.5</v>
      </c>
      <c r="L9" s="52">
        <f t="shared" ref="L9:M9" si="2">SUM(K9)+2</f>
        <v>40.5</v>
      </c>
      <c r="M9" s="64">
        <f t="shared" si="2"/>
        <v>42.5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298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12.799999999999999</v>
      </c>
      <c r="I11" s="52">
        <f>SUM(J11)-0.8</f>
        <v>13.6</v>
      </c>
      <c r="J11" s="37">
        <v>14.4</v>
      </c>
      <c r="K11" s="38">
        <f>SUM(J11)+0.8</f>
        <v>15.200000000000001</v>
      </c>
      <c r="L11" s="38">
        <f>SUM(K11)+0.8</f>
        <v>16</v>
      </c>
      <c r="M11" s="63">
        <f>SUM(L11)+0.8</f>
        <v>16.8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14.8</v>
      </c>
      <c r="I13" s="52">
        <f>SUM(J13)-0.6</f>
        <v>15.4</v>
      </c>
      <c r="J13" s="37">
        <v>16</v>
      </c>
      <c r="K13" s="38">
        <f>SUM(J13)+0.6</f>
        <v>16.600000000000001</v>
      </c>
      <c r="L13" s="38">
        <f>SUM(K13)+0.6</f>
        <v>17.200000000000003</v>
      </c>
      <c r="M13" s="63">
        <f>SUM(L13)+0.6</f>
        <v>17.800000000000004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5.9</v>
      </c>
      <c r="I15" s="52">
        <f>SUM(J15)-0.3</f>
        <v>6.2</v>
      </c>
      <c r="J15" s="37">
        <v>6.5</v>
      </c>
      <c r="K15" s="38">
        <f>SUM(J15)+0.3</f>
        <v>6.8</v>
      </c>
      <c r="L15" s="38">
        <f>SUM(K15)+0.3</f>
        <v>7.1</v>
      </c>
      <c r="M15" s="63">
        <f>SUM(L15)+0.3</f>
        <v>7.3999999999999995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35.799999999999997</v>
      </c>
      <c r="I17" s="52">
        <f>SUM(J17)-1.6</f>
        <v>37.4</v>
      </c>
      <c r="J17" s="37">
        <v>39</v>
      </c>
      <c r="K17" s="38">
        <f>SUM(J17)+1.6</f>
        <v>40.6</v>
      </c>
      <c r="L17" s="38">
        <f>SUM(K17)+1.6</f>
        <v>42.2</v>
      </c>
      <c r="M17" s="63">
        <f>SUM(L17)+1.6</f>
        <v>43.800000000000004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30.799999999999997</v>
      </c>
      <c r="I19" s="52">
        <f>SUM(J19)-3.6</f>
        <v>34.4</v>
      </c>
      <c r="J19" s="37">
        <v>38</v>
      </c>
      <c r="K19" s="38">
        <f>SUM(J19)+3.7</f>
        <v>41.7</v>
      </c>
      <c r="L19" s="38">
        <f t="shared" ref="L19:M19" si="3">SUM(K19)+3.7</f>
        <v>45.400000000000006</v>
      </c>
      <c r="M19" s="63">
        <f t="shared" si="3"/>
        <v>49.100000000000009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20.399999999999999</v>
      </c>
      <c r="I21" s="52">
        <f>SUM(J21)-1.3</f>
        <v>21.7</v>
      </c>
      <c r="J21" s="37">
        <v>23</v>
      </c>
      <c r="K21" s="38">
        <f>SUM(J21)+1.3</f>
        <v>24.3</v>
      </c>
      <c r="L21" s="38">
        <f t="shared" ref="L21:M21" si="4">SUM(K21)+1.3</f>
        <v>25.6</v>
      </c>
      <c r="M21" s="63">
        <f t="shared" si="4"/>
        <v>26.900000000000002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16.600000000000001</v>
      </c>
      <c r="I23" s="52">
        <f>SUM(J23)-0.7</f>
        <v>17.3</v>
      </c>
      <c r="J23" s="37">
        <v>18</v>
      </c>
      <c r="K23" s="38">
        <f>SUM(J23)+0.7</f>
        <v>18.7</v>
      </c>
      <c r="L23" s="38">
        <f t="shared" ref="L23:M23" si="5">SUM(K23)+0.7</f>
        <v>19.399999999999999</v>
      </c>
      <c r="M23" s="63">
        <f t="shared" si="5"/>
        <v>20.099999999999998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SUM(I25)-0.4</f>
        <v>4.1999999999999993</v>
      </c>
      <c r="I25" s="52">
        <f>SUM(J25)-0.4</f>
        <v>4.5999999999999996</v>
      </c>
      <c r="J25" s="37">
        <v>5</v>
      </c>
      <c r="K25" s="38">
        <f>SUM(J25)+0.4</f>
        <v>5.4</v>
      </c>
      <c r="L25" s="38">
        <f t="shared" ref="L25:M25" si="6">SUM(K25)+0.4</f>
        <v>5.8000000000000007</v>
      </c>
      <c r="M25" s="63">
        <f t="shared" si="6"/>
        <v>6.2000000000000011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9C48-BC24-4BC4-9086-9B58266B80D7}">
  <sheetPr>
    <tabColor theme="8"/>
    <pageSetUpPr fitToPage="1"/>
  </sheetPr>
  <dimension ref="A1:P51"/>
  <sheetViews>
    <sheetView zoomScale="110" zoomScaleNormal="110" workbookViewId="0">
      <selection activeCell="M23" sqref="M23:M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347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38</v>
      </c>
      <c r="I3" s="52">
        <f>SUM(J3)-3.5</f>
        <v>41.5</v>
      </c>
      <c r="J3" s="193">
        <v>45</v>
      </c>
      <c r="K3" s="194">
        <f>SUM(J3)+3</f>
        <v>48</v>
      </c>
      <c r="L3" s="194">
        <f>SUM(K3)+3</f>
        <v>51</v>
      </c>
      <c r="M3" s="195">
        <f>SUM(L3)+3</f>
        <v>54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33.599999999999994</v>
      </c>
      <c r="I5" s="52">
        <f>SUM(J5)-2.2</f>
        <v>35.799999999999997</v>
      </c>
      <c r="J5" s="54">
        <v>38</v>
      </c>
      <c r="K5" s="52">
        <f>SUM(J5)+2</f>
        <v>40</v>
      </c>
      <c r="L5" s="52">
        <f>SUM(K5)+2</f>
        <v>42</v>
      </c>
      <c r="M5" s="64">
        <f>SUM(L5)+2</f>
        <v>44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34.5</v>
      </c>
      <c r="I7" s="52">
        <f>SUM(J7)-2.25</f>
        <v>36.75</v>
      </c>
      <c r="J7" s="54">
        <v>39</v>
      </c>
      <c r="K7" s="52">
        <f>SUM(J7)+2</f>
        <v>41</v>
      </c>
      <c r="L7" s="52">
        <f>SUM(K7)+2</f>
        <v>43</v>
      </c>
      <c r="M7" s="64">
        <f>SUM(L7)+2</f>
        <v>45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33</v>
      </c>
      <c r="I9" s="52">
        <f>SUM(J9)-2.25</f>
        <v>35.25</v>
      </c>
      <c r="J9" s="54">
        <v>37.5</v>
      </c>
      <c r="K9" s="52">
        <f>SUM(J9)+2</f>
        <v>39.5</v>
      </c>
      <c r="L9" s="52">
        <f>SUM(K9)+2</f>
        <v>41.5</v>
      </c>
      <c r="M9" s="64">
        <f>SUM(L9)+2</f>
        <v>43.5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14.399999999999999</v>
      </c>
      <c r="I11" s="52">
        <f>SUM(J11)-0.8</f>
        <v>15.2</v>
      </c>
      <c r="J11" s="37">
        <v>16</v>
      </c>
      <c r="K11" s="38">
        <f>SUM(J11)+0.8</f>
        <v>16.8</v>
      </c>
      <c r="L11" s="38">
        <f>SUM(K11)+0.8</f>
        <v>17.600000000000001</v>
      </c>
      <c r="M11" s="63">
        <f>SUM(L11)+0.8</f>
        <v>18.400000000000002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15.799999999999999</v>
      </c>
      <c r="I13" s="52">
        <f>SUM(J13)-0.6</f>
        <v>16.399999999999999</v>
      </c>
      <c r="J13" s="37">
        <v>17</v>
      </c>
      <c r="K13" s="38">
        <f>SUM(J13)+0.6</f>
        <v>17.600000000000001</v>
      </c>
      <c r="L13" s="38">
        <f>SUM(K13)+0.6</f>
        <v>18.200000000000003</v>
      </c>
      <c r="M13" s="63">
        <f>SUM(L13)+0.6</f>
        <v>18.800000000000004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6.6000000000000005</v>
      </c>
      <c r="I15" s="52">
        <f>SUM(J15)-0.3</f>
        <v>6.9</v>
      </c>
      <c r="J15" s="37">
        <v>7.2</v>
      </c>
      <c r="K15" s="38">
        <f>SUM(J15)+0.3</f>
        <v>7.5</v>
      </c>
      <c r="L15" s="38">
        <f>SUM(K15)+0.3</f>
        <v>7.8</v>
      </c>
      <c r="M15" s="63">
        <f>SUM(L15)+0.3</f>
        <v>8.1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40.799999999999997</v>
      </c>
      <c r="I17" s="52">
        <f>SUM(J17)-1.6</f>
        <v>42.4</v>
      </c>
      <c r="J17" s="37">
        <v>44</v>
      </c>
      <c r="K17" s="38">
        <f>SUM(J17)+1.6</f>
        <v>45.6</v>
      </c>
      <c r="L17" s="38">
        <f>SUM(K17)+1.6</f>
        <v>47.2</v>
      </c>
      <c r="M17" s="63">
        <f>SUM(L17)+1.6</f>
        <v>48.800000000000004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28.200000000000003</v>
      </c>
      <c r="I19" s="52">
        <f>SUM(J19)-3.4</f>
        <v>31.6</v>
      </c>
      <c r="J19" s="37">
        <v>35</v>
      </c>
      <c r="K19" s="38">
        <f>SUM(J19)+3.5</f>
        <v>38.5</v>
      </c>
      <c r="L19" s="38">
        <f>SUM(K19)+3.5</f>
        <v>42</v>
      </c>
      <c r="M19" s="63">
        <f>SUM(L19)+3.5</f>
        <v>45.5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26</v>
      </c>
      <c r="I21" s="52">
        <f>SUM(J21)-1.5</f>
        <v>27.5</v>
      </c>
      <c r="J21" s="37">
        <v>29</v>
      </c>
      <c r="K21" s="38">
        <f>SUM(J21)+1.5</f>
        <v>30.5</v>
      </c>
      <c r="L21" s="38">
        <f>SUM(K21)+1.5</f>
        <v>32</v>
      </c>
      <c r="M21" s="63">
        <f>SUM(L21)+1.5</f>
        <v>33.5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SUM(I25)-0.2</f>
        <v>3.5999999999999996</v>
      </c>
      <c r="I25" s="52">
        <f>SUM(J25)-0.2</f>
        <v>3.8</v>
      </c>
      <c r="J25" s="37">
        <v>4</v>
      </c>
      <c r="K25" s="38">
        <f>SUM(J25)+0.2</f>
        <v>4.2</v>
      </c>
      <c r="L25" s="38">
        <f>SUM(K25)+0.2</f>
        <v>4.4000000000000004</v>
      </c>
      <c r="M25" s="63">
        <f>SUM(L25)+0.2</f>
        <v>4.6000000000000005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8588-3F89-4BD6-84BB-088ACC7CB2F3}">
  <sheetPr>
    <tabColor theme="8"/>
    <pageSetUpPr fitToPage="1"/>
  </sheetPr>
  <dimension ref="A1:P51"/>
  <sheetViews>
    <sheetView zoomScale="110" zoomScaleNormal="110" workbookViewId="0">
      <selection activeCell="Q19" sqref="Q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280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38</v>
      </c>
      <c r="I3" s="52">
        <f>SUM(J3)-3.5</f>
        <v>41.5</v>
      </c>
      <c r="J3" s="193">
        <v>45</v>
      </c>
      <c r="K3" s="194">
        <f>SUM(J3)+3</f>
        <v>48</v>
      </c>
      <c r="L3" s="194">
        <f>SUM(K3)+3</f>
        <v>51</v>
      </c>
      <c r="M3" s="195">
        <f>SUM(L3)+3</f>
        <v>54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36.999999999999993</v>
      </c>
      <c r="I5" s="52">
        <f>SUM(J5)-2.2</f>
        <v>39.199999999999996</v>
      </c>
      <c r="J5" s="54">
        <v>41.4</v>
      </c>
      <c r="K5" s="52">
        <f>SUM(J5)+2</f>
        <v>43.4</v>
      </c>
      <c r="L5" s="52">
        <f>SUM(K5)+2</f>
        <v>45.4</v>
      </c>
      <c r="M5" s="64">
        <f>SUM(L5)+2</f>
        <v>47.4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38.5</v>
      </c>
      <c r="I7" s="52">
        <f>SUM(J7)-2.25</f>
        <v>40.75</v>
      </c>
      <c r="J7" s="54">
        <v>43</v>
      </c>
      <c r="K7" s="52">
        <f>SUM(J7)+2</f>
        <v>45</v>
      </c>
      <c r="L7" s="52">
        <f>SUM(K7)+2</f>
        <v>47</v>
      </c>
      <c r="M7" s="64">
        <f>SUM(L7)+2</f>
        <v>49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29.9</v>
      </c>
      <c r="I9" s="52">
        <f>SUM(J9)-1.8</f>
        <v>31.7</v>
      </c>
      <c r="J9" s="54">
        <v>33.5</v>
      </c>
      <c r="K9" s="52">
        <f>SUM(J9)+1.6</f>
        <v>35.1</v>
      </c>
      <c r="L9" s="52">
        <f>SUM(K9)+1.6</f>
        <v>36.700000000000003</v>
      </c>
      <c r="M9" s="64">
        <f>SUM(L9)+1.6</f>
        <v>38.300000000000004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14.5</v>
      </c>
      <c r="I11" s="52">
        <f>SUM(J11)-0.8</f>
        <v>15.3</v>
      </c>
      <c r="J11" s="37">
        <v>16.100000000000001</v>
      </c>
      <c r="K11" s="38">
        <f>SUM(J11)+0.8</f>
        <v>16.900000000000002</v>
      </c>
      <c r="L11" s="38">
        <f>SUM(K11)+0.8</f>
        <v>17.700000000000003</v>
      </c>
      <c r="M11" s="63">
        <f>SUM(L11)+0.8</f>
        <v>18.500000000000004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15.799999999999999</v>
      </c>
      <c r="I13" s="52">
        <f>SUM(J13)-0.6</f>
        <v>16.399999999999999</v>
      </c>
      <c r="J13" s="37">
        <v>17</v>
      </c>
      <c r="K13" s="38">
        <f>SUM(J13)+0.6</f>
        <v>17.600000000000001</v>
      </c>
      <c r="L13" s="38">
        <f>SUM(K13)+0.6</f>
        <v>18.200000000000003</v>
      </c>
      <c r="M13" s="63">
        <f>SUM(L13)+0.6</f>
        <v>18.800000000000004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6.6000000000000005</v>
      </c>
      <c r="I15" s="52">
        <f>SUM(J15)-0.3</f>
        <v>6.9</v>
      </c>
      <c r="J15" s="37">
        <v>7.2</v>
      </c>
      <c r="K15" s="38">
        <f>SUM(J15)+0.3</f>
        <v>7.5</v>
      </c>
      <c r="L15" s="38">
        <f>SUM(K15)+0.3</f>
        <v>7.8</v>
      </c>
      <c r="M15" s="63">
        <f>SUM(L15)+0.3</f>
        <v>8.1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40.799999999999997</v>
      </c>
      <c r="I17" s="52">
        <f>SUM(J17)-1.6</f>
        <v>42.4</v>
      </c>
      <c r="J17" s="37">
        <v>44</v>
      </c>
      <c r="K17" s="38">
        <f>SUM(J17)+1.6</f>
        <v>45.6</v>
      </c>
      <c r="L17" s="38">
        <f>SUM(K17)+1.6</f>
        <v>47.2</v>
      </c>
      <c r="M17" s="63">
        <f>SUM(L17)+1.6</f>
        <v>48.800000000000004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26.5</v>
      </c>
      <c r="I19" s="52">
        <f>SUM(J19)-3.4</f>
        <v>29.9</v>
      </c>
      <c r="J19" s="37">
        <v>33.299999999999997</v>
      </c>
      <c r="K19" s="38">
        <f>SUM(J19)+3.5</f>
        <v>36.799999999999997</v>
      </c>
      <c r="L19" s="38">
        <f>SUM(K19)+3.5</f>
        <v>40.299999999999997</v>
      </c>
      <c r="M19" s="63">
        <f>SUM(L19)+3.5</f>
        <v>43.8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SUM(I21)-1.6</f>
        <v>28.4</v>
      </c>
      <c r="I21" s="52">
        <f>SUM(J21)-1.6</f>
        <v>30</v>
      </c>
      <c r="J21" s="37">
        <v>31.6</v>
      </c>
      <c r="K21" s="38">
        <f>SUM(J21)+1.6</f>
        <v>33.200000000000003</v>
      </c>
      <c r="L21" s="38">
        <f>SUM(K21)+1.6</f>
        <v>34.800000000000004</v>
      </c>
      <c r="M21" s="63">
        <f>SUM(L21)+1.6</f>
        <v>36.400000000000006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SUM(I25)-0.3</f>
        <v>4.4000000000000004</v>
      </c>
      <c r="I25" s="52">
        <f>SUM(J25)-0.3</f>
        <v>4.7</v>
      </c>
      <c r="J25" s="37">
        <v>5</v>
      </c>
      <c r="K25" s="38">
        <f>SUM(J25)+0.3</f>
        <v>5.3</v>
      </c>
      <c r="L25" s="38">
        <f>SUM(K25)+0.3</f>
        <v>5.6</v>
      </c>
      <c r="M25" s="63">
        <f>SUM(L25)+0.3</f>
        <v>5.8999999999999995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55B9-E2FD-4C4F-A639-245E424DFEB7}">
  <sheetPr>
    <tabColor theme="8"/>
    <pageSetUpPr fitToPage="1"/>
  </sheetPr>
  <dimension ref="A1:P51"/>
  <sheetViews>
    <sheetView zoomScale="110" zoomScaleNormal="110" workbookViewId="0">
      <selection activeCell="Q14" sqref="Q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36</v>
      </c>
      <c r="I3" s="52">
        <f>SUM(J3)-3.5</f>
        <v>39.5</v>
      </c>
      <c r="J3" s="193">
        <v>43</v>
      </c>
      <c r="K3" s="194">
        <f>SUM(J3)+3</f>
        <v>46</v>
      </c>
      <c r="L3" s="194">
        <f>SUM(K3)+3</f>
        <v>49</v>
      </c>
      <c r="M3" s="195">
        <f>SUM(L3)+3</f>
        <v>52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22.799999999999997</v>
      </c>
      <c r="I5" s="52">
        <f>SUM(J5)-1.6</f>
        <v>24.4</v>
      </c>
      <c r="J5" s="54">
        <v>26</v>
      </c>
      <c r="K5" s="52">
        <f>SUM(J5)+1.4</f>
        <v>27.4</v>
      </c>
      <c r="L5" s="52">
        <f>SUM(K5)+1.4</f>
        <v>28.799999999999997</v>
      </c>
      <c r="M5" s="64">
        <f>SUM(L5)+1.4</f>
        <v>30.199999999999996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</f>
        <v>27</v>
      </c>
      <c r="I7" s="52">
        <f>SUM(J7)-2</f>
        <v>29</v>
      </c>
      <c r="J7" s="54">
        <v>31</v>
      </c>
      <c r="K7" s="52">
        <f>SUM(J7)+1.8</f>
        <v>32.799999999999997</v>
      </c>
      <c r="L7" s="52">
        <f>SUM(K7)+1.8</f>
        <v>34.599999999999994</v>
      </c>
      <c r="M7" s="64">
        <f>SUM(L7)+1.8</f>
        <v>36.399999999999991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</f>
        <v>27</v>
      </c>
      <c r="I9" s="52">
        <f>SUM(J9)-2</f>
        <v>29</v>
      </c>
      <c r="J9" s="54">
        <v>31</v>
      </c>
      <c r="K9" s="52">
        <f>SUM(J9)+1.8</f>
        <v>32.799999999999997</v>
      </c>
      <c r="L9" s="52">
        <f>SUM(K9)+1.8</f>
        <v>34.599999999999994</v>
      </c>
      <c r="M9" s="64">
        <f>SUM(L9)+1.8</f>
        <v>36.399999999999991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12.999999999999998</v>
      </c>
      <c r="I11" s="52">
        <f>SUM(J11)-0.8</f>
        <v>13.799999999999999</v>
      </c>
      <c r="J11" s="37">
        <v>14.6</v>
      </c>
      <c r="K11" s="38">
        <f>SUM(J11)+0.8</f>
        <v>15.4</v>
      </c>
      <c r="L11" s="38">
        <f>SUM(K11)+0.9</f>
        <v>16.3</v>
      </c>
      <c r="M11" s="63">
        <f>SUM(L11)+0.9</f>
        <v>17.2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12.8</v>
      </c>
      <c r="I13" s="52">
        <f>SUM(J13)-0.6</f>
        <v>13.4</v>
      </c>
      <c r="J13" s="37">
        <v>14</v>
      </c>
      <c r="K13" s="38">
        <f>SUM(J13)+0.6</f>
        <v>14.6</v>
      </c>
      <c r="L13" s="38">
        <f>SUM(K13)+0.6</f>
        <v>15.2</v>
      </c>
      <c r="M13" s="63">
        <f>SUM(L13)+0.6</f>
        <v>15.799999999999999</v>
      </c>
    </row>
    <row r="14" spans="1:16" s="1" customFormat="1" ht="14.1" customHeight="1">
      <c r="A14" s="45"/>
      <c r="B14" s="61" t="s">
        <v>27</v>
      </c>
      <c r="C14" s="61"/>
      <c r="D14" s="42" t="s">
        <v>147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5.9</v>
      </c>
      <c r="I15" s="52">
        <f>SUM(J15)-0.3</f>
        <v>6.2</v>
      </c>
      <c r="J15" s="37">
        <v>6.5</v>
      </c>
      <c r="K15" s="38">
        <f>SUM(J15)+0.3</f>
        <v>6.8</v>
      </c>
      <c r="L15" s="38">
        <f>SUM(K15)+0.3</f>
        <v>7.1</v>
      </c>
      <c r="M15" s="63">
        <f>SUM(L15)+0.3</f>
        <v>7.3999999999999995</v>
      </c>
    </row>
    <row r="16" spans="1:16" s="1" customFormat="1" ht="14.1" customHeight="1">
      <c r="A16" s="45"/>
      <c r="B16" s="61" t="s">
        <v>28</v>
      </c>
      <c r="C16" s="61"/>
      <c r="D16" s="42" t="s">
        <v>148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33.199999999999996</v>
      </c>
      <c r="I17" s="52">
        <f>SUM(J17)-1.6</f>
        <v>34.799999999999997</v>
      </c>
      <c r="J17" s="37">
        <v>36.4</v>
      </c>
      <c r="K17" s="38">
        <f>SUM(J17)+1.6</f>
        <v>38</v>
      </c>
      <c r="L17" s="38">
        <f>SUM(K17)+1.6</f>
        <v>39.6</v>
      </c>
      <c r="M17" s="63">
        <f>SUM(L17)+1.6</f>
        <v>41.2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33.299999999999997</v>
      </c>
      <c r="I19" s="52">
        <f>SUM(J19)-3.6</f>
        <v>36.9</v>
      </c>
      <c r="J19" s="37">
        <v>40.5</v>
      </c>
      <c r="K19" s="38">
        <f>SUM(J19)+3.7</f>
        <v>44.2</v>
      </c>
      <c r="L19" s="38">
        <f>SUM(K19)+3.7</f>
        <v>47.900000000000006</v>
      </c>
      <c r="M19" s="63">
        <f>SUM(L19)+3.7</f>
        <v>51.600000000000009</v>
      </c>
    </row>
    <row r="20" spans="1:13" s="1" customFormat="1" ht="14.1" customHeight="1">
      <c r="A20" s="45"/>
      <c r="B20" s="61" t="s">
        <v>233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22.4</v>
      </c>
      <c r="I21" s="52">
        <f>SUM(J21)-1.3</f>
        <v>23.7</v>
      </c>
      <c r="J21" s="37">
        <v>25</v>
      </c>
      <c r="K21" s="38">
        <f>SUM(J21)+1.3</f>
        <v>26.3</v>
      </c>
      <c r="L21" s="38">
        <f>SUM(K21)+1.3</f>
        <v>27.6</v>
      </c>
      <c r="M21" s="63">
        <f>SUM(L21)+1.3</f>
        <v>28.900000000000002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15.600000000000001</v>
      </c>
      <c r="I23" s="52">
        <f>SUM(J23)-0.7</f>
        <v>16.3</v>
      </c>
      <c r="J23" s="37">
        <v>17</v>
      </c>
      <c r="K23" s="38">
        <f>SUM(J23)+0.7</f>
        <v>17.7</v>
      </c>
      <c r="L23" s="38">
        <f>SUM(K23)+0.7</f>
        <v>18.399999999999999</v>
      </c>
      <c r="M23" s="63">
        <f>SUM(L23)+0.7</f>
        <v>19.099999999999998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227</v>
      </c>
      <c r="C25" s="48"/>
      <c r="D25" s="49"/>
      <c r="E25" s="50"/>
      <c r="F25" s="50"/>
      <c r="G25" s="51"/>
      <c r="H25" s="52">
        <f>SUM(I25)</f>
        <v>10.5</v>
      </c>
      <c r="I25" s="52">
        <f>SUM(J25)</f>
        <v>10.5</v>
      </c>
      <c r="J25" s="37">
        <v>10.5</v>
      </c>
      <c r="K25" s="38">
        <f>SUM(J25)+0.2</f>
        <v>10.7</v>
      </c>
      <c r="L25" s="38">
        <f>SUM(K25)+0.2</f>
        <v>10.899999999999999</v>
      </c>
      <c r="M25" s="63">
        <f>SUM(L25)+0.2</f>
        <v>11.099999999999998</v>
      </c>
    </row>
    <row r="26" spans="1:13" s="1" customFormat="1" ht="14.1" customHeight="1">
      <c r="A26" s="45"/>
      <c r="B26" s="40" t="s">
        <v>228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 t="s">
        <v>120</v>
      </c>
      <c r="C27" s="48"/>
      <c r="D27" s="49"/>
      <c r="E27" s="50"/>
      <c r="F27" s="50"/>
      <c r="G27" s="51"/>
      <c r="H27" s="52">
        <f>SUM(I27)-0.3</f>
        <v>3.4000000000000004</v>
      </c>
      <c r="I27" s="52">
        <f>SUM(J27)-0.3</f>
        <v>3.7</v>
      </c>
      <c r="J27" s="37">
        <v>4</v>
      </c>
      <c r="K27" s="38">
        <f>SUM(J27)+0.3</f>
        <v>4.3</v>
      </c>
      <c r="L27" s="38">
        <f>SUM(K27)+0.3</f>
        <v>4.5999999999999996</v>
      </c>
      <c r="M27" s="63">
        <f>SUM(L27)+0.3</f>
        <v>4.8999999999999995</v>
      </c>
    </row>
    <row r="28" spans="1:13" s="1" customFormat="1" ht="14.1" customHeight="1">
      <c r="A28" s="45"/>
      <c r="B28" s="40" t="s">
        <v>128</v>
      </c>
      <c r="C28" s="41"/>
      <c r="D28" s="42"/>
      <c r="E28" s="43"/>
      <c r="F28" s="43"/>
      <c r="G28" s="44"/>
      <c r="H28" s="79"/>
      <c r="I28" s="79"/>
      <c r="J28" s="54"/>
      <c r="K28" s="38"/>
      <c r="L28" s="38"/>
      <c r="M28" s="63"/>
    </row>
    <row r="29" spans="1:13" s="1" customFormat="1" ht="14.1" customHeight="1">
      <c r="A29" s="45">
        <v>14</v>
      </c>
      <c r="B29" s="56" t="s">
        <v>121</v>
      </c>
      <c r="C29" s="57"/>
      <c r="D29" s="183"/>
      <c r="E29" s="184"/>
      <c r="F29" s="184"/>
      <c r="G29" s="185"/>
      <c r="H29" s="52">
        <f>SUM(I29)-0.25</f>
        <v>2.5</v>
      </c>
      <c r="I29" s="52">
        <f>SUM(J29)-0.25</f>
        <v>2.75</v>
      </c>
      <c r="J29" s="37">
        <v>3</v>
      </c>
      <c r="K29" s="38">
        <f>SUM(J29)+0.25</f>
        <v>3.25</v>
      </c>
      <c r="L29" s="38">
        <f>SUM(K29)+0.25</f>
        <v>3.5</v>
      </c>
      <c r="M29" s="63">
        <f>SUM(L29)+0.25</f>
        <v>3.75</v>
      </c>
    </row>
    <row r="30" spans="1:13" s="1" customFormat="1" ht="14.1" customHeight="1">
      <c r="A30" s="45"/>
      <c r="B30" s="40" t="s">
        <v>129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63"/>
    </row>
    <row r="31" spans="1:13" ht="14.1" customHeight="1">
      <c r="A31" s="45">
        <v>15</v>
      </c>
      <c r="B31" s="56"/>
      <c r="C31" s="57"/>
      <c r="D31" s="183"/>
      <c r="E31" s="184"/>
      <c r="F31" s="184"/>
      <c r="G31" s="185"/>
      <c r="H31" s="52"/>
      <c r="I31" s="52"/>
      <c r="J31" s="54"/>
      <c r="K31" s="52"/>
      <c r="L31" s="52"/>
      <c r="M31" s="64"/>
    </row>
    <row r="32" spans="1:13" ht="14.1" customHeight="1" thickBot="1">
      <c r="A32" s="74"/>
      <c r="B32" s="178"/>
      <c r="C32" s="179"/>
      <c r="D32" s="180"/>
      <c r="E32" s="181"/>
      <c r="F32" s="181"/>
      <c r="G32" s="182"/>
      <c r="H32" s="77"/>
      <c r="I32" s="77"/>
      <c r="J32" s="144"/>
      <c r="K32" s="77"/>
      <c r="L32" s="77"/>
      <c r="M32" s="141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B32:C32"/>
    <mergeCell ref="D32:G32"/>
    <mergeCell ref="J31:J3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E6A7-88E4-4405-9F30-18E255B24AE5}">
  <sheetPr>
    <tabColor theme="8"/>
    <pageSetUpPr fitToPage="1"/>
  </sheetPr>
  <dimension ref="A1:P51"/>
  <sheetViews>
    <sheetView zoomScale="110" zoomScaleNormal="110" workbookViewId="0">
      <selection activeCell="H3" sqref="H3:H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224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33.5</v>
      </c>
      <c r="I3" s="52">
        <f>SUM(J3)-3</f>
        <v>36.5</v>
      </c>
      <c r="J3" s="193">
        <v>39.5</v>
      </c>
      <c r="K3" s="194">
        <f>SUM(J3)+2.5</f>
        <v>42</v>
      </c>
      <c r="L3" s="194">
        <f>SUM(K3)+2.5</f>
        <v>44.5</v>
      </c>
      <c r="M3" s="197">
        <f>SUM(L3)+2.5</f>
        <v>47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147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23.4</v>
      </c>
      <c r="I5" s="52">
        <f>SUM(J5)-1.8</f>
        <v>25.2</v>
      </c>
      <c r="J5" s="54">
        <v>27</v>
      </c>
      <c r="K5" s="52">
        <f>SUM(J5)+1.6</f>
        <v>28.6</v>
      </c>
      <c r="L5" s="52">
        <f>SUM(K5)+1.6</f>
        <v>30.200000000000003</v>
      </c>
      <c r="M5" s="147">
        <f>SUM(L5)+1.6</f>
        <v>31.800000000000004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146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30</v>
      </c>
      <c r="I7" s="52">
        <f>SUM(J7)-2.25</f>
        <v>32.25</v>
      </c>
      <c r="J7" s="54">
        <v>34.5</v>
      </c>
      <c r="K7" s="52">
        <f>SUM(J7)+2</f>
        <v>36.5</v>
      </c>
      <c r="L7" s="52">
        <f>SUM(K7)+2</f>
        <v>38.5</v>
      </c>
      <c r="M7" s="147">
        <f>SUM(L7)+2</f>
        <v>40.5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30</v>
      </c>
      <c r="I9" s="52">
        <f>SUM(J9)-2.25</f>
        <v>32.25</v>
      </c>
      <c r="J9" s="54">
        <v>34.5</v>
      </c>
      <c r="K9" s="52">
        <f>SUM(J9)+2</f>
        <v>36.5</v>
      </c>
      <c r="L9" s="52">
        <f>SUM(K9)+2</f>
        <v>38.5</v>
      </c>
      <c r="M9" s="147">
        <f>SUM(L9)+2</f>
        <v>40.5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13.7</v>
      </c>
      <c r="I11" s="52">
        <f>SUM(J11)-0.8</f>
        <v>14.5</v>
      </c>
      <c r="J11" s="37">
        <v>15.3</v>
      </c>
      <c r="K11" s="38">
        <f>SUM(J11)+0.8</f>
        <v>16.100000000000001</v>
      </c>
      <c r="L11" s="38">
        <f>SUM(K11)+0.8</f>
        <v>16.900000000000002</v>
      </c>
      <c r="M11" s="174">
        <f>SUM(L11)+0.8</f>
        <v>17.700000000000003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174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12.4</v>
      </c>
      <c r="I13" s="52">
        <f>SUM(J13)-0.6</f>
        <v>13</v>
      </c>
      <c r="J13" s="37">
        <v>13.6</v>
      </c>
      <c r="K13" s="38">
        <f>SUM(J13)+0.6</f>
        <v>14.2</v>
      </c>
      <c r="L13" s="38">
        <f>SUM(K13)+0.6</f>
        <v>14.799999999999999</v>
      </c>
      <c r="M13" s="174">
        <f>SUM(L13)+0.6</f>
        <v>15.399999999999999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174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5.6000000000000005</v>
      </c>
      <c r="I15" s="52">
        <f>SUM(J15)-0.3</f>
        <v>5.9</v>
      </c>
      <c r="J15" s="37">
        <v>6.2</v>
      </c>
      <c r="K15" s="38">
        <f>SUM(J15)+0.3</f>
        <v>6.5</v>
      </c>
      <c r="L15" s="38">
        <f>SUM(K15)+0.3</f>
        <v>6.8</v>
      </c>
      <c r="M15" s="174">
        <f>SUM(L15)+0.3</f>
        <v>7.1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174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33.799999999999997</v>
      </c>
      <c r="I17" s="52">
        <f>SUM(J17)-1.6</f>
        <v>35.4</v>
      </c>
      <c r="J17" s="37">
        <v>37</v>
      </c>
      <c r="K17" s="38">
        <f>SUM(J17)+1.6</f>
        <v>38.6</v>
      </c>
      <c r="L17" s="38">
        <f>SUM(K17)+1.6</f>
        <v>40.200000000000003</v>
      </c>
      <c r="M17" s="174">
        <f>SUM(L17)+1.6</f>
        <v>41.800000000000004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174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32.299999999999997</v>
      </c>
      <c r="I19" s="52">
        <f>SUM(J19)-3.6</f>
        <v>35.9</v>
      </c>
      <c r="J19" s="37">
        <v>39.5</v>
      </c>
      <c r="K19" s="38">
        <f>SUM(J19)+3.7</f>
        <v>43.2</v>
      </c>
      <c r="L19" s="38">
        <f>SUM(K19)+3.7</f>
        <v>46.900000000000006</v>
      </c>
      <c r="M19" s="174">
        <f>SUM(L19)+3.7</f>
        <v>50.600000000000009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174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SUM(I21)-1.4</f>
        <v>20.800000000000004</v>
      </c>
      <c r="I21" s="52">
        <f>SUM(J21)-1.4</f>
        <v>22.200000000000003</v>
      </c>
      <c r="J21" s="37">
        <v>23.6</v>
      </c>
      <c r="K21" s="38">
        <f>SUM(J21)+1.4</f>
        <v>25</v>
      </c>
      <c r="L21" s="38">
        <f>SUM(K21)+1.4</f>
        <v>26.4</v>
      </c>
      <c r="M21" s="174">
        <f>SUM(L21)+1.4</f>
        <v>27.799999999999997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174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14.600000000000001</v>
      </c>
      <c r="I23" s="52">
        <f>SUM(J23)-0.7</f>
        <v>15.3</v>
      </c>
      <c r="J23" s="37">
        <v>16</v>
      </c>
      <c r="K23" s="38">
        <f>SUM(J23)+0.7</f>
        <v>16.7</v>
      </c>
      <c r="L23" s="38">
        <f>SUM(K23)+0.7</f>
        <v>17.399999999999999</v>
      </c>
      <c r="M23" s="174">
        <f>SUM(L23)+0.7</f>
        <v>18.099999999999998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45">
        <v>12</v>
      </c>
      <c r="B25" s="47" t="s">
        <v>229</v>
      </c>
      <c r="C25" s="48"/>
      <c r="D25" s="49"/>
      <c r="E25" s="50"/>
      <c r="F25" s="50"/>
      <c r="G25" s="51"/>
      <c r="H25" s="52">
        <f>SUM(I25)-1.1</f>
        <v>8.8000000000000007</v>
      </c>
      <c r="I25" s="52">
        <f>SUM(J25)-1.1</f>
        <v>9.9</v>
      </c>
      <c r="J25" s="37">
        <v>11</v>
      </c>
      <c r="K25" s="38">
        <f>SUM(J25)+0.8</f>
        <v>11.8</v>
      </c>
      <c r="L25" s="38">
        <f>SUM(K25)+0.8</f>
        <v>12.600000000000001</v>
      </c>
      <c r="M25" s="174">
        <f>SUM(L25)+0.8</f>
        <v>13.400000000000002</v>
      </c>
    </row>
    <row r="26" spans="1:13" s="1" customFormat="1" ht="14.1" customHeight="1">
      <c r="A26" s="45"/>
      <c r="B26" s="40" t="s">
        <v>230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174"/>
    </row>
    <row r="27" spans="1:13" s="1" customFormat="1" ht="14.1" customHeight="1">
      <c r="A27" s="45">
        <v>13</v>
      </c>
      <c r="B27" s="47" t="s">
        <v>227</v>
      </c>
      <c r="C27" s="48"/>
      <c r="D27" s="49"/>
      <c r="E27" s="50"/>
      <c r="F27" s="50"/>
      <c r="G27" s="51"/>
      <c r="H27" s="52">
        <f>SUM(I27)</f>
        <v>8</v>
      </c>
      <c r="I27" s="52">
        <f>SUM(J27)</f>
        <v>8</v>
      </c>
      <c r="J27" s="37">
        <v>8</v>
      </c>
      <c r="K27" s="38">
        <f>SUM(J27)+0.2</f>
        <v>8.1999999999999993</v>
      </c>
      <c r="L27" s="38">
        <f>SUM(K27)+0.2</f>
        <v>8.3999999999999986</v>
      </c>
      <c r="M27" s="174">
        <f>SUM(L27)+0.2</f>
        <v>8.5999999999999979</v>
      </c>
    </row>
    <row r="28" spans="1:13" s="1" customFormat="1" ht="14.1" customHeight="1">
      <c r="A28" s="45"/>
      <c r="B28" s="40" t="s">
        <v>228</v>
      </c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147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9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7F87-8780-46D5-9379-F108A63BD896}">
  <sheetPr>
    <tabColor theme="8"/>
    <pageSetUpPr fitToPage="1"/>
  </sheetPr>
  <dimension ref="A1:P51"/>
  <sheetViews>
    <sheetView zoomScale="110" zoomScaleNormal="110" workbookViewId="0">
      <selection activeCell="A31" sqref="A31:L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286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39.5</v>
      </c>
      <c r="I3" s="52">
        <f>SUM(J3)-3.5</f>
        <v>43</v>
      </c>
      <c r="J3" s="193">
        <v>46.5</v>
      </c>
      <c r="K3" s="194">
        <f>SUM(J3)+3</f>
        <v>49.5</v>
      </c>
      <c r="L3" s="194">
        <f>SUM(K3)+3</f>
        <v>52.5</v>
      </c>
      <c r="M3" s="195">
        <f>SUM(L3)+3</f>
        <v>55.5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24.799999999999997</v>
      </c>
      <c r="I5" s="52">
        <f>SUM(J5)-1.6</f>
        <v>26.4</v>
      </c>
      <c r="J5" s="54">
        <v>28</v>
      </c>
      <c r="K5" s="52">
        <f>SUM(J5)+1.4</f>
        <v>29.4</v>
      </c>
      <c r="L5" s="52">
        <f>SUM(K5)+1.4</f>
        <v>30.799999999999997</v>
      </c>
      <c r="M5" s="64">
        <f>SUM(L5)+1.4</f>
        <v>32.199999999999996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34</v>
      </c>
      <c r="I7" s="52">
        <f>SUM(J7)-2.25</f>
        <v>36.25</v>
      </c>
      <c r="J7" s="54">
        <v>38.5</v>
      </c>
      <c r="K7" s="52">
        <f>SUM(J7)+2</f>
        <v>40.5</v>
      </c>
      <c r="L7" s="52">
        <f>SUM(K7)+2</f>
        <v>42.5</v>
      </c>
      <c r="M7" s="64">
        <f>SUM(L7)+2</f>
        <v>44.5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34.9</v>
      </c>
      <c r="I9" s="52">
        <f>SUM(J9)-2.25</f>
        <v>37.15</v>
      </c>
      <c r="J9" s="54">
        <v>39.4</v>
      </c>
      <c r="K9" s="52">
        <f>SUM(J9)+2</f>
        <v>41.4</v>
      </c>
      <c r="L9" s="52">
        <f>SUM(K9)+2</f>
        <v>43.4</v>
      </c>
      <c r="M9" s="64">
        <f>SUM(L9)+2</f>
        <v>45.4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SUM(I11)-0.9</f>
        <v>14.899999999999999</v>
      </c>
      <c r="I11" s="52">
        <f>SUM(J11)-0.9</f>
        <v>15.799999999999999</v>
      </c>
      <c r="J11" s="37">
        <v>16.7</v>
      </c>
      <c r="K11" s="38">
        <f>SUM(J11)+0.9</f>
        <v>17.599999999999998</v>
      </c>
      <c r="L11" s="38">
        <f>SUM(K11)+0.9</f>
        <v>18.499999999999996</v>
      </c>
      <c r="M11" s="63">
        <f>SUM(L11)+0.9</f>
        <v>19.399999999999995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12.600000000000001</v>
      </c>
      <c r="I13" s="52">
        <f>SUM(J13)-0.6</f>
        <v>13.200000000000001</v>
      </c>
      <c r="J13" s="37">
        <v>13.8</v>
      </c>
      <c r="K13" s="38">
        <f>SUM(J13)+0.6</f>
        <v>14.4</v>
      </c>
      <c r="L13" s="38">
        <f>SUM(K13)+0.6</f>
        <v>15</v>
      </c>
      <c r="M13" s="63">
        <f>SUM(L13)+0.6</f>
        <v>15.6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5.5</v>
      </c>
      <c r="I15" s="52">
        <f>SUM(J15)-0.3</f>
        <v>5.8</v>
      </c>
      <c r="J15" s="37">
        <v>6.1</v>
      </c>
      <c r="K15" s="38">
        <f>SUM(J15)+0.3</f>
        <v>6.3999999999999995</v>
      </c>
      <c r="L15" s="38">
        <f>SUM(K15)+0.3</f>
        <v>6.6999999999999993</v>
      </c>
      <c r="M15" s="63">
        <f>SUM(L15)+0.3</f>
        <v>6.9999999999999991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35.799999999999997</v>
      </c>
      <c r="I17" s="52">
        <f>SUM(J17)-1.6</f>
        <v>37.4</v>
      </c>
      <c r="J17" s="37">
        <v>39</v>
      </c>
      <c r="K17" s="38">
        <f>SUM(J17)+1.6</f>
        <v>40.6</v>
      </c>
      <c r="L17" s="38">
        <f>SUM(K17)+1.6</f>
        <v>42.2</v>
      </c>
      <c r="M17" s="63">
        <f>SUM(L17)+1.6</f>
        <v>43.800000000000004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SUM(I19)-3.7</f>
        <v>31.599999999999998</v>
      </c>
      <c r="I19" s="52">
        <f>SUM(J19)-3.7</f>
        <v>35.299999999999997</v>
      </c>
      <c r="J19" s="37">
        <v>39</v>
      </c>
      <c r="K19" s="38">
        <f>SUM(J19)+3.8</f>
        <v>42.8</v>
      </c>
      <c r="L19" s="38">
        <f>SUM(K19)+3.8</f>
        <v>46.599999999999994</v>
      </c>
      <c r="M19" s="63">
        <f>SUM(L19)+3.8</f>
        <v>50.399999999999991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24</v>
      </c>
      <c r="I21" s="52">
        <f>SUM(J21)-1.5</f>
        <v>25.5</v>
      </c>
      <c r="J21" s="37">
        <v>27</v>
      </c>
      <c r="K21" s="38">
        <f>SUM(J21)+1.5</f>
        <v>28.5</v>
      </c>
      <c r="L21" s="38">
        <f>SUM(K21)+1.5</f>
        <v>30</v>
      </c>
      <c r="M21" s="63">
        <f>SUM(L21)+1.5</f>
        <v>31.5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15.799999999999999</v>
      </c>
      <c r="I23" s="52">
        <f>SUM(J23)-0.6</f>
        <v>16.399999999999999</v>
      </c>
      <c r="J23" s="37">
        <v>17</v>
      </c>
      <c r="K23" s="38">
        <f>SUM(J23)+0.6</f>
        <v>17.600000000000001</v>
      </c>
      <c r="L23" s="38">
        <f>SUM(K23)+0.6</f>
        <v>18.200000000000003</v>
      </c>
      <c r="M23" s="63">
        <f>SUM(L23)+0.6</f>
        <v>18.800000000000004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287</v>
      </c>
      <c r="C25" s="48"/>
      <c r="D25" s="49"/>
      <c r="E25" s="50"/>
      <c r="F25" s="50"/>
      <c r="G25" s="51"/>
      <c r="H25" s="52">
        <f>SUM(I25)-1</f>
        <v>4</v>
      </c>
      <c r="I25" s="52">
        <f>SUM(J25)-1</f>
        <v>5</v>
      </c>
      <c r="J25" s="37">
        <v>6</v>
      </c>
      <c r="K25" s="38">
        <f>SUM(J25)+0.5</f>
        <v>6.5</v>
      </c>
      <c r="L25" s="38">
        <f>SUM(K25)+0.5</f>
        <v>7</v>
      </c>
      <c r="M25" s="63">
        <f>SUM(L25)+0.5</f>
        <v>7.5</v>
      </c>
    </row>
    <row r="26" spans="1:13" s="1" customFormat="1" ht="14.1" customHeight="1">
      <c r="A26" s="45"/>
      <c r="B26" s="40" t="s">
        <v>288</v>
      </c>
      <c r="C26" s="41"/>
      <c r="D26" s="42" t="s">
        <v>291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 t="s">
        <v>289</v>
      </c>
      <c r="C27" s="48"/>
      <c r="D27" s="49"/>
      <c r="E27" s="50"/>
      <c r="F27" s="50"/>
      <c r="G27" s="51"/>
      <c r="H27" s="52">
        <f>SUM(I27)-1</f>
        <v>6.5</v>
      </c>
      <c r="I27" s="52">
        <f>SUM(J27)-1</f>
        <v>7.5</v>
      </c>
      <c r="J27" s="37">
        <v>8.5</v>
      </c>
      <c r="K27" s="38">
        <f>SUM(J27)+0.5</f>
        <v>9</v>
      </c>
      <c r="L27" s="38">
        <f>SUM(K27)+0.5</f>
        <v>9.5</v>
      </c>
      <c r="M27" s="63">
        <f>SUM(L27)+0.5</f>
        <v>10</v>
      </c>
    </row>
    <row r="28" spans="1:13" s="1" customFormat="1" ht="14.1" customHeight="1">
      <c r="A28" s="45"/>
      <c r="B28" s="40" t="s">
        <v>290</v>
      </c>
      <c r="C28" s="41"/>
      <c r="D28" s="42" t="s">
        <v>291</v>
      </c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47" t="s">
        <v>229</v>
      </c>
      <c r="C29" s="48"/>
      <c r="D29" s="49"/>
      <c r="E29" s="50"/>
      <c r="F29" s="50"/>
      <c r="G29" s="51"/>
      <c r="H29" s="52">
        <f>SUM(I29)-0.4</f>
        <v>4.6999999999999993</v>
      </c>
      <c r="I29" s="52">
        <f>SUM(J29)-0.4</f>
        <v>5.0999999999999996</v>
      </c>
      <c r="J29" s="37">
        <v>5.5</v>
      </c>
      <c r="K29" s="38">
        <f>SUM(J29)+0.4</f>
        <v>5.9</v>
      </c>
      <c r="L29" s="38">
        <f>SUM(K29)+0.4</f>
        <v>6.3000000000000007</v>
      </c>
      <c r="M29" s="63">
        <f>SUM(L29)+0.4</f>
        <v>6.7000000000000011</v>
      </c>
    </row>
    <row r="30" spans="1:13" s="1" customFormat="1" ht="14.1" customHeight="1">
      <c r="A30" s="45"/>
      <c r="B30" s="40" t="s">
        <v>230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63"/>
    </row>
    <row r="31" spans="1:13" ht="14.1" customHeight="1">
      <c r="A31" s="45">
        <v>15</v>
      </c>
      <c r="B31" s="47" t="s">
        <v>120</v>
      </c>
      <c r="C31" s="48"/>
      <c r="D31" s="49"/>
      <c r="E31" s="50"/>
      <c r="F31" s="50"/>
      <c r="G31" s="51"/>
      <c r="H31" s="52">
        <f>SUM(I31)-0.7</f>
        <v>11.100000000000001</v>
      </c>
      <c r="I31" s="52">
        <f>SUM(J31)-0.7</f>
        <v>11.8</v>
      </c>
      <c r="J31" s="37">
        <v>12.5</v>
      </c>
      <c r="K31" s="38">
        <f>SUM(J31)+0.7</f>
        <v>13.2</v>
      </c>
      <c r="L31" s="38">
        <f>SUM(K31)+0.7</f>
        <v>13.899999999999999</v>
      </c>
      <c r="M31" s="63">
        <f>SUM(L31)+0.7</f>
        <v>14.599999999999998</v>
      </c>
    </row>
    <row r="32" spans="1:13" ht="14.1" customHeight="1">
      <c r="A32" s="45"/>
      <c r="B32" s="40" t="s">
        <v>128</v>
      </c>
      <c r="C32" s="41"/>
      <c r="D32" s="42"/>
      <c r="E32" s="43"/>
      <c r="F32" s="43"/>
      <c r="G32" s="44"/>
      <c r="H32" s="79"/>
      <c r="I32" s="79"/>
      <c r="J32" s="37"/>
      <c r="K32" s="38"/>
      <c r="L32" s="38"/>
      <c r="M32" s="63"/>
    </row>
    <row r="33" spans="1:13" ht="14.1" customHeight="1">
      <c r="A33" s="45">
        <v>16</v>
      </c>
      <c r="B33" s="47" t="s">
        <v>121</v>
      </c>
      <c r="C33" s="48"/>
      <c r="D33" s="49"/>
      <c r="E33" s="50"/>
      <c r="F33" s="50"/>
      <c r="G33" s="51"/>
      <c r="H33" s="52">
        <f>SUM(I33)-0.4</f>
        <v>5.3999999999999995</v>
      </c>
      <c r="I33" s="52">
        <f>SUM(J33)-0.4</f>
        <v>5.8</v>
      </c>
      <c r="J33" s="37">
        <v>6.2</v>
      </c>
      <c r="K33" s="38">
        <f>SUM(J33)+0.4</f>
        <v>6.6000000000000005</v>
      </c>
      <c r="L33" s="38">
        <f>SUM(K33)+0.4</f>
        <v>7.0000000000000009</v>
      </c>
      <c r="M33" s="63">
        <f>SUM(L33)+0.4</f>
        <v>7.4000000000000012</v>
      </c>
    </row>
    <row r="34" spans="1:13" ht="14.1" customHeight="1">
      <c r="A34" s="45"/>
      <c r="B34" s="40" t="s">
        <v>129</v>
      </c>
      <c r="C34" s="41"/>
      <c r="D34" s="42"/>
      <c r="E34" s="43"/>
      <c r="F34" s="43"/>
      <c r="G34" s="44"/>
      <c r="H34" s="79"/>
      <c r="I34" s="79"/>
      <c r="J34" s="37"/>
      <c r="K34" s="38"/>
      <c r="L34" s="38"/>
      <c r="M34" s="63"/>
    </row>
    <row r="35" spans="1:13" ht="14.1" customHeight="1">
      <c r="A35" s="45">
        <v>17</v>
      </c>
      <c r="B35" s="47"/>
      <c r="C35" s="48"/>
      <c r="D35" s="49"/>
      <c r="E35" s="50"/>
      <c r="F35" s="50"/>
      <c r="G35" s="51"/>
      <c r="H35" s="52"/>
      <c r="I35" s="52"/>
      <c r="J35" s="37"/>
      <c r="K35" s="38"/>
      <c r="L35" s="38"/>
      <c r="M35" s="63"/>
    </row>
    <row r="36" spans="1:13" ht="14.1" customHeight="1">
      <c r="A36" s="45"/>
      <c r="B36" s="40"/>
      <c r="C36" s="41"/>
      <c r="D36" s="42"/>
      <c r="E36" s="43"/>
      <c r="F36" s="43"/>
      <c r="G36" s="44"/>
      <c r="H36" s="79"/>
      <c r="I36" s="79"/>
      <c r="J36" s="37"/>
      <c r="K36" s="38"/>
      <c r="L36" s="38"/>
      <c r="M36" s="63"/>
    </row>
    <row r="37" spans="1:13" ht="14.1" customHeight="1">
      <c r="A37" s="45">
        <v>18</v>
      </c>
      <c r="B37" s="56"/>
      <c r="C37" s="57"/>
      <c r="D37" s="183"/>
      <c r="E37" s="184"/>
      <c r="F37" s="184"/>
      <c r="G37" s="185"/>
      <c r="H37" s="52"/>
      <c r="I37" s="52"/>
      <c r="J37" s="54"/>
      <c r="K37" s="52"/>
      <c r="L37" s="52"/>
      <c r="M37" s="64"/>
    </row>
    <row r="38" spans="1:13" ht="14.1" customHeight="1" thickBot="1">
      <c r="A38" s="74"/>
      <c r="B38" s="178"/>
      <c r="C38" s="179"/>
      <c r="D38" s="180"/>
      <c r="E38" s="181"/>
      <c r="F38" s="181"/>
      <c r="G38" s="182"/>
      <c r="H38" s="77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L37:L38"/>
    <mergeCell ref="M37:M38"/>
    <mergeCell ref="B38:C38"/>
    <mergeCell ref="D38:G38"/>
    <mergeCell ref="J37:J38"/>
    <mergeCell ref="J35:J36"/>
    <mergeCell ref="K35:K36"/>
    <mergeCell ref="L35:L36"/>
    <mergeCell ref="M35:M36"/>
    <mergeCell ref="A37:A38"/>
    <mergeCell ref="B37:C37"/>
    <mergeCell ref="D37:G37"/>
    <mergeCell ref="H37:H38"/>
    <mergeCell ref="I37:I38"/>
    <mergeCell ref="B36:C36"/>
    <mergeCell ref="D36:G36"/>
    <mergeCell ref="J27:J28"/>
    <mergeCell ref="K27:K28"/>
    <mergeCell ref="B28:C28"/>
    <mergeCell ref="D28:G28"/>
    <mergeCell ref="K37:K3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K25:K26"/>
    <mergeCell ref="L25:L26"/>
    <mergeCell ref="M25:M26"/>
    <mergeCell ref="B26:C26"/>
    <mergeCell ref="D26:G26"/>
    <mergeCell ref="A35:A36"/>
    <mergeCell ref="B35:C35"/>
    <mergeCell ref="D35:G35"/>
    <mergeCell ref="H35:H36"/>
    <mergeCell ref="I35:I36"/>
    <mergeCell ref="A25:A26"/>
    <mergeCell ref="B25:C25"/>
    <mergeCell ref="D25:G25"/>
    <mergeCell ref="H25:H26"/>
    <mergeCell ref="I25:I26"/>
    <mergeCell ref="J25:J26"/>
    <mergeCell ref="A27:A28"/>
    <mergeCell ref="B27:C27"/>
    <mergeCell ref="D27:G27"/>
    <mergeCell ref="H27:H28"/>
    <mergeCell ref="I27:I28"/>
    <mergeCell ref="L27:L28"/>
    <mergeCell ref="M27:M28"/>
    <mergeCell ref="L33:L34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85EE-7ECE-441C-943F-69BA1B197FD8}">
  <sheetPr>
    <tabColor theme="8"/>
    <pageSetUpPr fitToPage="1"/>
  </sheetPr>
  <dimension ref="A1:P51"/>
  <sheetViews>
    <sheetView zoomScale="110" zoomScaleNormal="110" workbookViewId="0">
      <selection activeCell="B25" sqref="B25:C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274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36</v>
      </c>
      <c r="I3" s="52">
        <f>SUM(J3)-3.5</f>
        <v>39.5</v>
      </c>
      <c r="J3" s="193">
        <v>43</v>
      </c>
      <c r="K3" s="194">
        <f>SUM(J3)+3</f>
        <v>46</v>
      </c>
      <c r="L3" s="194">
        <f>SUM(K3)+3</f>
        <v>49</v>
      </c>
      <c r="M3" s="197">
        <f>SUM(L3)+3</f>
        <v>52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147"/>
    </row>
    <row r="5" spans="1:16" s="1" customFormat="1" ht="14.1" customHeight="1">
      <c r="A5" s="109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44</v>
      </c>
      <c r="I5" s="52">
        <f>SUM(J5)-4.5</f>
        <v>48.5</v>
      </c>
      <c r="J5" s="37">
        <v>53</v>
      </c>
      <c r="K5" s="38">
        <f>SUM(J5)+4.5</f>
        <v>57.5</v>
      </c>
      <c r="L5" s="38">
        <f>SUM(K5)+4.5</f>
        <v>62</v>
      </c>
      <c r="M5" s="174">
        <f>SUM(L5)+4.5</f>
        <v>66.5</v>
      </c>
    </row>
    <row r="6" spans="1:16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174"/>
    </row>
    <row r="7" spans="1:16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34.5</v>
      </c>
      <c r="I7" s="52">
        <f>SUM(J7)-2.25</f>
        <v>36.75</v>
      </c>
      <c r="J7" s="54">
        <v>39</v>
      </c>
      <c r="K7" s="52">
        <f>SUM(J7)+2</f>
        <v>41</v>
      </c>
      <c r="L7" s="52">
        <f>SUM(K7)+2</f>
        <v>43</v>
      </c>
      <c r="M7" s="147">
        <f>SUM(L7)+2</f>
        <v>45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146"/>
    </row>
    <row r="9" spans="1:16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SUM(I9)-2.1</f>
        <v>33.799999999999997</v>
      </c>
      <c r="I9" s="52">
        <f>SUM(J9)-2.1</f>
        <v>35.9</v>
      </c>
      <c r="J9" s="54">
        <v>38</v>
      </c>
      <c r="K9" s="52">
        <f>SUM(J9)+1.9</f>
        <v>39.9</v>
      </c>
      <c r="L9" s="52">
        <f>SUM(K9)+1.9</f>
        <v>41.8</v>
      </c>
      <c r="M9" s="147">
        <f>SUM(L9)+1.9</f>
        <v>43.699999999999996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146"/>
    </row>
    <row r="11" spans="1:16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54"/>
      <c r="K11" s="52"/>
      <c r="L11" s="52"/>
      <c r="M11" s="147"/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83"/>
      <c r="K12" s="79"/>
      <c r="L12" s="79"/>
      <c r="M12" s="146"/>
    </row>
    <row r="13" spans="1:16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15.2</v>
      </c>
      <c r="I13" s="52">
        <f>SUM(J13)-0.6</f>
        <v>15.799999999999999</v>
      </c>
      <c r="J13" s="37">
        <v>16.399999999999999</v>
      </c>
      <c r="K13" s="38">
        <f>SUM(J13)+0.6</f>
        <v>17</v>
      </c>
      <c r="L13" s="38">
        <f>SUM(K13)+0.6</f>
        <v>17.600000000000001</v>
      </c>
      <c r="M13" s="174">
        <f>SUM(L13)+0.6</f>
        <v>18.200000000000003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174"/>
    </row>
    <row r="15" spans="1:16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174">
        <f>SUM(L15)+0.3</f>
        <v>7.1999999999999993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174"/>
    </row>
    <row r="17" spans="1:13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39.799999999999997</v>
      </c>
      <c r="I17" s="52">
        <f>SUM(J17)-1.6</f>
        <v>41.4</v>
      </c>
      <c r="J17" s="37">
        <v>43</v>
      </c>
      <c r="K17" s="38">
        <f>SUM(J17)+1.6</f>
        <v>44.6</v>
      </c>
      <c r="L17" s="38">
        <f>SUM(K17)+1.6</f>
        <v>46.2</v>
      </c>
      <c r="M17" s="174">
        <f>SUM(L17)+1.6</f>
        <v>47.800000000000004</v>
      </c>
    </row>
    <row r="18" spans="1:13" s="1" customFormat="1" ht="14.1" customHeight="1">
      <c r="A18" s="45"/>
      <c r="B18" s="40" t="s">
        <v>33</v>
      </c>
      <c r="C18" s="4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174"/>
    </row>
    <row r="19" spans="1:13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54"/>
      <c r="K19" s="52"/>
      <c r="L19" s="52"/>
      <c r="M19" s="147"/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83"/>
      <c r="K20" s="79"/>
      <c r="L20" s="79"/>
      <c r="M20" s="146"/>
    </row>
    <row r="21" spans="1:13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SUM(I21)-1.7</f>
        <v>26.6</v>
      </c>
      <c r="I21" s="52">
        <f>SUM(J21)-1.7</f>
        <v>28.3</v>
      </c>
      <c r="J21" s="54">
        <v>30</v>
      </c>
      <c r="K21" s="52">
        <f>SUM(J21)+1.7</f>
        <v>31.7</v>
      </c>
      <c r="L21" s="52">
        <f>SUM(K21)+1.7</f>
        <v>33.4</v>
      </c>
      <c r="M21" s="147">
        <f>SUM(L21)+1.7</f>
        <v>35.1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83"/>
      <c r="K22" s="79"/>
      <c r="L22" s="79"/>
      <c r="M22" s="146"/>
    </row>
    <row r="23" spans="1:13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16.600000000000001</v>
      </c>
      <c r="I23" s="52">
        <f>SUM(J23)-0.7</f>
        <v>17.3</v>
      </c>
      <c r="J23" s="37">
        <v>18</v>
      </c>
      <c r="K23" s="38">
        <f>SUM(J23)+0.7</f>
        <v>18.7</v>
      </c>
      <c r="L23" s="38">
        <f>SUM(K23)+0.7</f>
        <v>19.399999999999999</v>
      </c>
      <c r="M23" s="174">
        <f>SUM(L23)+0.7</f>
        <v>20.099999999999998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174"/>
    </row>
    <row r="25" spans="1:13" s="1" customFormat="1" ht="14.1" customHeight="1">
      <c r="A25" s="109">
        <v>12</v>
      </c>
      <c r="B25" s="47" t="s">
        <v>120</v>
      </c>
      <c r="C25" s="48"/>
      <c r="D25" s="49" t="s">
        <v>272</v>
      </c>
      <c r="E25" s="50"/>
      <c r="F25" s="50"/>
      <c r="G25" s="51"/>
      <c r="H25" s="52">
        <f>SUM(I25)-0.3</f>
        <v>4.2</v>
      </c>
      <c r="I25" s="52">
        <f>SUM(J25)-0.3</f>
        <v>4.5</v>
      </c>
      <c r="J25" s="37">
        <v>4.8</v>
      </c>
      <c r="K25" s="38">
        <f>SUM(J25)+0.3</f>
        <v>5.0999999999999996</v>
      </c>
      <c r="L25" s="38">
        <f>SUM(K25)+0.3</f>
        <v>5.3999999999999995</v>
      </c>
      <c r="M25" s="174">
        <f>SUM(L25)+0.3</f>
        <v>5.6999999999999993</v>
      </c>
    </row>
    <row r="26" spans="1:13" s="1" customFormat="1" ht="14.1" customHeight="1">
      <c r="A26" s="46"/>
      <c r="B26" s="56" t="s">
        <v>128</v>
      </c>
      <c r="C26" s="57"/>
      <c r="D26" s="58" t="s">
        <v>273</v>
      </c>
      <c r="E26" s="59"/>
      <c r="F26" s="59"/>
      <c r="G26" s="60"/>
      <c r="H26" s="53"/>
      <c r="I26" s="53"/>
      <c r="J26" s="54"/>
      <c r="K26" s="52"/>
      <c r="L26" s="52"/>
      <c r="M26" s="147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174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174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147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9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0C05-3EDC-43B8-B997-1D3A69C729C6}">
  <sheetPr>
    <tabColor theme="8"/>
    <pageSetUpPr fitToPage="1"/>
  </sheetPr>
  <dimension ref="A1:O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443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39</v>
      </c>
      <c r="I3" s="52">
        <f>SUM(J3)-3.5</f>
        <v>42.5</v>
      </c>
      <c r="J3" s="193">
        <v>46</v>
      </c>
      <c r="K3" s="194">
        <f>SUM(J3)+3</f>
        <v>49</v>
      </c>
      <c r="L3" s="194">
        <f t="shared" ref="L3:M3" si="0">SUM(K3)+3</f>
        <v>52</v>
      </c>
      <c r="M3" s="195">
        <f t="shared" si="0"/>
        <v>55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5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35.199999999999996</v>
      </c>
      <c r="I5" s="52">
        <f>SUM(J5)-2.2</f>
        <v>37.4</v>
      </c>
      <c r="J5" s="54">
        <v>39.6</v>
      </c>
      <c r="K5" s="52">
        <f>SUM(J5)+2</f>
        <v>41.6</v>
      </c>
      <c r="L5" s="52">
        <f t="shared" ref="L5:M5" si="1">SUM(K5)+2</f>
        <v>43.6</v>
      </c>
      <c r="M5" s="64">
        <f t="shared" si="1"/>
        <v>45.6</v>
      </c>
    </row>
    <row r="6" spans="1:15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36.5</v>
      </c>
      <c r="I7" s="52">
        <f>SUM(J7)-2.25</f>
        <v>38.75</v>
      </c>
      <c r="J7" s="54">
        <v>41</v>
      </c>
      <c r="K7" s="52">
        <f>SUM(J7)+2</f>
        <v>43</v>
      </c>
      <c r="L7" s="52">
        <f>SUM(K7)+2</f>
        <v>45</v>
      </c>
      <c r="M7" s="64">
        <f>SUM(L7)+2</f>
        <v>47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36.5</v>
      </c>
      <c r="I9" s="52">
        <f>SUM(J9)-2.25</f>
        <v>38.75</v>
      </c>
      <c r="J9" s="54">
        <v>41</v>
      </c>
      <c r="K9" s="52">
        <f>SUM(J9)+2</f>
        <v>43</v>
      </c>
      <c r="L9" s="52">
        <f t="shared" ref="L9:M9" si="2">SUM(K9)+2</f>
        <v>45</v>
      </c>
      <c r="M9" s="64">
        <f t="shared" si="2"/>
        <v>47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13.599999999999998</v>
      </c>
      <c r="I11" s="52">
        <f>SUM(J11)-0.8</f>
        <v>14.399999999999999</v>
      </c>
      <c r="J11" s="37">
        <v>15.2</v>
      </c>
      <c r="K11" s="38">
        <f>SUM(J11)+0.8</f>
        <v>16</v>
      </c>
      <c r="L11" s="38">
        <f t="shared" ref="L11:M11" si="3">SUM(K11)+0.8</f>
        <v>16.8</v>
      </c>
      <c r="M11" s="63">
        <f t="shared" si="3"/>
        <v>17.600000000000001</v>
      </c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16.099999999999998</v>
      </c>
      <c r="I13" s="52">
        <f>SUM(J13)-0.6</f>
        <v>16.7</v>
      </c>
      <c r="J13" s="37">
        <v>17.3</v>
      </c>
      <c r="K13" s="38">
        <f>SUM(J13)+0.6</f>
        <v>17.900000000000002</v>
      </c>
      <c r="L13" s="38">
        <f>SUM(K13)+0.6</f>
        <v>18.500000000000004</v>
      </c>
      <c r="M13" s="63">
        <f>SUM(L13)+0.6</f>
        <v>19.100000000000005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6.2</v>
      </c>
      <c r="I15" s="52">
        <f>SUM(J15)-0.3</f>
        <v>6.5</v>
      </c>
      <c r="J15" s="37">
        <v>6.8</v>
      </c>
      <c r="K15" s="38">
        <f>SUM(J15)+0.3</f>
        <v>7.1</v>
      </c>
      <c r="L15" s="38">
        <f>SUM(K15)+0.3</f>
        <v>7.3999999999999995</v>
      </c>
      <c r="M15" s="63">
        <f>SUM(L15)+0.3</f>
        <v>7.6999999999999993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38.799999999999997</v>
      </c>
      <c r="I17" s="52">
        <f>SUM(J17)-1.6</f>
        <v>40.4</v>
      </c>
      <c r="J17" s="37">
        <v>42</v>
      </c>
      <c r="K17" s="38">
        <f>SUM(J17)+1.6</f>
        <v>43.6</v>
      </c>
      <c r="L17" s="38">
        <f>SUM(K17)+1.6</f>
        <v>45.2</v>
      </c>
      <c r="M17" s="63">
        <f>SUM(L17)+1.6</f>
        <v>46.800000000000004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27.400000000000006</v>
      </c>
      <c r="I19" s="52">
        <f>SUM(J19)-3.4</f>
        <v>30.800000000000004</v>
      </c>
      <c r="J19" s="37">
        <v>34.200000000000003</v>
      </c>
      <c r="K19" s="38">
        <f>SUM(J19)+3.5</f>
        <v>37.700000000000003</v>
      </c>
      <c r="L19" s="38">
        <f t="shared" ref="L19:M19" si="4">SUM(K19)+3.5</f>
        <v>41.2</v>
      </c>
      <c r="M19" s="63">
        <f t="shared" si="4"/>
        <v>44.7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25.9</v>
      </c>
      <c r="I21" s="52">
        <f>SUM(J21)-1.5</f>
        <v>27.4</v>
      </c>
      <c r="J21" s="37">
        <v>28.9</v>
      </c>
      <c r="K21" s="38">
        <f>SUM(J21)+1.5</f>
        <v>30.4</v>
      </c>
      <c r="L21" s="38">
        <f t="shared" ref="L21:M21" si="5">SUM(K21)+1.5</f>
        <v>31.9</v>
      </c>
      <c r="M21" s="63">
        <f t="shared" si="5"/>
        <v>33.4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 t="shared" ref="L23:M23" si="6">SUM(K23)+0.6</f>
        <v>16.399999999999999</v>
      </c>
      <c r="M23" s="63">
        <f t="shared" si="6"/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SUM(I25)-0.3</f>
        <v>4.1000000000000005</v>
      </c>
      <c r="I25" s="52">
        <f>SUM(J25)-0.3</f>
        <v>4.4000000000000004</v>
      </c>
      <c r="J25" s="37">
        <v>4.7</v>
      </c>
      <c r="K25" s="38">
        <f>SUM(J25)+0.3</f>
        <v>5</v>
      </c>
      <c r="L25" s="38">
        <f t="shared" ref="L25:M25" si="7">SUM(K25)+0.3</f>
        <v>5.3</v>
      </c>
      <c r="M25" s="63">
        <f t="shared" si="7"/>
        <v>5.6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EC96-8BE2-4141-BAAD-1B242E8DEBF9}">
  <sheetPr>
    <tabColor theme="8"/>
    <pageSetUpPr fitToPage="1"/>
  </sheetPr>
  <dimension ref="A1:P51"/>
  <sheetViews>
    <sheetView zoomScale="110" zoomScaleNormal="110" workbookViewId="0">
      <selection activeCell="J25" sqref="J25:J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11" t="s">
        <v>275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37</v>
      </c>
      <c r="I3" s="52">
        <f>SUM(J3)-3.5</f>
        <v>40.5</v>
      </c>
      <c r="J3" s="193">
        <v>44</v>
      </c>
      <c r="K3" s="194">
        <f>SUM(J3)+3</f>
        <v>47</v>
      </c>
      <c r="L3" s="194">
        <f>SUM(K3)+3</f>
        <v>50</v>
      </c>
      <c r="M3" s="194">
        <f>SUM(L3)+3</f>
        <v>53</v>
      </c>
      <c r="N3" s="219">
        <f>SUM(M3)+3</f>
        <v>56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38.599999999999994</v>
      </c>
      <c r="I5" s="52">
        <f>SUM(J5)-2.2</f>
        <v>40.799999999999997</v>
      </c>
      <c r="J5" s="54">
        <v>43</v>
      </c>
      <c r="K5" s="52">
        <f>SUM(J5)+2</f>
        <v>45</v>
      </c>
      <c r="L5" s="52">
        <f>SUM(K5)+2</f>
        <v>47</v>
      </c>
      <c r="M5" s="52">
        <f>SUM(L5)+2</f>
        <v>49</v>
      </c>
      <c r="N5" s="205">
        <f>SUM(M5)+2</f>
        <v>51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39.5</v>
      </c>
      <c r="I7" s="52">
        <f>SUM(J7)-2.25</f>
        <v>41.75</v>
      </c>
      <c r="J7" s="54">
        <v>44</v>
      </c>
      <c r="K7" s="52">
        <f>SUM(J7)+2</f>
        <v>46</v>
      </c>
      <c r="L7" s="52">
        <f>SUM(K7)+2</f>
        <v>48</v>
      </c>
      <c r="M7" s="52">
        <f>SUM(L7)+2</f>
        <v>50</v>
      </c>
      <c r="N7" s="205">
        <f>SUM(M7)+2</f>
        <v>52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31.400000000000002</v>
      </c>
      <c r="I9" s="52">
        <f>SUM(J9)-1.8</f>
        <v>33.200000000000003</v>
      </c>
      <c r="J9" s="54">
        <v>35</v>
      </c>
      <c r="K9" s="52">
        <f>SUM(J9)+1.6</f>
        <v>36.6</v>
      </c>
      <c r="L9" s="52">
        <f>SUM(K9)+1.6</f>
        <v>38.200000000000003</v>
      </c>
      <c r="M9" s="52">
        <f>SUM(L9)+1.6</f>
        <v>39.800000000000004</v>
      </c>
      <c r="N9" s="205">
        <f>SUM(M9)+1.6</f>
        <v>41.400000000000006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14.899999999999999</v>
      </c>
      <c r="I11" s="52">
        <f>SUM(J11)-0.8</f>
        <v>15.7</v>
      </c>
      <c r="J11" s="37">
        <v>16.5</v>
      </c>
      <c r="K11" s="38">
        <f>SUM(J11)+0.8</f>
        <v>17.3</v>
      </c>
      <c r="L11" s="38">
        <f>SUM(K11)+0.8</f>
        <v>18.100000000000001</v>
      </c>
      <c r="M11" s="38">
        <f>SUM(L11)+0.8</f>
        <v>18.900000000000002</v>
      </c>
      <c r="N11" s="208">
        <f>SUM(M11)+0.8</f>
        <v>19.700000000000003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15.799999999999999</v>
      </c>
      <c r="I13" s="52">
        <f>SUM(J13)-0.6</f>
        <v>16.399999999999999</v>
      </c>
      <c r="J13" s="37">
        <v>17</v>
      </c>
      <c r="K13" s="38">
        <f>SUM(J13)+0.6</f>
        <v>17.600000000000001</v>
      </c>
      <c r="L13" s="38">
        <f>SUM(K13)+0.6</f>
        <v>18.200000000000003</v>
      </c>
      <c r="M13" s="38">
        <f>SUM(L13)+0.6</f>
        <v>18.800000000000004</v>
      </c>
      <c r="N13" s="208">
        <f>SUM(M13)+0.6</f>
        <v>19.400000000000006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6.6000000000000005</v>
      </c>
      <c r="I15" s="52">
        <f>SUM(J15)-0.3</f>
        <v>6.9</v>
      </c>
      <c r="J15" s="37">
        <v>7.2</v>
      </c>
      <c r="K15" s="38">
        <f>SUM(J15)+0.3</f>
        <v>7.5</v>
      </c>
      <c r="L15" s="38">
        <f>SUM(K15)+0.3</f>
        <v>7.8</v>
      </c>
      <c r="M15" s="38">
        <f>SUM(L15)+0.3</f>
        <v>8.1</v>
      </c>
      <c r="N15" s="208">
        <f>SUM(M15)+0.3</f>
        <v>8.4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39.799999999999997</v>
      </c>
      <c r="I17" s="52">
        <f>SUM(J17)-1.6</f>
        <v>41.4</v>
      </c>
      <c r="J17" s="37">
        <v>43</v>
      </c>
      <c r="K17" s="38">
        <f>SUM(J17)+1.6</f>
        <v>44.6</v>
      </c>
      <c r="L17" s="38">
        <f>SUM(K17)+1.6</f>
        <v>46.2</v>
      </c>
      <c r="M17" s="38">
        <f>SUM(L17)+1.6</f>
        <v>47.800000000000004</v>
      </c>
      <c r="N17" s="208">
        <f>SUM(M17)+1.6</f>
        <v>49.400000000000006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25.700000000000003</v>
      </c>
      <c r="I19" s="52">
        <f>SUM(J19)-3.4</f>
        <v>29.1</v>
      </c>
      <c r="J19" s="37">
        <v>32.5</v>
      </c>
      <c r="K19" s="38">
        <f>SUM(J19)+3.5</f>
        <v>36</v>
      </c>
      <c r="L19" s="38">
        <f>SUM(K19)+3.5</f>
        <v>39.5</v>
      </c>
      <c r="M19" s="38">
        <f>SUM(L19)+3.5</f>
        <v>43</v>
      </c>
      <c r="N19" s="208">
        <f>SUM(M19)+3.5</f>
        <v>46.5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208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28.6</v>
      </c>
      <c r="I21" s="52">
        <f>SUM(J21)-1.5</f>
        <v>30.1</v>
      </c>
      <c r="J21" s="37">
        <v>31.6</v>
      </c>
      <c r="K21" s="38">
        <f>SUM(J21)+1.5</f>
        <v>33.1</v>
      </c>
      <c r="L21" s="38">
        <f>SUM(K21)+1.5</f>
        <v>34.6</v>
      </c>
      <c r="M21" s="38">
        <f>SUM(L21)+1.5</f>
        <v>36.1</v>
      </c>
      <c r="N21" s="208">
        <f>SUM(M21)+1.5</f>
        <v>37.6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38">
        <f>SUM(L23)+0.6</f>
        <v>17</v>
      </c>
      <c r="N23" s="208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47" t="s">
        <v>142</v>
      </c>
      <c r="C25" s="48"/>
      <c r="D25" s="49"/>
      <c r="E25" s="50"/>
      <c r="F25" s="50"/>
      <c r="G25" s="51"/>
      <c r="H25" s="52">
        <f>SUM(I25)-0.3</f>
        <v>5.3000000000000007</v>
      </c>
      <c r="I25" s="52">
        <f>SUM(J25)-0.3</f>
        <v>5.6000000000000005</v>
      </c>
      <c r="J25" s="37">
        <v>5.9</v>
      </c>
      <c r="K25" s="38">
        <f>SUM(J25)+0.3</f>
        <v>6.2</v>
      </c>
      <c r="L25" s="38">
        <f>SUM(K25)+0.3</f>
        <v>6.5</v>
      </c>
      <c r="M25" s="38">
        <f>SUM(L25)+0.3</f>
        <v>6.8</v>
      </c>
      <c r="N25" s="208">
        <f>SUM(M25)+0.3</f>
        <v>7.1</v>
      </c>
    </row>
    <row r="26" spans="1:14" s="1" customFormat="1" ht="14.1" customHeight="1">
      <c r="A26" s="45"/>
      <c r="B26" s="40" t="s">
        <v>276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4" s="1" customFormat="1" ht="14.1" customHeight="1">
      <c r="A27" s="45">
        <v>13</v>
      </c>
      <c r="B27" s="47" t="s">
        <v>143</v>
      </c>
      <c r="C27" s="48"/>
      <c r="D27" s="49"/>
      <c r="E27" s="50"/>
      <c r="F27" s="50"/>
      <c r="G27" s="51"/>
      <c r="H27" s="52">
        <f>SUM(I27)-0.4</f>
        <v>7.3999999999999986</v>
      </c>
      <c r="I27" s="52">
        <f>SUM(J27)-0.4</f>
        <v>7.7999999999999989</v>
      </c>
      <c r="J27" s="37">
        <v>8.1999999999999993</v>
      </c>
      <c r="K27" s="38">
        <f>SUM(J27)+0.4</f>
        <v>8.6</v>
      </c>
      <c r="L27" s="38">
        <f>SUM(K27)+0.4</f>
        <v>9</v>
      </c>
      <c r="M27" s="38">
        <f>SUM(L27)+0.4</f>
        <v>9.4</v>
      </c>
      <c r="N27" s="208">
        <f>SUM(M27)+0.4</f>
        <v>9.8000000000000007</v>
      </c>
    </row>
    <row r="28" spans="1:14" s="1" customFormat="1" ht="14.1" customHeight="1">
      <c r="A28" s="45"/>
      <c r="B28" s="40" t="s">
        <v>277</v>
      </c>
      <c r="C28" s="41"/>
      <c r="D28" s="42" t="s">
        <v>149</v>
      </c>
      <c r="E28" s="43"/>
      <c r="F28" s="43"/>
      <c r="G28" s="44"/>
      <c r="H28" s="79"/>
      <c r="I28" s="79"/>
      <c r="J28" s="37"/>
      <c r="K28" s="38"/>
      <c r="L28" s="38"/>
      <c r="M28" s="38"/>
      <c r="N28" s="208"/>
    </row>
    <row r="29" spans="1:14" s="1" customFormat="1" ht="14.1" customHeight="1">
      <c r="A29" s="45">
        <v>14</v>
      </c>
      <c r="B29" s="47" t="s">
        <v>278</v>
      </c>
      <c r="C29" s="48"/>
      <c r="D29" s="49"/>
      <c r="E29" s="50"/>
      <c r="F29" s="50"/>
      <c r="G29" s="51"/>
      <c r="H29" s="52">
        <f>SUM(I29)-1</f>
        <v>19.8</v>
      </c>
      <c r="I29" s="52">
        <f>SUM(J29)-1</f>
        <v>20.8</v>
      </c>
      <c r="J29" s="37">
        <v>21.8</v>
      </c>
      <c r="K29" s="38">
        <f>SUM(J29)+0.9</f>
        <v>22.7</v>
      </c>
      <c r="L29" s="38">
        <f>SUM(K29)+0.9</f>
        <v>23.599999999999998</v>
      </c>
      <c r="M29" s="38">
        <f>SUM(L29)+0.9</f>
        <v>24.499999999999996</v>
      </c>
      <c r="N29" s="208">
        <f>SUM(M29)+0.9</f>
        <v>25.399999999999995</v>
      </c>
    </row>
    <row r="30" spans="1:14" s="1" customFormat="1" ht="14.1" customHeight="1">
      <c r="A30" s="45"/>
      <c r="B30" s="40" t="s">
        <v>279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4" ht="14.1" customHeight="1">
      <c r="A31" s="45">
        <v>15</v>
      </c>
      <c r="B31" s="56"/>
      <c r="C31" s="57"/>
      <c r="D31" s="183"/>
      <c r="E31" s="184"/>
      <c r="F31" s="184"/>
      <c r="G31" s="185"/>
      <c r="H31" s="52"/>
      <c r="I31" s="52"/>
      <c r="J31" s="54"/>
      <c r="K31" s="52"/>
      <c r="L31" s="52"/>
      <c r="M31" s="52"/>
      <c r="N31" s="205"/>
    </row>
    <row r="32" spans="1:14" ht="14.1" customHeight="1" thickBot="1">
      <c r="A32" s="74"/>
      <c r="B32" s="178"/>
      <c r="C32" s="179"/>
      <c r="D32" s="180"/>
      <c r="E32" s="181"/>
      <c r="F32" s="181"/>
      <c r="G32" s="182"/>
      <c r="H32" s="77"/>
      <c r="I32" s="77"/>
      <c r="J32" s="144"/>
      <c r="K32" s="77"/>
      <c r="L32" s="77"/>
      <c r="M32" s="77"/>
      <c r="N32" s="206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83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A1:N1"/>
    <mergeCell ref="N3:N4"/>
    <mergeCell ref="N5:N6"/>
    <mergeCell ref="N7:N8"/>
    <mergeCell ref="N9:N10"/>
    <mergeCell ref="A31:A32"/>
    <mergeCell ref="B31:C31"/>
    <mergeCell ref="D31:G31"/>
    <mergeCell ref="H31:H32"/>
    <mergeCell ref="I31:I32"/>
    <mergeCell ref="J31:J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N31:N32"/>
    <mergeCell ref="A29:A30"/>
    <mergeCell ref="B29:C29"/>
    <mergeCell ref="D29:G29"/>
    <mergeCell ref="H29:H30"/>
    <mergeCell ref="I29:I30"/>
    <mergeCell ref="J29:J30"/>
    <mergeCell ref="N11:N12"/>
    <mergeCell ref="N13:N14"/>
    <mergeCell ref="N15:N16"/>
    <mergeCell ref="N17:N18"/>
    <mergeCell ref="N19:N20"/>
    <mergeCell ref="N21:N22"/>
    <mergeCell ref="K31:K32"/>
    <mergeCell ref="L31:L32"/>
    <mergeCell ref="M31:M32"/>
    <mergeCell ref="B32:C32"/>
    <mergeCell ref="D32:G32"/>
    <mergeCell ref="D27:G27"/>
    <mergeCell ref="H27:H28"/>
    <mergeCell ref="I27:I28"/>
    <mergeCell ref="A25:A26"/>
    <mergeCell ref="B25:C25"/>
    <mergeCell ref="D25:G25"/>
    <mergeCell ref="K29:K30"/>
    <mergeCell ref="L29:L30"/>
    <mergeCell ref="M29:M30"/>
    <mergeCell ref="N29:N30"/>
    <mergeCell ref="B30:C30"/>
    <mergeCell ref="D30:G30"/>
    <mergeCell ref="N23:N24"/>
    <mergeCell ref="N25:N26"/>
    <mergeCell ref="N27:N28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CBB1-7A66-4339-BC01-1062648397D0}">
  <sheetPr>
    <tabColor theme="8"/>
    <pageSetUpPr fitToPage="1"/>
  </sheetPr>
  <dimension ref="A1:O51"/>
  <sheetViews>
    <sheetView zoomScale="110" zoomScaleNormal="110" workbookViewId="0">
      <selection activeCell="B31" sqref="B31:C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342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37</v>
      </c>
      <c r="I3" s="52">
        <f>SUM(J3)-3.5</f>
        <v>40.5</v>
      </c>
      <c r="J3" s="193">
        <v>44</v>
      </c>
      <c r="K3" s="194">
        <f>SUM(J3)+3</f>
        <v>47</v>
      </c>
      <c r="L3" s="194">
        <f>SUM(K3)+3</f>
        <v>50</v>
      </c>
      <c r="M3" s="195">
        <f>SUM(L3)+3</f>
        <v>53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5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22.599999999999998</v>
      </c>
      <c r="I5" s="52">
        <f>SUM(J5)-1.8</f>
        <v>24.4</v>
      </c>
      <c r="J5" s="54">
        <v>26.2</v>
      </c>
      <c r="K5" s="52">
        <f>SUM(J5)+1.6</f>
        <v>27.8</v>
      </c>
      <c r="L5" s="52">
        <f>SUM(K5)+1.6</f>
        <v>29.400000000000002</v>
      </c>
      <c r="M5" s="64">
        <f>SUM(L5)+1.6</f>
        <v>31.000000000000004</v>
      </c>
    </row>
    <row r="6" spans="1:15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64">
        <f>SUM(L7)+2</f>
        <v>39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28.5</v>
      </c>
      <c r="I9" s="52">
        <f>SUM(J9)-2.25</f>
        <v>30.75</v>
      </c>
      <c r="J9" s="54">
        <v>33</v>
      </c>
      <c r="K9" s="52">
        <f>SUM(J9)+2</f>
        <v>35</v>
      </c>
      <c r="L9" s="52">
        <f>SUM(K9)+2</f>
        <v>37</v>
      </c>
      <c r="M9" s="64">
        <f>SUM(L9)+2</f>
        <v>39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13.899999999999999</v>
      </c>
      <c r="I11" s="52">
        <f>SUM(J11)-0.8</f>
        <v>14.7</v>
      </c>
      <c r="J11" s="37">
        <v>15.5</v>
      </c>
      <c r="K11" s="38">
        <f>SUM(J11)+0.8</f>
        <v>16.3</v>
      </c>
      <c r="L11" s="38">
        <f>SUM(K11)+0.8</f>
        <v>17.100000000000001</v>
      </c>
      <c r="M11" s="63">
        <f>SUM(L11)+0.9</f>
        <v>18</v>
      </c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16.299999999999997</v>
      </c>
      <c r="I13" s="52">
        <f>SUM(J13)-0.6</f>
        <v>16.899999999999999</v>
      </c>
      <c r="J13" s="37">
        <v>17.5</v>
      </c>
      <c r="K13" s="38">
        <f>SUM(J13)+0.6</f>
        <v>18.100000000000001</v>
      </c>
      <c r="L13" s="38">
        <f>SUM(K13)+0.6</f>
        <v>18.700000000000003</v>
      </c>
      <c r="M13" s="63">
        <f>SUM(L13)+0.6</f>
        <v>19.300000000000004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5.4</v>
      </c>
      <c r="I15" s="52">
        <f>SUM(J15)-0.3</f>
        <v>5.7</v>
      </c>
      <c r="J15" s="37">
        <v>6</v>
      </c>
      <c r="K15" s="38">
        <f>SUM(J15)+0.3</f>
        <v>6.3</v>
      </c>
      <c r="L15" s="38">
        <f>SUM(K15)+0.3</f>
        <v>6.6</v>
      </c>
      <c r="M15" s="63">
        <f>SUM(L15)+0.3</f>
        <v>6.8999999999999995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39.799999999999997</v>
      </c>
      <c r="I17" s="52">
        <f>SUM(J17)-1.6</f>
        <v>41.4</v>
      </c>
      <c r="J17" s="37">
        <v>43</v>
      </c>
      <c r="K17" s="38">
        <f>SUM(J17)+1.6</f>
        <v>44.6</v>
      </c>
      <c r="L17" s="38">
        <f>SUM(K17)+1.6</f>
        <v>46.2</v>
      </c>
      <c r="M17" s="63">
        <f>SUM(L17)+1.6</f>
        <v>47.800000000000004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32.799999999999997</v>
      </c>
      <c r="I19" s="52">
        <f>SUM(J19)-3.6</f>
        <v>36.4</v>
      </c>
      <c r="J19" s="37">
        <v>40</v>
      </c>
      <c r="K19" s="38">
        <f>SUM(J19)+3.7</f>
        <v>43.7</v>
      </c>
      <c r="L19" s="38">
        <f>SUM(K19)+3.7</f>
        <v>47.400000000000006</v>
      </c>
      <c r="M19" s="63">
        <f>SUM(L19)+3.7</f>
        <v>51.100000000000009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21.9</v>
      </c>
      <c r="I21" s="52">
        <f>SUM(J21)-1.3</f>
        <v>23.2</v>
      </c>
      <c r="J21" s="37">
        <v>24.5</v>
      </c>
      <c r="K21" s="38">
        <f>SUM(J21)+1.3</f>
        <v>25.8</v>
      </c>
      <c r="L21" s="38">
        <f>SUM(K21)+1.3</f>
        <v>27.1</v>
      </c>
      <c r="M21" s="63">
        <f>SUM(L21)+1.3</f>
        <v>28.400000000000002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14.8</v>
      </c>
      <c r="I23" s="52">
        <f>SUM(J23)-0.6</f>
        <v>15.4</v>
      </c>
      <c r="J23" s="37">
        <v>16</v>
      </c>
      <c r="K23" s="38">
        <f>SUM(J23)+0.6</f>
        <v>16.600000000000001</v>
      </c>
      <c r="L23" s="38">
        <f>SUM(K23)+0.6</f>
        <v>17.200000000000003</v>
      </c>
      <c r="M23" s="63">
        <f>SUM(L23)+0.6</f>
        <v>17.800000000000004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142</v>
      </c>
      <c r="C25" s="48"/>
      <c r="D25" s="49"/>
      <c r="E25" s="50"/>
      <c r="F25" s="50"/>
      <c r="G25" s="51"/>
      <c r="H25" s="52">
        <f>SUM(I25)-0.7</f>
        <v>5.3</v>
      </c>
      <c r="I25" s="52">
        <f>SUM(J25)-0.7</f>
        <v>6</v>
      </c>
      <c r="J25" s="37">
        <v>6.7</v>
      </c>
      <c r="K25" s="38">
        <f>SUM(J25)+0.7</f>
        <v>7.4</v>
      </c>
      <c r="L25" s="38">
        <f>SUM(K25)+0.7</f>
        <v>8.1</v>
      </c>
      <c r="M25" s="63">
        <f>SUM(L25)+0.7</f>
        <v>8.7999999999999989</v>
      </c>
    </row>
    <row r="26" spans="1:13" s="1" customFormat="1" ht="14.1" customHeight="1">
      <c r="A26" s="45"/>
      <c r="B26" s="40" t="s">
        <v>276</v>
      </c>
      <c r="C26" s="41"/>
      <c r="D26" s="42" t="s">
        <v>343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 t="s">
        <v>143</v>
      </c>
      <c r="C27" s="48"/>
      <c r="D27" s="49"/>
      <c r="E27" s="50"/>
      <c r="F27" s="50"/>
      <c r="G27" s="51"/>
      <c r="H27" s="52">
        <f>SUM(I27)-1.9</f>
        <v>19.800000000000004</v>
      </c>
      <c r="I27" s="52">
        <f>SUM(J27)-1.9</f>
        <v>21.700000000000003</v>
      </c>
      <c r="J27" s="37">
        <v>23.6</v>
      </c>
      <c r="K27" s="38">
        <f>SUM(J27)+1.9</f>
        <v>25.5</v>
      </c>
      <c r="L27" s="38">
        <f>SUM(K27)+1.9</f>
        <v>27.4</v>
      </c>
      <c r="M27" s="63">
        <f>SUM(L27)+1.9</f>
        <v>29.299999999999997</v>
      </c>
    </row>
    <row r="28" spans="1:13" s="1" customFormat="1" ht="14.1" customHeight="1">
      <c r="A28" s="45"/>
      <c r="B28" s="40" t="s">
        <v>277</v>
      </c>
      <c r="C28" s="41"/>
      <c r="D28" s="42" t="s">
        <v>344</v>
      </c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47" t="s">
        <v>278</v>
      </c>
      <c r="C29" s="48"/>
      <c r="D29" s="49"/>
      <c r="E29" s="50"/>
      <c r="F29" s="50"/>
      <c r="G29" s="51"/>
      <c r="H29" s="52">
        <f>SUM(I29)-0.9</f>
        <v>10.199999999999999</v>
      </c>
      <c r="I29" s="52">
        <f>SUM(J29)-0.9</f>
        <v>11.1</v>
      </c>
      <c r="J29" s="37">
        <v>12</v>
      </c>
      <c r="K29" s="38">
        <f>SUM(J29)+0.9</f>
        <v>12.9</v>
      </c>
      <c r="L29" s="38">
        <f>SUM(K29)+0.9</f>
        <v>13.8</v>
      </c>
      <c r="M29" s="63">
        <f>SUM(L29)+0.9</f>
        <v>14.700000000000001</v>
      </c>
    </row>
    <row r="30" spans="1:13" s="1" customFormat="1" ht="14.1" customHeight="1">
      <c r="A30" s="45"/>
      <c r="B30" s="40" t="s">
        <v>279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63"/>
    </row>
    <row r="31" spans="1:13" ht="14.1" customHeight="1">
      <c r="A31" s="45">
        <v>15</v>
      </c>
      <c r="B31" s="47" t="s">
        <v>345</v>
      </c>
      <c r="C31" s="48"/>
      <c r="D31" s="49"/>
      <c r="E31" s="50"/>
      <c r="F31" s="50"/>
      <c r="G31" s="51"/>
      <c r="H31" s="52">
        <f>SUM(I31)-0.8</f>
        <v>7.8999999999999995</v>
      </c>
      <c r="I31" s="52">
        <f>SUM(J31)-0.8</f>
        <v>8.6999999999999993</v>
      </c>
      <c r="J31" s="37">
        <v>9.5</v>
      </c>
      <c r="K31" s="38">
        <f>SUM(J31)+0.8</f>
        <v>10.3</v>
      </c>
      <c r="L31" s="38">
        <f>SUM(K31)+0.8</f>
        <v>11.100000000000001</v>
      </c>
      <c r="M31" s="63">
        <f>SUM(L31)+0.8</f>
        <v>11.900000000000002</v>
      </c>
    </row>
    <row r="32" spans="1:13" ht="14.1" customHeight="1">
      <c r="A32" s="45"/>
      <c r="B32" s="40" t="s">
        <v>191</v>
      </c>
      <c r="C32" s="41"/>
      <c r="D32" s="42" t="s">
        <v>346</v>
      </c>
      <c r="E32" s="43"/>
      <c r="F32" s="43"/>
      <c r="G32" s="44"/>
      <c r="H32" s="79"/>
      <c r="I32" s="79"/>
      <c r="J32" s="37"/>
      <c r="K32" s="38"/>
      <c r="L32" s="38"/>
      <c r="M32" s="63"/>
    </row>
    <row r="33" spans="1:13" ht="14.1" customHeight="1">
      <c r="A33" s="45">
        <v>16</v>
      </c>
      <c r="B33" s="56"/>
      <c r="C33" s="57"/>
      <c r="D33" s="183"/>
      <c r="E33" s="184"/>
      <c r="F33" s="184"/>
      <c r="G33" s="185"/>
      <c r="H33" s="52"/>
      <c r="I33" s="52"/>
      <c r="J33" s="54"/>
      <c r="K33" s="52"/>
      <c r="L33" s="52"/>
      <c r="M33" s="64"/>
    </row>
    <row r="34" spans="1:13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144"/>
      <c r="K34" s="77"/>
      <c r="L34" s="77"/>
      <c r="M34" s="141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B32:C32"/>
    <mergeCell ref="D32:G32"/>
    <mergeCell ref="A1:M1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CBDE-E987-4F84-A504-3CFACF02A6F0}">
  <sheetPr>
    <tabColor theme="8"/>
    <pageSetUpPr fitToPage="1"/>
  </sheetPr>
  <dimension ref="A1:O51"/>
  <sheetViews>
    <sheetView zoomScale="110" zoomScaleNormal="110" workbookViewId="0">
      <selection activeCell="P18" sqref="P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211" t="s">
        <v>348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34</v>
      </c>
      <c r="I3" s="52">
        <f>SUM(J3)-3</f>
        <v>37</v>
      </c>
      <c r="J3" s="193">
        <v>40</v>
      </c>
      <c r="K3" s="194">
        <f>SUM(J3)+2.5</f>
        <v>42.5</v>
      </c>
      <c r="L3" s="194">
        <f>SUM(K3)+2.5</f>
        <v>45</v>
      </c>
      <c r="M3" s="194">
        <f>SUM(L3)+2.5</f>
        <v>47.5</v>
      </c>
      <c r="N3" s="219">
        <f>SUM(M3)+2.5</f>
        <v>50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5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23.4</v>
      </c>
      <c r="I5" s="52">
        <f>SUM(J5)-1.8</f>
        <v>25.2</v>
      </c>
      <c r="J5" s="54">
        <v>27</v>
      </c>
      <c r="K5" s="52">
        <f>SUM(J5)+1.6</f>
        <v>28.6</v>
      </c>
      <c r="L5" s="52">
        <f>SUM(K5)+1.6</f>
        <v>30.200000000000003</v>
      </c>
      <c r="M5" s="52">
        <f>SUM(L5)+1.6</f>
        <v>31.800000000000004</v>
      </c>
      <c r="N5" s="205">
        <f>SUM(M5)+1.6</f>
        <v>33.400000000000006</v>
      </c>
    </row>
    <row r="6" spans="1:15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52">
        <f>SUM(L7)+2</f>
        <v>39</v>
      </c>
      <c r="N7" s="205">
        <f>SUM(M7)+2</f>
        <v>41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28.5</v>
      </c>
      <c r="I9" s="52">
        <f>SUM(J9)-2.25</f>
        <v>30.75</v>
      </c>
      <c r="J9" s="54">
        <v>33</v>
      </c>
      <c r="K9" s="52">
        <f>SUM(J9)+2</f>
        <v>35</v>
      </c>
      <c r="L9" s="52">
        <f>SUM(K9)+2</f>
        <v>37</v>
      </c>
      <c r="M9" s="52">
        <f>SUM(L9)+2</f>
        <v>39</v>
      </c>
      <c r="N9" s="205">
        <f>SUM(M9)+2</f>
        <v>41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13.499999999999998</v>
      </c>
      <c r="I11" s="52">
        <f>SUM(J11)-0.8</f>
        <v>14.299999999999999</v>
      </c>
      <c r="J11" s="37">
        <v>15.1</v>
      </c>
      <c r="K11" s="38">
        <f>SUM(J11)+0.8</f>
        <v>15.9</v>
      </c>
      <c r="L11" s="38">
        <f>SUM(K11)+0.8</f>
        <v>16.7</v>
      </c>
      <c r="M11" s="38">
        <f>SUM(L11)+0.8</f>
        <v>17.5</v>
      </c>
      <c r="N11" s="208">
        <f>SUM(M11)+0.9</f>
        <v>18.399999999999999</v>
      </c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13.200000000000001</v>
      </c>
      <c r="I13" s="52">
        <f>SUM(J13)-0.6</f>
        <v>13.8</v>
      </c>
      <c r="J13" s="37">
        <v>14.4</v>
      </c>
      <c r="K13" s="38">
        <f>SUM(J13)+0.6</f>
        <v>15</v>
      </c>
      <c r="L13" s="38">
        <f>SUM(K13)+0.6</f>
        <v>15.6</v>
      </c>
      <c r="M13" s="38">
        <f>SUM(L13)+0.6</f>
        <v>16.2</v>
      </c>
      <c r="N13" s="208">
        <f>SUM(M13)+0.6</f>
        <v>16.8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38">
        <f>SUM(L15)+0.3</f>
        <v>7.1999999999999993</v>
      </c>
      <c r="N15" s="208">
        <f>SUM(M15)+0.3</f>
        <v>7.4999999999999991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35.799999999999997</v>
      </c>
      <c r="I17" s="52">
        <f>SUM(J17)-1.6</f>
        <v>37.4</v>
      </c>
      <c r="J17" s="37">
        <v>39</v>
      </c>
      <c r="K17" s="38">
        <f>SUM(J17)+1.6</f>
        <v>40.6</v>
      </c>
      <c r="L17" s="38">
        <f>SUM(K17)+1.6</f>
        <v>42.2</v>
      </c>
      <c r="M17" s="38">
        <f>SUM(L17)+1.6</f>
        <v>43.800000000000004</v>
      </c>
      <c r="N17" s="208">
        <f>SUM(M17)+1.6</f>
        <v>45.400000000000006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32.4</v>
      </c>
      <c r="I19" s="52">
        <f>SUM(J19)-3.6</f>
        <v>36</v>
      </c>
      <c r="J19" s="37">
        <v>39.6</v>
      </c>
      <c r="K19" s="38">
        <f>SUM(J19)+3.7</f>
        <v>43.300000000000004</v>
      </c>
      <c r="L19" s="38">
        <f>SUM(K19)+3.7</f>
        <v>47.000000000000007</v>
      </c>
      <c r="M19" s="38">
        <f>SUM(L19)+3.7</f>
        <v>50.70000000000001</v>
      </c>
      <c r="N19" s="208">
        <f>SUM(M19)+3.7</f>
        <v>54.400000000000013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208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20.399999999999999</v>
      </c>
      <c r="I21" s="52">
        <f>SUM(J21)-1.3</f>
        <v>21.7</v>
      </c>
      <c r="J21" s="37">
        <v>23</v>
      </c>
      <c r="K21" s="38">
        <f>SUM(J21)+1.3</f>
        <v>24.3</v>
      </c>
      <c r="L21" s="38">
        <f>SUM(K21)+1.3</f>
        <v>25.6</v>
      </c>
      <c r="M21" s="38">
        <f>SUM(L21)+1.3</f>
        <v>26.900000000000002</v>
      </c>
      <c r="N21" s="208">
        <f>SUM(M21)+1.3</f>
        <v>28.200000000000003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15.600000000000001</v>
      </c>
      <c r="I23" s="52">
        <f>SUM(J23)-0.7</f>
        <v>16.3</v>
      </c>
      <c r="J23" s="37">
        <v>17</v>
      </c>
      <c r="K23" s="38">
        <f>SUM(J23)+0.7</f>
        <v>17.7</v>
      </c>
      <c r="L23" s="38">
        <f>SUM(K23)+0.7</f>
        <v>18.399999999999999</v>
      </c>
      <c r="M23" s="38">
        <f>SUM(L23)+0.7</f>
        <v>19.099999999999998</v>
      </c>
      <c r="N23" s="208">
        <f>SUM(M23)+0.7</f>
        <v>19.799999999999997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47" t="s">
        <v>142</v>
      </c>
      <c r="C25" s="48"/>
      <c r="D25" s="49"/>
      <c r="E25" s="50"/>
      <c r="F25" s="50"/>
      <c r="G25" s="51"/>
      <c r="H25" s="52">
        <f>SUM(I25)-0.4</f>
        <v>3.3</v>
      </c>
      <c r="I25" s="52">
        <f>SUM(J25)-0.4</f>
        <v>3.6999999999999997</v>
      </c>
      <c r="J25" s="37">
        <v>4.0999999999999996</v>
      </c>
      <c r="K25" s="38">
        <f>SUM(J25)+0.4</f>
        <v>4.5</v>
      </c>
      <c r="L25" s="38">
        <f>SUM(K25)+0.4</f>
        <v>4.9000000000000004</v>
      </c>
      <c r="M25" s="38">
        <f>SUM(L25)+0.4</f>
        <v>5.3000000000000007</v>
      </c>
      <c r="N25" s="208">
        <f>SUM(M25)+0.4</f>
        <v>5.7000000000000011</v>
      </c>
    </row>
    <row r="26" spans="1:14" s="1" customFormat="1" ht="14.1" customHeight="1">
      <c r="A26" s="45"/>
      <c r="B26" s="40" t="s">
        <v>276</v>
      </c>
      <c r="C26" s="41"/>
      <c r="D26" s="42" t="s">
        <v>349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4" s="1" customFormat="1" ht="14.1" customHeight="1">
      <c r="A27" s="45">
        <v>13</v>
      </c>
      <c r="B27" s="47" t="s">
        <v>143</v>
      </c>
      <c r="C27" s="48"/>
      <c r="D27" s="49"/>
      <c r="E27" s="50"/>
      <c r="F27" s="50"/>
      <c r="G27" s="51"/>
      <c r="H27" s="52">
        <f>SUM(I27)-0.5</f>
        <v>6.5</v>
      </c>
      <c r="I27" s="52">
        <f>SUM(J27)-0.5</f>
        <v>7</v>
      </c>
      <c r="J27" s="37">
        <v>7.5</v>
      </c>
      <c r="K27" s="38">
        <f>SUM(J27)+0.5</f>
        <v>8</v>
      </c>
      <c r="L27" s="38">
        <f>SUM(K27)+0.5</f>
        <v>8.5</v>
      </c>
      <c r="M27" s="38">
        <f>SUM(L27)+0.5</f>
        <v>9</v>
      </c>
      <c r="N27" s="208">
        <f>SUM(M27)+0.5</f>
        <v>9.5</v>
      </c>
    </row>
    <row r="28" spans="1:14" s="1" customFormat="1" ht="14.1" customHeight="1">
      <c r="A28" s="45"/>
      <c r="B28" s="40" t="s">
        <v>277</v>
      </c>
      <c r="C28" s="41"/>
      <c r="D28" s="42" t="s">
        <v>350</v>
      </c>
      <c r="E28" s="43"/>
      <c r="F28" s="43"/>
      <c r="G28" s="44"/>
      <c r="H28" s="79"/>
      <c r="I28" s="79"/>
      <c r="J28" s="37"/>
      <c r="K28" s="38"/>
      <c r="L28" s="38"/>
      <c r="M28" s="38"/>
      <c r="N28" s="208"/>
    </row>
    <row r="29" spans="1:14" s="1" customFormat="1" ht="14.1" customHeight="1">
      <c r="A29" s="45">
        <v>14</v>
      </c>
      <c r="B29" s="47" t="s">
        <v>120</v>
      </c>
      <c r="C29" s="48"/>
      <c r="D29" s="49"/>
      <c r="E29" s="50"/>
      <c r="F29" s="50"/>
      <c r="G29" s="51"/>
      <c r="H29" s="52">
        <v>1.3</v>
      </c>
      <c r="I29" s="52">
        <v>1.3</v>
      </c>
      <c r="J29" s="37">
        <v>1.3</v>
      </c>
      <c r="K29" s="38">
        <v>1.3</v>
      </c>
      <c r="L29" s="38">
        <v>1.3</v>
      </c>
      <c r="M29" s="38">
        <v>1.3</v>
      </c>
      <c r="N29" s="208">
        <v>1.3</v>
      </c>
    </row>
    <row r="30" spans="1:14" s="1" customFormat="1" ht="14.1" customHeight="1">
      <c r="A30" s="45"/>
      <c r="B30" s="56" t="s">
        <v>128</v>
      </c>
      <c r="C30" s="57"/>
      <c r="D30" s="42"/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4" ht="14.1" customHeight="1">
      <c r="A31" s="45">
        <v>15</v>
      </c>
      <c r="B31" s="47"/>
      <c r="C31" s="48"/>
      <c r="D31" s="49"/>
      <c r="E31" s="50"/>
      <c r="F31" s="50"/>
      <c r="G31" s="51"/>
      <c r="H31" s="52"/>
      <c r="I31" s="52"/>
      <c r="J31" s="37"/>
      <c r="K31" s="38"/>
      <c r="L31" s="38"/>
      <c r="M31" s="38"/>
      <c r="N31" s="208"/>
    </row>
    <row r="32" spans="1:14" ht="14.1" customHeight="1">
      <c r="A32" s="45"/>
      <c r="B32" s="40"/>
      <c r="C32" s="41"/>
      <c r="D32" s="42"/>
      <c r="E32" s="43"/>
      <c r="F32" s="43"/>
      <c r="G32" s="44"/>
      <c r="H32" s="79"/>
      <c r="I32" s="79"/>
      <c r="J32" s="37"/>
      <c r="K32" s="38"/>
      <c r="L32" s="38"/>
      <c r="M32" s="38"/>
      <c r="N32" s="208"/>
    </row>
    <row r="33" spans="1:14" ht="14.1" customHeight="1">
      <c r="A33" s="45">
        <v>16</v>
      </c>
      <c r="B33" s="56"/>
      <c r="C33" s="57"/>
      <c r="D33" s="183"/>
      <c r="E33" s="184"/>
      <c r="F33" s="184"/>
      <c r="G33" s="185"/>
      <c r="H33" s="52"/>
      <c r="I33" s="52"/>
      <c r="J33" s="54"/>
      <c r="K33" s="52"/>
      <c r="L33" s="52"/>
      <c r="M33" s="52"/>
      <c r="N33" s="205"/>
    </row>
    <row r="34" spans="1:14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144"/>
      <c r="K34" s="77"/>
      <c r="L34" s="77"/>
      <c r="M34" s="77"/>
      <c r="N34" s="206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K33:K34"/>
    <mergeCell ref="L33:L34"/>
    <mergeCell ref="M33:M34"/>
    <mergeCell ref="B34:C34"/>
    <mergeCell ref="D34:G34"/>
    <mergeCell ref="A1:N1"/>
    <mergeCell ref="N3:N4"/>
    <mergeCell ref="N5:N6"/>
    <mergeCell ref="N7:N8"/>
    <mergeCell ref="N9:N10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96B9-820E-40E8-BC14-90F865CB3517}">
  <sheetPr>
    <tabColor theme="8"/>
    <pageSetUpPr fitToPage="1"/>
  </sheetPr>
  <dimension ref="A1:P51"/>
  <sheetViews>
    <sheetView zoomScale="110" zoomScaleNormal="110" workbookViewId="0">
      <selection activeCell="P13" sqref="P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352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36</v>
      </c>
      <c r="I3" s="52">
        <f>SUM(J3)-3.5</f>
        <v>39.5</v>
      </c>
      <c r="J3" s="193">
        <v>43</v>
      </c>
      <c r="K3" s="194">
        <f>SUM(J3)+3</f>
        <v>46</v>
      </c>
      <c r="L3" s="194">
        <f>SUM(K3)+3</f>
        <v>49</v>
      </c>
      <c r="M3" s="195">
        <f>SUM(L3)+3</f>
        <v>52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36.099999999999994</v>
      </c>
      <c r="I5" s="52">
        <f>SUM(J5)-2.2</f>
        <v>38.299999999999997</v>
      </c>
      <c r="J5" s="54">
        <v>40.5</v>
      </c>
      <c r="K5" s="52">
        <f>SUM(J5)+2</f>
        <v>42.5</v>
      </c>
      <c r="L5" s="52">
        <f>SUM(K5)+2</f>
        <v>44.5</v>
      </c>
      <c r="M5" s="64">
        <f>SUM(L5)+2</f>
        <v>46.5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36.5</v>
      </c>
      <c r="I7" s="52">
        <f>SUM(J7)-2.25</f>
        <v>38.75</v>
      </c>
      <c r="J7" s="54">
        <v>41</v>
      </c>
      <c r="K7" s="52">
        <f>SUM(J7)+2</f>
        <v>43</v>
      </c>
      <c r="L7" s="52">
        <f>SUM(K7)+2</f>
        <v>45</v>
      </c>
      <c r="M7" s="64">
        <f>SUM(L7)+2</f>
        <v>47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28.4</v>
      </c>
      <c r="I9" s="52">
        <f>SUM(J9)-1.8</f>
        <v>30.2</v>
      </c>
      <c r="J9" s="54">
        <v>32</v>
      </c>
      <c r="K9" s="52">
        <f>SUM(J9)+1.6</f>
        <v>33.6</v>
      </c>
      <c r="L9" s="52">
        <f>SUM(K9)+1.6</f>
        <v>35.200000000000003</v>
      </c>
      <c r="M9" s="64">
        <f>SUM(L9)+1.6</f>
        <v>36.800000000000004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14.899999999999999</v>
      </c>
      <c r="I11" s="52">
        <f>SUM(J11)-0.8</f>
        <v>15.7</v>
      </c>
      <c r="J11" s="37">
        <v>16.5</v>
      </c>
      <c r="K11" s="38">
        <f>SUM(J11)+0.8</f>
        <v>17.3</v>
      </c>
      <c r="L11" s="38">
        <f>SUM(K11)+0.8</f>
        <v>18.100000000000001</v>
      </c>
      <c r="M11" s="63">
        <f>SUM(L11)+0.8</f>
        <v>18.900000000000002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15.799999999999999</v>
      </c>
      <c r="I13" s="52">
        <f>SUM(J13)-0.6</f>
        <v>16.399999999999999</v>
      </c>
      <c r="J13" s="37">
        <v>17</v>
      </c>
      <c r="K13" s="38">
        <f>SUM(J13)+0.6</f>
        <v>17.600000000000001</v>
      </c>
      <c r="L13" s="38">
        <f>SUM(K13)+0.6</f>
        <v>18.200000000000003</v>
      </c>
      <c r="M13" s="63">
        <f>SUM(L13)+0.6</f>
        <v>18.800000000000004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7.2</v>
      </c>
      <c r="I15" s="52">
        <f>SUM(J15)-0.3</f>
        <v>7.5</v>
      </c>
      <c r="J15" s="37">
        <v>7.8</v>
      </c>
      <c r="K15" s="38">
        <f>SUM(J15)+0.3</f>
        <v>8.1</v>
      </c>
      <c r="L15" s="38">
        <f>SUM(K15)+0.3</f>
        <v>8.4</v>
      </c>
      <c r="M15" s="63">
        <f>SUM(L15)+0.3</f>
        <v>8.7000000000000011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41.8</v>
      </c>
      <c r="I17" s="52">
        <f>SUM(J17)-1.6</f>
        <v>43.4</v>
      </c>
      <c r="J17" s="37">
        <v>45</v>
      </c>
      <c r="K17" s="38">
        <f>SUM(J17)+1.6</f>
        <v>46.6</v>
      </c>
      <c r="L17" s="38">
        <f>SUM(K17)+1.6</f>
        <v>48.2</v>
      </c>
      <c r="M17" s="63">
        <f>SUM(L17)+1.6</f>
        <v>49.800000000000004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27</v>
      </c>
      <c r="I19" s="52">
        <f>SUM(J19)-3.4</f>
        <v>30.4</v>
      </c>
      <c r="J19" s="37">
        <v>33.799999999999997</v>
      </c>
      <c r="K19" s="38">
        <f>SUM(J19)+3.5</f>
        <v>37.299999999999997</v>
      </c>
      <c r="L19" s="38">
        <f>SUM(K19)+3.5</f>
        <v>40.799999999999997</v>
      </c>
      <c r="M19" s="63">
        <f>SUM(L19)+3.5</f>
        <v>44.3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SUM(I21)-1.6</f>
        <v>28.799999999999997</v>
      </c>
      <c r="I21" s="52">
        <f>SUM(J21)-1.6</f>
        <v>30.4</v>
      </c>
      <c r="J21" s="37">
        <v>32</v>
      </c>
      <c r="K21" s="38">
        <f>SUM(J21)+1.6</f>
        <v>33.6</v>
      </c>
      <c r="L21" s="38">
        <f>SUM(K21)+1.6</f>
        <v>35.200000000000003</v>
      </c>
      <c r="M21" s="63">
        <f>SUM(L21)+1.6</f>
        <v>36.800000000000004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SUM(I25)-0.3</f>
        <v>4.9000000000000004</v>
      </c>
      <c r="I25" s="52">
        <f>SUM(J25)-0.3</f>
        <v>5.2</v>
      </c>
      <c r="J25" s="37">
        <v>5.5</v>
      </c>
      <c r="K25" s="38">
        <f>SUM(J25)+0.3</f>
        <v>5.8</v>
      </c>
      <c r="L25" s="38">
        <f>SUM(K25)+0.3</f>
        <v>6.1</v>
      </c>
      <c r="M25" s="63">
        <f>SUM(L25)+0.3</f>
        <v>6.3999999999999995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3A9E-3417-468C-BA1E-EFB8F98AA1BF}">
  <sheetPr>
    <tabColor theme="8"/>
    <pageSetUpPr fitToPage="1"/>
  </sheetPr>
  <dimension ref="A1:Q51"/>
  <sheetViews>
    <sheetView zoomScale="110" zoomScaleNormal="110" workbookViewId="0">
      <selection activeCell="B27" sqref="B27:C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105" t="s">
        <v>299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7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36.5</v>
      </c>
      <c r="I3" s="52">
        <f>SUM(J3)-3.5</f>
        <v>40</v>
      </c>
      <c r="J3" s="193">
        <v>43.5</v>
      </c>
      <c r="K3" s="194">
        <f>SUM(J3)+3</f>
        <v>46.5</v>
      </c>
      <c r="L3" s="194">
        <f>SUM(K3)+3</f>
        <v>49.5</v>
      </c>
      <c r="M3" s="195">
        <f>SUM(L3)+3</f>
        <v>52.5</v>
      </c>
    </row>
    <row r="4" spans="1:17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7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21.799999999999997</v>
      </c>
      <c r="I5" s="52">
        <f>SUM(J5)-1.6</f>
        <v>23.4</v>
      </c>
      <c r="J5" s="54">
        <v>25</v>
      </c>
      <c r="K5" s="52">
        <f>SUM(J5)+1.4</f>
        <v>26.4</v>
      </c>
      <c r="L5" s="52">
        <f t="shared" ref="L5:M5" si="0">SUM(K5)+1.4</f>
        <v>27.799999999999997</v>
      </c>
      <c r="M5" s="64">
        <f t="shared" si="0"/>
        <v>29.199999999999996</v>
      </c>
    </row>
    <row r="6" spans="1:17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7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</f>
        <v>28.5</v>
      </c>
      <c r="I7" s="52">
        <f>SUM(J7)-2</f>
        <v>30.5</v>
      </c>
      <c r="J7" s="54">
        <v>32.5</v>
      </c>
      <c r="K7" s="52">
        <f>SUM(J7)+1.8</f>
        <v>34.299999999999997</v>
      </c>
      <c r="L7" s="52">
        <f t="shared" ref="L7:M7" si="1">SUM(K7)+1.8</f>
        <v>36.099999999999994</v>
      </c>
      <c r="M7" s="64">
        <f t="shared" si="1"/>
        <v>37.899999999999991</v>
      </c>
    </row>
    <row r="8" spans="1:17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7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</f>
        <v>28.5</v>
      </c>
      <c r="I9" s="52">
        <f>SUM(J9)-2</f>
        <v>30.5</v>
      </c>
      <c r="J9" s="54">
        <v>32.5</v>
      </c>
      <c r="K9" s="52">
        <f>SUM(J9)+1.8</f>
        <v>34.299999999999997</v>
      </c>
      <c r="L9" s="52">
        <f t="shared" ref="L9:M9" si="2">SUM(K9)+1.8</f>
        <v>36.099999999999994</v>
      </c>
      <c r="M9" s="64">
        <f t="shared" si="2"/>
        <v>37.899999999999991</v>
      </c>
      <c r="P9" s="1" t="s">
        <v>189</v>
      </c>
    </row>
    <row r="10" spans="1:17" s="1" customFormat="1" ht="14.1" customHeight="1" thickBo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7" s="1" customFormat="1" ht="14.1" customHeight="1" thickTop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12.999999999999998</v>
      </c>
      <c r="I11" s="52">
        <f>SUM(J11)-0.8</f>
        <v>13.799999999999999</v>
      </c>
      <c r="J11" s="37">
        <v>14.6</v>
      </c>
      <c r="K11" s="38">
        <f>SUM(J11)+0.8</f>
        <v>15.4</v>
      </c>
      <c r="L11" s="38">
        <f>SUM(K11)+0.8</f>
        <v>16.2</v>
      </c>
      <c r="M11" s="63">
        <f>SUM(L11)+0.8</f>
        <v>17</v>
      </c>
      <c r="Q11" s="10" t="s">
        <v>300</v>
      </c>
    </row>
    <row r="12" spans="1:17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  <c r="Q12" s="11">
        <f>SUM(H23+H23+I23+I23+J23+J23+K23+K23+L23+L23+M23+M23)</f>
        <v>195.60000000000002</v>
      </c>
    </row>
    <row r="13" spans="1:17" s="1" customFormat="1" ht="14.1" customHeight="1" thickBo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12.200000000000001</v>
      </c>
      <c r="I13" s="52">
        <f>SUM(J13)-0.6</f>
        <v>12.8</v>
      </c>
      <c r="J13" s="37">
        <v>13.4</v>
      </c>
      <c r="K13" s="38">
        <f>SUM(J13)+0.6</f>
        <v>14</v>
      </c>
      <c r="L13" s="38">
        <f>SUM(K13)+0.6</f>
        <v>14.6</v>
      </c>
      <c r="M13" s="63">
        <f>SUM(L13)+0.6</f>
        <v>15.2</v>
      </c>
      <c r="Q13" s="12">
        <f>SUM(Q12/91.44/6*1.08)</f>
        <v>0.38503937007874023</v>
      </c>
    </row>
    <row r="14" spans="1:17" s="1" customFormat="1" ht="14.1" customHeight="1" thickTop="1">
      <c r="A14" s="45"/>
      <c r="B14" s="61" t="s">
        <v>27</v>
      </c>
      <c r="C14" s="61"/>
      <c r="D14" s="42" t="s">
        <v>147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7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63">
        <f>SUM(L15)+0.3</f>
        <v>7.1999999999999993</v>
      </c>
    </row>
    <row r="16" spans="1:17" s="1" customFormat="1" ht="14.1" customHeight="1">
      <c r="A16" s="45"/>
      <c r="B16" s="61" t="s">
        <v>28</v>
      </c>
      <c r="C16" s="61"/>
      <c r="D16" s="42" t="s">
        <v>148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31.599999999999994</v>
      </c>
      <c r="I17" s="52">
        <f>SUM(J17)-1.6</f>
        <v>33.199999999999996</v>
      </c>
      <c r="J17" s="37">
        <v>34.799999999999997</v>
      </c>
      <c r="K17" s="38">
        <f>SUM(J17)+1.6</f>
        <v>36.4</v>
      </c>
      <c r="L17" s="38">
        <f>SUM(K17)+1.6</f>
        <v>38</v>
      </c>
      <c r="M17" s="63">
        <f>SUM(L17)+1.6</f>
        <v>39.6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SUM(I19)-3.7</f>
        <v>34.099999999999994</v>
      </c>
      <c r="I19" s="52">
        <f>SUM(J19)-3.7</f>
        <v>37.799999999999997</v>
      </c>
      <c r="J19" s="37">
        <v>41.5</v>
      </c>
      <c r="K19" s="38">
        <f>SUM(J19)+3.8</f>
        <v>45.3</v>
      </c>
      <c r="L19" s="38">
        <f t="shared" ref="L19:M19" si="3">SUM(K19)+3.8</f>
        <v>49.099999999999994</v>
      </c>
      <c r="M19" s="63">
        <f t="shared" si="3"/>
        <v>52.899999999999991</v>
      </c>
    </row>
    <row r="20" spans="1:13" s="1" customFormat="1" ht="14.1" customHeight="1">
      <c r="A20" s="45"/>
      <c r="B20" s="61" t="s">
        <v>301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63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302</v>
      </c>
      <c r="C23" s="48"/>
      <c r="D23" s="78"/>
      <c r="E23" s="78"/>
      <c r="F23" s="78"/>
      <c r="G23" s="78"/>
      <c r="H23" s="52">
        <f>SUM(I23)-0.6</f>
        <v>14.8</v>
      </c>
      <c r="I23" s="52">
        <f>SUM(J23)-0.6</f>
        <v>15.4</v>
      </c>
      <c r="J23" s="37">
        <v>16</v>
      </c>
      <c r="K23" s="38">
        <f>SUM(J23)+0.6</f>
        <v>16.600000000000001</v>
      </c>
      <c r="L23" s="38">
        <f>SUM(K23)+0.6</f>
        <v>17.200000000000003</v>
      </c>
      <c r="M23" s="63">
        <f t="shared" ref="M23" si="4">SUM(L23)+0.6</f>
        <v>17.800000000000004</v>
      </c>
    </row>
    <row r="24" spans="1:13" s="1" customFormat="1" ht="14.1" customHeight="1">
      <c r="A24" s="45"/>
      <c r="B24" s="61" t="s">
        <v>303</v>
      </c>
      <c r="C24" s="61"/>
      <c r="D24" s="42" t="s">
        <v>304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227</v>
      </c>
      <c r="C25" s="48"/>
      <c r="D25" s="49"/>
      <c r="E25" s="50"/>
      <c r="F25" s="50"/>
      <c r="G25" s="51"/>
      <c r="H25" s="52">
        <f>SUM(I25)</f>
        <v>11</v>
      </c>
      <c r="I25" s="52">
        <f>SUM(J25)</f>
        <v>11</v>
      </c>
      <c r="J25" s="37">
        <v>11</v>
      </c>
      <c r="K25" s="38">
        <f>SUM(J25)+0.2</f>
        <v>11.2</v>
      </c>
      <c r="L25" s="38">
        <f>SUM(K25)+0.2</f>
        <v>11.399999999999999</v>
      </c>
      <c r="M25" s="63">
        <f>SUM(L25)+0.2</f>
        <v>11.599999999999998</v>
      </c>
    </row>
    <row r="26" spans="1:13" s="1" customFormat="1" ht="14.1" customHeight="1">
      <c r="A26" s="45"/>
      <c r="B26" s="40" t="s">
        <v>228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 t="s">
        <v>305</v>
      </c>
      <c r="C27" s="48"/>
      <c r="D27" s="78" t="s">
        <v>306</v>
      </c>
      <c r="E27" s="78"/>
      <c r="F27" s="78"/>
      <c r="G27" s="78"/>
      <c r="H27" s="52">
        <f>SUM(I27)-0.2</f>
        <v>5.8</v>
      </c>
      <c r="I27" s="52">
        <f>SUM(J27)-0.2</f>
        <v>6</v>
      </c>
      <c r="J27" s="37">
        <v>6.2</v>
      </c>
      <c r="K27" s="38">
        <f>SUM(J27)+0.2</f>
        <v>6.4</v>
      </c>
      <c r="L27" s="38">
        <f t="shared" ref="L27:M27" si="5">SUM(K27)+0.2</f>
        <v>6.6000000000000005</v>
      </c>
      <c r="M27" s="63">
        <f t="shared" si="5"/>
        <v>6.8000000000000007</v>
      </c>
    </row>
    <row r="28" spans="1:13" s="1" customFormat="1" ht="14.1" customHeight="1">
      <c r="A28" s="45"/>
      <c r="B28" s="40" t="s">
        <v>34</v>
      </c>
      <c r="C28" s="41"/>
      <c r="D28" s="42" t="s">
        <v>307</v>
      </c>
      <c r="E28" s="43"/>
      <c r="F28" s="43"/>
      <c r="G28" s="44"/>
      <c r="H28" s="79"/>
      <c r="I28" s="79"/>
      <c r="J28" s="54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37"/>
      <c r="K29" s="38"/>
      <c r="L29" s="38"/>
      <c r="M29" s="63"/>
    </row>
    <row r="30" spans="1:13" s="1" customFormat="1" ht="14.1" customHeight="1">
      <c r="A30" s="45"/>
      <c r="B30" s="40"/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63"/>
    </row>
    <row r="31" spans="1:13" ht="14.1" customHeight="1">
      <c r="A31" s="45">
        <v>15</v>
      </c>
      <c r="B31" s="56"/>
      <c r="C31" s="57"/>
      <c r="D31" s="183"/>
      <c r="E31" s="184"/>
      <c r="F31" s="184"/>
      <c r="G31" s="185"/>
      <c r="H31" s="52"/>
      <c r="I31" s="52"/>
      <c r="J31" s="54"/>
      <c r="K31" s="52"/>
      <c r="L31" s="52"/>
      <c r="M31" s="64"/>
    </row>
    <row r="32" spans="1:13" ht="14.1" customHeight="1" thickBot="1">
      <c r="A32" s="74"/>
      <c r="B32" s="178"/>
      <c r="C32" s="179"/>
      <c r="D32" s="180"/>
      <c r="E32" s="181"/>
      <c r="F32" s="181"/>
      <c r="G32" s="182"/>
      <c r="H32" s="77"/>
      <c r="I32" s="77"/>
      <c r="J32" s="144"/>
      <c r="K32" s="77"/>
      <c r="L32" s="77"/>
      <c r="M32" s="141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D196-D366-4556-9F43-D8752958AA5A}">
  <sheetPr>
    <tabColor theme="8"/>
    <pageSetUpPr fitToPage="1"/>
  </sheetPr>
  <dimension ref="A1:P51"/>
  <sheetViews>
    <sheetView zoomScale="110" zoomScaleNormal="110" workbookViewId="0">
      <selection activeCell="Q20" sqref="Q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429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38</v>
      </c>
      <c r="I3" s="52">
        <f>SUM(J3)-3.5</f>
        <v>41.5</v>
      </c>
      <c r="J3" s="193">
        <v>45</v>
      </c>
      <c r="K3" s="194">
        <f>SUM(J3)+3</f>
        <v>48</v>
      </c>
      <c r="L3" s="194">
        <f>SUM(K3)+3</f>
        <v>51</v>
      </c>
      <c r="M3" s="195">
        <f>SUM(L3)+3</f>
        <v>54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30</v>
      </c>
      <c r="I5" s="52">
        <f>SUM(J5)-2</f>
        <v>32</v>
      </c>
      <c r="J5" s="54">
        <v>34</v>
      </c>
      <c r="K5" s="52">
        <f>SUM(J5)+1.8</f>
        <v>35.799999999999997</v>
      </c>
      <c r="L5" s="52">
        <f t="shared" ref="L5:M5" si="0">SUM(K5)+1.8</f>
        <v>37.599999999999994</v>
      </c>
      <c r="M5" s="64">
        <f t="shared" si="0"/>
        <v>39.399999999999991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33.5</v>
      </c>
      <c r="I7" s="52">
        <f>SUM(J7)-2.25</f>
        <v>35.75</v>
      </c>
      <c r="J7" s="54">
        <v>38</v>
      </c>
      <c r="K7" s="52">
        <f>SUM(J7)+2</f>
        <v>40</v>
      </c>
      <c r="L7" s="52">
        <f>SUM(K7)+2</f>
        <v>42</v>
      </c>
      <c r="M7" s="64">
        <f>SUM(L7)+2</f>
        <v>44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</f>
        <v>32.599999999999994</v>
      </c>
      <c r="I9" s="52">
        <f>SUM(J9)-2.2</f>
        <v>34.799999999999997</v>
      </c>
      <c r="J9" s="54">
        <v>37</v>
      </c>
      <c r="K9" s="52">
        <f>SUM(J9)+2</f>
        <v>39</v>
      </c>
      <c r="L9" s="52">
        <f t="shared" ref="L9:M9" si="1">SUM(K9)+2</f>
        <v>41</v>
      </c>
      <c r="M9" s="64">
        <f t="shared" si="1"/>
        <v>43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14.399999999999999</v>
      </c>
      <c r="I11" s="52">
        <f>SUM(J11)-0.8</f>
        <v>15.2</v>
      </c>
      <c r="J11" s="37">
        <v>16</v>
      </c>
      <c r="K11" s="38">
        <f>SUM(J11)+0.8</f>
        <v>16.8</v>
      </c>
      <c r="L11" s="38">
        <f>SUM(K11)+0.8</f>
        <v>17.600000000000001</v>
      </c>
      <c r="M11" s="63">
        <f>SUM(L11)+0.8</f>
        <v>18.400000000000002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14.8</v>
      </c>
      <c r="I13" s="52">
        <f>SUM(J13)-0.6</f>
        <v>15.4</v>
      </c>
      <c r="J13" s="37">
        <v>16</v>
      </c>
      <c r="K13" s="38">
        <f>SUM(J13)+0.6</f>
        <v>16.600000000000001</v>
      </c>
      <c r="L13" s="38">
        <f>SUM(K13)+0.6</f>
        <v>17.200000000000003</v>
      </c>
      <c r="M13" s="63">
        <f>SUM(L13)+0.6</f>
        <v>17.800000000000004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5.8000000000000007</v>
      </c>
      <c r="I15" s="52">
        <f>SUM(J15)-0.3</f>
        <v>6.1000000000000005</v>
      </c>
      <c r="J15" s="37">
        <v>6.4</v>
      </c>
      <c r="K15" s="38">
        <f>SUM(J15)+0.3</f>
        <v>6.7</v>
      </c>
      <c r="L15" s="38">
        <f>SUM(K15)+0.3</f>
        <v>7</v>
      </c>
      <c r="M15" s="63">
        <f>SUM(L15)+0.3</f>
        <v>7.3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36.799999999999997</v>
      </c>
      <c r="I17" s="52">
        <f>SUM(J17)-1.6</f>
        <v>38.4</v>
      </c>
      <c r="J17" s="37">
        <v>40</v>
      </c>
      <c r="K17" s="38">
        <f>SUM(J17)+1.6</f>
        <v>41.6</v>
      </c>
      <c r="L17" s="38">
        <f>SUM(K17)+1.6</f>
        <v>43.2</v>
      </c>
      <c r="M17" s="63">
        <f>SUM(L17)+1.6</f>
        <v>44.800000000000004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SUM(I19)-3.5</f>
        <v>30</v>
      </c>
      <c r="I19" s="52">
        <f>SUM(J19)-3.5</f>
        <v>33.5</v>
      </c>
      <c r="J19" s="37">
        <v>37</v>
      </c>
      <c r="K19" s="38">
        <f>SUM(J19)+3.6</f>
        <v>40.6</v>
      </c>
      <c r="L19" s="38">
        <f t="shared" ref="L19:M19" si="2">SUM(K19)+3.6</f>
        <v>44.2</v>
      </c>
      <c r="M19" s="63">
        <f t="shared" si="2"/>
        <v>47.800000000000004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26</v>
      </c>
      <c r="I21" s="52">
        <f>SUM(J21)-1.5</f>
        <v>27.5</v>
      </c>
      <c r="J21" s="37">
        <v>29</v>
      </c>
      <c r="K21" s="38">
        <f>SUM(J21)+1.5</f>
        <v>30.5</v>
      </c>
      <c r="L21" s="38">
        <f t="shared" ref="L21:M21" si="3">SUM(K21)+1.5</f>
        <v>32</v>
      </c>
      <c r="M21" s="63">
        <f t="shared" si="3"/>
        <v>33.5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SUM(I25)-0.3</f>
        <v>3.0000000000000004</v>
      </c>
      <c r="I25" s="52">
        <f>SUM(J25)-0.3</f>
        <v>3.3000000000000003</v>
      </c>
      <c r="J25" s="37">
        <v>3.6</v>
      </c>
      <c r="K25" s="38">
        <f>SUM(J25)+0.3</f>
        <v>3.9</v>
      </c>
      <c r="L25" s="38">
        <f>SUM(K25)+0.3</f>
        <v>4.2</v>
      </c>
      <c r="M25" s="63">
        <f>SUM(L25)+0.3</f>
        <v>4.5</v>
      </c>
    </row>
    <row r="26" spans="1:13" s="1" customFormat="1" ht="14.1" customHeight="1">
      <c r="A26" s="45"/>
      <c r="B26" s="40" t="s">
        <v>128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3FB1-656E-406A-B838-B1015BEC2DCF}">
  <sheetPr>
    <tabColor theme="8"/>
    <pageSetUpPr fitToPage="1"/>
  </sheetPr>
  <dimension ref="A1:P51"/>
  <sheetViews>
    <sheetView zoomScale="110" zoomScaleNormal="110" workbookViewId="0">
      <selection activeCell="A19" sqref="A19:M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281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56" t="s">
        <v>93</v>
      </c>
      <c r="C3" s="57"/>
      <c r="D3" s="58" t="s">
        <v>92</v>
      </c>
      <c r="E3" s="59"/>
      <c r="F3" s="59"/>
      <c r="G3" s="60"/>
      <c r="H3" s="52">
        <f>SUM(I3)-3.4</f>
        <v>37.200000000000003</v>
      </c>
      <c r="I3" s="52">
        <f>SUM(J3)-3.4</f>
        <v>40.6</v>
      </c>
      <c r="J3" s="193">
        <v>44</v>
      </c>
      <c r="K3" s="194">
        <f>SUM(J3)+2.9</f>
        <v>46.9</v>
      </c>
      <c r="L3" s="194">
        <f>SUM(K3)+2.9</f>
        <v>49.8</v>
      </c>
      <c r="M3" s="195">
        <f>SUM(L3)+2.9</f>
        <v>52.699999999999996</v>
      </c>
    </row>
    <row r="4" spans="1:16" s="1" customFormat="1" ht="14.1" customHeight="1">
      <c r="A4" s="45"/>
      <c r="B4" s="61" t="s">
        <v>32</v>
      </c>
      <c r="C4" s="61"/>
      <c r="D4" s="42" t="s">
        <v>91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22.599999999999998</v>
      </c>
      <c r="I5" s="52">
        <f>SUM(J5)-1.6</f>
        <v>24.2</v>
      </c>
      <c r="J5" s="54">
        <v>25.8</v>
      </c>
      <c r="K5" s="52">
        <f>SUM(J5)+1.4</f>
        <v>27.2</v>
      </c>
      <c r="L5" s="52">
        <f>SUM(K5)+1.4</f>
        <v>28.599999999999998</v>
      </c>
      <c r="M5" s="64">
        <f>SUM(L5)+1.4</f>
        <v>29.999999999999996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31.5</v>
      </c>
      <c r="I7" s="52">
        <f>SUM(J7)-2.25</f>
        <v>33.75</v>
      </c>
      <c r="J7" s="54">
        <v>36</v>
      </c>
      <c r="K7" s="52">
        <f>SUM(J7)+2</f>
        <v>38</v>
      </c>
      <c r="L7" s="52">
        <f>SUM(K7)+2</f>
        <v>40</v>
      </c>
      <c r="M7" s="64">
        <f>SUM(L7)+2</f>
        <v>42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31.5</v>
      </c>
      <c r="I9" s="52">
        <f>SUM(J9)-2.25</f>
        <v>33.75</v>
      </c>
      <c r="J9" s="54">
        <v>36</v>
      </c>
      <c r="K9" s="52">
        <f>SUM(J9)+2</f>
        <v>38</v>
      </c>
      <c r="L9" s="52">
        <f>SUM(K9)+2</f>
        <v>40</v>
      </c>
      <c r="M9" s="64">
        <f>SUM(L9)+2</f>
        <v>42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14.699999999999998</v>
      </c>
      <c r="I11" s="52">
        <f>SUM(J11)-0.9</f>
        <v>15.499999999999998</v>
      </c>
      <c r="J11" s="37">
        <v>16.399999999999999</v>
      </c>
      <c r="K11" s="38">
        <f>SUM(J11)+0.9</f>
        <v>17.299999999999997</v>
      </c>
      <c r="L11" s="38">
        <f>SUM(K11)+0.9</f>
        <v>18.199999999999996</v>
      </c>
      <c r="M11" s="63">
        <f>SUM(L11)+0.9</f>
        <v>19.099999999999994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12.3</v>
      </c>
      <c r="I13" s="52">
        <f>SUM(J13)-0.6</f>
        <v>12.9</v>
      </c>
      <c r="J13" s="37">
        <v>13.5</v>
      </c>
      <c r="K13" s="38">
        <f>SUM(J13)+0.6</f>
        <v>14.1</v>
      </c>
      <c r="L13" s="38">
        <f>SUM(K13)+0.6</f>
        <v>14.7</v>
      </c>
      <c r="M13" s="63">
        <f>SUM(L13)+0.6</f>
        <v>15.299999999999999</v>
      </c>
    </row>
    <row r="14" spans="1:16" s="1" customFormat="1" ht="14.1" customHeight="1">
      <c r="A14" s="45"/>
      <c r="B14" s="61" t="s">
        <v>27</v>
      </c>
      <c r="C14" s="61"/>
      <c r="D14" s="42" t="s">
        <v>147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63">
        <f>SUM(L15)+0.3</f>
        <v>7.1999999999999993</v>
      </c>
    </row>
    <row r="16" spans="1:16" s="1" customFormat="1" ht="14.1" customHeight="1">
      <c r="A16" s="45"/>
      <c r="B16" s="61" t="s">
        <v>28</v>
      </c>
      <c r="C16" s="61"/>
      <c r="D16" s="42" t="s">
        <v>148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32.299999999999997</v>
      </c>
      <c r="I17" s="52">
        <f>SUM(J17)-1.6</f>
        <v>33.9</v>
      </c>
      <c r="J17" s="37">
        <v>35.5</v>
      </c>
      <c r="K17" s="38">
        <f>SUM(J17)+1.6</f>
        <v>37.1</v>
      </c>
      <c r="L17" s="38">
        <f>SUM(K17)+1.6</f>
        <v>38.700000000000003</v>
      </c>
      <c r="M17" s="63">
        <f>SUM(L17)+1.6</f>
        <v>40.300000000000004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13</v>
      </c>
      <c r="B19" s="47" t="s">
        <v>283</v>
      </c>
      <c r="C19" s="48"/>
      <c r="D19" s="75"/>
      <c r="E19" s="62"/>
      <c r="F19" s="62"/>
      <c r="G19" s="76"/>
      <c r="H19" s="52">
        <f>SUM(I19)-0.2</f>
        <v>7.6999999999999993</v>
      </c>
      <c r="I19" s="52">
        <f>SUM(J19)-0.2</f>
        <v>7.8999999999999995</v>
      </c>
      <c r="J19" s="54">
        <v>8.1</v>
      </c>
      <c r="K19" s="52">
        <f>SUM(J19)+0.2</f>
        <v>8.2999999999999989</v>
      </c>
      <c r="L19" s="52">
        <f>SUM(K19)+0.2</f>
        <v>8.4999999999999982</v>
      </c>
      <c r="M19" s="64">
        <f>SUM(L19)+0.2</f>
        <v>8.6999999999999975</v>
      </c>
    </row>
    <row r="20" spans="1:13" s="1" customFormat="1" ht="14.1" customHeight="1">
      <c r="A20" s="45"/>
      <c r="B20" s="40" t="s">
        <v>284</v>
      </c>
      <c r="C20" s="41"/>
      <c r="D20" s="42"/>
      <c r="E20" s="43"/>
      <c r="F20" s="43"/>
      <c r="G20" s="44"/>
      <c r="H20" s="79"/>
      <c r="I20" s="79"/>
      <c r="J20" s="83"/>
      <c r="K20" s="79"/>
      <c r="L20" s="79"/>
      <c r="M20" s="80"/>
    </row>
    <row r="21" spans="1:13" s="1" customFormat="1" ht="14.1" customHeight="1">
      <c r="A21" s="45">
        <v>14</v>
      </c>
      <c r="B21" s="47" t="s">
        <v>282</v>
      </c>
      <c r="C21" s="48"/>
      <c r="D21" s="75"/>
      <c r="E21" s="62"/>
      <c r="F21" s="62"/>
      <c r="G21" s="76"/>
      <c r="H21" s="52">
        <f>SUM(I21)-0.2</f>
        <v>5.6999999999999993</v>
      </c>
      <c r="I21" s="52">
        <f>SUM(J21)-0.2</f>
        <v>5.8999999999999995</v>
      </c>
      <c r="J21" s="54">
        <v>6.1</v>
      </c>
      <c r="K21" s="52">
        <f>SUM(J21)+0.2</f>
        <v>6.3</v>
      </c>
      <c r="L21" s="52">
        <f>SUM(K21)+0.2</f>
        <v>6.5</v>
      </c>
      <c r="M21" s="64">
        <f>SUM(L21)+0.2</f>
        <v>6.7</v>
      </c>
    </row>
    <row r="22" spans="1:13" s="1" customFormat="1" ht="14.1" customHeight="1">
      <c r="A22" s="45"/>
      <c r="B22" s="40" t="s">
        <v>285</v>
      </c>
      <c r="C22" s="41"/>
      <c r="D22" s="42"/>
      <c r="E22" s="43"/>
      <c r="F22" s="43"/>
      <c r="G22" s="44"/>
      <c r="H22" s="79"/>
      <c r="I22" s="79"/>
      <c r="J22" s="83"/>
      <c r="K22" s="79"/>
      <c r="L22" s="79"/>
      <c r="M22" s="80"/>
    </row>
    <row r="23" spans="1:13" s="1" customFormat="1" ht="14.1" customHeight="1">
      <c r="A23" s="45">
        <v>9</v>
      </c>
      <c r="B23" s="81" t="s">
        <v>4</v>
      </c>
      <c r="C23" s="81"/>
      <c r="D23" s="78" t="s">
        <v>5</v>
      </c>
      <c r="E23" s="78"/>
      <c r="F23" s="78"/>
      <c r="G23" s="78"/>
      <c r="H23" s="52">
        <f>SUM(I23)-3.7</f>
        <v>33.199999999999996</v>
      </c>
      <c r="I23" s="52">
        <f>SUM(J23)-3.7</f>
        <v>36.9</v>
      </c>
      <c r="J23" s="37">
        <v>40.6</v>
      </c>
      <c r="K23" s="38">
        <f>SUM(J23)+3.8</f>
        <v>44.4</v>
      </c>
      <c r="L23" s="38">
        <f>SUM(K23)+3.8</f>
        <v>48.199999999999996</v>
      </c>
      <c r="M23" s="63">
        <f>SUM(L23)+3.8</f>
        <v>51.999999999999993</v>
      </c>
    </row>
    <row r="24" spans="1:13" s="1" customFormat="1" ht="14.1" customHeight="1">
      <c r="A24" s="45"/>
      <c r="B24" s="61" t="s">
        <v>29</v>
      </c>
      <c r="C24" s="61"/>
      <c r="D24" s="42" t="s">
        <v>47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10</v>
      </c>
      <c r="B25" s="81" t="s">
        <v>6</v>
      </c>
      <c r="C25" s="81"/>
      <c r="D25" s="75" t="s">
        <v>7</v>
      </c>
      <c r="E25" s="62"/>
      <c r="F25" s="62"/>
      <c r="G25" s="76"/>
      <c r="H25" s="52"/>
      <c r="I25" s="52"/>
      <c r="J25" s="37"/>
      <c r="K25" s="38"/>
      <c r="L25" s="38"/>
      <c r="M25" s="63"/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11</v>
      </c>
      <c r="B27" s="47" t="s">
        <v>226</v>
      </c>
      <c r="C27" s="48"/>
      <c r="D27" s="78" t="s">
        <v>66</v>
      </c>
      <c r="E27" s="78"/>
      <c r="F27" s="78"/>
      <c r="G27" s="78"/>
      <c r="H27" s="52">
        <f>SUM(I27)-0.7</f>
        <v>14.600000000000001</v>
      </c>
      <c r="I27" s="52">
        <f>SUM(J27)-0.7</f>
        <v>15.3</v>
      </c>
      <c r="J27" s="37">
        <v>16</v>
      </c>
      <c r="K27" s="38">
        <f>SUM(J27)+0.7</f>
        <v>16.7</v>
      </c>
      <c r="L27" s="38">
        <f>SUM(K27)+0.7</f>
        <v>17.399999999999999</v>
      </c>
      <c r="M27" s="63">
        <f>SUM(L27)+0.7</f>
        <v>18.099999999999998</v>
      </c>
    </row>
    <row r="28" spans="1:13" s="1" customFormat="1" ht="14.1" customHeight="1">
      <c r="A28" s="45"/>
      <c r="B28" s="61" t="s">
        <v>31</v>
      </c>
      <c r="C28" s="61"/>
      <c r="D28" s="42" t="s">
        <v>67</v>
      </c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12</v>
      </c>
      <c r="B29" s="47" t="s">
        <v>227</v>
      </c>
      <c r="C29" s="48"/>
      <c r="D29" s="49"/>
      <c r="E29" s="50"/>
      <c r="F29" s="50"/>
      <c r="G29" s="51"/>
      <c r="H29" s="52">
        <f>SUM(I29)</f>
        <v>11</v>
      </c>
      <c r="I29" s="52">
        <f>SUM(J29)</f>
        <v>11</v>
      </c>
      <c r="J29" s="37">
        <v>11</v>
      </c>
      <c r="K29" s="38">
        <f>SUM(J29)+0.2</f>
        <v>11.2</v>
      </c>
      <c r="L29" s="38">
        <f>SUM(K29)+0.2</f>
        <v>11.399999999999999</v>
      </c>
      <c r="M29" s="63">
        <f>SUM(L29)+0.2</f>
        <v>11.599999999999998</v>
      </c>
    </row>
    <row r="30" spans="1:13" s="1" customFormat="1" ht="14.1" customHeight="1">
      <c r="A30" s="45"/>
      <c r="B30" s="40" t="s">
        <v>228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63"/>
    </row>
    <row r="31" spans="1:13" ht="14.1" customHeight="1">
      <c r="A31" s="45">
        <v>13</v>
      </c>
      <c r="B31" s="47"/>
      <c r="C31" s="48"/>
      <c r="D31" s="49"/>
      <c r="E31" s="50"/>
      <c r="F31" s="50"/>
      <c r="G31" s="51"/>
      <c r="H31" s="52"/>
      <c r="I31" s="52"/>
      <c r="J31" s="37"/>
      <c r="K31" s="38"/>
      <c r="L31" s="38"/>
      <c r="M31" s="63"/>
    </row>
    <row r="32" spans="1:13" ht="14.1" customHeight="1">
      <c r="A32" s="45"/>
      <c r="B32" s="40"/>
      <c r="C32" s="41"/>
      <c r="D32" s="42"/>
      <c r="E32" s="43"/>
      <c r="F32" s="43"/>
      <c r="G32" s="44"/>
      <c r="H32" s="79"/>
      <c r="I32" s="79"/>
      <c r="J32" s="37"/>
      <c r="K32" s="38"/>
      <c r="L32" s="38"/>
      <c r="M32" s="63"/>
    </row>
    <row r="33" spans="1:13" ht="14.1" customHeight="1">
      <c r="A33" s="45">
        <v>14</v>
      </c>
      <c r="B33" s="56"/>
      <c r="C33" s="57"/>
      <c r="D33" s="183"/>
      <c r="E33" s="184"/>
      <c r="F33" s="184"/>
      <c r="G33" s="185"/>
      <c r="H33" s="52"/>
      <c r="I33" s="52"/>
      <c r="J33" s="54"/>
      <c r="K33" s="52"/>
      <c r="L33" s="52"/>
      <c r="M33" s="64"/>
    </row>
    <row r="34" spans="1:13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144"/>
      <c r="K34" s="77"/>
      <c r="L34" s="77"/>
      <c r="M34" s="141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3:A24"/>
    <mergeCell ref="B23:C23"/>
    <mergeCell ref="D23:G23"/>
    <mergeCell ref="H23:H24"/>
    <mergeCell ref="I23:I24"/>
    <mergeCell ref="A17:A18"/>
    <mergeCell ref="B17:C17"/>
    <mergeCell ref="D17:G17"/>
    <mergeCell ref="H17:H18"/>
    <mergeCell ref="I17:I18"/>
    <mergeCell ref="A19:A20"/>
    <mergeCell ref="A21:A22"/>
    <mergeCell ref="J23:J24"/>
    <mergeCell ref="K23:K24"/>
    <mergeCell ref="L23:L24"/>
    <mergeCell ref="M23:M24"/>
    <mergeCell ref="B24:C24"/>
    <mergeCell ref="D24:G24"/>
    <mergeCell ref="K17:K18"/>
    <mergeCell ref="L17:L18"/>
    <mergeCell ref="M17:M18"/>
    <mergeCell ref="B18:C18"/>
    <mergeCell ref="D18:G18"/>
    <mergeCell ref="J17:J18"/>
    <mergeCell ref="B19:C19"/>
    <mergeCell ref="D19:G19"/>
    <mergeCell ref="H19:H20"/>
    <mergeCell ref="I19:I20"/>
    <mergeCell ref="H21:H22"/>
    <mergeCell ref="I21:I22"/>
    <mergeCell ref="B21:C21"/>
    <mergeCell ref="D21:G21"/>
    <mergeCell ref="M21:M22"/>
    <mergeCell ref="B22:C22"/>
    <mergeCell ref="D22:G22"/>
    <mergeCell ref="J19:J20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B32:C32"/>
    <mergeCell ref="D32:G32"/>
    <mergeCell ref="A31:A32"/>
    <mergeCell ref="B31:C31"/>
    <mergeCell ref="D31:G31"/>
    <mergeCell ref="H31:H32"/>
    <mergeCell ref="I31:I32"/>
    <mergeCell ref="K19:K20"/>
    <mergeCell ref="L19:L20"/>
    <mergeCell ref="M19:M20"/>
    <mergeCell ref="B20:C20"/>
    <mergeCell ref="D20:G20"/>
    <mergeCell ref="J21:J22"/>
    <mergeCell ref="K21:K22"/>
    <mergeCell ref="L21:L22"/>
    <mergeCell ref="K33:K34"/>
    <mergeCell ref="L33:L34"/>
    <mergeCell ref="M33:M34"/>
    <mergeCell ref="B34:C34"/>
    <mergeCell ref="D34:G34"/>
    <mergeCell ref="M31:M32"/>
    <mergeCell ref="K29:K30"/>
    <mergeCell ref="L29:L30"/>
    <mergeCell ref="M29:M30"/>
    <mergeCell ref="B30:C30"/>
    <mergeCell ref="D30:G30"/>
    <mergeCell ref="J29:J30"/>
    <mergeCell ref="K25:K26"/>
    <mergeCell ref="L25:L26"/>
    <mergeCell ref="M25:M26"/>
    <mergeCell ref="B26:C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72B6-E40E-460E-9CC2-78CDDF2B34FF}">
  <sheetPr>
    <tabColor theme="8"/>
    <pageSetUpPr fitToPage="1"/>
  </sheetPr>
  <dimension ref="A1:P51"/>
  <sheetViews>
    <sheetView zoomScale="110" zoomScaleNormal="110" workbookViewId="0">
      <selection activeCell="P22" sqref="P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430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35</v>
      </c>
      <c r="I3" s="52">
        <f>SUM(J3)-3.5</f>
        <v>38.5</v>
      </c>
      <c r="J3" s="193">
        <v>42</v>
      </c>
      <c r="K3" s="194">
        <f>SUM(J3)+3</f>
        <v>45</v>
      </c>
      <c r="L3" s="194">
        <f>SUM(K3)+3</f>
        <v>48</v>
      </c>
      <c r="M3" s="195">
        <f>SUM(L3)+3</f>
        <v>51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21.699999999999996</v>
      </c>
      <c r="I5" s="52">
        <f>SUM(J5)-1.6</f>
        <v>23.299999999999997</v>
      </c>
      <c r="J5" s="54">
        <v>24.9</v>
      </c>
      <c r="K5" s="52">
        <f>SUM(J5)+1.4</f>
        <v>26.299999999999997</v>
      </c>
      <c r="L5" s="52">
        <f t="shared" ref="L5:M5" si="0">SUM(K5)+1.4</f>
        <v>27.699999999999996</v>
      </c>
      <c r="M5" s="64">
        <f t="shared" si="0"/>
        <v>29.099999999999994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</f>
        <v>28.5</v>
      </c>
      <c r="I7" s="52">
        <f>SUM(J7)-2</f>
        <v>30.5</v>
      </c>
      <c r="J7" s="54">
        <v>32.5</v>
      </c>
      <c r="K7" s="52">
        <f>SUM(J7)+1.8</f>
        <v>34.299999999999997</v>
      </c>
      <c r="L7" s="52">
        <f t="shared" ref="L7:M7" si="1">SUM(K7)+1.8</f>
        <v>36.099999999999994</v>
      </c>
      <c r="M7" s="64">
        <f t="shared" si="1"/>
        <v>37.899999999999991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</f>
        <v>28.5</v>
      </c>
      <c r="I9" s="52">
        <f>SUM(J9)-2</f>
        <v>30.5</v>
      </c>
      <c r="J9" s="54">
        <v>32.5</v>
      </c>
      <c r="K9" s="52">
        <f>SUM(J9)+1.8</f>
        <v>34.299999999999997</v>
      </c>
      <c r="L9" s="52">
        <f t="shared" ref="L9:M9" si="2">SUM(K9)+1.8</f>
        <v>36.099999999999994</v>
      </c>
      <c r="M9" s="64">
        <f t="shared" si="2"/>
        <v>37.899999999999991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SUM(I11)-0.9</f>
        <v>13.899999999999999</v>
      </c>
      <c r="I11" s="52">
        <f>SUM(J11)-0.8</f>
        <v>14.799999999999999</v>
      </c>
      <c r="J11" s="37">
        <v>15.6</v>
      </c>
      <c r="K11" s="38">
        <f>SUM(J11)+0.8</f>
        <v>16.399999999999999</v>
      </c>
      <c r="L11" s="38">
        <f>SUM(K11)+0.9</f>
        <v>17.299999999999997</v>
      </c>
      <c r="M11" s="63">
        <f>SUM(L11)+0.9</f>
        <v>18.199999999999996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12.200000000000001</v>
      </c>
      <c r="I13" s="52">
        <f>SUM(J13)-0.6</f>
        <v>12.8</v>
      </c>
      <c r="J13" s="37">
        <v>13.4</v>
      </c>
      <c r="K13" s="38">
        <f>SUM(J13)+0.6</f>
        <v>14</v>
      </c>
      <c r="L13" s="38">
        <f>SUM(K13)+0.6</f>
        <v>14.6</v>
      </c>
      <c r="M13" s="63">
        <f>SUM(L13)+0.6</f>
        <v>15.2</v>
      </c>
    </row>
    <row r="14" spans="1:16" s="1" customFormat="1" ht="14.1" customHeight="1">
      <c r="A14" s="45"/>
      <c r="B14" s="61" t="s">
        <v>27</v>
      </c>
      <c r="C14" s="61"/>
      <c r="D14" s="42" t="s">
        <v>147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63">
        <f>SUM(L15)+0.3</f>
        <v>7.1999999999999993</v>
      </c>
    </row>
    <row r="16" spans="1:16" s="1" customFormat="1" ht="14.1" customHeight="1">
      <c r="A16" s="45"/>
      <c r="B16" s="61" t="s">
        <v>28</v>
      </c>
      <c r="C16" s="61"/>
      <c r="D16" s="42" t="s">
        <v>148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32.4</v>
      </c>
      <c r="I17" s="52">
        <f>SUM(J17)-1.6</f>
        <v>34</v>
      </c>
      <c r="J17" s="37">
        <v>35.6</v>
      </c>
      <c r="K17" s="38">
        <f>SUM(J17)+1.6</f>
        <v>37.200000000000003</v>
      </c>
      <c r="L17" s="38">
        <f>SUM(K17)+1.6</f>
        <v>38.800000000000004</v>
      </c>
      <c r="M17" s="63">
        <f>SUM(L17)+1.6</f>
        <v>40.400000000000006</v>
      </c>
    </row>
    <row r="18" spans="1:13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SUM(I19)-3.7</f>
        <v>34.099999999999994</v>
      </c>
      <c r="I19" s="52">
        <f>SUM(J19)-3.7</f>
        <v>37.799999999999997</v>
      </c>
      <c r="J19" s="37">
        <v>41.5</v>
      </c>
      <c r="K19" s="38">
        <f>SUM(J19)+3.8</f>
        <v>45.3</v>
      </c>
      <c r="L19" s="38">
        <f t="shared" ref="L19:M19" si="3">SUM(K19)+3.8</f>
        <v>49.099999999999994</v>
      </c>
      <c r="M19" s="63">
        <f t="shared" si="3"/>
        <v>52.899999999999991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63"/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14.600000000000001</v>
      </c>
      <c r="I23" s="52">
        <f>SUM(J23)-0.7</f>
        <v>15.3</v>
      </c>
      <c r="J23" s="37">
        <v>16</v>
      </c>
      <c r="K23" s="38">
        <f>SUM(J23)+0.7</f>
        <v>16.7</v>
      </c>
      <c r="L23" s="38">
        <f t="shared" ref="L23:M23" si="4">SUM(K23)+0.7</f>
        <v>17.399999999999999</v>
      </c>
      <c r="M23" s="63">
        <f t="shared" si="4"/>
        <v>18.099999999999998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227</v>
      </c>
      <c r="C25" s="48"/>
      <c r="D25" s="49"/>
      <c r="E25" s="50"/>
      <c r="F25" s="50"/>
      <c r="G25" s="51"/>
      <c r="H25" s="52">
        <f>SUM(I25)</f>
        <v>10.5</v>
      </c>
      <c r="I25" s="52">
        <f>SUM(J25)</f>
        <v>10.5</v>
      </c>
      <c r="J25" s="37">
        <v>10.5</v>
      </c>
      <c r="K25" s="38">
        <f>SUM(J25)+0.2</f>
        <v>10.7</v>
      </c>
      <c r="L25" s="38">
        <f>SUM(K25)+0.2</f>
        <v>10.899999999999999</v>
      </c>
      <c r="M25" s="63">
        <f>SUM(L25)+0.2</f>
        <v>11.099999999999998</v>
      </c>
    </row>
    <row r="26" spans="1:13" s="1" customFormat="1" ht="14.1" customHeight="1" thickBot="1">
      <c r="A26" s="74"/>
      <c r="B26" s="178" t="s">
        <v>228</v>
      </c>
      <c r="C26" s="179"/>
      <c r="D26" s="180"/>
      <c r="E26" s="181"/>
      <c r="F26" s="181"/>
      <c r="G26" s="182"/>
      <c r="H26" s="77"/>
      <c r="I26" s="77"/>
      <c r="J26" s="66"/>
      <c r="K26" s="67"/>
      <c r="L26" s="67"/>
      <c r="M26" s="68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4530-F6CB-45DA-86E8-0A82164256BC}">
  <sheetPr>
    <tabColor theme="8"/>
    <pageSetUpPr fitToPage="1"/>
  </sheetPr>
  <dimension ref="A1:O51"/>
  <sheetViews>
    <sheetView zoomScale="110" zoomScaleNormal="110" workbookViewId="0">
      <selection sqref="A1:N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479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22" t="s">
        <v>130</v>
      </c>
      <c r="N2" s="28" t="s">
        <v>145</v>
      </c>
    </row>
    <row r="3" spans="1:15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37</v>
      </c>
      <c r="I3" s="52">
        <f>SUM(J3)-3.5</f>
        <v>40.5</v>
      </c>
      <c r="J3" s="193">
        <v>44</v>
      </c>
      <c r="K3" s="194">
        <f>SUM(J3)+3</f>
        <v>47</v>
      </c>
      <c r="L3" s="194">
        <f>SUM(K3)+3</f>
        <v>50</v>
      </c>
      <c r="M3" s="194">
        <f>SUM(L3)+3</f>
        <v>53</v>
      </c>
      <c r="N3" s="219">
        <f>SUM(M3)+3</f>
        <v>56</v>
      </c>
    </row>
    <row r="4" spans="1:15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5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SUM(I5)-2.2</f>
        <v>38.599999999999994</v>
      </c>
      <c r="I5" s="52">
        <f>SUM(J5)-2.2</f>
        <v>40.799999999999997</v>
      </c>
      <c r="J5" s="54">
        <v>43</v>
      </c>
      <c r="K5" s="52">
        <f>SUM(J5)+2</f>
        <v>45</v>
      </c>
      <c r="L5" s="52">
        <f>SUM(K5)+2</f>
        <v>47</v>
      </c>
      <c r="M5" s="52">
        <f>SUM(L5)+2</f>
        <v>49</v>
      </c>
      <c r="N5" s="205">
        <f>SUM(M5)+2</f>
        <v>51</v>
      </c>
    </row>
    <row r="6" spans="1:15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5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39.5</v>
      </c>
      <c r="I7" s="52">
        <f>SUM(J7)-2.25</f>
        <v>41.75</v>
      </c>
      <c r="J7" s="54">
        <v>44</v>
      </c>
      <c r="K7" s="52">
        <f>SUM(J7)+2</f>
        <v>46</v>
      </c>
      <c r="L7" s="52">
        <f>SUM(K7)+2</f>
        <v>48</v>
      </c>
      <c r="M7" s="52">
        <f>SUM(L7)+2</f>
        <v>50</v>
      </c>
      <c r="N7" s="205">
        <f>SUM(M7)+2</f>
        <v>52</v>
      </c>
    </row>
    <row r="8" spans="1:15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5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29.9</v>
      </c>
      <c r="I9" s="52">
        <f>SUM(J9)-1.8</f>
        <v>31.7</v>
      </c>
      <c r="J9" s="54">
        <v>33.5</v>
      </c>
      <c r="K9" s="52">
        <f>SUM(J9)+1.6</f>
        <v>35.1</v>
      </c>
      <c r="L9" s="52">
        <f>SUM(K9)+1.6</f>
        <v>36.700000000000003</v>
      </c>
      <c r="M9" s="52">
        <f>SUM(L9)+1.6</f>
        <v>38.300000000000004</v>
      </c>
      <c r="N9" s="205">
        <f>SUM(M9)+1.6</f>
        <v>39.900000000000006</v>
      </c>
      <c r="O9" s="1" t="s">
        <v>189</v>
      </c>
    </row>
    <row r="10" spans="1:15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5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14.899999999999999</v>
      </c>
      <c r="I11" s="52">
        <f>SUM(J11)-0.8</f>
        <v>15.7</v>
      </c>
      <c r="J11" s="37">
        <v>16.5</v>
      </c>
      <c r="K11" s="38">
        <f>SUM(J11)+0.8</f>
        <v>17.3</v>
      </c>
      <c r="L11" s="38">
        <f>SUM(K11)+0.8</f>
        <v>18.100000000000001</v>
      </c>
      <c r="M11" s="38">
        <f>SUM(L11)+0.8</f>
        <v>18.900000000000002</v>
      </c>
      <c r="N11" s="208">
        <f>SUM(M11)+0.8</f>
        <v>19.700000000000003</v>
      </c>
    </row>
    <row r="12" spans="1:15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5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16.299999999999997</v>
      </c>
      <c r="I13" s="52">
        <f>SUM(J13)-0.6</f>
        <v>16.899999999999999</v>
      </c>
      <c r="J13" s="37">
        <v>17.5</v>
      </c>
      <c r="K13" s="38">
        <f>SUM(J13)+0.6</f>
        <v>18.100000000000001</v>
      </c>
      <c r="L13" s="38">
        <f>SUM(K13)+0.6</f>
        <v>18.700000000000003</v>
      </c>
      <c r="M13" s="38">
        <f>SUM(L13)+0.6</f>
        <v>19.300000000000004</v>
      </c>
      <c r="N13" s="208">
        <f>SUM(M13)+0.6</f>
        <v>19.900000000000006</v>
      </c>
    </row>
    <row r="14" spans="1:15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5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6.1000000000000005</v>
      </c>
      <c r="I15" s="52">
        <f>SUM(J15)-0.3</f>
        <v>6.4</v>
      </c>
      <c r="J15" s="37">
        <v>6.7</v>
      </c>
      <c r="K15" s="38">
        <f>SUM(J15)+0.3</f>
        <v>7</v>
      </c>
      <c r="L15" s="38">
        <f>SUM(K15)+0.3</f>
        <v>7.3</v>
      </c>
      <c r="M15" s="38">
        <f>SUM(L15)+0.3</f>
        <v>7.6</v>
      </c>
      <c r="N15" s="208">
        <f>SUM(M15)+0.3</f>
        <v>7.8999999999999995</v>
      </c>
    </row>
    <row r="16" spans="1:15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39.799999999999997</v>
      </c>
      <c r="I17" s="52">
        <f>SUM(J17)-1.6</f>
        <v>41.4</v>
      </c>
      <c r="J17" s="37">
        <v>43</v>
      </c>
      <c r="K17" s="38">
        <f>SUM(J17)+1.6</f>
        <v>44.6</v>
      </c>
      <c r="L17" s="38">
        <f>SUM(K17)+1.6</f>
        <v>46.2</v>
      </c>
      <c r="M17" s="38">
        <f>SUM(L17)+1.6</f>
        <v>47.800000000000004</v>
      </c>
      <c r="N17" s="208">
        <f>SUM(M17)+1.6</f>
        <v>49.400000000000006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SUM(I19)-3.4</f>
        <v>25.200000000000003</v>
      </c>
      <c r="I19" s="52">
        <f>SUM(J19)-3.4</f>
        <v>28.6</v>
      </c>
      <c r="J19" s="37">
        <v>32</v>
      </c>
      <c r="K19" s="38">
        <f>SUM(J19)+3.5</f>
        <v>35.5</v>
      </c>
      <c r="L19" s="38">
        <f>SUM(K19)+3.5</f>
        <v>39</v>
      </c>
      <c r="M19" s="38">
        <f>SUM(L19)+3.5</f>
        <v>42.5</v>
      </c>
      <c r="N19" s="208">
        <f>SUM(M19)+3.5</f>
        <v>46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208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28.7</v>
      </c>
      <c r="I21" s="52">
        <f>SUM(J21)-1.5</f>
        <v>30.2</v>
      </c>
      <c r="J21" s="37">
        <v>31.7</v>
      </c>
      <c r="K21" s="38">
        <f>SUM(J21)+1.5</f>
        <v>33.200000000000003</v>
      </c>
      <c r="L21" s="38">
        <f>SUM(K21)+1.5</f>
        <v>34.700000000000003</v>
      </c>
      <c r="M21" s="38">
        <f>SUM(L21)+1.5</f>
        <v>36.200000000000003</v>
      </c>
      <c r="N21" s="208">
        <f>SUM(M21)+1.5</f>
        <v>37.700000000000003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38">
        <f>SUM(L23)+0.6</f>
        <v>17</v>
      </c>
      <c r="N23" s="208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47" t="s">
        <v>142</v>
      </c>
      <c r="C25" s="48"/>
      <c r="D25" s="49"/>
      <c r="E25" s="50"/>
      <c r="F25" s="50"/>
      <c r="G25" s="51"/>
      <c r="H25" s="52">
        <f>SUM(I25)-0.3</f>
        <v>5.3000000000000007</v>
      </c>
      <c r="I25" s="52">
        <f>SUM(J25)-0.3</f>
        <v>5.6000000000000005</v>
      </c>
      <c r="J25" s="37">
        <v>5.9</v>
      </c>
      <c r="K25" s="38">
        <f>SUM(J25)+0.3</f>
        <v>6.2</v>
      </c>
      <c r="L25" s="38">
        <f>SUM(K25)+0.3</f>
        <v>6.5</v>
      </c>
      <c r="M25" s="38">
        <f>SUM(L25)+0.3</f>
        <v>6.8</v>
      </c>
      <c r="N25" s="208">
        <f>SUM(M25)+0.3</f>
        <v>7.1</v>
      </c>
    </row>
    <row r="26" spans="1:14" s="1" customFormat="1" ht="14.1" customHeight="1">
      <c r="A26" s="45"/>
      <c r="B26" s="40" t="s">
        <v>276</v>
      </c>
      <c r="C26" s="41"/>
      <c r="D26" s="42" t="s">
        <v>167</v>
      </c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4" s="1" customFormat="1" ht="14.1" customHeight="1">
      <c r="A27" s="45">
        <v>13</v>
      </c>
      <c r="B27" s="47" t="s">
        <v>143</v>
      </c>
      <c r="C27" s="48"/>
      <c r="D27" s="49"/>
      <c r="E27" s="50"/>
      <c r="F27" s="50"/>
      <c r="G27" s="51"/>
      <c r="H27" s="52">
        <f>SUM(I27)-0.4</f>
        <v>7.3999999999999986</v>
      </c>
      <c r="I27" s="52">
        <f>SUM(J27)-0.4</f>
        <v>7.7999999999999989</v>
      </c>
      <c r="J27" s="37">
        <v>8.1999999999999993</v>
      </c>
      <c r="K27" s="38">
        <f>SUM(J27)+0.4</f>
        <v>8.6</v>
      </c>
      <c r="L27" s="38">
        <f>SUM(K27)+0.4</f>
        <v>9</v>
      </c>
      <c r="M27" s="38">
        <f>SUM(L27)+0.4</f>
        <v>9.4</v>
      </c>
      <c r="N27" s="208">
        <f>SUM(M27)+0.4</f>
        <v>9.8000000000000007</v>
      </c>
    </row>
    <row r="28" spans="1:14" s="1" customFormat="1" ht="14.1" customHeight="1">
      <c r="A28" s="45"/>
      <c r="B28" s="40" t="s">
        <v>277</v>
      </c>
      <c r="C28" s="41"/>
      <c r="D28" s="42" t="s">
        <v>149</v>
      </c>
      <c r="E28" s="43"/>
      <c r="F28" s="43"/>
      <c r="G28" s="44"/>
      <c r="H28" s="79"/>
      <c r="I28" s="79"/>
      <c r="J28" s="37"/>
      <c r="K28" s="38"/>
      <c r="L28" s="38"/>
      <c r="M28" s="38"/>
      <c r="N28" s="208"/>
    </row>
    <row r="29" spans="1:14" s="1" customFormat="1" ht="14.1" customHeight="1">
      <c r="A29" s="45">
        <v>14</v>
      </c>
      <c r="B29" s="47" t="s">
        <v>278</v>
      </c>
      <c r="C29" s="48"/>
      <c r="D29" s="49"/>
      <c r="E29" s="50"/>
      <c r="F29" s="50"/>
      <c r="G29" s="51"/>
      <c r="H29" s="52">
        <f>SUM(I29)-1.1</f>
        <v>17.799999999999997</v>
      </c>
      <c r="I29" s="52">
        <f>SUM(J29)-1.1</f>
        <v>18.899999999999999</v>
      </c>
      <c r="J29" s="37">
        <v>20</v>
      </c>
      <c r="K29" s="38">
        <f>SUM(J29)+1</f>
        <v>21</v>
      </c>
      <c r="L29" s="38">
        <f t="shared" ref="L29:N29" si="0">SUM(K29)+1</f>
        <v>22</v>
      </c>
      <c r="M29" s="38">
        <f t="shared" si="0"/>
        <v>23</v>
      </c>
      <c r="N29" s="208">
        <f t="shared" si="0"/>
        <v>24</v>
      </c>
    </row>
    <row r="30" spans="1:14" s="1" customFormat="1" ht="14.1" customHeight="1">
      <c r="A30" s="45"/>
      <c r="B30" s="40" t="s">
        <v>279</v>
      </c>
      <c r="C30" s="41"/>
      <c r="D30" s="42"/>
      <c r="E30" s="43"/>
      <c r="F30" s="43"/>
      <c r="G30" s="44"/>
      <c r="H30" s="79"/>
      <c r="I30" s="79"/>
      <c r="J30" s="37"/>
      <c r="K30" s="38"/>
      <c r="L30" s="38"/>
      <c r="M30" s="38"/>
      <c r="N30" s="208"/>
    </row>
    <row r="31" spans="1:14" ht="14.1" customHeight="1">
      <c r="A31" s="45">
        <v>15</v>
      </c>
      <c r="B31" s="47" t="s">
        <v>120</v>
      </c>
      <c r="C31" s="48"/>
      <c r="D31" s="49"/>
      <c r="E31" s="50"/>
      <c r="F31" s="50"/>
      <c r="G31" s="51"/>
      <c r="H31" s="52">
        <f>SUM(I31)-0.5</f>
        <v>5.8</v>
      </c>
      <c r="I31" s="52">
        <f>SUM(J31)-0.5</f>
        <v>6.3</v>
      </c>
      <c r="J31" s="37">
        <v>6.8</v>
      </c>
      <c r="K31" s="38">
        <f>SUM(J31)+0.5</f>
        <v>7.3</v>
      </c>
      <c r="L31" s="38">
        <f t="shared" ref="L31:N31" si="1">SUM(K31)+0.5</f>
        <v>7.8</v>
      </c>
      <c r="M31" s="38">
        <f t="shared" si="1"/>
        <v>8.3000000000000007</v>
      </c>
      <c r="N31" s="208">
        <f t="shared" si="1"/>
        <v>8.8000000000000007</v>
      </c>
    </row>
    <row r="32" spans="1:14" ht="14.1" customHeight="1">
      <c r="A32" s="45"/>
      <c r="B32" s="40" t="s">
        <v>128</v>
      </c>
      <c r="C32" s="41"/>
      <c r="D32" s="42" t="s">
        <v>167</v>
      </c>
      <c r="E32" s="43"/>
      <c r="F32" s="43"/>
      <c r="G32" s="44"/>
      <c r="H32" s="79"/>
      <c r="I32" s="79"/>
      <c r="J32" s="54"/>
      <c r="K32" s="38"/>
      <c r="L32" s="38"/>
      <c r="M32" s="38"/>
      <c r="N32" s="208"/>
    </row>
    <row r="33" spans="1:14" ht="14.1" customHeight="1">
      <c r="A33" s="45">
        <v>16</v>
      </c>
      <c r="B33" s="56" t="s">
        <v>121</v>
      </c>
      <c r="C33" s="57"/>
      <c r="D33" s="183"/>
      <c r="E33" s="184"/>
      <c r="F33" s="184"/>
      <c r="G33" s="185"/>
      <c r="H33" s="52">
        <f>SUM(I33)-0.8</f>
        <v>13.799999999999999</v>
      </c>
      <c r="I33" s="52">
        <f>SUM(J33)-0.8</f>
        <v>14.6</v>
      </c>
      <c r="J33" s="37">
        <v>15.4</v>
      </c>
      <c r="K33" s="38">
        <f>SUM(J33)+0.8</f>
        <v>16.2</v>
      </c>
      <c r="L33" s="38">
        <f t="shared" ref="L33:N33" si="2">SUM(K33)+0.8</f>
        <v>17</v>
      </c>
      <c r="M33" s="38">
        <f t="shared" si="2"/>
        <v>17.8</v>
      </c>
      <c r="N33" s="208">
        <f t="shared" si="2"/>
        <v>18.600000000000001</v>
      </c>
    </row>
    <row r="34" spans="1:14" ht="14.1" customHeight="1" thickBot="1">
      <c r="A34" s="74"/>
      <c r="B34" s="178" t="s">
        <v>129</v>
      </c>
      <c r="C34" s="179"/>
      <c r="D34" s="180" t="s">
        <v>480</v>
      </c>
      <c r="E34" s="181"/>
      <c r="F34" s="181"/>
      <c r="G34" s="182"/>
      <c r="H34" s="77"/>
      <c r="I34" s="77"/>
      <c r="J34" s="66"/>
      <c r="K34" s="67"/>
      <c r="L34" s="67"/>
      <c r="M34" s="67"/>
      <c r="N34" s="256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N21:N22"/>
    <mergeCell ref="N23:N24"/>
    <mergeCell ref="N25:N26"/>
    <mergeCell ref="N27:N28"/>
    <mergeCell ref="N29:N30"/>
    <mergeCell ref="N31:N32"/>
    <mergeCell ref="N33:N34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B34:C34"/>
    <mergeCell ref="D34:G34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4A7E-ED61-4F87-BD07-C1DB898AF055}">
  <sheetPr>
    <tabColor theme="8"/>
    <pageSetUpPr fitToPage="1"/>
  </sheetPr>
  <dimension ref="A1:P51"/>
  <sheetViews>
    <sheetView zoomScale="110" zoomScaleNormal="110" workbookViewId="0">
      <selection activeCell="M38" sqref="M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449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34</v>
      </c>
      <c r="I3" s="52">
        <f>SUM(J3)-3</f>
        <v>37</v>
      </c>
      <c r="J3" s="193">
        <v>40</v>
      </c>
      <c r="K3" s="194">
        <f>SUM(J3)+2.5</f>
        <v>42.5</v>
      </c>
      <c r="L3" s="194">
        <f t="shared" ref="L3:M3" si="0">SUM(K3)+2.5</f>
        <v>45</v>
      </c>
      <c r="M3" s="195">
        <f t="shared" si="0"/>
        <v>47.5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21.4</v>
      </c>
      <c r="I5" s="52">
        <f>SUM(J5)-1.6</f>
        <v>23</v>
      </c>
      <c r="J5" s="54">
        <v>24.6</v>
      </c>
      <c r="K5" s="52">
        <f>SUM(J5)+1.4</f>
        <v>26</v>
      </c>
      <c r="L5" s="52">
        <f t="shared" ref="L5:M5" si="1">SUM(K5)+1.4</f>
        <v>27.4</v>
      </c>
      <c r="M5" s="64">
        <f t="shared" si="1"/>
        <v>28.799999999999997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</f>
        <v>27</v>
      </c>
      <c r="I7" s="52">
        <f>SUM(J7)-2</f>
        <v>29</v>
      </c>
      <c r="J7" s="54">
        <v>31</v>
      </c>
      <c r="K7" s="52">
        <f>SUM(J7)+1.8</f>
        <v>32.799999999999997</v>
      </c>
      <c r="L7" s="52">
        <f t="shared" ref="L7:M7" si="2">SUM(K7)+1.8</f>
        <v>34.599999999999994</v>
      </c>
      <c r="M7" s="64">
        <f t="shared" si="2"/>
        <v>36.399999999999991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</f>
        <v>27</v>
      </c>
      <c r="I9" s="52">
        <f>SUM(J9)-2</f>
        <v>29</v>
      </c>
      <c r="J9" s="54">
        <v>31</v>
      </c>
      <c r="K9" s="52">
        <f>SUM(J9)+1.8</f>
        <v>32.799999999999997</v>
      </c>
      <c r="L9" s="52">
        <f t="shared" ref="L9:M9" si="3">SUM(K9)+1.8</f>
        <v>34.599999999999994</v>
      </c>
      <c r="M9" s="64">
        <f t="shared" si="3"/>
        <v>36.399999999999991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12.999999999999998</v>
      </c>
      <c r="I11" s="52">
        <f>SUM(J11)-0.9</f>
        <v>13.799999999999999</v>
      </c>
      <c r="J11" s="37">
        <v>14.7</v>
      </c>
      <c r="K11" s="38">
        <f>SUM(J11)+0.8</f>
        <v>15.5</v>
      </c>
      <c r="L11" s="38">
        <f>SUM(K11)+0.9</f>
        <v>16.399999999999999</v>
      </c>
      <c r="M11" s="63">
        <f>SUM(L11)+0.9</f>
        <v>17.299999999999997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11.600000000000001</v>
      </c>
      <c r="I13" s="52">
        <f>SUM(J13)-0.6</f>
        <v>12.200000000000001</v>
      </c>
      <c r="J13" s="37">
        <v>12.8</v>
      </c>
      <c r="K13" s="38">
        <f>SUM(J13)+0.6</f>
        <v>13.4</v>
      </c>
      <c r="L13" s="38">
        <f>SUM(K13)+0.6</f>
        <v>14</v>
      </c>
      <c r="M13" s="63">
        <f>SUM(L13)+0.6</f>
        <v>14.6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5.2</v>
      </c>
      <c r="I15" s="52">
        <f>SUM(J15)-0.3</f>
        <v>5.5</v>
      </c>
      <c r="J15" s="37">
        <v>5.8</v>
      </c>
      <c r="K15" s="38">
        <f>SUM(J15)+0.3</f>
        <v>6.1</v>
      </c>
      <c r="L15" s="38">
        <f>SUM(K15)+0.3</f>
        <v>6.3999999999999995</v>
      </c>
      <c r="M15" s="63">
        <f>SUM(L15)+0.3</f>
        <v>6.6999999999999993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32.799999999999997</v>
      </c>
      <c r="I17" s="52">
        <f>SUM(J17)-1.6</f>
        <v>34.4</v>
      </c>
      <c r="J17" s="37">
        <v>36</v>
      </c>
      <c r="K17" s="38">
        <f>SUM(J17)+1.6</f>
        <v>37.6</v>
      </c>
      <c r="L17" s="38">
        <f>SUM(K17)+1.6</f>
        <v>39.200000000000003</v>
      </c>
      <c r="M17" s="63">
        <f>SUM(L17)+1.6</f>
        <v>40.800000000000004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SUM(I19)-3.7</f>
        <v>33.899999999999991</v>
      </c>
      <c r="I19" s="52">
        <f>SUM(J19)-3.7</f>
        <v>37.599999999999994</v>
      </c>
      <c r="J19" s="37">
        <v>41.3</v>
      </c>
      <c r="K19" s="38">
        <f>SUM(J19)+3.8</f>
        <v>45.099999999999994</v>
      </c>
      <c r="L19" s="38">
        <f t="shared" ref="L19:M19" si="4">SUM(K19)+3.8</f>
        <v>48.899999999999991</v>
      </c>
      <c r="M19" s="63">
        <f t="shared" si="4"/>
        <v>52.699999999999989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SUM(I21)-1.4</f>
        <v>21.400000000000002</v>
      </c>
      <c r="I21" s="52">
        <f>SUM(J21)-1.4</f>
        <v>22.8</v>
      </c>
      <c r="J21" s="37">
        <v>24.2</v>
      </c>
      <c r="K21" s="38">
        <f>SUM(J21)+1.4</f>
        <v>25.599999999999998</v>
      </c>
      <c r="L21" s="38">
        <f t="shared" ref="L21:M21" si="5">SUM(K21)+1.4</f>
        <v>26.999999999999996</v>
      </c>
      <c r="M21" s="63">
        <f t="shared" si="5"/>
        <v>28.399999999999995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13.600000000000001</v>
      </c>
      <c r="I23" s="52">
        <f>SUM(J23)-0.7</f>
        <v>14.3</v>
      </c>
      <c r="J23" s="37">
        <v>15</v>
      </c>
      <c r="K23" s="38">
        <f>SUM(J23)+0.7</f>
        <v>15.7</v>
      </c>
      <c r="L23" s="38">
        <f t="shared" ref="L23:M23" si="6">SUM(K23)+0.7</f>
        <v>16.399999999999999</v>
      </c>
      <c r="M23" s="63">
        <f t="shared" si="6"/>
        <v>17.099999999999998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/>
      <c r="C25" s="48"/>
      <c r="D25" s="49"/>
      <c r="E25" s="50"/>
      <c r="F25" s="50"/>
      <c r="G25" s="51"/>
      <c r="H25" s="52"/>
      <c r="I25" s="52"/>
      <c r="J25" s="37"/>
      <c r="K25" s="38"/>
      <c r="L25" s="38"/>
      <c r="M25" s="63"/>
    </row>
    <row r="26" spans="1:13" s="1" customFormat="1" ht="14.1" customHeight="1">
      <c r="A26" s="45"/>
      <c r="B26" s="40"/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1D83-DE4E-4027-B9FF-558B60B8969A}">
  <sheetPr>
    <tabColor theme="8"/>
    <pageSetUpPr fitToPage="1"/>
  </sheetPr>
  <dimension ref="A1:Q51"/>
  <sheetViews>
    <sheetView zoomScale="110" zoomScaleNormal="110" workbookViewId="0">
      <selection activeCell="Q18" sqref="Q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05" t="s">
        <v>444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22" t="s">
        <v>130</v>
      </c>
      <c r="N2" s="28" t="s">
        <v>145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37</v>
      </c>
      <c r="I3" s="52">
        <f>SUM(J3)-3.5</f>
        <v>40.5</v>
      </c>
      <c r="J3" s="193">
        <v>44</v>
      </c>
      <c r="K3" s="194">
        <f>SUM(J3)+3</f>
        <v>47</v>
      </c>
      <c r="L3" s="194">
        <f>SUM(K3)+3</f>
        <v>50</v>
      </c>
      <c r="M3" s="194">
        <f>SUM(L3)+3</f>
        <v>53</v>
      </c>
      <c r="N3" s="219">
        <f>SUM(M3)+3</f>
        <v>56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23.2</v>
      </c>
      <c r="I5" s="52">
        <f>SUM(J5)-1.8</f>
        <v>25</v>
      </c>
      <c r="J5" s="54">
        <v>26.8</v>
      </c>
      <c r="K5" s="52">
        <f>SUM(J5)+1.6</f>
        <v>28.400000000000002</v>
      </c>
      <c r="L5" s="52">
        <f t="shared" ref="L5:N5" si="0">SUM(K5)+1.6</f>
        <v>30.000000000000004</v>
      </c>
      <c r="M5" s="52">
        <f t="shared" si="0"/>
        <v>31.600000000000005</v>
      </c>
      <c r="N5" s="205">
        <f t="shared" si="0"/>
        <v>33.200000000000003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52">
        <f>SUM(L7)+2</f>
        <v>39</v>
      </c>
      <c r="N7" s="205">
        <f>SUM(M7)+2</f>
        <v>41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27.5</v>
      </c>
      <c r="I9" s="52">
        <f>SUM(J9)-2.25</f>
        <v>29.75</v>
      </c>
      <c r="J9" s="54">
        <v>32</v>
      </c>
      <c r="K9" s="52">
        <f>SUM(J9)+2</f>
        <v>34</v>
      </c>
      <c r="L9" s="52">
        <f>SUM(K9)+2</f>
        <v>36</v>
      </c>
      <c r="M9" s="52">
        <f>SUM(L9)+2</f>
        <v>38</v>
      </c>
      <c r="N9" s="205">
        <f>SUM(M9)+2</f>
        <v>40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13.499999999999998</v>
      </c>
      <c r="I11" s="52">
        <f>SUM(J11)-0.8</f>
        <v>14.299999999999999</v>
      </c>
      <c r="J11" s="37">
        <v>15.1</v>
      </c>
      <c r="K11" s="38">
        <f>SUM(J11)+0.8</f>
        <v>15.9</v>
      </c>
      <c r="L11" s="38">
        <f t="shared" ref="L11:N11" si="1">SUM(K11)+0.8</f>
        <v>16.7</v>
      </c>
      <c r="M11" s="38">
        <f t="shared" si="1"/>
        <v>17.5</v>
      </c>
      <c r="N11" s="208">
        <f t="shared" si="1"/>
        <v>18.3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13.8</v>
      </c>
      <c r="I13" s="52">
        <f>SUM(J13)-0.6</f>
        <v>14.4</v>
      </c>
      <c r="J13" s="37">
        <v>15</v>
      </c>
      <c r="K13" s="38">
        <f>SUM(J13)+0.6</f>
        <v>15.6</v>
      </c>
      <c r="L13" s="38">
        <f>SUM(K13)+0.6</f>
        <v>16.2</v>
      </c>
      <c r="M13" s="38">
        <f>SUM(L13)+0.6</f>
        <v>16.8</v>
      </c>
      <c r="N13" s="208">
        <f>SUM(M13)+0.6</f>
        <v>17.400000000000002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5.4</v>
      </c>
      <c r="I15" s="52">
        <f>SUM(J15)-0.3</f>
        <v>5.7</v>
      </c>
      <c r="J15" s="37">
        <v>6</v>
      </c>
      <c r="K15" s="38">
        <f>SUM(J15)+0.3</f>
        <v>6.3</v>
      </c>
      <c r="L15" s="38">
        <f>SUM(K15)+0.3</f>
        <v>6.6</v>
      </c>
      <c r="M15" s="38">
        <f>SUM(L15)+0.3</f>
        <v>6.8999999999999995</v>
      </c>
      <c r="N15" s="208">
        <f>SUM(M15)+0.3</f>
        <v>7.1999999999999993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7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34.799999999999997</v>
      </c>
      <c r="I17" s="52">
        <f>SUM(J17)-1.6</f>
        <v>36.4</v>
      </c>
      <c r="J17" s="37">
        <v>38</v>
      </c>
      <c r="K17" s="38">
        <f>SUM(J17)+1.6</f>
        <v>39.6</v>
      </c>
      <c r="L17" s="38">
        <f>SUM(K17)+1.6</f>
        <v>41.2</v>
      </c>
      <c r="M17" s="38">
        <f>SUM(L17)+1.6</f>
        <v>42.800000000000004</v>
      </c>
      <c r="N17" s="208">
        <f>SUM(M17)+1.6</f>
        <v>44.400000000000006</v>
      </c>
    </row>
    <row r="18" spans="1:17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7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32.4</v>
      </c>
      <c r="I19" s="52">
        <f>SUM(J19)-3.6</f>
        <v>36</v>
      </c>
      <c r="J19" s="37">
        <v>39.6</v>
      </c>
      <c r="K19" s="38">
        <f>SUM(J19)+3.7</f>
        <v>43.300000000000004</v>
      </c>
      <c r="L19" s="38">
        <f t="shared" ref="L19:N19" si="2">SUM(K19)+3.7</f>
        <v>47.000000000000007</v>
      </c>
      <c r="M19" s="38">
        <f t="shared" si="2"/>
        <v>50.70000000000001</v>
      </c>
      <c r="N19" s="208">
        <f t="shared" si="2"/>
        <v>54.400000000000013</v>
      </c>
    </row>
    <row r="20" spans="1:17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208"/>
    </row>
    <row r="21" spans="1:17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/>
      <c r="I21" s="52"/>
      <c r="J21" s="37"/>
      <c r="K21" s="38"/>
      <c r="L21" s="38"/>
      <c r="M21" s="38"/>
      <c r="N21" s="208"/>
    </row>
    <row r="22" spans="1:17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7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14.8</v>
      </c>
      <c r="I23" s="52">
        <f>SUM(J23)-0.6</f>
        <v>15.4</v>
      </c>
      <c r="J23" s="37">
        <v>16</v>
      </c>
      <c r="K23" s="38">
        <f>SUM(J23)+0.6</f>
        <v>16.600000000000001</v>
      </c>
      <c r="L23" s="38">
        <f>SUM(K23)+0.6</f>
        <v>17.200000000000003</v>
      </c>
      <c r="M23" s="38">
        <f>SUM(L23)+0.6</f>
        <v>17.800000000000004</v>
      </c>
      <c r="N23" s="208">
        <f>SUM(M23)+0.6</f>
        <v>18.400000000000006</v>
      </c>
    </row>
    <row r="24" spans="1:17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7" s="1" customFormat="1" ht="14.1" customHeight="1">
      <c r="A25" s="45">
        <v>12</v>
      </c>
      <c r="B25" s="47" t="s">
        <v>445</v>
      </c>
      <c r="C25" s="48"/>
      <c r="D25" s="49"/>
      <c r="E25" s="50"/>
      <c r="F25" s="50"/>
      <c r="G25" s="51"/>
      <c r="H25" s="52">
        <f>SUM(I25)-0.6</f>
        <v>6.8000000000000007</v>
      </c>
      <c r="I25" s="52">
        <f>SUM(J25)-0.6</f>
        <v>7.4</v>
      </c>
      <c r="J25" s="37">
        <v>8</v>
      </c>
      <c r="K25" s="38">
        <f>SUM(J25)+0.5</f>
        <v>8.5</v>
      </c>
      <c r="L25" s="38">
        <f>SUM(K25)+0.5</f>
        <v>9</v>
      </c>
      <c r="M25" s="38">
        <f>SUM(L25)+0.5</f>
        <v>9.5</v>
      </c>
      <c r="N25" s="208">
        <f>SUM(M25)+0.5</f>
        <v>10</v>
      </c>
    </row>
    <row r="26" spans="1:17" s="1" customFormat="1" ht="14.1" customHeight="1">
      <c r="A26" s="45"/>
      <c r="B26" s="121" t="s">
        <v>446</v>
      </c>
      <c r="C26" s="122"/>
      <c r="D26" s="58" t="s">
        <v>170</v>
      </c>
      <c r="E26" s="59"/>
      <c r="F26" s="59"/>
      <c r="G26" s="60"/>
      <c r="H26" s="79"/>
      <c r="I26" s="79"/>
      <c r="J26" s="37"/>
      <c r="K26" s="38"/>
      <c r="L26" s="38"/>
      <c r="M26" s="38"/>
      <c r="N26" s="208"/>
    </row>
    <row r="27" spans="1:17" s="1" customFormat="1" ht="14.1" customHeight="1">
      <c r="A27" s="45">
        <v>13</v>
      </c>
      <c r="B27" s="47" t="s">
        <v>447</v>
      </c>
      <c r="C27" s="48"/>
      <c r="D27" s="49"/>
      <c r="E27" s="50"/>
      <c r="F27" s="50"/>
      <c r="G27" s="51"/>
      <c r="H27" s="52">
        <f>SUM(I27)-1.5</f>
        <v>11.6</v>
      </c>
      <c r="I27" s="52">
        <f>SUM(J27)-1.5</f>
        <v>13.1</v>
      </c>
      <c r="J27" s="37">
        <v>14.6</v>
      </c>
      <c r="K27" s="38">
        <f>SUM(J27)+1.2</f>
        <v>15.799999999999999</v>
      </c>
      <c r="L27" s="38">
        <f>SUM(K27)+1.2</f>
        <v>17</v>
      </c>
      <c r="M27" s="38">
        <f>SUM(L27)+1.2</f>
        <v>18.2</v>
      </c>
      <c r="N27" s="208">
        <f>SUM(M27)+1.2</f>
        <v>19.399999999999999</v>
      </c>
    </row>
    <row r="28" spans="1:17" s="1" customFormat="1" ht="14.1" customHeight="1">
      <c r="A28" s="45"/>
      <c r="B28" s="121" t="s">
        <v>448</v>
      </c>
      <c r="C28" s="122"/>
      <c r="D28" s="58" t="s">
        <v>170</v>
      </c>
      <c r="E28" s="59"/>
      <c r="F28" s="59"/>
      <c r="G28" s="60"/>
      <c r="H28" s="79"/>
      <c r="I28" s="79"/>
      <c r="J28" s="37"/>
      <c r="K28" s="38"/>
      <c r="L28" s="38"/>
      <c r="M28" s="38"/>
      <c r="N28" s="208"/>
    </row>
    <row r="29" spans="1:17" s="1" customFormat="1" ht="14.1" customHeight="1">
      <c r="A29" s="45">
        <v>14</v>
      </c>
      <c r="B29" s="47" t="s">
        <v>639</v>
      </c>
      <c r="C29" s="48"/>
      <c r="D29" s="49"/>
      <c r="E29" s="50"/>
      <c r="F29" s="50"/>
      <c r="G29" s="51"/>
      <c r="H29" s="52">
        <f>SUM(I29)-1.2</f>
        <v>22.6</v>
      </c>
      <c r="I29" s="52">
        <f>SUM(J29)-1.2</f>
        <v>23.8</v>
      </c>
      <c r="J29" s="37">
        <v>25</v>
      </c>
      <c r="K29" s="38">
        <f>SUM(J29)+1.2</f>
        <v>26.2</v>
      </c>
      <c r="L29" s="38">
        <f t="shared" ref="L29:N29" si="3">SUM(K29)+1.2</f>
        <v>27.4</v>
      </c>
      <c r="M29" s="38">
        <f t="shared" si="3"/>
        <v>28.599999999999998</v>
      </c>
      <c r="N29" s="208">
        <f t="shared" si="3"/>
        <v>29.799999999999997</v>
      </c>
      <c r="Q29" s="1" t="s">
        <v>641</v>
      </c>
    </row>
    <row r="30" spans="1:17" s="1" customFormat="1" ht="14.1" customHeight="1">
      <c r="A30" s="45"/>
      <c r="B30" s="40" t="s">
        <v>640</v>
      </c>
      <c r="C30" s="41"/>
      <c r="D30" s="42" t="s">
        <v>219</v>
      </c>
      <c r="E30" s="43"/>
      <c r="F30" s="43"/>
      <c r="G30" s="44"/>
      <c r="H30" s="79"/>
      <c r="I30" s="79"/>
      <c r="J30" s="37"/>
      <c r="K30" s="38"/>
      <c r="L30" s="38"/>
      <c r="M30" s="38"/>
      <c r="N30" s="208"/>
      <c r="Q30" s="1">
        <f>SUM(H29+H29+I29+I29+J29+J29+K29+K29+L29+L29+M29+M29+N29+N29)</f>
        <v>366.80000000000007</v>
      </c>
    </row>
    <row r="31" spans="1:17" ht="14.1" customHeight="1">
      <c r="A31" s="45">
        <v>15</v>
      </c>
      <c r="B31" s="47" t="s">
        <v>227</v>
      </c>
      <c r="C31" s="48"/>
      <c r="D31" s="49"/>
      <c r="E31" s="50"/>
      <c r="F31" s="50"/>
      <c r="G31" s="51"/>
      <c r="H31" s="52">
        <f>SUM(I31)</f>
        <v>9</v>
      </c>
      <c r="I31" s="52">
        <f>SUM(J31)</f>
        <v>9</v>
      </c>
      <c r="J31" s="37">
        <v>9</v>
      </c>
      <c r="K31" s="38">
        <f>SUM(J31)+0.2</f>
        <v>9.1999999999999993</v>
      </c>
      <c r="L31" s="38">
        <f t="shared" ref="L31:N31" si="4">SUM(K31)+0.2</f>
        <v>9.3999999999999986</v>
      </c>
      <c r="M31" s="38">
        <f t="shared" si="4"/>
        <v>9.5999999999999979</v>
      </c>
      <c r="N31" s="208">
        <f t="shared" si="4"/>
        <v>9.7999999999999972</v>
      </c>
      <c r="Q31" s="1">
        <f>SUM(Q30/91.44/7*1.08)</f>
        <v>0.61889763779527585</v>
      </c>
    </row>
    <row r="32" spans="1:17" ht="14.1" customHeight="1">
      <c r="A32" s="45"/>
      <c r="B32" s="40" t="s">
        <v>228</v>
      </c>
      <c r="C32" s="41"/>
      <c r="D32" s="42"/>
      <c r="E32" s="43"/>
      <c r="F32" s="43"/>
      <c r="G32" s="44"/>
      <c r="H32" s="79"/>
      <c r="I32" s="79"/>
      <c r="J32" s="37"/>
      <c r="K32" s="38"/>
      <c r="L32" s="38"/>
      <c r="M32" s="38"/>
      <c r="N32" s="208"/>
    </row>
    <row r="33" spans="1:14" ht="14.1" customHeight="1">
      <c r="A33" s="45">
        <v>16</v>
      </c>
      <c r="B33" s="47"/>
      <c r="C33" s="48"/>
      <c r="D33" s="49"/>
      <c r="E33" s="50"/>
      <c r="F33" s="50"/>
      <c r="G33" s="51"/>
      <c r="H33" s="52"/>
      <c r="I33" s="52"/>
      <c r="J33" s="37"/>
      <c r="K33" s="38"/>
      <c r="L33" s="38"/>
      <c r="M33" s="38"/>
      <c r="N33" s="208"/>
    </row>
    <row r="34" spans="1:14" ht="14.1" customHeight="1">
      <c r="A34" s="45"/>
      <c r="B34" s="40"/>
      <c r="C34" s="41"/>
      <c r="D34" s="42"/>
      <c r="E34" s="43"/>
      <c r="F34" s="43"/>
      <c r="G34" s="44"/>
      <c r="H34" s="79"/>
      <c r="I34" s="79"/>
      <c r="J34" s="37"/>
      <c r="K34" s="38"/>
      <c r="L34" s="38"/>
      <c r="M34" s="38"/>
      <c r="N34" s="208"/>
    </row>
    <row r="35" spans="1:14" ht="14.1" customHeight="1">
      <c r="A35" s="45">
        <v>17</v>
      </c>
      <c r="B35" s="56"/>
      <c r="C35" s="57"/>
      <c r="D35" s="183"/>
      <c r="E35" s="184"/>
      <c r="F35" s="184"/>
      <c r="G35" s="185"/>
      <c r="H35" s="52"/>
      <c r="I35" s="52"/>
      <c r="J35" s="54"/>
      <c r="K35" s="52"/>
      <c r="L35" s="52"/>
      <c r="M35" s="52"/>
      <c r="N35" s="205"/>
    </row>
    <row r="36" spans="1:14" ht="14.1" customHeight="1" thickBot="1">
      <c r="A36" s="74"/>
      <c r="B36" s="178"/>
      <c r="C36" s="179"/>
      <c r="D36" s="180"/>
      <c r="E36" s="181"/>
      <c r="F36" s="181"/>
      <c r="G36" s="182"/>
      <c r="H36" s="77"/>
      <c r="I36" s="77"/>
      <c r="J36" s="144"/>
      <c r="K36" s="77"/>
      <c r="L36" s="77"/>
      <c r="M36" s="77"/>
      <c r="N36" s="206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N21:N22"/>
    <mergeCell ref="N23:N24"/>
    <mergeCell ref="N25:N26"/>
    <mergeCell ref="N27:N28"/>
    <mergeCell ref="N29:N30"/>
    <mergeCell ref="N31:N32"/>
    <mergeCell ref="N33:N34"/>
    <mergeCell ref="N35:N3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9F4A-85EF-43A3-9567-9FFEC6AD0F41}">
  <sheetPr>
    <tabColor theme="8"/>
    <pageSetUpPr fitToPage="1"/>
  </sheetPr>
  <dimension ref="A1:O51"/>
  <sheetViews>
    <sheetView zoomScale="110" zoomScaleNormal="110" workbookViewId="0">
      <selection activeCell="P16" sqref="P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05" t="s">
        <v>499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5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5" s="1" customFormat="1" ht="14.1" customHeight="1">
      <c r="A3" s="204">
        <v>1</v>
      </c>
      <c r="B3" s="110" t="s">
        <v>183</v>
      </c>
      <c r="C3" s="111"/>
      <c r="D3" s="112"/>
      <c r="E3" s="113"/>
      <c r="F3" s="113"/>
      <c r="G3" s="114"/>
      <c r="H3" s="115">
        <f>SUM(I3)-2.2</f>
        <v>21.6</v>
      </c>
      <c r="I3" s="115">
        <f>SUM(J3)-2.2</f>
        <v>23.8</v>
      </c>
      <c r="J3" s="116">
        <v>26</v>
      </c>
      <c r="K3" s="115">
        <f>SUM(J3)+1.7</f>
        <v>27.7</v>
      </c>
      <c r="L3" s="115">
        <f>SUM(K3)+1.7</f>
        <v>29.4</v>
      </c>
      <c r="M3" s="120">
        <f>SUM(L3)+1.7</f>
        <v>31.099999999999998</v>
      </c>
    </row>
    <row r="4" spans="1:15" s="1" customFormat="1" ht="14.1" customHeight="1">
      <c r="A4" s="45"/>
      <c r="B4" s="61" t="s">
        <v>500</v>
      </c>
      <c r="C4" s="61"/>
      <c r="D4" s="42" t="s">
        <v>501</v>
      </c>
      <c r="E4" s="43"/>
      <c r="F4" s="43"/>
      <c r="G4" s="43"/>
      <c r="H4" s="79"/>
      <c r="I4" s="79"/>
      <c r="J4" s="83"/>
      <c r="K4" s="79"/>
      <c r="L4" s="79"/>
      <c r="M4" s="80"/>
    </row>
    <row r="5" spans="1:15" s="1" customFormat="1" ht="14.1" customHeight="1">
      <c r="A5" s="109">
        <v>2</v>
      </c>
      <c r="B5" s="56" t="s">
        <v>184</v>
      </c>
      <c r="C5" s="57"/>
      <c r="D5" s="58"/>
      <c r="E5" s="59"/>
      <c r="F5" s="59"/>
      <c r="G5" s="60"/>
      <c r="H5" s="53">
        <f>SUM(I5)-2.2</f>
        <v>21.6</v>
      </c>
      <c r="I5" s="53">
        <f>SUM(J5)-2.2</f>
        <v>23.8</v>
      </c>
      <c r="J5" s="134">
        <v>26</v>
      </c>
      <c r="K5" s="53">
        <f>SUM(J5)+1.7</f>
        <v>27.7</v>
      </c>
      <c r="L5" s="53">
        <f>SUM(K5)+1.7</f>
        <v>29.4</v>
      </c>
      <c r="M5" s="135">
        <f>SUM(L5)+1.7</f>
        <v>31.099999999999998</v>
      </c>
    </row>
    <row r="6" spans="1:15" s="1" customFormat="1" ht="14.1" customHeight="1">
      <c r="A6" s="45"/>
      <c r="B6" s="61" t="s">
        <v>502</v>
      </c>
      <c r="C6" s="61"/>
      <c r="D6" s="42" t="s">
        <v>503</v>
      </c>
      <c r="E6" s="43"/>
      <c r="F6" s="43"/>
      <c r="G6" s="43"/>
      <c r="H6" s="79"/>
      <c r="I6" s="79"/>
      <c r="J6" s="83"/>
      <c r="K6" s="79"/>
      <c r="L6" s="79"/>
      <c r="M6" s="80"/>
    </row>
    <row r="7" spans="1:15" s="1" customFormat="1" ht="14.1" customHeight="1">
      <c r="A7" s="109">
        <v>3</v>
      </c>
      <c r="B7" s="81" t="s">
        <v>504</v>
      </c>
      <c r="C7" s="81"/>
      <c r="D7" s="78"/>
      <c r="E7" s="78"/>
      <c r="F7" s="78"/>
      <c r="G7" s="78"/>
      <c r="H7" s="52">
        <f>SUM(I7)-1.6</f>
        <v>14.799999999999999</v>
      </c>
      <c r="I7" s="52">
        <f>SUM(J7)-1.6</f>
        <v>16.399999999999999</v>
      </c>
      <c r="J7" s="54">
        <v>18</v>
      </c>
      <c r="K7" s="52">
        <f>SUM(J7)+1.6</f>
        <v>19.600000000000001</v>
      </c>
      <c r="L7" s="52">
        <f>SUM(K7)+1.6</f>
        <v>21.200000000000003</v>
      </c>
      <c r="M7" s="64">
        <f>SUM(L7)+1.6</f>
        <v>22.800000000000004</v>
      </c>
    </row>
    <row r="8" spans="1:15" s="1" customFormat="1" ht="14.1" customHeight="1">
      <c r="A8" s="45"/>
      <c r="B8" s="61" t="s">
        <v>505</v>
      </c>
      <c r="C8" s="61"/>
      <c r="D8" s="42" t="s">
        <v>506</v>
      </c>
      <c r="E8" s="43"/>
      <c r="F8" s="43"/>
      <c r="G8" s="44"/>
      <c r="H8" s="79"/>
      <c r="I8" s="79"/>
      <c r="J8" s="83"/>
      <c r="K8" s="79"/>
      <c r="L8" s="79"/>
      <c r="M8" s="80"/>
    </row>
    <row r="9" spans="1:15" s="1" customFormat="1" ht="14.1" customHeight="1">
      <c r="A9" s="109">
        <v>4</v>
      </c>
      <c r="B9" s="81" t="s">
        <v>507</v>
      </c>
      <c r="C9" s="81"/>
      <c r="D9" s="78"/>
      <c r="E9" s="78"/>
      <c r="F9" s="78"/>
      <c r="G9" s="78"/>
      <c r="H9" s="52">
        <f>SUM(I9)-1</f>
        <v>15</v>
      </c>
      <c r="I9" s="52">
        <f>SUM(J9)-1</f>
        <v>16</v>
      </c>
      <c r="J9" s="54">
        <v>17</v>
      </c>
      <c r="K9" s="52">
        <f>SUM(J9)+1</f>
        <v>18</v>
      </c>
      <c r="L9" s="52">
        <f>SUM(K9)+1</f>
        <v>19</v>
      </c>
      <c r="M9" s="64">
        <f>SUM(L9)+1</f>
        <v>20</v>
      </c>
      <c r="O9" s="1" t="s">
        <v>189</v>
      </c>
    </row>
    <row r="10" spans="1:15" s="1" customFormat="1" ht="14.1" customHeight="1">
      <c r="A10" s="45"/>
      <c r="B10" s="61" t="s">
        <v>508</v>
      </c>
      <c r="C10" s="61"/>
      <c r="D10" s="42" t="s">
        <v>509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5" s="1" customFormat="1" ht="14.1" customHeight="1">
      <c r="A11" s="109">
        <v>5</v>
      </c>
      <c r="B11" s="81" t="s">
        <v>510</v>
      </c>
      <c r="C11" s="81"/>
      <c r="D11" s="78"/>
      <c r="E11" s="78"/>
      <c r="F11" s="78"/>
      <c r="G11" s="78"/>
      <c r="H11" s="52">
        <f>SUM(I11)-0.8</f>
        <v>13.399999999999999</v>
      </c>
      <c r="I11" s="52">
        <f>SUM(J11)-0.8</f>
        <v>14.2</v>
      </c>
      <c r="J11" s="54">
        <v>15</v>
      </c>
      <c r="K11" s="52">
        <f>SUM(J11)+0.8</f>
        <v>15.8</v>
      </c>
      <c r="L11" s="52">
        <f>SUM(K11)+0.8</f>
        <v>16.600000000000001</v>
      </c>
      <c r="M11" s="64">
        <f>SUM(L11)+0.8</f>
        <v>17.400000000000002</v>
      </c>
    </row>
    <row r="12" spans="1:15" s="1" customFormat="1" ht="14.1" customHeight="1">
      <c r="A12" s="45"/>
      <c r="B12" s="61" t="s">
        <v>511</v>
      </c>
      <c r="C12" s="61"/>
      <c r="D12" s="42" t="s">
        <v>509</v>
      </c>
      <c r="E12" s="43"/>
      <c r="F12" s="43"/>
      <c r="G12" s="44"/>
      <c r="H12" s="79"/>
      <c r="I12" s="79"/>
      <c r="J12" s="83"/>
      <c r="K12" s="79"/>
      <c r="L12" s="79"/>
      <c r="M12" s="80"/>
    </row>
    <row r="13" spans="1:15" s="1" customFormat="1" ht="14.1" customHeight="1">
      <c r="A13" s="109">
        <v>6</v>
      </c>
      <c r="B13" s="81" t="s">
        <v>35</v>
      </c>
      <c r="C13" s="81"/>
      <c r="D13" s="78" t="s">
        <v>242</v>
      </c>
      <c r="E13" s="78"/>
      <c r="F13" s="78"/>
      <c r="G13" s="78"/>
      <c r="H13" s="52">
        <f>SUM(I13)-2</f>
        <v>28</v>
      </c>
      <c r="I13" s="52">
        <f>SUM(J13)-2</f>
        <v>30</v>
      </c>
      <c r="J13" s="54">
        <v>32</v>
      </c>
      <c r="K13" s="52">
        <f>SUM(J13)+2</f>
        <v>34</v>
      </c>
      <c r="L13" s="52">
        <f>SUM(K13)+2</f>
        <v>36</v>
      </c>
      <c r="M13" s="64">
        <f>SUM(L13)+2</f>
        <v>38</v>
      </c>
    </row>
    <row r="14" spans="1:15" s="1" customFormat="1" ht="14.1" customHeight="1">
      <c r="A14" s="45"/>
      <c r="B14" s="61" t="s">
        <v>40</v>
      </c>
      <c r="C14" s="61"/>
      <c r="D14" s="42" t="s">
        <v>43</v>
      </c>
      <c r="E14" s="43"/>
      <c r="F14" s="43"/>
      <c r="G14" s="44"/>
      <c r="H14" s="79"/>
      <c r="I14" s="79"/>
      <c r="J14" s="83"/>
      <c r="K14" s="79"/>
      <c r="L14" s="79"/>
      <c r="M14" s="80"/>
    </row>
    <row r="15" spans="1:15" s="1" customFormat="1" ht="14.1" customHeight="1">
      <c r="A15" s="109">
        <v>7</v>
      </c>
      <c r="B15" s="81" t="s">
        <v>41</v>
      </c>
      <c r="C15" s="81"/>
      <c r="D15" s="78" t="s">
        <v>8</v>
      </c>
      <c r="E15" s="78"/>
      <c r="F15" s="78"/>
      <c r="G15" s="78"/>
      <c r="H15" s="81">
        <f>SUM(I15)-2</f>
        <v>30</v>
      </c>
      <c r="I15" s="52">
        <f>SUM(J15)-2</f>
        <v>32</v>
      </c>
      <c r="J15" s="134">
        <v>34</v>
      </c>
      <c r="K15" s="53">
        <f>SUM(J15)+2</f>
        <v>36</v>
      </c>
      <c r="L15" s="53">
        <f>SUM(K15)+2</f>
        <v>38</v>
      </c>
      <c r="M15" s="135">
        <f>SUM(L15)+2</f>
        <v>40</v>
      </c>
    </row>
    <row r="16" spans="1:15" s="1" customFormat="1" ht="14.1" customHeight="1">
      <c r="A16" s="45"/>
      <c r="B16" s="61" t="s">
        <v>512</v>
      </c>
      <c r="C16" s="61"/>
      <c r="D16" s="42" t="s">
        <v>44</v>
      </c>
      <c r="E16" s="43"/>
      <c r="F16" s="43"/>
      <c r="G16" s="44"/>
      <c r="H16" s="61"/>
      <c r="I16" s="79"/>
      <c r="J16" s="83"/>
      <c r="K16" s="79"/>
      <c r="L16" s="79"/>
      <c r="M16" s="80"/>
    </row>
    <row r="17" spans="1:13" s="1" customFormat="1" ht="14.1" customHeight="1">
      <c r="A17" s="109">
        <v>8</v>
      </c>
      <c r="B17" s="81" t="s">
        <v>513</v>
      </c>
      <c r="C17" s="81"/>
      <c r="D17" s="78"/>
      <c r="E17" s="78"/>
      <c r="F17" s="78"/>
      <c r="G17" s="78"/>
      <c r="H17" s="81">
        <f>SUM(I17)</f>
        <v>5</v>
      </c>
      <c r="I17" s="52">
        <f>SUM(J17)</f>
        <v>5</v>
      </c>
      <c r="J17" s="134">
        <v>5</v>
      </c>
      <c r="K17" s="53">
        <f>SUM(J17)+0.5</f>
        <v>5.5</v>
      </c>
      <c r="L17" s="53">
        <f>SUM(K17)</f>
        <v>5.5</v>
      </c>
      <c r="M17" s="135">
        <f>SUM(L17)</f>
        <v>5.5</v>
      </c>
    </row>
    <row r="18" spans="1:13" s="1" customFormat="1" ht="14.1" customHeight="1">
      <c r="A18" s="45"/>
      <c r="B18" s="61" t="s">
        <v>514</v>
      </c>
      <c r="C18" s="61"/>
      <c r="D18" s="42"/>
      <c r="E18" s="43"/>
      <c r="F18" s="43"/>
      <c r="G18" s="44"/>
      <c r="H18" s="61"/>
      <c r="I18" s="79"/>
      <c r="J18" s="83"/>
      <c r="K18" s="79"/>
      <c r="L18" s="79"/>
      <c r="M18" s="80"/>
    </row>
    <row r="19" spans="1:13" s="1" customFormat="1" ht="14.1" customHeight="1">
      <c r="A19" s="109">
        <v>9</v>
      </c>
      <c r="B19" s="81" t="s">
        <v>516</v>
      </c>
      <c r="C19" s="81"/>
      <c r="D19" s="78"/>
      <c r="E19" s="78"/>
      <c r="F19" s="78"/>
      <c r="G19" s="78"/>
      <c r="H19" s="81">
        <f>SUM(I19)</f>
        <v>2.2999999999999998</v>
      </c>
      <c r="I19" s="52">
        <f>SUM(J19)</f>
        <v>2.2999999999999998</v>
      </c>
      <c r="J19" s="134">
        <v>2.2999999999999998</v>
      </c>
      <c r="K19" s="53">
        <f>SUM(J19)</f>
        <v>2.2999999999999998</v>
      </c>
      <c r="L19" s="53">
        <f>SUM(K19)</f>
        <v>2.2999999999999998</v>
      </c>
      <c r="M19" s="135">
        <f>SUM(L19)</f>
        <v>2.2999999999999998</v>
      </c>
    </row>
    <row r="20" spans="1:13" s="1" customFormat="1" ht="14.1" customHeight="1">
      <c r="A20" s="45"/>
      <c r="B20" s="61" t="s">
        <v>515</v>
      </c>
      <c r="C20" s="61"/>
      <c r="D20" s="42"/>
      <c r="E20" s="43"/>
      <c r="F20" s="43"/>
      <c r="G20" s="44"/>
      <c r="H20" s="61"/>
      <c r="I20" s="79"/>
      <c r="J20" s="83"/>
      <c r="K20" s="79"/>
      <c r="L20" s="79"/>
      <c r="M20" s="80"/>
    </row>
    <row r="21" spans="1:13" s="1" customFormat="1" ht="14.1" customHeight="1">
      <c r="A21" s="109">
        <v>10</v>
      </c>
      <c r="B21" s="81"/>
      <c r="C21" s="81"/>
      <c r="D21" s="78"/>
      <c r="E21" s="78"/>
      <c r="F21" s="78"/>
      <c r="G21" s="78"/>
      <c r="H21" s="52"/>
      <c r="I21" s="52"/>
      <c r="J21" s="54"/>
      <c r="K21" s="52"/>
      <c r="L21" s="52"/>
      <c r="M21" s="64"/>
    </row>
    <row r="22" spans="1:13" s="1" customFormat="1" ht="14.1" customHeight="1">
      <c r="A22" s="45"/>
      <c r="B22" s="61"/>
      <c r="C22" s="61"/>
      <c r="D22" s="42"/>
      <c r="E22" s="43"/>
      <c r="F22" s="43"/>
      <c r="G22" s="44"/>
      <c r="H22" s="79"/>
      <c r="I22" s="79"/>
      <c r="J22" s="83"/>
      <c r="K22" s="79"/>
      <c r="L22" s="79"/>
      <c r="M22" s="80"/>
    </row>
    <row r="23" spans="1:13" s="1" customFormat="1" ht="14.1" customHeight="1">
      <c r="A23" s="109">
        <v>11</v>
      </c>
      <c r="B23" s="47"/>
      <c r="C23" s="48"/>
      <c r="D23" s="75"/>
      <c r="E23" s="62"/>
      <c r="F23" s="62"/>
      <c r="G23" s="76"/>
      <c r="H23" s="52"/>
      <c r="I23" s="52"/>
      <c r="J23" s="54"/>
      <c r="K23" s="52"/>
      <c r="L23" s="52"/>
      <c r="M23" s="64"/>
    </row>
    <row r="24" spans="1:13" s="1" customFormat="1" ht="14.1" customHeight="1">
      <c r="A24" s="45"/>
      <c r="B24" s="61"/>
      <c r="C24" s="61"/>
      <c r="D24" s="42"/>
      <c r="E24" s="43"/>
      <c r="F24" s="43"/>
      <c r="G24" s="44"/>
      <c r="H24" s="79"/>
      <c r="I24" s="79"/>
      <c r="J24" s="83"/>
      <c r="K24" s="79"/>
      <c r="L24" s="79"/>
      <c r="M24" s="80"/>
    </row>
    <row r="25" spans="1:13" s="1" customFormat="1" ht="14.1" customHeight="1">
      <c r="A25" s="109">
        <v>12</v>
      </c>
      <c r="B25" s="47"/>
      <c r="C25" s="48"/>
      <c r="D25" s="150"/>
      <c r="E25" s="151"/>
      <c r="F25" s="151"/>
      <c r="G25" s="152"/>
      <c r="H25" s="52"/>
      <c r="I25" s="52"/>
      <c r="J25" s="54"/>
      <c r="K25" s="52"/>
      <c r="L25" s="52"/>
      <c r="M25" s="64"/>
    </row>
    <row r="26" spans="1:13" s="1" customFormat="1" ht="14.1" customHeight="1" thickBot="1">
      <c r="A26" s="74"/>
      <c r="B26" s="77"/>
      <c r="C26" s="77"/>
      <c r="D26" s="153"/>
      <c r="E26" s="154"/>
      <c r="F26" s="154"/>
      <c r="G26" s="155"/>
      <c r="H26" s="77"/>
      <c r="I26" s="77"/>
      <c r="J26" s="144"/>
      <c r="K26" s="77"/>
      <c r="L26" s="77"/>
      <c r="M26" s="141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35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A1:M1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I23:I24"/>
    <mergeCell ref="J23:J24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27B3-398D-49D5-A4C7-D82ABB65ED1A}">
  <sheetPr>
    <tabColor theme="8"/>
    <pageSetUpPr fitToPage="1"/>
  </sheetPr>
  <dimension ref="A1:Q74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528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145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38</v>
      </c>
      <c r="I3" s="52">
        <f>SUM(J3)-3.5</f>
        <v>41.5</v>
      </c>
      <c r="J3" s="193">
        <v>45</v>
      </c>
      <c r="K3" s="194">
        <f>SUM(J3)+3</f>
        <v>48</v>
      </c>
      <c r="L3" s="194">
        <f t="shared" ref="L3:N3" si="0">SUM(K3)+3</f>
        <v>51</v>
      </c>
      <c r="M3" s="194">
        <f t="shared" si="0"/>
        <v>54</v>
      </c>
      <c r="N3" s="195">
        <f t="shared" si="0"/>
        <v>57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64"/>
    </row>
    <row r="5" spans="1:14" s="1" customFormat="1" ht="14.1" customHeight="1">
      <c r="A5" s="109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45.1</v>
      </c>
      <c r="I5" s="52">
        <f>SUM(J5)-4.5</f>
        <v>49.6</v>
      </c>
      <c r="J5" s="37">
        <v>54.1</v>
      </c>
      <c r="K5" s="38">
        <f>SUM(J5)+4.5</f>
        <v>58.6</v>
      </c>
      <c r="L5" s="38">
        <f t="shared" ref="L5:N5" si="1">SUM(K5)+4.5</f>
        <v>63.1</v>
      </c>
      <c r="M5" s="38">
        <f t="shared" si="1"/>
        <v>67.599999999999994</v>
      </c>
      <c r="N5" s="63">
        <f t="shared" si="1"/>
        <v>72.099999999999994</v>
      </c>
    </row>
    <row r="6" spans="1:14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38"/>
      <c r="N6" s="63"/>
    </row>
    <row r="7" spans="1:14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40.4</v>
      </c>
      <c r="I7" s="52">
        <f>SUM(J7)-2.25</f>
        <v>42.65</v>
      </c>
      <c r="J7" s="54">
        <v>44.9</v>
      </c>
      <c r="K7" s="52">
        <f>SUM(J7)+2</f>
        <v>46.9</v>
      </c>
      <c r="L7" s="52">
        <f>SUM(K7)+2</f>
        <v>48.9</v>
      </c>
      <c r="M7" s="52">
        <f>SUM(L7)+2</f>
        <v>50.9</v>
      </c>
      <c r="N7" s="64">
        <f>SUM(M7)+2</f>
        <v>52.9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SUM(I9)-1.6</f>
        <v>27.799999999999997</v>
      </c>
      <c r="I9" s="52">
        <f>SUM(J9)-1.6</f>
        <v>29.4</v>
      </c>
      <c r="J9" s="54">
        <v>31</v>
      </c>
      <c r="K9" s="52">
        <f>SUM(J9)+1.4</f>
        <v>32.4</v>
      </c>
      <c r="L9" s="52">
        <f t="shared" ref="L9:N9" si="2">SUM(K9)+1.4</f>
        <v>33.799999999999997</v>
      </c>
      <c r="M9" s="52">
        <f t="shared" si="2"/>
        <v>35.199999999999996</v>
      </c>
      <c r="N9" s="64">
        <f t="shared" si="2"/>
        <v>36.599999999999994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52"/>
      <c r="L11" s="52"/>
      <c r="M11" s="52"/>
      <c r="N11" s="64"/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79"/>
      <c r="N12" s="80"/>
    </row>
    <row r="13" spans="1:14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15.6</v>
      </c>
      <c r="I13" s="52">
        <f>SUM(J13)-0.6</f>
        <v>16.2</v>
      </c>
      <c r="J13" s="37">
        <v>16.8</v>
      </c>
      <c r="K13" s="38">
        <f>SUM(J13)+0.6</f>
        <v>17.400000000000002</v>
      </c>
      <c r="L13" s="38">
        <f>SUM(K13)+0.6</f>
        <v>18.000000000000004</v>
      </c>
      <c r="M13" s="38">
        <f>SUM(L13)+0.6</f>
        <v>18.600000000000005</v>
      </c>
      <c r="N13" s="63">
        <f>SUM(M13)+0.6</f>
        <v>19.200000000000006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63"/>
    </row>
    <row r="15" spans="1:14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5.5</v>
      </c>
      <c r="I15" s="52">
        <f>SUM(J15)-0.3</f>
        <v>5.8</v>
      </c>
      <c r="J15" s="37">
        <v>6.1</v>
      </c>
      <c r="K15" s="38">
        <f>SUM(J15)+0.3</f>
        <v>6.3999999999999995</v>
      </c>
      <c r="L15" s="38">
        <f>SUM(K15)+0.3</f>
        <v>6.6999999999999993</v>
      </c>
      <c r="M15" s="38">
        <f>SUM(L15)+0.3</f>
        <v>6.9999999999999991</v>
      </c>
      <c r="N15" s="63">
        <f>SUM(M15)+0.3</f>
        <v>7.2999999999999989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63"/>
    </row>
    <row r="17" spans="1:14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38.799999999999997</v>
      </c>
      <c r="I17" s="52">
        <f>SUM(J17)-1.6</f>
        <v>40.4</v>
      </c>
      <c r="J17" s="37">
        <v>42</v>
      </c>
      <c r="K17" s="38">
        <f>SUM(J17)+1.6</f>
        <v>43.6</v>
      </c>
      <c r="L17" s="38">
        <f>SUM(K17)+1.6</f>
        <v>45.2</v>
      </c>
      <c r="M17" s="38">
        <f>SUM(L17)+1.6</f>
        <v>46.800000000000004</v>
      </c>
      <c r="N17" s="63">
        <f>SUM(M17)+1.6</f>
        <v>48.400000000000006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63"/>
    </row>
    <row r="19" spans="1:14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38"/>
      <c r="N19" s="63"/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63"/>
    </row>
    <row r="21" spans="1:14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33.700000000000003</v>
      </c>
      <c r="I21" s="52">
        <f>SUM(J21)-1.5</f>
        <v>35.200000000000003</v>
      </c>
      <c r="J21" s="37">
        <v>36.700000000000003</v>
      </c>
      <c r="K21" s="38">
        <f>SUM(J21)+1.6</f>
        <v>38.300000000000004</v>
      </c>
      <c r="L21" s="38">
        <f t="shared" ref="L21:N21" si="3">SUM(K21)+1.6</f>
        <v>39.900000000000006</v>
      </c>
      <c r="M21" s="38">
        <f t="shared" si="3"/>
        <v>41.500000000000007</v>
      </c>
      <c r="N21" s="63">
        <f t="shared" si="3"/>
        <v>43.100000000000009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63"/>
    </row>
    <row r="23" spans="1:14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38">
        <f>SUM(L23)+0.6</f>
        <v>17</v>
      </c>
      <c r="N23" s="63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63"/>
    </row>
    <row r="25" spans="1:14" s="1" customFormat="1" ht="14.1" customHeight="1">
      <c r="A25" s="109">
        <v>12</v>
      </c>
      <c r="B25" s="47" t="s">
        <v>120</v>
      </c>
      <c r="C25" s="48"/>
      <c r="D25" s="49" t="s">
        <v>272</v>
      </c>
      <c r="E25" s="50"/>
      <c r="F25" s="50"/>
      <c r="G25" s="51"/>
      <c r="H25" s="52">
        <f>SUM(I25)-0.2</f>
        <v>3.5999999999999996</v>
      </c>
      <c r="I25" s="52">
        <f>SUM(J25)-0.2</f>
        <v>3.8</v>
      </c>
      <c r="J25" s="37">
        <v>4</v>
      </c>
      <c r="K25" s="38">
        <f>SUM(J25)+0.2</f>
        <v>4.2</v>
      </c>
      <c r="L25" s="38">
        <f t="shared" ref="L25:N25" si="4">SUM(K25)+0.2</f>
        <v>4.4000000000000004</v>
      </c>
      <c r="M25" s="38">
        <f t="shared" si="4"/>
        <v>4.6000000000000005</v>
      </c>
      <c r="N25" s="63">
        <f t="shared" si="4"/>
        <v>4.8000000000000007</v>
      </c>
    </row>
    <row r="26" spans="1:14" s="1" customFormat="1" ht="14.1" customHeight="1">
      <c r="A26" s="45"/>
      <c r="B26" s="56" t="s">
        <v>128</v>
      </c>
      <c r="C26" s="57"/>
      <c r="D26" s="58" t="s">
        <v>435</v>
      </c>
      <c r="E26" s="59"/>
      <c r="F26" s="59"/>
      <c r="G26" s="60"/>
      <c r="H26" s="53"/>
      <c r="I26" s="53"/>
      <c r="J26" s="54"/>
      <c r="K26" s="52"/>
      <c r="L26" s="52"/>
      <c r="M26" s="52"/>
      <c r="N26" s="64"/>
    </row>
    <row r="27" spans="1:14" s="1" customFormat="1" ht="14.1" customHeight="1">
      <c r="A27" s="109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38"/>
      <c r="N27" s="63"/>
    </row>
    <row r="28" spans="1:14" s="1" customFormat="1" ht="14.1" customHeight="1" thickBot="1">
      <c r="A28" s="74"/>
      <c r="B28" s="178"/>
      <c r="C28" s="179"/>
      <c r="D28" s="180"/>
      <c r="E28" s="181"/>
      <c r="F28" s="181"/>
      <c r="G28" s="182"/>
      <c r="H28" s="77"/>
      <c r="I28" s="77"/>
      <c r="J28" s="66"/>
      <c r="K28" s="67"/>
      <c r="L28" s="67"/>
      <c r="M28" s="67"/>
      <c r="N28" s="68"/>
    </row>
    <row r="29" spans="1:14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4.1" customHeight="1"/>
    <row r="32" spans="1:14" ht="14.1" customHeight="1"/>
    <row r="33" spans="14:14" ht="14.1" customHeight="1"/>
    <row r="34" spans="14:14" ht="14.1" customHeight="1"/>
    <row r="35" spans="14:14" ht="14.1" customHeight="1">
      <c r="N35" s="1"/>
    </row>
    <row r="36" spans="14:14" ht="14.1" customHeight="1">
      <c r="N36" s="1"/>
    </row>
    <row r="37" spans="14:14" ht="14.1" customHeight="1"/>
    <row r="38" spans="14:14" ht="14.1" customHeight="1"/>
    <row r="39" spans="14:14" ht="14.1" customHeight="1"/>
    <row r="40" spans="14:14" ht="14.1" customHeight="1"/>
    <row r="41" spans="14:14" ht="14.1" customHeight="1"/>
    <row r="42" spans="14:14" ht="14.1" customHeight="1"/>
    <row r="43" spans="14:14" ht="14.1" customHeight="1"/>
    <row r="44" spans="14:14" ht="14.1" customHeight="1"/>
    <row r="45" spans="14:14" ht="14.1" customHeight="1"/>
    <row r="46" spans="14:14" ht="14.1" customHeight="1"/>
    <row r="47" spans="14:14" ht="14.1" customHeight="1"/>
    <row r="48" spans="14:14" ht="14.1" customHeight="1"/>
    <row r="49" spans="17:17" ht="14.1" customHeight="1"/>
    <row r="50" spans="17:17" ht="14.1" customHeight="1"/>
    <row r="51" spans="17:17" ht="14.1" customHeight="1"/>
    <row r="52" spans="17:17" ht="13.5" customHeight="1"/>
    <row r="53" spans="17:17" ht="14.1" customHeight="1">
      <c r="Q53" t="e">
        <f>SUM(#REF!+#REF!+#REF!+#REF!+#REF!+#REF!+#REF!)*2</f>
        <v>#REF!</v>
      </c>
    </row>
    <row r="54" spans="17:17" ht="14.1" customHeight="1">
      <c r="Q54" t="e">
        <f>SUM(Q53/91.44/7*1.08)</f>
        <v>#REF!</v>
      </c>
    </row>
    <row r="55" spans="17:17" ht="14.1" customHeight="1"/>
    <row r="56" spans="17:17" ht="14.1" customHeight="1"/>
    <row r="57" spans="17:17" ht="14.1" customHeight="1"/>
    <row r="58" spans="17:17" ht="14.1" customHeight="1"/>
    <row r="59" spans="17:17" ht="14.1" customHeight="1"/>
    <row r="60" spans="17:17" ht="14.1" customHeight="1"/>
    <row r="61" spans="17:17" ht="14.1" customHeight="1"/>
    <row r="62" spans="17:17" ht="14.1" customHeight="1"/>
    <row r="63" spans="17:17" ht="14.1" customHeight="1"/>
    <row r="64" spans="17:17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/>
    <row r="72" spans="1:14" ht="14.1" customHeight="1"/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159"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A9D2-FA51-4905-9CF9-F37DD506A8AE}">
  <sheetPr>
    <tabColor theme="8"/>
    <pageSetUpPr fitToPage="1"/>
  </sheetPr>
  <dimension ref="A1:N79"/>
  <sheetViews>
    <sheetView zoomScale="110" zoomScaleNormal="110" workbookViewId="0">
      <selection sqref="A1:N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211" t="s">
        <v>550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4" ht="16.5" customHeight="1" thickBot="1">
      <c r="A2" s="2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22" t="s">
        <v>130</v>
      </c>
      <c r="N2" s="8" t="s">
        <v>145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</f>
        <v>30.5</v>
      </c>
      <c r="I3" s="52">
        <f>SUM(J3)-3</f>
        <v>33.5</v>
      </c>
      <c r="J3" s="193">
        <v>36.5</v>
      </c>
      <c r="K3" s="194">
        <f>SUM(J3)+2.5</f>
        <v>39</v>
      </c>
      <c r="L3" s="194">
        <f>SUM(K3)+2.5</f>
        <v>41.5</v>
      </c>
      <c r="M3" s="194">
        <f>SUM(L3)+2.5</f>
        <v>44</v>
      </c>
      <c r="N3" s="195">
        <f>SUM(M3)+2.5</f>
        <v>46.5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64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23</v>
      </c>
      <c r="I5" s="52">
        <f>SUM(J5)-1.8</f>
        <v>24.8</v>
      </c>
      <c r="J5" s="37">
        <v>26.6</v>
      </c>
      <c r="K5" s="38">
        <f>SUM(J5)+1.6</f>
        <v>28.200000000000003</v>
      </c>
      <c r="L5" s="38">
        <f>SUM(K5)+1.6</f>
        <v>29.800000000000004</v>
      </c>
      <c r="M5" s="38">
        <f>SUM(L5)+1.6</f>
        <v>31.400000000000006</v>
      </c>
      <c r="N5" s="63">
        <f>SUM(M5)+1.6</f>
        <v>33.000000000000007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37"/>
      <c r="K6" s="38"/>
      <c r="L6" s="38"/>
      <c r="M6" s="38"/>
      <c r="N6" s="63"/>
    </row>
    <row r="7" spans="1:14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30</v>
      </c>
      <c r="I7" s="52">
        <f>SUM(J7)-2.25</f>
        <v>32.25</v>
      </c>
      <c r="J7" s="54">
        <v>34.5</v>
      </c>
      <c r="K7" s="52">
        <f>SUM(J7)+2</f>
        <v>36.5</v>
      </c>
      <c r="L7" s="52">
        <f>SUM(K7)+2</f>
        <v>38.5</v>
      </c>
      <c r="M7" s="52">
        <f>SUM(L7)+2</f>
        <v>40.5</v>
      </c>
      <c r="N7" s="64">
        <f>SUM(M7)+2</f>
        <v>42.5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30</v>
      </c>
      <c r="I9" s="52">
        <f>SUM(J9)-2.25</f>
        <v>32.25</v>
      </c>
      <c r="J9" s="54">
        <v>34.5</v>
      </c>
      <c r="K9" s="52">
        <f>SUM(J9)+2</f>
        <v>36.5</v>
      </c>
      <c r="L9" s="52">
        <f>SUM(K9)+2</f>
        <v>38.5</v>
      </c>
      <c r="M9" s="52">
        <f>SUM(L9)+2</f>
        <v>40.5</v>
      </c>
      <c r="N9" s="64">
        <f>SUM(M9)+2</f>
        <v>42.5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45">
        <v>5</v>
      </c>
      <c r="B11" s="81" t="s">
        <v>10</v>
      </c>
      <c r="C11" s="81"/>
      <c r="D11" s="78" t="s">
        <v>517</v>
      </c>
      <c r="E11" s="78"/>
      <c r="F11" s="78"/>
      <c r="G11" s="78"/>
      <c r="H11" s="52">
        <f>SUM(I11)-0.8</f>
        <v>13.899999999999999</v>
      </c>
      <c r="I11" s="52">
        <f>SUM(J11)-0.8</f>
        <v>14.7</v>
      </c>
      <c r="J11" s="37">
        <v>15.5</v>
      </c>
      <c r="K11" s="52">
        <f>SUM(J11)+0.8</f>
        <v>16.3</v>
      </c>
      <c r="L11" s="52">
        <f t="shared" ref="L11" si="0">SUM(K11)+0.8</f>
        <v>17.100000000000001</v>
      </c>
      <c r="M11" s="52">
        <f>SUM(L11)+0.9</f>
        <v>18</v>
      </c>
      <c r="N11" s="64">
        <f>SUM(M11)+0.8</f>
        <v>18.8</v>
      </c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79"/>
      <c r="L12" s="79"/>
      <c r="M12" s="79"/>
      <c r="N12" s="80"/>
    </row>
    <row r="13" spans="1:14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52">
        <f>SUM(I13)-0.6</f>
        <v>16.299999999999997</v>
      </c>
      <c r="I13" s="52">
        <f>SUM(J13)-0.6</f>
        <v>16.899999999999999</v>
      </c>
      <c r="J13" s="37">
        <v>17.5</v>
      </c>
      <c r="K13" s="38">
        <f>SUM(J13)+0.6</f>
        <v>18.100000000000001</v>
      </c>
      <c r="L13" s="38">
        <f>SUM(K13)+0.6</f>
        <v>18.700000000000003</v>
      </c>
      <c r="M13" s="38">
        <f>SUM(L13)+0.6</f>
        <v>19.300000000000004</v>
      </c>
      <c r="N13" s="63">
        <f>SUM(M13)+0.6</f>
        <v>19.900000000000006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63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5.9</v>
      </c>
      <c r="I15" s="52">
        <f>SUM(J15)-0.3</f>
        <v>6.2</v>
      </c>
      <c r="J15" s="37">
        <v>6.5</v>
      </c>
      <c r="K15" s="38">
        <f>SUM(J15)+0.3</f>
        <v>6.8</v>
      </c>
      <c r="L15" s="38">
        <f>SUM(K15)+0.3</f>
        <v>7.1</v>
      </c>
      <c r="M15" s="38">
        <f>SUM(L15)+0.3</f>
        <v>7.3999999999999995</v>
      </c>
      <c r="N15" s="63">
        <f>SUM(M15)+0.3</f>
        <v>7.6999999999999993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63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38.799999999999997</v>
      </c>
      <c r="I17" s="52">
        <f>SUM(J17)-1.6</f>
        <v>40.4</v>
      </c>
      <c r="J17" s="37">
        <v>42</v>
      </c>
      <c r="K17" s="38">
        <f>SUM(J17)+1.6</f>
        <v>43.6</v>
      </c>
      <c r="L17" s="38">
        <f>SUM(K17)+1.6</f>
        <v>45.2</v>
      </c>
      <c r="M17" s="38">
        <f>SUM(L17)+1.6</f>
        <v>46.800000000000004</v>
      </c>
      <c r="N17" s="63">
        <f>SUM(M17)+1.6</f>
        <v>48.400000000000006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63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32.5</v>
      </c>
      <c r="I19" s="52">
        <f>SUM(J19)-3.6</f>
        <v>36.1</v>
      </c>
      <c r="J19" s="37">
        <v>39.700000000000003</v>
      </c>
      <c r="K19" s="38">
        <f>SUM(J19)+3.7</f>
        <v>43.400000000000006</v>
      </c>
      <c r="L19" s="38">
        <f>SUM(K19)+3.7</f>
        <v>47.100000000000009</v>
      </c>
      <c r="M19" s="38">
        <f>SUM(L19)+3.7</f>
        <v>50.800000000000011</v>
      </c>
      <c r="N19" s="63">
        <f>SUM(M19)+3.7</f>
        <v>54.500000000000014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21.799999999999997</v>
      </c>
      <c r="I21" s="52">
        <f>SUM(J21)-1.3</f>
        <v>23.099999999999998</v>
      </c>
      <c r="J21" s="37">
        <v>24.4</v>
      </c>
      <c r="K21" s="38">
        <f>SUM(J21)+1.3</f>
        <v>25.7</v>
      </c>
      <c r="L21" s="38">
        <f>SUM(K21)+1.3</f>
        <v>27</v>
      </c>
      <c r="M21" s="38">
        <f>SUM(L21)+1.3</f>
        <v>28.3</v>
      </c>
      <c r="N21" s="63">
        <f>SUM(M21)+1.3</f>
        <v>29.6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63"/>
    </row>
    <row r="23" spans="1:14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>
        <f>SUM(I23)-0.7</f>
        <v>15.600000000000001</v>
      </c>
      <c r="I23" s="52">
        <f>SUM(J23)-0.7</f>
        <v>16.3</v>
      </c>
      <c r="J23" s="37">
        <v>17</v>
      </c>
      <c r="K23" s="38">
        <f>SUM(J23)+0.7</f>
        <v>17.7</v>
      </c>
      <c r="L23" s="38">
        <f>SUM(K23)+0.7</f>
        <v>18.399999999999999</v>
      </c>
      <c r="M23" s="38">
        <f>SUM(L23)+0.7</f>
        <v>19.099999999999998</v>
      </c>
      <c r="N23" s="63">
        <f>SUM(M23)+0.7</f>
        <v>19.799999999999997</v>
      </c>
    </row>
    <row r="24" spans="1:14" s="1" customFormat="1" ht="14.1" customHeight="1" thickBot="1">
      <c r="A24" s="46"/>
      <c r="B24" s="65" t="s">
        <v>31</v>
      </c>
      <c r="C24" s="65"/>
      <c r="D24" s="58" t="s">
        <v>67</v>
      </c>
      <c r="E24" s="59"/>
      <c r="F24" s="59"/>
      <c r="G24" s="60"/>
      <c r="H24" s="53"/>
      <c r="I24" s="53"/>
      <c r="J24" s="54"/>
      <c r="K24" s="52"/>
      <c r="L24" s="52"/>
      <c r="M24" s="52"/>
      <c r="N24" s="64"/>
    </row>
    <row r="25" spans="1:14" s="1" customFormat="1" ht="14.1" customHeight="1" thickTop="1">
      <c r="A25" s="86">
        <v>12</v>
      </c>
      <c r="B25" s="99" t="s">
        <v>522</v>
      </c>
      <c r="C25" s="100"/>
      <c r="D25" s="88"/>
      <c r="E25" s="88"/>
      <c r="F25" s="88"/>
      <c r="G25" s="89"/>
      <c r="H25" s="90">
        <f>SUM(I25)-2.4</f>
        <v>17.200000000000003</v>
      </c>
      <c r="I25" s="90">
        <f>SUM(J25)-2.4</f>
        <v>19.600000000000001</v>
      </c>
      <c r="J25" s="82">
        <v>22</v>
      </c>
      <c r="K25" s="84">
        <f>SUM(J25)+1.9</f>
        <v>23.9</v>
      </c>
      <c r="L25" s="84">
        <f t="shared" ref="L25:N25" si="1">SUM(K25)+1.9</f>
        <v>25.799999999999997</v>
      </c>
      <c r="M25" s="84">
        <f t="shared" si="1"/>
        <v>27.699999999999996</v>
      </c>
      <c r="N25" s="85">
        <f t="shared" si="1"/>
        <v>29.599999999999994</v>
      </c>
    </row>
    <row r="26" spans="1:14" s="1" customFormat="1" ht="14.1" customHeight="1">
      <c r="A26" s="45"/>
      <c r="B26" s="40" t="s">
        <v>523</v>
      </c>
      <c r="C26" s="41"/>
      <c r="D26" s="42" t="s">
        <v>638</v>
      </c>
      <c r="E26" s="43"/>
      <c r="F26" s="43"/>
      <c r="G26" s="43"/>
      <c r="H26" s="79"/>
      <c r="I26" s="79"/>
      <c r="J26" s="37"/>
      <c r="K26" s="38"/>
      <c r="L26" s="38"/>
      <c r="M26" s="38"/>
      <c r="N26" s="63"/>
    </row>
    <row r="27" spans="1:14" s="1" customFormat="1" ht="14.1" customHeight="1">
      <c r="A27" s="45">
        <v>13</v>
      </c>
      <c r="B27" s="81" t="s">
        <v>151</v>
      </c>
      <c r="C27" s="81"/>
      <c r="D27" s="78"/>
      <c r="E27" s="78"/>
      <c r="F27" s="78"/>
      <c r="G27" s="78"/>
      <c r="H27" s="52">
        <f>SUM(I27)-0.6</f>
        <v>12.8</v>
      </c>
      <c r="I27" s="52">
        <f>SUM(J27)-0.6</f>
        <v>13.4</v>
      </c>
      <c r="J27" s="54">
        <v>14</v>
      </c>
      <c r="K27" s="52">
        <f>SUM(J27)+0.6</f>
        <v>14.6</v>
      </c>
      <c r="L27" s="52">
        <f t="shared" ref="L27:N27" si="2">SUM(K27)+0.6</f>
        <v>15.2</v>
      </c>
      <c r="M27" s="52">
        <f t="shared" si="2"/>
        <v>15.799999999999999</v>
      </c>
      <c r="N27" s="64">
        <f t="shared" si="2"/>
        <v>16.399999999999999</v>
      </c>
    </row>
    <row r="28" spans="1:14" s="1" customFormat="1" ht="14.1" customHeight="1">
      <c r="A28" s="45"/>
      <c r="B28" s="61" t="s">
        <v>146</v>
      </c>
      <c r="C28" s="61"/>
      <c r="D28" s="42"/>
      <c r="E28" s="43"/>
      <c r="F28" s="43"/>
      <c r="G28" s="44"/>
      <c r="H28" s="79"/>
      <c r="I28" s="79"/>
      <c r="J28" s="83"/>
      <c r="K28" s="79"/>
      <c r="L28" s="79"/>
      <c r="M28" s="79"/>
      <c r="N28" s="80"/>
    </row>
    <row r="29" spans="1:14" s="1" customFormat="1" ht="14.1" customHeight="1">
      <c r="A29" s="45">
        <v>14</v>
      </c>
      <c r="B29" s="47" t="s">
        <v>152</v>
      </c>
      <c r="C29" s="48"/>
      <c r="D29" s="75"/>
      <c r="E29" s="62"/>
      <c r="F29" s="62"/>
      <c r="G29" s="76"/>
      <c r="H29" s="52">
        <f>SUM(I29)-1</f>
        <v>14.600000000000001</v>
      </c>
      <c r="I29" s="52">
        <f>SUM(J29)-1</f>
        <v>15.600000000000001</v>
      </c>
      <c r="J29" s="54">
        <v>16.600000000000001</v>
      </c>
      <c r="K29" s="52">
        <f>SUM(J29)+1</f>
        <v>17.600000000000001</v>
      </c>
      <c r="L29" s="52">
        <f t="shared" ref="L29:N29" si="3">SUM(K29)+1</f>
        <v>18.600000000000001</v>
      </c>
      <c r="M29" s="52">
        <f t="shared" si="3"/>
        <v>19.600000000000001</v>
      </c>
      <c r="N29" s="64">
        <f t="shared" si="3"/>
        <v>20.6</v>
      </c>
    </row>
    <row r="30" spans="1:14" s="1" customFormat="1" ht="14.1" customHeight="1">
      <c r="A30" s="45"/>
      <c r="B30" s="61" t="s">
        <v>153</v>
      </c>
      <c r="C30" s="61"/>
      <c r="D30" s="42" t="s">
        <v>154</v>
      </c>
      <c r="E30" s="43"/>
      <c r="F30" s="43"/>
      <c r="G30" s="44"/>
      <c r="H30" s="79"/>
      <c r="I30" s="79"/>
      <c r="J30" s="83"/>
      <c r="K30" s="79"/>
      <c r="L30" s="79"/>
      <c r="M30" s="79"/>
      <c r="N30" s="80"/>
    </row>
    <row r="31" spans="1:14" s="1" customFormat="1" ht="14.1" customHeight="1">
      <c r="A31" s="45">
        <v>15</v>
      </c>
      <c r="B31" s="47" t="s">
        <v>120</v>
      </c>
      <c r="C31" s="48"/>
      <c r="D31" s="49"/>
      <c r="E31" s="50"/>
      <c r="F31" s="50"/>
      <c r="G31" s="51"/>
      <c r="H31" s="52">
        <f>SUM(I31)-0.2</f>
        <v>3.0999999999999996</v>
      </c>
      <c r="I31" s="52">
        <f>SUM(J31)-0.2</f>
        <v>3.3</v>
      </c>
      <c r="J31" s="54">
        <v>3.5</v>
      </c>
      <c r="K31" s="52">
        <f>SUM(J31)+0.2</f>
        <v>3.7</v>
      </c>
      <c r="L31" s="52">
        <f t="shared" ref="L31:N31" si="4">SUM(K31)+0.2</f>
        <v>3.9000000000000004</v>
      </c>
      <c r="M31" s="52">
        <f t="shared" si="4"/>
        <v>4.1000000000000005</v>
      </c>
      <c r="N31" s="64">
        <f t="shared" si="4"/>
        <v>4.3000000000000007</v>
      </c>
    </row>
    <row r="32" spans="1:14" s="1" customFormat="1" ht="14.1" customHeight="1">
      <c r="A32" s="45"/>
      <c r="B32" s="40" t="s">
        <v>128</v>
      </c>
      <c r="C32" s="41"/>
      <c r="D32" s="42" t="s">
        <v>359</v>
      </c>
      <c r="E32" s="43"/>
      <c r="F32" s="43"/>
      <c r="G32" s="44"/>
      <c r="H32" s="79"/>
      <c r="I32" s="79"/>
      <c r="J32" s="83"/>
      <c r="K32" s="79"/>
      <c r="L32" s="79"/>
      <c r="M32" s="79"/>
      <c r="N32" s="80"/>
    </row>
    <row r="33" spans="1:14" s="1" customFormat="1" ht="14.1" customHeight="1">
      <c r="A33" s="45">
        <v>16</v>
      </c>
      <c r="B33" s="56"/>
      <c r="C33" s="57"/>
      <c r="D33" s="49"/>
      <c r="E33" s="50"/>
      <c r="F33" s="50"/>
      <c r="G33" s="51"/>
      <c r="H33" s="52"/>
      <c r="I33" s="52"/>
      <c r="J33" s="37"/>
      <c r="K33" s="38"/>
      <c r="L33" s="38"/>
      <c r="M33" s="38"/>
      <c r="N33" s="63"/>
    </row>
    <row r="34" spans="1:14" s="1" customFormat="1" ht="14.1" customHeight="1" thickBot="1">
      <c r="A34" s="74"/>
      <c r="B34" s="178"/>
      <c r="C34" s="179"/>
      <c r="D34" s="180"/>
      <c r="E34" s="181"/>
      <c r="F34" s="181"/>
      <c r="G34" s="182"/>
      <c r="H34" s="77"/>
      <c r="I34" s="77"/>
      <c r="J34" s="66"/>
      <c r="K34" s="67"/>
      <c r="L34" s="67"/>
      <c r="M34" s="67"/>
      <c r="N34" s="68"/>
    </row>
    <row r="35" spans="1:14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ht="14.1" customHeight="1"/>
    <row r="40" spans="1:14" ht="14.1" customHeight="1"/>
    <row r="41" spans="1:14" ht="14.1" customHeight="1"/>
    <row r="42" spans="1:14" ht="14.1" customHeight="1"/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95">
    <mergeCell ref="N23:N24"/>
    <mergeCell ref="N25:N26"/>
    <mergeCell ref="N27:N28"/>
    <mergeCell ref="N29:N30"/>
    <mergeCell ref="N31:N32"/>
    <mergeCell ref="N33:N3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1:N1"/>
    <mergeCell ref="N3:N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7" right="0.7" top="0.75" bottom="0.75" header="0.3" footer="0.3"/>
  <pageSetup paperSize="9" scale="87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3E7-9D99-4AD1-BCAB-1DD08E630388}">
  <sheetPr>
    <tabColor theme="8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564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4" s="1" customFormat="1" ht="14.1" customHeight="1">
      <c r="A3" s="173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SUM(I3)-3.5</f>
        <v>36.5</v>
      </c>
      <c r="I3" s="52">
        <f>SUM(J3)-3.5</f>
        <v>40</v>
      </c>
      <c r="J3" s="54">
        <v>43.5</v>
      </c>
      <c r="K3" s="52">
        <f>SUM(J3)+3</f>
        <v>46.5</v>
      </c>
      <c r="L3" s="52">
        <f>SUM(K3)+3</f>
        <v>49.5</v>
      </c>
      <c r="M3" s="115">
        <f>SUM(L3)+3</f>
        <v>52.5</v>
      </c>
      <c r="N3" s="210">
        <f>SUM(M3)+3</f>
        <v>55.5</v>
      </c>
    </row>
    <row r="4" spans="1:14" s="1" customFormat="1" ht="14.1" customHeight="1">
      <c r="A4" s="109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83"/>
      <c r="K4" s="79"/>
      <c r="L4" s="79"/>
      <c r="M4" s="79"/>
      <c r="N4" s="207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30</v>
      </c>
      <c r="I5" s="52">
        <f>SUM(J5)-2</f>
        <v>32</v>
      </c>
      <c r="J5" s="54">
        <v>34</v>
      </c>
      <c r="K5" s="52">
        <f>SUM(J5)+1.8</f>
        <v>35.799999999999997</v>
      </c>
      <c r="L5" s="52">
        <f>SUM(K5)+1.8</f>
        <v>37.599999999999994</v>
      </c>
      <c r="M5" s="52">
        <f>SUM(L5)+1.8</f>
        <v>39.399999999999991</v>
      </c>
      <c r="N5" s="205">
        <f>SUM(M5)+1.8</f>
        <v>41.199999999999989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4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32.5</v>
      </c>
      <c r="I7" s="52">
        <f>SUM(J7)-2.25</f>
        <v>34.75</v>
      </c>
      <c r="J7" s="54">
        <v>37</v>
      </c>
      <c r="K7" s="52">
        <f>SUM(J7)+2</f>
        <v>39</v>
      </c>
      <c r="L7" s="52">
        <f>SUM(K7)+2</f>
        <v>41</v>
      </c>
      <c r="M7" s="52">
        <f>SUM(L7)+2</f>
        <v>43</v>
      </c>
      <c r="N7" s="205">
        <f>SUM(M7)+2</f>
        <v>45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32.5</v>
      </c>
      <c r="I9" s="52">
        <f>SUM(J9)-2.25</f>
        <v>34.75</v>
      </c>
      <c r="J9" s="54">
        <v>37</v>
      </c>
      <c r="K9" s="52">
        <f>SUM(J9)+2</f>
        <v>39</v>
      </c>
      <c r="L9" s="52">
        <f>SUM(K9)+2</f>
        <v>41</v>
      </c>
      <c r="M9" s="52">
        <f>SUM(L9)+2</f>
        <v>43</v>
      </c>
      <c r="N9" s="205">
        <f>SUM(M9)+2</f>
        <v>45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13.299999999999999</v>
      </c>
      <c r="I11" s="52">
        <f>SUM(J11)-0.8</f>
        <v>14.1</v>
      </c>
      <c r="J11" s="37">
        <v>14.9</v>
      </c>
      <c r="K11" s="38">
        <f>SUM(J11)+0.8</f>
        <v>15.700000000000001</v>
      </c>
      <c r="L11" s="38">
        <f>SUM(K11)+0.8</f>
        <v>16.5</v>
      </c>
      <c r="M11" s="38">
        <f>SUM(L11)+0.8</f>
        <v>17.3</v>
      </c>
      <c r="N11" s="208">
        <f>SUM(M11)+0.8</f>
        <v>18.100000000000001</v>
      </c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4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52">
        <f>SUM(I13)-0.6</f>
        <v>15.2</v>
      </c>
      <c r="I13" s="52">
        <f>SUM(J13)-0.6</f>
        <v>15.799999999999999</v>
      </c>
      <c r="J13" s="37">
        <v>16.399999999999999</v>
      </c>
      <c r="K13" s="38">
        <f>SUM(J13)+0.6</f>
        <v>17</v>
      </c>
      <c r="L13" s="38">
        <f>SUM(K13)+0.6</f>
        <v>17.600000000000001</v>
      </c>
      <c r="M13" s="38">
        <f>SUM(L13)+0.6</f>
        <v>18.200000000000003</v>
      </c>
      <c r="N13" s="208">
        <f>SUM(M13)+0.6</f>
        <v>18.800000000000004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5.6000000000000005</v>
      </c>
      <c r="I15" s="52">
        <f>SUM(J15)-0.3</f>
        <v>5.9</v>
      </c>
      <c r="J15" s="37">
        <v>6.2</v>
      </c>
      <c r="K15" s="38">
        <f>SUM(J15)+0.3</f>
        <v>6.5</v>
      </c>
      <c r="L15" s="38">
        <f>SUM(K15)+0.3</f>
        <v>6.8</v>
      </c>
      <c r="M15" s="38">
        <f>SUM(L15)+0.3</f>
        <v>7.1</v>
      </c>
      <c r="N15" s="208">
        <f>SUM(M15)+0.3</f>
        <v>7.3999999999999995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38.799999999999997</v>
      </c>
      <c r="I17" s="52">
        <f>SUM(J17)-1.6</f>
        <v>40.4</v>
      </c>
      <c r="J17" s="37">
        <v>42</v>
      </c>
      <c r="K17" s="38">
        <f>SUM(J17)+1.6</f>
        <v>43.6</v>
      </c>
      <c r="L17" s="38">
        <f>SUM(K17)+1.6</f>
        <v>45.2</v>
      </c>
      <c r="M17" s="38">
        <f>SUM(L17)+1.6</f>
        <v>46.800000000000004</v>
      </c>
      <c r="N17" s="208">
        <f>SUM(M17)+1.6</f>
        <v>48.400000000000006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SUM(I19)-3.5</f>
        <v>29</v>
      </c>
      <c r="I19" s="52">
        <f>SUM(J19)-3.5</f>
        <v>32.5</v>
      </c>
      <c r="J19" s="54">
        <v>36</v>
      </c>
      <c r="K19" s="52">
        <f>SUM(J19)+3.6</f>
        <v>39.6</v>
      </c>
      <c r="L19" s="52">
        <f>SUM(K19)+3.6</f>
        <v>43.2</v>
      </c>
      <c r="M19" s="52">
        <f>SUM(L19)+3.6</f>
        <v>46.800000000000004</v>
      </c>
      <c r="N19" s="205">
        <f>SUM(M19)+3.6</f>
        <v>50.400000000000006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83"/>
      <c r="K20" s="79"/>
      <c r="L20" s="79"/>
      <c r="M20" s="79"/>
      <c r="N20" s="207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25.2</v>
      </c>
      <c r="I21" s="52">
        <f>SUM(J21)-1.5</f>
        <v>26.7</v>
      </c>
      <c r="J21" s="37">
        <v>28.2</v>
      </c>
      <c r="K21" s="38">
        <f>SUM(J21)+1.5</f>
        <v>29.7</v>
      </c>
      <c r="L21" s="38">
        <f>SUM(K21)+1.5</f>
        <v>31.2</v>
      </c>
      <c r="M21" s="38">
        <f>SUM(L21)+1.5</f>
        <v>32.700000000000003</v>
      </c>
      <c r="N21" s="208">
        <f>SUM(M21)+1.5</f>
        <v>34.200000000000003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>
        <f>SUM(I23)-0.7</f>
        <v>16.600000000000001</v>
      </c>
      <c r="I23" s="52">
        <f>SUM(J23)-0.7</f>
        <v>17.3</v>
      </c>
      <c r="J23" s="37">
        <v>18</v>
      </c>
      <c r="K23" s="38">
        <f>SUM(J23)+0.7</f>
        <v>18.7</v>
      </c>
      <c r="L23" s="38">
        <f>SUM(K23)+0.7</f>
        <v>19.399999999999999</v>
      </c>
      <c r="M23" s="38">
        <f>SUM(L23)+0.7</f>
        <v>20.099999999999998</v>
      </c>
      <c r="N23" s="208">
        <f>SUM(M23)+0.7</f>
        <v>20.799999999999997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47" t="s">
        <v>556</v>
      </c>
      <c r="C25" s="48"/>
      <c r="D25" s="49" t="s">
        <v>272</v>
      </c>
      <c r="E25" s="50"/>
      <c r="F25" s="50"/>
      <c r="G25" s="51"/>
      <c r="H25" s="52">
        <f>SUM(I25)-0.3</f>
        <v>3.4000000000000004</v>
      </c>
      <c r="I25" s="52">
        <f>SUM(J25)-0.3</f>
        <v>3.7</v>
      </c>
      <c r="J25" s="37">
        <v>4</v>
      </c>
      <c r="K25" s="38">
        <f>SUM(J25)+0.3</f>
        <v>4.3</v>
      </c>
      <c r="L25" s="38">
        <f>SUM(K25)+0.3</f>
        <v>4.5999999999999996</v>
      </c>
      <c r="M25" s="38">
        <f>SUM(L25)+0.3</f>
        <v>4.8999999999999995</v>
      </c>
      <c r="N25" s="208">
        <f>SUM(M25)+0.3</f>
        <v>5.1999999999999993</v>
      </c>
    </row>
    <row r="26" spans="1:14" s="1" customFormat="1" ht="14.1" customHeight="1">
      <c r="A26" s="46"/>
      <c r="B26" s="56" t="s">
        <v>557</v>
      </c>
      <c r="C26" s="57"/>
      <c r="D26" s="58" t="s">
        <v>273</v>
      </c>
      <c r="E26" s="59"/>
      <c r="F26" s="59"/>
      <c r="G26" s="60"/>
      <c r="H26" s="53"/>
      <c r="I26" s="53"/>
      <c r="J26" s="54"/>
      <c r="K26" s="52"/>
      <c r="L26" s="52"/>
      <c r="M26" s="52"/>
      <c r="N26" s="205"/>
    </row>
    <row r="27" spans="1:14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38"/>
      <c r="N27" s="208"/>
    </row>
    <row r="28" spans="1:14" ht="14.1" customHeight="1" thickBot="1">
      <c r="A28" s="74"/>
      <c r="B28" s="178"/>
      <c r="C28" s="179"/>
      <c r="D28" s="180"/>
      <c r="E28" s="181"/>
      <c r="F28" s="181"/>
      <c r="G28" s="182"/>
      <c r="H28" s="77"/>
      <c r="I28" s="77"/>
      <c r="J28" s="66"/>
      <c r="K28" s="67"/>
      <c r="L28" s="67"/>
      <c r="M28" s="67"/>
      <c r="N28" s="256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5177-6A0A-40EC-AF1E-EE6571A2C94F}">
  <sheetPr>
    <tabColor theme="8"/>
    <pageSetUpPr fitToPage="1"/>
  </sheetPr>
  <dimension ref="A1:M51"/>
  <sheetViews>
    <sheetView zoomScale="110" zoomScaleNormal="110" workbookViewId="0">
      <selection activeCell="H13" sqref="H13:M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555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35</v>
      </c>
      <c r="I3" s="52">
        <f>SUM(J3)-3.5</f>
        <v>38.5</v>
      </c>
      <c r="J3" s="193">
        <v>42</v>
      </c>
      <c r="K3" s="194">
        <f>SUM(J3)+3</f>
        <v>45</v>
      </c>
      <c r="L3" s="194">
        <f t="shared" ref="L3:M3" si="0">SUM(K3)+3</f>
        <v>48</v>
      </c>
      <c r="M3" s="195">
        <f t="shared" si="0"/>
        <v>51</v>
      </c>
    </row>
    <row r="4" spans="1:13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22.4</v>
      </c>
      <c r="I5" s="52">
        <f>SUM(J5)-1.8</f>
        <v>24.2</v>
      </c>
      <c r="J5" s="54">
        <v>26</v>
      </c>
      <c r="K5" s="52">
        <f>SUM(J5)+1.6</f>
        <v>27.6</v>
      </c>
      <c r="L5" s="52">
        <f t="shared" ref="L5:M5" si="1">SUM(K5)+1.6</f>
        <v>29.200000000000003</v>
      </c>
      <c r="M5" s="64">
        <f t="shared" si="1"/>
        <v>30.800000000000004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28.5</v>
      </c>
      <c r="I7" s="52">
        <f>SUM(J7)-2.25</f>
        <v>30.75</v>
      </c>
      <c r="J7" s="54">
        <v>33</v>
      </c>
      <c r="K7" s="52">
        <f>SUM(J7)+2</f>
        <v>35</v>
      </c>
      <c r="L7" s="52">
        <f>SUM(K7)+2</f>
        <v>37</v>
      </c>
      <c r="M7" s="64">
        <f>SUM(L7)+2</f>
        <v>39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28.5</v>
      </c>
      <c r="I9" s="52">
        <f>SUM(J9)-2.25</f>
        <v>30.75</v>
      </c>
      <c r="J9" s="54">
        <v>33</v>
      </c>
      <c r="K9" s="52">
        <f>SUM(J9)+2</f>
        <v>35</v>
      </c>
      <c r="L9" s="52">
        <f t="shared" ref="L9:M9" si="2">SUM(K9)+2</f>
        <v>37</v>
      </c>
      <c r="M9" s="64">
        <f t="shared" si="2"/>
        <v>39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SUM(I11)-0.9</f>
        <v>12.5</v>
      </c>
      <c r="I11" s="52">
        <f>SUM(J11)-0.9</f>
        <v>13.4</v>
      </c>
      <c r="J11" s="37">
        <v>14.3</v>
      </c>
      <c r="K11" s="38">
        <f>SUM(J11)+0.9</f>
        <v>15.200000000000001</v>
      </c>
      <c r="L11" s="38">
        <f t="shared" ref="L11:M11" si="3">SUM(K11)+0.9</f>
        <v>16.100000000000001</v>
      </c>
      <c r="M11" s="63">
        <f t="shared" si="3"/>
        <v>17</v>
      </c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3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10.3</v>
      </c>
      <c r="I13" s="52">
        <f>SUM(J13)-0.6</f>
        <v>10.9</v>
      </c>
      <c r="J13" s="37">
        <v>11.5</v>
      </c>
      <c r="K13" s="38">
        <f>SUM(J13)+0.6</f>
        <v>12.1</v>
      </c>
      <c r="L13" s="38">
        <f t="shared" ref="L13:M13" si="4">SUM(K13)+0.6</f>
        <v>12.7</v>
      </c>
      <c r="M13" s="63">
        <f t="shared" si="4"/>
        <v>13.299999999999999</v>
      </c>
    </row>
    <row r="14" spans="1:13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5.4</v>
      </c>
      <c r="I15" s="52">
        <f>SUM(J15)-0.3</f>
        <v>5.7</v>
      </c>
      <c r="J15" s="37">
        <v>6</v>
      </c>
      <c r="K15" s="38">
        <f>SUM(J15)+0.3</f>
        <v>6.3</v>
      </c>
      <c r="L15" s="38">
        <f>SUM(K15)+0.3</f>
        <v>6.6</v>
      </c>
      <c r="M15" s="63">
        <f>SUM(L15)+0.3</f>
        <v>6.8999999999999995</v>
      </c>
    </row>
    <row r="16" spans="1:13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32.799999999999997</v>
      </c>
      <c r="I17" s="52">
        <f>SUM(J17)-1.6</f>
        <v>34.4</v>
      </c>
      <c r="J17" s="37">
        <v>36</v>
      </c>
      <c r="K17" s="38">
        <f>SUM(J17)+1.6</f>
        <v>37.6</v>
      </c>
      <c r="L17" s="38">
        <f>SUM(K17)+1.6</f>
        <v>39.200000000000003</v>
      </c>
      <c r="M17" s="63">
        <f>SUM(L17)+1.6</f>
        <v>40.800000000000004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32.799999999999997</v>
      </c>
      <c r="I19" s="52">
        <f>SUM(J19)-3.6</f>
        <v>36.4</v>
      </c>
      <c r="J19" s="37">
        <v>40</v>
      </c>
      <c r="K19" s="38">
        <f>SUM(J19)+3.7</f>
        <v>43.7</v>
      </c>
      <c r="L19" s="38">
        <f t="shared" ref="L19:M19" si="5">SUM(K19)+3.7</f>
        <v>47.400000000000006</v>
      </c>
      <c r="M19" s="63">
        <f t="shared" si="5"/>
        <v>51.100000000000009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21</v>
      </c>
      <c r="I21" s="52">
        <f>SUM(J21)-1.5</f>
        <v>22.5</v>
      </c>
      <c r="J21" s="37">
        <v>24</v>
      </c>
      <c r="K21" s="38">
        <f>SUM(J21)+1.5</f>
        <v>25.5</v>
      </c>
      <c r="L21" s="38">
        <f t="shared" ref="L21:M21" si="6">SUM(K21)+1.5</f>
        <v>27</v>
      </c>
      <c r="M21" s="63">
        <f t="shared" si="6"/>
        <v>28.5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14.600000000000001</v>
      </c>
      <c r="I23" s="52">
        <f>SUM(J23)-0.7</f>
        <v>15.3</v>
      </c>
      <c r="J23" s="37">
        <v>16</v>
      </c>
      <c r="K23" s="38">
        <f>SUM(J23)+0.7</f>
        <v>16.7</v>
      </c>
      <c r="L23" s="38">
        <f t="shared" ref="L23:M23" si="7">SUM(K23)+0.7</f>
        <v>17.399999999999999</v>
      </c>
      <c r="M23" s="63">
        <f t="shared" si="7"/>
        <v>18.099999999999998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SUM(I25)-0.1</f>
        <v>2.0999999999999996</v>
      </c>
      <c r="I25" s="52">
        <f>SUM(J25)-0.1</f>
        <v>2.1999999999999997</v>
      </c>
      <c r="J25" s="37">
        <v>2.2999999999999998</v>
      </c>
      <c r="K25" s="38">
        <f>SUM(J25)+0.1</f>
        <v>2.4</v>
      </c>
      <c r="L25" s="38">
        <f>SUM(K25)+0.1</f>
        <v>2.5</v>
      </c>
      <c r="M25" s="63">
        <f>SUM(L25)+0.1</f>
        <v>2.6</v>
      </c>
    </row>
    <row r="26" spans="1:13" s="1" customFormat="1" ht="14.1" customHeight="1">
      <c r="A26" s="45"/>
      <c r="B26" s="40" t="s">
        <v>128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45">
        <v>13</v>
      </c>
      <c r="B27" s="56"/>
      <c r="C27" s="57"/>
      <c r="D27" s="183"/>
      <c r="E27" s="184"/>
      <c r="F27" s="184"/>
      <c r="G27" s="185"/>
      <c r="H27" s="53"/>
      <c r="I27" s="53"/>
      <c r="J27" s="83"/>
      <c r="K27" s="79"/>
      <c r="L27" s="79"/>
      <c r="M27" s="80"/>
    </row>
    <row r="28" spans="1:13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63"/>
    </row>
    <row r="29" spans="1:13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64"/>
    </row>
    <row r="30" spans="1:13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141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2654-CDA5-45F9-86FF-C07BA7FB3BF0}">
  <sheetPr>
    <tabColor theme="8"/>
    <pageSetUpPr fitToPage="1"/>
  </sheetPr>
  <dimension ref="A1:M51"/>
  <sheetViews>
    <sheetView zoomScale="110" zoomScaleNormal="110" workbookViewId="0">
      <selection sqref="A1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05" t="s">
        <v>558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73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SUM(I3)-3.5</f>
        <v>35.200000000000003</v>
      </c>
      <c r="I3" s="52">
        <f>SUM(J3)-3.5</f>
        <v>38.700000000000003</v>
      </c>
      <c r="J3" s="54">
        <v>42.2</v>
      </c>
      <c r="K3" s="52">
        <f>SUM(J3)+3</f>
        <v>45.2</v>
      </c>
      <c r="L3" s="52">
        <f>SUM(K3)+3</f>
        <v>48.2</v>
      </c>
      <c r="M3" s="120">
        <f>SUM(L3)+3</f>
        <v>51.2</v>
      </c>
    </row>
    <row r="4" spans="1:13" s="1" customFormat="1" ht="14.1" customHeight="1">
      <c r="A4" s="109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83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21.2</v>
      </c>
      <c r="I5" s="52">
        <f>SUM(J5)-1.8</f>
        <v>23</v>
      </c>
      <c r="J5" s="54">
        <v>24.8</v>
      </c>
      <c r="K5" s="52">
        <f>SUM(J5)+1.6</f>
        <v>26.400000000000002</v>
      </c>
      <c r="L5" s="52">
        <f t="shared" ref="L5:M5" si="0">SUM(K5)+1.6</f>
        <v>28.000000000000004</v>
      </c>
      <c r="M5" s="64">
        <f t="shared" si="0"/>
        <v>29.600000000000005</v>
      </c>
    </row>
    <row r="6" spans="1:13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</f>
        <v>25</v>
      </c>
      <c r="I7" s="52">
        <f>SUM(J7)-2</f>
        <v>27</v>
      </c>
      <c r="J7" s="54">
        <v>29</v>
      </c>
      <c r="K7" s="52">
        <f>SUM(J7)+1.8</f>
        <v>30.8</v>
      </c>
      <c r="L7" s="52">
        <f>SUM(K7)+1.8</f>
        <v>32.6</v>
      </c>
      <c r="M7" s="64">
        <f>SUM(L7)+1.8</f>
        <v>34.4</v>
      </c>
    </row>
    <row r="8" spans="1:13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</f>
        <v>25</v>
      </c>
      <c r="I9" s="52">
        <f>SUM(J9)-2</f>
        <v>27</v>
      </c>
      <c r="J9" s="54">
        <v>29</v>
      </c>
      <c r="K9" s="52">
        <f>SUM(J9)+1.8</f>
        <v>30.8</v>
      </c>
      <c r="L9" s="52">
        <f>SUM(K9)+1.8</f>
        <v>32.6</v>
      </c>
      <c r="M9" s="64">
        <f>SUM(L9)+1.8</f>
        <v>34.4</v>
      </c>
    </row>
    <row r="10" spans="1:13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11.899999999999999</v>
      </c>
      <c r="I11" s="52">
        <f>SUM(J11)-0.8</f>
        <v>12.7</v>
      </c>
      <c r="J11" s="37">
        <v>13.5</v>
      </c>
      <c r="K11" s="38">
        <f>SUM(J11)+0.8</f>
        <v>14.3</v>
      </c>
      <c r="L11" s="38">
        <f t="shared" ref="L11:M11" si="1">SUM(K11)+0.8</f>
        <v>15.100000000000001</v>
      </c>
      <c r="M11" s="63">
        <f t="shared" si="1"/>
        <v>15.900000000000002</v>
      </c>
    </row>
    <row r="12" spans="1:13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3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52">
        <f>SUM(I13)-0.6</f>
        <v>8.8000000000000007</v>
      </c>
      <c r="I13" s="52">
        <f>SUM(J13)-0.6</f>
        <v>9.4</v>
      </c>
      <c r="J13" s="37">
        <v>10</v>
      </c>
      <c r="K13" s="38">
        <f>SUM(J13)+0.6</f>
        <v>10.6</v>
      </c>
      <c r="L13" s="38">
        <f t="shared" ref="L13:M13" si="2">SUM(K13)+0.6</f>
        <v>11.2</v>
      </c>
      <c r="M13" s="63">
        <f t="shared" si="2"/>
        <v>11.799999999999999</v>
      </c>
    </row>
    <row r="14" spans="1:13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3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4.6000000000000005</v>
      </c>
      <c r="I15" s="52">
        <f>SUM(J15)-0.3</f>
        <v>4.9000000000000004</v>
      </c>
      <c r="J15" s="37">
        <v>5.2</v>
      </c>
      <c r="K15" s="38">
        <f>SUM(J15)+0.3</f>
        <v>5.5</v>
      </c>
      <c r="L15" s="38">
        <f>SUM(K15)+0.3</f>
        <v>5.8</v>
      </c>
      <c r="M15" s="63">
        <f>SUM(L15)+0.3</f>
        <v>6.1</v>
      </c>
    </row>
    <row r="16" spans="1:13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11.700000000000001</v>
      </c>
      <c r="I17" s="52">
        <f>SUM(J17)-1.6</f>
        <v>13.3</v>
      </c>
      <c r="J17" s="37">
        <v>14.9</v>
      </c>
      <c r="K17" s="38">
        <f>SUM(J17)+1.6</f>
        <v>16.5</v>
      </c>
      <c r="L17" s="38">
        <f>SUM(K17)+1.6</f>
        <v>18.100000000000001</v>
      </c>
      <c r="M17" s="63">
        <f>SUM(L17)+1.6</f>
        <v>19.700000000000003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33.299999999999997</v>
      </c>
      <c r="I19" s="52">
        <f>SUM(J19)-3.6</f>
        <v>36.9</v>
      </c>
      <c r="J19" s="54">
        <v>40.5</v>
      </c>
      <c r="K19" s="52">
        <f>SUM(J19)+3.7</f>
        <v>44.2</v>
      </c>
      <c r="L19" s="52">
        <f t="shared" ref="L19:M19" si="3">SUM(K19)+3.7</f>
        <v>47.900000000000006</v>
      </c>
      <c r="M19" s="64">
        <f t="shared" si="3"/>
        <v>51.600000000000009</v>
      </c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83"/>
      <c r="K20" s="79"/>
      <c r="L20" s="79"/>
      <c r="M20" s="80"/>
    </row>
    <row r="21" spans="1:13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18.599999999999998</v>
      </c>
      <c r="I21" s="52">
        <f>SUM(J21)-1.3</f>
        <v>19.899999999999999</v>
      </c>
      <c r="J21" s="37">
        <v>21.2</v>
      </c>
      <c r="K21" s="38">
        <f>SUM(J21)+1.3</f>
        <v>22.5</v>
      </c>
      <c r="L21" s="38">
        <f t="shared" ref="L21:M21" si="4">SUM(K21)+1.3</f>
        <v>23.8</v>
      </c>
      <c r="M21" s="63">
        <f t="shared" si="4"/>
        <v>25.1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45">
        <v>11</v>
      </c>
      <c r="B23" s="47" t="s">
        <v>74</v>
      </c>
      <c r="C23" s="48"/>
      <c r="D23" s="78" t="s">
        <v>66</v>
      </c>
      <c r="E23" s="78"/>
      <c r="F23" s="78"/>
      <c r="G23" s="78"/>
      <c r="H23" s="52">
        <f>SUM(I23)-0.6</f>
        <v>13.8</v>
      </c>
      <c r="I23" s="52">
        <f>SUM(J23)-0.6</f>
        <v>14.4</v>
      </c>
      <c r="J23" s="37">
        <v>15</v>
      </c>
      <c r="K23" s="38">
        <f>SUM(J23)+0.6</f>
        <v>15.6</v>
      </c>
      <c r="L23" s="38">
        <f>SUM(K23)+0.6</f>
        <v>16.2</v>
      </c>
      <c r="M23" s="63">
        <f>SUM(L23)+0.6</f>
        <v>16.8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45">
        <v>12</v>
      </c>
      <c r="B25" s="47"/>
      <c r="C25" s="48"/>
      <c r="D25" s="49"/>
      <c r="E25" s="50"/>
      <c r="F25" s="50"/>
      <c r="G25" s="51"/>
      <c r="H25" s="52"/>
      <c r="I25" s="52"/>
      <c r="J25" s="37"/>
      <c r="K25" s="38"/>
      <c r="L25" s="38"/>
      <c r="M25" s="63"/>
    </row>
    <row r="26" spans="1:13" s="1" customFormat="1" ht="14.1" customHeight="1">
      <c r="A26" s="46"/>
      <c r="B26" s="56"/>
      <c r="C26" s="57"/>
      <c r="D26" s="58"/>
      <c r="E26" s="59"/>
      <c r="F26" s="59"/>
      <c r="G26" s="60"/>
      <c r="H26" s="53"/>
      <c r="I26" s="53"/>
      <c r="J26" s="54"/>
      <c r="K26" s="52"/>
      <c r="L26" s="52"/>
      <c r="M26" s="64"/>
    </row>
    <row r="27" spans="1:13" ht="14.1" customHeight="1">
      <c r="A27" s="45">
        <v>13</v>
      </c>
      <c r="B27" s="47"/>
      <c r="C27" s="48"/>
      <c r="D27" s="49"/>
      <c r="E27" s="50"/>
      <c r="F27" s="50"/>
      <c r="G27" s="51"/>
      <c r="H27" s="52"/>
      <c r="I27" s="52"/>
      <c r="J27" s="37"/>
      <c r="K27" s="38"/>
      <c r="L27" s="38"/>
      <c r="M27" s="63"/>
    </row>
    <row r="28" spans="1:13" ht="14.1" customHeight="1" thickBot="1">
      <c r="A28" s="74"/>
      <c r="B28" s="178"/>
      <c r="C28" s="179"/>
      <c r="D28" s="180"/>
      <c r="E28" s="181"/>
      <c r="F28" s="181"/>
      <c r="G28" s="182"/>
      <c r="H28" s="77"/>
      <c r="I28" s="77"/>
      <c r="J28" s="66"/>
      <c r="K28" s="67"/>
      <c r="L28" s="67"/>
      <c r="M28" s="68"/>
    </row>
    <row r="29" spans="1:13" ht="14.1" customHeight="1"/>
    <row r="30" spans="1:13" ht="14.1" customHeight="1"/>
    <row r="31" spans="1:13" ht="14.1" customHeight="1"/>
    <row r="32" spans="1:13" ht="14.1" customHeight="1"/>
    <row r="33" customFormat="1" ht="14.1" customHeight="1"/>
    <row r="34" customFormat="1" ht="14.1" customHeight="1"/>
    <row r="35" customFormat="1" ht="14.1" customHeight="1"/>
    <row r="36" customFormat="1" ht="14.1" customHeight="1"/>
    <row r="37" customFormat="1" ht="14.1" customHeight="1"/>
    <row r="38" customFormat="1" ht="14.1" customHeight="1"/>
    <row r="39" customFormat="1" ht="14.1" customHeight="1"/>
    <row r="40" customFormat="1" ht="14.1" customHeight="1"/>
    <row r="41" customFormat="1" ht="14.1" customHeight="1"/>
    <row r="42" customFormat="1" ht="14.1" customHeight="1"/>
    <row r="43" customFormat="1" ht="14.1" customHeight="1"/>
    <row r="44" customFormat="1" ht="14.1" customHeight="1"/>
    <row r="45" customFormat="1" ht="14.1" customHeight="1"/>
    <row r="46" customFormat="1" ht="14.1" customHeight="1"/>
    <row r="47" customFormat="1" ht="14.1" customHeight="1"/>
    <row r="48" customFormat="1" ht="14.1" customHeight="1"/>
    <row r="49" customFormat="1" ht="14.1" customHeight="1"/>
    <row r="50" customFormat="1" ht="14.1" customHeight="1"/>
    <row r="51" customFormat="1" ht="14.1" customHeight="1"/>
  </sheetData>
  <mergeCells count="146"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K13:K14"/>
    <mergeCell ref="L13:L14"/>
    <mergeCell ref="M13:M14"/>
    <mergeCell ref="H15:H16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J19:J20"/>
    <mergeCell ref="A15:A16"/>
    <mergeCell ref="B15:C15"/>
    <mergeCell ref="D15:G15"/>
    <mergeCell ref="A13:A14"/>
    <mergeCell ref="B13:C13"/>
    <mergeCell ref="D13:G13"/>
    <mergeCell ref="B16:C16"/>
    <mergeCell ref="D16:G16"/>
    <mergeCell ref="B14:C14"/>
    <mergeCell ref="D14:G14"/>
    <mergeCell ref="B18:C18"/>
    <mergeCell ref="D18:G18"/>
    <mergeCell ref="H13:H14"/>
    <mergeCell ref="I13:I14"/>
    <mergeCell ref="J13:J14"/>
    <mergeCell ref="M23:M24"/>
    <mergeCell ref="K21:K22"/>
    <mergeCell ref="B26:C26"/>
    <mergeCell ref="D26:G26"/>
    <mergeCell ref="J25:J26"/>
    <mergeCell ref="L21:L22"/>
    <mergeCell ref="M21:M22"/>
    <mergeCell ref="B22:C22"/>
    <mergeCell ref="D22:G22"/>
    <mergeCell ref="J21:J22"/>
    <mergeCell ref="B23:C23"/>
    <mergeCell ref="D23:G23"/>
    <mergeCell ref="H23:H24"/>
    <mergeCell ref="I23:I24"/>
    <mergeCell ref="B21:C21"/>
    <mergeCell ref="D21:G21"/>
    <mergeCell ref="H21:H22"/>
    <mergeCell ref="I21:I22"/>
    <mergeCell ref="B24:C24"/>
    <mergeCell ref="A25:A26"/>
    <mergeCell ref="B25:C25"/>
    <mergeCell ref="D25:G25"/>
    <mergeCell ref="H25:H26"/>
    <mergeCell ref="I25:I26"/>
    <mergeCell ref="K25:K26"/>
    <mergeCell ref="L25:L26"/>
    <mergeCell ref="M25:M26"/>
    <mergeCell ref="K19:K20"/>
    <mergeCell ref="L19:L20"/>
    <mergeCell ref="M19:M20"/>
    <mergeCell ref="B20:C20"/>
    <mergeCell ref="D20:G20"/>
    <mergeCell ref="A23:A24"/>
    <mergeCell ref="A21:A22"/>
    <mergeCell ref="D24:G24"/>
    <mergeCell ref="A19:A20"/>
    <mergeCell ref="B19:C19"/>
    <mergeCell ref="D19:G19"/>
    <mergeCell ref="H19:H20"/>
    <mergeCell ref="I19:I20"/>
    <mergeCell ref="J23:J24"/>
    <mergeCell ref="K23:K24"/>
    <mergeCell ref="L23:L24"/>
    <mergeCell ref="J27:J28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I15:I16"/>
    <mergeCell ref="J15:J16"/>
    <mergeCell ref="K15:K16"/>
    <mergeCell ref="L15:L16"/>
    <mergeCell ref="M15:M16"/>
    <mergeCell ref="H17:H18"/>
    <mergeCell ref="I17:I18"/>
    <mergeCell ref="J17:J18"/>
    <mergeCell ref="K17:K18"/>
    <mergeCell ref="L17:L18"/>
    <mergeCell ref="M17:M1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7EA1-5E38-491D-B617-2B874FCCA188}">
  <sheetPr>
    <tabColor theme="8"/>
    <pageSetUpPr fitToPage="1"/>
  </sheetPr>
  <dimension ref="A1:P51"/>
  <sheetViews>
    <sheetView zoomScale="110" zoomScaleNormal="110" workbookViewId="0">
      <selection sqref="A1:N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11" t="s">
        <v>572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145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215">
        <f>SUM(I3)-3.5</f>
        <v>36.4</v>
      </c>
      <c r="I3" s="215">
        <f>SUM(J3)-3.5</f>
        <v>39.9</v>
      </c>
      <c r="J3" s="193">
        <v>43.4</v>
      </c>
      <c r="K3" s="194">
        <f>SUM(J3)+3</f>
        <v>46.4</v>
      </c>
      <c r="L3" s="194">
        <f>SUM(K3)+3</f>
        <v>49.4</v>
      </c>
      <c r="M3" s="194">
        <f>SUM(L3)+3</f>
        <v>52.4</v>
      </c>
      <c r="N3" s="195">
        <f>SUM(M3)+3</f>
        <v>55.4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216"/>
      <c r="I4" s="216"/>
      <c r="J4" s="54"/>
      <c r="K4" s="52"/>
      <c r="L4" s="52"/>
      <c r="M4" s="52"/>
      <c r="N4" s="64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215">
        <f>SUM(I5)-2.2</f>
        <v>38.899999999999991</v>
      </c>
      <c r="I5" s="215">
        <f>SUM(J5)-2.2</f>
        <v>41.099999999999994</v>
      </c>
      <c r="J5" s="54">
        <v>43.3</v>
      </c>
      <c r="K5" s="52">
        <f>SUM(J5)+2</f>
        <v>45.3</v>
      </c>
      <c r="L5" s="52">
        <f t="shared" ref="L5:N5" si="0">SUM(K5)+2</f>
        <v>47.3</v>
      </c>
      <c r="M5" s="52">
        <f t="shared" si="0"/>
        <v>49.3</v>
      </c>
      <c r="N5" s="64">
        <f t="shared" si="0"/>
        <v>51.3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216"/>
      <c r="I6" s="216"/>
      <c r="J6" s="83"/>
      <c r="K6" s="79"/>
      <c r="L6" s="79"/>
      <c r="M6" s="79"/>
      <c r="N6" s="80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215">
        <f>SUM(I7)-2.25</f>
        <v>37.5</v>
      </c>
      <c r="I7" s="215">
        <f>SUM(J7)-2.25</f>
        <v>39.75</v>
      </c>
      <c r="J7" s="54">
        <v>42</v>
      </c>
      <c r="K7" s="52">
        <f>SUM(J7)+2</f>
        <v>44</v>
      </c>
      <c r="L7" s="52">
        <f t="shared" ref="L7:N7" si="1">SUM(K7)+2</f>
        <v>46</v>
      </c>
      <c r="M7" s="52">
        <f t="shared" si="1"/>
        <v>48</v>
      </c>
      <c r="N7" s="64">
        <f t="shared" si="1"/>
        <v>50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216"/>
      <c r="I8" s="216"/>
      <c r="J8" s="83"/>
      <c r="K8" s="79"/>
      <c r="L8" s="79"/>
      <c r="M8" s="79"/>
      <c r="N8" s="80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215">
        <f>SUM(I9)-2.25</f>
        <v>37.5</v>
      </c>
      <c r="I9" s="215">
        <f>SUM(J9)-2.25</f>
        <v>39.75</v>
      </c>
      <c r="J9" s="54">
        <v>42</v>
      </c>
      <c r="K9" s="52">
        <f>SUM(J9)+2</f>
        <v>44</v>
      </c>
      <c r="L9" s="52">
        <f t="shared" ref="L9:M9" si="2">SUM(K9)+2</f>
        <v>46</v>
      </c>
      <c r="M9" s="52">
        <f t="shared" si="2"/>
        <v>48</v>
      </c>
      <c r="N9" s="64">
        <f t="shared" ref="N9" si="3">SUM(M9)+2</f>
        <v>50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216"/>
      <c r="I10" s="216"/>
      <c r="J10" s="83"/>
      <c r="K10" s="79"/>
      <c r="L10" s="79"/>
      <c r="M10" s="79"/>
      <c r="N10" s="80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215">
        <f>SUM(I11)-0.8</f>
        <v>15.399999999999999</v>
      </c>
      <c r="I11" s="215">
        <f>SUM(J11)-0.8</f>
        <v>16.2</v>
      </c>
      <c r="J11" s="37">
        <v>17</v>
      </c>
      <c r="K11" s="38">
        <f>SUM(J11)+0.8</f>
        <v>17.8</v>
      </c>
      <c r="L11" s="38">
        <f t="shared" ref="L11:N11" si="4">SUM(K11)+0.8</f>
        <v>18.600000000000001</v>
      </c>
      <c r="M11" s="38">
        <f t="shared" si="4"/>
        <v>19.400000000000002</v>
      </c>
      <c r="N11" s="63">
        <f t="shared" si="4"/>
        <v>20.200000000000003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216"/>
      <c r="I12" s="216"/>
      <c r="J12" s="37"/>
      <c r="K12" s="38"/>
      <c r="L12" s="38"/>
      <c r="M12" s="38"/>
      <c r="N12" s="63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215">
        <f>SUM(I13)-0.6</f>
        <v>12.9</v>
      </c>
      <c r="I13" s="215">
        <f>SUM(J13)-0.6</f>
        <v>13.5</v>
      </c>
      <c r="J13" s="37">
        <v>14.1</v>
      </c>
      <c r="K13" s="38">
        <f>SUM(J13)+0.6</f>
        <v>14.7</v>
      </c>
      <c r="L13" s="38">
        <f>SUM(K13)+0.6</f>
        <v>15.299999999999999</v>
      </c>
      <c r="M13" s="38">
        <f>SUM(L13)+0.6</f>
        <v>15.899999999999999</v>
      </c>
      <c r="N13" s="63">
        <f>SUM(M13)+0.6</f>
        <v>16.5</v>
      </c>
    </row>
    <row r="14" spans="1:16" s="1" customFormat="1" ht="14.1" customHeight="1">
      <c r="A14" s="45"/>
      <c r="B14" s="61" t="s">
        <v>27</v>
      </c>
      <c r="C14" s="61"/>
      <c r="D14" s="42" t="s">
        <v>147</v>
      </c>
      <c r="E14" s="43"/>
      <c r="F14" s="43"/>
      <c r="G14" s="44"/>
      <c r="H14" s="216"/>
      <c r="I14" s="216"/>
      <c r="J14" s="37"/>
      <c r="K14" s="38"/>
      <c r="L14" s="38"/>
      <c r="M14" s="38"/>
      <c r="N14" s="63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215">
        <f>SUM(I15)-0.3</f>
        <v>6.6000000000000005</v>
      </c>
      <c r="I15" s="215">
        <f>SUM(J15)-0.3</f>
        <v>6.9</v>
      </c>
      <c r="J15" s="37">
        <v>7.2</v>
      </c>
      <c r="K15" s="38">
        <f>SUM(J15)+0.3</f>
        <v>7.5</v>
      </c>
      <c r="L15" s="38">
        <f>SUM(K15)+0.3</f>
        <v>7.8</v>
      </c>
      <c r="M15" s="38">
        <f>SUM(L15)+0.3</f>
        <v>8.1</v>
      </c>
      <c r="N15" s="63">
        <f>SUM(M15)+0.3</f>
        <v>8.4</v>
      </c>
    </row>
    <row r="16" spans="1:16" s="1" customFormat="1" ht="14.1" customHeight="1">
      <c r="A16" s="45"/>
      <c r="B16" s="61" t="s">
        <v>28</v>
      </c>
      <c r="C16" s="61"/>
      <c r="D16" s="42" t="s">
        <v>148</v>
      </c>
      <c r="E16" s="43"/>
      <c r="F16" s="43"/>
      <c r="G16" s="44"/>
      <c r="H16" s="216"/>
      <c r="I16" s="216"/>
      <c r="J16" s="37"/>
      <c r="K16" s="38"/>
      <c r="L16" s="38"/>
      <c r="M16" s="38"/>
      <c r="N16" s="63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215">
        <f>SUM(I17)-1.6</f>
        <v>34.799999999999997</v>
      </c>
      <c r="I17" s="215">
        <f>SUM(J17)-1.6</f>
        <v>36.4</v>
      </c>
      <c r="J17" s="37">
        <v>38</v>
      </c>
      <c r="K17" s="38">
        <f>SUM(J17)+1.6</f>
        <v>39.6</v>
      </c>
      <c r="L17" s="38">
        <f>SUM(K17)+1.6</f>
        <v>41.2</v>
      </c>
      <c r="M17" s="38">
        <f>SUM(L17)+1.6</f>
        <v>42.800000000000004</v>
      </c>
      <c r="N17" s="63">
        <f>SUM(M17)+1.6</f>
        <v>44.400000000000006</v>
      </c>
    </row>
    <row r="18" spans="1:14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216"/>
      <c r="I18" s="216"/>
      <c r="J18" s="37"/>
      <c r="K18" s="38"/>
      <c r="L18" s="38"/>
      <c r="M18" s="38"/>
      <c r="N18" s="63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215">
        <f>SUM(I19)-3.4</f>
        <v>25.000000000000004</v>
      </c>
      <c r="I19" s="215">
        <f>SUM(J19)-3.4</f>
        <v>28.400000000000002</v>
      </c>
      <c r="J19" s="37">
        <v>31.8</v>
      </c>
      <c r="K19" s="38">
        <f>SUM(J19)+3.5</f>
        <v>35.299999999999997</v>
      </c>
      <c r="L19" s="38">
        <f t="shared" ref="L19:M19" si="5">SUM(K19)+3.5</f>
        <v>38.799999999999997</v>
      </c>
      <c r="M19" s="38">
        <f t="shared" si="5"/>
        <v>42.3</v>
      </c>
      <c r="N19" s="63">
        <f t="shared" ref="N19" si="6">SUM(M19)+3.5</f>
        <v>45.8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216"/>
      <c r="I20" s="216"/>
      <c r="J20" s="37"/>
      <c r="K20" s="38"/>
      <c r="L20" s="38"/>
      <c r="M20" s="3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215">
        <f>SUM(I21)-1.6</f>
        <v>30.699999999999996</v>
      </c>
      <c r="I21" s="215">
        <f>SUM(J21)-1.6</f>
        <v>32.299999999999997</v>
      </c>
      <c r="J21" s="37">
        <v>33.9</v>
      </c>
      <c r="K21" s="38">
        <f>SUM(J21)+1.6</f>
        <v>35.5</v>
      </c>
      <c r="L21" s="38">
        <f t="shared" ref="L21:M21" si="7">SUM(K21)+1.6</f>
        <v>37.1</v>
      </c>
      <c r="M21" s="38">
        <f t="shared" si="7"/>
        <v>38.700000000000003</v>
      </c>
      <c r="N21" s="63">
        <f t="shared" ref="N21" si="8">SUM(M21)+1.6</f>
        <v>40.300000000000004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216"/>
      <c r="I22" s="216"/>
      <c r="J22" s="37"/>
      <c r="K22" s="38"/>
      <c r="L22" s="38"/>
      <c r="M22" s="38"/>
      <c r="N22" s="63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215">
        <f>SUM(I23)-0.7</f>
        <v>21.8</v>
      </c>
      <c r="I23" s="215">
        <f>SUM(J23)-0.7</f>
        <v>22.5</v>
      </c>
      <c r="J23" s="37">
        <v>23.2</v>
      </c>
      <c r="K23" s="38">
        <f>SUM(J23)+0.7</f>
        <v>23.9</v>
      </c>
      <c r="L23" s="38">
        <f t="shared" ref="L23:N23" si="9">SUM(K23)+0.7</f>
        <v>24.599999999999998</v>
      </c>
      <c r="M23" s="38">
        <f t="shared" si="9"/>
        <v>25.299999999999997</v>
      </c>
      <c r="N23" s="63">
        <f t="shared" si="9"/>
        <v>25.999999999999996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216"/>
      <c r="I24" s="216"/>
      <c r="J24" s="37"/>
      <c r="K24" s="38"/>
      <c r="L24" s="38"/>
      <c r="M24" s="38"/>
      <c r="N24" s="63"/>
    </row>
    <row r="25" spans="1:14" s="1" customFormat="1" ht="14.1" customHeight="1">
      <c r="A25" s="45">
        <v>12</v>
      </c>
      <c r="B25" s="47" t="s">
        <v>575</v>
      </c>
      <c r="C25" s="48"/>
      <c r="D25" s="49"/>
      <c r="E25" s="50"/>
      <c r="F25" s="50"/>
      <c r="G25" s="51"/>
      <c r="H25" s="215">
        <f>SUM(I25)</f>
        <v>11.9</v>
      </c>
      <c r="I25" s="215">
        <f>SUM(J25)</f>
        <v>11.9</v>
      </c>
      <c r="J25" s="37">
        <v>11.9</v>
      </c>
      <c r="K25" s="38">
        <f>SUM(J25)+0.2</f>
        <v>12.1</v>
      </c>
      <c r="L25" s="38">
        <f>SUM(K25)+0.2</f>
        <v>12.299999999999999</v>
      </c>
      <c r="M25" s="38">
        <f>SUM(L25)+0.2</f>
        <v>12.499999999999998</v>
      </c>
      <c r="N25" s="63">
        <f>SUM(M25)+0.2</f>
        <v>12.699999999999998</v>
      </c>
    </row>
    <row r="26" spans="1:14" s="1" customFormat="1" ht="14.1" customHeight="1">
      <c r="A26" s="45"/>
      <c r="B26" s="56" t="s">
        <v>576</v>
      </c>
      <c r="C26" s="57"/>
      <c r="D26" s="58"/>
      <c r="E26" s="59"/>
      <c r="F26" s="59"/>
      <c r="G26" s="60"/>
      <c r="H26" s="217"/>
      <c r="I26" s="217"/>
      <c r="J26" s="54"/>
      <c r="K26" s="52"/>
      <c r="L26" s="52"/>
      <c r="M26" s="52"/>
      <c r="N26" s="64"/>
    </row>
    <row r="27" spans="1:14" s="1" customFormat="1" ht="14.1" customHeight="1">
      <c r="A27" s="45">
        <v>13</v>
      </c>
      <c r="B27" s="47" t="s">
        <v>283</v>
      </c>
      <c r="C27" s="48"/>
      <c r="D27" s="75"/>
      <c r="E27" s="62"/>
      <c r="F27" s="62"/>
      <c r="G27" s="76"/>
      <c r="H27" s="215">
        <f>SUM(I27)-0.2</f>
        <v>5.3999999999999995</v>
      </c>
      <c r="I27" s="215">
        <f>SUM(J27)-0.2</f>
        <v>5.6</v>
      </c>
      <c r="J27" s="54">
        <v>5.8</v>
      </c>
      <c r="K27" s="52">
        <f>SUM(J27)+0.2</f>
        <v>6</v>
      </c>
      <c r="L27" s="52">
        <f>SUM(K27)+0.2</f>
        <v>6.2</v>
      </c>
      <c r="M27" s="52">
        <f>SUM(L27)+0.2</f>
        <v>6.4</v>
      </c>
      <c r="N27" s="64">
        <f>SUM(M27)+0.2</f>
        <v>6.6000000000000005</v>
      </c>
    </row>
    <row r="28" spans="1:14" s="1" customFormat="1" ht="14.1" customHeight="1">
      <c r="A28" s="45"/>
      <c r="B28" s="40" t="s">
        <v>284</v>
      </c>
      <c r="C28" s="41"/>
      <c r="D28" s="42" t="s">
        <v>579</v>
      </c>
      <c r="E28" s="43"/>
      <c r="F28" s="43"/>
      <c r="G28" s="44"/>
      <c r="H28" s="216"/>
      <c r="I28" s="216"/>
      <c r="J28" s="83"/>
      <c r="K28" s="79"/>
      <c r="L28" s="79"/>
      <c r="M28" s="79"/>
      <c r="N28" s="80"/>
    </row>
    <row r="29" spans="1:14" s="1" customFormat="1" ht="14.1" customHeight="1">
      <c r="A29" s="45">
        <v>14</v>
      </c>
      <c r="B29" s="47" t="s">
        <v>73</v>
      </c>
      <c r="C29" s="48"/>
      <c r="D29" s="75"/>
      <c r="E29" s="62"/>
      <c r="F29" s="62"/>
      <c r="G29" s="76"/>
      <c r="H29" s="215">
        <f>SUM(I29)-0.2</f>
        <v>5.8999999999999995</v>
      </c>
      <c r="I29" s="215">
        <f>SUM(J29)-0.2</f>
        <v>6.1</v>
      </c>
      <c r="J29" s="54">
        <v>6.3</v>
      </c>
      <c r="K29" s="52">
        <f>SUM(J29)+0.2</f>
        <v>6.5</v>
      </c>
      <c r="L29" s="52">
        <f>SUM(K29)+0.2</f>
        <v>6.7</v>
      </c>
      <c r="M29" s="52">
        <f>SUM(L29)+0.2</f>
        <v>6.9</v>
      </c>
      <c r="N29" s="64">
        <f>SUM(M29)+0.2</f>
        <v>7.1000000000000005</v>
      </c>
    </row>
    <row r="30" spans="1:14" s="1" customFormat="1" ht="14.1" customHeight="1">
      <c r="A30" s="45"/>
      <c r="B30" s="40" t="s">
        <v>580</v>
      </c>
      <c r="C30" s="41"/>
      <c r="D30" s="42" t="s">
        <v>582</v>
      </c>
      <c r="E30" s="43"/>
      <c r="F30" s="43"/>
      <c r="G30" s="44"/>
      <c r="H30" s="216"/>
      <c r="I30" s="216"/>
      <c r="J30" s="83"/>
      <c r="K30" s="79"/>
      <c r="L30" s="79"/>
      <c r="M30" s="79"/>
      <c r="N30" s="80"/>
    </row>
    <row r="31" spans="1:14" ht="14.1" customHeight="1">
      <c r="A31" s="45">
        <v>15</v>
      </c>
      <c r="B31" s="47" t="s">
        <v>577</v>
      </c>
      <c r="C31" s="48"/>
      <c r="D31" s="78"/>
      <c r="E31" s="78"/>
      <c r="F31" s="78"/>
      <c r="G31" s="78"/>
      <c r="H31" s="215">
        <f>SUM(I31)-1.4</f>
        <v>31.200000000000003</v>
      </c>
      <c r="I31" s="215">
        <f>SUM(J31)-1.4</f>
        <v>32.6</v>
      </c>
      <c r="J31" s="37">
        <v>34</v>
      </c>
      <c r="K31" s="38">
        <f>SUM(J31)+1.4</f>
        <v>35.4</v>
      </c>
      <c r="L31" s="38">
        <f t="shared" ref="L31:M31" si="10">SUM(K31)+1.4</f>
        <v>36.799999999999997</v>
      </c>
      <c r="M31" s="38">
        <f t="shared" si="10"/>
        <v>38.199999999999996</v>
      </c>
      <c r="N31" s="63">
        <f t="shared" ref="N31" si="11">SUM(M31)+1.4</f>
        <v>39.599999999999994</v>
      </c>
    </row>
    <row r="32" spans="1:14" ht="14.1" customHeight="1" thickBot="1">
      <c r="A32" s="74"/>
      <c r="B32" s="178" t="s">
        <v>578</v>
      </c>
      <c r="C32" s="179"/>
      <c r="D32" s="180" t="s">
        <v>581</v>
      </c>
      <c r="E32" s="181"/>
      <c r="F32" s="181"/>
      <c r="G32" s="182"/>
      <c r="H32" s="218"/>
      <c r="I32" s="218"/>
      <c r="J32" s="66"/>
      <c r="K32" s="67"/>
      <c r="L32" s="67"/>
      <c r="M32" s="67"/>
      <c r="N32" s="68"/>
    </row>
    <row r="33" spans="2:3" ht="14.1" customHeight="1"/>
    <row r="34" spans="2:3" ht="14.1" customHeight="1"/>
    <row r="35" spans="2:3" ht="14.1" customHeight="1">
      <c r="B35" s="47"/>
      <c r="C35" s="48"/>
    </row>
    <row r="36" spans="2:3" ht="14.1" customHeight="1">
      <c r="B36" s="40"/>
      <c r="C36" s="41"/>
    </row>
    <row r="37" spans="2:3" ht="14.1" customHeight="1"/>
    <row r="38" spans="2:3" ht="14.1" customHeight="1"/>
    <row r="39" spans="2:3" ht="14.1" customHeight="1"/>
    <row r="40" spans="2:3" ht="14.1" customHeight="1"/>
    <row r="41" spans="2:3" ht="14.1" customHeight="1"/>
    <row r="42" spans="2:3" ht="14.1" customHeight="1"/>
    <row r="43" spans="2:3" ht="14.1" customHeight="1"/>
    <row r="44" spans="2:3" ht="14.1" customHeight="1"/>
    <row r="45" spans="2:3" ht="14.1" customHeight="1"/>
    <row r="46" spans="2:3" ht="14.1" customHeight="1"/>
    <row r="47" spans="2:3" ht="14.1" customHeight="1"/>
    <row r="48" spans="2:3" ht="14.1" customHeight="1"/>
    <row r="49" ht="14.1" customHeight="1"/>
    <row r="50" ht="14.1" customHeight="1"/>
    <row r="51" ht="14.1" customHeight="1"/>
  </sheetData>
  <mergeCells count="185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K31:K32"/>
    <mergeCell ref="L31:L32"/>
    <mergeCell ref="M31:M32"/>
    <mergeCell ref="B32:C32"/>
    <mergeCell ref="D32:G32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B35:C35"/>
    <mergeCell ref="B36:C36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A31:A32"/>
    <mergeCell ref="B31:C31"/>
    <mergeCell ref="D31:G31"/>
    <mergeCell ref="H31:H32"/>
    <mergeCell ref="I31:I32"/>
    <mergeCell ref="J31:J3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5DD6-1BB9-43D7-84BC-881FD1EBBA33}">
  <sheetPr codeName="Sheet186">
    <tabColor theme="8"/>
    <pageSetUpPr fitToPage="1"/>
  </sheetPr>
  <dimension ref="A1:N51"/>
  <sheetViews>
    <sheetView zoomScale="110" zoomScaleNormal="110" workbookViewId="0">
      <selection activeCell="D14" sqref="D14:G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7" max="257" width="3.25" bestFit="1" customWidth="1"/>
    <col min="260" max="263" width="8.125" customWidth="1"/>
    <col min="264" max="270" width="5.5" customWidth="1"/>
    <col min="513" max="513" width="3.25" bestFit="1" customWidth="1"/>
    <col min="516" max="519" width="8.125" customWidth="1"/>
    <col min="520" max="526" width="5.5" customWidth="1"/>
    <col min="769" max="769" width="3.25" bestFit="1" customWidth="1"/>
    <col min="772" max="775" width="8.125" customWidth="1"/>
    <col min="776" max="782" width="5.5" customWidth="1"/>
    <col min="1025" max="1025" width="3.25" bestFit="1" customWidth="1"/>
    <col min="1028" max="1031" width="8.125" customWidth="1"/>
    <col min="1032" max="1038" width="5.5" customWidth="1"/>
    <col min="1281" max="1281" width="3.25" bestFit="1" customWidth="1"/>
    <col min="1284" max="1287" width="8.125" customWidth="1"/>
    <col min="1288" max="1294" width="5.5" customWidth="1"/>
    <col min="1537" max="1537" width="3.25" bestFit="1" customWidth="1"/>
    <col min="1540" max="1543" width="8.125" customWidth="1"/>
    <col min="1544" max="1550" width="5.5" customWidth="1"/>
    <col min="1793" max="1793" width="3.25" bestFit="1" customWidth="1"/>
    <col min="1796" max="1799" width="8.125" customWidth="1"/>
    <col min="1800" max="1806" width="5.5" customWidth="1"/>
    <col min="2049" max="2049" width="3.25" bestFit="1" customWidth="1"/>
    <col min="2052" max="2055" width="8.125" customWidth="1"/>
    <col min="2056" max="2062" width="5.5" customWidth="1"/>
    <col min="2305" max="2305" width="3.25" bestFit="1" customWidth="1"/>
    <col min="2308" max="2311" width="8.125" customWidth="1"/>
    <col min="2312" max="2318" width="5.5" customWidth="1"/>
    <col min="2561" max="2561" width="3.25" bestFit="1" customWidth="1"/>
    <col min="2564" max="2567" width="8.125" customWidth="1"/>
    <col min="2568" max="2574" width="5.5" customWidth="1"/>
    <col min="2817" max="2817" width="3.25" bestFit="1" customWidth="1"/>
    <col min="2820" max="2823" width="8.125" customWidth="1"/>
    <col min="2824" max="2830" width="5.5" customWidth="1"/>
    <col min="3073" max="3073" width="3.25" bestFit="1" customWidth="1"/>
    <col min="3076" max="3079" width="8.125" customWidth="1"/>
    <col min="3080" max="3086" width="5.5" customWidth="1"/>
    <col min="3329" max="3329" width="3.25" bestFit="1" customWidth="1"/>
    <col min="3332" max="3335" width="8.125" customWidth="1"/>
    <col min="3336" max="3342" width="5.5" customWidth="1"/>
    <col min="3585" max="3585" width="3.25" bestFit="1" customWidth="1"/>
    <col min="3588" max="3591" width="8.125" customWidth="1"/>
    <col min="3592" max="3598" width="5.5" customWidth="1"/>
    <col min="3841" max="3841" width="3.25" bestFit="1" customWidth="1"/>
    <col min="3844" max="3847" width="8.125" customWidth="1"/>
    <col min="3848" max="3854" width="5.5" customWidth="1"/>
    <col min="4097" max="4097" width="3.25" bestFit="1" customWidth="1"/>
    <col min="4100" max="4103" width="8.125" customWidth="1"/>
    <col min="4104" max="4110" width="5.5" customWidth="1"/>
    <col min="4353" max="4353" width="3.25" bestFit="1" customWidth="1"/>
    <col min="4356" max="4359" width="8.125" customWidth="1"/>
    <col min="4360" max="4366" width="5.5" customWidth="1"/>
    <col min="4609" max="4609" width="3.25" bestFit="1" customWidth="1"/>
    <col min="4612" max="4615" width="8.125" customWidth="1"/>
    <col min="4616" max="4622" width="5.5" customWidth="1"/>
    <col min="4865" max="4865" width="3.25" bestFit="1" customWidth="1"/>
    <col min="4868" max="4871" width="8.125" customWidth="1"/>
    <col min="4872" max="4878" width="5.5" customWidth="1"/>
    <col min="5121" max="5121" width="3.25" bestFit="1" customWidth="1"/>
    <col min="5124" max="5127" width="8.125" customWidth="1"/>
    <col min="5128" max="5134" width="5.5" customWidth="1"/>
    <col min="5377" max="5377" width="3.25" bestFit="1" customWidth="1"/>
    <col min="5380" max="5383" width="8.125" customWidth="1"/>
    <col min="5384" max="5390" width="5.5" customWidth="1"/>
    <col min="5633" max="5633" width="3.25" bestFit="1" customWidth="1"/>
    <col min="5636" max="5639" width="8.125" customWidth="1"/>
    <col min="5640" max="5646" width="5.5" customWidth="1"/>
    <col min="5889" max="5889" width="3.25" bestFit="1" customWidth="1"/>
    <col min="5892" max="5895" width="8.125" customWidth="1"/>
    <col min="5896" max="5902" width="5.5" customWidth="1"/>
    <col min="6145" max="6145" width="3.25" bestFit="1" customWidth="1"/>
    <col min="6148" max="6151" width="8.125" customWidth="1"/>
    <col min="6152" max="6158" width="5.5" customWidth="1"/>
    <col min="6401" max="6401" width="3.25" bestFit="1" customWidth="1"/>
    <col min="6404" max="6407" width="8.125" customWidth="1"/>
    <col min="6408" max="6414" width="5.5" customWidth="1"/>
    <col min="6657" max="6657" width="3.25" bestFit="1" customWidth="1"/>
    <col min="6660" max="6663" width="8.125" customWidth="1"/>
    <col min="6664" max="6670" width="5.5" customWidth="1"/>
    <col min="6913" max="6913" width="3.25" bestFit="1" customWidth="1"/>
    <col min="6916" max="6919" width="8.125" customWidth="1"/>
    <col min="6920" max="6926" width="5.5" customWidth="1"/>
    <col min="7169" max="7169" width="3.25" bestFit="1" customWidth="1"/>
    <col min="7172" max="7175" width="8.125" customWidth="1"/>
    <col min="7176" max="7182" width="5.5" customWidth="1"/>
    <col min="7425" max="7425" width="3.25" bestFit="1" customWidth="1"/>
    <col min="7428" max="7431" width="8.125" customWidth="1"/>
    <col min="7432" max="7438" width="5.5" customWidth="1"/>
    <col min="7681" max="7681" width="3.25" bestFit="1" customWidth="1"/>
    <col min="7684" max="7687" width="8.125" customWidth="1"/>
    <col min="7688" max="7694" width="5.5" customWidth="1"/>
    <col min="7937" max="7937" width="3.25" bestFit="1" customWidth="1"/>
    <col min="7940" max="7943" width="8.125" customWidth="1"/>
    <col min="7944" max="7950" width="5.5" customWidth="1"/>
    <col min="8193" max="8193" width="3.25" bestFit="1" customWidth="1"/>
    <col min="8196" max="8199" width="8.125" customWidth="1"/>
    <col min="8200" max="8206" width="5.5" customWidth="1"/>
    <col min="8449" max="8449" width="3.25" bestFit="1" customWidth="1"/>
    <col min="8452" max="8455" width="8.125" customWidth="1"/>
    <col min="8456" max="8462" width="5.5" customWidth="1"/>
    <col min="8705" max="8705" width="3.25" bestFit="1" customWidth="1"/>
    <col min="8708" max="8711" width="8.125" customWidth="1"/>
    <col min="8712" max="8718" width="5.5" customWidth="1"/>
    <col min="8961" max="8961" width="3.25" bestFit="1" customWidth="1"/>
    <col min="8964" max="8967" width="8.125" customWidth="1"/>
    <col min="8968" max="8974" width="5.5" customWidth="1"/>
    <col min="9217" max="9217" width="3.25" bestFit="1" customWidth="1"/>
    <col min="9220" max="9223" width="8.125" customWidth="1"/>
    <col min="9224" max="9230" width="5.5" customWidth="1"/>
    <col min="9473" max="9473" width="3.25" bestFit="1" customWidth="1"/>
    <col min="9476" max="9479" width="8.125" customWidth="1"/>
    <col min="9480" max="9486" width="5.5" customWidth="1"/>
    <col min="9729" max="9729" width="3.25" bestFit="1" customWidth="1"/>
    <col min="9732" max="9735" width="8.125" customWidth="1"/>
    <col min="9736" max="9742" width="5.5" customWidth="1"/>
    <col min="9985" max="9985" width="3.25" bestFit="1" customWidth="1"/>
    <col min="9988" max="9991" width="8.125" customWidth="1"/>
    <col min="9992" max="9998" width="5.5" customWidth="1"/>
    <col min="10241" max="10241" width="3.25" bestFit="1" customWidth="1"/>
    <col min="10244" max="10247" width="8.125" customWidth="1"/>
    <col min="10248" max="10254" width="5.5" customWidth="1"/>
    <col min="10497" max="10497" width="3.25" bestFit="1" customWidth="1"/>
    <col min="10500" max="10503" width="8.125" customWidth="1"/>
    <col min="10504" max="10510" width="5.5" customWidth="1"/>
    <col min="10753" max="10753" width="3.25" bestFit="1" customWidth="1"/>
    <col min="10756" max="10759" width="8.125" customWidth="1"/>
    <col min="10760" max="10766" width="5.5" customWidth="1"/>
    <col min="11009" max="11009" width="3.25" bestFit="1" customWidth="1"/>
    <col min="11012" max="11015" width="8.125" customWidth="1"/>
    <col min="11016" max="11022" width="5.5" customWidth="1"/>
    <col min="11265" max="11265" width="3.25" bestFit="1" customWidth="1"/>
    <col min="11268" max="11271" width="8.125" customWidth="1"/>
    <col min="11272" max="11278" width="5.5" customWidth="1"/>
    <col min="11521" max="11521" width="3.25" bestFit="1" customWidth="1"/>
    <col min="11524" max="11527" width="8.125" customWidth="1"/>
    <col min="11528" max="11534" width="5.5" customWidth="1"/>
    <col min="11777" max="11777" width="3.25" bestFit="1" customWidth="1"/>
    <col min="11780" max="11783" width="8.125" customWidth="1"/>
    <col min="11784" max="11790" width="5.5" customWidth="1"/>
    <col min="12033" max="12033" width="3.25" bestFit="1" customWidth="1"/>
    <col min="12036" max="12039" width="8.125" customWidth="1"/>
    <col min="12040" max="12046" width="5.5" customWidth="1"/>
    <col min="12289" max="12289" width="3.25" bestFit="1" customWidth="1"/>
    <col min="12292" max="12295" width="8.125" customWidth="1"/>
    <col min="12296" max="12302" width="5.5" customWidth="1"/>
    <col min="12545" max="12545" width="3.25" bestFit="1" customWidth="1"/>
    <col min="12548" max="12551" width="8.125" customWidth="1"/>
    <col min="12552" max="12558" width="5.5" customWidth="1"/>
    <col min="12801" max="12801" width="3.25" bestFit="1" customWidth="1"/>
    <col min="12804" max="12807" width="8.125" customWidth="1"/>
    <col min="12808" max="12814" width="5.5" customWidth="1"/>
    <col min="13057" max="13057" width="3.25" bestFit="1" customWidth="1"/>
    <col min="13060" max="13063" width="8.125" customWidth="1"/>
    <col min="13064" max="13070" width="5.5" customWidth="1"/>
    <col min="13313" max="13313" width="3.25" bestFit="1" customWidth="1"/>
    <col min="13316" max="13319" width="8.125" customWidth="1"/>
    <col min="13320" max="13326" width="5.5" customWidth="1"/>
    <col min="13569" max="13569" width="3.25" bestFit="1" customWidth="1"/>
    <col min="13572" max="13575" width="8.125" customWidth="1"/>
    <col min="13576" max="13582" width="5.5" customWidth="1"/>
    <col min="13825" max="13825" width="3.25" bestFit="1" customWidth="1"/>
    <col min="13828" max="13831" width="8.125" customWidth="1"/>
    <col min="13832" max="13838" width="5.5" customWidth="1"/>
    <col min="14081" max="14081" width="3.25" bestFit="1" customWidth="1"/>
    <col min="14084" max="14087" width="8.125" customWidth="1"/>
    <col min="14088" max="14094" width="5.5" customWidth="1"/>
    <col min="14337" max="14337" width="3.25" bestFit="1" customWidth="1"/>
    <col min="14340" max="14343" width="8.125" customWidth="1"/>
    <col min="14344" max="14350" width="5.5" customWidth="1"/>
    <col min="14593" max="14593" width="3.25" bestFit="1" customWidth="1"/>
    <col min="14596" max="14599" width="8.125" customWidth="1"/>
    <col min="14600" max="14606" width="5.5" customWidth="1"/>
    <col min="14849" max="14849" width="3.25" bestFit="1" customWidth="1"/>
    <col min="14852" max="14855" width="8.125" customWidth="1"/>
    <col min="14856" max="14862" width="5.5" customWidth="1"/>
    <col min="15105" max="15105" width="3.25" bestFit="1" customWidth="1"/>
    <col min="15108" max="15111" width="8.125" customWidth="1"/>
    <col min="15112" max="15118" width="5.5" customWidth="1"/>
    <col min="15361" max="15361" width="3.25" bestFit="1" customWidth="1"/>
    <col min="15364" max="15367" width="8.125" customWidth="1"/>
    <col min="15368" max="15374" width="5.5" customWidth="1"/>
    <col min="15617" max="15617" width="3.25" bestFit="1" customWidth="1"/>
    <col min="15620" max="15623" width="8.125" customWidth="1"/>
    <col min="15624" max="15630" width="5.5" customWidth="1"/>
    <col min="15873" max="15873" width="3.25" bestFit="1" customWidth="1"/>
    <col min="15876" max="15879" width="8.125" customWidth="1"/>
    <col min="15880" max="15886" width="5.5" customWidth="1"/>
    <col min="16129" max="16129" width="3.25" bestFit="1" customWidth="1"/>
    <col min="16132" max="16135" width="8.125" customWidth="1"/>
    <col min="16136" max="16142" width="5.5" customWidth="1"/>
  </cols>
  <sheetData>
    <row r="1" spans="1:14" ht="16.5" customHeight="1" thickBot="1">
      <c r="A1" s="105" t="s">
        <v>567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194">
        <v>39</v>
      </c>
      <c r="I3" s="194">
        <f>SUM(H3)+3.5</f>
        <v>42.5</v>
      </c>
      <c r="J3" s="193">
        <f>SUM(I3)+3.5</f>
        <v>46</v>
      </c>
      <c r="K3" s="194">
        <f>SUM(J3)+3</f>
        <v>49</v>
      </c>
      <c r="L3" s="115">
        <f>SUM(K3)+3</f>
        <v>52</v>
      </c>
      <c r="M3" s="115">
        <f>SUM(L3)+3</f>
        <v>55</v>
      </c>
      <c r="N3" s="210">
        <f>SUM(M3)+3</f>
        <v>58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38"/>
      <c r="I4" s="52"/>
      <c r="J4" s="54"/>
      <c r="K4" s="52"/>
      <c r="L4" s="79"/>
      <c r="M4" s="79"/>
      <c r="N4" s="207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38">
        <v>22.2</v>
      </c>
      <c r="I5" s="38">
        <f>SUM(H5)+1.8</f>
        <v>24</v>
      </c>
      <c r="J5" s="37">
        <f>SUM(I5)+1.8</f>
        <v>25.8</v>
      </c>
      <c r="K5" s="38">
        <f>SUM(J5)+1.6</f>
        <v>27.400000000000002</v>
      </c>
      <c r="L5" s="38">
        <f>SUM(K5)+1.6</f>
        <v>29.000000000000004</v>
      </c>
      <c r="M5" s="38">
        <f>SUM(L5)+1.6</f>
        <v>30.600000000000005</v>
      </c>
      <c r="N5" s="63">
        <f>SUM(M5)+1.6</f>
        <v>32.200000000000003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38"/>
      <c r="I6" s="38"/>
      <c r="J6" s="37"/>
      <c r="K6" s="38"/>
      <c r="L6" s="38"/>
      <c r="M6" s="38"/>
      <c r="N6" s="63"/>
    </row>
    <row r="7" spans="1:14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38">
        <v>26</v>
      </c>
      <c r="I7" s="38">
        <f>SUM(H7)+2</f>
        <v>28</v>
      </c>
      <c r="J7" s="37">
        <f>SUM(I7)+2</f>
        <v>30</v>
      </c>
      <c r="K7" s="38">
        <f>SUM(J7)+1.8</f>
        <v>31.8</v>
      </c>
      <c r="L7" s="38">
        <f>SUM(K7)+1.8</f>
        <v>33.6</v>
      </c>
      <c r="M7" s="38">
        <f>SUM(L7)+1.8</f>
        <v>35.4</v>
      </c>
      <c r="N7" s="63">
        <f>SUM(M7)+1.8</f>
        <v>37.199999999999996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38"/>
      <c r="I8" s="38"/>
      <c r="J8" s="37"/>
      <c r="K8" s="38"/>
      <c r="L8" s="38"/>
      <c r="M8" s="38"/>
      <c r="N8" s="63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38">
        <v>26</v>
      </c>
      <c r="I9" s="38">
        <f>SUM(H9)+2</f>
        <v>28</v>
      </c>
      <c r="J9" s="37">
        <f>SUM(I9)+2</f>
        <v>30</v>
      </c>
      <c r="K9" s="38">
        <f>SUM(J9)+1.8</f>
        <v>31.8</v>
      </c>
      <c r="L9" s="38">
        <f>SUM(K9)+1.8</f>
        <v>33.6</v>
      </c>
      <c r="M9" s="38">
        <f>SUM(L9)+1.8</f>
        <v>35.4</v>
      </c>
      <c r="N9" s="63">
        <f>SUM(M9)+1.8</f>
        <v>37.199999999999996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38"/>
      <c r="I10" s="38"/>
      <c r="J10" s="37"/>
      <c r="K10" s="38"/>
      <c r="L10" s="38"/>
      <c r="M10" s="38"/>
      <c r="N10" s="63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38">
        <v>12.5</v>
      </c>
      <c r="I11" s="38">
        <f t="shared" ref="I11:N11" si="0">SUM(H11)+0.8</f>
        <v>13.3</v>
      </c>
      <c r="J11" s="37">
        <f t="shared" si="0"/>
        <v>14.100000000000001</v>
      </c>
      <c r="K11" s="38">
        <f t="shared" si="0"/>
        <v>14.900000000000002</v>
      </c>
      <c r="L11" s="38">
        <f t="shared" si="0"/>
        <v>15.700000000000003</v>
      </c>
      <c r="M11" s="38">
        <f t="shared" si="0"/>
        <v>16.500000000000004</v>
      </c>
      <c r="N11" s="208">
        <f t="shared" si="0"/>
        <v>17.300000000000004</v>
      </c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38"/>
      <c r="I12" s="38"/>
      <c r="J12" s="37"/>
      <c r="K12" s="38"/>
      <c r="L12" s="38"/>
      <c r="M12" s="38"/>
      <c r="N12" s="208"/>
    </row>
    <row r="13" spans="1:14" s="1" customFormat="1" ht="14.1" customHeight="1">
      <c r="A13" s="45">
        <v>6</v>
      </c>
      <c r="B13" s="81" t="s">
        <v>1</v>
      </c>
      <c r="C13" s="81"/>
      <c r="D13" s="78" t="s">
        <v>518</v>
      </c>
      <c r="E13" s="78"/>
      <c r="F13" s="78"/>
      <c r="G13" s="78"/>
      <c r="H13" s="38">
        <v>11.7</v>
      </c>
      <c r="I13" s="38">
        <f t="shared" ref="I13:N13" si="1">SUM(H13)+0.6</f>
        <v>12.299999999999999</v>
      </c>
      <c r="J13" s="37">
        <f t="shared" si="1"/>
        <v>12.899999999999999</v>
      </c>
      <c r="K13" s="38">
        <f t="shared" si="1"/>
        <v>13.499999999999998</v>
      </c>
      <c r="L13" s="38">
        <f t="shared" si="1"/>
        <v>14.099999999999998</v>
      </c>
      <c r="M13" s="38">
        <f t="shared" si="1"/>
        <v>14.699999999999998</v>
      </c>
      <c r="N13" s="208">
        <f t="shared" si="1"/>
        <v>15.299999999999997</v>
      </c>
    </row>
    <row r="14" spans="1:14" s="1" customFormat="1" ht="14.1" customHeight="1">
      <c r="A14" s="45"/>
      <c r="B14" s="61" t="s">
        <v>27</v>
      </c>
      <c r="C14" s="61"/>
      <c r="D14" s="42" t="s">
        <v>46</v>
      </c>
      <c r="E14" s="43"/>
      <c r="F14" s="43"/>
      <c r="G14" s="44"/>
      <c r="H14" s="38"/>
      <c r="I14" s="38"/>
      <c r="J14" s="37"/>
      <c r="K14" s="38"/>
      <c r="L14" s="38"/>
      <c r="M14" s="38"/>
      <c r="N14" s="208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38">
        <v>5</v>
      </c>
      <c r="I15" s="38">
        <f t="shared" ref="I15:N15" si="2">SUM(H15)+0.3</f>
        <v>5.3</v>
      </c>
      <c r="J15" s="37">
        <f t="shared" si="2"/>
        <v>5.6</v>
      </c>
      <c r="K15" s="38">
        <f t="shared" si="2"/>
        <v>5.8999999999999995</v>
      </c>
      <c r="L15" s="38">
        <f t="shared" si="2"/>
        <v>6.1999999999999993</v>
      </c>
      <c r="M15" s="38">
        <f t="shared" si="2"/>
        <v>6.4999999999999991</v>
      </c>
      <c r="N15" s="208">
        <f t="shared" si="2"/>
        <v>6.7999999999999989</v>
      </c>
    </row>
    <row r="16" spans="1:14" s="1" customFormat="1" ht="14.1" customHeight="1">
      <c r="A16" s="45"/>
      <c r="B16" s="61" t="s">
        <v>28</v>
      </c>
      <c r="C16" s="61"/>
      <c r="D16" s="42" t="s">
        <v>196</v>
      </c>
      <c r="E16" s="43"/>
      <c r="F16" s="43"/>
      <c r="G16" s="44"/>
      <c r="H16" s="38"/>
      <c r="I16" s="38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565</v>
      </c>
      <c r="E17" s="62"/>
      <c r="F17" s="62"/>
      <c r="G17" s="76"/>
      <c r="H17" s="38">
        <v>30</v>
      </c>
      <c r="I17" s="38">
        <f t="shared" ref="I17:N17" si="3">SUM(H17)+1.6</f>
        <v>31.6</v>
      </c>
      <c r="J17" s="37">
        <f t="shared" si="3"/>
        <v>33.200000000000003</v>
      </c>
      <c r="K17" s="38">
        <f t="shared" si="3"/>
        <v>34.800000000000004</v>
      </c>
      <c r="L17" s="38">
        <f t="shared" si="3"/>
        <v>36.400000000000006</v>
      </c>
      <c r="M17" s="38">
        <f t="shared" si="3"/>
        <v>38.000000000000007</v>
      </c>
      <c r="N17" s="208">
        <f t="shared" si="3"/>
        <v>39.600000000000009</v>
      </c>
    </row>
    <row r="18" spans="1:14" s="1" customFormat="1" ht="14.1" customHeight="1">
      <c r="A18" s="45"/>
      <c r="B18" s="61" t="s">
        <v>33</v>
      </c>
      <c r="C18" s="61"/>
      <c r="D18" s="42" t="s">
        <v>76</v>
      </c>
      <c r="E18" s="43"/>
      <c r="F18" s="43"/>
      <c r="G18" s="44"/>
      <c r="H18" s="38"/>
      <c r="I18" s="38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38">
        <v>31.5</v>
      </c>
      <c r="I19" s="38">
        <f>SUM(H19)+3.6</f>
        <v>35.1</v>
      </c>
      <c r="J19" s="37">
        <f>SUM(I19)+3.6</f>
        <v>38.700000000000003</v>
      </c>
      <c r="K19" s="38">
        <f>SUM(J19)+3.7</f>
        <v>42.400000000000006</v>
      </c>
      <c r="L19" s="38">
        <f>SUM(K19)+3.7</f>
        <v>46.100000000000009</v>
      </c>
      <c r="M19" s="38">
        <f>SUM(L19)+3.7</f>
        <v>49.800000000000011</v>
      </c>
      <c r="N19" s="63">
        <f>SUM(M19)+3.7</f>
        <v>53.500000000000014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38"/>
      <c r="I20" s="38"/>
      <c r="J20" s="37"/>
      <c r="K20" s="38"/>
      <c r="L20" s="38"/>
      <c r="M20" s="3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38">
        <v>21.5</v>
      </c>
      <c r="I21" s="38">
        <f t="shared" ref="I21:N21" si="4">SUM(H21)+1.5</f>
        <v>23</v>
      </c>
      <c r="J21" s="37">
        <f t="shared" si="4"/>
        <v>24.5</v>
      </c>
      <c r="K21" s="38">
        <f t="shared" si="4"/>
        <v>26</v>
      </c>
      <c r="L21" s="38">
        <f t="shared" si="4"/>
        <v>27.5</v>
      </c>
      <c r="M21" s="38">
        <f t="shared" si="4"/>
        <v>29</v>
      </c>
      <c r="N21" s="63">
        <f t="shared" si="4"/>
        <v>30.5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38"/>
      <c r="I22" s="38"/>
      <c r="J22" s="37"/>
      <c r="K22" s="38"/>
      <c r="L22" s="38"/>
      <c r="M22" s="38"/>
      <c r="N22" s="63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38">
        <v>14</v>
      </c>
      <c r="I23" s="52">
        <f t="shared" ref="I23:N23" si="5">SUM(H23)+0.6</f>
        <v>14.6</v>
      </c>
      <c r="J23" s="54">
        <f t="shared" si="5"/>
        <v>15.2</v>
      </c>
      <c r="K23" s="52">
        <f t="shared" si="5"/>
        <v>15.799999999999999</v>
      </c>
      <c r="L23" s="52">
        <f t="shared" si="5"/>
        <v>16.399999999999999</v>
      </c>
      <c r="M23" s="52">
        <f t="shared" si="5"/>
        <v>17</v>
      </c>
      <c r="N23" s="64">
        <f t="shared" si="5"/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38"/>
      <c r="I24" s="79"/>
      <c r="J24" s="83"/>
      <c r="K24" s="79"/>
      <c r="L24" s="79"/>
      <c r="M24" s="79"/>
      <c r="N24" s="80"/>
    </row>
    <row r="25" spans="1:14" s="1" customFormat="1" ht="14.1" customHeight="1">
      <c r="A25" s="109">
        <v>12</v>
      </c>
      <c r="B25" s="56" t="s">
        <v>245</v>
      </c>
      <c r="C25" s="57"/>
      <c r="D25" s="189"/>
      <c r="E25" s="189"/>
      <c r="F25" s="189"/>
      <c r="G25" s="189"/>
      <c r="H25" s="79">
        <v>4</v>
      </c>
      <c r="I25" s="53">
        <f t="shared" ref="I25:N25" si="6">SUM(H25)+0.2</f>
        <v>4.2</v>
      </c>
      <c r="J25" s="134">
        <f t="shared" si="6"/>
        <v>4.4000000000000004</v>
      </c>
      <c r="K25" s="53">
        <f t="shared" si="6"/>
        <v>4.6000000000000005</v>
      </c>
      <c r="L25" s="53">
        <f t="shared" si="6"/>
        <v>4.8000000000000007</v>
      </c>
      <c r="M25" s="53">
        <f t="shared" si="6"/>
        <v>5.0000000000000009</v>
      </c>
      <c r="N25" s="214">
        <f t="shared" si="6"/>
        <v>5.2000000000000011</v>
      </c>
    </row>
    <row r="26" spans="1:14" s="1" customFormat="1" ht="14.1" customHeight="1" thickBot="1">
      <c r="A26" s="74"/>
      <c r="B26" s="190" t="s">
        <v>566</v>
      </c>
      <c r="C26" s="190"/>
      <c r="D26" s="180"/>
      <c r="E26" s="181"/>
      <c r="F26" s="181"/>
      <c r="G26" s="182"/>
      <c r="H26" s="67"/>
      <c r="I26" s="77"/>
      <c r="J26" s="144"/>
      <c r="K26" s="77"/>
      <c r="L26" s="77"/>
      <c r="M26" s="77"/>
      <c r="N26" s="206"/>
    </row>
    <row r="27" spans="1:14" s="1" customFormat="1" ht="14.1" customHeight="1"/>
    <row r="28" spans="1:14" s="1" customFormat="1" ht="14.1" customHeight="1"/>
    <row r="29" spans="1:14" s="1" customFormat="1" ht="14.1" customHeight="1"/>
    <row r="30" spans="1:14" ht="14.1" customHeight="1"/>
    <row r="31" spans="1:14" ht="14.1" customHeight="1"/>
    <row r="32" spans="1:14" ht="14.1" customHeight="1"/>
    <row r="33" spans="2:7" ht="14.1" customHeight="1"/>
    <row r="34" spans="2:7" ht="14.1" customHeight="1"/>
    <row r="35" spans="2:7" ht="14.1" customHeight="1"/>
    <row r="36" spans="2:7" ht="14.1" customHeight="1"/>
    <row r="37" spans="2:7" ht="14.1" customHeight="1"/>
    <row r="38" spans="2:7" ht="14.1" customHeight="1">
      <c r="B38" s="33"/>
      <c r="C38" s="33"/>
      <c r="D38" s="33"/>
      <c r="E38" s="33"/>
      <c r="F38" s="33"/>
      <c r="G38" s="33"/>
    </row>
    <row r="39" spans="2:7" ht="14.1" customHeight="1">
      <c r="B39" s="33"/>
      <c r="C39" s="33"/>
      <c r="D39" s="33"/>
      <c r="E39" s="33"/>
      <c r="F39" s="33"/>
      <c r="G39" s="33"/>
    </row>
    <row r="40" spans="2:7" ht="14.1" customHeight="1">
      <c r="B40" s="33"/>
      <c r="C40" s="33"/>
      <c r="D40" s="33"/>
      <c r="E40" s="33"/>
      <c r="F40" s="33"/>
      <c r="G40" s="33"/>
    </row>
    <row r="41" spans="2:7" ht="14.1" customHeight="1">
      <c r="B41" s="33"/>
      <c r="C41" s="33"/>
      <c r="D41" s="33"/>
      <c r="E41" s="33"/>
      <c r="F41" s="33"/>
      <c r="G41" s="33"/>
    </row>
    <row r="42" spans="2:7" ht="14.1" customHeight="1"/>
    <row r="43" spans="2:7" ht="14.1" customHeight="1"/>
    <row r="44" spans="2:7" ht="14.1" customHeight="1"/>
    <row r="45" spans="2:7" ht="14.1" customHeight="1"/>
    <row r="46" spans="2:7" ht="14.1" customHeight="1"/>
    <row r="47" spans="2:7" ht="14.1" customHeight="1"/>
    <row r="48" spans="2:7" ht="14.1" customHeight="1"/>
    <row r="49" ht="14.1" customHeight="1"/>
    <row r="50" ht="14.1" customHeight="1"/>
    <row r="51" ht="14.1" customHeight="1"/>
  </sheetData>
  <mergeCells count="14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C625-0BDF-4152-BCB5-748C878123D3}">
  <sheetPr>
    <tabColor theme="8"/>
    <pageSetUpPr fitToPage="1"/>
  </sheetPr>
  <dimension ref="A1:N74"/>
  <sheetViews>
    <sheetView zoomScale="110" zoomScaleNormal="110" workbookViewId="0">
      <selection sqref="A1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105" t="s">
        <v>568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3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41</v>
      </c>
      <c r="I3" s="52">
        <f>SUM(J3)-3.5</f>
        <v>44.5</v>
      </c>
      <c r="J3" s="193">
        <v>48</v>
      </c>
      <c r="K3" s="194">
        <f>SUM(J3)+3</f>
        <v>51</v>
      </c>
      <c r="L3" s="194">
        <f t="shared" ref="L3:M3" si="0">SUM(K3)+3</f>
        <v>54</v>
      </c>
      <c r="M3" s="195">
        <f t="shared" si="0"/>
        <v>57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64"/>
    </row>
    <row r="5" spans="1:14" s="1" customFormat="1" ht="14.1" customHeight="1">
      <c r="A5" s="109">
        <v>2</v>
      </c>
      <c r="B5" s="202" t="s">
        <v>268</v>
      </c>
      <c r="C5" s="203"/>
      <c r="D5" s="58" t="s">
        <v>269</v>
      </c>
      <c r="E5" s="59"/>
      <c r="F5" s="59"/>
      <c r="G5" s="60"/>
      <c r="H5" s="52">
        <f>SUM(I5)-4.5</f>
        <v>45</v>
      </c>
      <c r="I5" s="52">
        <f>SUM(J5)-4.5</f>
        <v>49.5</v>
      </c>
      <c r="J5" s="37">
        <v>54</v>
      </c>
      <c r="K5" s="38">
        <f>SUM(J5)+4.5</f>
        <v>58.5</v>
      </c>
      <c r="L5" s="38">
        <f t="shared" ref="L5:M5" si="1">SUM(K5)+4.5</f>
        <v>63</v>
      </c>
      <c r="M5" s="63">
        <f t="shared" si="1"/>
        <v>67.5</v>
      </c>
    </row>
    <row r="6" spans="1:14" s="1" customFormat="1" ht="14.1" customHeight="1">
      <c r="A6" s="45"/>
      <c r="B6" s="40" t="s">
        <v>270</v>
      </c>
      <c r="C6" s="41"/>
      <c r="D6" s="42" t="s">
        <v>271</v>
      </c>
      <c r="E6" s="43"/>
      <c r="F6" s="43"/>
      <c r="G6" s="44"/>
      <c r="H6" s="79"/>
      <c r="I6" s="79"/>
      <c r="J6" s="37"/>
      <c r="K6" s="38"/>
      <c r="L6" s="38"/>
      <c r="M6" s="63"/>
    </row>
    <row r="7" spans="1:14" s="1" customFormat="1" ht="14.1" customHeight="1">
      <c r="A7" s="109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37.5</v>
      </c>
      <c r="I7" s="52">
        <f>SUM(J7)-2.25</f>
        <v>39.75</v>
      </c>
      <c r="J7" s="54">
        <v>42</v>
      </c>
      <c r="K7" s="52">
        <f>SUM(J7)+2</f>
        <v>44</v>
      </c>
      <c r="L7" s="52">
        <f>SUM(K7)+2</f>
        <v>46</v>
      </c>
      <c r="M7" s="64">
        <f>SUM(L7)+2</f>
        <v>48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80"/>
    </row>
    <row r="9" spans="1:14" s="1" customFormat="1" ht="14.1" customHeight="1">
      <c r="A9" s="109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SUM(I9)-1.8</f>
        <v>30.400000000000002</v>
      </c>
      <c r="I9" s="52">
        <f>SUM(J9)-1.8</f>
        <v>32.200000000000003</v>
      </c>
      <c r="J9" s="54">
        <v>34</v>
      </c>
      <c r="K9" s="52">
        <f>SUM(J9)+1.6</f>
        <v>35.6</v>
      </c>
      <c r="L9" s="52">
        <f t="shared" ref="L9:M9" si="2">SUM(K9)+1.6</f>
        <v>37.200000000000003</v>
      </c>
      <c r="M9" s="64">
        <f t="shared" si="2"/>
        <v>38.800000000000004</v>
      </c>
    </row>
    <row r="10" spans="1:14" s="1" customFormat="1" ht="14.1" customHeight="1">
      <c r="A10" s="45"/>
      <c r="B10" s="61" t="s">
        <v>25</v>
      </c>
      <c r="C10" s="61"/>
      <c r="D10" s="42" t="s">
        <v>434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4" s="1" customFormat="1" ht="14.1" customHeight="1">
      <c r="A11" s="109">
        <v>5</v>
      </c>
      <c r="B11" s="81" t="s">
        <v>10</v>
      </c>
      <c r="C11" s="81"/>
      <c r="D11" s="78" t="s">
        <v>0</v>
      </c>
      <c r="E11" s="78"/>
      <c r="F11" s="78"/>
      <c r="G11" s="78"/>
      <c r="H11" s="52"/>
      <c r="I11" s="52"/>
      <c r="J11" s="37"/>
      <c r="K11" s="38"/>
      <c r="L11" s="38"/>
      <c r="M11" s="63"/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63"/>
    </row>
    <row r="13" spans="1:14" s="1" customFormat="1" ht="14.1" customHeight="1">
      <c r="A13" s="109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16.399999999999999</v>
      </c>
      <c r="I13" s="52">
        <f>SUM(J13)-0.6</f>
        <v>17</v>
      </c>
      <c r="J13" s="37">
        <v>17.600000000000001</v>
      </c>
      <c r="K13" s="38">
        <f>SUM(J13)+0.6</f>
        <v>18.200000000000003</v>
      </c>
      <c r="L13" s="38">
        <f>SUM(K13)+0.6</f>
        <v>18.800000000000004</v>
      </c>
      <c r="M13" s="63">
        <f>SUM(L13)+0.6</f>
        <v>19.400000000000006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63"/>
    </row>
    <row r="15" spans="1:14" s="1" customFormat="1" ht="14.1" customHeight="1">
      <c r="A15" s="109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6.1000000000000005</v>
      </c>
      <c r="I15" s="52">
        <f>SUM(J15)-0.3</f>
        <v>6.4</v>
      </c>
      <c r="J15" s="37">
        <v>6.7</v>
      </c>
      <c r="K15" s="38">
        <f>SUM(J15)+0.3</f>
        <v>7</v>
      </c>
      <c r="L15" s="38">
        <f>SUM(K15)+0.3</f>
        <v>7.3</v>
      </c>
      <c r="M15" s="63">
        <f>SUM(L15)+0.3</f>
        <v>7.6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63"/>
    </row>
    <row r="17" spans="1:13" s="1" customFormat="1" ht="14.1" customHeight="1">
      <c r="A17" s="109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40.799999999999997</v>
      </c>
      <c r="I17" s="52">
        <f>SUM(J17)-1.6</f>
        <v>42.4</v>
      </c>
      <c r="J17" s="37">
        <v>44</v>
      </c>
      <c r="K17" s="38">
        <f>SUM(J17)+1.6</f>
        <v>45.6</v>
      </c>
      <c r="L17" s="38">
        <f>SUM(K17)+1.6</f>
        <v>47.2</v>
      </c>
      <c r="M17" s="63">
        <f>SUM(L17)+1.6</f>
        <v>48.800000000000004</v>
      </c>
    </row>
    <row r="18" spans="1:13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63"/>
    </row>
    <row r="19" spans="1:13" s="1" customFormat="1" ht="14.1" customHeight="1">
      <c r="A19" s="109">
        <v>9</v>
      </c>
      <c r="B19" s="81" t="s">
        <v>4</v>
      </c>
      <c r="C19" s="81"/>
      <c r="D19" s="78" t="s">
        <v>5</v>
      </c>
      <c r="E19" s="78"/>
      <c r="F19" s="78"/>
      <c r="G19" s="78"/>
      <c r="H19" s="52"/>
      <c r="I19" s="52"/>
      <c r="J19" s="37"/>
      <c r="K19" s="38"/>
      <c r="L19" s="38"/>
      <c r="M19" s="63"/>
    </row>
    <row r="20" spans="1:13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63"/>
    </row>
    <row r="21" spans="1:13" s="1" customFormat="1" ht="14.1" customHeight="1">
      <c r="A21" s="109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SUM(I21)-1.7</f>
        <v>29.5</v>
      </c>
      <c r="I21" s="52">
        <f>SUM(J21)-1.7</f>
        <v>31.2</v>
      </c>
      <c r="J21" s="37">
        <v>32.9</v>
      </c>
      <c r="K21" s="38">
        <f>SUM(J21)+1.7</f>
        <v>34.6</v>
      </c>
      <c r="L21" s="38">
        <f t="shared" ref="L21:M21" si="3">SUM(K21)+1.7</f>
        <v>36.300000000000004</v>
      </c>
      <c r="M21" s="63">
        <f t="shared" si="3"/>
        <v>38.000000000000007</v>
      </c>
    </row>
    <row r="22" spans="1:13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63"/>
    </row>
    <row r="23" spans="1:13" s="1" customFormat="1" ht="14.1" customHeight="1">
      <c r="A23" s="109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63">
        <f>SUM(L23)+0.6</f>
        <v>17</v>
      </c>
    </row>
    <row r="24" spans="1:13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63"/>
    </row>
    <row r="25" spans="1:13" s="1" customFormat="1" ht="14.1" customHeight="1">
      <c r="A25" s="109">
        <v>12</v>
      </c>
      <c r="B25" s="47" t="s">
        <v>437</v>
      </c>
      <c r="C25" s="48"/>
      <c r="D25" s="78"/>
      <c r="E25" s="78"/>
      <c r="F25" s="78"/>
      <c r="G25" s="78"/>
      <c r="H25" s="52">
        <f>SUM(I25)-1</f>
        <v>6</v>
      </c>
      <c r="I25" s="52">
        <f>SUM(J25)-1</f>
        <v>7</v>
      </c>
      <c r="J25" s="37">
        <v>8</v>
      </c>
      <c r="K25" s="38">
        <f>SUM(J25)+0.3</f>
        <v>8.3000000000000007</v>
      </c>
      <c r="L25" s="38">
        <f t="shared" ref="L25:M25" si="4">SUM(K25)+0.8</f>
        <v>9.1000000000000014</v>
      </c>
      <c r="M25" s="63">
        <f t="shared" si="4"/>
        <v>9.9000000000000021</v>
      </c>
    </row>
    <row r="26" spans="1:13" s="1" customFormat="1" ht="14.1" customHeight="1">
      <c r="A26" s="45"/>
      <c r="B26" s="40" t="s">
        <v>436</v>
      </c>
      <c r="C26" s="41"/>
      <c r="D26" s="126" t="s">
        <v>438</v>
      </c>
      <c r="E26" s="43"/>
      <c r="F26" s="43"/>
      <c r="G26" s="44"/>
      <c r="H26" s="79"/>
      <c r="I26" s="79"/>
      <c r="J26" s="37"/>
      <c r="K26" s="38"/>
      <c r="L26" s="38"/>
      <c r="M26" s="63"/>
    </row>
    <row r="27" spans="1:13" s="1" customFormat="1" ht="14.1" customHeight="1">
      <c r="A27" s="109">
        <v>13</v>
      </c>
      <c r="B27" s="47" t="s">
        <v>120</v>
      </c>
      <c r="C27" s="48"/>
      <c r="D27" s="49" t="s">
        <v>272</v>
      </c>
      <c r="E27" s="50"/>
      <c r="F27" s="50"/>
      <c r="G27" s="51"/>
      <c r="H27" s="52">
        <f>SUM(I27)-0.4</f>
        <v>6.1999999999999993</v>
      </c>
      <c r="I27" s="52">
        <f>SUM(J27)-0.4</f>
        <v>6.6</v>
      </c>
      <c r="J27" s="37">
        <v>7</v>
      </c>
      <c r="K27" s="38">
        <f>SUM(J27)+0.4</f>
        <v>7.4</v>
      </c>
      <c r="L27" s="38">
        <f t="shared" ref="L27:M27" si="5">SUM(K27)+0.4</f>
        <v>7.8000000000000007</v>
      </c>
      <c r="M27" s="63">
        <f t="shared" si="5"/>
        <v>8.2000000000000011</v>
      </c>
    </row>
    <row r="28" spans="1:13" s="1" customFormat="1" ht="14.1" customHeight="1" thickBot="1">
      <c r="A28" s="74"/>
      <c r="B28" s="178" t="s">
        <v>128</v>
      </c>
      <c r="C28" s="179"/>
      <c r="D28" s="180" t="s">
        <v>585</v>
      </c>
      <c r="E28" s="181"/>
      <c r="F28" s="181"/>
      <c r="G28" s="182"/>
      <c r="H28" s="77"/>
      <c r="I28" s="77"/>
      <c r="J28" s="66"/>
      <c r="K28" s="67"/>
      <c r="L28" s="67"/>
      <c r="M28" s="6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835A-3CDF-4504-97E3-ACA965294942}">
  <sheetPr>
    <tabColor theme="8"/>
    <pageSetUpPr fitToPage="1"/>
  </sheetPr>
  <dimension ref="A1:N51"/>
  <sheetViews>
    <sheetView zoomScale="110" zoomScaleNormal="110" workbookViewId="0">
      <selection sqref="A1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05" t="s">
        <v>584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7"/>
    </row>
    <row r="2" spans="1:14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22" t="s">
        <v>130</v>
      </c>
      <c r="N2" s="8" t="s">
        <v>145</v>
      </c>
    </row>
    <row r="3" spans="1:14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SUM(I3)-3.5</f>
        <v>36.5</v>
      </c>
      <c r="I3" s="52">
        <f>SUM(J3)-3.5</f>
        <v>40</v>
      </c>
      <c r="J3" s="193">
        <v>43.5</v>
      </c>
      <c r="K3" s="194">
        <f>SUM(J3)+3</f>
        <v>46.5</v>
      </c>
      <c r="L3" s="194">
        <f t="shared" ref="L3:N3" si="0">SUM(K3)+3</f>
        <v>49.5</v>
      </c>
      <c r="M3" s="194">
        <f t="shared" si="0"/>
        <v>52.5</v>
      </c>
      <c r="N3" s="195">
        <f t="shared" si="0"/>
        <v>55.5</v>
      </c>
    </row>
    <row r="4" spans="1:14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64"/>
    </row>
    <row r="5" spans="1:14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SUM(I5)-2</f>
        <v>30</v>
      </c>
      <c r="I5" s="52">
        <f>SUM(J5)-2</f>
        <v>32</v>
      </c>
      <c r="J5" s="54">
        <v>34</v>
      </c>
      <c r="K5" s="52">
        <f>SUM(J5)+1.8</f>
        <v>35.799999999999997</v>
      </c>
      <c r="L5" s="52">
        <f t="shared" ref="L5:M5" si="1">SUM(K5)+1.8</f>
        <v>37.599999999999994</v>
      </c>
      <c r="M5" s="52">
        <f t="shared" si="1"/>
        <v>39.399999999999991</v>
      </c>
      <c r="N5" s="64">
        <f t="shared" ref="N5" si="2">SUM(M5)+1.8</f>
        <v>41.199999999999989</v>
      </c>
    </row>
    <row r="6" spans="1:14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80"/>
    </row>
    <row r="7" spans="1:14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32.5</v>
      </c>
      <c r="I7" s="52">
        <f>SUM(J7)-2.25</f>
        <v>34.75</v>
      </c>
      <c r="J7" s="54">
        <v>37</v>
      </c>
      <c r="K7" s="52">
        <f>SUM(J7)+2</f>
        <v>39</v>
      </c>
      <c r="L7" s="52">
        <f>SUM(K7)+2</f>
        <v>41</v>
      </c>
      <c r="M7" s="52">
        <f>SUM(L7)+2</f>
        <v>43</v>
      </c>
      <c r="N7" s="64">
        <f>SUM(M7)+2</f>
        <v>45</v>
      </c>
    </row>
    <row r="8" spans="1:14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80"/>
    </row>
    <row r="9" spans="1:14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32.5</v>
      </c>
      <c r="I9" s="52">
        <f>SUM(J9)-2.25</f>
        <v>34.75</v>
      </c>
      <c r="J9" s="54">
        <v>37</v>
      </c>
      <c r="K9" s="52">
        <f>SUM(J9)+2</f>
        <v>39</v>
      </c>
      <c r="L9" s="52">
        <f t="shared" ref="L9:N9" si="3">SUM(K9)+2</f>
        <v>41</v>
      </c>
      <c r="M9" s="52">
        <f t="shared" si="3"/>
        <v>43</v>
      </c>
      <c r="N9" s="64">
        <f t="shared" si="3"/>
        <v>45</v>
      </c>
    </row>
    <row r="10" spans="1:14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80"/>
    </row>
    <row r="11" spans="1:14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13.099999999999998</v>
      </c>
      <c r="I11" s="52">
        <f>SUM(J11)-0.8</f>
        <v>13.899999999999999</v>
      </c>
      <c r="J11" s="37">
        <v>14.7</v>
      </c>
      <c r="K11" s="38">
        <f>SUM(J11)+0.8</f>
        <v>15.5</v>
      </c>
      <c r="L11" s="38">
        <f t="shared" ref="L11:M11" si="4">SUM(K11)+0.8</f>
        <v>16.3</v>
      </c>
      <c r="M11" s="38">
        <f t="shared" si="4"/>
        <v>17.100000000000001</v>
      </c>
      <c r="N11" s="63">
        <f t="shared" ref="N11" si="5">SUM(M11)+0.8</f>
        <v>17.900000000000002</v>
      </c>
    </row>
    <row r="12" spans="1:14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63"/>
    </row>
    <row r="13" spans="1:14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14.8</v>
      </c>
      <c r="I13" s="52">
        <f>SUM(J13)-0.6</f>
        <v>15.4</v>
      </c>
      <c r="J13" s="37">
        <v>16</v>
      </c>
      <c r="K13" s="38">
        <f>SUM(J13)+0.6</f>
        <v>16.600000000000001</v>
      </c>
      <c r="L13" s="38">
        <f t="shared" ref="L13:N13" si="6">SUM(K13)+0.6</f>
        <v>17.200000000000003</v>
      </c>
      <c r="M13" s="38">
        <f t="shared" si="6"/>
        <v>17.800000000000004</v>
      </c>
      <c r="N13" s="63">
        <f t="shared" si="6"/>
        <v>18.400000000000006</v>
      </c>
    </row>
    <row r="14" spans="1:14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63"/>
    </row>
    <row r="15" spans="1:14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5.7</v>
      </c>
      <c r="I15" s="52">
        <f>SUM(J15)-0.3</f>
        <v>6</v>
      </c>
      <c r="J15" s="37">
        <v>6.3</v>
      </c>
      <c r="K15" s="38">
        <f>SUM(J15)+0.3</f>
        <v>6.6</v>
      </c>
      <c r="L15" s="38">
        <f>SUM(K15)+0.3</f>
        <v>6.8999999999999995</v>
      </c>
      <c r="M15" s="38">
        <f>SUM(L15)+0.3</f>
        <v>7.1999999999999993</v>
      </c>
      <c r="N15" s="63">
        <f>SUM(M15)+0.3</f>
        <v>7.4999999999999991</v>
      </c>
    </row>
    <row r="16" spans="1:14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63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36.799999999999997</v>
      </c>
      <c r="I17" s="52">
        <f>SUM(J17)-1.6</f>
        <v>38.4</v>
      </c>
      <c r="J17" s="37">
        <v>40</v>
      </c>
      <c r="K17" s="38">
        <f>SUM(J17)+1.6</f>
        <v>41.6</v>
      </c>
      <c r="L17" s="38">
        <f>SUM(K17)+1.6</f>
        <v>43.2</v>
      </c>
      <c r="M17" s="38">
        <f>SUM(L17)+1.6</f>
        <v>44.800000000000004</v>
      </c>
      <c r="N17" s="63">
        <f>SUM(M17)+1.6</f>
        <v>46.400000000000006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63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SUM(I19)-3.5</f>
        <v>29.5</v>
      </c>
      <c r="I19" s="52">
        <f>SUM(J19)-3.5</f>
        <v>33</v>
      </c>
      <c r="J19" s="37">
        <v>36.5</v>
      </c>
      <c r="K19" s="38">
        <f>SUM(J19)+3.6</f>
        <v>40.1</v>
      </c>
      <c r="L19" s="38">
        <f t="shared" ref="L19:M19" si="7">SUM(K19)+3.6</f>
        <v>43.7</v>
      </c>
      <c r="M19" s="38">
        <f t="shared" si="7"/>
        <v>47.300000000000004</v>
      </c>
      <c r="N19" s="63">
        <f t="shared" ref="N19" si="8">SUM(M19)+3.6</f>
        <v>50.900000000000006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63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SUM(I21)-1.5</f>
        <v>23.6</v>
      </c>
      <c r="I21" s="52">
        <f>SUM(J21)-1.5</f>
        <v>25.1</v>
      </c>
      <c r="J21" s="37">
        <v>26.6</v>
      </c>
      <c r="K21" s="38">
        <f>SUM(J21)+1.5</f>
        <v>28.1</v>
      </c>
      <c r="L21" s="38">
        <f t="shared" ref="L21:N21" si="9">SUM(K21)+1.5</f>
        <v>29.6</v>
      </c>
      <c r="M21" s="38">
        <f t="shared" si="9"/>
        <v>31.1</v>
      </c>
      <c r="N21" s="63">
        <f t="shared" si="9"/>
        <v>32.6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63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SUM(I23)-0.7</f>
        <v>16.600000000000001</v>
      </c>
      <c r="I23" s="52">
        <f>SUM(J23)-0.7</f>
        <v>17.3</v>
      </c>
      <c r="J23" s="37">
        <v>18</v>
      </c>
      <c r="K23" s="38">
        <f>SUM(J23)+0.7</f>
        <v>18.7</v>
      </c>
      <c r="L23" s="38">
        <f t="shared" ref="L23:N23" si="10">SUM(K23)+0.7</f>
        <v>19.399999999999999</v>
      </c>
      <c r="M23" s="38">
        <f t="shared" si="10"/>
        <v>20.099999999999998</v>
      </c>
      <c r="N23" s="63">
        <f t="shared" si="10"/>
        <v>20.799999999999997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63"/>
    </row>
    <row r="25" spans="1:14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SUM(I25)-0.4</f>
        <v>5.4999999999999991</v>
      </c>
      <c r="I25" s="52">
        <f>SUM(J25)-0.4</f>
        <v>5.8999999999999995</v>
      </c>
      <c r="J25" s="37">
        <v>6.3</v>
      </c>
      <c r="K25" s="38">
        <f>SUM(J25)+0.4</f>
        <v>6.7</v>
      </c>
      <c r="L25" s="38">
        <f t="shared" ref="L25:M25" si="11">SUM(K25)+0.4</f>
        <v>7.1000000000000005</v>
      </c>
      <c r="M25" s="38">
        <f t="shared" si="11"/>
        <v>7.5000000000000009</v>
      </c>
      <c r="N25" s="63">
        <f t="shared" ref="N25" si="12">SUM(M25)+0.4</f>
        <v>7.9000000000000012</v>
      </c>
    </row>
    <row r="26" spans="1:14" s="1" customFormat="1" ht="14.1" customHeight="1">
      <c r="A26" s="45"/>
      <c r="B26" s="40" t="s">
        <v>128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38"/>
      <c r="N26" s="63"/>
    </row>
    <row r="27" spans="1:14" s="1" customFormat="1" ht="14.1" customHeight="1">
      <c r="A27" s="45">
        <v>13</v>
      </c>
      <c r="B27" s="56"/>
      <c r="C27" s="57"/>
      <c r="D27" s="183"/>
      <c r="E27" s="184"/>
      <c r="F27" s="184"/>
      <c r="G27" s="185"/>
      <c r="H27" s="53"/>
      <c r="I27" s="53"/>
      <c r="J27" s="83"/>
      <c r="K27" s="79"/>
      <c r="L27" s="79"/>
      <c r="M27" s="79"/>
      <c r="N27" s="80"/>
    </row>
    <row r="28" spans="1:14" s="1" customFormat="1" ht="14.1" customHeight="1">
      <c r="A28" s="45"/>
      <c r="B28" s="40"/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38"/>
      <c r="N28" s="63"/>
    </row>
    <row r="29" spans="1:14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52"/>
      <c r="N29" s="64"/>
    </row>
    <row r="30" spans="1:14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77"/>
      <c r="N30" s="141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N25:N26"/>
    <mergeCell ref="N27:N28"/>
    <mergeCell ref="N29:N30"/>
    <mergeCell ref="A1:N1"/>
    <mergeCell ref="N13:N14"/>
    <mergeCell ref="N15:N16"/>
    <mergeCell ref="N17:N18"/>
    <mergeCell ref="N19:N20"/>
    <mergeCell ref="N21:N22"/>
    <mergeCell ref="N23:N24"/>
    <mergeCell ref="K29:K30"/>
    <mergeCell ref="L29:L30"/>
    <mergeCell ref="M29:M30"/>
    <mergeCell ref="B30:C30"/>
    <mergeCell ref="D30:G30"/>
    <mergeCell ref="N3:N4"/>
    <mergeCell ref="N5:N6"/>
    <mergeCell ref="N7:N8"/>
    <mergeCell ref="N9:N10"/>
    <mergeCell ref="N11:N1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1E81-966F-4F90-A41A-5DB48DDC0D89}">
  <sheetPr>
    <tabColor theme="8"/>
    <pageSetUpPr fitToPage="1"/>
  </sheetPr>
  <dimension ref="A1:M51"/>
  <sheetViews>
    <sheetView tabSelected="1" zoomScale="110" zoomScaleNormal="110" workbookViewId="0">
      <selection activeCell="O16" sqref="O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105" t="s">
        <v>651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</row>
    <row r="3" spans="1:13" s="1" customFormat="1" ht="14.1" customHeight="1">
      <c r="A3" s="109">
        <v>1</v>
      </c>
      <c r="B3" s="191" t="s">
        <v>39</v>
      </c>
      <c r="C3" s="191"/>
      <c r="D3" s="192" t="s">
        <v>64</v>
      </c>
      <c r="E3" s="192"/>
      <c r="F3" s="192"/>
      <c r="G3" s="112"/>
      <c r="H3" s="52">
        <f>SUM(I3)-3</f>
        <v>34</v>
      </c>
      <c r="I3" s="52">
        <f>SUM(J3)-3</f>
        <v>37</v>
      </c>
      <c r="J3" s="193">
        <v>40</v>
      </c>
      <c r="K3" s="115">
        <f>SUM(J3)+2.5</f>
        <v>42.5</v>
      </c>
      <c r="L3" s="115">
        <f>SUM(K3)+2.5</f>
        <v>45</v>
      </c>
      <c r="M3" s="120"/>
    </row>
    <row r="4" spans="1:13" s="1" customFormat="1" ht="14.1" customHeight="1">
      <c r="A4" s="45"/>
      <c r="B4" s="61" t="s">
        <v>36</v>
      </c>
      <c r="C4" s="61"/>
      <c r="D4" s="42" t="s">
        <v>652</v>
      </c>
      <c r="E4" s="43"/>
      <c r="F4" s="43"/>
      <c r="G4" s="43"/>
      <c r="H4" s="79"/>
      <c r="I4" s="79"/>
      <c r="J4" s="54"/>
      <c r="K4" s="79"/>
      <c r="L4" s="79"/>
      <c r="M4" s="80"/>
    </row>
    <row r="5" spans="1:13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SUM(I5)-1.6</f>
        <v>25.799999999999997</v>
      </c>
      <c r="I5" s="52">
        <f>SUM(J5)-1.6</f>
        <v>27.4</v>
      </c>
      <c r="J5" s="54">
        <v>29</v>
      </c>
      <c r="K5" s="52">
        <f>SUM(J5)+1.6</f>
        <v>30.6</v>
      </c>
      <c r="L5" s="52">
        <f>SUM(K5)+1.6</f>
        <v>32.200000000000003</v>
      </c>
      <c r="M5" s="64"/>
    </row>
    <row r="6" spans="1:13" s="1" customFormat="1" ht="14.1" customHeight="1">
      <c r="A6" s="45"/>
      <c r="B6" s="61" t="s">
        <v>656</v>
      </c>
      <c r="C6" s="61"/>
      <c r="D6" s="42" t="s">
        <v>657</v>
      </c>
      <c r="E6" s="43"/>
      <c r="F6" s="43"/>
      <c r="G6" s="44"/>
      <c r="H6" s="79"/>
      <c r="I6" s="79"/>
      <c r="J6" s="83"/>
      <c r="K6" s="79"/>
      <c r="L6" s="79"/>
      <c r="M6" s="80"/>
    </row>
    <row r="7" spans="1:13" s="1" customFormat="1" ht="14.1" customHeight="1">
      <c r="A7" s="45">
        <v>3</v>
      </c>
      <c r="B7" s="81" t="s">
        <v>35</v>
      </c>
      <c r="C7" s="81"/>
      <c r="D7" s="78" t="s">
        <v>242</v>
      </c>
      <c r="E7" s="78"/>
      <c r="F7" s="78"/>
      <c r="G7" s="78"/>
      <c r="H7" s="52">
        <f>SUM(I7)-2</f>
        <v>34</v>
      </c>
      <c r="I7" s="52">
        <f>SUM(J7)-2</f>
        <v>36</v>
      </c>
      <c r="J7" s="54">
        <v>38</v>
      </c>
      <c r="K7" s="52">
        <f>SUM(J7)+2</f>
        <v>40</v>
      </c>
      <c r="L7" s="52">
        <f>SUM(K7)+2</f>
        <v>42</v>
      </c>
      <c r="M7" s="64"/>
    </row>
    <row r="8" spans="1:13" s="1" customFormat="1" ht="14.1" customHeight="1">
      <c r="A8" s="45"/>
      <c r="B8" s="61" t="s">
        <v>40</v>
      </c>
      <c r="C8" s="61"/>
      <c r="D8" s="42" t="s">
        <v>653</v>
      </c>
      <c r="E8" s="43"/>
      <c r="F8" s="43"/>
      <c r="G8" s="44"/>
      <c r="H8" s="79"/>
      <c r="I8" s="79"/>
      <c r="J8" s="83"/>
      <c r="K8" s="79"/>
      <c r="L8" s="79"/>
      <c r="M8" s="80"/>
    </row>
    <row r="9" spans="1:13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SUM(I9)-1.4</f>
        <v>22.200000000000003</v>
      </c>
      <c r="I9" s="52">
        <f>SUM(J9)-1.4</f>
        <v>23.6</v>
      </c>
      <c r="J9" s="54">
        <v>25</v>
      </c>
      <c r="K9" s="52">
        <f>SUM(J9)+1.4</f>
        <v>26.4</v>
      </c>
      <c r="L9" s="52">
        <f>SUM(K9)+1.4</f>
        <v>27.799999999999997</v>
      </c>
      <c r="M9" s="64"/>
    </row>
    <row r="10" spans="1:13" s="1" customFormat="1" ht="14.1" customHeight="1">
      <c r="A10" s="45"/>
      <c r="B10" s="61" t="s">
        <v>25</v>
      </c>
      <c r="C10" s="61"/>
      <c r="D10" s="42" t="s">
        <v>654</v>
      </c>
      <c r="E10" s="43"/>
      <c r="F10" s="43"/>
      <c r="G10" s="44"/>
      <c r="H10" s="79"/>
      <c r="I10" s="79"/>
      <c r="J10" s="83"/>
      <c r="K10" s="79"/>
      <c r="L10" s="79"/>
      <c r="M10" s="80"/>
    </row>
    <row r="11" spans="1:13" s="1" customFormat="1" ht="14.1" customHeight="1">
      <c r="A11" s="45">
        <v>5</v>
      </c>
      <c r="B11" s="81" t="s">
        <v>243</v>
      </c>
      <c r="C11" s="81"/>
      <c r="D11" s="78"/>
      <c r="E11" s="78"/>
      <c r="F11" s="78"/>
      <c r="G11" s="78"/>
      <c r="H11" s="52">
        <f>SUM(I11)-0</f>
        <v>3</v>
      </c>
      <c r="I11" s="52">
        <f>SUM(J11)-0</f>
        <v>3</v>
      </c>
      <c r="J11" s="54">
        <v>3</v>
      </c>
      <c r="K11" s="52">
        <f>SUM(J11)+0.5</f>
        <v>3.5</v>
      </c>
      <c r="L11" s="52">
        <f>SUM(K11)+0</f>
        <v>3.5</v>
      </c>
      <c r="M11" s="64"/>
    </row>
    <row r="12" spans="1:13" s="1" customFormat="1" ht="14.1" customHeight="1">
      <c r="A12" s="45"/>
      <c r="B12" s="61" t="s">
        <v>244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80"/>
    </row>
    <row r="13" spans="1:13" s="1" customFormat="1" ht="14.1" customHeight="1">
      <c r="A13" s="45">
        <v>6</v>
      </c>
      <c r="B13" s="81" t="s">
        <v>10</v>
      </c>
      <c r="C13" s="81"/>
      <c r="D13" s="78" t="s">
        <v>0</v>
      </c>
      <c r="E13" s="78"/>
      <c r="F13" s="78"/>
      <c r="G13" s="78"/>
      <c r="H13" s="52">
        <f>SUM(I13)-0.8</f>
        <v>17.899999999999999</v>
      </c>
      <c r="I13" s="52">
        <f>SUM(J13)-0.8</f>
        <v>18.7</v>
      </c>
      <c r="J13" s="37">
        <v>19.5</v>
      </c>
      <c r="K13" s="52">
        <f>SUM(J13)+0.8</f>
        <v>20.3</v>
      </c>
      <c r="L13" s="52">
        <f>SUM(K13)+0.8</f>
        <v>21.1</v>
      </c>
      <c r="M13" s="64"/>
    </row>
    <row r="14" spans="1:13" s="1" customFormat="1" ht="14.1" customHeight="1">
      <c r="A14" s="45"/>
      <c r="B14" s="61" t="s">
        <v>26</v>
      </c>
      <c r="C14" s="61"/>
      <c r="D14" s="42" t="s">
        <v>655</v>
      </c>
      <c r="E14" s="43"/>
      <c r="F14" s="43"/>
      <c r="G14" s="44"/>
      <c r="H14" s="79"/>
      <c r="I14" s="79"/>
      <c r="J14" s="37"/>
      <c r="K14" s="79"/>
      <c r="L14" s="79"/>
      <c r="M14" s="80"/>
    </row>
    <row r="15" spans="1:13" s="1" customFormat="1" ht="14.1" customHeight="1">
      <c r="A15" s="45">
        <v>7</v>
      </c>
      <c r="B15" s="81" t="s">
        <v>1</v>
      </c>
      <c r="C15" s="81"/>
      <c r="D15" s="78" t="s">
        <v>141</v>
      </c>
      <c r="E15" s="78"/>
      <c r="F15" s="78"/>
      <c r="G15" s="78"/>
      <c r="H15" s="52">
        <f>SUM(I15)-0.6</f>
        <v>15.6</v>
      </c>
      <c r="I15" s="52">
        <f>SUM(J15)-0.6</f>
        <v>16.2</v>
      </c>
      <c r="J15" s="37">
        <v>16.8</v>
      </c>
      <c r="K15" s="52">
        <f>SUM(J15)+0.6</f>
        <v>17.400000000000002</v>
      </c>
      <c r="L15" s="52">
        <f>SUM(K15)+0.6</f>
        <v>18.000000000000004</v>
      </c>
      <c r="M15" s="64"/>
    </row>
    <row r="16" spans="1:13" s="1" customFormat="1" ht="14.1" customHeight="1">
      <c r="A16" s="45"/>
      <c r="B16" s="61" t="s">
        <v>27</v>
      </c>
      <c r="C16" s="61"/>
      <c r="D16" s="42" t="s">
        <v>46</v>
      </c>
      <c r="E16" s="43"/>
      <c r="F16" s="43"/>
      <c r="G16" s="44"/>
      <c r="H16" s="79"/>
      <c r="I16" s="79"/>
      <c r="J16" s="37"/>
      <c r="K16" s="79"/>
      <c r="L16" s="79"/>
      <c r="M16" s="80"/>
    </row>
    <row r="17" spans="1:13" s="1" customFormat="1" ht="14.1" customHeight="1">
      <c r="A17" s="45">
        <v>8</v>
      </c>
      <c r="B17" s="81" t="s">
        <v>2</v>
      </c>
      <c r="C17" s="81"/>
      <c r="D17" s="78" t="s">
        <v>3</v>
      </c>
      <c r="E17" s="78"/>
      <c r="F17" s="78"/>
      <c r="G17" s="78"/>
      <c r="H17" s="52">
        <f>SUM(I17)-0.3</f>
        <v>6.5</v>
      </c>
      <c r="I17" s="52">
        <f>SUM(J17)-0.3</f>
        <v>6.8</v>
      </c>
      <c r="J17" s="37">
        <v>7.1</v>
      </c>
      <c r="K17" s="52">
        <f>SUM(J17)+0.3</f>
        <v>7.3999999999999995</v>
      </c>
      <c r="L17" s="52">
        <f>SUM(K17)+0.3</f>
        <v>7.6999999999999993</v>
      </c>
      <c r="M17" s="64"/>
    </row>
    <row r="18" spans="1:13" s="1" customFormat="1" ht="14.1" customHeight="1">
      <c r="A18" s="45"/>
      <c r="B18" s="61" t="s">
        <v>28</v>
      </c>
      <c r="C18" s="61"/>
      <c r="D18" s="42" t="s">
        <v>196</v>
      </c>
      <c r="E18" s="43"/>
      <c r="F18" s="43"/>
      <c r="G18" s="44"/>
      <c r="H18" s="79"/>
      <c r="I18" s="79"/>
      <c r="J18" s="37"/>
      <c r="K18" s="79"/>
      <c r="L18" s="79"/>
      <c r="M18" s="80"/>
    </row>
    <row r="19" spans="1:13" s="1" customFormat="1" ht="14.1" customHeight="1">
      <c r="A19" s="45">
        <v>9</v>
      </c>
      <c r="B19" s="47" t="s">
        <v>245</v>
      </c>
      <c r="C19" s="48"/>
      <c r="D19" s="75"/>
      <c r="E19" s="62"/>
      <c r="F19" s="62"/>
      <c r="G19" s="76"/>
      <c r="H19" s="52">
        <v>2</v>
      </c>
      <c r="I19" s="52">
        <v>2</v>
      </c>
      <c r="J19" s="54">
        <v>2</v>
      </c>
      <c r="K19" s="52">
        <v>2</v>
      </c>
      <c r="L19" s="52">
        <v>2</v>
      </c>
      <c r="M19" s="64"/>
    </row>
    <row r="20" spans="1:13" s="1" customFormat="1" ht="14.1" customHeight="1">
      <c r="A20" s="45"/>
      <c r="B20" s="61" t="s">
        <v>246</v>
      </c>
      <c r="C20" s="61"/>
      <c r="D20" s="42"/>
      <c r="E20" s="43"/>
      <c r="F20" s="43"/>
      <c r="G20" s="44"/>
      <c r="H20" s="79"/>
      <c r="I20" s="79"/>
      <c r="J20" s="83"/>
      <c r="K20" s="79"/>
      <c r="L20" s="79"/>
      <c r="M20" s="80"/>
    </row>
    <row r="21" spans="1:13" s="1" customFormat="1" ht="14.1" customHeight="1">
      <c r="A21" s="45">
        <v>10</v>
      </c>
      <c r="B21" s="47" t="s">
        <v>71</v>
      </c>
      <c r="C21" s="48"/>
      <c r="D21" s="75" t="s">
        <v>72</v>
      </c>
      <c r="E21" s="62"/>
      <c r="F21" s="62"/>
      <c r="G21" s="76"/>
      <c r="H21" s="53"/>
      <c r="I21" s="53"/>
      <c r="J21" s="83"/>
      <c r="K21" s="53"/>
      <c r="L21" s="53"/>
      <c r="M21" s="135"/>
    </row>
    <row r="22" spans="1:13" s="1" customFormat="1" ht="14.1" customHeight="1">
      <c r="A22" s="45"/>
      <c r="B22" s="61" t="s">
        <v>33</v>
      </c>
      <c r="C22" s="61"/>
      <c r="D22" s="42" t="s">
        <v>247</v>
      </c>
      <c r="E22" s="43"/>
      <c r="F22" s="43"/>
      <c r="G22" s="44"/>
      <c r="H22" s="79"/>
      <c r="I22" s="79"/>
      <c r="J22" s="37"/>
      <c r="K22" s="79"/>
      <c r="L22" s="79"/>
      <c r="M22" s="80"/>
    </row>
    <row r="23" spans="1:13" s="1" customFormat="1" ht="14.1" customHeight="1">
      <c r="A23" s="45">
        <v>11</v>
      </c>
      <c r="B23" s="81" t="s">
        <v>4</v>
      </c>
      <c r="C23" s="81"/>
      <c r="D23" s="78" t="s">
        <v>5</v>
      </c>
      <c r="E23" s="78"/>
      <c r="F23" s="78"/>
      <c r="G23" s="78"/>
      <c r="H23" s="52"/>
      <c r="I23" s="52"/>
      <c r="J23" s="54"/>
      <c r="K23" s="52"/>
      <c r="L23" s="52"/>
      <c r="M23" s="64"/>
    </row>
    <row r="24" spans="1:13" s="1" customFormat="1" ht="14.1" customHeight="1">
      <c r="A24" s="45"/>
      <c r="B24" s="61" t="s">
        <v>256</v>
      </c>
      <c r="C24" s="61"/>
      <c r="D24" s="42" t="s">
        <v>47</v>
      </c>
      <c r="E24" s="43"/>
      <c r="F24" s="43"/>
      <c r="G24" s="44"/>
      <c r="H24" s="79"/>
      <c r="I24" s="79"/>
      <c r="J24" s="83"/>
      <c r="K24" s="79"/>
      <c r="L24" s="79"/>
      <c r="M24" s="80"/>
    </row>
    <row r="25" spans="1:13" s="1" customFormat="1" ht="14.1" customHeight="1">
      <c r="A25" s="45">
        <v>12</v>
      </c>
      <c r="B25" s="81" t="s">
        <v>6</v>
      </c>
      <c r="C25" s="81"/>
      <c r="D25" s="75" t="s">
        <v>7</v>
      </c>
      <c r="E25" s="62"/>
      <c r="F25" s="62"/>
      <c r="G25" s="76"/>
      <c r="H25" s="52"/>
      <c r="I25" s="52"/>
      <c r="J25" s="54"/>
      <c r="K25" s="52"/>
      <c r="L25" s="52"/>
      <c r="M25" s="64"/>
    </row>
    <row r="26" spans="1:13" s="1" customFormat="1" ht="14.1" customHeight="1">
      <c r="A26" s="45"/>
      <c r="B26" s="61" t="s">
        <v>30</v>
      </c>
      <c r="C26" s="61"/>
      <c r="D26" s="42" t="s">
        <v>65</v>
      </c>
      <c r="E26" s="43"/>
      <c r="F26" s="43"/>
      <c r="G26" s="44"/>
      <c r="H26" s="79"/>
      <c r="I26" s="79"/>
      <c r="J26" s="83"/>
      <c r="K26" s="79"/>
      <c r="L26" s="79"/>
      <c r="M26" s="80"/>
    </row>
    <row r="27" spans="1:13" s="1" customFormat="1" ht="14.1" customHeight="1">
      <c r="A27" s="45">
        <v>13</v>
      </c>
      <c r="B27" s="47" t="s">
        <v>74</v>
      </c>
      <c r="C27" s="48"/>
      <c r="D27" s="78" t="s">
        <v>66</v>
      </c>
      <c r="E27" s="78"/>
      <c r="F27" s="78"/>
      <c r="G27" s="78"/>
      <c r="H27" s="52"/>
      <c r="I27" s="52"/>
      <c r="J27" s="54"/>
      <c r="K27" s="52"/>
      <c r="L27" s="52"/>
      <c r="M27" s="64"/>
    </row>
    <row r="28" spans="1:13" s="1" customFormat="1" ht="14.1" customHeight="1">
      <c r="A28" s="46"/>
      <c r="B28" s="65" t="s">
        <v>31</v>
      </c>
      <c r="C28" s="65"/>
      <c r="D28" s="58" t="s">
        <v>67</v>
      </c>
      <c r="E28" s="59"/>
      <c r="F28" s="59"/>
      <c r="G28" s="60"/>
      <c r="H28" s="79"/>
      <c r="I28" s="79"/>
      <c r="J28" s="83"/>
      <c r="K28" s="79"/>
      <c r="L28" s="79"/>
      <c r="M28" s="80"/>
    </row>
    <row r="29" spans="1:13" ht="14.1" customHeight="1">
      <c r="A29" s="45">
        <v>14</v>
      </c>
      <c r="B29" s="47" t="s">
        <v>248</v>
      </c>
      <c r="C29" s="48"/>
      <c r="D29" s="75"/>
      <c r="E29" s="62"/>
      <c r="F29" s="62"/>
      <c r="G29" s="76"/>
      <c r="H29" s="52"/>
      <c r="I29" s="52"/>
      <c r="J29" s="54"/>
      <c r="K29" s="52"/>
      <c r="L29" s="52"/>
      <c r="M29" s="64"/>
    </row>
    <row r="30" spans="1:13" ht="14.1" customHeight="1">
      <c r="A30" s="46"/>
      <c r="B30" s="40" t="s">
        <v>249</v>
      </c>
      <c r="C30" s="41"/>
      <c r="D30" s="42"/>
      <c r="E30" s="43"/>
      <c r="F30" s="43"/>
      <c r="G30" s="44"/>
      <c r="H30" s="79"/>
      <c r="I30" s="79"/>
      <c r="J30" s="83"/>
      <c r="K30" s="79"/>
      <c r="L30" s="79"/>
      <c r="M30" s="80"/>
    </row>
    <row r="31" spans="1:13" ht="14.1" customHeight="1">
      <c r="A31" s="45">
        <v>15</v>
      </c>
      <c r="B31" s="47"/>
      <c r="C31" s="48"/>
      <c r="D31" s="78"/>
      <c r="E31" s="78"/>
      <c r="F31" s="78"/>
      <c r="G31" s="78"/>
      <c r="H31" s="52"/>
      <c r="I31" s="52"/>
      <c r="J31" s="54"/>
      <c r="K31" s="52"/>
      <c r="L31" s="52"/>
      <c r="M31" s="64"/>
    </row>
    <row r="32" spans="1:13" ht="14.1" customHeight="1">
      <c r="A32" s="45"/>
      <c r="B32" s="40"/>
      <c r="C32" s="41"/>
      <c r="D32" s="42"/>
      <c r="E32" s="43"/>
      <c r="F32" s="43"/>
      <c r="G32" s="44"/>
      <c r="H32" s="79"/>
      <c r="I32" s="79"/>
      <c r="J32" s="83"/>
      <c r="K32" s="79"/>
      <c r="L32" s="79"/>
      <c r="M32" s="80"/>
    </row>
    <row r="33" spans="1:13" ht="14.1" customHeight="1">
      <c r="A33" s="45">
        <v>16</v>
      </c>
      <c r="B33" s="47"/>
      <c r="C33" s="48"/>
      <c r="D33" s="49"/>
      <c r="E33" s="50"/>
      <c r="F33" s="50"/>
      <c r="G33" s="51"/>
      <c r="H33" s="52"/>
      <c r="I33" s="52"/>
      <c r="J33" s="37"/>
      <c r="K33" s="38"/>
      <c r="L33" s="38"/>
      <c r="M33" s="63"/>
    </row>
    <row r="34" spans="1:13" ht="14.1" customHeight="1">
      <c r="A34" s="46"/>
      <c r="B34" s="40"/>
      <c r="C34" s="41"/>
      <c r="D34" s="42"/>
      <c r="E34" s="43"/>
      <c r="F34" s="43"/>
      <c r="G34" s="44"/>
      <c r="H34" s="53"/>
      <c r="I34" s="53"/>
      <c r="J34" s="54"/>
      <c r="K34" s="52"/>
      <c r="L34" s="52"/>
      <c r="M34" s="64"/>
    </row>
    <row r="35" spans="1:13" ht="14.1" customHeight="1">
      <c r="A35" s="45">
        <v>17</v>
      </c>
      <c r="B35" s="47"/>
      <c r="C35" s="48"/>
      <c r="D35" s="49"/>
      <c r="E35" s="50"/>
      <c r="F35" s="50"/>
      <c r="G35" s="51"/>
      <c r="H35" s="52"/>
      <c r="I35" s="52"/>
      <c r="J35" s="37"/>
      <c r="K35" s="38"/>
      <c r="L35" s="38"/>
      <c r="M35" s="63"/>
    </row>
    <row r="36" spans="1:13" ht="14.1" customHeight="1">
      <c r="A36" s="45"/>
      <c r="B36" s="40"/>
      <c r="C36" s="41"/>
      <c r="D36" s="42"/>
      <c r="E36" s="43"/>
      <c r="F36" s="43"/>
      <c r="G36" s="44"/>
      <c r="H36" s="79"/>
      <c r="I36" s="79"/>
      <c r="J36" s="37"/>
      <c r="K36" s="38"/>
      <c r="L36" s="38"/>
      <c r="M36" s="63"/>
    </row>
    <row r="37" spans="1:13" ht="14.1" customHeight="1">
      <c r="A37" s="109">
        <v>18</v>
      </c>
      <c r="B37" s="65"/>
      <c r="C37" s="65"/>
      <c r="D37" s="189"/>
      <c r="E37" s="189"/>
      <c r="F37" s="189"/>
      <c r="G37" s="189"/>
      <c r="H37" s="53"/>
      <c r="I37" s="53"/>
      <c r="J37" s="134"/>
      <c r="K37" s="53"/>
      <c r="L37" s="53"/>
      <c r="M37" s="135"/>
    </row>
    <row r="38" spans="1:13" ht="14.1" customHeight="1" thickBot="1">
      <c r="A38" s="74"/>
      <c r="B38" s="190"/>
      <c r="C38" s="190"/>
      <c r="D38" s="180"/>
      <c r="E38" s="181"/>
      <c r="F38" s="181"/>
      <c r="G38" s="182"/>
      <c r="H38" s="77"/>
      <c r="I38" s="77"/>
      <c r="J38" s="144"/>
      <c r="K38" s="77"/>
      <c r="L38" s="77"/>
      <c r="M38" s="141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060D-C7BC-4C2A-9256-B05414DCC4A4}">
  <sheetPr>
    <tabColor theme="8"/>
    <pageSetUpPr fitToPage="1"/>
  </sheetPr>
  <dimension ref="A1:Q51"/>
  <sheetViews>
    <sheetView zoomScale="110" zoomScaleNormal="110" workbookViewId="0">
      <selection activeCell="P12" sqref="P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211" t="s">
        <v>645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7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7" s="1" customFormat="1" ht="14.1" customHeight="1">
      <c r="A3" s="204">
        <v>1</v>
      </c>
      <c r="B3" s="110" t="s">
        <v>183</v>
      </c>
      <c r="C3" s="111"/>
      <c r="D3" s="112"/>
      <c r="E3" s="113"/>
      <c r="F3" s="113"/>
      <c r="G3" s="114"/>
      <c r="H3" s="115">
        <f>SUM(I3)-1.5</f>
        <v>16.600000000000001</v>
      </c>
      <c r="I3" s="115">
        <f>SUM(J3)-1.5</f>
        <v>18.100000000000001</v>
      </c>
      <c r="J3" s="116">
        <v>19.600000000000001</v>
      </c>
      <c r="K3" s="115">
        <f>SUM(J3)+1.5</f>
        <v>21.1</v>
      </c>
      <c r="L3" s="115">
        <f>SUM(K3)+1.5</f>
        <v>22.6</v>
      </c>
      <c r="M3" s="115">
        <f>SUM(L3)+1.5</f>
        <v>24.1</v>
      </c>
      <c r="N3" s="210">
        <f>SUM(M3)+1.5</f>
        <v>25.6</v>
      </c>
    </row>
    <row r="4" spans="1:17" s="1" customFormat="1" ht="14.1" customHeight="1">
      <c r="A4" s="45"/>
      <c r="B4" s="61" t="s">
        <v>500</v>
      </c>
      <c r="C4" s="61"/>
      <c r="D4" s="42" t="s">
        <v>646</v>
      </c>
      <c r="E4" s="43"/>
      <c r="F4" s="43"/>
      <c r="G4" s="43"/>
      <c r="H4" s="79"/>
      <c r="I4" s="79"/>
      <c r="J4" s="83"/>
      <c r="K4" s="79"/>
      <c r="L4" s="79"/>
      <c r="M4" s="79"/>
      <c r="N4" s="207"/>
    </row>
    <row r="5" spans="1:17" s="1" customFormat="1" ht="14.1" customHeight="1">
      <c r="A5" s="109">
        <v>2</v>
      </c>
      <c r="B5" s="56" t="s">
        <v>184</v>
      </c>
      <c r="C5" s="57"/>
      <c r="D5" s="58"/>
      <c r="E5" s="59"/>
      <c r="F5" s="59"/>
      <c r="G5" s="60"/>
      <c r="H5" s="53">
        <f>SUM(I5)-1.2</f>
        <v>11.600000000000001</v>
      </c>
      <c r="I5" s="53">
        <f>SUM(J5)-1.2</f>
        <v>12.8</v>
      </c>
      <c r="J5" s="134">
        <v>14</v>
      </c>
      <c r="K5" s="53">
        <f>SUM(J5)+1.2</f>
        <v>15.2</v>
      </c>
      <c r="L5" s="53">
        <f>SUM(K5)+1.2</f>
        <v>16.399999999999999</v>
      </c>
      <c r="M5" s="53">
        <f>SUM(L5)+1.2</f>
        <v>17.599999999999998</v>
      </c>
      <c r="N5" s="214">
        <f>SUM(M5)+1.2</f>
        <v>18.799999999999997</v>
      </c>
    </row>
    <row r="6" spans="1:17" s="1" customFormat="1" ht="14.1" customHeight="1">
      <c r="A6" s="45"/>
      <c r="B6" s="61" t="s">
        <v>502</v>
      </c>
      <c r="C6" s="61"/>
      <c r="D6" s="42" t="s">
        <v>503</v>
      </c>
      <c r="E6" s="43"/>
      <c r="F6" s="43"/>
      <c r="G6" s="43"/>
      <c r="H6" s="79"/>
      <c r="I6" s="79"/>
      <c r="J6" s="83"/>
      <c r="K6" s="79"/>
      <c r="L6" s="79"/>
      <c r="M6" s="79"/>
      <c r="N6" s="207"/>
    </row>
    <row r="7" spans="1:17" s="1" customFormat="1" ht="14.1" customHeight="1">
      <c r="A7" s="109">
        <v>3</v>
      </c>
      <c r="B7" s="81" t="s">
        <v>504</v>
      </c>
      <c r="C7" s="81"/>
      <c r="D7" s="78"/>
      <c r="E7" s="78"/>
      <c r="F7" s="78"/>
      <c r="G7" s="78"/>
      <c r="H7" s="52">
        <f>SUM(I7)-1.7</f>
        <v>21.6</v>
      </c>
      <c r="I7" s="52">
        <f>SUM(J7)-1.7</f>
        <v>23.3</v>
      </c>
      <c r="J7" s="54">
        <v>25</v>
      </c>
      <c r="K7" s="52">
        <f>SUM(J7)+1.7</f>
        <v>26.7</v>
      </c>
      <c r="L7" s="52">
        <f>SUM(K7)+1.7</f>
        <v>28.4</v>
      </c>
      <c r="M7" s="52">
        <f>SUM(L7)+1.7</f>
        <v>30.099999999999998</v>
      </c>
      <c r="N7" s="205">
        <f>SUM(M7)+1.7</f>
        <v>31.799999999999997</v>
      </c>
    </row>
    <row r="8" spans="1:17" s="1" customFormat="1" ht="14.1" customHeight="1">
      <c r="A8" s="45"/>
      <c r="B8" s="61" t="s">
        <v>505</v>
      </c>
      <c r="C8" s="61"/>
      <c r="D8" s="42" t="s">
        <v>649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7" s="1" customFormat="1" ht="14.1" customHeight="1">
      <c r="A9" s="109">
        <v>4</v>
      </c>
      <c r="B9" s="81" t="s">
        <v>507</v>
      </c>
      <c r="C9" s="81"/>
      <c r="D9" s="78"/>
      <c r="E9" s="78"/>
      <c r="F9" s="78"/>
      <c r="G9" s="78"/>
      <c r="H9" s="52">
        <f>SUM(I9)-1</f>
        <v>14</v>
      </c>
      <c r="I9" s="52">
        <f>SUM(J9)-1</f>
        <v>15</v>
      </c>
      <c r="J9" s="54">
        <v>16</v>
      </c>
      <c r="K9" s="52">
        <f>SUM(J9)+1</f>
        <v>17</v>
      </c>
      <c r="L9" s="52">
        <f>SUM(K9)+1</f>
        <v>18</v>
      </c>
      <c r="M9" s="52">
        <f>SUM(L9)+1</f>
        <v>19</v>
      </c>
      <c r="N9" s="205">
        <f>SUM(M9)+1</f>
        <v>20</v>
      </c>
      <c r="O9" s="1" t="s">
        <v>189</v>
      </c>
      <c r="Q9" s="1" t="s">
        <v>641</v>
      </c>
    </row>
    <row r="10" spans="1:17" s="1" customFormat="1" ht="14.1" customHeight="1">
      <c r="A10" s="45"/>
      <c r="B10" s="61" t="s">
        <v>508</v>
      </c>
      <c r="C10" s="61"/>
      <c r="D10" s="42" t="s">
        <v>509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  <c r="Q10" s="1">
        <f>SUM(H11+I11+J11+K11+L11+M11+N11)</f>
        <v>103.60000000000001</v>
      </c>
    </row>
    <row r="11" spans="1:17" s="1" customFormat="1" ht="14.1" customHeight="1">
      <c r="A11" s="109">
        <v>5</v>
      </c>
      <c r="B11" s="81" t="s">
        <v>647</v>
      </c>
      <c r="C11" s="81"/>
      <c r="D11" s="78"/>
      <c r="E11" s="78"/>
      <c r="F11" s="78"/>
      <c r="G11" s="78"/>
      <c r="H11" s="52">
        <f>SUM(I11)-0.8</f>
        <v>12.399999999999999</v>
      </c>
      <c r="I11" s="52">
        <f>SUM(J11)-0.8</f>
        <v>13.2</v>
      </c>
      <c r="J11" s="54">
        <v>14</v>
      </c>
      <c r="K11" s="52">
        <f>SUM(J11)+0.8</f>
        <v>14.8</v>
      </c>
      <c r="L11" s="52">
        <f>SUM(K11)+0.8</f>
        <v>15.600000000000001</v>
      </c>
      <c r="M11" s="52">
        <f>SUM(L11)+0.8</f>
        <v>16.400000000000002</v>
      </c>
      <c r="N11" s="205">
        <f>SUM(M11)+0.8</f>
        <v>17.200000000000003</v>
      </c>
      <c r="Q11" s="1">
        <f>SUM(Q10/91.44/7*1.08)</f>
        <v>0.17480314960629925</v>
      </c>
    </row>
    <row r="12" spans="1:17" s="1" customFormat="1" ht="14.1" customHeight="1">
      <c r="A12" s="45"/>
      <c r="B12" s="61" t="s">
        <v>648</v>
      </c>
      <c r="C12" s="61"/>
      <c r="D12" s="42"/>
      <c r="E12" s="43"/>
      <c r="F12" s="43"/>
      <c r="G12" s="44"/>
      <c r="H12" s="79"/>
      <c r="I12" s="79"/>
      <c r="J12" s="83"/>
      <c r="K12" s="79"/>
      <c r="L12" s="79"/>
      <c r="M12" s="79"/>
      <c r="N12" s="207"/>
    </row>
    <row r="13" spans="1:17" s="1" customFormat="1" ht="14.1" customHeight="1">
      <c r="A13" s="109">
        <v>6</v>
      </c>
      <c r="B13" s="81" t="s">
        <v>35</v>
      </c>
      <c r="C13" s="81"/>
      <c r="D13" s="78" t="s">
        <v>242</v>
      </c>
      <c r="E13" s="78"/>
      <c r="F13" s="78"/>
      <c r="G13" s="78"/>
      <c r="H13" s="52">
        <f>SUM(I13)-2.25</f>
        <v>29.5</v>
      </c>
      <c r="I13" s="52">
        <f>SUM(J13)-2.25</f>
        <v>31.75</v>
      </c>
      <c r="J13" s="54">
        <v>34</v>
      </c>
      <c r="K13" s="52">
        <f>SUM(J13)+2</f>
        <v>36</v>
      </c>
      <c r="L13" s="52">
        <f>SUM(K13)+2</f>
        <v>38</v>
      </c>
      <c r="M13" s="52">
        <f>SUM(L13)+2</f>
        <v>40</v>
      </c>
      <c r="N13" s="205">
        <f>SUM(M13)+2</f>
        <v>42</v>
      </c>
    </row>
    <row r="14" spans="1:17" s="1" customFormat="1" ht="14.1" customHeight="1">
      <c r="A14" s="45"/>
      <c r="B14" s="61" t="s">
        <v>40</v>
      </c>
      <c r="C14" s="61"/>
      <c r="D14" s="42" t="s">
        <v>43</v>
      </c>
      <c r="E14" s="43"/>
      <c r="F14" s="43"/>
      <c r="G14" s="44"/>
      <c r="H14" s="79"/>
      <c r="I14" s="79"/>
      <c r="J14" s="83"/>
      <c r="K14" s="79"/>
      <c r="L14" s="79"/>
      <c r="M14" s="79"/>
      <c r="N14" s="207"/>
    </row>
    <row r="15" spans="1:17" s="1" customFormat="1" ht="14.1" customHeight="1">
      <c r="A15" s="109">
        <v>7</v>
      </c>
      <c r="B15" s="81" t="s">
        <v>41</v>
      </c>
      <c r="C15" s="81"/>
      <c r="D15" s="78" t="s">
        <v>8</v>
      </c>
      <c r="E15" s="78"/>
      <c r="F15" s="78"/>
      <c r="G15" s="78"/>
      <c r="H15" s="81">
        <f>SUM(I15)-2.1</f>
        <v>27.799999999999997</v>
      </c>
      <c r="I15" s="52">
        <f>SUM(J15)-2.1</f>
        <v>29.9</v>
      </c>
      <c r="J15" s="134">
        <v>32</v>
      </c>
      <c r="K15" s="53">
        <f>SUM(J15)+1.9</f>
        <v>33.9</v>
      </c>
      <c r="L15" s="53">
        <f>SUM(K15)+1.9</f>
        <v>35.799999999999997</v>
      </c>
      <c r="M15" s="53">
        <f>SUM(L15)+1.9</f>
        <v>37.699999999999996</v>
      </c>
      <c r="N15" s="214">
        <f>SUM(M15)+1.9</f>
        <v>39.599999999999994</v>
      </c>
    </row>
    <row r="16" spans="1:17" s="1" customFormat="1" ht="14.1" customHeight="1">
      <c r="A16" s="45"/>
      <c r="B16" s="61" t="s">
        <v>512</v>
      </c>
      <c r="C16" s="61"/>
      <c r="D16" s="42" t="s">
        <v>44</v>
      </c>
      <c r="E16" s="43"/>
      <c r="F16" s="43"/>
      <c r="G16" s="44"/>
      <c r="H16" s="61"/>
      <c r="I16" s="79"/>
      <c r="J16" s="83"/>
      <c r="K16" s="79"/>
      <c r="L16" s="79"/>
      <c r="M16" s="79"/>
      <c r="N16" s="207"/>
    </row>
    <row r="17" spans="1:14" s="1" customFormat="1" ht="14.1" customHeight="1">
      <c r="A17" s="109">
        <v>8</v>
      </c>
      <c r="B17" s="81"/>
      <c r="C17" s="81"/>
      <c r="D17" s="78"/>
      <c r="E17" s="78"/>
      <c r="F17" s="78"/>
      <c r="G17" s="78"/>
      <c r="H17" s="81"/>
      <c r="I17" s="52"/>
      <c r="J17" s="134"/>
      <c r="K17" s="53"/>
      <c r="L17" s="53"/>
      <c r="M17" s="53"/>
      <c r="N17" s="214"/>
    </row>
    <row r="18" spans="1:14" s="1" customFormat="1" ht="14.1" customHeight="1">
      <c r="A18" s="45"/>
      <c r="B18" s="61"/>
      <c r="C18" s="61"/>
      <c r="D18" s="42"/>
      <c r="E18" s="43"/>
      <c r="F18" s="43"/>
      <c r="G18" s="44"/>
      <c r="H18" s="61"/>
      <c r="I18" s="79"/>
      <c r="J18" s="83"/>
      <c r="K18" s="79"/>
      <c r="L18" s="79"/>
      <c r="M18" s="79"/>
      <c r="N18" s="207"/>
    </row>
    <row r="19" spans="1:14" s="1" customFormat="1" ht="14.1" customHeight="1">
      <c r="A19" s="109">
        <v>9</v>
      </c>
      <c r="B19" s="81"/>
      <c r="C19" s="81"/>
      <c r="D19" s="78"/>
      <c r="E19" s="78"/>
      <c r="F19" s="78"/>
      <c r="G19" s="78"/>
      <c r="H19" s="81"/>
      <c r="I19" s="52"/>
      <c r="J19" s="134"/>
      <c r="K19" s="53"/>
      <c r="L19" s="53"/>
      <c r="M19" s="53"/>
      <c r="N19" s="214"/>
    </row>
    <row r="20" spans="1:14" s="1" customFormat="1" ht="14.1" customHeight="1">
      <c r="A20" s="45"/>
      <c r="B20" s="61"/>
      <c r="C20" s="61"/>
      <c r="D20" s="42"/>
      <c r="E20" s="43"/>
      <c r="F20" s="43"/>
      <c r="G20" s="44"/>
      <c r="H20" s="61"/>
      <c r="I20" s="79"/>
      <c r="J20" s="83"/>
      <c r="K20" s="79"/>
      <c r="L20" s="79"/>
      <c r="M20" s="79"/>
      <c r="N20" s="207"/>
    </row>
    <row r="21" spans="1:14" s="1" customFormat="1" ht="14.1" customHeight="1">
      <c r="A21" s="109">
        <v>10</v>
      </c>
      <c r="B21" s="81"/>
      <c r="C21" s="81"/>
      <c r="D21" s="78"/>
      <c r="E21" s="78"/>
      <c r="F21" s="78"/>
      <c r="G21" s="78"/>
      <c r="H21" s="52"/>
      <c r="I21" s="52"/>
      <c r="J21" s="54"/>
      <c r="K21" s="52"/>
      <c r="L21" s="52"/>
      <c r="M21" s="52"/>
      <c r="N21" s="205"/>
    </row>
    <row r="22" spans="1:14" s="1" customFormat="1" ht="14.1" customHeight="1">
      <c r="A22" s="45"/>
      <c r="B22" s="61"/>
      <c r="C22" s="61"/>
      <c r="D22" s="42"/>
      <c r="E22" s="43"/>
      <c r="F22" s="43"/>
      <c r="G22" s="44"/>
      <c r="H22" s="79"/>
      <c r="I22" s="79"/>
      <c r="J22" s="83"/>
      <c r="K22" s="79"/>
      <c r="L22" s="79"/>
      <c r="M22" s="79"/>
      <c r="N22" s="207"/>
    </row>
    <row r="23" spans="1:14" s="1" customFormat="1" ht="14.1" customHeight="1">
      <c r="A23" s="109">
        <v>11</v>
      </c>
      <c r="B23" s="47"/>
      <c r="C23" s="48"/>
      <c r="D23" s="75"/>
      <c r="E23" s="62"/>
      <c r="F23" s="62"/>
      <c r="G23" s="76"/>
      <c r="H23" s="52"/>
      <c r="I23" s="52"/>
      <c r="J23" s="54"/>
      <c r="K23" s="52"/>
      <c r="L23" s="52"/>
      <c r="M23" s="52"/>
      <c r="N23" s="205"/>
    </row>
    <row r="24" spans="1:14" s="1" customFormat="1" ht="14.1" customHeight="1">
      <c r="A24" s="45"/>
      <c r="B24" s="61"/>
      <c r="C24" s="61"/>
      <c r="D24" s="42"/>
      <c r="E24" s="43"/>
      <c r="F24" s="43"/>
      <c r="G24" s="44"/>
      <c r="H24" s="79"/>
      <c r="I24" s="79"/>
      <c r="J24" s="83"/>
      <c r="K24" s="79"/>
      <c r="L24" s="79"/>
      <c r="M24" s="79"/>
      <c r="N24" s="207"/>
    </row>
    <row r="25" spans="1:14" s="1" customFormat="1" ht="14.1" customHeight="1">
      <c r="A25" s="109">
        <v>12</v>
      </c>
      <c r="B25" s="47"/>
      <c r="C25" s="48"/>
      <c r="D25" s="150"/>
      <c r="E25" s="151"/>
      <c r="F25" s="151"/>
      <c r="G25" s="152"/>
      <c r="H25" s="52"/>
      <c r="I25" s="52"/>
      <c r="J25" s="54"/>
      <c r="K25" s="52"/>
      <c r="L25" s="52"/>
      <c r="M25" s="52"/>
      <c r="N25" s="205"/>
    </row>
    <row r="26" spans="1:14" s="1" customFormat="1" ht="14.1" customHeight="1" thickBot="1">
      <c r="A26" s="74"/>
      <c r="B26" s="77"/>
      <c r="C26" s="77"/>
      <c r="D26" s="153"/>
      <c r="E26" s="154"/>
      <c r="F26" s="154"/>
      <c r="G26" s="155"/>
      <c r="H26" s="77"/>
      <c r="I26" s="77"/>
      <c r="J26" s="144"/>
      <c r="K26" s="77"/>
      <c r="L26" s="77"/>
      <c r="M26" s="77"/>
      <c r="N26" s="206"/>
    </row>
    <row r="27" spans="1:14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4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4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7">
    <mergeCell ref="N23:N24"/>
    <mergeCell ref="N25:N26"/>
    <mergeCell ref="N11:N12"/>
    <mergeCell ref="N13:N14"/>
    <mergeCell ref="N15:N16"/>
    <mergeCell ref="N17:N18"/>
    <mergeCell ref="N19:N20"/>
    <mergeCell ref="N21:N22"/>
    <mergeCell ref="K25:K26"/>
    <mergeCell ref="L25:L26"/>
    <mergeCell ref="M25:M26"/>
    <mergeCell ref="B26:C26"/>
    <mergeCell ref="D26:G26"/>
    <mergeCell ref="A1:N1"/>
    <mergeCell ref="N3:N4"/>
    <mergeCell ref="N5:N6"/>
    <mergeCell ref="N7:N8"/>
    <mergeCell ref="N9:N1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3731-1520-4701-AD4A-084453A96E56}">
  <sheetPr>
    <tabColor theme="8"/>
    <pageSetUpPr fitToPage="1"/>
  </sheetPr>
  <dimension ref="A1:P51"/>
  <sheetViews>
    <sheetView zoomScale="110" zoomScaleNormal="110" workbookViewId="0">
      <selection activeCell="P11" sqref="P1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211" t="s">
        <v>650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</row>
    <row r="2" spans="1:16" ht="16.5" customHeight="1" thickBot="1">
      <c r="A2" s="5" t="s">
        <v>57</v>
      </c>
      <c r="B2" s="108" t="s">
        <v>58</v>
      </c>
      <c r="C2" s="108"/>
      <c r="D2" s="108" t="s">
        <v>59</v>
      </c>
      <c r="E2" s="108"/>
      <c r="F2" s="108"/>
      <c r="G2" s="108"/>
      <c r="H2" s="8" t="s">
        <v>60</v>
      </c>
      <c r="I2" s="8" t="s">
        <v>61</v>
      </c>
      <c r="J2" s="6" t="s">
        <v>62</v>
      </c>
      <c r="K2" s="8" t="s">
        <v>63</v>
      </c>
      <c r="L2" s="8" t="s">
        <v>131</v>
      </c>
      <c r="M2" s="8" t="s">
        <v>130</v>
      </c>
      <c r="N2" s="8" t="s">
        <v>132</v>
      </c>
    </row>
    <row r="3" spans="1:16" s="1" customFormat="1" ht="14.1" customHeight="1">
      <c r="A3" s="109">
        <v>1</v>
      </c>
      <c r="B3" s="191" t="s">
        <v>39</v>
      </c>
      <c r="C3" s="191"/>
      <c r="D3" s="192" t="s">
        <v>225</v>
      </c>
      <c r="E3" s="192"/>
      <c r="F3" s="192"/>
      <c r="G3" s="112"/>
      <c r="H3" s="52">
        <f>SUM(I3)-3</f>
        <v>31</v>
      </c>
      <c r="I3" s="52">
        <f>SUM(J3)-3</f>
        <v>34</v>
      </c>
      <c r="J3" s="193">
        <v>37</v>
      </c>
      <c r="K3" s="194">
        <f>SUM(J3)+2.5</f>
        <v>39.5</v>
      </c>
      <c r="L3" s="194">
        <f t="shared" ref="L3:N3" si="0">SUM(K3)+2.5</f>
        <v>42</v>
      </c>
      <c r="M3" s="194">
        <f t="shared" si="0"/>
        <v>44.5</v>
      </c>
      <c r="N3" s="219">
        <f t="shared" si="0"/>
        <v>47</v>
      </c>
    </row>
    <row r="4" spans="1:16" s="1" customFormat="1" ht="14.1" customHeight="1">
      <c r="A4" s="45"/>
      <c r="B4" s="61" t="s">
        <v>36</v>
      </c>
      <c r="C4" s="61"/>
      <c r="D4" s="42" t="s">
        <v>75</v>
      </c>
      <c r="E4" s="43"/>
      <c r="F4" s="43"/>
      <c r="G4" s="43"/>
      <c r="H4" s="79"/>
      <c r="I4" s="79"/>
      <c r="J4" s="54"/>
      <c r="K4" s="52"/>
      <c r="L4" s="52"/>
      <c r="M4" s="52"/>
      <c r="N4" s="205"/>
    </row>
    <row r="5" spans="1:16" s="1" customFormat="1" ht="14.1" customHeight="1">
      <c r="A5" s="45">
        <v>2</v>
      </c>
      <c r="B5" s="81" t="s">
        <v>37</v>
      </c>
      <c r="C5" s="81"/>
      <c r="D5" s="78" t="s">
        <v>38</v>
      </c>
      <c r="E5" s="78"/>
      <c r="F5" s="78"/>
      <c r="G5" s="78"/>
      <c r="H5" s="52">
        <f>SUM(I5)-1.8</f>
        <v>22.4</v>
      </c>
      <c r="I5" s="52">
        <f>SUM(J5)-1.8</f>
        <v>24.2</v>
      </c>
      <c r="J5" s="54">
        <v>26</v>
      </c>
      <c r="K5" s="52">
        <f>SUM(J5)+1.6</f>
        <v>27.6</v>
      </c>
      <c r="L5" s="52">
        <f t="shared" ref="L5:N5" si="1">SUM(K5)+1.6</f>
        <v>29.200000000000003</v>
      </c>
      <c r="M5" s="52">
        <f t="shared" si="1"/>
        <v>30.800000000000004</v>
      </c>
      <c r="N5" s="205">
        <f t="shared" si="1"/>
        <v>32.400000000000006</v>
      </c>
    </row>
    <row r="6" spans="1:16" s="1" customFormat="1" ht="14.1" customHeight="1">
      <c r="A6" s="45"/>
      <c r="B6" s="61" t="s">
        <v>24</v>
      </c>
      <c r="C6" s="61"/>
      <c r="D6" s="42" t="s">
        <v>42</v>
      </c>
      <c r="E6" s="43"/>
      <c r="F6" s="43"/>
      <c r="G6" s="44"/>
      <c r="H6" s="79"/>
      <c r="I6" s="79"/>
      <c r="J6" s="83"/>
      <c r="K6" s="79"/>
      <c r="L6" s="79"/>
      <c r="M6" s="79"/>
      <c r="N6" s="207"/>
    </row>
    <row r="7" spans="1:16" s="1" customFormat="1" ht="14.1" customHeight="1">
      <c r="A7" s="45">
        <v>3</v>
      </c>
      <c r="B7" s="81" t="s">
        <v>35</v>
      </c>
      <c r="C7" s="81"/>
      <c r="D7" s="78" t="s">
        <v>70</v>
      </c>
      <c r="E7" s="78"/>
      <c r="F7" s="78"/>
      <c r="G7" s="78"/>
      <c r="H7" s="52">
        <f>SUM(I7)-2.25</f>
        <v>27.5</v>
      </c>
      <c r="I7" s="52">
        <f>SUM(J7)-2.25</f>
        <v>29.75</v>
      </c>
      <c r="J7" s="54">
        <v>32</v>
      </c>
      <c r="K7" s="52">
        <f>SUM(J7)+2</f>
        <v>34</v>
      </c>
      <c r="L7" s="52">
        <f>SUM(K7)+2</f>
        <v>36</v>
      </c>
      <c r="M7" s="52">
        <f>SUM(L7)+2</f>
        <v>38</v>
      </c>
      <c r="N7" s="205">
        <f>SUM(M7)+2</f>
        <v>40</v>
      </c>
    </row>
    <row r="8" spans="1:16" s="1" customFormat="1" ht="14.1" customHeight="1">
      <c r="A8" s="45"/>
      <c r="B8" s="61" t="s">
        <v>40</v>
      </c>
      <c r="C8" s="61"/>
      <c r="D8" s="42" t="s">
        <v>43</v>
      </c>
      <c r="E8" s="43"/>
      <c r="F8" s="43"/>
      <c r="G8" s="44"/>
      <c r="H8" s="79"/>
      <c r="I8" s="79"/>
      <c r="J8" s="83"/>
      <c r="K8" s="79"/>
      <c r="L8" s="79"/>
      <c r="M8" s="79"/>
      <c r="N8" s="207"/>
    </row>
    <row r="9" spans="1:16" s="1" customFormat="1" ht="14.1" customHeight="1">
      <c r="A9" s="45">
        <v>4</v>
      </c>
      <c r="B9" s="81" t="s">
        <v>41</v>
      </c>
      <c r="C9" s="81"/>
      <c r="D9" s="78" t="s">
        <v>8</v>
      </c>
      <c r="E9" s="78"/>
      <c r="F9" s="78"/>
      <c r="G9" s="78"/>
      <c r="H9" s="52">
        <f>SUM(I9)-2.25</f>
        <v>27.5</v>
      </c>
      <c r="I9" s="52">
        <f>SUM(J9)-2.25</f>
        <v>29.75</v>
      </c>
      <c r="J9" s="54">
        <v>32</v>
      </c>
      <c r="K9" s="52">
        <f>SUM(J9)+2</f>
        <v>34</v>
      </c>
      <c r="L9" s="52">
        <f>SUM(K9)+2</f>
        <v>36</v>
      </c>
      <c r="M9" s="52">
        <f>SUM(L9)+2</f>
        <v>38</v>
      </c>
      <c r="N9" s="205">
        <f>SUM(M9)+2</f>
        <v>40</v>
      </c>
      <c r="P9" s="1" t="s">
        <v>189</v>
      </c>
    </row>
    <row r="10" spans="1:16" s="1" customFormat="1" ht="14.1" customHeight="1">
      <c r="A10" s="45"/>
      <c r="B10" s="61" t="s">
        <v>25</v>
      </c>
      <c r="C10" s="61"/>
      <c r="D10" s="42" t="s">
        <v>44</v>
      </c>
      <c r="E10" s="43"/>
      <c r="F10" s="43"/>
      <c r="G10" s="44"/>
      <c r="H10" s="79"/>
      <c r="I10" s="79"/>
      <c r="J10" s="83"/>
      <c r="K10" s="79"/>
      <c r="L10" s="79"/>
      <c r="M10" s="79"/>
      <c r="N10" s="207"/>
    </row>
    <row r="11" spans="1:16" s="1" customFormat="1" ht="14.1" customHeight="1">
      <c r="A11" s="45">
        <v>5</v>
      </c>
      <c r="B11" s="81" t="s">
        <v>10</v>
      </c>
      <c r="C11" s="81"/>
      <c r="D11" s="78" t="s">
        <v>0</v>
      </c>
      <c r="E11" s="78"/>
      <c r="F11" s="78"/>
      <c r="G11" s="78"/>
      <c r="H11" s="52">
        <f>SUM(I11)-0.8</f>
        <v>12.7</v>
      </c>
      <c r="I11" s="52">
        <f>SUM(J11)-0.8</f>
        <v>13.5</v>
      </c>
      <c r="J11" s="37">
        <v>14.3</v>
      </c>
      <c r="K11" s="38">
        <f>SUM(J11)+0.9</f>
        <v>15.200000000000001</v>
      </c>
      <c r="L11" s="38">
        <f>SUM(K11)+0.8</f>
        <v>16</v>
      </c>
      <c r="M11" s="38">
        <f>SUM(L11)+0.9</f>
        <v>16.899999999999999</v>
      </c>
      <c r="N11" s="208">
        <f>SUM(M11)+0.8</f>
        <v>17.7</v>
      </c>
    </row>
    <row r="12" spans="1:16" s="1" customFormat="1" ht="14.1" customHeight="1">
      <c r="A12" s="45"/>
      <c r="B12" s="61" t="s">
        <v>26</v>
      </c>
      <c r="C12" s="61"/>
      <c r="D12" s="42" t="s">
        <v>45</v>
      </c>
      <c r="E12" s="43"/>
      <c r="F12" s="43"/>
      <c r="G12" s="44"/>
      <c r="H12" s="79"/>
      <c r="I12" s="79"/>
      <c r="J12" s="37"/>
      <c r="K12" s="38"/>
      <c r="L12" s="38"/>
      <c r="M12" s="38"/>
      <c r="N12" s="208"/>
    </row>
    <row r="13" spans="1:16" s="1" customFormat="1" ht="14.1" customHeight="1">
      <c r="A13" s="45">
        <v>6</v>
      </c>
      <c r="B13" s="81" t="s">
        <v>1</v>
      </c>
      <c r="C13" s="81"/>
      <c r="D13" s="78" t="s">
        <v>141</v>
      </c>
      <c r="E13" s="78"/>
      <c r="F13" s="78"/>
      <c r="G13" s="78"/>
      <c r="H13" s="52">
        <f>SUM(I13)-0.6</f>
        <v>12.3</v>
      </c>
      <c r="I13" s="52">
        <f>SUM(J13)-0.6</f>
        <v>12.9</v>
      </c>
      <c r="J13" s="37">
        <v>13.5</v>
      </c>
      <c r="K13" s="38">
        <f>SUM(J13)+0.6</f>
        <v>14.1</v>
      </c>
      <c r="L13" s="38">
        <f>SUM(K13)+0.6</f>
        <v>14.7</v>
      </c>
      <c r="M13" s="38">
        <f>SUM(L13)+0.6</f>
        <v>15.299999999999999</v>
      </c>
      <c r="N13" s="208">
        <f>SUM(M13)+0.6</f>
        <v>15.899999999999999</v>
      </c>
    </row>
    <row r="14" spans="1:16" s="1" customFormat="1" ht="14.1" customHeight="1">
      <c r="A14" s="45"/>
      <c r="B14" s="61" t="s">
        <v>27</v>
      </c>
      <c r="C14" s="61"/>
      <c r="D14" s="42" t="s">
        <v>110</v>
      </c>
      <c r="E14" s="43"/>
      <c r="F14" s="43"/>
      <c r="G14" s="44"/>
      <c r="H14" s="79"/>
      <c r="I14" s="79"/>
      <c r="J14" s="37"/>
      <c r="K14" s="38"/>
      <c r="L14" s="38"/>
      <c r="M14" s="38"/>
      <c r="N14" s="208"/>
    </row>
    <row r="15" spans="1:16" s="1" customFormat="1" ht="14.1" customHeight="1">
      <c r="A15" s="45">
        <v>7</v>
      </c>
      <c r="B15" s="81" t="s">
        <v>2</v>
      </c>
      <c r="C15" s="81"/>
      <c r="D15" s="78" t="s">
        <v>3</v>
      </c>
      <c r="E15" s="78"/>
      <c r="F15" s="78"/>
      <c r="G15" s="78"/>
      <c r="H15" s="52">
        <f>SUM(I15)-0.3</f>
        <v>5.4</v>
      </c>
      <c r="I15" s="52">
        <f>SUM(J15)-0.3</f>
        <v>5.7</v>
      </c>
      <c r="J15" s="37">
        <v>6</v>
      </c>
      <c r="K15" s="38">
        <f>SUM(J15)+0.3</f>
        <v>6.3</v>
      </c>
      <c r="L15" s="38">
        <f>SUM(K15)+0.3</f>
        <v>6.6</v>
      </c>
      <c r="M15" s="38">
        <f>SUM(L15)+0.3</f>
        <v>6.8999999999999995</v>
      </c>
      <c r="N15" s="208">
        <f>SUM(M15)+0.3</f>
        <v>7.1999999999999993</v>
      </c>
    </row>
    <row r="16" spans="1:16" s="1" customFormat="1" ht="14.1" customHeight="1">
      <c r="A16" s="45"/>
      <c r="B16" s="61" t="s">
        <v>28</v>
      </c>
      <c r="C16" s="61"/>
      <c r="D16" s="42" t="s">
        <v>111</v>
      </c>
      <c r="E16" s="43"/>
      <c r="F16" s="43"/>
      <c r="G16" s="44"/>
      <c r="H16" s="79"/>
      <c r="I16" s="79"/>
      <c r="J16" s="37"/>
      <c r="K16" s="38"/>
      <c r="L16" s="38"/>
      <c r="M16" s="38"/>
      <c r="N16" s="208"/>
    </row>
    <row r="17" spans="1:14" s="1" customFormat="1" ht="14.1" customHeight="1">
      <c r="A17" s="45">
        <v>8</v>
      </c>
      <c r="B17" s="47" t="s">
        <v>71</v>
      </c>
      <c r="C17" s="48"/>
      <c r="D17" s="75" t="s">
        <v>72</v>
      </c>
      <c r="E17" s="62"/>
      <c r="F17" s="62"/>
      <c r="G17" s="76"/>
      <c r="H17" s="52">
        <f>SUM(I17)-1.6</f>
        <v>34.799999999999997</v>
      </c>
      <c r="I17" s="52">
        <f>SUM(J17)-1.6</f>
        <v>36.4</v>
      </c>
      <c r="J17" s="37">
        <v>38</v>
      </c>
      <c r="K17" s="38">
        <f>SUM(J17)+1.6</f>
        <v>39.6</v>
      </c>
      <c r="L17" s="38">
        <f>SUM(K17)+1.6</f>
        <v>41.2</v>
      </c>
      <c r="M17" s="38">
        <f>SUM(L17)+1.6</f>
        <v>42.800000000000004</v>
      </c>
      <c r="N17" s="208">
        <f>SUM(M17)+1.6</f>
        <v>44.400000000000006</v>
      </c>
    </row>
    <row r="18" spans="1:14" s="1" customFormat="1" ht="14.1" customHeight="1">
      <c r="A18" s="45"/>
      <c r="B18" s="61" t="s">
        <v>33</v>
      </c>
      <c r="C18" s="61"/>
      <c r="D18" s="42" t="s">
        <v>112</v>
      </c>
      <c r="E18" s="43"/>
      <c r="F18" s="43"/>
      <c r="G18" s="44"/>
      <c r="H18" s="79"/>
      <c r="I18" s="79"/>
      <c r="J18" s="37"/>
      <c r="K18" s="38"/>
      <c r="L18" s="38"/>
      <c r="M18" s="38"/>
      <c r="N18" s="208"/>
    </row>
    <row r="19" spans="1:14" s="1" customFormat="1" ht="14.1" customHeight="1">
      <c r="A19" s="45">
        <v>9</v>
      </c>
      <c r="B19" s="81" t="s">
        <v>4</v>
      </c>
      <c r="C19" s="81"/>
      <c r="D19" s="78" t="s">
        <v>5</v>
      </c>
      <c r="E19" s="78"/>
      <c r="F19" s="78"/>
      <c r="G19" s="78"/>
      <c r="H19" s="52">
        <f>SUM(I19)-3.6</f>
        <v>32.799999999999997</v>
      </c>
      <c r="I19" s="52">
        <f>SUM(J19)-3.6</f>
        <v>36.4</v>
      </c>
      <c r="J19" s="37">
        <v>40</v>
      </c>
      <c r="K19" s="38">
        <f>SUM(J19)+3.7</f>
        <v>43.7</v>
      </c>
      <c r="L19" s="38">
        <f t="shared" ref="L19:N19" si="2">SUM(K19)+3.7</f>
        <v>47.400000000000006</v>
      </c>
      <c r="M19" s="38">
        <f t="shared" si="2"/>
        <v>51.100000000000009</v>
      </c>
      <c r="N19" s="208">
        <f t="shared" si="2"/>
        <v>54.800000000000011</v>
      </c>
    </row>
    <row r="20" spans="1:14" s="1" customFormat="1" ht="14.1" customHeight="1">
      <c r="A20" s="45"/>
      <c r="B20" s="61" t="s">
        <v>29</v>
      </c>
      <c r="C20" s="61"/>
      <c r="D20" s="42" t="s">
        <v>47</v>
      </c>
      <c r="E20" s="43"/>
      <c r="F20" s="43"/>
      <c r="G20" s="44"/>
      <c r="H20" s="79"/>
      <c r="I20" s="79"/>
      <c r="J20" s="37"/>
      <c r="K20" s="38"/>
      <c r="L20" s="38"/>
      <c r="M20" s="38"/>
      <c r="N20" s="208"/>
    </row>
    <row r="21" spans="1:14" s="1" customFormat="1" ht="14.1" customHeight="1">
      <c r="A21" s="45">
        <v>10</v>
      </c>
      <c r="B21" s="81" t="s">
        <v>6</v>
      </c>
      <c r="C21" s="81"/>
      <c r="D21" s="75" t="s">
        <v>7</v>
      </c>
      <c r="E21" s="62"/>
      <c r="F21" s="62"/>
      <c r="G21" s="76"/>
      <c r="H21" s="52">
        <f>SUM(I21)-1.3</f>
        <v>20.399999999999999</v>
      </c>
      <c r="I21" s="52">
        <f>SUM(J21)-1.3</f>
        <v>21.7</v>
      </c>
      <c r="J21" s="37">
        <v>23</v>
      </c>
      <c r="K21" s="38">
        <f>SUM(J21)+1.3</f>
        <v>24.3</v>
      </c>
      <c r="L21" s="38">
        <f t="shared" ref="L21:N21" si="3">SUM(K21)+1.3</f>
        <v>25.6</v>
      </c>
      <c r="M21" s="38">
        <f t="shared" si="3"/>
        <v>26.900000000000002</v>
      </c>
      <c r="N21" s="208">
        <f t="shared" si="3"/>
        <v>28.200000000000003</v>
      </c>
    </row>
    <row r="22" spans="1:14" s="1" customFormat="1" ht="14.1" customHeight="1">
      <c r="A22" s="45"/>
      <c r="B22" s="61" t="s">
        <v>30</v>
      </c>
      <c r="C22" s="61"/>
      <c r="D22" s="42" t="s">
        <v>65</v>
      </c>
      <c r="E22" s="43"/>
      <c r="F22" s="43"/>
      <c r="G22" s="44"/>
      <c r="H22" s="79"/>
      <c r="I22" s="79"/>
      <c r="J22" s="37"/>
      <c r="K22" s="38"/>
      <c r="L22" s="38"/>
      <c r="M22" s="38"/>
      <c r="N22" s="208"/>
    </row>
    <row r="23" spans="1:14" s="1" customFormat="1" ht="14.1" customHeight="1">
      <c r="A23" s="45">
        <v>11</v>
      </c>
      <c r="B23" s="47" t="s">
        <v>226</v>
      </c>
      <c r="C23" s="48"/>
      <c r="D23" s="78" t="s">
        <v>66</v>
      </c>
      <c r="E23" s="78"/>
      <c r="F23" s="78"/>
      <c r="G23" s="78"/>
      <c r="H23" s="52">
        <f>SUM(I23)-0.6</f>
        <v>14</v>
      </c>
      <c r="I23" s="52">
        <f>SUM(J23)-0.6</f>
        <v>14.6</v>
      </c>
      <c r="J23" s="37">
        <v>15.2</v>
      </c>
      <c r="K23" s="38">
        <f>SUM(J23)+0.6</f>
        <v>15.799999999999999</v>
      </c>
      <c r="L23" s="38">
        <f>SUM(K23)+0.6</f>
        <v>16.399999999999999</v>
      </c>
      <c r="M23" s="38">
        <f>SUM(L23)+0.6</f>
        <v>17</v>
      </c>
      <c r="N23" s="208">
        <f>SUM(M23)+0.6</f>
        <v>17.600000000000001</v>
      </c>
    </row>
    <row r="24" spans="1:14" s="1" customFormat="1" ht="14.1" customHeight="1">
      <c r="A24" s="45"/>
      <c r="B24" s="61" t="s">
        <v>31</v>
      </c>
      <c r="C24" s="61"/>
      <c r="D24" s="42" t="s">
        <v>67</v>
      </c>
      <c r="E24" s="43"/>
      <c r="F24" s="43"/>
      <c r="G24" s="44"/>
      <c r="H24" s="79"/>
      <c r="I24" s="79"/>
      <c r="J24" s="37"/>
      <c r="K24" s="38"/>
      <c r="L24" s="38"/>
      <c r="M24" s="38"/>
      <c r="N24" s="208"/>
    </row>
    <row r="25" spans="1:14" s="1" customFormat="1" ht="14.1" customHeight="1">
      <c r="A25" s="45">
        <v>12</v>
      </c>
      <c r="B25" s="47" t="s">
        <v>120</v>
      </c>
      <c r="C25" s="48"/>
      <c r="D25" s="49"/>
      <c r="E25" s="50"/>
      <c r="F25" s="50"/>
      <c r="G25" s="51"/>
      <c r="H25" s="52">
        <f>SUM(I25)-0.1</f>
        <v>2.0999999999999996</v>
      </c>
      <c r="I25" s="52">
        <f>SUM(J25)-0.1</f>
        <v>2.1999999999999997</v>
      </c>
      <c r="J25" s="37">
        <v>2.2999999999999998</v>
      </c>
      <c r="K25" s="38">
        <f>SUM(J25)+0.1</f>
        <v>2.4</v>
      </c>
      <c r="L25" s="38">
        <f>SUM(K25)+0.1</f>
        <v>2.5</v>
      </c>
      <c r="M25" s="38">
        <f>SUM(L25)+0.1</f>
        <v>2.6</v>
      </c>
      <c r="N25" s="208">
        <f>SUM(M25)+0.1</f>
        <v>2.7</v>
      </c>
    </row>
    <row r="26" spans="1:14" s="1" customFormat="1" ht="14.1" customHeight="1">
      <c r="A26" s="45"/>
      <c r="B26" s="40" t="s">
        <v>128</v>
      </c>
      <c r="C26" s="41"/>
      <c r="D26" s="42"/>
      <c r="E26" s="43"/>
      <c r="F26" s="43"/>
      <c r="G26" s="44"/>
      <c r="H26" s="79"/>
      <c r="I26" s="79"/>
      <c r="J26" s="37"/>
      <c r="K26" s="38"/>
      <c r="L26" s="38"/>
      <c r="M26" s="38"/>
      <c r="N26" s="208"/>
    </row>
    <row r="27" spans="1:14" s="1" customFormat="1" ht="14.1" customHeight="1">
      <c r="A27" s="45">
        <v>13</v>
      </c>
      <c r="B27" s="47" t="s">
        <v>121</v>
      </c>
      <c r="C27" s="48"/>
      <c r="D27" s="49"/>
      <c r="E27" s="50"/>
      <c r="F27" s="50"/>
      <c r="G27" s="51"/>
      <c r="H27" s="52">
        <f>SUM(I27)-0.3</f>
        <v>3.4000000000000004</v>
      </c>
      <c r="I27" s="52">
        <f>SUM(J27)-0.3</f>
        <v>3.7</v>
      </c>
      <c r="J27" s="37">
        <v>4</v>
      </c>
      <c r="K27" s="38">
        <f>SUM(J27)+0.3</f>
        <v>4.3</v>
      </c>
      <c r="L27" s="38">
        <f>SUM(K27)+0.3</f>
        <v>4.5999999999999996</v>
      </c>
      <c r="M27" s="38">
        <f>SUM(L27)+0.3</f>
        <v>4.8999999999999995</v>
      </c>
      <c r="N27" s="208">
        <f>SUM(M27)+0.3</f>
        <v>5.1999999999999993</v>
      </c>
    </row>
    <row r="28" spans="1:14" s="1" customFormat="1" ht="14.1" customHeight="1">
      <c r="A28" s="45"/>
      <c r="B28" s="40" t="s">
        <v>129</v>
      </c>
      <c r="C28" s="41"/>
      <c r="D28" s="42"/>
      <c r="E28" s="43"/>
      <c r="F28" s="43"/>
      <c r="G28" s="44"/>
      <c r="H28" s="79"/>
      <c r="I28" s="79"/>
      <c r="J28" s="37"/>
      <c r="K28" s="38"/>
      <c r="L28" s="38"/>
      <c r="M28" s="38"/>
      <c r="N28" s="208"/>
    </row>
    <row r="29" spans="1:14" s="1" customFormat="1" ht="14.1" customHeight="1">
      <c r="A29" s="45">
        <v>14</v>
      </c>
      <c r="B29" s="56"/>
      <c r="C29" s="57"/>
      <c r="D29" s="183"/>
      <c r="E29" s="184"/>
      <c r="F29" s="184"/>
      <c r="G29" s="185"/>
      <c r="H29" s="52"/>
      <c r="I29" s="52"/>
      <c r="J29" s="54"/>
      <c r="K29" s="52"/>
      <c r="L29" s="52"/>
      <c r="M29" s="52"/>
      <c r="N29" s="205"/>
    </row>
    <row r="30" spans="1:14" s="1" customFormat="1" ht="14.1" customHeight="1" thickBot="1">
      <c r="A30" s="74"/>
      <c r="B30" s="178"/>
      <c r="C30" s="179"/>
      <c r="D30" s="180"/>
      <c r="E30" s="181"/>
      <c r="F30" s="181"/>
      <c r="G30" s="182"/>
      <c r="H30" s="77"/>
      <c r="I30" s="77"/>
      <c r="J30" s="144"/>
      <c r="K30" s="77"/>
      <c r="L30" s="77"/>
      <c r="M30" s="77"/>
      <c r="N30" s="206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87</vt:i4>
      </vt:variant>
      <vt:variant>
        <vt:lpstr>이름 지정된 범위</vt:lpstr>
      </vt:variant>
      <vt:variant>
        <vt:i4>87</vt:i4>
      </vt:variant>
    </vt:vector>
  </HeadingPairs>
  <TitlesOfParts>
    <vt:vector size="174" baseType="lpstr">
      <vt:lpstr>GF01</vt:lpstr>
      <vt:lpstr>LE01</vt:lpstr>
      <vt:lpstr>LE02</vt:lpstr>
      <vt:lpstr>LE03</vt:lpstr>
      <vt:lpstr>LE04</vt:lpstr>
      <vt:lpstr>LE05</vt:lpstr>
      <vt:lpstr>OP01</vt:lpstr>
      <vt:lpstr>OP02</vt:lpstr>
      <vt:lpstr>OP03</vt:lpstr>
      <vt:lpstr>OP04</vt:lpstr>
      <vt:lpstr>OP05</vt:lpstr>
      <vt:lpstr>OP06</vt:lpstr>
      <vt:lpstr>OP07</vt:lpstr>
      <vt:lpstr>OP08</vt:lpstr>
      <vt:lpstr>OP09</vt:lpstr>
      <vt:lpstr>OU01</vt:lpstr>
      <vt:lpstr>OU02</vt:lpstr>
      <vt:lpstr>OU03</vt:lpstr>
      <vt:lpstr>OU04</vt:lpstr>
      <vt:lpstr>OU05(니트)</vt:lpstr>
      <vt:lpstr>OU06(완사입)</vt:lpstr>
      <vt:lpstr>OU07(니트)</vt:lpstr>
      <vt:lpstr>OU08(심양)</vt:lpstr>
      <vt:lpstr>OU08(심양)제품</vt:lpstr>
      <vt:lpstr>OU09</vt:lpstr>
      <vt:lpstr>OU10(니트)</vt:lpstr>
      <vt:lpstr>OU11(니트)</vt:lpstr>
      <vt:lpstr>PT01</vt:lpstr>
      <vt:lpstr>PT02</vt:lpstr>
      <vt:lpstr>PT03</vt:lpstr>
      <vt:lpstr>PT04(완사입)</vt:lpstr>
      <vt:lpstr>PT05(완사입)</vt:lpstr>
      <vt:lpstr>PT06(완사입)</vt:lpstr>
      <vt:lpstr>PT07(완사입)</vt:lpstr>
      <vt:lpstr>PT08(완사입) </vt:lpstr>
      <vt:lpstr>PT09(완사입)</vt:lpstr>
      <vt:lpstr>PT10(완사입)</vt:lpstr>
      <vt:lpstr>PT11(완사입)</vt:lpstr>
      <vt:lpstr>PT12(완사입</vt:lpstr>
      <vt:lpstr>PT13</vt:lpstr>
      <vt:lpstr>PT14</vt:lpstr>
      <vt:lpstr>PT15</vt:lpstr>
      <vt:lpstr>SE01</vt:lpstr>
      <vt:lpstr>SE02</vt:lpstr>
      <vt:lpstr>SE03</vt:lpstr>
      <vt:lpstr>SE04</vt:lpstr>
      <vt:lpstr>SK01</vt:lpstr>
      <vt:lpstr>SK02</vt:lpstr>
      <vt:lpstr>SK03</vt:lpstr>
      <vt:lpstr>SK04</vt:lpstr>
      <vt:lpstr>SK05(완사입)</vt:lpstr>
      <vt:lpstr>SK06</vt:lpstr>
      <vt:lpstr>SK07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TO17</vt:lpstr>
      <vt:lpstr>TO16</vt:lpstr>
      <vt:lpstr>TO18</vt:lpstr>
      <vt:lpstr>TO19</vt:lpstr>
      <vt:lpstr>TO20</vt:lpstr>
      <vt:lpstr>TO21</vt:lpstr>
      <vt:lpstr>TO22(완사입)</vt:lpstr>
      <vt:lpstr>TO23</vt:lpstr>
      <vt:lpstr>TO24</vt:lpstr>
      <vt:lpstr>TO25</vt:lpstr>
      <vt:lpstr>TO26</vt:lpstr>
      <vt:lpstr>TO27</vt:lpstr>
      <vt:lpstr>TO28</vt:lpstr>
      <vt:lpstr>TO29</vt:lpstr>
      <vt:lpstr>TO30</vt:lpstr>
      <vt:lpstr>TO31</vt:lpstr>
      <vt:lpstr>TO32(니트)</vt:lpstr>
      <vt:lpstr>TO33</vt:lpstr>
      <vt:lpstr>TO34</vt:lpstr>
      <vt:lpstr>'GF01'!Print_Area</vt:lpstr>
      <vt:lpstr>'LE01'!Print_Area</vt:lpstr>
      <vt:lpstr>'LE02'!Print_Area</vt:lpstr>
      <vt:lpstr>'LE03'!Print_Area</vt:lpstr>
      <vt:lpstr>'LE04'!Print_Area</vt:lpstr>
      <vt:lpstr>'LE05'!Print_Area</vt:lpstr>
      <vt:lpstr>'OP01'!Print_Area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'OP09'!Print_Area</vt:lpstr>
      <vt:lpstr>'OU01'!Print_Area</vt:lpstr>
      <vt:lpstr>'OU02'!Print_Area</vt:lpstr>
      <vt:lpstr>'OU03'!Print_Area</vt:lpstr>
      <vt:lpstr>'OU04'!Print_Area</vt:lpstr>
      <vt:lpstr>'OU05(니트)'!Print_Area</vt:lpstr>
      <vt:lpstr>'OU06(완사입)'!Print_Area</vt:lpstr>
      <vt:lpstr>'OU07(니트)'!Print_Area</vt:lpstr>
      <vt:lpstr>'OU08(심양)'!Print_Area</vt:lpstr>
      <vt:lpstr>'OU08(심양)제품'!Print_Area</vt:lpstr>
      <vt:lpstr>'OU09'!Print_Area</vt:lpstr>
      <vt:lpstr>'OU10(니트)'!Print_Area</vt:lpstr>
      <vt:lpstr>'OU11(니트)'!Print_Area</vt:lpstr>
      <vt:lpstr>'PT01'!Print_Area</vt:lpstr>
      <vt:lpstr>'PT02'!Print_Area</vt:lpstr>
      <vt:lpstr>'PT03'!Print_Area</vt:lpstr>
      <vt:lpstr>'PT04(완사입)'!Print_Area</vt:lpstr>
      <vt:lpstr>'PT05(완사입)'!Print_Area</vt:lpstr>
      <vt:lpstr>'PT06(완사입)'!Print_Area</vt:lpstr>
      <vt:lpstr>'PT07(완사입)'!Print_Area</vt:lpstr>
      <vt:lpstr>'PT08(완사입) '!Print_Area</vt:lpstr>
      <vt:lpstr>'PT09(완사입)'!Print_Area</vt:lpstr>
      <vt:lpstr>'PT10(완사입)'!Print_Area</vt:lpstr>
      <vt:lpstr>'PT11(완사입)'!Print_Area</vt:lpstr>
      <vt:lpstr>'PT12(완사입'!Print_Area</vt:lpstr>
      <vt:lpstr>'PT13'!Print_Area</vt:lpstr>
      <vt:lpstr>'PT14'!Print_Area</vt:lpstr>
      <vt:lpstr>'PT15'!Print_Area</vt:lpstr>
      <vt:lpstr>'SE01'!Print_Area</vt:lpstr>
      <vt:lpstr>'SE02'!Print_Area</vt:lpstr>
      <vt:lpstr>'SE03'!Print_Area</vt:lpstr>
      <vt:lpstr>'SE04'!Print_Area</vt:lpstr>
      <vt:lpstr>'SK01'!Print_Area</vt:lpstr>
      <vt:lpstr>'SK02'!Print_Area</vt:lpstr>
      <vt:lpstr>'SK03'!Print_Area</vt:lpstr>
      <vt:lpstr>'SK04'!Print_Area</vt:lpstr>
      <vt:lpstr>'SK05(완사입)'!Print_Area</vt:lpstr>
      <vt:lpstr>'SK06'!Print_Area</vt:lpstr>
      <vt:lpstr>'SK07'!Print_Area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'TO22(완사입)'!Print_Area</vt:lpstr>
      <vt:lpstr>'TO23'!Print_Area</vt:lpstr>
      <vt:lpstr>'TO24'!Print_Area</vt:lpstr>
      <vt:lpstr>'TO25'!Print_Area</vt:lpstr>
      <vt:lpstr>'TO26'!Print_Area</vt:lpstr>
      <vt:lpstr>'TO27'!Print_Area</vt:lpstr>
      <vt:lpstr>'TO28'!Print_Area</vt:lpstr>
      <vt:lpstr>'TO29'!Print_Area</vt:lpstr>
      <vt:lpstr>'TO30'!Print_Area</vt:lpstr>
      <vt:lpstr>'TO31'!Print_Area</vt:lpstr>
      <vt:lpstr>'TO32(니트)'!Print_Area</vt:lpstr>
      <vt:lpstr>'TO33'!Print_Area</vt:lpstr>
      <vt:lpstr>'TO34'!Print_Area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2026-06-25T07:09:40Z</cp:lastPrinted>
  <dcterms:created xsi:type="dcterms:W3CDTF">2018-05-14T06:17:18Z</dcterms:created>
  <dcterms:modified xsi:type="dcterms:W3CDTF">2026-06-25T07:12:23Z</dcterms:modified>
</cp:coreProperties>
</file>