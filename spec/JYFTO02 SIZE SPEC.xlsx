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221212\Documents\EZMessenger 받은 파일\"/>
    </mc:Choice>
  </mc:AlternateContent>
  <xr:revisionPtr revIDLastSave="0" documentId="8_{24BD1979-2DF1-46F6-B4FA-2B6DCA52485F}" xr6:coauthVersionLast="47" xr6:coauthVersionMax="47" xr10:uidLastSave="{00000000-0000-0000-0000-000000000000}"/>
  <bookViews>
    <workbookView xWindow="5040" yWindow="255" windowWidth="17235" windowHeight="14745" xr2:uid="{99258603-2EAF-424D-B4BD-B89F9EEBAD66}"/>
  </bookViews>
  <sheets>
    <sheet name="TO02" sheetId="2" r:id="rId1"/>
  </sheets>
  <definedNames>
    <definedName name="_xlnm.Print_Area" localSheetId="0">'TO02'!$A$1:$M$30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I3" i="2"/>
  <c r="K3" i="2"/>
  <c r="L3" i="2" s="1"/>
  <c r="M3" i="2" s="1"/>
  <c r="H5" i="2"/>
  <c r="I5" i="2"/>
  <c r="K5" i="2"/>
  <c r="L5" i="2"/>
  <c r="M5" i="2"/>
  <c r="I7" i="2"/>
  <c r="H7" i="2" s="1"/>
  <c r="K7" i="2"/>
  <c r="L7" i="2" s="1"/>
  <c r="M7" i="2" s="1"/>
  <c r="I9" i="2"/>
  <c r="H9" i="2" s="1"/>
  <c r="K9" i="2"/>
  <c r="L9" i="2" s="1"/>
  <c r="M9" i="2" s="1"/>
  <c r="I11" i="2"/>
  <c r="H11" i="2" s="1"/>
  <c r="K11" i="2"/>
  <c r="L11" i="2"/>
  <c r="M11" i="2"/>
  <c r="I13" i="2"/>
  <c r="H13" i="2" s="1"/>
  <c r="K13" i="2"/>
  <c r="L13" i="2"/>
  <c r="M13" i="2"/>
  <c r="I15" i="2"/>
  <c r="H15" i="2" s="1"/>
  <c r="K15" i="2"/>
  <c r="L15" i="2"/>
  <c r="M15" i="2"/>
  <c r="I17" i="2"/>
  <c r="H17" i="2" s="1"/>
  <c r="K17" i="2"/>
  <c r="L17" i="2"/>
  <c r="M17" i="2" s="1"/>
  <c r="I19" i="2"/>
  <c r="H19" i="2" s="1"/>
  <c r="K19" i="2"/>
  <c r="L19" i="2"/>
  <c r="M19" i="2"/>
  <c r="I21" i="2"/>
  <c r="H21" i="2" s="1"/>
  <c r="K21" i="2"/>
  <c r="L21" i="2"/>
  <c r="M21" i="2" s="1"/>
  <c r="H23" i="2"/>
  <c r="I23" i="2"/>
  <c r="K23" i="2"/>
  <c r="L23" i="2"/>
  <c r="M23" i="2"/>
  <c r="I25" i="2"/>
  <c r="H25" i="2" s="1"/>
  <c r="K25" i="2"/>
  <c r="L25" i="2"/>
  <c r="M25" i="2"/>
  <c r="H27" i="2"/>
  <c r="I27" i="2"/>
  <c r="K27" i="2"/>
  <c r="L27" i="2" s="1"/>
  <c r="M27" i="2" s="1"/>
  <c r="I29" i="2"/>
  <c r="H29" i="2" s="1"/>
  <c r="K29" i="2"/>
  <c r="L29" i="2"/>
  <c r="M29" i="2"/>
</calcChain>
</file>

<file path=xl/sharedStrings.xml><?xml version="1.0" encoding="utf-8"?>
<sst xmlns="http://schemas.openxmlformats.org/spreadsheetml/2006/main" count="62" uniqueCount="62">
  <si>
    <t>앞중심</t>
    <phoneticPr fontId="5" type="noConversion"/>
  </si>
  <si>
    <t>위치 A</t>
    <phoneticPr fontId="6" type="noConversion"/>
  </si>
  <si>
    <t>POINT A</t>
    <phoneticPr fontId="6" type="noConversion"/>
  </si>
  <si>
    <t>어깨끈길이</t>
    <phoneticPr fontId="6" type="noConversion"/>
  </si>
  <si>
    <t>SHOULDER STRAP LENGTH</t>
    <phoneticPr fontId="6" type="noConversion"/>
  </si>
  <si>
    <r>
      <t xml:space="preserve">앞중심 </t>
    </r>
    <r>
      <rPr>
        <sz val="7.5"/>
        <color rgb="FFFF0000"/>
        <rFont val="맑은 고딕"/>
        <family val="3"/>
        <charset val="129"/>
        <scheme val="minor"/>
      </rPr>
      <t>(레이스포함)</t>
    </r>
    <phoneticPr fontId="5" type="noConversion"/>
  </si>
  <si>
    <t>앞요크길이</t>
    <phoneticPr fontId="6" type="noConversion"/>
  </si>
  <si>
    <t>FRONT YOKE LENGTH</t>
    <phoneticPr fontId="6" type="noConversion"/>
  </si>
  <si>
    <t>소매 밑단(시보리 밑단)의 둘레 길이</t>
    <phoneticPr fontId="6" type="noConversion"/>
  </si>
  <si>
    <t>소매부리</t>
  </si>
  <si>
    <t xml:space="preserve">CIRCLE ROUND </t>
    <phoneticPr fontId="8" type="noConversion"/>
  </si>
  <si>
    <t xml:space="preserve">CUFF OPENING </t>
    <phoneticPr fontId="8" type="noConversion"/>
  </si>
  <si>
    <t>암홀 겨드랑이 지점에서 소매중심의 수직 길이(둘레)</t>
    <phoneticPr fontId="6" type="noConversion"/>
  </si>
  <si>
    <t>소매통</t>
  </si>
  <si>
    <t>FROM ARMHOLE JOINING POINT ,CIRCLE ROUND</t>
    <phoneticPr fontId="8" type="noConversion"/>
  </si>
  <si>
    <t>BICEP</t>
    <phoneticPr fontId="8" type="noConversion"/>
  </si>
  <si>
    <t>어깨 끝점에서 소매 부리(밑단) 끝까지의 직선 길이</t>
    <phoneticPr fontId="6" type="noConversion"/>
  </si>
  <si>
    <t>소매기장</t>
  </si>
  <si>
    <t xml:space="preserve">FROM SHOULDER POINT TO EDGE </t>
    <phoneticPr fontId="8" type="noConversion"/>
  </si>
  <si>
    <t>SLEEVE LENGTH</t>
    <phoneticPr fontId="8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</si>
  <si>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6" type="noConversion"/>
  </si>
  <si>
    <r>
      <t>목둘레</t>
    </r>
    <r>
      <rPr>
        <sz val="7.5"/>
        <color rgb="FFFF0000"/>
        <rFont val="맑은 고딕"/>
        <family val="3"/>
        <charset val="129"/>
        <scheme val="minor"/>
      </rPr>
      <t>(랍바부분)</t>
    </r>
    <phoneticPr fontId="5" type="noConversion"/>
  </si>
  <si>
    <t xml:space="preserve">ROUND ,@ NECK SEWING  LINE </t>
    <phoneticPr fontId="6" type="noConversion"/>
  </si>
  <si>
    <t>NECK</t>
    <phoneticPr fontId="8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</si>
  <si>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6" type="noConversion"/>
  </si>
  <si>
    <t>앞목깊이</t>
  </si>
  <si>
    <t xml:space="preserve">MAKE IMAGE LINE TO CENTER NECK FRONT </t>
    <phoneticPr fontId="8" type="noConversion"/>
  </si>
  <si>
    <t xml:space="preserve">FRONT NECK DROP </t>
    <phoneticPr fontId="8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</si>
  <si>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6" type="noConversion"/>
  </si>
  <si>
    <t>옆목너비</t>
  </si>
  <si>
    <t>WITHOUT NECK BAND</t>
    <phoneticPr fontId="8" type="noConversion"/>
  </si>
  <si>
    <t>NECK WIDTH</t>
    <phoneticPr fontId="8" type="noConversion"/>
  </si>
  <si>
    <t>어깨끝점과 겨드랑이 점을 직선으로 잰 길이</t>
    <phoneticPr fontId="6" type="noConversion"/>
  </si>
  <si>
    <t>암홀길이(직선)</t>
  </si>
  <si>
    <t xml:space="preserve">STRIGHT </t>
    <phoneticPr fontId="8" type="noConversion"/>
  </si>
  <si>
    <t xml:space="preserve">ARMHOLE </t>
  </si>
  <si>
    <t>와끼선의 밑단 양끝점을 수평으로 잰 길이</t>
    <phoneticPr fontId="6" type="noConversion"/>
  </si>
  <si>
    <t>밑단둘레(반품)</t>
  </si>
  <si>
    <t>STRIGHT (1/2)</t>
    <phoneticPr fontId="8" type="noConversion"/>
  </si>
  <si>
    <t>BOTTOM SWEEP (1/2)</t>
    <phoneticPr fontId="8" type="noConversion"/>
  </si>
  <si>
    <t>암홀 겨드랑이 지점에서 수평으로 잰 길이</t>
    <phoneticPr fontId="6" type="noConversion"/>
  </si>
  <si>
    <t>가슴(상동)</t>
    <phoneticPr fontId="6" type="noConversion"/>
  </si>
  <si>
    <t xml:space="preserve">INCLUDE WAIST BAND TO EDGE </t>
    <phoneticPr fontId="6" type="noConversion"/>
  </si>
  <si>
    <t>CHEST (1/2)</t>
    <phoneticPr fontId="8" type="noConversion"/>
  </si>
  <si>
    <t>어깨 양끝점을 수평으로 잰 길이</t>
    <phoneticPr fontId="6" type="noConversion"/>
  </si>
  <si>
    <t>어깨너비</t>
  </si>
  <si>
    <t xml:space="preserve">POINT TO POINT </t>
    <phoneticPr fontId="8" type="noConversion"/>
  </si>
  <si>
    <t xml:space="preserve">ACROSS SHOULDER </t>
    <phoneticPr fontId="8" type="noConversion"/>
  </si>
  <si>
    <t>옆목점에서 밑단까지의 직선길이</t>
    <phoneticPr fontId="6" type="noConversion"/>
  </si>
  <si>
    <t>총기장(옆목)</t>
    <phoneticPr fontId="8" type="noConversion"/>
  </si>
  <si>
    <t>HPS TO BOTTOM EDGE</t>
    <phoneticPr fontId="8" type="noConversion"/>
  </si>
  <si>
    <t>TOTAL LENGTH</t>
    <phoneticPr fontId="8" type="noConversion"/>
  </si>
  <si>
    <t>3XL</t>
    <phoneticPr fontId="6" type="noConversion"/>
  </si>
  <si>
    <t>2XL</t>
    <phoneticPr fontId="6" type="noConversion"/>
  </si>
  <si>
    <t>XL</t>
    <phoneticPr fontId="6" type="noConversion"/>
  </si>
  <si>
    <t>L</t>
    <phoneticPr fontId="6" type="noConversion"/>
  </si>
  <si>
    <t>M</t>
    <phoneticPr fontId="6" type="noConversion"/>
  </si>
  <si>
    <t>S</t>
    <phoneticPr fontId="6" type="noConversion"/>
  </si>
  <si>
    <t xml:space="preserve">MEASURMENT METHOD </t>
    <phoneticPr fontId="8" type="noConversion"/>
  </si>
  <si>
    <t xml:space="preserve">LIST </t>
    <phoneticPr fontId="8" type="noConversion"/>
  </si>
  <si>
    <t>NO.</t>
    <phoneticPr fontId="6" type="noConversion"/>
  </si>
  <si>
    <t>STYLE NO: JYFTO02-K#Y04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</si>
</sst>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.5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7.5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7.5"/>
      <color indexed="1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>
      <alignment horizontal="left" vertical="center"/>
    </xf>
    <xf numFmtId="0" fontId="3" fillId="0" borderId="0" xfId="1" applyFo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left" vertical="center" wrapText="1"/>
    </xf>
    <xf numFmtId="0" fontId="4" fillId="0" borderId="12" xfId="1" applyFont="1" applyBorder="1" applyAlignment="1">
      <alignment horizontal="left" vertical="center" wrapText="1"/>
    </xf>
    <xf numFmtId="0" fontId="4" fillId="0" borderId="13" xfId="1" applyFont="1" applyBorder="1" applyAlignment="1">
      <alignment horizontal="left" vertical="center" wrapText="1"/>
    </xf>
    <xf numFmtId="0" fontId="4" fillId="0" borderId="11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0" borderId="16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0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3" fillId="2" borderId="22" xfId="1" applyFont="1" applyFill="1" applyBorder="1" applyAlignment="1">
      <alignment horizontal="center" vertical="center"/>
    </xf>
    <xf numFmtId="0" fontId="4" fillId="0" borderId="23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4" fillId="0" borderId="24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0" fillId="2" borderId="26" xfId="1" applyFont="1" applyFill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1" fillId="0" borderId="26" xfId="1" applyFont="1" applyBorder="1" applyAlignment="1">
      <alignment horizontal="center" vertical="center"/>
    </xf>
    <xf numFmtId="0" fontId="10" fillId="0" borderId="27" xfId="1" applyFont="1" applyBorder="1" applyAlignment="1">
      <alignment horizontal="left" vertical="center"/>
    </xf>
    <xf numFmtId="0" fontId="10" fillId="0" borderId="28" xfId="1" applyFont="1" applyBorder="1" applyAlignment="1">
      <alignment horizontal="left" vertical="center"/>
    </xf>
    <xf numFmtId="0" fontId="10" fillId="0" borderId="29" xfId="1" applyFont="1" applyBorder="1" applyAlignment="1">
      <alignment horizontal="left" vertical="center"/>
    </xf>
  </cellXfs>
  <cellStyles count="2">
    <cellStyle name="표준" xfId="0" builtinId="0"/>
    <cellStyle name="표준 2" xfId="1" xr:uid="{6C720628-08A9-46C3-BD1F-31F25AC8E1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2884-90CE-4742-8D46-BA790EFBD69C}">
  <sheetPr>
    <tabColor theme="7"/>
  </sheetPr>
  <dimension ref="A1:M59"/>
  <sheetViews>
    <sheetView tabSelected="1" zoomScale="110" zoomScaleNormal="110" zoomScalePageLayoutView="110" workbookViewId="0">
      <selection activeCell="R22" sqref="R22"/>
    </sheetView>
  </sheetViews>
  <sheetFormatPr defaultColWidth="8.75" defaultRowHeight="16.5" x14ac:dyDescent="0.3"/>
  <cols>
    <col min="1" max="1" width="3.25" style="1" bestFit="1" customWidth="1"/>
    <col min="2" max="3" width="8.75" style="1" customWidth="1"/>
    <col min="4" max="7" width="8.125" style="1" customWidth="1"/>
    <col min="8" max="14" width="5.5" style="1" customWidth="1"/>
    <col min="15" max="16384" width="8.75" style="1"/>
  </cols>
  <sheetData>
    <row r="1" spans="1:13" ht="16.5" customHeight="1" thickBot="1" x14ac:dyDescent="0.35">
      <c r="A1" s="53" t="s">
        <v>61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1"/>
    </row>
    <row r="2" spans="1:13" ht="16.5" customHeight="1" thickBot="1" x14ac:dyDescent="0.35">
      <c r="A2" s="50" t="s">
        <v>60</v>
      </c>
      <c r="B2" s="49" t="s">
        <v>59</v>
      </c>
      <c r="C2" s="49"/>
      <c r="D2" s="49" t="s">
        <v>58</v>
      </c>
      <c r="E2" s="49"/>
      <c r="F2" s="49"/>
      <c r="G2" s="49"/>
      <c r="H2" s="47" t="s">
        <v>57</v>
      </c>
      <c r="I2" s="47" t="s">
        <v>56</v>
      </c>
      <c r="J2" s="48" t="s">
        <v>55</v>
      </c>
      <c r="K2" s="47" t="s">
        <v>54</v>
      </c>
      <c r="L2" s="47" t="s">
        <v>53</v>
      </c>
      <c r="M2" s="47" t="s">
        <v>52</v>
      </c>
    </row>
    <row r="3" spans="1:13" s="3" customFormat="1" ht="14.1" customHeight="1" x14ac:dyDescent="0.3">
      <c r="A3" s="46">
        <v>1</v>
      </c>
      <c r="B3" s="45" t="s">
        <v>51</v>
      </c>
      <c r="C3" s="45"/>
      <c r="D3" s="44" t="s">
        <v>50</v>
      </c>
      <c r="E3" s="44"/>
      <c r="F3" s="44"/>
      <c r="G3" s="43"/>
      <c r="H3" s="17">
        <f>SUM(I3)-3</f>
        <v>33.6</v>
      </c>
      <c r="I3" s="17">
        <f>SUM(J3)-3</f>
        <v>36.6</v>
      </c>
      <c r="J3" s="42">
        <v>39.6</v>
      </c>
      <c r="K3" s="41">
        <f>SUM(J3)+2.5</f>
        <v>42.1</v>
      </c>
      <c r="L3" s="41">
        <f>SUM(K3)+2.5</f>
        <v>44.6</v>
      </c>
      <c r="M3" s="40">
        <f>SUM(L3)+2.5</f>
        <v>47.1</v>
      </c>
    </row>
    <row r="4" spans="1:13" s="3" customFormat="1" ht="14.1" customHeight="1" x14ac:dyDescent="0.3">
      <c r="A4" s="23"/>
      <c r="B4" s="31" t="s">
        <v>49</v>
      </c>
      <c r="C4" s="31"/>
      <c r="D4" s="28" t="s">
        <v>48</v>
      </c>
      <c r="E4" s="27"/>
      <c r="F4" s="27"/>
      <c r="G4" s="27"/>
      <c r="H4" s="25"/>
      <c r="I4" s="25"/>
      <c r="J4" s="16"/>
      <c r="K4" s="17"/>
      <c r="L4" s="17"/>
      <c r="M4" s="39"/>
    </row>
    <row r="5" spans="1:13" s="3" customFormat="1" ht="14.1" customHeight="1" x14ac:dyDescent="0.3">
      <c r="A5" s="23">
        <v>2</v>
      </c>
      <c r="B5" s="36" t="s">
        <v>47</v>
      </c>
      <c r="C5" s="36"/>
      <c r="D5" s="32" t="s">
        <v>46</v>
      </c>
      <c r="E5" s="32"/>
      <c r="F5" s="32"/>
      <c r="G5" s="32"/>
      <c r="H5" s="17">
        <f>SUM(I5)-1.8</f>
        <v>23.4</v>
      </c>
      <c r="I5" s="17">
        <f>SUM(J5)-1.8</f>
        <v>25.2</v>
      </c>
      <c r="J5" s="16">
        <v>27</v>
      </c>
      <c r="K5" s="17">
        <f>SUM(J5)+1.6</f>
        <v>28.6</v>
      </c>
      <c r="L5" s="17">
        <f>SUM(K5)+1.6</f>
        <v>30.200000000000003</v>
      </c>
      <c r="M5" s="39">
        <f>SUM(L5)+1.6</f>
        <v>31.800000000000004</v>
      </c>
    </row>
    <row r="6" spans="1:13" s="3" customFormat="1" ht="14.1" customHeight="1" x14ac:dyDescent="0.3">
      <c r="A6" s="23"/>
      <c r="B6" s="31" t="s">
        <v>45</v>
      </c>
      <c r="C6" s="31"/>
      <c r="D6" s="28" t="s">
        <v>44</v>
      </c>
      <c r="E6" s="27"/>
      <c r="F6" s="27"/>
      <c r="G6" s="26"/>
      <c r="H6" s="25"/>
      <c r="I6" s="25"/>
      <c r="J6" s="38"/>
      <c r="K6" s="25"/>
      <c r="L6" s="25"/>
      <c r="M6" s="37"/>
    </row>
    <row r="7" spans="1:13" s="3" customFormat="1" ht="14.1" customHeight="1" x14ac:dyDescent="0.3">
      <c r="A7" s="23">
        <v>3</v>
      </c>
      <c r="B7" s="36" t="s">
        <v>43</v>
      </c>
      <c r="C7" s="36"/>
      <c r="D7" s="32" t="s">
        <v>42</v>
      </c>
      <c r="E7" s="32"/>
      <c r="F7" s="32"/>
      <c r="G7" s="32"/>
      <c r="H7" s="17">
        <f>SUM(I7)-2.25</f>
        <v>29.5</v>
      </c>
      <c r="I7" s="17">
        <f>SUM(J7)-2.25</f>
        <v>31.75</v>
      </c>
      <c r="J7" s="16">
        <v>34</v>
      </c>
      <c r="K7" s="17">
        <f>SUM(J7)+2</f>
        <v>36</v>
      </c>
      <c r="L7" s="17">
        <f>SUM(K7)+2</f>
        <v>38</v>
      </c>
      <c r="M7" s="39">
        <f>SUM(L7)+2</f>
        <v>40</v>
      </c>
    </row>
    <row r="8" spans="1:13" s="3" customFormat="1" ht="14.1" customHeight="1" x14ac:dyDescent="0.3">
      <c r="A8" s="23"/>
      <c r="B8" s="31" t="s">
        <v>41</v>
      </c>
      <c r="C8" s="31"/>
      <c r="D8" s="28" t="s">
        <v>40</v>
      </c>
      <c r="E8" s="27"/>
      <c r="F8" s="27"/>
      <c r="G8" s="26"/>
      <c r="H8" s="25"/>
      <c r="I8" s="25"/>
      <c r="J8" s="38"/>
      <c r="K8" s="25"/>
      <c r="L8" s="25"/>
      <c r="M8" s="37"/>
    </row>
    <row r="9" spans="1:13" s="3" customFormat="1" ht="14.1" customHeight="1" x14ac:dyDescent="0.3">
      <c r="A9" s="23">
        <v>4</v>
      </c>
      <c r="B9" s="36" t="s">
        <v>39</v>
      </c>
      <c r="C9" s="36"/>
      <c r="D9" s="32" t="s">
        <v>38</v>
      </c>
      <c r="E9" s="32"/>
      <c r="F9" s="32"/>
      <c r="G9" s="32"/>
      <c r="H9" s="17">
        <f>SUM(I9)-2.25</f>
        <v>29.5</v>
      </c>
      <c r="I9" s="17">
        <f>SUM(J9)-2.25</f>
        <v>31.75</v>
      </c>
      <c r="J9" s="16">
        <v>34</v>
      </c>
      <c r="K9" s="17">
        <f>SUM(J9)+2</f>
        <v>36</v>
      </c>
      <c r="L9" s="17">
        <f>SUM(K9)+2</f>
        <v>38</v>
      </c>
      <c r="M9" s="39">
        <f>SUM(L9)+2</f>
        <v>40</v>
      </c>
    </row>
    <row r="10" spans="1:13" s="3" customFormat="1" ht="14.1" customHeight="1" x14ac:dyDescent="0.3">
      <c r="A10" s="23"/>
      <c r="B10" s="31" t="s">
        <v>37</v>
      </c>
      <c r="C10" s="31"/>
      <c r="D10" s="28" t="s">
        <v>36</v>
      </c>
      <c r="E10" s="27"/>
      <c r="F10" s="27"/>
      <c r="G10" s="26"/>
      <c r="H10" s="25"/>
      <c r="I10" s="25"/>
      <c r="J10" s="38"/>
      <c r="K10" s="25"/>
      <c r="L10" s="25"/>
      <c r="M10" s="37"/>
    </row>
    <row r="11" spans="1:13" s="3" customFormat="1" ht="14.1" customHeight="1" x14ac:dyDescent="0.3">
      <c r="A11" s="23">
        <v>5</v>
      </c>
      <c r="B11" s="36" t="s">
        <v>35</v>
      </c>
      <c r="C11" s="36"/>
      <c r="D11" s="32" t="s">
        <v>34</v>
      </c>
      <c r="E11" s="32"/>
      <c r="F11" s="32"/>
      <c r="G11" s="32"/>
      <c r="H11" s="17">
        <f>SUM(I11)-0.8</f>
        <v>12.999999999999998</v>
      </c>
      <c r="I11" s="17">
        <f>SUM(J11)-0.8</f>
        <v>13.799999999999999</v>
      </c>
      <c r="J11" s="24">
        <v>14.6</v>
      </c>
      <c r="K11" s="15">
        <f>SUM(J11)+0.8</f>
        <v>15.4</v>
      </c>
      <c r="L11" s="15">
        <f>SUM(K11)+0.8</f>
        <v>16.2</v>
      </c>
      <c r="M11" s="14">
        <f>SUM(L11)+0.8</f>
        <v>17</v>
      </c>
    </row>
    <row r="12" spans="1:13" s="3" customFormat="1" ht="14.1" customHeight="1" x14ac:dyDescent="0.3">
      <c r="A12" s="23"/>
      <c r="B12" s="31" t="s">
        <v>33</v>
      </c>
      <c r="C12" s="31"/>
      <c r="D12" s="28" t="s">
        <v>32</v>
      </c>
      <c r="E12" s="27"/>
      <c r="F12" s="27"/>
      <c r="G12" s="26"/>
      <c r="H12" s="25"/>
      <c r="I12" s="25"/>
      <c r="J12" s="24"/>
      <c r="K12" s="15"/>
      <c r="L12" s="15"/>
      <c r="M12" s="14"/>
    </row>
    <row r="13" spans="1:13" s="3" customFormat="1" ht="14.1" customHeight="1" x14ac:dyDescent="0.3">
      <c r="A13" s="23">
        <v>6</v>
      </c>
      <c r="B13" s="36" t="s">
        <v>31</v>
      </c>
      <c r="C13" s="36"/>
      <c r="D13" s="32" t="s">
        <v>30</v>
      </c>
      <c r="E13" s="32"/>
      <c r="F13" s="32"/>
      <c r="G13" s="32"/>
      <c r="H13" s="17">
        <f>SUM(I13)-0.6</f>
        <v>13.8</v>
      </c>
      <c r="I13" s="17">
        <f>SUM(J13)-0.6</f>
        <v>14.4</v>
      </c>
      <c r="J13" s="24">
        <v>15</v>
      </c>
      <c r="K13" s="15">
        <f>SUM(J13)+0.6</f>
        <v>15.6</v>
      </c>
      <c r="L13" s="15">
        <f>SUM(K13)+0.6</f>
        <v>16.2</v>
      </c>
      <c r="M13" s="14">
        <f>SUM(L13)+0.6</f>
        <v>16.8</v>
      </c>
    </row>
    <row r="14" spans="1:13" s="3" customFormat="1" ht="14.1" customHeight="1" x14ac:dyDescent="0.3">
      <c r="A14" s="23"/>
      <c r="B14" s="31" t="s">
        <v>29</v>
      </c>
      <c r="C14" s="31"/>
      <c r="D14" s="28" t="s">
        <v>28</v>
      </c>
      <c r="E14" s="27"/>
      <c r="F14" s="27"/>
      <c r="G14" s="26"/>
      <c r="H14" s="25"/>
      <c r="I14" s="25"/>
      <c r="J14" s="24"/>
      <c r="K14" s="15"/>
      <c r="L14" s="15"/>
      <c r="M14" s="14"/>
    </row>
    <row r="15" spans="1:13" s="3" customFormat="1" ht="14.1" customHeight="1" x14ac:dyDescent="0.3">
      <c r="A15" s="23">
        <v>7</v>
      </c>
      <c r="B15" s="36" t="s">
        <v>27</v>
      </c>
      <c r="C15" s="36"/>
      <c r="D15" s="32" t="s">
        <v>26</v>
      </c>
      <c r="E15" s="32"/>
      <c r="F15" s="32"/>
      <c r="G15" s="32"/>
      <c r="H15" s="17">
        <f>SUM(I15)-0.3</f>
        <v>8.3999999999999986</v>
      </c>
      <c r="I15" s="17">
        <f>SUM(J15)-0.3</f>
        <v>8.6999999999999993</v>
      </c>
      <c r="J15" s="24">
        <v>9</v>
      </c>
      <c r="K15" s="15">
        <f>SUM(J15)+0.3</f>
        <v>9.3000000000000007</v>
      </c>
      <c r="L15" s="15">
        <f>SUM(K15)+0.3</f>
        <v>9.6000000000000014</v>
      </c>
      <c r="M15" s="14">
        <f>SUM(L15)+0.3</f>
        <v>9.9000000000000021</v>
      </c>
    </row>
    <row r="16" spans="1:13" s="3" customFormat="1" ht="14.1" customHeight="1" x14ac:dyDescent="0.3">
      <c r="A16" s="23"/>
      <c r="B16" s="31" t="s">
        <v>25</v>
      </c>
      <c r="C16" s="31"/>
      <c r="D16" s="28" t="s">
        <v>24</v>
      </c>
      <c r="E16" s="27"/>
      <c r="F16" s="27"/>
      <c r="G16" s="26"/>
      <c r="H16" s="25"/>
      <c r="I16" s="25"/>
      <c r="J16" s="24"/>
      <c r="K16" s="15"/>
      <c r="L16" s="15"/>
      <c r="M16" s="14"/>
    </row>
    <row r="17" spans="1:13" s="3" customFormat="1" ht="14.1" customHeight="1" x14ac:dyDescent="0.3">
      <c r="A17" s="23">
        <v>8</v>
      </c>
      <c r="B17" s="22" t="s">
        <v>23</v>
      </c>
      <c r="C17" s="21"/>
      <c r="D17" s="35" t="s">
        <v>22</v>
      </c>
      <c r="E17" s="34"/>
      <c r="F17" s="34"/>
      <c r="G17" s="33"/>
      <c r="H17" s="17">
        <f>SUM(I17)-1.7</f>
        <v>32.599999999999994</v>
      </c>
      <c r="I17" s="17">
        <f>SUM(J17)-1.7</f>
        <v>34.299999999999997</v>
      </c>
      <c r="J17" s="24">
        <v>36</v>
      </c>
      <c r="K17" s="15">
        <f>SUM(J17)+1.7</f>
        <v>37.700000000000003</v>
      </c>
      <c r="L17" s="15">
        <f>SUM(K17)+1.7</f>
        <v>39.400000000000006</v>
      </c>
      <c r="M17" s="14">
        <f>SUM(L17)+1.7</f>
        <v>41.100000000000009</v>
      </c>
    </row>
    <row r="18" spans="1:13" s="3" customFormat="1" ht="14.1" customHeight="1" x14ac:dyDescent="0.3">
      <c r="A18" s="23"/>
      <c r="B18" s="31" t="s">
        <v>21</v>
      </c>
      <c r="C18" s="31"/>
      <c r="D18" s="28" t="s">
        <v>20</v>
      </c>
      <c r="E18" s="27"/>
      <c r="F18" s="27"/>
      <c r="G18" s="26"/>
      <c r="H18" s="25"/>
      <c r="I18" s="25"/>
      <c r="J18" s="24"/>
      <c r="K18" s="15"/>
      <c r="L18" s="15"/>
      <c r="M18" s="14"/>
    </row>
    <row r="19" spans="1:13" s="3" customFormat="1" ht="14.1" customHeight="1" x14ac:dyDescent="0.3">
      <c r="A19" s="23">
        <v>9</v>
      </c>
      <c r="B19" s="36" t="s">
        <v>19</v>
      </c>
      <c r="C19" s="36"/>
      <c r="D19" s="32" t="s">
        <v>18</v>
      </c>
      <c r="E19" s="32"/>
      <c r="F19" s="32"/>
      <c r="G19" s="32"/>
      <c r="H19" s="17">
        <f>SUM(I19)-3.6</f>
        <v>32.299999999999997</v>
      </c>
      <c r="I19" s="17">
        <f>SUM(J19)-3.6</f>
        <v>35.9</v>
      </c>
      <c r="J19" s="24">
        <v>39.5</v>
      </c>
      <c r="K19" s="15">
        <f>SUM(J19)+3.7</f>
        <v>43.2</v>
      </c>
      <c r="L19" s="15">
        <f>SUM(K19)+3.7</f>
        <v>46.900000000000006</v>
      </c>
      <c r="M19" s="14">
        <f>SUM(L19)+3.7</f>
        <v>50.600000000000009</v>
      </c>
    </row>
    <row r="20" spans="1:13" s="3" customFormat="1" ht="14.1" customHeight="1" x14ac:dyDescent="0.3">
      <c r="A20" s="23"/>
      <c r="B20" s="31" t="s">
        <v>17</v>
      </c>
      <c r="C20" s="31"/>
      <c r="D20" s="28" t="s">
        <v>16</v>
      </c>
      <c r="E20" s="27"/>
      <c r="F20" s="27"/>
      <c r="G20" s="26"/>
      <c r="H20" s="25"/>
      <c r="I20" s="25"/>
      <c r="J20" s="24"/>
      <c r="K20" s="15"/>
      <c r="L20" s="15"/>
      <c r="M20" s="14"/>
    </row>
    <row r="21" spans="1:13" s="3" customFormat="1" ht="14.1" customHeight="1" x14ac:dyDescent="0.3">
      <c r="A21" s="23">
        <v>10</v>
      </c>
      <c r="B21" s="36" t="s">
        <v>15</v>
      </c>
      <c r="C21" s="36"/>
      <c r="D21" s="35" t="s">
        <v>14</v>
      </c>
      <c r="E21" s="34"/>
      <c r="F21" s="34"/>
      <c r="G21" s="33"/>
      <c r="H21" s="17">
        <f>SUM(I21)-1.2</f>
        <v>20.200000000000003</v>
      </c>
      <c r="I21" s="17">
        <f>SUM(J21)-1.2</f>
        <v>21.400000000000002</v>
      </c>
      <c r="J21" s="24">
        <v>22.6</v>
      </c>
      <c r="K21" s="15">
        <f>SUM(J21)+1.2</f>
        <v>23.8</v>
      </c>
      <c r="L21" s="15">
        <f>SUM(K21)+1.2</f>
        <v>25</v>
      </c>
      <c r="M21" s="14">
        <f>SUM(L21)+1.2</f>
        <v>26.2</v>
      </c>
    </row>
    <row r="22" spans="1:13" s="3" customFormat="1" ht="14.1" customHeight="1" x14ac:dyDescent="0.3">
      <c r="A22" s="23"/>
      <c r="B22" s="31" t="s">
        <v>13</v>
      </c>
      <c r="C22" s="31"/>
      <c r="D22" s="28" t="s">
        <v>12</v>
      </c>
      <c r="E22" s="27"/>
      <c r="F22" s="27"/>
      <c r="G22" s="26"/>
      <c r="H22" s="25"/>
      <c r="I22" s="25"/>
      <c r="J22" s="24"/>
      <c r="K22" s="15"/>
      <c r="L22" s="15"/>
      <c r="M22" s="14"/>
    </row>
    <row r="23" spans="1:13" s="3" customFormat="1" ht="14.1" customHeight="1" x14ac:dyDescent="0.3">
      <c r="A23" s="23">
        <v>11</v>
      </c>
      <c r="B23" s="22" t="s">
        <v>11</v>
      </c>
      <c r="C23" s="21"/>
      <c r="D23" s="32" t="s">
        <v>10</v>
      </c>
      <c r="E23" s="32"/>
      <c r="F23" s="32"/>
      <c r="G23" s="32"/>
      <c r="H23" s="17">
        <f>SUM(I23)-0.7</f>
        <v>14.600000000000001</v>
      </c>
      <c r="I23" s="17">
        <f>SUM(J23)-0.7</f>
        <v>15.3</v>
      </c>
      <c r="J23" s="24">
        <v>16</v>
      </c>
      <c r="K23" s="15">
        <f>SUM(J23)+0.7</f>
        <v>16.7</v>
      </c>
      <c r="L23" s="15">
        <f>SUM(K23)+0.7</f>
        <v>17.399999999999999</v>
      </c>
      <c r="M23" s="14">
        <f>SUM(L23)+0.7</f>
        <v>18.099999999999998</v>
      </c>
    </row>
    <row r="24" spans="1:13" s="3" customFormat="1" ht="14.1" customHeight="1" x14ac:dyDescent="0.3">
      <c r="A24" s="23"/>
      <c r="B24" s="31" t="s">
        <v>9</v>
      </c>
      <c r="C24" s="31"/>
      <c r="D24" s="28" t="s">
        <v>8</v>
      </c>
      <c r="E24" s="27"/>
      <c r="F24" s="27"/>
      <c r="G24" s="26"/>
      <c r="H24" s="25"/>
      <c r="I24" s="25"/>
      <c r="J24" s="24"/>
      <c r="K24" s="15"/>
      <c r="L24" s="15"/>
      <c r="M24" s="14"/>
    </row>
    <row r="25" spans="1:13" s="3" customFormat="1" ht="14.1" customHeight="1" x14ac:dyDescent="0.3">
      <c r="A25" s="23">
        <v>12</v>
      </c>
      <c r="B25" s="22" t="s">
        <v>7</v>
      </c>
      <c r="C25" s="21"/>
      <c r="D25" s="20"/>
      <c r="E25" s="19"/>
      <c r="F25" s="19"/>
      <c r="G25" s="18"/>
      <c r="H25" s="17">
        <f>SUM(I25)-0.2</f>
        <v>3.0999999999999996</v>
      </c>
      <c r="I25" s="17">
        <f>SUM(J25)-0.2</f>
        <v>3.3</v>
      </c>
      <c r="J25" s="24">
        <v>3.5</v>
      </c>
      <c r="K25" s="15">
        <f>SUM(J25)+0.2</f>
        <v>3.7</v>
      </c>
      <c r="L25" s="15">
        <f>SUM(K25)+0.2</f>
        <v>3.9000000000000004</v>
      </c>
      <c r="M25" s="14">
        <f>SUM(L25)+0.2</f>
        <v>4.1000000000000005</v>
      </c>
    </row>
    <row r="26" spans="1:13" s="3" customFormat="1" ht="14.1" customHeight="1" x14ac:dyDescent="0.3">
      <c r="A26" s="23"/>
      <c r="B26" s="30" t="s">
        <v>6</v>
      </c>
      <c r="C26" s="29"/>
      <c r="D26" s="28" t="s">
        <v>5</v>
      </c>
      <c r="E26" s="27"/>
      <c r="F26" s="27"/>
      <c r="G26" s="26"/>
      <c r="H26" s="25"/>
      <c r="I26" s="25"/>
      <c r="J26" s="24"/>
      <c r="K26" s="15"/>
      <c r="L26" s="15"/>
      <c r="M26" s="14"/>
    </row>
    <row r="27" spans="1:13" s="3" customFormat="1" ht="14.1" customHeight="1" x14ac:dyDescent="0.3">
      <c r="A27" s="23">
        <v>14</v>
      </c>
      <c r="B27" s="22" t="s">
        <v>4</v>
      </c>
      <c r="C27" s="21"/>
      <c r="D27" s="20"/>
      <c r="E27" s="19"/>
      <c r="F27" s="19"/>
      <c r="G27" s="18"/>
      <c r="H27" s="17">
        <f>SUM(I27)-0.6</f>
        <v>12.8</v>
      </c>
      <c r="I27" s="17">
        <f>SUM(J27)-0.6</f>
        <v>13.4</v>
      </c>
      <c r="J27" s="24">
        <v>14</v>
      </c>
      <c r="K27" s="15">
        <f>SUM(J27)+0.6</f>
        <v>14.6</v>
      </c>
      <c r="L27" s="15">
        <f>SUM(K27)+0.6</f>
        <v>15.2</v>
      </c>
      <c r="M27" s="14">
        <f>SUM(L27)+0.6</f>
        <v>15.799999999999999</v>
      </c>
    </row>
    <row r="28" spans="1:13" s="3" customFormat="1" ht="14.1" customHeight="1" x14ac:dyDescent="0.3">
      <c r="A28" s="23"/>
      <c r="B28" s="30" t="s">
        <v>3</v>
      </c>
      <c r="C28" s="29"/>
      <c r="D28" s="28"/>
      <c r="E28" s="27"/>
      <c r="F28" s="27"/>
      <c r="G28" s="26"/>
      <c r="H28" s="25"/>
      <c r="I28" s="25"/>
      <c r="J28" s="24"/>
      <c r="K28" s="15"/>
      <c r="L28" s="15"/>
      <c r="M28" s="14"/>
    </row>
    <row r="29" spans="1:13" s="3" customFormat="1" ht="14.1" customHeight="1" x14ac:dyDescent="0.3">
      <c r="A29" s="23">
        <v>15</v>
      </c>
      <c r="B29" s="22" t="s">
        <v>2</v>
      </c>
      <c r="C29" s="21"/>
      <c r="D29" s="20"/>
      <c r="E29" s="19"/>
      <c r="F29" s="19"/>
      <c r="G29" s="18"/>
      <c r="H29" s="17">
        <f>SUM(I29)-0.2</f>
        <v>2.5999999999999996</v>
      </c>
      <c r="I29" s="17">
        <f>SUM(J29)-0.2</f>
        <v>2.8</v>
      </c>
      <c r="J29" s="16">
        <v>3</v>
      </c>
      <c r="K29" s="15">
        <f>SUM(J29)+0.2</f>
        <v>3.2</v>
      </c>
      <c r="L29" s="15">
        <f>SUM(K29)+0.2</f>
        <v>3.4000000000000004</v>
      </c>
      <c r="M29" s="14">
        <f>SUM(L29)+0.2</f>
        <v>3.6000000000000005</v>
      </c>
    </row>
    <row r="30" spans="1:13" s="3" customFormat="1" ht="14.1" customHeight="1" thickBot="1" x14ac:dyDescent="0.35">
      <c r="A30" s="13"/>
      <c r="B30" s="12" t="s">
        <v>1</v>
      </c>
      <c r="C30" s="11"/>
      <c r="D30" s="10" t="s">
        <v>0</v>
      </c>
      <c r="E30" s="9"/>
      <c r="F30" s="9"/>
      <c r="G30" s="8"/>
      <c r="H30" s="7"/>
      <c r="I30" s="7"/>
      <c r="J30" s="6"/>
      <c r="K30" s="5"/>
      <c r="L30" s="5"/>
      <c r="M30" s="4"/>
    </row>
    <row r="31" spans="1:13" ht="14.1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4.1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4.1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4.1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s="3" customFormat="1" ht="14.1" customHeight="1" x14ac:dyDescent="0.3"/>
    <row r="36" spans="1:13" s="3" customFormat="1" ht="14.1" customHeight="1" x14ac:dyDescent="0.3"/>
    <row r="37" spans="1:13" s="3" customFormat="1" ht="14.1" customHeight="1" x14ac:dyDescent="0.3"/>
    <row r="38" spans="1:13" s="3" customFormat="1" ht="14.1" customHeight="1" x14ac:dyDescent="0.3"/>
    <row r="39" spans="1:13" s="3" customFormat="1" ht="14.1" customHeight="1" x14ac:dyDescent="0.3"/>
    <row r="40" spans="1:13" s="3" customFormat="1" ht="14.1" customHeight="1" x14ac:dyDescent="0.3"/>
    <row r="41" spans="1:13" s="3" customFormat="1" ht="14.1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s="3" customFormat="1" ht="14.1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s="3" customFormat="1" ht="14.1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s="3" customFormat="1" ht="14.1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s="3" customFormat="1" ht="14.1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s="3" customFormat="1" ht="14.1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s="3" customFormat="1" ht="14.1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s="3" customFormat="1" ht="14.1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7" ht="14.1" customHeight="1" x14ac:dyDescent="0.3">
      <c r="B49" s="2"/>
      <c r="C49" s="2"/>
      <c r="D49" s="2"/>
      <c r="E49" s="2"/>
      <c r="F49" s="2"/>
      <c r="G49" s="2"/>
    </row>
    <row r="50" spans="2:7" ht="14.1" customHeight="1" x14ac:dyDescent="0.3">
      <c r="B50" s="2"/>
      <c r="C50" s="2"/>
      <c r="D50" s="2"/>
      <c r="E50" s="2"/>
      <c r="F50" s="2"/>
      <c r="G50" s="2"/>
    </row>
    <row r="51" spans="2:7" ht="14.1" customHeight="1" x14ac:dyDescent="0.3">
      <c r="B51" s="2"/>
      <c r="C51" s="2"/>
      <c r="D51" s="2"/>
      <c r="E51" s="2"/>
      <c r="F51" s="2"/>
      <c r="G51" s="2"/>
    </row>
    <row r="52" spans="2:7" ht="14.1" customHeight="1" x14ac:dyDescent="0.3">
      <c r="B52" s="2"/>
      <c r="C52" s="2"/>
      <c r="D52" s="2"/>
      <c r="E52" s="2"/>
      <c r="F52" s="2"/>
      <c r="G52" s="2"/>
    </row>
    <row r="53" spans="2:7" ht="14.1" customHeight="1" x14ac:dyDescent="0.3"/>
    <row r="54" spans="2:7" ht="14.1" customHeight="1" x14ac:dyDescent="0.3"/>
    <row r="55" spans="2:7" ht="14.1" customHeight="1" x14ac:dyDescent="0.3"/>
    <row r="56" spans="2:7" ht="14.1" customHeight="1" x14ac:dyDescent="0.3"/>
    <row r="57" spans="2:7" ht="14.1" customHeight="1" x14ac:dyDescent="0.3"/>
    <row r="58" spans="2:7" ht="14.1" customHeight="1" x14ac:dyDescent="0.3"/>
    <row r="59" spans="2:7" ht="14.1" customHeight="1" x14ac:dyDescent="0.3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M7:M8"/>
    <mergeCell ref="B8:C8"/>
    <mergeCell ref="D8:G8"/>
    <mergeCell ref="K5:K6"/>
    <mergeCell ref="L5:L6"/>
    <mergeCell ref="M5:M6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A7:A8"/>
    <mergeCell ref="B7:C7"/>
    <mergeCell ref="D7:G7"/>
    <mergeCell ref="H7:H8"/>
    <mergeCell ref="I7:I8"/>
    <mergeCell ref="L3:L4"/>
    <mergeCell ref="J7:J8"/>
    <mergeCell ref="K7:K8"/>
    <mergeCell ref="L7:L8"/>
    <mergeCell ref="B6:C6"/>
    <mergeCell ref="D6:G6"/>
    <mergeCell ref="A11:A12"/>
    <mergeCell ref="B11:C11"/>
    <mergeCell ref="D11:G11"/>
    <mergeCell ref="H11:H12"/>
    <mergeCell ref="A9:A10"/>
    <mergeCell ref="B9:C9"/>
    <mergeCell ref="D9:G9"/>
    <mergeCell ref="H9:H10"/>
    <mergeCell ref="K9:K10"/>
    <mergeCell ref="L9:L10"/>
    <mergeCell ref="M9:M10"/>
    <mergeCell ref="B10:C10"/>
    <mergeCell ref="D10:G10"/>
    <mergeCell ref="J9:J10"/>
    <mergeCell ref="I9:I10"/>
    <mergeCell ref="J11:J12"/>
    <mergeCell ref="K11:K12"/>
    <mergeCell ref="L11:L12"/>
    <mergeCell ref="M11:M12"/>
    <mergeCell ref="B12:C12"/>
    <mergeCell ref="D12:G12"/>
    <mergeCell ref="I11:I12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3:K14"/>
    <mergeCell ref="L13:L14"/>
    <mergeCell ref="M13:M14"/>
    <mergeCell ref="B14:C14"/>
    <mergeCell ref="D14:G14"/>
    <mergeCell ref="J13:J14"/>
    <mergeCell ref="J15:J16"/>
    <mergeCell ref="K15:K16"/>
    <mergeCell ref="L15:L16"/>
    <mergeCell ref="M15:M16"/>
    <mergeCell ref="B16:C16"/>
    <mergeCell ref="D16:G16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K17:K18"/>
    <mergeCell ref="L17:L18"/>
    <mergeCell ref="M17:M18"/>
    <mergeCell ref="B18:C18"/>
    <mergeCell ref="D18:G18"/>
    <mergeCell ref="J17:J18"/>
    <mergeCell ref="J19:J20"/>
    <mergeCell ref="K19:K20"/>
    <mergeCell ref="L19:L20"/>
    <mergeCell ref="M19:M20"/>
    <mergeCell ref="B20:C20"/>
    <mergeCell ref="D20:G20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K21:K22"/>
    <mergeCell ref="L21:L22"/>
    <mergeCell ref="M21:M22"/>
    <mergeCell ref="B22:C22"/>
    <mergeCell ref="D22:G22"/>
    <mergeCell ref="J21:J22"/>
    <mergeCell ref="J23:J24"/>
    <mergeCell ref="K23:K24"/>
    <mergeCell ref="L23:L24"/>
    <mergeCell ref="M23:M24"/>
    <mergeCell ref="B24:C24"/>
    <mergeCell ref="D24:G24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K25:K26"/>
    <mergeCell ref="L25:L26"/>
    <mergeCell ref="M25:M26"/>
    <mergeCell ref="B26:C26"/>
    <mergeCell ref="D26:G26"/>
    <mergeCell ref="J25:J26"/>
    <mergeCell ref="J29:J30"/>
    <mergeCell ref="J27:J28"/>
    <mergeCell ref="K27:K28"/>
    <mergeCell ref="L27:L28"/>
    <mergeCell ref="M27:M28"/>
    <mergeCell ref="B28:C28"/>
    <mergeCell ref="D28:G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</mergeCells>
  <phoneticPr fontId="2" type="noConversion"/>
  <pageMargins left="0.46875" right="0.46875" top="0.75" bottom="0.75" header="0.3" footer="0.3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TO02</vt:lpstr>
      <vt:lpstr>'TO02'!Print_Area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DAHEE KIM</dc:creator>
  <cp:lastModifiedBy>DAHEE KIM</cp:lastModifiedBy>
  <dcterms:created xsi:type="dcterms:W3CDTF">2026-05-15T09:03:29Z</dcterms:created>
  <dcterms:modified xsi:type="dcterms:W3CDTF">2026-05-15T09:03:52Z</dcterms:modified>
</cp:coreProperties>
</file>