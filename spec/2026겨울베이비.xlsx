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중국풀패턴\본공장풀패턴\2026\2026겨울풀패턴\2026겨울사이즈스펙\"/>
    </mc:Choice>
  </mc:AlternateContent>
  <xr:revisionPtr revIDLastSave="0" documentId="8_{D50AC3E2-36D7-49EA-8FBA-5F3053BB662E}" xr6:coauthVersionLast="47" xr6:coauthVersionMax="47" xr10:uidLastSave="{00000000-0000-0000-0000-000000000000}"/>
  <bookViews>
    <workbookView xWindow="28680" yWindow="-120" windowWidth="29040" windowHeight="15720" tabRatio="776" xr2:uid="{00000000-000D-0000-FFFF-FFFF00000000}"/>
  </bookViews>
  <sheets>
    <sheet name="LE01 " sheetId="979" r:id="rId1"/>
    <sheet name="EC01(니트) " sheetId="976" r:id="rId2"/>
    <sheet name="OU01 (니트)" sheetId="974" r:id="rId3"/>
    <sheet name="OU02(니트)" sheetId="975" r:id="rId4"/>
    <sheet name="PT01" sheetId="982" r:id="rId5"/>
    <sheet name="PT02" sheetId="983" r:id="rId6"/>
    <sheet name="PT03" sheetId="986" r:id="rId7"/>
    <sheet name="TO01" sheetId="981" r:id="rId8"/>
    <sheet name="TO02" sheetId="984" r:id="rId9"/>
    <sheet name="TO03" sheetId="985" r:id="rId10"/>
    <sheet name="TO04 (니트)" sheetId="980" r:id="rId11"/>
  </sheets>
  <definedNames>
    <definedName name="_xlnm.Print_Area" localSheetId="1">'EC01(니트) '!$A$1:$M$38</definedName>
    <definedName name="_xlnm.Print_Area" localSheetId="0">'LE01 '!$A$1:$M$34</definedName>
    <definedName name="_xlnm.Print_Area" localSheetId="2">'OU01 (니트)'!$A$1:$M$38</definedName>
    <definedName name="_xlnm.Print_Area" localSheetId="3">'OU02(니트)'!$A$1:$M$38</definedName>
    <definedName name="_xlnm.Print_Area" localSheetId="4">'PT01'!$A$1:$M$42</definedName>
    <definedName name="_xlnm.Print_Area" localSheetId="5">'PT02'!$A$1:$M$42</definedName>
    <definedName name="_xlnm.Print_Area" localSheetId="6">'PT03'!$A$1:$M$46</definedName>
    <definedName name="_xlnm.Print_Area" localSheetId="7">'TO01'!$A$1:$M$28</definedName>
    <definedName name="_xlnm.Print_Area" localSheetId="8">'TO02'!$A$1:$M$36</definedName>
    <definedName name="_xlnm.Print_Area" localSheetId="9">'TO03'!$A$1:$M$28</definedName>
    <definedName name="_xlnm.Print_Area" localSheetId="10">'TO04 (니트)'!$A$1:$M$34</definedName>
  </definedNames>
  <calcPr calcId="191029"/>
</workbook>
</file>

<file path=xl/calcChain.xml><?xml version="1.0" encoding="utf-8"?>
<calcChain xmlns="http://schemas.openxmlformats.org/spreadsheetml/2006/main">
  <c r="J43" i="986" l="1"/>
  <c r="K43" i="986" s="1"/>
  <c r="H43" i="986"/>
  <c r="J45" i="986"/>
  <c r="K45" i="986" s="1"/>
  <c r="H45" i="986"/>
  <c r="J33" i="986"/>
  <c r="K33" i="986" s="1"/>
  <c r="H33" i="986"/>
  <c r="J31" i="986"/>
  <c r="K31" i="986" s="1"/>
  <c r="H31" i="986"/>
  <c r="M41" i="986"/>
  <c r="J41" i="986"/>
  <c r="K41" i="986" s="1"/>
  <c r="H41" i="986"/>
  <c r="M39" i="986"/>
  <c r="J39" i="986"/>
  <c r="K39" i="986" s="1"/>
  <c r="H39" i="986"/>
  <c r="J37" i="986"/>
  <c r="K37" i="986" s="1"/>
  <c r="H37" i="986"/>
  <c r="J35" i="986"/>
  <c r="K35" i="986" s="1"/>
  <c r="H35" i="986"/>
  <c r="J29" i="986"/>
  <c r="K29" i="986" s="1"/>
  <c r="H29" i="986"/>
  <c r="J27" i="986"/>
  <c r="K27" i="986" s="1"/>
  <c r="H27" i="986"/>
  <c r="J25" i="986"/>
  <c r="K25" i="986" s="1"/>
  <c r="H25" i="986"/>
  <c r="J23" i="986"/>
  <c r="K23" i="986" s="1"/>
  <c r="H23" i="986"/>
  <c r="J21" i="986"/>
  <c r="H21" i="986"/>
  <c r="J19" i="986"/>
  <c r="K19" i="986" s="1"/>
  <c r="H19" i="986"/>
  <c r="J15" i="986"/>
  <c r="K15" i="986" s="1"/>
  <c r="H15" i="986"/>
  <c r="J13" i="986"/>
  <c r="K13" i="986" s="1"/>
  <c r="H13" i="986"/>
  <c r="J11" i="986"/>
  <c r="K11" i="986" s="1"/>
  <c r="H11" i="986"/>
  <c r="J3" i="986"/>
  <c r="K3" i="986" s="1"/>
  <c r="H3" i="986"/>
  <c r="J21" i="985"/>
  <c r="K21" i="985" s="1"/>
  <c r="H21" i="985"/>
  <c r="J19" i="985"/>
  <c r="K19" i="985" s="1"/>
  <c r="H19" i="985"/>
  <c r="J11" i="985"/>
  <c r="K11" i="985" s="1"/>
  <c r="H11" i="985"/>
  <c r="K5" i="985"/>
  <c r="J5" i="985"/>
  <c r="H5" i="985"/>
  <c r="J27" i="985"/>
  <c r="K27" i="985" s="1"/>
  <c r="H27" i="985"/>
  <c r="J25" i="985"/>
  <c r="K25" i="985" s="1"/>
  <c r="H25" i="985"/>
  <c r="J23" i="985"/>
  <c r="K23" i="985" s="1"/>
  <c r="H23" i="985"/>
  <c r="J17" i="985"/>
  <c r="K17" i="985" s="1"/>
  <c r="H17" i="985"/>
  <c r="J15" i="985"/>
  <c r="K15" i="985" s="1"/>
  <c r="H15" i="985"/>
  <c r="J13" i="985"/>
  <c r="K13" i="985" s="1"/>
  <c r="H13" i="985"/>
  <c r="J9" i="985"/>
  <c r="K9" i="985" s="1"/>
  <c r="H9" i="985"/>
  <c r="J7" i="985"/>
  <c r="K7" i="985" s="1"/>
  <c r="H7" i="985"/>
  <c r="J3" i="985"/>
  <c r="K3" i="985" s="1"/>
  <c r="H3" i="985"/>
  <c r="K35" i="984"/>
  <c r="J35" i="984"/>
  <c r="H35" i="984"/>
  <c r="J33" i="984"/>
  <c r="K33" i="984" s="1"/>
  <c r="J31" i="984"/>
  <c r="K31" i="984" s="1"/>
  <c r="H33" i="984"/>
  <c r="H31" i="984"/>
  <c r="K21" i="986" l="1"/>
  <c r="J27" i="984"/>
  <c r="K27" i="984" s="1"/>
  <c r="H27" i="984"/>
  <c r="J25" i="984"/>
  <c r="K25" i="984" s="1"/>
  <c r="H25" i="984"/>
  <c r="H23" i="984" l="1"/>
  <c r="J23" i="984"/>
  <c r="K23" i="984" s="1"/>
  <c r="J29" i="984"/>
  <c r="K29" i="984" s="1"/>
  <c r="H29" i="984"/>
  <c r="J19" i="984"/>
  <c r="K19" i="984" s="1"/>
  <c r="H19" i="984"/>
  <c r="J17" i="984"/>
  <c r="K17" i="984" s="1"/>
  <c r="H17" i="984"/>
  <c r="J15" i="984"/>
  <c r="K15" i="984" s="1"/>
  <c r="H15" i="984"/>
  <c r="J13" i="984"/>
  <c r="K13" i="984" s="1"/>
  <c r="H13" i="984"/>
  <c r="J11" i="984"/>
  <c r="K11" i="984" s="1"/>
  <c r="H11" i="984"/>
  <c r="J7" i="984"/>
  <c r="K7" i="984" s="1"/>
  <c r="H7" i="984"/>
  <c r="J5" i="984"/>
  <c r="K5" i="984" s="1"/>
  <c r="H5" i="984"/>
  <c r="J3" i="984"/>
  <c r="K3" i="984" s="1"/>
  <c r="H3" i="984"/>
  <c r="P15" i="983"/>
  <c r="P14" i="983"/>
  <c r="K11" i="983"/>
  <c r="J11" i="983"/>
  <c r="H11" i="983"/>
  <c r="K11" i="982"/>
  <c r="J11" i="982"/>
  <c r="H11" i="982"/>
  <c r="J41" i="983" l="1"/>
  <c r="K41" i="983" s="1"/>
  <c r="H41" i="983"/>
  <c r="J39" i="983"/>
  <c r="K39" i="983" s="1"/>
  <c r="H39" i="983"/>
  <c r="J37" i="983"/>
  <c r="K37" i="983" s="1"/>
  <c r="H37" i="983"/>
  <c r="J35" i="983"/>
  <c r="K35" i="983" s="1"/>
  <c r="H35" i="983"/>
  <c r="J33" i="983"/>
  <c r="K33" i="983" s="1"/>
  <c r="J27" i="983"/>
  <c r="K27" i="983" s="1"/>
  <c r="H27" i="983"/>
  <c r="M41" i="983"/>
  <c r="M39" i="983"/>
  <c r="H33" i="983"/>
  <c r="J31" i="983"/>
  <c r="K31" i="983" s="1"/>
  <c r="H31" i="983"/>
  <c r="J29" i="983"/>
  <c r="K29" i="983" s="1"/>
  <c r="H29" i="983"/>
  <c r="J25" i="983"/>
  <c r="K25" i="983" s="1"/>
  <c r="H25" i="983"/>
  <c r="J23" i="983"/>
  <c r="K23" i="983" s="1"/>
  <c r="H23" i="983"/>
  <c r="J21" i="983"/>
  <c r="K21" i="983" s="1"/>
  <c r="H21" i="983"/>
  <c r="J19" i="983"/>
  <c r="K19" i="983" s="1"/>
  <c r="H19" i="983"/>
  <c r="J15" i="983"/>
  <c r="K15" i="983" s="1"/>
  <c r="H15" i="983"/>
  <c r="J13" i="983"/>
  <c r="K13" i="983" s="1"/>
  <c r="H13" i="983"/>
  <c r="J3" i="983"/>
  <c r="K3" i="983" s="1"/>
  <c r="H3" i="983"/>
  <c r="J37" i="982"/>
  <c r="K37" i="982" s="1"/>
  <c r="H37" i="982"/>
  <c r="J41" i="982"/>
  <c r="K41" i="982" s="1"/>
  <c r="H41" i="982"/>
  <c r="J35" i="982"/>
  <c r="K35" i="982" s="1"/>
  <c r="H35" i="982"/>
  <c r="J33" i="982"/>
  <c r="K33" i="982" s="1"/>
  <c r="H33" i="982"/>
  <c r="J31" i="982"/>
  <c r="K31" i="982" s="1"/>
  <c r="H31" i="982"/>
  <c r="J27" i="982"/>
  <c r="K27" i="982" s="1"/>
  <c r="H27" i="982"/>
  <c r="K3" i="982"/>
  <c r="M41" i="982"/>
  <c r="M39" i="982"/>
  <c r="J39" i="982"/>
  <c r="K39" i="982" s="1"/>
  <c r="H39" i="982"/>
  <c r="J29" i="982"/>
  <c r="K29" i="982" s="1"/>
  <c r="H29" i="982"/>
  <c r="J25" i="982"/>
  <c r="K25" i="982" s="1"/>
  <c r="H25" i="982"/>
  <c r="J23" i="982"/>
  <c r="K23" i="982" s="1"/>
  <c r="H23" i="982"/>
  <c r="J21" i="982"/>
  <c r="K21" i="982" s="1"/>
  <c r="H21" i="982"/>
  <c r="J19" i="982"/>
  <c r="K19" i="982" s="1"/>
  <c r="H19" i="982"/>
  <c r="J15" i="982"/>
  <c r="K15" i="982" s="1"/>
  <c r="H15" i="982"/>
  <c r="J13" i="982"/>
  <c r="K13" i="982" s="1"/>
  <c r="H13" i="982"/>
  <c r="J3" i="982"/>
  <c r="H3" i="982"/>
  <c r="H27" i="981"/>
  <c r="J27" i="981"/>
  <c r="K27" i="981" s="1"/>
  <c r="J25" i="981"/>
  <c r="K25" i="981" s="1"/>
  <c r="H25" i="981"/>
  <c r="J19" i="981"/>
  <c r="K19" i="981" s="1"/>
  <c r="H19" i="981"/>
  <c r="J13" i="981"/>
  <c r="J11" i="981"/>
  <c r="K11" i="981" s="1"/>
  <c r="H11" i="981"/>
  <c r="K9" i="981"/>
  <c r="J9" i="981"/>
  <c r="H9" i="981"/>
  <c r="J5" i="981"/>
  <c r="K5" i="981" s="1"/>
  <c r="H5" i="981"/>
  <c r="K13" i="981"/>
  <c r="K15" i="981"/>
  <c r="K23" i="981"/>
  <c r="J23" i="981"/>
  <c r="H23" i="981"/>
  <c r="J17" i="981"/>
  <c r="K17" i="981" s="1"/>
  <c r="H17" i="981"/>
  <c r="J15" i="981"/>
  <c r="H15" i="981"/>
  <c r="H13" i="981"/>
  <c r="J7" i="981"/>
  <c r="K7" i="981" s="1"/>
  <c r="H7" i="981"/>
  <c r="J3" i="981"/>
  <c r="K3" i="981" s="1"/>
  <c r="H3" i="981"/>
  <c r="K25" i="980"/>
  <c r="J25" i="980"/>
  <c r="H25" i="980"/>
  <c r="J27" i="980"/>
  <c r="K27" i="980" s="1"/>
  <c r="H27" i="980"/>
  <c r="K23" i="980"/>
  <c r="J23" i="980"/>
  <c r="H23" i="980"/>
  <c r="J29" i="980"/>
  <c r="K29" i="980" s="1"/>
  <c r="H29" i="980"/>
  <c r="J21" i="980"/>
  <c r="K21" i="980" s="1"/>
  <c r="H21" i="980"/>
  <c r="J17" i="980"/>
  <c r="K17" i="980" s="1"/>
  <c r="H17" i="980"/>
  <c r="J15" i="980"/>
  <c r="K15" i="980" s="1"/>
  <c r="H15" i="980"/>
  <c r="J13" i="980"/>
  <c r="K13" i="980" s="1"/>
  <c r="H13" i="980"/>
  <c r="J11" i="980"/>
  <c r="K11" i="980" s="1"/>
  <c r="H11" i="980"/>
  <c r="J9" i="980"/>
  <c r="K9" i="980" s="1"/>
  <c r="H9" i="980"/>
  <c r="J7" i="980"/>
  <c r="K7" i="980" s="1"/>
  <c r="H7" i="980"/>
  <c r="J5" i="980"/>
  <c r="K5" i="980" s="1"/>
  <c r="H5" i="980"/>
  <c r="J3" i="980"/>
  <c r="K3" i="980" s="1"/>
  <c r="H3" i="980"/>
  <c r="K13" i="979"/>
  <c r="K17" i="979"/>
  <c r="J17" i="979"/>
  <c r="J25" i="979"/>
  <c r="K25" i="979" s="1"/>
  <c r="H25" i="979"/>
  <c r="J23" i="979"/>
  <c r="K23" i="979" s="1"/>
  <c r="H23" i="979"/>
  <c r="H21" i="979"/>
  <c r="J21" i="979"/>
  <c r="K21" i="979" s="1"/>
  <c r="J19" i="979"/>
  <c r="K19" i="979" s="1"/>
  <c r="H19" i="979"/>
  <c r="H17" i="979"/>
  <c r="J15" i="979"/>
  <c r="K15" i="979" s="1"/>
  <c r="H15" i="979"/>
  <c r="J13" i="979"/>
  <c r="H13" i="979"/>
  <c r="J11" i="979"/>
  <c r="K11" i="979" s="1"/>
  <c r="H11" i="979"/>
  <c r="J9" i="979"/>
  <c r="K9" i="979" s="1"/>
  <c r="H9" i="979"/>
  <c r="J7" i="979"/>
  <c r="K7" i="979" s="1"/>
  <c r="H7" i="979"/>
  <c r="J5" i="979"/>
  <c r="K5" i="979" s="1"/>
  <c r="H5" i="979"/>
  <c r="J3" i="979"/>
  <c r="K3" i="979" s="1"/>
  <c r="H3" i="979"/>
  <c r="J5" i="976" l="1"/>
  <c r="J3" i="976"/>
  <c r="K25" i="975" l="1"/>
  <c r="J25" i="975"/>
  <c r="H25" i="975"/>
  <c r="K23" i="975"/>
  <c r="J23" i="975"/>
  <c r="H23" i="975"/>
  <c r="H23" i="974"/>
  <c r="K23" i="974"/>
  <c r="J23" i="974"/>
  <c r="J9" i="975" l="1"/>
  <c r="K5" i="975"/>
  <c r="H5" i="975"/>
  <c r="J5" i="975"/>
  <c r="J31" i="975"/>
  <c r="K31" i="975" s="1"/>
  <c r="H31" i="975"/>
  <c r="J29" i="975"/>
  <c r="K29" i="975" s="1"/>
  <c r="H29" i="975"/>
  <c r="J27" i="975"/>
  <c r="K27" i="975" s="1"/>
  <c r="H27" i="975"/>
  <c r="K21" i="975"/>
  <c r="J21" i="975"/>
  <c r="H21" i="975"/>
  <c r="J17" i="975"/>
  <c r="K17" i="975" s="1"/>
  <c r="H17" i="975"/>
  <c r="J15" i="975"/>
  <c r="K15" i="975" s="1"/>
  <c r="H15" i="975"/>
  <c r="J13" i="975"/>
  <c r="K13" i="975" s="1"/>
  <c r="H13" i="975"/>
  <c r="J11" i="975"/>
  <c r="K11" i="975" s="1"/>
  <c r="H11" i="975"/>
  <c r="K9" i="975"/>
  <c r="H9" i="975"/>
  <c r="J7" i="975"/>
  <c r="K7" i="975" s="1"/>
  <c r="H7" i="975"/>
  <c r="J3" i="975"/>
  <c r="K3" i="975" s="1"/>
  <c r="H3" i="975"/>
  <c r="J25" i="974"/>
  <c r="K25" i="974" s="1"/>
  <c r="H25" i="974"/>
  <c r="J5" i="974"/>
  <c r="K5" i="974" s="1"/>
  <c r="H5" i="974"/>
  <c r="J31" i="974"/>
  <c r="K31" i="974" s="1"/>
  <c r="H31" i="974"/>
  <c r="J29" i="974"/>
  <c r="K29" i="974" s="1"/>
  <c r="H29" i="974"/>
  <c r="J27" i="974"/>
  <c r="K27" i="974" s="1"/>
  <c r="H27" i="974"/>
  <c r="J21" i="974"/>
  <c r="K21" i="974" s="1"/>
  <c r="H21" i="974"/>
  <c r="J17" i="974"/>
  <c r="K17" i="974" s="1"/>
  <c r="H17" i="974"/>
  <c r="J15" i="974"/>
  <c r="K15" i="974" s="1"/>
  <c r="H15" i="974"/>
  <c r="J13" i="974"/>
  <c r="K13" i="974" s="1"/>
  <c r="H13" i="974"/>
  <c r="J11" i="974"/>
  <c r="K11" i="974" s="1"/>
  <c r="H11" i="974"/>
  <c r="J9" i="974"/>
  <c r="K9" i="974" s="1"/>
  <c r="H9" i="974"/>
  <c r="J7" i="974"/>
  <c r="K7" i="974" s="1"/>
  <c r="H7" i="974"/>
  <c r="J3" i="974"/>
  <c r="K3" i="974" s="1"/>
  <c r="H3" i="974"/>
</calcChain>
</file>

<file path=xl/sharedStrings.xml><?xml version="1.0" encoding="utf-8"?>
<sst xmlns="http://schemas.openxmlformats.org/spreadsheetml/2006/main" count="688" uniqueCount="202">
  <si>
    <t xml:space="preserve">STRIGHT </t>
    <phoneticPr fontId="2" type="noConversion"/>
  </si>
  <si>
    <t>NECK WIDTH</t>
    <phoneticPr fontId="2" type="noConversion"/>
  </si>
  <si>
    <t>WITHOUT NECK BAND (INSIDE)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</si>
  <si>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</si>
  <si>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</si>
  <si>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</si>
  <si>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</si>
  <si>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</si>
  <si>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</si>
  <si>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</si>
  <si>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</si>
  <si>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</si>
  <si>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</si>
  <si>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</si>
  <si>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</si>
  <si>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</si>
  <si>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</si>
  <si>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</si>
  <si>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</si>
  <si>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</si>
  <si>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</si>
  <si>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</si>
  <si>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</si>
  <si>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</si>
  <si>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</si>
  <si>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</si>
  <si>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</si>
  <si>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</si>
  <si>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</si>
  <si>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</si>
  <si>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</si>
  <si>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옆목점에서 앞목중심의 수직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</si>
  <si>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</si>
  <si>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</si>
  <si>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</si>
  <si>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</si>
  <si>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</si>
  <si>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</si>
  <si>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</si>
  <si>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옆목점에서 밑단까지의 직선길이</t>
    <phoneticPr fontId="1" type="noConversion"/>
  </si>
  <si>
    <t>NECK</t>
    <phoneticPr fontId="2" type="noConversion"/>
  </si>
  <si>
    <t>목둘레</t>
  </si>
  <si>
    <t xml:space="preserve">ROUND ,@ NECK SEWING  LINE </t>
    <phoneticPr fontId="1" type="noConversion"/>
  </si>
  <si>
    <t>목라인(NECK LINE)을 따라 잰 곡선의 둘레길이</t>
    <phoneticPr fontId="1" type="noConversion"/>
  </si>
  <si>
    <t xml:space="preserve"> </t>
    <phoneticPr fontId="1" type="noConversion"/>
  </si>
  <si>
    <t xml:space="preserve">INCLUDE WAIST BAND TO EDGE </t>
    <phoneticPr fontId="1" type="noConversion"/>
  </si>
  <si>
    <t xml:space="preserve">CUFFS OPENING </t>
    <phoneticPr fontId="2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</si>
  <si>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</si>
  <si>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 xml:space="preserve">앞목중심에서 수직으로 </t>
    <phoneticPr fontId="1" type="noConversion"/>
  </si>
  <si>
    <t>FROM FRONT NECK CENTER TO VERTICAL</t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</si>
  <si>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</si>
  <si>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</si>
  <si>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</si>
  <si>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POINT A</t>
    <phoneticPr fontId="1" type="noConversion"/>
  </si>
  <si>
    <t>위치 A</t>
    <phoneticPr fontId="1" type="noConversion"/>
  </si>
  <si>
    <t>POINT B</t>
    <phoneticPr fontId="1" type="noConversion"/>
  </si>
  <si>
    <t>위치 B</t>
    <phoneticPr fontId="1" type="noConversion"/>
  </si>
  <si>
    <t>TOTAL WAIST</t>
    <phoneticPr fontId="1" type="noConversion"/>
  </si>
  <si>
    <t xml:space="preserve">FLAT,FRONT AND BACK WAIST LINE MATCH STRIGHT </t>
    <phoneticPr fontId="1" type="noConversion"/>
  </si>
  <si>
    <t>허리완성사이즈</t>
    <phoneticPr fontId="1" type="noConversion"/>
  </si>
  <si>
    <t>오비를 일자 상태로 만든 후 수평으로 잰 길이</t>
    <phoneticPr fontId="1" type="noConversion"/>
  </si>
  <si>
    <t>FRONT WAIST</t>
    <phoneticPr fontId="1" type="noConversion"/>
  </si>
  <si>
    <t>앞허리완성</t>
    <phoneticPr fontId="1" type="noConversion"/>
  </si>
  <si>
    <t>BACK WAIST E-BAND</t>
    <phoneticPr fontId="1" type="noConversion"/>
  </si>
  <si>
    <t>뒤 허리 고무줄 완성</t>
    <phoneticPr fontId="1" type="noConversion"/>
  </si>
  <si>
    <t>ADIJUSTABLE BAND</t>
    <phoneticPr fontId="1" type="noConversion"/>
  </si>
  <si>
    <t>나나밴드</t>
    <phoneticPr fontId="1" type="noConversion"/>
  </si>
  <si>
    <t>WAIST SIZE</t>
    <phoneticPr fontId="1" type="noConversion"/>
  </si>
  <si>
    <t>몸판 허리 둘레</t>
    <phoneticPr fontId="1" type="noConversion"/>
  </si>
  <si>
    <t xml:space="preserve">HIP </t>
  </si>
  <si>
    <t xml:space="preserve">BASED ON ZIPPER FLY OUT LINE ,STRIGHT </t>
    <phoneticPr fontId="1" type="noConversion"/>
  </si>
  <si>
    <t>엉덩이둘레</t>
  </si>
  <si>
    <t>앞 댕고 스테치를 기준점으로 하여 양쪽 수평선의 길이</t>
    <phoneticPr fontId="1" type="noConversion"/>
  </si>
  <si>
    <t>HIP POINT</t>
    <phoneticPr fontId="1" type="noConversion"/>
  </si>
  <si>
    <t>엉덩이 위치</t>
    <phoneticPr fontId="1" type="noConversion"/>
  </si>
  <si>
    <t>오비포함 와끼 기준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</si>
  <si>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</si>
  <si>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</si>
  <si>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</si>
  <si>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 xml:space="preserve">TOTAL LENGTH </t>
  </si>
  <si>
    <t>바지기장</t>
  </si>
  <si>
    <t>와끼선을 기준으로 오비끝에서 바지 밑단 끝까지의 길이</t>
    <phoneticPr fontId="1" type="noConversion"/>
  </si>
  <si>
    <t xml:space="preserve">BOTTOM OPENING </t>
  </si>
  <si>
    <t xml:space="preserve">CIRCLE ROUND </t>
  </si>
  <si>
    <t>바지부리</t>
  </si>
  <si>
    <t>바지 밑단의 둘레길이</t>
    <phoneticPr fontId="2" type="noConversion"/>
  </si>
  <si>
    <t xml:space="preserve">FRONT RISE </t>
  </si>
  <si>
    <t xml:space="preserve">INCLUDE WAIST BAND TO EDGE </t>
  </si>
  <si>
    <t>앞밑위</t>
  </si>
  <si>
    <t>오비끝에서 인심 시작점까지의 길이(오비 포함)</t>
    <phoneticPr fontId="1" type="noConversion"/>
  </si>
  <si>
    <t>BACK RISE</t>
  </si>
  <si>
    <t>뒤밑위</t>
  </si>
  <si>
    <t xml:space="preserve">TIGHT </t>
  </si>
  <si>
    <t xml:space="preserve">FROM CROCH  3cm BELOW . WIDE STRIGHT </t>
  </si>
  <si>
    <t>허벅지둘레</t>
  </si>
  <si>
    <t>인심 시작점에서 3cm 밑을 기준점으로 양쪽 수평 길이</t>
    <phoneticPr fontId="1" type="noConversion"/>
  </si>
  <si>
    <t>INSEAM</t>
  </si>
  <si>
    <t xml:space="preserve">CROCH TO EDGE </t>
  </si>
  <si>
    <t>인심길이</t>
  </si>
  <si>
    <t>바지 안 쪽에서 봉제선을 따라 바지밑단 끝까지의 길이</t>
    <phoneticPr fontId="1" type="noConversion"/>
  </si>
  <si>
    <t>KNEE</t>
    <phoneticPr fontId="1" type="noConversion"/>
  </si>
  <si>
    <t>무릎둘레</t>
    <phoneticPr fontId="1" type="noConversion"/>
  </si>
  <si>
    <t>KNEE POINT</t>
    <phoneticPr fontId="1" type="noConversion"/>
  </si>
  <si>
    <t>VERTICALLY AT THE WAIST</t>
    <phoneticPr fontId="1" type="noConversion"/>
  </si>
  <si>
    <t>무릎위치</t>
    <phoneticPr fontId="1" type="noConversion"/>
  </si>
  <si>
    <t>허리에서 수직으로 (오비포함)</t>
    <phoneticPr fontId="1" type="noConversion"/>
  </si>
  <si>
    <t xml:space="preserve">FRONT POCKET WIDE </t>
    <phoneticPr fontId="1" type="noConversion"/>
  </si>
  <si>
    <t xml:space="preserve">FROM EDGE STITCHES </t>
  </si>
  <si>
    <t>앞주머니가로</t>
  </si>
  <si>
    <t>오비 와끼끝에서 주머니입구 까지의 가로길이</t>
    <phoneticPr fontId="1" type="noConversion"/>
  </si>
  <si>
    <t xml:space="preserve">FRONT POCKET VERTICAL </t>
    <phoneticPr fontId="1" type="noConversion"/>
  </si>
  <si>
    <t xml:space="preserve">FROM SIDE SEAM TO STRIGHT </t>
  </si>
  <si>
    <t>앞주머니세로</t>
  </si>
  <si>
    <t>오비 와끼끝에서 주머니입구 까지의 세로길이</t>
    <phoneticPr fontId="1" type="noConversion"/>
  </si>
  <si>
    <t xml:space="preserve"> </t>
    <phoneticPr fontId="10" type="noConversion"/>
  </si>
  <si>
    <t xml:space="preserve">BACK POCKET WIDE </t>
    <phoneticPr fontId="1" type="noConversion"/>
  </si>
  <si>
    <t xml:space="preserve">BACK POCKET VERTICAL </t>
    <phoneticPr fontId="1" type="noConversion"/>
  </si>
  <si>
    <t>뒤주머니가로</t>
    <phoneticPr fontId="10" type="noConversion"/>
  </si>
  <si>
    <t>뒤주머니세로</t>
    <phoneticPr fontId="10" type="noConversion"/>
  </si>
  <si>
    <t>1ST SKIRT LENGTH</t>
    <phoneticPr fontId="10" type="noConversion"/>
  </si>
  <si>
    <t>1단 치마기장</t>
    <phoneticPr fontId="10" type="noConversion"/>
  </si>
  <si>
    <t>2ND SKIRT LENGTH</t>
    <phoneticPr fontId="10" type="noConversion"/>
  </si>
  <si>
    <t>2단 치마기장</t>
    <phoneticPr fontId="10" type="noConversion"/>
  </si>
  <si>
    <t>BOTTOM RIB WIDTH</t>
    <phoneticPr fontId="2" type="noConversion"/>
  </si>
  <si>
    <t>밑단립 폭</t>
    <phoneticPr fontId="1" type="noConversion"/>
  </si>
  <si>
    <t>NECK RIB WIDTH</t>
    <phoneticPr fontId="2" type="noConversion"/>
  </si>
  <si>
    <t>에리 립 폭</t>
    <phoneticPr fontId="10" type="noConversion"/>
  </si>
  <si>
    <t>SLEEVE RIB WIDTH</t>
    <phoneticPr fontId="10" type="noConversion"/>
  </si>
  <si>
    <t>소매립 폭</t>
    <phoneticPr fontId="10" type="noConversion"/>
  </si>
  <si>
    <t>FRONT PLACKET WIDTH</t>
    <phoneticPr fontId="2" type="noConversion"/>
  </si>
  <si>
    <t>앞단작폭</t>
    <phoneticPr fontId="1" type="noConversion"/>
  </si>
  <si>
    <t>12M</t>
    <phoneticPr fontId="10" type="noConversion"/>
  </si>
  <si>
    <t>18M</t>
    <phoneticPr fontId="10" type="noConversion"/>
  </si>
  <si>
    <t>24M</t>
    <phoneticPr fontId="10" type="noConversion"/>
  </si>
  <si>
    <t>12M</t>
    <phoneticPr fontId="1" type="noConversion"/>
  </si>
  <si>
    <t>18M</t>
    <phoneticPr fontId="1" type="noConversion"/>
  </si>
  <si>
    <t>24M</t>
    <phoneticPr fontId="1" type="noConversion"/>
  </si>
  <si>
    <t>SKIRT LENGTH</t>
    <phoneticPr fontId="10" type="noConversion"/>
  </si>
  <si>
    <t>치마기장</t>
    <phoneticPr fontId="10" type="noConversion"/>
  </si>
  <si>
    <t>BACK NECK TRIM</t>
    <phoneticPr fontId="1" type="noConversion"/>
  </si>
  <si>
    <t>뒤넥트임</t>
    <phoneticPr fontId="1" type="noConversion"/>
  </si>
  <si>
    <t>뒤중심에서 트임끝까지 직선으로 잰 길이</t>
    <phoneticPr fontId="10" type="noConversion"/>
  </si>
  <si>
    <t>3Y</t>
    <phoneticPr fontId="10" type="noConversion"/>
  </si>
  <si>
    <t>어깨 양끝점을 수평으로 잰 길이(립제외)</t>
    <phoneticPr fontId="1" type="noConversion"/>
  </si>
  <si>
    <t>어깨끝점과 겨드랑이 점을 직선으로 잰 길이(립제외)</t>
    <phoneticPr fontId="1" type="noConversion"/>
  </si>
  <si>
    <t>STYLE NO: MYWOU01-S#G05(완사입)</t>
    <phoneticPr fontId="1" type="noConversion"/>
  </si>
  <si>
    <t>옆목에서</t>
    <phoneticPr fontId="10" type="noConversion"/>
  </si>
  <si>
    <t>앞중심에서</t>
    <phoneticPr fontId="10" type="noConversion"/>
  </si>
  <si>
    <t>STYLE NO: MYWOU02-S#A09(완사입)</t>
    <phoneticPr fontId="1" type="noConversion"/>
  </si>
  <si>
    <t>스칼럽(1.5cm)포함</t>
    <phoneticPr fontId="10" type="noConversion"/>
  </si>
  <si>
    <t>STYLE NO: JYWEC01-S#A12(완사입)</t>
    <phoneticPr fontId="1" type="noConversion"/>
  </si>
  <si>
    <t>HOOD LENGTH</t>
    <phoneticPr fontId="2" type="noConversion"/>
  </si>
  <si>
    <t>후드장(모자길이)</t>
  </si>
  <si>
    <t>모자 앞 중심을 기준으로 양 끝점을 수직으로 잰 길이</t>
    <phoneticPr fontId="1" type="noConversion"/>
  </si>
  <si>
    <t xml:space="preserve">HOOD WIDTH </t>
    <phoneticPr fontId="2" type="noConversion"/>
  </si>
  <si>
    <t xml:space="preserve">HALF FOLDING ,MAXIMUM DEEP POINT </t>
    <phoneticPr fontId="2" type="noConversion"/>
  </si>
  <si>
    <t>후드폭(모자폭)</t>
  </si>
  <si>
    <t>XS(50)</t>
    <phoneticPr fontId="10" type="noConversion"/>
  </si>
  <si>
    <t>S(52)</t>
    <phoneticPr fontId="10" type="noConversion"/>
  </si>
  <si>
    <r>
      <t>모자의 가장 돌출된 부위를 수평으로 잰 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</si>
  <si>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r>
      <t xml:space="preserve">FROM CENTER LENGTH TO EDGE 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2" type="noConversion"/>
  </si>
  <si>
    <t>HOOD FRONT RIB WIDTH</t>
    <phoneticPr fontId="10" type="noConversion"/>
  </si>
  <si>
    <t>후드 앞립폭</t>
    <phoneticPr fontId="10" type="noConversion"/>
  </si>
  <si>
    <t>HOOD BOTTOM RIB WIDTH</t>
    <phoneticPr fontId="10" type="noConversion"/>
  </si>
  <si>
    <t>후드 밑단립폭</t>
    <phoneticPr fontId="10" type="noConversion"/>
  </si>
  <si>
    <t>HOOD STRAP LENGTH</t>
    <phoneticPr fontId="10" type="noConversion"/>
  </si>
  <si>
    <t>모자끈길이</t>
    <phoneticPr fontId="10" type="noConversion"/>
  </si>
  <si>
    <t>바지기장</t>
    <phoneticPr fontId="10" type="noConversion"/>
  </si>
  <si>
    <t>오비포함</t>
    <phoneticPr fontId="10" type="noConversion"/>
  </si>
  <si>
    <t>STYLE NO: MYWLE01-K#Y18</t>
    <phoneticPr fontId="1" type="noConversion"/>
  </si>
  <si>
    <t>STYLE NO: MYWTO04-S#A15(완사입)</t>
    <phoneticPr fontId="1" type="noConversion"/>
  </si>
  <si>
    <t>STYLE NO: MYWTO01-K#G16</t>
    <phoneticPr fontId="1" type="noConversion"/>
  </si>
  <si>
    <t>STYLE NO: MYWPT01-K#G17</t>
    <phoneticPr fontId="1" type="noConversion"/>
  </si>
  <si>
    <t>프릴포함, 오비포함</t>
    <phoneticPr fontId="10" type="noConversion"/>
  </si>
  <si>
    <t>프릴포함,오비포함</t>
    <phoneticPr fontId="10" type="noConversion"/>
  </si>
  <si>
    <t>입어서왼쪽-밴드밑단기준</t>
    <phoneticPr fontId="10" type="noConversion"/>
  </si>
  <si>
    <t>입어서왼쪽-와끼기준</t>
    <phoneticPr fontId="10" type="noConversion"/>
  </si>
  <si>
    <t>STYLE NO: MYWPT02-K#Y20</t>
    <phoneticPr fontId="1" type="noConversion"/>
  </si>
  <si>
    <r>
      <t>INCLUDE WAIST BAND TO EDGE</t>
    </r>
    <r>
      <rPr>
        <sz val="7.5"/>
        <color rgb="FFFF0000"/>
        <rFont val="맑은 고딕"/>
        <family val="3"/>
        <charset val="129"/>
        <scheme val="minor"/>
      </rPr>
      <t xml:space="preserve"> (밑단-프릴,레이스포함)</t>
    </r>
    <phoneticPr fontId="1" type="noConversion"/>
  </si>
  <si>
    <r>
      <t xml:space="preserve">CROCH TO EDGE </t>
    </r>
    <r>
      <rPr>
        <sz val="7.5"/>
        <color rgb="FFFF0000"/>
        <rFont val="맑은 고딕"/>
        <family val="3"/>
        <charset val="129"/>
        <scheme val="minor"/>
      </rPr>
      <t>(밑단-프릴,레이스포함)</t>
    </r>
    <phoneticPr fontId="10" type="noConversion"/>
  </si>
  <si>
    <t>BOTTOM 4G-BAND</t>
    <phoneticPr fontId="10" type="noConversion"/>
  </si>
  <si>
    <t>바지부리 4골 밴드</t>
    <phoneticPr fontId="10" type="noConversion"/>
  </si>
  <si>
    <r>
      <t>바지 밑단의 둘레길이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2" type="noConversion"/>
  </si>
  <si>
    <t xml:space="preserve">허리에서 수직으로 </t>
    <phoneticPr fontId="1" type="noConversion"/>
  </si>
  <si>
    <t>오비끝에서 인심 시작점까지의 길이</t>
    <phoneticPr fontId="1" type="noConversion"/>
  </si>
  <si>
    <t>4G</t>
    <phoneticPr fontId="10" type="noConversion"/>
  </si>
  <si>
    <t>STYLE NO: MYWTO02-K#Y19</t>
    <phoneticPr fontId="1" type="noConversion"/>
  </si>
  <si>
    <t xml:space="preserve">옆목에서 수직으로 </t>
    <phoneticPr fontId="1" type="noConversion"/>
  </si>
  <si>
    <t xml:space="preserve">앞중심에서 수평으로 </t>
    <phoneticPr fontId="1" type="noConversion"/>
  </si>
  <si>
    <t>FRONT YOKE LENGTH</t>
    <phoneticPr fontId="1" type="noConversion"/>
  </si>
  <si>
    <t>앞요크길이</t>
    <phoneticPr fontId="1" type="noConversion"/>
  </si>
  <si>
    <t>BACK YOKE LENGTH</t>
    <phoneticPr fontId="1" type="noConversion"/>
  </si>
  <si>
    <t>뒤요크길이</t>
    <phoneticPr fontId="1" type="noConversion"/>
  </si>
  <si>
    <t xml:space="preserve">와끼 </t>
    <phoneticPr fontId="10" type="noConversion"/>
  </si>
  <si>
    <t>앞넥중심에서 절개선까지의 수직으로 잰 길이</t>
    <phoneticPr fontId="10" type="noConversion"/>
  </si>
  <si>
    <t>뒷넥중심에서 절개선까지 수직으로 잰 길이</t>
    <phoneticPr fontId="10" type="noConversion"/>
  </si>
  <si>
    <t>STYLE NO: MYWTO03-K#Y24</t>
    <phoneticPr fontId="1" type="noConversion"/>
  </si>
  <si>
    <t>STYLE NO: MYWPT03-K#Y25</t>
    <phoneticPr fontId="1" type="noConversion"/>
  </si>
  <si>
    <r>
      <t>INCLUDE WAIST BAND TO EDGE</t>
    </r>
    <r>
      <rPr>
        <sz val="7.5"/>
        <color rgb="FFFF0000"/>
        <rFont val="맑은 고딕"/>
        <family val="3"/>
        <charset val="129"/>
        <scheme val="minor"/>
      </rPr>
      <t xml:space="preserve"> </t>
    </r>
    <phoneticPr fontId="1" type="noConversion"/>
  </si>
  <si>
    <t xml:space="preserve">CROCH TO EDGE </t>
    <phoneticPr fontId="10" type="noConversion"/>
  </si>
  <si>
    <r>
      <rPr>
        <sz val="7.5"/>
        <color theme="1"/>
        <rFont val="맑은 고딕"/>
        <family val="3"/>
        <charset val="129"/>
        <scheme val="minor"/>
      </rPr>
      <t>와끼에서 수평으로 잰 길이</t>
    </r>
    <r>
      <rPr>
        <sz val="7.5"/>
        <color rgb="FFFF0000"/>
        <rFont val="맑은 고딕"/>
        <family val="3"/>
        <charset val="129"/>
        <scheme val="minor"/>
      </rPr>
      <t xml:space="preserve"> (직자수-양쪽 위치 동일)</t>
    </r>
    <phoneticPr fontId="10" type="noConversion"/>
  </si>
  <si>
    <r>
      <rPr>
        <sz val="7.5"/>
        <color theme="1"/>
        <rFont val="맑은 고딕"/>
        <family val="3"/>
        <charset val="129"/>
        <scheme val="minor"/>
      </rPr>
      <t>밑단에서 수직으로 잰 길이</t>
    </r>
    <r>
      <rPr>
        <sz val="7.5"/>
        <color rgb="FFFF0000"/>
        <rFont val="맑은 고딕"/>
        <family val="3"/>
        <charset val="129"/>
        <scheme val="minor"/>
      </rPr>
      <t>(립제외,직자수-양쪽 위치 동일)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</si>
</sst>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"/>
      <name val="맑은 고딕"/>
      <family val="3"/>
      <charset val="129"/>
      <scheme val="major"/>
    </font>
    <font>
      <sz val="7.5"/>
      <color theme="1"/>
      <name val="맑은 고딕"/>
      <family val="3"/>
      <charset val="129"/>
      <scheme val="major"/>
    </font>
    <font>
      <sz val="7.5"/>
      <color theme="0"/>
      <name val="맑은 고딕"/>
      <family val="3"/>
      <charset val="129"/>
      <scheme val="minor"/>
    </font>
    <font>
      <sz val="7.5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</cellStyleXfs>
  <cellXfs count="11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6" fillId="3" borderId="3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6" fillId="2" borderId="37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8" xfId="0" applyFont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5" fillId="0" borderId="30" xfId="0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2 3" xfId="3" xr:uid="{9434BCD1-6BDF-4D35-8822-270B40A14F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DD21-182C-44A1-A09A-A995913E4589}">
  <sheetPr>
    <tabColor rgb="FFFF0000"/>
    <pageSetUpPr fitToPage="1"/>
  </sheetPr>
  <dimension ref="A1:M51"/>
  <sheetViews>
    <sheetView tabSelected="1" zoomScale="110" zoomScaleNormal="110" workbookViewId="0">
      <selection sqref="A1:M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2" t="s">
        <v>169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3" ht="16.5" customHeight="1" thickBot="1" x14ac:dyDescent="0.35">
      <c r="A2" s="6" t="s">
        <v>33</v>
      </c>
      <c r="B2" s="15" t="s">
        <v>34</v>
      </c>
      <c r="C2" s="15"/>
      <c r="D2" s="15" t="s">
        <v>35</v>
      </c>
      <c r="E2" s="15"/>
      <c r="F2" s="15"/>
      <c r="G2" s="15"/>
      <c r="H2" s="8" t="s">
        <v>134</v>
      </c>
      <c r="I2" s="3" t="s">
        <v>135</v>
      </c>
      <c r="J2" s="4" t="s">
        <v>136</v>
      </c>
      <c r="K2" s="7" t="s">
        <v>142</v>
      </c>
      <c r="L2" s="7"/>
      <c r="M2" s="4"/>
    </row>
    <row r="3" spans="1:13" s="2" customFormat="1" ht="14.1" customHeight="1" x14ac:dyDescent="0.3">
      <c r="A3" s="16">
        <v>1</v>
      </c>
      <c r="B3" s="18" t="s">
        <v>57</v>
      </c>
      <c r="C3" s="19"/>
      <c r="D3" s="20" t="s">
        <v>58</v>
      </c>
      <c r="E3" s="21"/>
      <c r="F3" s="21"/>
      <c r="G3" s="22"/>
      <c r="H3" s="23">
        <f>SUM(I3)-2</f>
        <v>40</v>
      </c>
      <c r="I3" s="25">
        <v>42</v>
      </c>
      <c r="J3" s="27">
        <f>SUM(I3)+2</f>
        <v>44</v>
      </c>
      <c r="K3" s="27">
        <f>SUM(J3)+2</f>
        <v>46</v>
      </c>
      <c r="L3" s="27"/>
      <c r="M3" s="29"/>
    </row>
    <row r="4" spans="1:13" s="2" customFormat="1" ht="14.1" customHeight="1" x14ac:dyDescent="0.3">
      <c r="A4" s="17"/>
      <c r="B4" s="31" t="s">
        <v>59</v>
      </c>
      <c r="C4" s="32"/>
      <c r="D4" s="33" t="s">
        <v>60</v>
      </c>
      <c r="E4" s="34"/>
      <c r="F4" s="34"/>
      <c r="G4" s="35"/>
      <c r="H4" s="24"/>
      <c r="I4" s="26"/>
      <c r="J4" s="28"/>
      <c r="K4" s="28"/>
      <c r="L4" s="28"/>
      <c r="M4" s="30"/>
    </row>
    <row r="5" spans="1:13" s="2" customFormat="1" ht="14.1" customHeight="1" x14ac:dyDescent="0.3">
      <c r="A5" s="45">
        <v>2</v>
      </c>
      <c r="B5" s="46" t="s">
        <v>69</v>
      </c>
      <c r="C5" s="47"/>
      <c r="D5" s="48" t="s">
        <v>70</v>
      </c>
      <c r="E5" s="49"/>
      <c r="F5" s="49"/>
      <c r="G5" s="50"/>
      <c r="H5" s="51">
        <f>SUM(I5)-3</f>
        <v>47.8</v>
      </c>
      <c r="I5" s="52">
        <v>50.8</v>
      </c>
      <c r="J5" s="36">
        <f>SUM(I5)+3</f>
        <v>53.8</v>
      </c>
      <c r="K5" s="36">
        <f>SUM(J5)+3</f>
        <v>56.8</v>
      </c>
      <c r="L5" s="36"/>
      <c r="M5" s="44"/>
    </row>
    <row r="6" spans="1:13" s="2" customFormat="1" ht="14.1" customHeight="1" x14ac:dyDescent="0.3">
      <c r="A6" s="17"/>
      <c r="B6" s="31" t="s">
        <v>71</v>
      </c>
      <c r="C6" s="32"/>
      <c r="D6" s="33" t="s">
        <v>72</v>
      </c>
      <c r="E6" s="34"/>
      <c r="F6" s="34"/>
      <c r="G6" s="35"/>
      <c r="H6" s="24"/>
      <c r="I6" s="26"/>
      <c r="J6" s="28"/>
      <c r="K6" s="28"/>
      <c r="L6" s="28"/>
      <c r="M6" s="30"/>
    </row>
    <row r="7" spans="1:13" s="2" customFormat="1" ht="14.1" customHeight="1" x14ac:dyDescent="0.3">
      <c r="A7" s="45">
        <v>3</v>
      </c>
      <c r="B7" s="46" t="s">
        <v>73</v>
      </c>
      <c r="C7" s="47"/>
      <c r="D7" s="48"/>
      <c r="E7" s="49"/>
      <c r="F7" s="49"/>
      <c r="G7" s="50"/>
      <c r="H7" s="51">
        <f>SUM(I7)-0.5</f>
        <v>9.6999999999999993</v>
      </c>
      <c r="I7" s="52">
        <v>10.199999999999999</v>
      </c>
      <c r="J7" s="36">
        <f>SUM(I7)+0.5</f>
        <v>10.7</v>
      </c>
      <c r="K7" s="36">
        <f>SUM(J7)+0.5</f>
        <v>11.2</v>
      </c>
      <c r="L7" s="37"/>
      <c r="M7" s="39"/>
    </row>
    <row r="8" spans="1:13" s="2" customFormat="1" ht="14.1" customHeight="1" x14ac:dyDescent="0.3">
      <c r="A8" s="17"/>
      <c r="B8" s="31" t="s">
        <v>74</v>
      </c>
      <c r="C8" s="32"/>
      <c r="D8" s="41" t="s">
        <v>75</v>
      </c>
      <c r="E8" s="42"/>
      <c r="F8" s="42"/>
      <c r="G8" s="43"/>
      <c r="H8" s="24"/>
      <c r="I8" s="26"/>
      <c r="J8" s="28"/>
      <c r="K8" s="28"/>
      <c r="L8" s="38"/>
      <c r="M8" s="40"/>
    </row>
    <row r="9" spans="1:13" s="2" customFormat="1" ht="14.1" customHeight="1" x14ac:dyDescent="0.3">
      <c r="A9" s="45">
        <v>4</v>
      </c>
      <c r="B9" s="46" t="s">
        <v>79</v>
      </c>
      <c r="C9" s="47"/>
      <c r="D9" s="48" t="s">
        <v>45</v>
      </c>
      <c r="E9" s="49"/>
      <c r="F9" s="49"/>
      <c r="G9" s="50"/>
      <c r="H9" s="51">
        <f>SUM(I9)-3.5</f>
        <v>40.700000000000003</v>
      </c>
      <c r="I9" s="52">
        <v>44.2</v>
      </c>
      <c r="J9" s="36">
        <f>SUM(I9)+5</f>
        <v>49.2</v>
      </c>
      <c r="K9" s="36">
        <f>SUM(J9)+5</f>
        <v>54.2</v>
      </c>
      <c r="L9" s="36"/>
      <c r="M9" s="44"/>
    </row>
    <row r="10" spans="1:13" s="2" customFormat="1" ht="14.1" customHeight="1" x14ac:dyDescent="0.3">
      <c r="A10" s="17"/>
      <c r="B10" s="31" t="s">
        <v>167</v>
      </c>
      <c r="C10" s="32"/>
      <c r="D10" s="33" t="s">
        <v>81</v>
      </c>
      <c r="E10" s="34"/>
      <c r="F10" s="34"/>
      <c r="G10" s="35"/>
      <c r="H10" s="24"/>
      <c r="I10" s="26"/>
      <c r="J10" s="28"/>
      <c r="K10" s="28"/>
      <c r="L10" s="28"/>
      <c r="M10" s="30"/>
    </row>
    <row r="11" spans="1:13" s="2" customFormat="1" ht="14.1" customHeight="1" x14ac:dyDescent="0.3">
      <c r="A11" s="45">
        <v>5</v>
      </c>
      <c r="B11" s="46" t="s">
        <v>82</v>
      </c>
      <c r="C11" s="47"/>
      <c r="D11" s="48" t="s">
        <v>83</v>
      </c>
      <c r="E11" s="49"/>
      <c r="F11" s="49"/>
      <c r="G11" s="50"/>
      <c r="H11" s="51">
        <f>SUM(I11)-0.6</f>
        <v>17.299999999999997</v>
      </c>
      <c r="I11" s="52">
        <v>17.899999999999999</v>
      </c>
      <c r="J11" s="36">
        <f>SUM(I11)+0.6</f>
        <v>18.5</v>
      </c>
      <c r="K11" s="36">
        <f>SUM(J11)+0.6</f>
        <v>19.100000000000001</v>
      </c>
      <c r="L11" s="36"/>
      <c r="M11" s="44"/>
    </row>
    <row r="12" spans="1:13" s="2" customFormat="1" ht="14.1" customHeight="1" x14ac:dyDescent="0.3">
      <c r="A12" s="17"/>
      <c r="B12" s="31" t="s">
        <v>84</v>
      </c>
      <c r="C12" s="32"/>
      <c r="D12" s="53" t="s">
        <v>85</v>
      </c>
      <c r="E12" s="54"/>
      <c r="F12" s="54"/>
      <c r="G12" s="55"/>
      <c r="H12" s="24"/>
      <c r="I12" s="26"/>
      <c r="J12" s="28"/>
      <c r="K12" s="28"/>
      <c r="L12" s="28"/>
      <c r="M12" s="30"/>
    </row>
    <row r="13" spans="1:13" s="2" customFormat="1" ht="14.1" customHeight="1" x14ac:dyDescent="0.3">
      <c r="A13" s="45">
        <v>6</v>
      </c>
      <c r="B13" s="46" t="s">
        <v>86</v>
      </c>
      <c r="C13" s="47"/>
      <c r="D13" s="48" t="s">
        <v>87</v>
      </c>
      <c r="E13" s="49"/>
      <c r="F13" s="49"/>
      <c r="G13" s="50"/>
      <c r="H13" s="51">
        <f>SUM(I13)-0.8</f>
        <v>16.899999999999999</v>
      </c>
      <c r="I13" s="52">
        <v>17.7</v>
      </c>
      <c r="J13" s="36">
        <f>SUM(I13)+0.8</f>
        <v>18.5</v>
      </c>
      <c r="K13" s="36">
        <f>SUM(J13)+0.9</f>
        <v>19.399999999999999</v>
      </c>
      <c r="L13" s="36"/>
      <c r="M13" s="39"/>
    </row>
    <row r="14" spans="1:13" s="2" customFormat="1" ht="14.1" customHeight="1" x14ac:dyDescent="0.3">
      <c r="A14" s="17"/>
      <c r="B14" s="31" t="s">
        <v>88</v>
      </c>
      <c r="C14" s="32"/>
      <c r="D14" s="33" t="s">
        <v>89</v>
      </c>
      <c r="E14" s="34"/>
      <c r="F14" s="34"/>
      <c r="G14" s="35"/>
      <c r="H14" s="24"/>
      <c r="I14" s="26"/>
      <c r="J14" s="28"/>
      <c r="K14" s="28"/>
      <c r="L14" s="28"/>
      <c r="M14" s="40"/>
    </row>
    <row r="15" spans="1:13" s="2" customFormat="1" ht="14.1" customHeight="1" x14ac:dyDescent="0.3">
      <c r="A15" s="45">
        <v>7</v>
      </c>
      <c r="B15" s="46" t="s">
        <v>90</v>
      </c>
      <c r="C15" s="47"/>
      <c r="D15" s="48" t="s">
        <v>87</v>
      </c>
      <c r="E15" s="49"/>
      <c r="F15" s="49"/>
      <c r="G15" s="50"/>
      <c r="H15" s="51">
        <f>SUM(I15)-1</f>
        <v>19.5</v>
      </c>
      <c r="I15" s="52">
        <v>20.5</v>
      </c>
      <c r="J15" s="36">
        <f>SUM(I15)+1</f>
        <v>21.5</v>
      </c>
      <c r="K15" s="36">
        <f>SUM(J15)+1</f>
        <v>22.5</v>
      </c>
      <c r="L15" s="36"/>
      <c r="M15" s="39"/>
    </row>
    <row r="16" spans="1:13" s="2" customFormat="1" ht="14.1" customHeight="1" x14ac:dyDescent="0.3">
      <c r="A16" s="17"/>
      <c r="B16" s="31" t="s">
        <v>91</v>
      </c>
      <c r="C16" s="32"/>
      <c r="D16" s="33" t="s">
        <v>89</v>
      </c>
      <c r="E16" s="34"/>
      <c r="F16" s="34"/>
      <c r="G16" s="35"/>
      <c r="H16" s="24"/>
      <c r="I16" s="26"/>
      <c r="J16" s="28"/>
      <c r="K16" s="28"/>
      <c r="L16" s="28"/>
      <c r="M16" s="40"/>
    </row>
    <row r="17" spans="1:13" s="2" customFormat="1" ht="14.1" customHeight="1" x14ac:dyDescent="0.3">
      <c r="A17" s="45">
        <v>8</v>
      </c>
      <c r="B17" s="46" t="s">
        <v>92</v>
      </c>
      <c r="C17" s="47"/>
      <c r="D17" s="48" t="s">
        <v>93</v>
      </c>
      <c r="E17" s="49"/>
      <c r="F17" s="49"/>
      <c r="G17" s="50"/>
      <c r="H17" s="51">
        <f>SUM(I17)-1.8</f>
        <v>25.5</v>
      </c>
      <c r="I17" s="52">
        <v>27.3</v>
      </c>
      <c r="J17" s="36">
        <f>SUM(I17)+2</f>
        <v>29.3</v>
      </c>
      <c r="K17" s="36">
        <f>SUM(J17)+2</f>
        <v>31.3</v>
      </c>
      <c r="L17" s="36"/>
      <c r="M17" s="44"/>
    </row>
    <row r="18" spans="1:13" s="2" customFormat="1" ht="14.1" customHeight="1" x14ac:dyDescent="0.3">
      <c r="A18" s="17"/>
      <c r="B18" s="31" t="s">
        <v>94</v>
      </c>
      <c r="C18" s="32"/>
      <c r="D18" s="33" t="s">
        <v>95</v>
      </c>
      <c r="E18" s="34"/>
      <c r="F18" s="34"/>
      <c r="G18" s="35"/>
      <c r="H18" s="24"/>
      <c r="I18" s="26"/>
      <c r="J18" s="28"/>
      <c r="K18" s="28"/>
      <c r="L18" s="28"/>
      <c r="M18" s="30"/>
    </row>
    <row r="19" spans="1:13" s="2" customFormat="1" ht="14.1" customHeight="1" x14ac:dyDescent="0.3">
      <c r="A19" s="45">
        <v>9</v>
      </c>
      <c r="B19" s="46" t="s">
        <v>96</v>
      </c>
      <c r="C19" s="47"/>
      <c r="D19" s="48" t="s">
        <v>97</v>
      </c>
      <c r="E19" s="49"/>
      <c r="F19" s="49"/>
      <c r="G19" s="50"/>
      <c r="H19" s="51">
        <f>SUM(I19)-2.8</f>
        <v>24.3</v>
      </c>
      <c r="I19" s="52">
        <v>27.1</v>
      </c>
      <c r="J19" s="36">
        <f>SUM(I19)+4.3</f>
        <v>31.400000000000002</v>
      </c>
      <c r="K19" s="36">
        <f>SUM(J19)+4.3</f>
        <v>35.700000000000003</v>
      </c>
      <c r="L19" s="36"/>
      <c r="M19" s="44"/>
    </row>
    <row r="20" spans="1:13" s="2" customFormat="1" ht="14.1" customHeight="1" x14ac:dyDescent="0.3">
      <c r="A20" s="17"/>
      <c r="B20" s="31" t="s">
        <v>98</v>
      </c>
      <c r="C20" s="32"/>
      <c r="D20" s="33" t="s">
        <v>99</v>
      </c>
      <c r="E20" s="34"/>
      <c r="F20" s="34"/>
      <c r="G20" s="35"/>
      <c r="H20" s="24"/>
      <c r="I20" s="26"/>
      <c r="J20" s="28"/>
      <c r="K20" s="28"/>
      <c r="L20" s="28"/>
      <c r="M20" s="30"/>
    </row>
    <row r="21" spans="1:13" s="2" customFormat="1" ht="14.1" customHeight="1" x14ac:dyDescent="0.3">
      <c r="A21" s="45">
        <v>10</v>
      </c>
      <c r="B21" s="46" t="s">
        <v>100</v>
      </c>
      <c r="C21" s="47"/>
      <c r="D21" s="48" t="s">
        <v>44</v>
      </c>
      <c r="E21" s="49"/>
      <c r="F21" s="49"/>
      <c r="G21" s="50"/>
      <c r="H21" s="51">
        <f>SUM(I21)-0.7</f>
        <v>21.2</v>
      </c>
      <c r="I21" s="52">
        <v>21.9</v>
      </c>
      <c r="J21" s="36">
        <f>SUM(I21)+0.7</f>
        <v>22.599999999999998</v>
      </c>
      <c r="K21" s="36">
        <f>SUM(J21)+0.7</f>
        <v>23.299999999999997</v>
      </c>
      <c r="L21" s="36"/>
      <c r="M21" s="44"/>
    </row>
    <row r="22" spans="1:13" s="2" customFormat="1" ht="14.1" customHeight="1" x14ac:dyDescent="0.3">
      <c r="A22" s="17"/>
      <c r="B22" s="31" t="s">
        <v>101</v>
      </c>
      <c r="C22" s="32"/>
      <c r="D22" s="33" t="s">
        <v>44</v>
      </c>
      <c r="E22" s="34"/>
      <c r="F22" s="34"/>
      <c r="G22" s="35"/>
      <c r="H22" s="24"/>
      <c r="I22" s="26"/>
      <c r="J22" s="28"/>
      <c r="K22" s="28"/>
      <c r="L22" s="28"/>
      <c r="M22" s="30"/>
    </row>
    <row r="23" spans="1:13" s="2" customFormat="1" ht="14.1" customHeight="1" x14ac:dyDescent="0.3">
      <c r="A23" s="45">
        <v>11</v>
      </c>
      <c r="B23" s="46" t="s">
        <v>102</v>
      </c>
      <c r="C23" s="47"/>
      <c r="D23" s="48" t="s">
        <v>103</v>
      </c>
      <c r="E23" s="49"/>
      <c r="F23" s="49"/>
      <c r="G23" s="50"/>
      <c r="H23" s="51">
        <f>SUM(I23)-2</f>
        <v>27.5</v>
      </c>
      <c r="I23" s="52">
        <v>29.5</v>
      </c>
      <c r="J23" s="36">
        <f>SUM(I23)+2.7</f>
        <v>32.200000000000003</v>
      </c>
      <c r="K23" s="36">
        <f>SUM(J23)+2.7</f>
        <v>34.900000000000006</v>
      </c>
      <c r="L23" s="36"/>
      <c r="M23" s="44"/>
    </row>
    <row r="24" spans="1:13" s="2" customFormat="1" ht="14.1" customHeight="1" x14ac:dyDescent="0.3">
      <c r="A24" s="45"/>
      <c r="B24" s="59" t="s">
        <v>104</v>
      </c>
      <c r="C24" s="60"/>
      <c r="D24" s="61" t="s">
        <v>105</v>
      </c>
      <c r="E24" s="62"/>
      <c r="F24" s="62"/>
      <c r="G24" s="63"/>
      <c r="H24" s="51"/>
      <c r="I24" s="56"/>
      <c r="J24" s="57"/>
      <c r="K24" s="57"/>
      <c r="L24" s="57"/>
      <c r="M24" s="58"/>
    </row>
    <row r="25" spans="1:13" s="2" customFormat="1" ht="14.1" customHeight="1" x14ac:dyDescent="0.3">
      <c r="A25" s="68">
        <v>12</v>
      </c>
      <c r="B25" s="46" t="s">
        <v>137</v>
      </c>
      <c r="C25" s="47"/>
      <c r="D25" s="64"/>
      <c r="E25" s="65"/>
      <c r="F25" s="65"/>
      <c r="G25" s="66"/>
      <c r="H25" s="67">
        <f>SUM(I25)-1</f>
        <v>18.5</v>
      </c>
      <c r="I25" s="52">
        <v>19.5</v>
      </c>
      <c r="J25" s="36">
        <f>SUM(I25)+1</f>
        <v>20.5</v>
      </c>
      <c r="K25" s="36">
        <f>SUM(J25)+1</f>
        <v>21.5</v>
      </c>
      <c r="L25" s="36"/>
      <c r="M25" s="69"/>
    </row>
    <row r="26" spans="1:13" s="2" customFormat="1" ht="14.1" customHeight="1" x14ac:dyDescent="0.3">
      <c r="A26" s="17"/>
      <c r="B26" s="28" t="s">
        <v>138</v>
      </c>
      <c r="C26" s="28"/>
      <c r="D26" s="71" t="s">
        <v>168</v>
      </c>
      <c r="E26" s="72"/>
      <c r="F26" s="72"/>
      <c r="G26" s="73"/>
      <c r="H26" s="24"/>
      <c r="I26" s="26"/>
      <c r="J26" s="28"/>
      <c r="K26" s="28"/>
      <c r="L26" s="28"/>
      <c r="M26" s="70"/>
    </row>
    <row r="27" spans="1:13" s="2" customFormat="1" ht="14.1" customHeight="1" x14ac:dyDescent="0.3">
      <c r="A27" s="45">
        <v>13</v>
      </c>
      <c r="B27" s="46"/>
      <c r="C27" s="47"/>
      <c r="D27" s="64"/>
      <c r="E27" s="65"/>
      <c r="F27" s="65"/>
      <c r="G27" s="66"/>
      <c r="H27" s="67"/>
      <c r="I27" s="52"/>
      <c r="J27" s="36"/>
      <c r="K27" s="36"/>
      <c r="L27" s="36"/>
      <c r="M27" s="69"/>
    </row>
    <row r="28" spans="1:13" s="2" customFormat="1" ht="14.1" customHeight="1" x14ac:dyDescent="0.3">
      <c r="A28" s="17"/>
      <c r="B28" s="31"/>
      <c r="C28" s="32"/>
      <c r="D28" s="71"/>
      <c r="E28" s="72"/>
      <c r="F28" s="72"/>
      <c r="G28" s="73"/>
      <c r="H28" s="24"/>
      <c r="I28" s="26"/>
      <c r="J28" s="28"/>
      <c r="K28" s="28"/>
      <c r="L28" s="28"/>
      <c r="M28" s="70"/>
    </row>
    <row r="29" spans="1:13" s="2" customFormat="1" ht="14.1" customHeight="1" x14ac:dyDescent="0.3">
      <c r="A29" s="45">
        <v>14</v>
      </c>
      <c r="B29" s="46"/>
      <c r="C29" s="47"/>
      <c r="D29" s="48"/>
      <c r="E29" s="49"/>
      <c r="F29" s="49"/>
      <c r="G29" s="50"/>
      <c r="H29" s="51"/>
      <c r="I29" s="56"/>
      <c r="J29" s="57"/>
      <c r="K29" s="57"/>
      <c r="L29" s="36"/>
      <c r="M29" s="69"/>
    </row>
    <row r="30" spans="1:13" s="2" customFormat="1" ht="14.1" customHeight="1" x14ac:dyDescent="0.3">
      <c r="A30" s="17"/>
      <c r="B30" s="31"/>
      <c r="C30" s="32"/>
      <c r="D30" s="33"/>
      <c r="E30" s="34"/>
      <c r="F30" s="34"/>
      <c r="G30" s="35"/>
      <c r="H30" s="24"/>
      <c r="I30" s="26"/>
      <c r="J30" s="28"/>
      <c r="K30" s="28"/>
      <c r="L30" s="28"/>
      <c r="M30" s="70"/>
    </row>
    <row r="31" spans="1:13" s="2" customFormat="1" ht="14.1" customHeight="1" x14ac:dyDescent="0.3">
      <c r="A31" s="45">
        <v>15</v>
      </c>
      <c r="B31" s="46"/>
      <c r="C31" s="47"/>
      <c r="D31" s="48"/>
      <c r="E31" s="49"/>
      <c r="F31" s="49"/>
      <c r="G31" s="50"/>
      <c r="H31" s="51"/>
      <c r="I31" s="52"/>
      <c r="J31" s="36"/>
      <c r="K31" s="36"/>
      <c r="L31" s="36"/>
      <c r="M31" s="69"/>
    </row>
    <row r="32" spans="1:13" s="2" customFormat="1" ht="14.1" customHeight="1" x14ac:dyDescent="0.3">
      <c r="A32" s="17"/>
      <c r="B32" s="31"/>
      <c r="C32" s="32"/>
      <c r="D32" s="33"/>
      <c r="E32" s="34"/>
      <c r="F32" s="34"/>
      <c r="G32" s="35"/>
      <c r="H32" s="24"/>
      <c r="I32" s="26"/>
      <c r="J32" s="28"/>
      <c r="K32" s="28"/>
      <c r="L32" s="28"/>
      <c r="M32" s="70"/>
    </row>
    <row r="33" spans="1:13" s="2" customFormat="1" ht="14.1" customHeight="1" x14ac:dyDescent="0.3">
      <c r="A33" s="45">
        <v>16</v>
      </c>
      <c r="B33" s="46"/>
      <c r="C33" s="47"/>
      <c r="D33" s="48"/>
      <c r="E33" s="49"/>
      <c r="F33" s="49"/>
      <c r="G33" s="50"/>
      <c r="H33" s="67"/>
      <c r="I33" s="52"/>
      <c r="J33" s="36"/>
      <c r="K33" s="36"/>
      <c r="L33" s="36"/>
      <c r="M33" s="69"/>
    </row>
    <row r="34" spans="1:13" s="2" customFormat="1" ht="14.1" customHeight="1" thickBot="1" x14ac:dyDescent="0.35">
      <c r="A34" s="81"/>
      <c r="B34" s="76"/>
      <c r="C34" s="77"/>
      <c r="D34" s="78"/>
      <c r="E34" s="79"/>
      <c r="F34" s="79"/>
      <c r="G34" s="80"/>
      <c r="H34" s="82"/>
      <c r="I34" s="83"/>
      <c r="J34" s="74"/>
      <c r="K34" s="74"/>
      <c r="L34" s="74"/>
      <c r="M34" s="75"/>
    </row>
    <row r="35" spans="1:13" s="2" customFormat="1" ht="14.1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2" customFormat="1" ht="14.1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9BA5-3346-4EF5-8BFC-0A116AE7A33A}">
  <sheetPr>
    <tabColor rgb="FFFF0000"/>
    <pageSetUpPr fitToPage="1"/>
  </sheetPr>
  <dimension ref="A1:P51"/>
  <sheetViews>
    <sheetView zoomScale="110" zoomScaleNormal="110" workbookViewId="0">
      <selection activeCell="P12" sqref="P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12" t="s">
        <v>150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6" ht="16.5" customHeight="1" thickBot="1" x14ac:dyDescent="0.35">
      <c r="A2" s="5" t="s">
        <v>33</v>
      </c>
      <c r="B2" s="15" t="s">
        <v>34</v>
      </c>
      <c r="C2" s="15"/>
      <c r="D2" s="15" t="s">
        <v>35</v>
      </c>
      <c r="E2" s="15"/>
      <c r="F2" s="15"/>
      <c r="G2" s="15"/>
      <c r="H2" s="8"/>
      <c r="I2" s="3" t="s">
        <v>157</v>
      </c>
      <c r="J2" s="4" t="s">
        <v>158</v>
      </c>
      <c r="K2" s="4"/>
      <c r="L2" s="4"/>
      <c r="M2" s="4"/>
      <c r="N2" t="s">
        <v>44</v>
      </c>
    </row>
    <row r="3" spans="1:16" s="2" customFormat="1" ht="14.1" customHeight="1" x14ac:dyDescent="0.3">
      <c r="A3" s="103">
        <v>1</v>
      </c>
      <c r="B3" s="37" t="s">
        <v>151</v>
      </c>
      <c r="C3" s="37"/>
      <c r="D3" s="48" t="s">
        <v>160</v>
      </c>
      <c r="E3" s="49"/>
      <c r="F3" s="49"/>
      <c r="G3" s="50"/>
      <c r="H3" s="23"/>
      <c r="I3" s="25">
        <v>18.5</v>
      </c>
      <c r="J3" s="27">
        <f>SUM(I3+1)</f>
        <v>19.5</v>
      </c>
      <c r="K3" s="27"/>
      <c r="L3" s="104"/>
      <c r="M3" s="105"/>
    </row>
    <row r="4" spans="1:16" s="2" customFormat="1" ht="14.1" customHeight="1" x14ac:dyDescent="0.3">
      <c r="A4" s="90"/>
      <c r="B4" s="38" t="s">
        <v>152</v>
      </c>
      <c r="C4" s="38"/>
      <c r="D4" s="53" t="s">
        <v>153</v>
      </c>
      <c r="E4" s="54"/>
      <c r="F4" s="54"/>
      <c r="G4" s="55"/>
      <c r="H4" s="51"/>
      <c r="I4" s="26"/>
      <c r="J4" s="28"/>
      <c r="K4" s="28"/>
      <c r="L4" s="36"/>
      <c r="M4" s="44"/>
    </row>
    <row r="5" spans="1:16" s="2" customFormat="1" ht="14.1" customHeight="1" x14ac:dyDescent="0.3">
      <c r="A5" s="90">
        <v>2</v>
      </c>
      <c r="B5" s="37" t="s">
        <v>154</v>
      </c>
      <c r="C5" s="37"/>
      <c r="D5" s="48" t="s">
        <v>155</v>
      </c>
      <c r="E5" s="49"/>
      <c r="F5" s="49"/>
      <c r="G5" s="50"/>
      <c r="H5" s="36"/>
      <c r="I5" s="52">
        <v>13</v>
      </c>
      <c r="J5" s="36">
        <f>SUM(I5+1)</f>
        <v>14</v>
      </c>
      <c r="K5" s="36"/>
      <c r="L5" s="36"/>
      <c r="M5" s="44"/>
    </row>
    <row r="6" spans="1:16" s="2" customFormat="1" ht="14.1" customHeight="1" x14ac:dyDescent="0.3">
      <c r="A6" s="90"/>
      <c r="B6" s="38" t="s">
        <v>156</v>
      </c>
      <c r="C6" s="38"/>
      <c r="D6" s="53" t="s">
        <v>159</v>
      </c>
      <c r="E6" s="54"/>
      <c r="F6" s="54"/>
      <c r="G6" s="55"/>
      <c r="H6" s="28"/>
      <c r="I6" s="26"/>
      <c r="J6" s="28"/>
      <c r="K6" s="28"/>
      <c r="L6" s="28"/>
      <c r="M6" s="30"/>
    </row>
    <row r="7" spans="1:16" s="2" customFormat="1" ht="14.1" customHeight="1" x14ac:dyDescent="0.3">
      <c r="A7" s="90">
        <v>3</v>
      </c>
      <c r="B7" s="37" t="s">
        <v>161</v>
      </c>
      <c r="C7" s="37"/>
      <c r="D7" s="102"/>
      <c r="E7" s="102"/>
      <c r="F7" s="102"/>
      <c r="G7" s="102"/>
      <c r="H7" s="36"/>
      <c r="I7" s="52">
        <v>3</v>
      </c>
      <c r="J7" s="36">
        <v>3</v>
      </c>
      <c r="K7" s="36"/>
      <c r="L7" s="36"/>
      <c r="M7" s="44"/>
    </row>
    <row r="8" spans="1:16" s="2" customFormat="1" ht="14.1" customHeight="1" x14ac:dyDescent="0.3">
      <c r="A8" s="90"/>
      <c r="B8" s="38" t="s">
        <v>162</v>
      </c>
      <c r="C8" s="38"/>
      <c r="D8" s="53"/>
      <c r="E8" s="54"/>
      <c r="F8" s="54"/>
      <c r="G8" s="55"/>
      <c r="H8" s="28"/>
      <c r="I8" s="26"/>
      <c r="J8" s="28"/>
      <c r="K8" s="28"/>
      <c r="L8" s="28"/>
      <c r="M8" s="30"/>
    </row>
    <row r="9" spans="1:16" s="2" customFormat="1" ht="14.1" customHeight="1" x14ac:dyDescent="0.3">
      <c r="A9" s="90">
        <v>4</v>
      </c>
      <c r="B9" s="37" t="s">
        <v>163</v>
      </c>
      <c r="C9" s="37"/>
      <c r="D9" s="102"/>
      <c r="E9" s="102"/>
      <c r="F9" s="102"/>
      <c r="G9" s="102"/>
      <c r="H9" s="36"/>
      <c r="I9" s="52">
        <v>2</v>
      </c>
      <c r="J9" s="36">
        <v>2</v>
      </c>
      <c r="K9" s="36"/>
      <c r="L9" s="36"/>
      <c r="M9" s="44"/>
    </row>
    <row r="10" spans="1:16" s="2" customFormat="1" ht="14.1" customHeight="1" x14ac:dyDescent="0.3">
      <c r="A10" s="90"/>
      <c r="B10" s="38" t="s">
        <v>164</v>
      </c>
      <c r="C10" s="38"/>
      <c r="D10" s="53"/>
      <c r="E10" s="54"/>
      <c r="F10" s="54"/>
      <c r="G10" s="55"/>
      <c r="H10" s="28"/>
      <c r="I10" s="26"/>
      <c r="J10" s="28"/>
      <c r="K10" s="28"/>
      <c r="L10" s="28"/>
      <c r="M10" s="30"/>
    </row>
    <row r="11" spans="1:16" s="2" customFormat="1" ht="14.1" customHeight="1" x14ac:dyDescent="0.3">
      <c r="A11" s="90">
        <v>5</v>
      </c>
      <c r="B11" s="37" t="s">
        <v>165</v>
      </c>
      <c r="C11" s="37"/>
      <c r="D11" s="102"/>
      <c r="E11" s="102"/>
      <c r="F11" s="102"/>
      <c r="G11" s="102"/>
      <c r="H11" s="92"/>
      <c r="I11" s="100">
        <v>20</v>
      </c>
      <c r="J11" s="92">
        <v>20</v>
      </c>
      <c r="K11" s="92"/>
      <c r="L11" s="92"/>
      <c r="M11" s="101"/>
    </row>
    <row r="12" spans="1:16" s="2" customFormat="1" ht="14.1" customHeight="1" x14ac:dyDescent="0.3">
      <c r="A12" s="90"/>
      <c r="B12" s="38" t="s">
        <v>166</v>
      </c>
      <c r="C12" s="38"/>
      <c r="D12" s="53"/>
      <c r="E12" s="54"/>
      <c r="F12" s="54"/>
      <c r="G12" s="55"/>
      <c r="H12" s="92"/>
      <c r="I12" s="100"/>
      <c r="J12" s="92"/>
      <c r="K12" s="92"/>
      <c r="L12" s="92"/>
      <c r="M12" s="101"/>
    </row>
    <row r="13" spans="1:16" s="2" customFormat="1" ht="14.1" customHeight="1" x14ac:dyDescent="0.3">
      <c r="A13" s="90">
        <v>6</v>
      </c>
      <c r="B13" s="37"/>
      <c r="C13" s="37"/>
      <c r="D13" s="102"/>
      <c r="E13" s="102"/>
      <c r="F13" s="102"/>
      <c r="G13" s="102"/>
      <c r="H13" s="92"/>
      <c r="I13" s="100"/>
      <c r="J13" s="92"/>
      <c r="K13" s="92"/>
      <c r="L13" s="92"/>
      <c r="M13" s="101"/>
      <c r="P13" s="2" t="s">
        <v>114</v>
      </c>
    </row>
    <row r="14" spans="1:16" s="2" customFormat="1" ht="14.1" customHeight="1" x14ac:dyDescent="0.3">
      <c r="A14" s="90"/>
      <c r="B14" s="38"/>
      <c r="C14" s="38"/>
      <c r="D14" s="53"/>
      <c r="E14" s="54"/>
      <c r="F14" s="54"/>
      <c r="G14" s="55"/>
      <c r="H14" s="92"/>
      <c r="I14" s="100"/>
      <c r="J14" s="92"/>
      <c r="K14" s="92"/>
      <c r="L14" s="92"/>
      <c r="M14" s="101"/>
    </row>
    <row r="15" spans="1:16" s="2" customFormat="1" ht="14.1" customHeight="1" x14ac:dyDescent="0.3">
      <c r="A15" s="90">
        <v>7</v>
      </c>
      <c r="B15" s="37"/>
      <c r="C15" s="37"/>
      <c r="D15" s="102"/>
      <c r="E15" s="102"/>
      <c r="F15" s="102"/>
      <c r="G15" s="102"/>
      <c r="H15" s="92"/>
      <c r="I15" s="100"/>
      <c r="J15" s="92"/>
      <c r="K15" s="92"/>
      <c r="L15" s="92"/>
      <c r="M15" s="101"/>
    </row>
    <row r="16" spans="1:16" s="2" customFormat="1" ht="14.1" customHeight="1" x14ac:dyDescent="0.3">
      <c r="A16" s="90"/>
      <c r="B16" s="38"/>
      <c r="C16" s="38"/>
      <c r="D16" s="53"/>
      <c r="E16" s="54"/>
      <c r="F16" s="54"/>
      <c r="G16" s="55"/>
      <c r="H16" s="92"/>
      <c r="I16" s="100"/>
      <c r="J16" s="92"/>
      <c r="K16" s="92"/>
      <c r="L16" s="92"/>
      <c r="M16" s="101"/>
    </row>
    <row r="17" spans="1:13" s="2" customFormat="1" ht="14.1" customHeight="1" x14ac:dyDescent="0.3">
      <c r="A17" s="90">
        <v>8</v>
      </c>
      <c r="B17" s="37"/>
      <c r="C17" s="37"/>
      <c r="D17" s="102"/>
      <c r="E17" s="102"/>
      <c r="F17" s="102"/>
      <c r="G17" s="102"/>
      <c r="H17" s="92"/>
      <c r="I17" s="100"/>
      <c r="J17" s="92"/>
      <c r="K17" s="92"/>
      <c r="L17" s="92"/>
      <c r="M17" s="101"/>
    </row>
    <row r="18" spans="1:13" s="2" customFormat="1" ht="14.1" customHeight="1" x14ac:dyDescent="0.3">
      <c r="A18" s="90"/>
      <c r="B18" s="38"/>
      <c r="C18" s="38"/>
      <c r="D18" s="53"/>
      <c r="E18" s="54"/>
      <c r="F18" s="54"/>
      <c r="G18" s="55"/>
      <c r="H18" s="92"/>
      <c r="I18" s="100"/>
      <c r="J18" s="92"/>
      <c r="K18" s="92"/>
      <c r="L18" s="92"/>
      <c r="M18" s="101"/>
    </row>
    <row r="19" spans="1:13" s="2" customFormat="1" ht="14.1" customHeight="1" x14ac:dyDescent="0.3">
      <c r="A19" s="90">
        <v>9</v>
      </c>
      <c r="B19" s="46"/>
      <c r="C19" s="47"/>
      <c r="D19" s="48"/>
      <c r="E19" s="49"/>
      <c r="F19" s="49"/>
      <c r="G19" s="50"/>
      <c r="H19" s="92"/>
      <c r="I19" s="100"/>
      <c r="J19" s="92"/>
      <c r="K19" s="92"/>
      <c r="L19" s="92"/>
      <c r="M19" s="101"/>
    </row>
    <row r="20" spans="1:13" s="2" customFormat="1" ht="14.1" customHeight="1" x14ac:dyDescent="0.3">
      <c r="A20" s="90"/>
      <c r="B20" s="38"/>
      <c r="C20" s="38"/>
      <c r="D20" s="53"/>
      <c r="E20" s="54"/>
      <c r="F20" s="54"/>
      <c r="G20" s="55"/>
      <c r="H20" s="92"/>
      <c r="I20" s="100"/>
      <c r="J20" s="92"/>
      <c r="K20" s="92"/>
      <c r="L20" s="92"/>
      <c r="M20" s="101"/>
    </row>
    <row r="21" spans="1:13" s="2" customFormat="1" ht="14.1" customHeight="1" x14ac:dyDescent="0.3">
      <c r="A21" s="90">
        <v>10</v>
      </c>
      <c r="B21" s="37"/>
      <c r="C21" s="37"/>
      <c r="D21" s="102"/>
      <c r="E21" s="102"/>
      <c r="F21" s="102"/>
      <c r="G21" s="102"/>
      <c r="H21" s="92"/>
      <c r="I21" s="100"/>
      <c r="J21" s="92"/>
      <c r="K21" s="92"/>
      <c r="L21" s="92"/>
      <c r="M21" s="101"/>
    </row>
    <row r="22" spans="1:13" s="2" customFormat="1" ht="14.1" customHeight="1" x14ac:dyDescent="0.3">
      <c r="A22" s="90"/>
      <c r="B22" s="38"/>
      <c r="C22" s="38"/>
      <c r="D22" s="53"/>
      <c r="E22" s="54"/>
      <c r="F22" s="54"/>
      <c r="G22" s="55"/>
      <c r="H22" s="92"/>
      <c r="I22" s="100"/>
      <c r="J22" s="92"/>
      <c r="K22" s="92"/>
      <c r="L22" s="92"/>
      <c r="M22" s="101"/>
    </row>
    <row r="23" spans="1:13" s="2" customFormat="1" ht="14.1" customHeight="1" x14ac:dyDescent="0.3">
      <c r="A23" s="90">
        <v>11</v>
      </c>
      <c r="B23" s="37"/>
      <c r="C23" s="37"/>
      <c r="D23" s="102"/>
      <c r="E23" s="102"/>
      <c r="F23" s="102"/>
      <c r="G23" s="102"/>
      <c r="H23" s="92"/>
      <c r="I23" s="100"/>
      <c r="J23" s="92"/>
      <c r="K23" s="92"/>
      <c r="L23" s="92"/>
      <c r="M23" s="101"/>
    </row>
    <row r="24" spans="1:13" s="2" customFormat="1" ht="14.1" customHeight="1" x14ac:dyDescent="0.3">
      <c r="A24" s="90"/>
      <c r="B24" s="38"/>
      <c r="C24" s="38"/>
      <c r="D24" s="53"/>
      <c r="E24" s="54"/>
      <c r="F24" s="54"/>
      <c r="G24" s="55"/>
      <c r="H24" s="92"/>
      <c r="I24" s="100"/>
      <c r="J24" s="92"/>
      <c r="K24" s="92"/>
      <c r="L24" s="92"/>
      <c r="M24" s="101"/>
    </row>
    <row r="25" spans="1:13" s="2" customFormat="1" ht="14.1" customHeight="1" x14ac:dyDescent="0.3">
      <c r="A25" s="90">
        <v>12</v>
      </c>
      <c r="B25" s="37"/>
      <c r="C25" s="37"/>
      <c r="D25" s="48"/>
      <c r="E25" s="49"/>
      <c r="F25" s="49"/>
      <c r="G25" s="50"/>
      <c r="H25" s="92"/>
      <c r="I25" s="100"/>
      <c r="J25" s="92"/>
      <c r="K25" s="92"/>
      <c r="L25" s="92"/>
      <c r="M25" s="101"/>
    </row>
    <row r="26" spans="1:13" s="2" customFormat="1" ht="14.1" customHeight="1" x14ac:dyDescent="0.3">
      <c r="A26" s="90"/>
      <c r="B26" s="38"/>
      <c r="C26" s="38"/>
      <c r="D26" s="53"/>
      <c r="E26" s="54"/>
      <c r="F26" s="54"/>
      <c r="G26" s="55"/>
      <c r="H26" s="92"/>
      <c r="I26" s="100"/>
      <c r="J26" s="92"/>
      <c r="K26" s="92"/>
      <c r="L26" s="92"/>
      <c r="M26" s="101"/>
    </row>
    <row r="27" spans="1:13" s="2" customFormat="1" ht="14.1" customHeight="1" x14ac:dyDescent="0.3">
      <c r="A27" s="90">
        <v>13</v>
      </c>
      <c r="B27" s="46"/>
      <c r="C27" s="47"/>
      <c r="D27" s="102"/>
      <c r="E27" s="102"/>
      <c r="F27" s="102"/>
      <c r="G27" s="102"/>
      <c r="H27" s="92"/>
      <c r="I27" s="100"/>
      <c r="J27" s="92"/>
      <c r="K27" s="92"/>
      <c r="L27" s="92"/>
      <c r="M27" s="101"/>
    </row>
    <row r="28" spans="1:13" s="2" customFormat="1" ht="14.1" customHeight="1" x14ac:dyDescent="0.3">
      <c r="A28" s="90"/>
      <c r="B28" s="38"/>
      <c r="C28" s="38"/>
      <c r="D28" s="53"/>
      <c r="E28" s="54"/>
      <c r="F28" s="54"/>
      <c r="G28" s="55"/>
      <c r="H28" s="92"/>
      <c r="I28" s="100"/>
      <c r="J28" s="92"/>
      <c r="K28" s="92"/>
      <c r="L28" s="92"/>
      <c r="M28" s="101"/>
    </row>
    <row r="29" spans="1:13" s="2" customFormat="1" ht="14.1" customHeight="1" x14ac:dyDescent="0.3">
      <c r="A29" s="90">
        <v>14</v>
      </c>
      <c r="B29" s="46"/>
      <c r="C29" s="47"/>
      <c r="D29" s="102"/>
      <c r="E29" s="102"/>
      <c r="F29" s="102"/>
      <c r="G29" s="102"/>
      <c r="H29" s="92"/>
      <c r="I29" s="100"/>
      <c r="J29" s="92"/>
      <c r="K29" s="92"/>
      <c r="L29" s="92"/>
      <c r="M29" s="101"/>
    </row>
    <row r="30" spans="1:13" s="2" customFormat="1" ht="14.1" customHeight="1" x14ac:dyDescent="0.3">
      <c r="A30" s="90"/>
      <c r="B30" s="38"/>
      <c r="C30" s="38"/>
      <c r="D30" s="53"/>
      <c r="E30" s="54"/>
      <c r="F30" s="54"/>
      <c r="G30" s="55"/>
      <c r="H30" s="92"/>
      <c r="I30" s="100"/>
      <c r="J30" s="92"/>
      <c r="K30" s="92"/>
      <c r="L30" s="92"/>
      <c r="M30" s="101"/>
    </row>
    <row r="31" spans="1:13" s="2" customFormat="1" ht="14.1" customHeight="1" x14ac:dyDescent="0.3">
      <c r="A31" s="90">
        <v>15</v>
      </c>
      <c r="B31" s="46"/>
      <c r="C31" s="47"/>
      <c r="D31" s="97"/>
      <c r="E31" s="98"/>
      <c r="F31" s="98"/>
      <c r="G31" s="99"/>
      <c r="H31" s="92"/>
      <c r="I31" s="100"/>
      <c r="J31" s="92"/>
      <c r="K31" s="92"/>
      <c r="L31" s="36"/>
      <c r="M31" s="44"/>
    </row>
    <row r="32" spans="1:13" s="2" customFormat="1" ht="14.1" customHeight="1" x14ac:dyDescent="0.3">
      <c r="A32" s="90"/>
      <c r="B32" s="95"/>
      <c r="C32" s="96"/>
      <c r="D32" s="53"/>
      <c r="E32" s="54"/>
      <c r="F32" s="54"/>
      <c r="G32" s="55"/>
      <c r="H32" s="92"/>
      <c r="I32" s="100"/>
      <c r="J32" s="92"/>
      <c r="K32" s="92"/>
      <c r="L32" s="28"/>
      <c r="M32" s="30"/>
    </row>
    <row r="33" spans="1:13" s="2" customFormat="1" ht="14.1" customHeight="1" x14ac:dyDescent="0.3">
      <c r="A33" s="90">
        <v>16</v>
      </c>
      <c r="B33" s="46"/>
      <c r="C33" s="47"/>
      <c r="D33" s="97"/>
      <c r="E33" s="98"/>
      <c r="F33" s="98"/>
      <c r="G33" s="99"/>
      <c r="H33" s="92"/>
      <c r="I33" s="100"/>
      <c r="J33" s="92"/>
      <c r="K33" s="92"/>
      <c r="L33" s="36"/>
      <c r="M33" s="44"/>
    </row>
    <row r="34" spans="1:13" s="2" customFormat="1" ht="14.1" customHeight="1" x14ac:dyDescent="0.3">
      <c r="A34" s="90"/>
      <c r="B34" s="95"/>
      <c r="C34" s="96"/>
      <c r="D34" s="53"/>
      <c r="E34" s="54"/>
      <c r="F34" s="54"/>
      <c r="G34" s="55"/>
      <c r="H34" s="92"/>
      <c r="I34" s="100"/>
      <c r="J34" s="92"/>
      <c r="K34" s="92"/>
      <c r="L34" s="28"/>
      <c r="M34" s="30"/>
    </row>
    <row r="35" spans="1:13" ht="14.1" customHeight="1" x14ac:dyDescent="0.3">
      <c r="A35" s="90">
        <v>17</v>
      </c>
      <c r="B35" s="93"/>
      <c r="C35" s="94"/>
      <c r="D35" s="97"/>
      <c r="E35" s="98"/>
      <c r="F35" s="98"/>
      <c r="G35" s="99"/>
      <c r="H35" s="92"/>
      <c r="I35" s="100"/>
      <c r="J35" s="92"/>
      <c r="K35" s="92"/>
      <c r="L35" s="36"/>
      <c r="M35" s="44"/>
    </row>
    <row r="36" spans="1:13" ht="14.1" customHeight="1" x14ac:dyDescent="0.3">
      <c r="A36" s="90"/>
      <c r="B36" s="93"/>
      <c r="C36" s="94"/>
      <c r="D36" s="53"/>
      <c r="E36" s="54"/>
      <c r="F36" s="54"/>
      <c r="G36" s="55"/>
      <c r="H36" s="92"/>
      <c r="I36" s="100"/>
      <c r="J36" s="92"/>
      <c r="K36" s="92"/>
      <c r="L36" s="28"/>
      <c r="M36" s="30"/>
    </row>
    <row r="37" spans="1:13" ht="14.1" customHeight="1" x14ac:dyDescent="0.3">
      <c r="A37" s="90">
        <v>18</v>
      </c>
      <c r="B37" s="46"/>
      <c r="C37" s="47"/>
      <c r="D37" s="48"/>
      <c r="E37" s="49"/>
      <c r="F37" s="49"/>
      <c r="G37" s="50"/>
      <c r="H37" s="36"/>
      <c r="I37" s="52"/>
      <c r="J37" s="36"/>
      <c r="K37" s="36"/>
      <c r="L37" s="36"/>
      <c r="M37" s="44"/>
    </row>
    <row r="38" spans="1:13" ht="14.1" customHeight="1" thickBot="1" x14ac:dyDescent="0.35">
      <c r="A38" s="91"/>
      <c r="B38" s="85"/>
      <c r="C38" s="86"/>
      <c r="D38" s="87"/>
      <c r="E38" s="88"/>
      <c r="F38" s="88"/>
      <c r="G38" s="89"/>
      <c r="H38" s="74"/>
      <c r="I38" s="83"/>
      <c r="J38" s="74"/>
      <c r="K38" s="74"/>
      <c r="L38" s="74"/>
      <c r="M38" s="84"/>
    </row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>
      <c r="B42" s="1"/>
      <c r="C42" s="1"/>
      <c r="D42" s="1"/>
      <c r="E42" s="1"/>
      <c r="F42" s="1"/>
      <c r="G42" s="1"/>
    </row>
    <row r="43" spans="1:13" ht="14.1" customHeight="1" x14ac:dyDescent="0.3">
      <c r="B43" s="1"/>
      <c r="C43" s="1"/>
      <c r="D43" s="1"/>
      <c r="E43" s="1"/>
      <c r="F43" s="1"/>
      <c r="G43" s="1"/>
    </row>
    <row r="44" spans="1:13" ht="14.1" customHeight="1" x14ac:dyDescent="0.3">
      <c r="B44" s="1"/>
      <c r="C44" s="1"/>
      <c r="D44" s="1"/>
      <c r="E44" s="1"/>
      <c r="F44" s="1"/>
      <c r="G44" s="1"/>
    </row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1F05-F51F-40F9-A5D0-B9104C17BE87}">
  <sheetPr>
    <tabColor rgb="FFFF0000"/>
    <pageSetUpPr fitToPage="1"/>
  </sheetPr>
  <dimension ref="A1:P51"/>
  <sheetViews>
    <sheetView topLeftCell="A4" zoomScale="110" zoomScaleNormal="110" workbookViewId="0">
      <selection activeCell="H23" sqref="H23:H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12" t="s">
        <v>145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6" ht="16.5" customHeight="1" thickBot="1" x14ac:dyDescent="0.35">
      <c r="A2" s="5" t="s">
        <v>33</v>
      </c>
      <c r="B2" s="15" t="s">
        <v>34</v>
      </c>
      <c r="C2" s="15"/>
      <c r="D2" s="15" t="s">
        <v>35</v>
      </c>
      <c r="E2" s="15"/>
      <c r="F2" s="15"/>
      <c r="G2" s="15"/>
      <c r="H2" s="8" t="s">
        <v>131</v>
      </c>
      <c r="I2" s="3" t="s">
        <v>132</v>
      </c>
      <c r="J2" s="4" t="s">
        <v>133</v>
      </c>
      <c r="K2" s="4" t="s">
        <v>142</v>
      </c>
      <c r="L2" s="4"/>
      <c r="M2" s="4"/>
      <c r="N2" t="s">
        <v>44</v>
      </c>
    </row>
    <row r="3" spans="1:16" s="2" customFormat="1" ht="14.1" customHeight="1" x14ac:dyDescent="0.3">
      <c r="A3" s="103">
        <v>1</v>
      </c>
      <c r="B3" s="106" t="s">
        <v>23</v>
      </c>
      <c r="C3" s="106"/>
      <c r="D3" s="107" t="s">
        <v>47</v>
      </c>
      <c r="E3" s="107"/>
      <c r="F3" s="107"/>
      <c r="G3" s="20"/>
      <c r="H3" s="23">
        <f>SUM(I3)-3</f>
        <v>31</v>
      </c>
      <c r="I3" s="25">
        <v>34</v>
      </c>
      <c r="J3" s="27">
        <f>SUM(I3)+3</f>
        <v>37</v>
      </c>
      <c r="K3" s="27">
        <f>SUM(J3)+3</f>
        <v>40</v>
      </c>
      <c r="L3" s="104"/>
      <c r="M3" s="105"/>
    </row>
    <row r="4" spans="1:16" s="2" customFormat="1" ht="14.1" customHeight="1" x14ac:dyDescent="0.3">
      <c r="A4" s="90"/>
      <c r="B4" s="38" t="s">
        <v>20</v>
      </c>
      <c r="C4" s="38"/>
      <c r="D4" s="53" t="s">
        <v>39</v>
      </c>
      <c r="E4" s="54"/>
      <c r="F4" s="54"/>
      <c r="G4" s="54"/>
      <c r="H4" s="51"/>
      <c r="I4" s="26"/>
      <c r="J4" s="28"/>
      <c r="K4" s="28"/>
      <c r="L4" s="36"/>
      <c r="M4" s="44"/>
    </row>
    <row r="5" spans="1:16" s="2" customFormat="1" ht="14.1" customHeight="1" x14ac:dyDescent="0.3">
      <c r="A5" s="90">
        <v>2</v>
      </c>
      <c r="B5" s="37" t="s">
        <v>21</v>
      </c>
      <c r="C5" s="37"/>
      <c r="D5" s="102" t="s">
        <v>22</v>
      </c>
      <c r="E5" s="102"/>
      <c r="F5" s="102"/>
      <c r="G5" s="102"/>
      <c r="H5" s="36">
        <f>SUM(I5)-1.4</f>
        <v>31.6</v>
      </c>
      <c r="I5" s="52">
        <v>33</v>
      </c>
      <c r="J5" s="36">
        <f>SUM(I5)+1.4</f>
        <v>34.4</v>
      </c>
      <c r="K5" s="36">
        <f>SUM(J5)+1.4</f>
        <v>35.799999999999997</v>
      </c>
      <c r="L5" s="36"/>
      <c r="M5" s="44"/>
    </row>
    <row r="6" spans="1:16" s="2" customFormat="1" ht="14.1" customHeight="1" x14ac:dyDescent="0.3">
      <c r="A6" s="90"/>
      <c r="B6" s="38" t="s">
        <v>11</v>
      </c>
      <c r="C6" s="38"/>
      <c r="D6" s="53" t="s">
        <v>26</v>
      </c>
      <c r="E6" s="54"/>
      <c r="F6" s="54"/>
      <c r="G6" s="55"/>
      <c r="H6" s="28"/>
      <c r="I6" s="26"/>
      <c r="J6" s="28"/>
      <c r="K6" s="28"/>
      <c r="L6" s="28"/>
      <c r="M6" s="30"/>
    </row>
    <row r="7" spans="1:16" s="2" customFormat="1" ht="14.1" customHeight="1" x14ac:dyDescent="0.3">
      <c r="A7" s="90">
        <v>3</v>
      </c>
      <c r="B7" s="37" t="s">
        <v>19</v>
      </c>
      <c r="C7" s="37"/>
      <c r="D7" s="102" t="s">
        <v>45</v>
      </c>
      <c r="E7" s="102"/>
      <c r="F7" s="102"/>
      <c r="G7" s="102"/>
      <c r="H7" s="36">
        <f>SUM(I7)-1.5</f>
        <v>32.5</v>
      </c>
      <c r="I7" s="52">
        <v>34</v>
      </c>
      <c r="J7" s="36">
        <f>SUM(I7)+1.5</f>
        <v>35.5</v>
      </c>
      <c r="K7" s="36">
        <f>SUM(J7)+1.5</f>
        <v>37</v>
      </c>
      <c r="L7" s="36"/>
      <c r="M7" s="44"/>
    </row>
    <row r="8" spans="1:16" s="2" customFormat="1" ht="14.1" customHeight="1" x14ac:dyDescent="0.3">
      <c r="A8" s="90"/>
      <c r="B8" s="38" t="s">
        <v>24</v>
      </c>
      <c r="C8" s="38"/>
      <c r="D8" s="53" t="s">
        <v>27</v>
      </c>
      <c r="E8" s="54"/>
      <c r="F8" s="54"/>
      <c r="G8" s="55"/>
      <c r="H8" s="28"/>
      <c r="I8" s="26"/>
      <c r="J8" s="28"/>
      <c r="K8" s="28"/>
      <c r="L8" s="28"/>
      <c r="M8" s="30"/>
    </row>
    <row r="9" spans="1:16" s="2" customFormat="1" ht="14.1" customHeight="1" x14ac:dyDescent="0.3">
      <c r="A9" s="90">
        <v>4</v>
      </c>
      <c r="B9" s="37" t="s">
        <v>25</v>
      </c>
      <c r="C9" s="37"/>
      <c r="D9" s="102" t="s">
        <v>9</v>
      </c>
      <c r="E9" s="102"/>
      <c r="F9" s="102"/>
      <c r="G9" s="102"/>
      <c r="H9" s="36">
        <f>SUM(I9)-1.5</f>
        <v>31.5</v>
      </c>
      <c r="I9" s="52">
        <v>33</v>
      </c>
      <c r="J9" s="36">
        <f>SUM(I9)+1.5</f>
        <v>34.5</v>
      </c>
      <c r="K9" s="36">
        <f>SUM(J9)+1.5</f>
        <v>36</v>
      </c>
      <c r="L9" s="36"/>
      <c r="M9" s="44"/>
    </row>
    <row r="10" spans="1:16" s="2" customFormat="1" ht="14.1" customHeight="1" x14ac:dyDescent="0.3">
      <c r="A10" s="90"/>
      <c r="B10" s="38" t="s">
        <v>12</v>
      </c>
      <c r="C10" s="38"/>
      <c r="D10" s="53" t="s">
        <v>28</v>
      </c>
      <c r="E10" s="54"/>
      <c r="F10" s="54"/>
      <c r="G10" s="55"/>
      <c r="H10" s="28"/>
      <c r="I10" s="26"/>
      <c r="J10" s="28"/>
      <c r="K10" s="28"/>
      <c r="L10" s="28"/>
      <c r="M10" s="30"/>
    </row>
    <row r="11" spans="1:16" s="2" customFormat="1" ht="14.1" customHeight="1" x14ac:dyDescent="0.3">
      <c r="A11" s="90">
        <v>5</v>
      </c>
      <c r="B11" s="37" t="s">
        <v>123</v>
      </c>
      <c r="C11" s="37"/>
      <c r="D11" s="102"/>
      <c r="E11" s="102"/>
      <c r="F11" s="102"/>
      <c r="G11" s="102"/>
      <c r="H11" s="92">
        <f>SUM(I11)</f>
        <v>4.5</v>
      </c>
      <c r="I11" s="100">
        <v>4.5</v>
      </c>
      <c r="J11" s="92">
        <f>SUM(I11)</f>
        <v>4.5</v>
      </c>
      <c r="K11" s="92">
        <f>SUM(J11)</f>
        <v>4.5</v>
      </c>
      <c r="L11" s="92"/>
      <c r="M11" s="101"/>
    </row>
    <row r="12" spans="1:16" s="2" customFormat="1" ht="14.1" customHeight="1" x14ac:dyDescent="0.3">
      <c r="A12" s="90"/>
      <c r="B12" s="38" t="s">
        <v>124</v>
      </c>
      <c r="C12" s="38"/>
      <c r="D12" s="53"/>
      <c r="E12" s="54"/>
      <c r="F12" s="54"/>
      <c r="G12" s="55"/>
      <c r="H12" s="92"/>
      <c r="I12" s="100"/>
      <c r="J12" s="92"/>
      <c r="K12" s="92"/>
      <c r="L12" s="92"/>
      <c r="M12" s="101"/>
    </row>
    <row r="13" spans="1:16" s="2" customFormat="1" ht="14.1" customHeight="1" x14ac:dyDescent="0.3">
      <c r="A13" s="90">
        <v>6</v>
      </c>
      <c r="B13" s="37" t="s">
        <v>10</v>
      </c>
      <c r="C13" s="37"/>
      <c r="D13" s="102" t="s">
        <v>0</v>
      </c>
      <c r="E13" s="102"/>
      <c r="F13" s="102"/>
      <c r="G13" s="102"/>
      <c r="H13" s="92">
        <f>SUM(I13)-0.8</f>
        <v>14.7</v>
      </c>
      <c r="I13" s="100">
        <v>15.5</v>
      </c>
      <c r="J13" s="92">
        <f>SUM(I13)+0.8</f>
        <v>16.3</v>
      </c>
      <c r="K13" s="92">
        <f>SUM(J13)+0.8</f>
        <v>17.100000000000001</v>
      </c>
      <c r="L13" s="92"/>
      <c r="M13" s="101"/>
      <c r="P13" s="2" t="s">
        <v>114</v>
      </c>
    </row>
    <row r="14" spans="1:16" s="2" customFormat="1" ht="14.1" customHeight="1" x14ac:dyDescent="0.3">
      <c r="A14" s="90"/>
      <c r="B14" s="38" t="s">
        <v>13</v>
      </c>
      <c r="C14" s="38"/>
      <c r="D14" s="53" t="s">
        <v>29</v>
      </c>
      <c r="E14" s="54"/>
      <c r="F14" s="54"/>
      <c r="G14" s="55"/>
      <c r="H14" s="92"/>
      <c r="I14" s="100"/>
      <c r="J14" s="92"/>
      <c r="K14" s="92"/>
      <c r="L14" s="92"/>
      <c r="M14" s="101"/>
    </row>
    <row r="15" spans="1:16" s="2" customFormat="1" ht="14.1" customHeight="1" x14ac:dyDescent="0.3">
      <c r="A15" s="90">
        <v>7</v>
      </c>
      <c r="B15" s="37" t="s">
        <v>1</v>
      </c>
      <c r="C15" s="37"/>
      <c r="D15" s="102" t="s">
        <v>2</v>
      </c>
      <c r="E15" s="102"/>
      <c r="F15" s="102"/>
      <c r="G15" s="102"/>
      <c r="H15" s="92">
        <f>SUM(I15)-0.5</f>
        <v>15.1</v>
      </c>
      <c r="I15" s="100">
        <v>15.6</v>
      </c>
      <c r="J15" s="92">
        <f>SUM(I15)+0.5</f>
        <v>16.100000000000001</v>
      </c>
      <c r="K15" s="92">
        <f>SUM(J15)+0.5</f>
        <v>16.600000000000001</v>
      </c>
      <c r="L15" s="92"/>
      <c r="M15" s="101"/>
    </row>
    <row r="16" spans="1:16" s="2" customFormat="1" ht="14.1" customHeight="1" x14ac:dyDescent="0.3">
      <c r="A16" s="90"/>
      <c r="B16" s="38" t="s">
        <v>14</v>
      </c>
      <c r="C16" s="38"/>
      <c r="D16" s="53" t="s">
        <v>30</v>
      </c>
      <c r="E16" s="54"/>
      <c r="F16" s="54"/>
      <c r="G16" s="55"/>
      <c r="H16" s="92"/>
      <c r="I16" s="100"/>
      <c r="J16" s="92"/>
      <c r="K16" s="92"/>
      <c r="L16" s="92"/>
      <c r="M16" s="101"/>
    </row>
    <row r="17" spans="1:13" s="2" customFormat="1" ht="14.1" customHeight="1" x14ac:dyDescent="0.3">
      <c r="A17" s="90">
        <v>8</v>
      </c>
      <c r="B17" s="37" t="s">
        <v>3</v>
      </c>
      <c r="C17" s="37"/>
      <c r="D17" s="102" t="s">
        <v>4</v>
      </c>
      <c r="E17" s="102"/>
      <c r="F17" s="102"/>
      <c r="G17" s="102"/>
      <c r="H17" s="92">
        <f>SUM(I17)-0.3</f>
        <v>6.7</v>
      </c>
      <c r="I17" s="100">
        <v>7</v>
      </c>
      <c r="J17" s="92">
        <f>SUM(I17)+0.3</f>
        <v>7.3</v>
      </c>
      <c r="K17" s="92">
        <f>SUM(J17)+0.3</f>
        <v>7.6</v>
      </c>
      <c r="L17" s="92"/>
      <c r="M17" s="101"/>
    </row>
    <row r="18" spans="1:13" s="2" customFormat="1" ht="14.1" customHeight="1" x14ac:dyDescent="0.3">
      <c r="A18" s="90"/>
      <c r="B18" s="38" t="s">
        <v>15</v>
      </c>
      <c r="C18" s="38"/>
      <c r="D18" s="53" t="s">
        <v>31</v>
      </c>
      <c r="E18" s="54"/>
      <c r="F18" s="54"/>
      <c r="G18" s="55"/>
      <c r="H18" s="92"/>
      <c r="I18" s="100"/>
      <c r="J18" s="92"/>
      <c r="K18" s="92"/>
      <c r="L18" s="92"/>
      <c r="M18" s="101"/>
    </row>
    <row r="19" spans="1:13" s="2" customFormat="1" ht="14.1" customHeight="1" x14ac:dyDescent="0.3">
      <c r="A19" s="90">
        <v>9</v>
      </c>
      <c r="B19" s="46" t="s">
        <v>40</v>
      </c>
      <c r="C19" s="47"/>
      <c r="D19" s="48" t="s">
        <v>42</v>
      </c>
      <c r="E19" s="49"/>
      <c r="F19" s="49"/>
      <c r="G19" s="50"/>
      <c r="H19" s="92"/>
      <c r="I19" s="100"/>
      <c r="J19" s="92"/>
      <c r="K19" s="92"/>
      <c r="L19" s="92"/>
      <c r="M19" s="101"/>
    </row>
    <row r="20" spans="1:13" s="2" customFormat="1" ht="14.1" customHeight="1" x14ac:dyDescent="0.3">
      <c r="A20" s="90"/>
      <c r="B20" s="38" t="s">
        <v>41</v>
      </c>
      <c r="C20" s="38"/>
      <c r="D20" s="53" t="s">
        <v>43</v>
      </c>
      <c r="E20" s="54"/>
      <c r="F20" s="54"/>
      <c r="G20" s="55"/>
      <c r="H20" s="92"/>
      <c r="I20" s="100"/>
      <c r="J20" s="92"/>
      <c r="K20" s="92"/>
      <c r="L20" s="92"/>
      <c r="M20" s="101"/>
    </row>
    <row r="21" spans="1:13" s="2" customFormat="1" ht="14.1" customHeight="1" x14ac:dyDescent="0.3">
      <c r="A21" s="90">
        <v>10</v>
      </c>
      <c r="B21" s="37" t="s">
        <v>125</v>
      </c>
      <c r="C21" s="37"/>
      <c r="D21" s="102"/>
      <c r="E21" s="102"/>
      <c r="F21" s="102"/>
      <c r="G21" s="102"/>
      <c r="H21" s="92">
        <f>SUM(I21)</f>
        <v>3</v>
      </c>
      <c r="I21" s="100">
        <v>3</v>
      </c>
      <c r="J21" s="92">
        <f>SUM(I21)</f>
        <v>3</v>
      </c>
      <c r="K21" s="92">
        <f>SUM(J21)</f>
        <v>3</v>
      </c>
      <c r="L21" s="92"/>
      <c r="M21" s="101"/>
    </row>
    <row r="22" spans="1:13" s="2" customFormat="1" ht="14.1" customHeight="1" x14ac:dyDescent="0.3">
      <c r="A22" s="90"/>
      <c r="B22" s="38" t="s">
        <v>126</v>
      </c>
      <c r="C22" s="38"/>
      <c r="D22" s="53"/>
      <c r="E22" s="54"/>
      <c r="F22" s="54"/>
      <c r="G22" s="55"/>
      <c r="H22" s="92"/>
      <c r="I22" s="100"/>
      <c r="J22" s="92"/>
      <c r="K22" s="92"/>
      <c r="L22" s="92"/>
      <c r="M22" s="101"/>
    </row>
    <row r="23" spans="1:13" s="2" customFormat="1" ht="14.1" customHeight="1" x14ac:dyDescent="0.3">
      <c r="A23" s="90">
        <v>11</v>
      </c>
      <c r="B23" s="37" t="s">
        <v>5</v>
      </c>
      <c r="C23" s="37"/>
      <c r="D23" s="102" t="s">
        <v>6</v>
      </c>
      <c r="E23" s="102"/>
      <c r="F23" s="102"/>
      <c r="G23" s="102"/>
      <c r="H23" s="92">
        <f>SUM(I23)-2.8</f>
        <v>20.7</v>
      </c>
      <c r="I23" s="100">
        <v>23.5</v>
      </c>
      <c r="J23" s="92">
        <f>SUM(I23)+2.8</f>
        <v>26.3</v>
      </c>
      <c r="K23" s="92">
        <f>SUM(J23)+2.8</f>
        <v>29.1</v>
      </c>
      <c r="L23" s="92"/>
      <c r="M23" s="101"/>
    </row>
    <row r="24" spans="1:13" s="2" customFormat="1" ht="14.1" customHeight="1" x14ac:dyDescent="0.3">
      <c r="A24" s="90"/>
      <c r="B24" s="38" t="s">
        <v>16</v>
      </c>
      <c r="C24" s="38"/>
      <c r="D24" s="53" t="s">
        <v>32</v>
      </c>
      <c r="E24" s="54"/>
      <c r="F24" s="54"/>
      <c r="G24" s="55"/>
      <c r="H24" s="92"/>
      <c r="I24" s="100"/>
      <c r="J24" s="92"/>
      <c r="K24" s="92"/>
      <c r="L24" s="92"/>
      <c r="M24" s="101"/>
    </row>
    <row r="25" spans="1:13" s="2" customFormat="1" ht="14.1" customHeight="1" x14ac:dyDescent="0.3">
      <c r="A25" s="90">
        <v>12</v>
      </c>
      <c r="B25" s="37" t="s">
        <v>7</v>
      </c>
      <c r="C25" s="37"/>
      <c r="D25" s="48" t="s">
        <v>8</v>
      </c>
      <c r="E25" s="49"/>
      <c r="F25" s="49"/>
      <c r="G25" s="50"/>
      <c r="H25" s="92">
        <f>SUM(I25)-1.5</f>
        <v>27.5</v>
      </c>
      <c r="I25" s="100">
        <v>29</v>
      </c>
      <c r="J25" s="92">
        <f>SUM(I25)+1.5</f>
        <v>30.5</v>
      </c>
      <c r="K25" s="92">
        <f>SUM(J25)+1.5</f>
        <v>32</v>
      </c>
      <c r="L25" s="92"/>
      <c r="M25" s="101"/>
    </row>
    <row r="26" spans="1:13" s="2" customFormat="1" ht="14.1" customHeight="1" x14ac:dyDescent="0.3">
      <c r="A26" s="90"/>
      <c r="B26" s="38" t="s">
        <v>17</v>
      </c>
      <c r="C26" s="38"/>
      <c r="D26" s="53" t="s">
        <v>36</v>
      </c>
      <c r="E26" s="54"/>
      <c r="F26" s="54"/>
      <c r="G26" s="55"/>
      <c r="H26" s="92"/>
      <c r="I26" s="100"/>
      <c r="J26" s="92"/>
      <c r="K26" s="92"/>
      <c r="L26" s="92"/>
      <c r="M26" s="101"/>
    </row>
    <row r="27" spans="1:13" s="2" customFormat="1" ht="14.1" customHeight="1" x14ac:dyDescent="0.3">
      <c r="A27" s="90">
        <v>13</v>
      </c>
      <c r="B27" s="46" t="s">
        <v>46</v>
      </c>
      <c r="C27" s="47"/>
      <c r="D27" s="102" t="s">
        <v>37</v>
      </c>
      <c r="E27" s="102"/>
      <c r="F27" s="102"/>
      <c r="G27" s="102"/>
      <c r="H27" s="92">
        <f>SUM(I27)-0.5</f>
        <v>13.5</v>
      </c>
      <c r="I27" s="100">
        <v>14</v>
      </c>
      <c r="J27" s="92">
        <f>SUM(I27)+0.5</f>
        <v>14.5</v>
      </c>
      <c r="K27" s="92">
        <f>SUM(J27)+0.5</f>
        <v>15</v>
      </c>
      <c r="L27" s="92"/>
      <c r="M27" s="101"/>
    </row>
    <row r="28" spans="1:13" s="2" customFormat="1" ht="14.1" customHeight="1" x14ac:dyDescent="0.3">
      <c r="A28" s="90"/>
      <c r="B28" s="38" t="s">
        <v>18</v>
      </c>
      <c r="C28" s="38"/>
      <c r="D28" s="53" t="s">
        <v>38</v>
      </c>
      <c r="E28" s="54"/>
      <c r="F28" s="54"/>
      <c r="G28" s="55"/>
      <c r="H28" s="92"/>
      <c r="I28" s="100"/>
      <c r="J28" s="92"/>
      <c r="K28" s="92"/>
      <c r="L28" s="92"/>
      <c r="M28" s="101"/>
    </row>
    <row r="29" spans="1:13" s="2" customFormat="1" ht="14.1" customHeight="1" x14ac:dyDescent="0.3">
      <c r="A29" s="90">
        <v>14</v>
      </c>
      <c r="B29" s="46" t="s">
        <v>127</v>
      </c>
      <c r="C29" s="47"/>
      <c r="D29" s="102"/>
      <c r="E29" s="102"/>
      <c r="F29" s="102"/>
      <c r="G29" s="102"/>
      <c r="H29" s="92">
        <f>SUM(I29)</f>
        <v>3.5</v>
      </c>
      <c r="I29" s="100">
        <v>3.5</v>
      </c>
      <c r="J29" s="92">
        <f>SUM(I29)</f>
        <v>3.5</v>
      </c>
      <c r="K29" s="92">
        <f>SUM(J29)</f>
        <v>3.5</v>
      </c>
      <c r="L29" s="92"/>
      <c r="M29" s="101"/>
    </row>
    <row r="30" spans="1:13" s="2" customFormat="1" ht="14.1" customHeight="1" x14ac:dyDescent="0.3">
      <c r="A30" s="90"/>
      <c r="B30" s="38" t="s">
        <v>128</v>
      </c>
      <c r="C30" s="38"/>
      <c r="D30" s="53"/>
      <c r="E30" s="54"/>
      <c r="F30" s="54"/>
      <c r="G30" s="55"/>
      <c r="H30" s="92"/>
      <c r="I30" s="100"/>
      <c r="J30" s="92"/>
      <c r="K30" s="92"/>
      <c r="L30" s="92"/>
      <c r="M30" s="101"/>
    </row>
    <row r="31" spans="1:13" s="2" customFormat="1" ht="14.1" customHeight="1" x14ac:dyDescent="0.3">
      <c r="A31" s="90">
        <v>15</v>
      </c>
      <c r="B31" s="46" t="s">
        <v>129</v>
      </c>
      <c r="C31" s="47"/>
      <c r="D31" s="97"/>
      <c r="E31" s="98"/>
      <c r="F31" s="98"/>
      <c r="G31" s="99"/>
      <c r="H31" s="92">
        <f>SUM(I31)</f>
        <v>3.5</v>
      </c>
      <c r="I31" s="100">
        <v>3.5</v>
      </c>
      <c r="J31" s="92">
        <f>SUM(I31)</f>
        <v>3.5</v>
      </c>
      <c r="K31" s="92">
        <f>SUM(J31)</f>
        <v>3.5</v>
      </c>
      <c r="L31" s="36"/>
      <c r="M31" s="44"/>
    </row>
    <row r="32" spans="1:13" s="2" customFormat="1" ht="14.1" customHeight="1" x14ac:dyDescent="0.3">
      <c r="A32" s="90"/>
      <c r="B32" s="95" t="s">
        <v>130</v>
      </c>
      <c r="C32" s="96"/>
      <c r="D32" s="53"/>
      <c r="E32" s="54"/>
      <c r="F32" s="54"/>
      <c r="G32" s="55"/>
      <c r="H32" s="92"/>
      <c r="I32" s="100"/>
      <c r="J32" s="92"/>
      <c r="K32" s="92"/>
      <c r="L32" s="28"/>
      <c r="M32" s="30"/>
    </row>
    <row r="33" spans="1:13" s="2" customFormat="1" ht="14.1" customHeight="1" x14ac:dyDescent="0.3">
      <c r="A33" s="90">
        <v>16</v>
      </c>
      <c r="B33" s="46" t="s">
        <v>53</v>
      </c>
      <c r="C33" s="47"/>
      <c r="D33" s="97"/>
      <c r="E33" s="98"/>
      <c r="F33" s="98"/>
      <c r="G33" s="99"/>
      <c r="H33" s="92"/>
      <c r="I33" s="100">
        <v>11.5</v>
      </c>
      <c r="J33" s="92"/>
      <c r="K33" s="92"/>
      <c r="L33" s="36"/>
      <c r="M33" s="44"/>
    </row>
    <row r="34" spans="1:13" s="2" customFormat="1" ht="14.1" customHeight="1" x14ac:dyDescent="0.3">
      <c r="A34" s="90"/>
      <c r="B34" s="95" t="s">
        <v>54</v>
      </c>
      <c r="C34" s="96"/>
      <c r="D34" s="53" t="s">
        <v>146</v>
      </c>
      <c r="E34" s="54"/>
      <c r="F34" s="54"/>
      <c r="G34" s="55"/>
      <c r="H34" s="92"/>
      <c r="I34" s="100"/>
      <c r="J34" s="92"/>
      <c r="K34" s="92"/>
      <c r="L34" s="28"/>
      <c r="M34" s="30"/>
    </row>
    <row r="35" spans="1:13" ht="14.1" customHeight="1" x14ac:dyDescent="0.3">
      <c r="A35" s="90">
        <v>17</v>
      </c>
      <c r="B35" s="93" t="s">
        <v>55</v>
      </c>
      <c r="C35" s="94"/>
      <c r="D35" s="97"/>
      <c r="E35" s="98"/>
      <c r="F35" s="98"/>
      <c r="G35" s="99"/>
      <c r="H35" s="92"/>
      <c r="I35" s="100">
        <v>7</v>
      </c>
      <c r="J35" s="92"/>
      <c r="K35" s="92"/>
      <c r="L35" s="36"/>
      <c r="M35" s="44"/>
    </row>
    <row r="36" spans="1:13" ht="14.1" customHeight="1" x14ac:dyDescent="0.3">
      <c r="A36" s="90"/>
      <c r="B36" s="93" t="s">
        <v>56</v>
      </c>
      <c r="C36" s="94"/>
      <c r="D36" s="53" t="s">
        <v>147</v>
      </c>
      <c r="E36" s="54"/>
      <c r="F36" s="54"/>
      <c r="G36" s="55"/>
      <c r="H36" s="92"/>
      <c r="I36" s="100"/>
      <c r="J36" s="92"/>
      <c r="K36" s="92"/>
      <c r="L36" s="28"/>
      <c r="M36" s="30"/>
    </row>
    <row r="37" spans="1:13" ht="14.1" customHeight="1" x14ac:dyDescent="0.3">
      <c r="A37" s="90">
        <v>18</v>
      </c>
      <c r="B37" s="46"/>
      <c r="C37" s="47"/>
      <c r="D37" s="48"/>
      <c r="E37" s="49"/>
      <c r="F37" s="49"/>
      <c r="G37" s="50"/>
      <c r="H37" s="36"/>
      <c r="I37" s="52"/>
      <c r="J37" s="36"/>
      <c r="K37" s="36"/>
      <c r="L37" s="36"/>
      <c r="M37" s="44"/>
    </row>
    <row r="38" spans="1:13" ht="14.1" customHeight="1" thickBot="1" x14ac:dyDescent="0.35">
      <c r="A38" s="91"/>
      <c r="B38" s="85"/>
      <c r="C38" s="86"/>
      <c r="D38" s="87"/>
      <c r="E38" s="88"/>
      <c r="F38" s="88"/>
      <c r="G38" s="89"/>
      <c r="H38" s="74"/>
      <c r="I38" s="83"/>
      <c r="J38" s="74"/>
      <c r="K38" s="74"/>
      <c r="L38" s="74"/>
      <c r="M38" s="84"/>
    </row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>
      <c r="B42" s="1"/>
      <c r="C42" s="1"/>
      <c r="D42" s="1"/>
      <c r="E42" s="1"/>
      <c r="F42" s="1"/>
      <c r="G42" s="1"/>
    </row>
    <row r="43" spans="1:13" ht="14.1" customHeight="1" x14ac:dyDescent="0.3">
      <c r="B43" s="1"/>
      <c r="C43" s="1"/>
      <c r="D43" s="1"/>
      <c r="E43" s="1"/>
      <c r="F43" s="1"/>
      <c r="G43" s="1"/>
    </row>
    <row r="44" spans="1:13" ht="14.1" customHeight="1" x14ac:dyDescent="0.3">
      <c r="B44" s="1"/>
      <c r="C44" s="1"/>
      <c r="D44" s="1"/>
      <c r="E44" s="1"/>
      <c r="F44" s="1"/>
      <c r="G44" s="1"/>
    </row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3:A34"/>
    <mergeCell ref="B33:C33"/>
    <mergeCell ref="D33:G33"/>
    <mergeCell ref="H33:H34"/>
    <mergeCell ref="I33:I34"/>
    <mergeCell ref="A37:A38"/>
    <mergeCell ref="B37:C37"/>
    <mergeCell ref="D37:G37"/>
    <mergeCell ref="H37:H38"/>
    <mergeCell ref="I37:I38"/>
    <mergeCell ref="A35:A36"/>
    <mergeCell ref="J33:J34"/>
    <mergeCell ref="K33:K34"/>
    <mergeCell ref="L33:L34"/>
    <mergeCell ref="M33:M34"/>
    <mergeCell ref="B34:C34"/>
    <mergeCell ref="D34:G34"/>
    <mergeCell ref="K37:K38"/>
    <mergeCell ref="L37:L38"/>
    <mergeCell ref="M37:M38"/>
    <mergeCell ref="B38:C38"/>
    <mergeCell ref="D38:G38"/>
    <mergeCell ref="J37:J38"/>
    <mergeCell ref="K35:K36"/>
    <mergeCell ref="L35:L36"/>
    <mergeCell ref="M35:M36"/>
    <mergeCell ref="B36:C36"/>
    <mergeCell ref="D36:G36"/>
    <mergeCell ref="B35:C35"/>
    <mergeCell ref="D35:G35"/>
    <mergeCell ref="H35:H36"/>
    <mergeCell ref="I35:I36"/>
    <mergeCell ref="J35:J3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7D3D-CB65-435E-854D-2FE0BAAA9F9C}">
  <sheetPr>
    <tabColor rgb="FFFF0000"/>
    <pageSetUpPr fitToPage="1"/>
  </sheetPr>
  <dimension ref="A1:P51"/>
  <sheetViews>
    <sheetView topLeftCell="A7" zoomScale="110" zoomScaleNormal="110" workbookViewId="0">
      <selection activeCell="K27" sqref="K27:K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12" t="s">
        <v>148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6" ht="16.5" customHeight="1" thickBot="1" x14ac:dyDescent="0.35">
      <c r="A2" s="5" t="s">
        <v>33</v>
      </c>
      <c r="B2" s="15" t="s">
        <v>34</v>
      </c>
      <c r="C2" s="15"/>
      <c r="D2" s="15" t="s">
        <v>35</v>
      </c>
      <c r="E2" s="15"/>
      <c r="F2" s="15"/>
      <c r="G2" s="15"/>
      <c r="H2" s="8" t="s">
        <v>131</v>
      </c>
      <c r="I2" s="3" t="s">
        <v>132</v>
      </c>
      <c r="J2" s="4" t="s">
        <v>133</v>
      </c>
      <c r="K2" s="4" t="s">
        <v>142</v>
      </c>
      <c r="L2" s="4"/>
      <c r="M2" s="4"/>
      <c r="N2" t="s">
        <v>44</v>
      </c>
    </row>
    <row r="3" spans="1:16" s="2" customFormat="1" ht="14.1" customHeight="1" x14ac:dyDescent="0.3">
      <c r="A3" s="103">
        <v>1</v>
      </c>
      <c r="B3" s="106" t="s">
        <v>23</v>
      </c>
      <c r="C3" s="106"/>
      <c r="D3" s="107" t="s">
        <v>47</v>
      </c>
      <c r="E3" s="107"/>
      <c r="F3" s="107"/>
      <c r="G3" s="20"/>
      <c r="H3" s="23">
        <f>SUM(I3)-3</f>
        <v>30</v>
      </c>
      <c r="I3" s="25">
        <v>33</v>
      </c>
      <c r="J3" s="27">
        <f>SUM(I3)+3</f>
        <v>36</v>
      </c>
      <c r="K3" s="27">
        <f>SUM(J3)+3</f>
        <v>39</v>
      </c>
      <c r="L3" s="104"/>
      <c r="M3" s="105"/>
    </row>
    <row r="4" spans="1:16" s="2" customFormat="1" ht="14.1" customHeight="1" x14ac:dyDescent="0.3">
      <c r="A4" s="90"/>
      <c r="B4" s="38" t="s">
        <v>20</v>
      </c>
      <c r="C4" s="38"/>
      <c r="D4" s="53" t="s">
        <v>39</v>
      </c>
      <c r="E4" s="54"/>
      <c r="F4" s="54"/>
      <c r="G4" s="54"/>
      <c r="H4" s="51"/>
      <c r="I4" s="26"/>
      <c r="J4" s="28"/>
      <c r="K4" s="28"/>
      <c r="L4" s="36"/>
      <c r="M4" s="44"/>
    </row>
    <row r="5" spans="1:16" s="2" customFormat="1" ht="14.1" customHeight="1" x14ac:dyDescent="0.3">
      <c r="A5" s="90">
        <v>2</v>
      </c>
      <c r="B5" s="37" t="s">
        <v>21</v>
      </c>
      <c r="C5" s="37"/>
      <c r="D5" s="102" t="s">
        <v>22</v>
      </c>
      <c r="E5" s="102"/>
      <c r="F5" s="102"/>
      <c r="G5" s="102"/>
      <c r="H5" s="36">
        <f>SUM(I5)-1.2</f>
        <v>22.8</v>
      </c>
      <c r="I5" s="52">
        <v>24</v>
      </c>
      <c r="J5" s="36">
        <f>SUM(I5)+1.2</f>
        <v>25.2</v>
      </c>
      <c r="K5" s="36">
        <f>SUM(J5)+1.2</f>
        <v>26.4</v>
      </c>
      <c r="L5" s="36"/>
      <c r="M5" s="44"/>
    </row>
    <row r="6" spans="1:16" s="2" customFormat="1" ht="14.1" customHeight="1" x14ac:dyDescent="0.3">
      <c r="A6" s="90"/>
      <c r="B6" s="38" t="s">
        <v>11</v>
      </c>
      <c r="C6" s="38"/>
      <c r="D6" s="53" t="s">
        <v>26</v>
      </c>
      <c r="E6" s="54"/>
      <c r="F6" s="54"/>
      <c r="G6" s="55"/>
      <c r="H6" s="28"/>
      <c r="I6" s="26"/>
      <c r="J6" s="28"/>
      <c r="K6" s="28"/>
      <c r="L6" s="28"/>
      <c r="M6" s="30"/>
    </row>
    <row r="7" spans="1:16" s="2" customFormat="1" ht="14.1" customHeight="1" x14ac:dyDescent="0.3">
      <c r="A7" s="90">
        <v>3</v>
      </c>
      <c r="B7" s="37" t="s">
        <v>19</v>
      </c>
      <c r="C7" s="37"/>
      <c r="D7" s="102" t="s">
        <v>45</v>
      </c>
      <c r="E7" s="102"/>
      <c r="F7" s="102"/>
      <c r="G7" s="102"/>
      <c r="H7" s="36">
        <f>SUM(I7)-1.5</f>
        <v>31</v>
      </c>
      <c r="I7" s="52">
        <v>32.5</v>
      </c>
      <c r="J7" s="36">
        <f>SUM(I7)+1.5</f>
        <v>34</v>
      </c>
      <c r="K7" s="36">
        <f>SUM(J7)+1.5</f>
        <v>35.5</v>
      </c>
      <c r="L7" s="36"/>
      <c r="M7" s="44"/>
    </row>
    <row r="8" spans="1:16" s="2" customFormat="1" ht="14.1" customHeight="1" x14ac:dyDescent="0.3">
      <c r="A8" s="90"/>
      <c r="B8" s="38" t="s">
        <v>24</v>
      </c>
      <c r="C8" s="38"/>
      <c r="D8" s="53" t="s">
        <v>27</v>
      </c>
      <c r="E8" s="54"/>
      <c r="F8" s="54"/>
      <c r="G8" s="55"/>
      <c r="H8" s="28"/>
      <c r="I8" s="26"/>
      <c r="J8" s="28"/>
      <c r="K8" s="28"/>
      <c r="L8" s="28"/>
      <c r="M8" s="30"/>
    </row>
    <row r="9" spans="1:16" s="2" customFormat="1" ht="14.1" customHeight="1" x14ac:dyDescent="0.3">
      <c r="A9" s="90">
        <v>4</v>
      </c>
      <c r="B9" s="37" t="s">
        <v>25</v>
      </c>
      <c r="C9" s="37"/>
      <c r="D9" s="102" t="s">
        <v>9</v>
      </c>
      <c r="E9" s="102"/>
      <c r="F9" s="102"/>
      <c r="G9" s="102"/>
      <c r="H9" s="36">
        <f>SUM(I9)-1.5</f>
        <v>28.5</v>
      </c>
      <c r="I9" s="52">
        <v>30</v>
      </c>
      <c r="J9" s="36">
        <f>SUM(I9)+1.5</f>
        <v>31.5</v>
      </c>
      <c r="K9" s="36">
        <f>SUM(J9)+1.5</f>
        <v>33</v>
      </c>
      <c r="L9" s="36"/>
      <c r="M9" s="44"/>
    </row>
    <row r="10" spans="1:16" s="2" customFormat="1" ht="14.1" customHeight="1" x14ac:dyDescent="0.3">
      <c r="A10" s="90"/>
      <c r="B10" s="38" t="s">
        <v>12</v>
      </c>
      <c r="C10" s="38"/>
      <c r="D10" s="53" t="s">
        <v>28</v>
      </c>
      <c r="E10" s="54"/>
      <c r="F10" s="54"/>
      <c r="G10" s="55"/>
      <c r="H10" s="28"/>
      <c r="I10" s="26"/>
      <c r="J10" s="28"/>
      <c r="K10" s="28"/>
      <c r="L10" s="28"/>
      <c r="M10" s="30"/>
    </row>
    <row r="11" spans="1:16" s="2" customFormat="1" ht="14.1" customHeight="1" x14ac:dyDescent="0.3">
      <c r="A11" s="90">
        <v>5</v>
      </c>
      <c r="B11" s="37" t="s">
        <v>123</v>
      </c>
      <c r="C11" s="37"/>
      <c r="D11" s="102"/>
      <c r="E11" s="102"/>
      <c r="F11" s="102"/>
      <c r="G11" s="102"/>
      <c r="H11" s="92">
        <f>SUM(I11)</f>
        <v>5</v>
      </c>
      <c r="I11" s="100">
        <v>5</v>
      </c>
      <c r="J11" s="92">
        <f>SUM(I11)</f>
        <v>5</v>
      </c>
      <c r="K11" s="92">
        <f>SUM(J11)</f>
        <v>5</v>
      </c>
      <c r="L11" s="92"/>
      <c r="M11" s="101"/>
    </row>
    <row r="12" spans="1:16" s="2" customFormat="1" ht="14.1" customHeight="1" x14ac:dyDescent="0.3">
      <c r="A12" s="90"/>
      <c r="B12" s="38" t="s">
        <v>124</v>
      </c>
      <c r="C12" s="38"/>
      <c r="D12" s="53"/>
      <c r="E12" s="54"/>
      <c r="F12" s="54"/>
      <c r="G12" s="55"/>
      <c r="H12" s="92"/>
      <c r="I12" s="100"/>
      <c r="J12" s="92"/>
      <c r="K12" s="92"/>
      <c r="L12" s="92"/>
      <c r="M12" s="101"/>
    </row>
    <row r="13" spans="1:16" s="2" customFormat="1" ht="14.1" customHeight="1" x14ac:dyDescent="0.3">
      <c r="A13" s="90">
        <v>6</v>
      </c>
      <c r="B13" s="37" t="s">
        <v>10</v>
      </c>
      <c r="C13" s="37"/>
      <c r="D13" s="102" t="s">
        <v>0</v>
      </c>
      <c r="E13" s="102"/>
      <c r="F13" s="102"/>
      <c r="G13" s="102"/>
      <c r="H13" s="92">
        <f>SUM(I13)-0.8</f>
        <v>16.2</v>
      </c>
      <c r="I13" s="100">
        <v>17</v>
      </c>
      <c r="J13" s="92">
        <f>SUM(I13)+0.8</f>
        <v>17.8</v>
      </c>
      <c r="K13" s="92">
        <f>SUM(J13)+0.8</f>
        <v>18.600000000000001</v>
      </c>
      <c r="L13" s="92"/>
      <c r="M13" s="101"/>
      <c r="P13" s="2" t="s">
        <v>114</v>
      </c>
    </row>
    <row r="14" spans="1:16" s="2" customFormat="1" ht="14.1" customHeight="1" x14ac:dyDescent="0.3">
      <c r="A14" s="90"/>
      <c r="B14" s="38" t="s">
        <v>13</v>
      </c>
      <c r="C14" s="38"/>
      <c r="D14" s="53" t="s">
        <v>29</v>
      </c>
      <c r="E14" s="54"/>
      <c r="F14" s="54"/>
      <c r="G14" s="55"/>
      <c r="H14" s="92"/>
      <c r="I14" s="100"/>
      <c r="J14" s="92"/>
      <c r="K14" s="92"/>
      <c r="L14" s="92"/>
      <c r="M14" s="101"/>
    </row>
    <row r="15" spans="1:16" s="2" customFormat="1" ht="14.1" customHeight="1" x14ac:dyDescent="0.3">
      <c r="A15" s="90">
        <v>7</v>
      </c>
      <c r="B15" s="37" t="s">
        <v>1</v>
      </c>
      <c r="C15" s="37"/>
      <c r="D15" s="102" t="s">
        <v>2</v>
      </c>
      <c r="E15" s="102"/>
      <c r="F15" s="102"/>
      <c r="G15" s="102"/>
      <c r="H15" s="92">
        <f>SUM(I15)-0.5</f>
        <v>14.1</v>
      </c>
      <c r="I15" s="100">
        <v>14.6</v>
      </c>
      <c r="J15" s="92">
        <f>SUM(I15)+0.5</f>
        <v>15.1</v>
      </c>
      <c r="K15" s="92">
        <f>SUM(J15)+0.5</f>
        <v>15.6</v>
      </c>
      <c r="L15" s="92"/>
      <c r="M15" s="101"/>
    </row>
    <row r="16" spans="1:16" s="2" customFormat="1" ht="14.1" customHeight="1" x14ac:dyDescent="0.3">
      <c r="A16" s="90"/>
      <c r="B16" s="38" t="s">
        <v>14</v>
      </c>
      <c r="C16" s="38"/>
      <c r="D16" s="53" t="s">
        <v>30</v>
      </c>
      <c r="E16" s="54"/>
      <c r="F16" s="54"/>
      <c r="G16" s="55"/>
      <c r="H16" s="92"/>
      <c r="I16" s="100"/>
      <c r="J16" s="92"/>
      <c r="K16" s="92"/>
      <c r="L16" s="92"/>
      <c r="M16" s="101"/>
    </row>
    <row r="17" spans="1:13" s="2" customFormat="1" ht="14.1" customHeight="1" x14ac:dyDescent="0.3">
      <c r="A17" s="90">
        <v>8</v>
      </c>
      <c r="B17" s="37" t="s">
        <v>3</v>
      </c>
      <c r="C17" s="37"/>
      <c r="D17" s="102" t="s">
        <v>4</v>
      </c>
      <c r="E17" s="102"/>
      <c r="F17" s="102"/>
      <c r="G17" s="102"/>
      <c r="H17" s="92">
        <f>SUM(I17)-0.3</f>
        <v>7.2</v>
      </c>
      <c r="I17" s="100">
        <v>7.5</v>
      </c>
      <c r="J17" s="92">
        <f>SUM(I17)+0.3</f>
        <v>7.8</v>
      </c>
      <c r="K17" s="92">
        <f>SUM(J17)+0.3</f>
        <v>8.1</v>
      </c>
      <c r="L17" s="92"/>
      <c r="M17" s="101"/>
    </row>
    <row r="18" spans="1:13" s="2" customFormat="1" ht="14.1" customHeight="1" x14ac:dyDescent="0.3">
      <c r="A18" s="90"/>
      <c r="B18" s="38" t="s">
        <v>15</v>
      </c>
      <c r="C18" s="38"/>
      <c r="D18" s="53" t="s">
        <v>31</v>
      </c>
      <c r="E18" s="54"/>
      <c r="F18" s="54"/>
      <c r="G18" s="55"/>
      <c r="H18" s="92"/>
      <c r="I18" s="100"/>
      <c r="J18" s="92"/>
      <c r="K18" s="92"/>
      <c r="L18" s="92"/>
      <c r="M18" s="101"/>
    </row>
    <row r="19" spans="1:13" s="2" customFormat="1" ht="14.1" customHeight="1" x14ac:dyDescent="0.3">
      <c r="A19" s="90">
        <v>9</v>
      </c>
      <c r="B19" s="46" t="s">
        <v>40</v>
      </c>
      <c r="C19" s="47"/>
      <c r="D19" s="48" t="s">
        <v>42</v>
      </c>
      <c r="E19" s="49"/>
      <c r="F19" s="49"/>
      <c r="G19" s="50"/>
      <c r="H19" s="92"/>
      <c r="I19" s="100"/>
      <c r="J19" s="92"/>
      <c r="K19" s="92"/>
      <c r="L19" s="92"/>
      <c r="M19" s="101"/>
    </row>
    <row r="20" spans="1:13" s="2" customFormat="1" ht="14.1" customHeight="1" x14ac:dyDescent="0.3">
      <c r="A20" s="90"/>
      <c r="B20" s="38" t="s">
        <v>41</v>
      </c>
      <c r="C20" s="38"/>
      <c r="D20" s="53" t="s">
        <v>43</v>
      </c>
      <c r="E20" s="54"/>
      <c r="F20" s="54"/>
      <c r="G20" s="55"/>
      <c r="H20" s="92"/>
      <c r="I20" s="100"/>
      <c r="J20" s="92"/>
      <c r="K20" s="92"/>
      <c r="L20" s="92"/>
      <c r="M20" s="101"/>
    </row>
    <row r="21" spans="1:13" s="2" customFormat="1" ht="14.1" customHeight="1" x14ac:dyDescent="0.3">
      <c r="A21" s="90">
        <v>10</v>
      </c>
      <c r="B21" s="37" t="s">
        <v>125</v>
      </c>
      <c r="C21" s="37"/>
      <c r="D21" s="102"/>
      <c r="E21" s="102"/>
      <c r="F21" s="102"/>
      <c r="G21" s="102"/>
      <c r="H21" s="92">
        <f>SUM(I21)</f>
        <v>3</v>
      </c>
      <c r="I21" s="100">
        <v>3</v>
      </c>
      <c r="J21" s="92">
        <f>SUM(I21)</f>
        <v>3</v>
      </c>
      <c r="K21" s="92">
        <f>SUM(J21)</f>
        <v>3</v>
      </c>
      <c r="L21" s="92"/>
      <c r="M21" s="101"/>
    </row>
    <row r="22" spans="1:13" s="2" customFormat="1" ht="14.1" customHeight="1" x14ac:dyDescent="0.3">
      <c r="A22" s="90"/>
      <c r="B22" s="38" t="s">
        <v>126</v>
      </c>
      <c r="C22" s="38"/>
      <c r="D22" s="53" t="s">
        <v>149</v>
      </c>
      <c r="E22" s="54"/>
      <c r="F22" s="54"/>
      <c r="G22" s="55"/>
      <c r="H22" s="92"/>
      <c r="I22" s="100"/>
      <c r="J22" s="92"/>
      <c r="K22" s="92"/>
      <c r="L22" s="92"/>
      <c r="M22" s="101"/>
    </row>
    <row r="23" spans="1:13" s="2" customFormat="1" ht="14.1" customHeight="1" x14ac:dyDescent="0.3">
      <c r="A23" s="90">
        <v>11</v>
      </c>
      <c r="B23" s="37" t="s">
        <v>5</v>
      </c>
      <c r="C23" s="37"/>
      <c r="D23" s="102" t="s">
        <v>6</v>
      </c>
      <c r="E23" s="102"/>
      <c r="F23" s="102"/>
      <c r="G23" s="102"/>
      <c r="H23" s="92">
        <f>SUM(I23)-2.9</f>
        <v>25.6</v>
      </c>
      <c r="I23" s="100">
        <v>28.5</v>
      </c>
      <c r="J23" s="92">
        <f>SUM(I23)+2.9</f>
        <v>31.4</v>
      </c>
      <c r="K23" s="92">
        <f>SUM(J23)+2.9</f>
        <v>34.299999999999997</v>
      </c>
      <c r="L23" s="92"/>
      <c r="M23" s="101"/>
    </row>
    <row r="24" spans="1:13" s="2" customFormat="1" ht="14.1" customHeight="1" x14ac:dyDescent="0.3">
      <c r="A24" s="90"/>
      <c r="B24" s="38" t="s">
        <v>16</v>
      </c>
      <c r="C24" s="38"/>
      <c r="D24" s="53" t="s">
        <v>32</v>
      </c>
      <c r="E24" s="54"/>
      <c r="F24" s="54"/>
      <c r="G24" s="55"/>
      <c r="H24" s="92"/>
      <c r="I24" s="100"/>
      <c r="J24" s="92"/>
      <c r="K24" s="92"/>
      <c r="L24" s="92"/>
      <c r="M24" s="101"/>
    </row>
    <row r="25" spans="1:13" s="2" customFormat="1" ht="14.1" customHeight="1" x14ac:dyDescent="0.3">
      <c r="A25" s="90">
        <v>12</v>
      </c>
      <c r="B25" s="37" t="s">
        <v>7</v>
      </c>
      <c r="C25" s="37"/>
      <c r="D25" s="48" t="s">
        <v>8</v>
      </c>
      <c r="E25" s="49"/>
      <c r="F25" s="49"/>
      <c r="G25" s="50"/>
      <c r="H25" s="92">
        <f>SUM(I25)-1.2</f>
        <v>24.8</v>
      </c>
      <c r="I25" s="100">
        <v>26</v>
      </c>
      <c r="J25" s="92">
        <f>SUM(I25)+1.2</f>
        <v>27.2</v>
      </c>
      <c r="K25" s="92">
        <f>SUM(J25)+1.2</f>
        <v>28.4</v>
      </c>
      <c r="L25" s="92"/>
      <c r="M25" s="101"/>
    </row>
    <row r="26" spans="1:13" s="2" customFormat="1" ht="14.1" customHeight="1" x14ac:dyDescent="0.3">
      <c r="A26" s="90"/>
      <c r="B26" s="38" t="s">
        <v>17</v>
      </c>
      <c r="C26" s="38"/>
      <c r="D26" s="53" t="s">
        <v>36</v>
      </c>
      <c r="E26" s="54"/>
      <c r="F26" s="54"/>
      <c r="G26" s="55"/>
      <c r="H26" s="92"/>
      <c r="I26" s="100"/>
      <c r="J26" s="92"/>
      <c r="K26" s="92"/>
      <c r="L26" s="92"/>
      <c r="M26" s="101"/>
    </row>
    <row r="27" spans="1:13" s="2" customFormat="1" ht="14.1" customHeight="1" x14ac:dyDescent="0.3">
      <c r="A27" s="90">
        <v>13</v>
      </c>
      <c r="B27" s="46" t="s">
        <v>46</v>
      </c>
      <c r="C27" s="47"/>
      <c r="D27" s="102" t="s">
        <v>37</v>
      </c>
      <c r="E27" s="102"/>
      <c r="F27" s="102"/>
      <c r="G27" s="102"/>
      <c r="H27" s="92">
        <f>SUM(I27)-0.5</f>
        <v>14.5</v>
      </c>
      <c r="I27" s="100">
        <v>15</v>
      </c>
      <c r="J27" s="92">
        <f>SUM(I27)+0.5</f>
        <v>15.5</v>
      </c>
      <c r="K27" s="92">
        <f>SUM(J27)+0.5</f>
        <v>16</v>
      </c>
      <c r="L27" s="92"/>
      <c r="M27" s="101"/>
    </row>
    <row r="28" spans="1:13" s="2" customFormat="1" ht="14.1" customHeight="1" x14ac:dyDescent="0.3">
      <c r="A28" s="90"/>
      <c r="B28" s="38" t="s">
        <v>18</v>
      </c>
      <c r="C28" s="38"/>
      <c r="D28" s="53" t="s">
        <v>38</v>
      </c>
      <c r="E28" s="54"/>
      <c r="F28" s="54"/>
      <c r="G28" s="55"/>
      <c r="H28" s="92"/>
      <c r="I28" s="100"/>
      <c r="J28" s="92"/>
      <c r="K28" s="92"/>
      <c r="L28" s="92"/>
      <c r="M28" s="101"/>
    </row>
    <row r="29" spans="1:13" s="2" customFormat="1" ht="14.1" customHeight="1" x14ac:dyDescent="0.3">
      <c r="A29" s="90">
        <v>14</v>
      </c>
      <c r="B29" s="46" t="s">
        <v>127</v>
      </c>
      <c r="C29" s="47"/>
      <c r="D29" s="102"/>
      <c r="E29" s="102"/>
      <c r="F29" s="102"/>
      <c r="G29" s="102"/>
      <c r="H29" s="92">
        <f>SUM(I29)</f>
        <v>4</v>
      </c>
      <c r="I29" s="100">
        <v>4</v>
      </c>
      <c r="J29" s="92">
        <f>SUM(I29)</f>
        <v>4</v>
      </c>
      <c r="K29" s="92">
        <f>SUM(J29)</f>
        <v>4</v>
      </c>
      <c r="L29" s="92"/>
      <c r="M29" s="101"/>
    </row>
    <row r="30" spans="1:13" s="2" customFormat="1" ht="14.1" customHeight="1" x14ac:dyDescent="0.3">
      <c r="A30" s="90"/>
      <c r="B30" s="38" t="s">
        <v>128</v>
      </c>
      <c r="C30" s="38"/>
      <c r="D30" s="53" t="s">
        <v>149</v>
      </c>
      <c r="E30" s="54"/>
      <c r="F30" s="54"/>
      <c r="G30" s="55"/>
      <c r="H30" s="92"/>
      <c r="I30" s="100"/>
      <c r="J30" s="92"/>
      <c r="K30" s="92"/>
      <c r="L30" s="92"/>
      <c r="M30" s="101"/>
    </row>
    <row r="31" spans="1:13" s="2" customFormat="1" ht="14.1" customHeight="1" x14ac:dyDescent="0.3">
      <c r="A31" s="90">
        <v>15</v>
      </c>
      <c r="B31" s="46" t="s">
        <v>129</v>
      </c>
      <c r="C31" s="47"/>
      <c r="D31" s="97"/>
      <c r="E31" s="98"/>
      <c r="F31" s="98"/>
      <c r="G31" s="99"/>
      <c r="H31" s="92">
        <f>SUM(I31)</f>
        <v>3.5</v>
      </c>
      <c r="I31" s="100">
        <v>3.5</v>
      </c>
      <c r="J31" s="92">
        <f>SUM(I31)</f>
        <v>3.5</v>
      </c>
      <c r="K31" s="92">
        <f>SUM(J31)</f>
        <v>3.5</v>
      </c>
      <c r="L31" s="36"/>
      <c r="M31" s="44"/>
    </row>
    <row r="32" spans="1:13" s="2" customFormat="1" ht="14.1" customHeight="1" x14ac:dyDescent="0.3">
      <c r="A32" s="90"/>
      <c r="B32" s="95" t="s">
        <v>130</v>
      </c>
      <c r="C32" s="96"/>
      <c r="D32" s="53"/>
      <c r="E32" s="54"/>
      <c r="F32" s="54"/>
      <c r="G32" s="55"/>
      <c r="H32" s="92"/>
      <c r="I32" s="100"/>
      <c r="J32" s="92"/>
      <c r="K32" s="92"/>
      <c r="L32" s="28"/>
      <c r="M32" s="30"/>
    </row>
    <row r="33" spans="1:13" s="2" customFormat="1" ht="14.1" customHeight="1" x14ac:dyDescent="0.3">
      <c r="A33" s="90">
        <v>16</v>
      </c>
      <c r="B33" s="46"/>
      <c r="C33" s="47"/>
      <c r="D33" s="97"/>
      <c r="E33" s="98"/>
      <c r="F33" s="98"/>
      <c r="G33" s="99"/>
      <c r="H33" s="92"/>
      <c r="I33" s="100"/>
      <c r="J33" s="92"/>
      <c r="K33" s="92"/>
      <c r="L33" s="36"/>
      <c r="M33" s="44"/>
    </row>
    <row r="34" spans="1:13" s="2" customFormat="1" ht="14.1" customHeight="1" x14ac:dyDescent="0.3">
      <c r="A34" s="90"/>
      <c r="B34" s="95"/>
      <c r="C34" s="96"/>
      <c r="D34" s="53"/>
      <c r="E34" s="54"/>
      <c r="F34" s="54"/>
      <c r="G34" s="55"/>
      <c r="H34" s="92"/>
      <c r="I34" s="100"/>
      <c r="J34" s="92"/>
      <c r="K34" s="92"/>
      <c r="L34" s="28"/>
      <c r="M34" s="30"/>
    </row>
    <row r="35" spans="1:13" ht="14.1" customHeight="1" x14ac:dyDescent="0.3">
      <c r="A35" s="90">
        <v>17</v>
      </c>
      <c r="B35" s="93"/>
      <c r="C35" s="94"/>
      <c r="D35" s="97"/>
      <c r="E35" s="98"/>
      <c r="F35" s="98"/>
      <c r="G35" s="99"/>
      <c r="H35" s="92"/>
      <c r="I35" s="100"/>
      <c r="J35" s="92"/>
      <c r="K35" s="92"/>
      <c r="L35" s="36"/>
      <c r="M35" s="44"/>
    </row>
    <row r="36" spans="1:13" ht="14.1" customHeight="1" x14ac:dyDescent="0.3">
      <c r="A36" s="90"/>
      <c r="B36" s="93"/>
      <c r="C36" s="94"/>
      <c r="D36" s="53"/>
      <c r="E36" s="54"/>
      <c r="F36" s="54"/>
      <c r="G36" s="55"/>
      <c r="H36" s="92"/>
      <c r="I36" s="100"/>
      <c r="J36" s="92"/>
      <c r="K36" s="92"/>
      <c r="L36" s="28"/>
      <c r="M36" s="30"/>
    </row>
    <row r="37" spans="1:13" ht="14.1" customHeight="1" x14ac:dyDescent="0.3">
      <c r="A37" s="90">
        <v>18</v>
      </c>
      <c r="B37" s="46"/>
      <c r="C37" s="47"/>
      <c r="D37" s="48"/>
      <c r="E37" s="49"/>
      <c r="F37" s="49"/>
      <c r="G37" s="50"/>
      <c r="H37" s="36"/>
      <c r="I37" s="52"/>
      <c r="J37" s="36"/>
      <c r="K37" s="36"/>
      <c r="L37" s="36"/>
      <c r="M37" s="44"/>
    </row>
    <row r="38" spans="1:13" ht="14.1" customHeight="1" thickBot="1" x14ac:dyDescent="0.35">
      <c r="A38" s="91"/>
      <c r="B38" s="85"/>
      <c r="C38" s="86"/>
      <c r="D38" s="87"/>
      <c r="E38" s="88"/>
      <c r="F38" s="88"/>
      <c r="G38" s="89"/>
      <c r="H38" s="74"/>
      <c r="I38" s="83"/>
      <c r="J38" s="74"/>
      <c r="K38" s="74"/>
      <c r="L38" s="74"/>
      <c r="M38" s="84"/>
    </row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>
      <c r="B42" s="1"/>
      <c r="C42" s="1"/>
      <c r="D42" s="1"/>
      <c r="E42" s="1"/>
      <c r="F42" s="1"/>
      <c r="G42" s="1"/>
    </row>
    <row r="43" spans="1:13" ht="14.1" customHeight="1" x14ac:dyDescent="0.3">
      <c r="B43" s="1"/>
      <c r="C43" s="1"/>
      <c r="D43" s="1"/>
      <c r="E43" s="1"/>
      <c r="F43" s="1"/>
      <c r="G43" s="1"/>
    </row>
    <row r="44" spans="1:13" ht="14.1" customHeight="1" x14ac:dyDescent="0.3">
      <c r="B44" s="1"/>
      <c r="C44" s="1"/>
      <c r="D44" s="1"/>
      <c r="E44" s="1"/>
      <c r="F44" s="1"/>
      <c r="G44" s="1"/>
    </row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8685-2220-444C-A4D2-299DB852C351}">
  <sheetPr>
    <tabColor rgb="FFFF0000"/>
    <pageSetUpPr fitToPage="1"/>
  </sheetPr>
  <dimension ref="A1:M51"/>
  <sheetViews>
    <sheetView topLeftCell="A16" zoomScale="110" zoomScaleNormal="110" workbookViewId="0">
      <selection activeCell="A35" sqref="A35:M3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2" t="s">
        <v>172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3" ht="16.5" customHeight="1" thickBot="1" x14ac:dyDescent="0.35">
      <c r="A2" s="6" t="s">
        <v>33</v>
      </c>
      <c r="B2" s="15" t="s">
        <v>34</v>
      </c>
      <c r="C2" s="15"/>
      <c r="D2" s="15" t="s">
        <v>35</v>
      </c>
      <c r="E2" s="15"/>
      <c r="F2" s="15"/>
      <c r="G2" s="15"/>
      <c r="H2" s="8" t="s">
        <v>134</v>
      </c>
      <c r="I2" s="3" t="s">
        <v>135</v>
      </c>
      <c r="J2" s="4" t="s">
        <v>136</v>
      </c>
      <c r="K2" s="7" t="s">
        <v>142</v>
      </c>
      <c r="L2" s="7"/>
      <c r="M2" s="4"/>
    </row>
    <row r="3" spans="1:13" s="2" customFormat="1" ht="14.1" customHeight="1" x14ac:dyDescent="0.3">
      <c r="A3" s="16">
        <v>1</v>
      </c>
      <c r="B3" s="18" t="s">
        <v>57</v>
      </c>
      <c r="C3" s="19"/>
      <c r="D3" s="20" t="s">
        <v>58</v>
      </c>
      <c r="E3" s="21"/>
      <c r="F3" s="21"/>
      <c r="G3" s="22"/>
      <c r="H3" s="23">
        <f>SUM(I3)-2</f>
        <v>40</v>
      </c>
      <c r="I3" s="25">
        <v>42</v>
      </c>
      <c r="J3" s="27">
        <f>SUM(I3)+2</f>
        <v>44</v>
      </c>
      <c r="K3" s="27">
        <f>SUM(J3)+2</f>
        <v>46</v>
      </c>
      <c r="L3" s="27"/>
      <c r="M3" s="29"/>
    </row>
    <row r="4" spans="1:13" s="2" customFormat="1" ht="14.1" customHeight="1" x14ac:dyDescent="0.3">
      <c r="A4" s="17"/>
      <c r="B4" s="31" t="s">
        <v>59</v>
      </c>
      <c r="C4" s="32"/>
      <c r="D4" s="33" t="s">
        <v>60</v>
      </c>
      <c r="E4" s="34"/>
      <c r="F4" s="34"/>
      <c r="G4" s="35"/>
      <c r="H4" s="24"/>
      <c r="I4" s="26"/>
      <c r="J4" s="28"/>
      <c r="K4" s="28"/>
      <c r="L4" s="28"/>
      <c r="M4" s="30"/>
    </row>
    <row r="5" spans="1:13" s="2" customFormat="1" ht="14.1" customHeight="1" x14ac:dyDescent="0.3">
      <c r="A5" s="45">
        <v>2</v>
      </c>
      <c r="B5" s="93" t="s">
        <v>61</v>
      </c>
      <c r="C5" s="94"/>
      <c r="D5" s="108"/>
      <c r="E5" s="109"/>
      <c r="F5" s="109"/>
      <c r="G5" s="110"/>
      <c r="H5" s="51"/>
      <c r="I5" s="56"/>
      <c r="J5" s="57"/>
      <c r="K5" s="57"/>
      <c r="L5" s="57"/>
      <c r="M5" s="58"/>
    </row>
    <row r="6" spans="1:13" s="2" customFormat="1" ht="14.1" customHeight="1" x14ac:dyDescent="0.3">
      <c r="A6" s="17"/>
      <c r="B6" s="31" t="s">
        <v>62</v>
      </c>
      <c r="C6" s="32"/>
      <c r="D6" s="33"/>
      <c r="E6" s="34"/>
      <c r="F6" s="34"/>
      <c r="G6" s="35"/>
      <c r="H6" s="24"/>
      <c r="I6" s="26"/>
      <c r="J6" s="28"/>
      <c r="K6" s="28"/>
      <c r="L6" s="28"/>
      <c r="M6" s="30"/>
    </row>
    <row r="7" spans="1:13" s="2" customFormat="1" ht="14.1" customHeight="1" x14ac:dyDescent="0.3">
      <c r="A7" s="45">
        <v>3</v>
      </c>
      <c r="B7" s="93" t="s">
        <v>63</v>
      </c>
      <c r="C7" s="94"/>
      <c r="D7" s="108"/>
      <c r="E7" s="109"/>
      <c r="F7" s="109"/>
      <c r="G7" s="110"/>
      <c r="H7" s="51"/>
      <c r="I7" s="56"/>
      <c r="J7" s="57"/>
      <c r="K7" s="57"/>
      <c r="L7" s="57"/>
      <c r="M7" s="58"/>
    </row>
    <row r="8" spans="1:13" s="2" customFormat="1" ht="14.1" customHeight="1" x14ac:dyDescent="0.3">
      <c r="A8" s="17"/>
      <c r="B8" s="31" t="s">
        <v>64</v>
      </c>
      <c r="C8" s="32"/>
      <c r="D8" s="33"/>
      <c r="E8" s="34"/>
      <c r="F8" s="34"/>
      <c r="G8" s="35"/>
      <c r="H8" s="24"/>
      <c r="I8" s="26"/>
      <c r="J8" s="28"/>
      <c r="K8" s="28"/>
      <c r="L8" s="28"/>
      <c r="M8" s="30"/>
    </row>
    <row r="9" spans="1:13" s="2" customFormat="1" ht="14.1" customHeight="1" x14ac:dyDescent="0.3">
      <c r="A9" s="45">
        <v>4</v>
      </c>
      <c r="B9" s="46" t="s">
        <v>65</v>
      </c>
      <c r="C9" s="47"/>
      <c r="D9" s="111"/>
      <c r="E9" s="112"/>
      <c r="F9" s="112"/>
      <c r="G9" s="113"/>
      <c r="H9" s="51"/>
      <c r="I9" s="56"/>
      <c r="J9" s="57"/>
      <c r="K9" s="57"/>
      <c r="L9" s="57"/>
      <c r="M9" s="58"/>
    </row>
    <row r="10" spans="1:13" s="2" customFormat="1" ht="14.1" customHeight="1" x14ac:dyDescent="0.3">
      <c r="A10" s="17"/>
      <c r="B10" s="31" t="s">
        <v>66</v>
      </c>
      <c r="C10" s="32"/>
      <c r="D10" s="71"/>
      <c r="E10" s="72"/>
      <c r="F10" s="72"/>
      <c r="G10" s="73"/>
      <c r="H10" s="24"/>
      <c r="I10" s="26"/>
      <c r="J10" s="28"/>
      <c r="K10" s="28"/>
      <c r="L10" s="28"/>
      <c r="M10" s="30"/>
    </row>
    <row r="11" spans="1:13" s="2" customFormat="1" ht="14.1" customHeight="1" x14ac:dyDescent="0.3">
      <c r="A11" s="45">
        <v>5</v>
      </c>
      <c r="B11" s="46" t="s">
        <v>67</v>
      </c>
      <c r="C11" s="47"/>
      <c r="D11" s="108"/>
      <c r="E11" s="109"/>
      <c r="F11" s="109"/>
      <c r="G11" s="110"/>
      <c r="H11" s="51">
        <f>SUM(I11)-2.8</f>
        <v>63.100000000000009</v>
      </c>
      <c r="I11" s="56">
        <v>65.900000000000006</v>
      </c>
      <c r="J11" s="57">
        <f>SUM(I11)+2.8</f>
        <v>68.7</v>
      </c>
      <c r="K11" s="57">
        <f>SUM(J11)+2.8</f>
        <v>71.5</v>
      </c>
      <c r="L11" s="57"/>
      <c r="M11" s="58"/>
    </row>
    <row r="12" spans="1:13" s="2" customFormat="1" ht="14.1" customHeight="1" x14ac:dyDescent="0.3">
      <c r="A12" s="17"/>
      <c r="B12" s="31" t="s">
        <v>68</v>
      </c>
      <c r="C12" s="32"/>
      <c r="D12" s="33"/>
      <c r="E12" s="34"/>
      <c r="F12" s="34"/>
      <c r="G12" s="35"/>
      <c r="H12" s="24"/>
      <c r="I12" s="26"/>
      <c r="J12" s="28"/>
      <c r="K12" s="28"/>
      <c r="L12" s="28"/>
      <c r="M12" s="30"/>
    </row>
    <row r="13" spans="1:13" s="2" customFormat="1" ht="14.1" customHeight="1" x14ac:dyDescent="0.3">
      <c r="A13" s="45">
        <v>6</v>
      </c>
      <c r="B13" s="46" t="s">
        <v>69</v>
      </c>
      <c r="C13" s="47"/>
      <c r="D13" s="48" t="s">
        <v>70</v>
      </c>
      <c r="E13" s="49"/>
      <c r="F13" s="49"/>
      <c r="G13" s="50"/>
      <c r="H13" s="51">
        <f>SUM(I13)-3</f>
        <v>67.099999999999994</v>
      </c>
      <c r="I13" s="52">
        <v>70.099999999999994</v>
      </c>
      <c r="J13" s="36">
        <f>SUM(I13)+3</f>
        <v>73.099999999999994</v>
      </c>
      <c r="K13" s="36">
        <f>SUM(J13)+3</f>
        <v>76.099999999999994</v>
      </c>
      <c r="L13" s="36"/>
      <c r="M13" s="44"/>
    </row>
    <row r="14" spans="1:13" s="2" customFormat="1" ht="14.1" customHeight="1" x14ac:dyDescent="0.3">
      <c r="A14" s="17"/>
      <c r="B14" s="31" t="s">
        <v>71</v>
      </c>
      <c r="C14" s="32"/>
      <c r="D14" s="33" t="s">
        <v>72</v>
      </c>
      <c r="E14" s="34"/>
      <c r="F14" s="34"/>
      <c r="G14" s="35"/>
      <c r="H14" s="24"/>
      <c r="I14" s="26"/>
      <c r="J14" s="28"/>
      <c r="K14" s="28"/>
      <c r="L14" s="28"/>
      <c r="M14" s="30"/>
    </row>
    <row r="15" spans="1:13" s="2" customFormat="1" ht="14.1" customHeight="1" x14ac:dyDescent="0.3">
      <c r="A15" s="45">
        <v>7</v>
      </c>
      <c r="B15" s="46" t="s">
        <v>73</v>
      </c>
      <c r="C15" s="47"/>
      <c r="D15" s="48"/>
      <c r="E15" s="49"/>
      <c r="F15" s="49"/>
      <c r="G15" s="50"/>
      <c r="H15" s="51">
        <f>SUM(I15)-0.5</f>
        <v>12.5</v>
      </c>
      <c r="I15" s="52">
        <v>13</v>
      </c>
      <c r="J15" s="36">
        <f>SUM(I15)+0.5</f>
        <v>13.5</v>
      </c>
      <c r="K15" s="36">
        <f>SUM(J15)+0.5</f>
        <v>14</v>
      </c>
      <c r="L15" s="37"/>
      <c r="M15" s="39"/>
    </row>
    <row r="16" spans="1:13" s="2" customFormat="1" ht="14.1" customHeight="1" x14ac:dyDescent="0.3">
      <c r="A16" s="17"/>
      <c r="B16" s="31" t="s">
        <v>74</v>
      </c>
      <c r="C16" s="32"/>
      <c r="D16" s="41" t="s">
        <v>75</v>
      </c>
      <c r="E16" s="42"/>
      <c r="F16" s="42"/>
      <c r="G16" s="43"/>
      <c r="H16" s="24"/>
      <c r="I16" s="26"/>
      <c r="J16" s="28"/>
      <c r="K16" s="28"/>
      <c r="L16" s="38"/>
      <c r="M16" s="40"/>
    </row>
    <row r="17" spans="1:13" s="2" customFormat="1" ht="14.1" customHeight="1" x14ac:dyDescent="0.3">
      <c r="A17" s="45">
        <v>8</v>
      </c>
      <c r="B17" s="46" t="s">
        <v>76</v>
      </c>
      <c r="C17" s="47"/>
      <c r="D17" s="48"/>
      <c r="E17" s="49"/>
      <c r="F17" s="49"/>
      <c r="G17" s="50"/>
      <c r="H17" s="67"/>
      <c r="I17" s="52"/>
      <c r="J17" s="36"/>
      <c r="K17" s="36"/>
      <c r="L17" s="37"/>
      <c r="M17" s="39"/>
    </row>
    <row r="18" spans="1:13" s="2" customFormat="1" ht="14.1" customHeight="1" x14ac:dyDescent="0.3">
      <c r="A18" s="17"/>
      <c r="B18" s="31" t="s">
        <v>77</v>
      </c>
      <c r="C18" s="32"/>
      <c r="D18" s="41" t="s">
        <v>78</v>
      </c>
      <c r="E18" s="42"/>
      <c r="F18" s="42"/>
      <c r="G18" s="43"/>
      <c r="H18" s="24"/>
      <c r="I18" s="26"/>
      <c r="J18" s="28"/>
      <c r="K18" s="28"/>
      <c r="L18" s="38"/>
      <c r="M18" s="40"/>
    </row>
    <row r="19" spans="1:13" s="2" customFormat="1" ht="14.1" customHeight="1" x14ac:dyDescent="0.3">
      <c r="A19" s="45">
        <v>9</v>
      </c>
      <c r="B19" s="46" t="s">
        <v>79</v>
      </c>
      <c r="C19" s="47"/>
      <c r="D19" s="48" t="s">
        <v>45</v>
      </c>
      <c r="E19" s="49"/>
      <c r="F19" s="49"/>
      <c r="G19" s="50"/>
      <c r="H19" s="51">
        <f>SUM(I19)-3.5</f>
        <v>40.700000000000003</v>
      </c>
      <c r="I19" s="52">
        <v>44.2</v>
      </c>
      <c r="J19" s="36">
        <f>SUM(I19)+5</f>
        <v>49.2</v>
      </c>
      <c r="K19" s="36">
        <f>SUM(J19)+5</f>
        <v>54.2</v>
      </c>
      <c r="L19" s="36"/>
      <c r="M19" s="44"/>
    </row>
    <row r="20" spans="1:13" s="2" customFormat="1" ht="14.1" customHeight="1" x14ac:dyDescent="0.3">
      <c r="A20" s="17"/>
      <c r="B20" s="31" t="s">
        <v>80</v>
      </c>
      <c r="C20" s="32"/>
      <c r="D20" s="33" t="s">
        <v>81</v>
      </c>
      <c r="E20" s="34"/>
      <c r="F20" s="34"/>
      <c r="G20" s="35"/>
      <c r="H20" s="24"/>
      <c r="I20" s="26"/>
      <c r="J20" s="28"/>
      <c r="K20" s="28"/>
      <c r="L20" s="28"/>
      <c r="M20" s="30"/>
    </row>
    <row r="21" spans="1:13" s="2" customFormat="1" ht="14.1" customHeight="1" x14ac:dyDescent="0.3">
      <c r="A21" s="45">
        <v>10</v>
      </c>
      <c r="B21" s="46" t="s">
        <v>82</v>
      </c>
      <c r="C21" s="47"/>
      <c r="D21" s="48" t="s">
        <v>83</v>
      </c>
      <c r="E21" s="49"/>
      <c r="F21" s="49"/>
      <c r="G21" s="50"/>
      <c r="H21" s="51">
        <f>SUM(I21)-0.8</f>
        <v>19.2</v>
      </c>
      <c r="I21" s="52">
        <v>20</v>
      </c>
      <c r="J21" s="36">
        <f>SUM(I21)+0.8</f>
        <v>20.8</v>
      </c>
      <c r="K21" s="36">
        <f>SUM(J21)+0.8</f>
        <v>21.6</v>
      </c>
      <c r="L21" s="36"/>
      <c r="M21" s="44"/>
    </row>
    <row r="22" spans="1:13" s="2" customFormat="1" ht="14.1" customHeight="1" x14ac:dyDescent="0.3">
      <c r="A22" s="17"/>
      <c r="B22" s="31" t="s">
        <v>84</v>
      </c>
      <c r="C22" s="32"/>
      <c r="D22" s="53" t="s">
        <v>85</v>
      </c>
      <c r="E22" s="54"/>
      <c r="F22" s="54"/>
      <c r="G22" s="55"/>
      <c r="H22" s="24"/>
      <c r="I22" s="26"/>
      <c r="J22" s="28"/>
      <c r="K22" s="28"/>
      <c r="L22" s="28"/>
      <c r="M22" s="30"/>
    </row>
    <row r="23" spans="1:13" s="2" customFormat="1" ht="14.1" customHeight="1" x14ac:dyDescent="0.3">
      <c r="A23" s="45">
        <v>11</v>
      </c>
      <c r="B23" s="46" t="s">
        <v>86</v>
      </c>
      <c r="C23" s="47"/>
      <c r="D23" s="48" t="s">
        <v>87</v>
      </c>
      <c r="E23" s="49"/>
      <c r="F23" s="49"/>
      <c r="G23" s="50"/>
      <c r="H23" s="51">
        <f>SUM(I23)-0.8</f>
        <v>19.5</v>
      </c>
      <c r="I23" s="52">
        <v>20.3</v>
      </c>
      <c r="J23" s="36">
        <f>SUM(I23)+0.8</f>
        <v>21.1</v>
      </c>
      <c r="K23" s="36">
        <f>SUM(J23)+0.8</f>
        <v>21.900000000000002</v>
      </c>
      <c r="L23" s="36"/>
      <c r="M23" s="39"/>
    </row>
    <row r="24" spans="1:13" s="2" customFormat="1" ht="14.1" customHeight="1" x14ac:dyDescent="0.3">
      <c r="A24" s="17"/>
      <c r="B24" s="31" t="s">
        <v>88</v>
      </c>
      <c r="C24" s="32"/>
      <c r="D24" s="33" t="s">
        <v>184</v>
      </c>
      <c r="E24" s="34"/>
      <c r="F24" s="34"/>
      <c r="G24" s="35"/>
      <c r="H24" s="24"/>
      <c r="I24" s="26"/>
      <c r="J24" s="28"/>
      <c r="K24" s="28"/>
      <c r="L24" s="28"/>
      <c r="M24" s="40"/>
    </row>
    <row r="25" spans="1:13" s="2" customFormat="1" ht="14.1" customHeight="1" x14ac:dyDescent="0.3">
      <c r="A25" s="45">
        <v>12</v>
      </c>
      <c r="B25" s="46" t="s">
        <v>90</v>
      </c>
      <c r="C25" s="47"/>
      <c r="D25" s="48" t="s">
        <v>87</v>
      </c>
      <c r="E25" s="49"/>
      <c r="F25" s="49"/>
      <c r="G25" s="50"/>
      <c r="H25" s="51">
        <f>SUM(I25)-1</f>
        <v>25.7</v>
      </c>
      <c r="I25" s="52">
        <v>26.7</v>
      </c>
      <c r="J25" s="36">
        <f>SUM(I25)+1</f>
        <v>27.7</v>
      </c>
      <c r="K25" s="36">
        <f>SUM(J25)+1</f>
        <v>28.7</v>
      </c>
      <c r="L25" s="36"/>
      <c r="M25" s="39"/>
    </row>
    <row r="26" spans="1:13" s="2" customFormat="1" ht="14.1" customHeight="1" x14ac:dyDescent="0.3">
      <c r="A26" s="17"/>
      <c r="B26" s="31" t="s">
        <v>91</v>
      </c>
      <c r="C26" s="32"/>
      <c r="D26" s="33" t="s">
        <v>184</v>
      </c>
      <c r="E26" s="34"/>
      <c r="F26" s="34"/>
      <c r="G26" s="35"/>
      <c r="H26" s="24"/>
      <c r="I26" s="26"/>
      <c r="J26" s="28"/>
      <c r="K26" s="28"/>
      <c r="L26" s="28"/>
      <c r="M26" s="40"/>
    </row>
    <row r="27" spans="1:13" s="2" customFormat="1" ht="14.1" customHeight="1" x14ac:dyDescent="0.3">
      <c r="A27" s="45">
        <v>13</v>
      </c>
      <c r="B27" s="46" t="s">
        <v>92</v>
      </c>
      <c r="C27" s="47"/>
      <c r="D27" s="48" t="s">
        <v>93</v>
      </c>
      <c r="E27" s="49"/>
      <c r="F27" s="49"/>
      <c r="G27" s="50"/>
      <c r="H27" s="51">
        <f>SUM(I27)-2.1</f>
        <v>39.9</v>
      </c>
      <c r="I27" s="52">
        <v>42</v>
      </c>
      <c r="J27" s="36">
        <f>SUM(I27)+2.3</f>
        <v>44.3</v>
      </c>
      <c r="K27" s="36">
        <f>SUM(J27)+2.3</f>
        <v>46.599999999999994</v>
      </c>
      <c r="L27" s="36"/>
      <c r="M27" s="44"/>
    </row>
    <row r="28" spans="1:13" s="2" customFormat="1" ht="14.1" customHeight="1" x14ac:dyDescent="0.3">
      <c r="A28" s="17"/>
      <c r="B28" s="31" t="s">
        <v>94</v>
      </c>
      <c r="C28" s="32"/>
      <c r="D28" s="33" t="s">
        <v>95</v>
      </c>
      <c r="E28" s="34"/>
      <c r="F28" s="34"/>
      <c r="G28" s="35"/>
      <c r="H28" s="24"/>
      <c r="I28" s="26"/>
      <c r="J28" s="28"/>
      <c r="K28" s="28"/>
      <c r="L28" s="28"/>
      <c r="M28" s="30"/>
    </row>
    <row r="29" spans="1:13" s="2" customFormat="1" ht="14.1" customHeight="1" x14ac:dyDescent="0.3">
      <c r="A29" s="45">
        <v>14</v>
      </c>
      <c r="B29" s="46" t="s">
        <v>96</v>
      </c>
      <c r="C29" s="47"/>
      <c r="D29" s="48" t="s">
        <v>97</v>
      </c>
      <c r="E29" s="49"/>
      <c r="F29" s="49"/>
      <c r="G29" s="50"/>
      <c r="H29" s="51">
        <f>SUM(I29)-2.7</f>
        <v>21.7</v>
      </c>
      <c r="I29" s="52">
        <v>24.4</v>
      </c>
      <c r="J29" s="36">
        <f>SUM(I29)+4.2</f>
        <v>28.599999999999998</v>
      </c>
      <c r="K29" s="36">
        <f>SUM(J29)+4.2</f>
        <v>32.799999999999997</v>
      </c>
      <c r="L29" s="36"/>
      <c r="M29" s="44"/>
    </row>
    <row r="30" spans="1:13" s="2" customFormat="1" ht="14.1" customHeight="1" x14ac:dyDescent="0.3">
      <c r="A30" s="17"/>
      <c r="B30" s="31" t="s">
        <v>98</v>
      </c>
      <c r="C30" s="32"/>
      <c r="D30" s="33" t="s">
        <v>99</v>
      </c>
      <c r="E30" s="34"/>
      <c r="F30" s="34"/>
      <c r="G30" s="35"/>
      <c r="H30" s="24"/>
      <c r="I30" s="26"/>
      <c r="J30" s="28"/>
      <c r="K30" s="28"/>
      <c r="L30" s="28"/>
      <c r="M30" s="30"/>
    </row>
    <row r="31" spans="1:13" s="2" customFormat="1" ht="14.1" customHeight="1" x14ac:dyDescent="0.3">
      <c r="A31" s="45">
        <v>15</v>
      </c>
      <c r="B31" s="46" t="s">
        <v>100</v>
      </c>
      <c r="C31" s="47"/>
      <c r="D31" s="48" t="s">
        <v>44</v>
      </c>
      <c r="E31" s="49"/>
      <c r="F31" s="49"/>
      <c r="G31" s="50"/>
      <c r="H31" s="51">
        <f>SUM(I31)-1.5</f>
        <v>34.799999999999997</v>
      </c>
      <c r="I31" s="52">
        <v>36.299999999999997</v>
      </c>
      <c r="J31" s="36">
        <f>SUM(I31)+1.5</f>
        <v>37.799999999999997</v>
      </c>
      <c r="K31" s="36">
        <f>SUM(J31)+1.5</f>
        <v>39.299999999999997</v>
      </c>
      <c r="L31" s="36"/>
      <c r="M31" s="44"/>
    </row>
    <row r="32" spans="1:13" s="2" customFormat="1" ht="14.1" customHeight="1" x14ac:dyDescent="0.3">
      <c r="A32" s="17"/>
      <c r="B32" s="31" t="s">
        <v>101</v>
      </c>
      <c r="C32" s="32"/>
      <c r="D32" s="33" t="s">
        <v>44</v>
      </c>
      <c r="E32" s="34"/>
      <c r="F32" s="34"/>
      <c r="G32" s="35"/>
      <c r="H32" s="24"/>
      <c r="I32" s="26"/>
      <c r="J32" s="28"/>
      <c r="K32" s="28"/>
      <c r="L32" s="28"/>
      <c r="M32" s="30"/>
    </row>
    <row r="33" spans="1:13" s="2" customFormat="1" ht="14.1" customHeight="1" x14ac:dyDescent="0.3">
      <c r="A33" s="45">
        <v>16</v>
      </c>
      <c r="B33" s="46" t="s">
        <v>102</v>
      </c>
      <c r="C33" s="47"/>
      <c r="D33" s="48" t="s">
        <v>103</v>
      </c>
      <c r="E33" s="49"/>
      <c r="F33" s="49"/>
      <c r="G33" s="50"/>
      <c r="H33" s="51">
        <f>SUM(I33)-1.9</f>
        <v>28.200000000000003</v>
      </c>
      <c r="I33" s="52">
        <v>30.1</v>
      </c>
      <c r="J33" s="36">
        <f>SUM(I33)+2.6</f>
        <v>32.700000000000003</v>
      </c>
      <c r="K33" s="36">
        <f>SUM(J33)+2.6</f>
        <v>35.300000000000004</v>
      </c>
      <c r="L33" s="36"/>
      <c r="M33" s="44"/>
    </row>
    <row r="34" spans="1:13" s="2" customFormat="1" ht="14.1" customHeight="1" x14ac:dyDescent="0.3">
      <c r="A34" s="17"/>
      <c r="B34" s="31" t="s">
        <v>104</v>
      </c>
      <c r="C34" s="32"/>
      <c r="D34" s="33" t="s">
        <v>183</v>
      </c>
      <c r="E34" s="34"/>
      <c r="F34" s="34"/>
      <c r="G34" s="35"/>
      <c r="H34" s="24"/>
      <c r="I34" s="26"/>
      <c r="J34" s="28"/>
      <c r="K34" s="28"/>
      <c r="L34" s="28"/>
      <c r="M34" s="30"/>
    </row>
    <row r="35" spans="1:13" s="2" customFormat="1" ht="14.1" customHeight="1" x14ac:dyDescent="0.3">
      <c r="A35" s="45">
        <v>17</v>
      </c>
      <c r="B35" s="46" t="s">
        <v>53</v>
      </c>
      <c r="C35" s="47"/>
      <c r="D35" s="97"/>
      <c r="E35" s="98"/>
      <c r="F35" s="98"/>
      <c r="G35" s="99"/>
      <c r="H35" s="67">
        <f>SUM(I35)-0.9</f>
        <v>6.5</v>
      </c>
      <c r="I35" s="52">
        <v>7.4</v>
      </c>
      <c r="J35" s="36">
        <f>SUM(I35)+1.4</f>
        <v>8.8000000000000007</v>
      </c>
      <c r="K35" s="36">
        <f>SUM(J35)+1.4</f>
        <v>10.200000000000001</v>
      </c>
      <c r="L35" s="36"/>
      <c r="M35" s="69"/>
    </row>
    <row r="36" spans="1:13" s="2" customFormat="1" ht="14.1" customHeight="1" x14ac:dyDescent="0.3">
      <c r="A36" s="17"/>
      <c r="B36" s="95" t="s">
        <v>54</v>
      </c>
      <c r="C36" s="96"/>
      <c r="D36" s="41" t="s">
        <v>175</v>
      </c>
      <c r="E36" s="54"/>
      <c r="F36" s="54"/>
      <c r="G36" s="55"/>
      <c r="H36" s="24"/>
      <c r="I36" s="26"/>
      <c r="J36" s="28"/>
      <c r="K36" s="28"/>
      <c r="L36" s="28"/>
      <c r="M36" s="70"/>
    </row>
    <row r="37" spans="1:13" ht="14.1" customHeight="1" x14ac:dyDescent="0.3">
      <c r="A37" s="45">
        <v>18</v>
      </c>
      <c r="B37" s="46" t="s">
        <v>55</v>
      </c>
      <c r="C37" s="47"/>
      <c r="D37" s="97"/>
      <c r="E37" s="98"/>
      <c r="F37" s="98"/>
      <c r="G37" s="99"/>
      <c r="H37" s="67">
        <f>SUM(I37)</f>
        <v>1.3</v>
      </c>
      <c r="I37" s="52">
        <v>1.3</v>
      </c>
      <c r="J37" s="36">
        <f>SUM(I37)</f>
        <v>1.3</v>
      </c>
      <c r="K37" s="36">
        <f>SUM(J37)</f>
        <v>1.3</v>
      </c>
      <c r="L37" s="36"/>
      <c r="M37" s="69"/>
    </row>
    <row r="38" spans="1:13" ht="14.1" customHeight="1" x14ac:dyDescent="0.3">
      <c r="A38" s="17"/>
      <c r="B38" s="95" t="s">
        <v>56</v>
      </c>
      <c r="C38" s="96"/>
      <c r="D38" s="41" t="s">
        <v>176</v>
      </c>
      <c r="E38" s="54"/>
      <c r="F38" s="54"/>
      <c r="G38" s="55"/>
      <c r="H38" s="24"/>
      <c r="I38" s="26"/>
      <c r="J38" s="28"/>
      <c r="K38" s="28"/>
      <c r="L38" s="28"/>
      <c r="M38" s="70"/>
    </row>
    <row r="39" spans="1:13" ht="14.1" customHeight="1" x14ac:dyDescent="0.3">
      <c r="A39" s="45">
        <v>19</v>
      </c>
      <c r="B39" s="93" t="s">
        <v>119</v>
      </c>
      <c r="C39" s="94"/>
      <c r="D39" s="108"/>
      <c r="E39" s="109"/>
      <c r="F39" s="109"/>
      <c r="G39" s="110"/>
      <c r="H39" s="51">
        <f>SUM(I39)-0.4</f>
        <v>10.4</v>
      </c>
      <c r="I39" s="56">
        <v>10.8</v>
      </c>
      <c r="J39" s="57">
        <f>SUM(I39)+0.4</f>
        <v>11.200000000000001</v>
      </c>
      <c r="K39" s="57">
        <f>SUM(J39)+0.4</f>
        <v>11.600000000000001</v>
      </c>
      <c r="L39" s="57"/>
      <c r="M39" s="114">
        <f>SUM(L39)+1.1</f>
        <v>1.1000000000000001</v>
      </c>
    </row>
    <row r="40" spans="1:13" ht="14.1" customHeight="1" x14ac:dyDescent="0.3">
      <c r="A40" s="17"/>
      <c r="B40" s="31" t="s">
        <v>120</v>
      </c>
      <c r="C40" s="32"/>
      <c r="D40" s="33" t="s">
        <v>174</v>
      </c>
      <c r="E40" s="34"/>
      <c r="F40" s="34"/>
      <c r="G40" s="35"/>
      <c r="H40" s="24"/>
      <c r="I40" s="26"/>
      <c r="J40" s="28"/>
      <c r="K40" s="28"/>
      <c r="L40" s="28"/>
      <c r="M40" s="70"/>
    </row>
    <row r="41" spans="1:13" s="2" customFormat="1" ht="14.1" customHeight="1" x14ac:dyDescent="0.3">
      <c r="A41" s="45">
        <v>20</v>
      </c>
      <c r="B41" s="46" t="s">
        <v>121</v>
      </c>
      <c r="C41" s="47"/>
      <c r="D41" s="48"/>
      <c r="E41" s="49"/>
      <c r="F41" s="49"/>
      <c r="G41" s="50"/>
      <c r="H41" s="67">
        <f>SUM(I41)-0.5</f>
        <v>13.3</v>
      </c>
      <c r="I41" s="52">
        <v>13.8</v>
      </c>
      <c r="J41" s="36">
        <f>SUM(I41)+0.5</f>
        <v>14.3</v>
      </c>
      <c r="K41" s="36">
        <f>SUM(J41)+0.5</f>
        <v>14.8</v>
      </c>
      <c r="L41" s="36"/>
      <c r="M41" s="69">
        <f>SUM(L41)+0.4</f>
        <v>0.4</v>
      </c>
    </row>
    <row r="42" spans="1:13" s="2" customFormat="1" ht="14.1" customHeight="1" thickBot="1" x14ac:dyDescent="0.35">
      <c r="A42" s="81"/>
      <c r="B42" s="76" t="s">
        <v>122</v>
      </c>
      <c r="C42" s="77"/>
      <c r="D42" s="78" t="s">
        <v>173</v>
      </c>
      <c r="E42" s="79"/>
      <c r="F42" s="79"/>
      <c r="G42" s="80"/>
      <c r="H42" s="82"/>
      <c r="I42" s="83"/>
      <c r="J42" s="74"/>
      <c r="K42" s="74"/>
      <c r="L42" s="74"/>
      <c r="M42" s="75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23"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L41:L42"/>
    <mergeCell ref="M41:M42"/>
    <mergeCell ref="B42:C42"/>
    <mergeCell ref="D42:G42"/>
    <mergeCell ref="J41:J42"/>
    <mergeCell ref="J39:J40"/>
    <mergeCell ref="K39:K40"/>
    <mergeCell ref="L39:L40"/>
    <mergeCell ref="M39:M40"/>
    <mergeCell ref="A41:A42"/>
    <mergeCell ref="B41:C41"/>
    <mergeCell ref="D41:G41"/>
    <mergeCell ref="H41:H42"/>
    <mergeCell ref="I41:I42"/>
    <mergeCell ref="B40:C40"/>
    <mergeCell ref="D40:G40"/>
    <mergeCell ref="J35:J36"/>
    <mergeCell ref="K35:K36"/>
    <mergeCell ref="B36:C36"/>
    <mergeCell ref="D36:G36"/>
    <mergeCell ref="K41:K42"/>
    <mergeCell ref="K37:K38"/>
    <mergeCell ref="K33:K34"/>
    <mergeCell ref="L33:L34"/>
    <mergeCell ref="M33:M34"/>
    <mergeCell ref="B34:C34"/>
    <mergeCell ref="D34:G34"/>
    <mergeCell ref="A39:A40"/>
    <mergeCell ref="B39:C39"/>
    <mergeCell ref="D39:G39"/>
    <mergeCell ref="H39:H40"/>
    <mergeCell ref="I39:I40"/>
    <mergeCell ref="A33:A34"/>
    <mergeCell ref="B33:C33"/>
    <mergeCell ref="D33:G33"/>
    <mergeCell ref="H33:H34"/>
    <mergeCell ref="I33:I34"/>
    <mergeCell ref="J33:J34"/>
    <mergeCell ref="A35:A36"/>
    <mergeCell ref="B35:C35"/>
    <mergeCell ref="D35:G35"/>
    <mergeCell ref="H35:H36"/>
    <mergeCell ref="I35:I36"/>
    <mergeCell ref="L35:L36"/>
    <mergeCell ref="M35:M36"/>
    <mergeCell ref="L37:L38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FA2E-DBB6-4F43-AF42-9FB6E57634B0}">
  <sheetPr>
    <tabColor rgb="FFFF0000"/>
    <pageSetUpPr fitToPage="1"/>
  </sheetPr>
  <dimension ref="A1:P51"/>
  <sheetViews>
    <sheetView topLeftCell="A7" zoomScale="110" zoomScaleNormal="110" workbookViewId="0">
      <selection activeCell="P13" sqref="P13:P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6" ht="16.5" customHeight="1" thickBot="1" x14ac:dyDescent="0.35">
      <c r="A1" s="12" t="s">
        <v>177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6" ht="16.5" customHeight="1" thickBot="1" x14ac:dyDescent="0.35">
      <c r="A2" s="6" t="s">
        <v>33</v>
      </c>
      <c r="B2" s="15" t="s">
        <v>34</v>
      </c>
      <c r="C2" s="15"/>
      <c r="D2" s="15" t="s">
        <v>35</v>
      </c>
      <c r="E2" s="15"/>
      <c r="F2" s="15"/>
      <c r="G2" s="15"/>
      <c r="H2" s="8" t="s">
        <v>134</v>
      </c>
      <c r="I2" s="3" t="s">
        <v>135</v>
      </c>
      <c r="J2" s="4" t="s">
        <v>136</v>
      </c>
      <c r="K2" s="7" t="s">
        <v>142</v>
      </c>
      <c r="L2" s="7"/>
      <c r="M2" s="4"/>
    </row>
    <row r="3" spans="1:16" s="2" customFormat="1" ht="14.1" customHeight="1" x14ac:dyDescent="0.3">
      <c r="A3" s="16">
        <v>1</v>
      </c>
      <c r="B3" s="18" t="s">
        <v>57</v>
      </c>
      <c r="C3" s="19"/>
      <c r="D3" s="20" t="s">
        <v>58</v>
      </c>
      <c r="E3" s="21"/>
      <c r="F3" s="21"/>
      <c r="G3" s="22"/>
      <c r="H3" s="23">
        <f>SUM(I3)-2</f>
        <v>40</v>
      </c>
      <c r="I3" s="25">
        <v>42</v>
      </c>
      <c r="J3" s="27">
        <f>SUM(I3)+2</f>
        <v>44</v>
      </c>
      <c r="K3" s="27">
        <f>SUM(J3)+2</f>
        <v>46</v>
      </c>
      <c r="L3" s="27"/>
      <c r="M3" s="29"/>
    </row>
    <row r="4" spans="1:16" s="2" customFormat="1" ht="14.1" customHeight="1" x14ac:dyDescent="0.3">
      <c r="A4" s="17"/>
      <c r="B4" s="31" t="s">
        <v>59</v>
      </c>
      <c r="C4" s="32"/>
      <c r="D4" s="33" t="s">
        <v>60</v>
      </c>
      <c r="E4" s="34"/>
      <c r="F4" s="34"/>
      <c r="G4" s="35"/>
      <c r="H4" s="24"/>
      <c r="I4" s="26"/>
      <c r="J4" s="28"/>
      <c r="K4" s="28"/>
      <c r="L4" s="28"/>
      <c r="M4" s="30"/>
    </row>
    <row r="5" spans="1:16" s="2" customFormat="1" ht="14.1" customHeight="1" x14ac:dyDescent="0.3">
      <c r="A5" s="45">
        <v>2</v>
      </c>
      <c r="B5" s="93" t="s">
        <v>61</v>
      </c>
      <c r="C5" s="94"/>
      <c r="D5" s="108"/>
      <c r="E5" s="109"/>
      <c r="F5" s="109"/>
      <c r="G5" s="110"/>
      <c r="H5" s="51"/>
      <c r="I5" s="56"/>
      <c r="J5" s="57"/>
      <c r="K5" s="57"/>
      <c r="L5" s="57"/>
      <c r="M5" s="58"/>
    </row>
    <row r="6" spans="1:16" s="2" customFormat="1" ht="14.1" customHeight="1" x14ac:dyDescent="0.3">
      <c r="A6" s="17"/>
      <c r="B6" s="31" t="s">
        <v>62</v>
      </c>
      <c r="C6" s="32"/>
      <c r="D6" s="33"/>
      <c r="E6" s="34"/>
      <c r="F6" s="34"/>
      <c r="G6" s="35"/>
      <c r="H6" s="24"/>
      <c r="I6" s="26"/>
      <c r="J6" s="28"/>
      <c r="K6" s="28"/>
      <c r="L6" s="28"/>
      <c r="M6" s="30"/>
    </row>
    <row r="7" spans="1:16" s="2" customFormat="1" ht="14.1" customHeight="1" x14ac:dyDescent="0.3">
      <c r="A7" s="45">
        <v>3</v>
      </c>
      <c r="B7" s="93" t="s">
        <v>63</v>
      </c>
      <c r="C7" s="94"/>
      <c r="D7" s="108"/>
      <c r="E7" s="109"/>
      <c r="F7" s="109"/>
      <c r="G7" s="110"/>
      <c r="H7" s="51"/>
      <c r="I7" s="56"/>
      <c r="J7" s="57"/>
      <c r="K7" s="57"/>
      <c r="L7" s="57"/>
      <c r="M7" s="58"/>
    </row>
    <row r="8" spans="1:16" s="2" customFormat="1" ht="14.1" customHeight="1" x14ac:dyDescent="0.3">
      <c r="A8" s="17"/>
      <c r="B8" s="31" t="s">
        <v>64</v>
      </c>
      <c r="C8" s="32"/>
      <c r="D8" s="33"/>
      <c r="E8" s="34"/>
      <c r="F8" s="34"/>
      <c r="G8" s="35"/>
      <c r="H8" s="24"/>
      <c r="I8" s="26"/>
      <c r="J8" s="28"/>
      <c r="K8" s="28"/>
      <c r="L8" s="28"/>
      <c r="M8" s="30"/>
    </row>
    <row r="9" spans="1:16" s="2" customFormat="1" ht="14.1" customHeight="1" x14ac:dyDescent="0.3">
      <c r="A9" s="45">
        <v>4</v>
      </c>
      <c r="B9" s="46" t="s">
        <v>65</v>
      </c>
      <c r="C9" s="47"/>
      <c r="D9" s="111"/>
      <c r="E9" s="112"/>
      <c r="F9" s="112"/>
      <c r="G9" s="113"/>
      <c r="H9" s="51"/>
      <c r="I9" s="56"/>
      <c r="J9" s="57"/>
      <c r="K9" s="57"/>
      <c r="L9" s="57"/>
      <c r="M9" s="58"/>
    </row>
    <row r="10" spans="1:16" s="2" customFormat="1" ht="14.1" customHeight="1" x14ac:dyDescent="0.3">
      <c r="A10" s="17"/>
      <c r="B10" s="31" t="s">
        <v>66</v>
      </c>
      <c r="C10" s="32"/>
      <c r="D10" s="71"/>
      <c r="E10" s="72"/>
      <c r="F10" s="72"/>
      <c r="G10" s="73"/>
      <c r="H10" s="24"/>
      <c r="I10" s="26"/>
      <c r="J10" s="28"/>
      <c r="K10" s="28"/>
      <c r="L10" s="28"/>
      <c r="M10" s="30"/>
    </row>
    <row r="11" spans="1:16" s="2" customFormat="1" ht="14.1" customHeight="1" x14ac:dyDescent="0.3">
      <c r="A11" s="45">
        <v>5</v>
      </c>
      <c r="B11" s="46" t="s">
        <v>67</v>
      </c>
      <c r="C11" s="47"/>
      <c r="D11" s="108"/>
      <c r="E11" s="109"/>
      <c r="F11" s="109"/>
      <c r="G11" s="110"/>
      <c r="H11" s="51">
        <f>SUM(I11)-2.8</f>
        <v>58.800000000000004</v>
      </c>
      <c r="I11" s="56">
        <v>61.6</v>
      </c>
      <c r="J11" s="57">
        <f>SUM(I11)+2.8</f>
        <v>64.400000000000006</v>
      </c>
      <c r="K11" s="57">
        <f>SUM(J11)+2.8</f>
        <v>67.2</v>
      </c>
      <c r="L11" s="57"/>
      <c r="M11" s="58"/>
    </row>
    <row r="12" spans="1:16" s="2" customFormat="1" ht="14.1" customHeight="1" x14ac:dyDescent="0.3">
      <c r="A12" s="17"/>
      <c r="B12" s="31" t="s">
        <v>68</v>
      </c>
      <c r="C12" s="32"/>
      <c r="D12" s="33"/>
      <c r="E12" s="34"/>
      <c r="F12" s="34"/>
      <c r="G12" s="35"/>
      <c r="H12" s="24"/>
      <c r="I12" s="26"/>
      <c r="J12" s="28"/>
      <c r="K12" s="28"/>
      <c r="L12" s="28"/>
      <c r="M12" s="30"/>
    </row>
    <row r="13" spans="1:16" s="2" customFormat="1" ht="14.1" customHeight="1" x14ac:dyDescent="0.3">
      <c r="A13" s="45">
        <v>6</v>
      </c>
      <c r="B13" s="46" t="s">
        <v>69</v>
      </c>
      <c r="C13" s="47"/>
      <c r="D13" s="48" t="s">
        <v>70</v>
      </c>
      <c r="E13" s="49"/>
      <c r="F13" s="49"/>
      <c r="G13" s="50"/>
      <c r="H13" s="51">
        <f>SUM(I13)-3</f>
        <v>61.099999999999994</v>
      </c>
      <c r="I13" s="52">
        <v>64.099999999999994</v>
      </c>
      <c r="J13" s="36">
        <f>SUM(I13)+3</f>
        <v>67.099999999999994</v>
      </c>
      <c r="K13" s="36">
        <f>SUM(J13)+3</f>
        <v>70.099999999999994</v>
      </c>
      <c r="L13" s="36"/>
      <c r="M13" s="44"/>
      <c r="P13" s="9" t="s">
        <v>185</v>
      </c>
    </row>
    <row r="14" spans="1:16" s="2" customFormat="1" ht="14.1" customHeight="1" x14ac:dyDescent="0.3">
      <c r="A14" s="17"/>
      <c r="B14" s="31" t="s">
        <v>71</v>
      </c>
      <c r="C14" s="32"/>
      <c r="D14" s="33" t="s">
        <v>72</v>
      </c>
      <c r="E14" s="34"/>
      <c r="F14" s="34"/>
      <c r="G14" s="35"/>
      <c r="H14" s="24"/>
      <c r="I14" s="26"/>
      <c r="J14" s="28"/>
      <c r="K14" s="28"/>
      <c r="L14" s="28"/>
      <c r="M14" s="30"/>
      <c r="P14" s="11">
        <f>SUM(H21+H21+I21+I21+J21+J21+K21+K21)</f>
        <v>163.19999999999999</v>
      </c>
    </row>
    <row r="15" spans="1:16" s="2" customFormat="1" ht="14.1" customHeight="1" x14ac:dyDescent="0.3">
      <c r="A15" s="45">
        <v>7</v>
      </c>
      <c r="B15" s="46" t="s">
        <v>73</v>
      </c>
      <c r="C15" s="47"/>
      <c r="D15" s="48"/>
      <c r="E15" s="49"/>
      <c r="F15" s="49"/>
      <c r="G15" s="50"/>
      <c r="H15" s="51">
        <f>SUM(I15)-0.5</f>
        <v>11.5</v>
      </c>
      <c r="I15" s="52">
        <v>12</v>
      </c>
      <c r="J15" s="36">
        <f>SUM(I15)+0.5</f>
        <v>12.5</v>
      </c>
      <c r="K15" s="36">
        <f>SUM(J15)+0.5</f>
        <v>13</v>
      </c>
      <c r="L15" s="37"/>
      <c r="M15" s="39"/>
      <c r="P15" s="10">
        <f>SUM(P14/91.44/4*1.08)</f>
        <v>0.48188976377952758</v>
      </c>
    </row>
    <row r="16" spans="1:16" s="2" customFormat="1" ht="14.1" customHeight="1" x14ac:dyDescent="0.3">
      <c r="A16" s="17"/>
      <c r="B16" s="31" t="s">
        <v>74</v>
      </c>
      <c r="C16" s="32"/>
      <c r="D16" s="41" t="s">
        <v>75</v>
      </c>
      <c r="E16" s="42"/>
      <c r="F16" s="42"/>
      <c r="G16" s="43"/>
      <c r="H16" s="24"/>
      <c r="I16" s="26"/>
      <c r="J16" s="28"/>
      <c r="K16" s="28"/>
      <c r="L16" s="38"/>
      <c r="M16" s="40"/>
    </row>
    <row r="17" spans="1:13" s="2" customFormat="1" ht="14.1" customHeight="1" x14ac:dyDescent="0.3">
      <c r="A17" s="45">
        <v>8</v>
      </c>
      <c r="B17" s="46" t="s">
        <v>76</v>
      </c>
      <c r="C17" s="47"/>
      <c r="D17" s="48"/>
      <c r="E17" s="49"/>
      <c r="F17" s="49"/>
      <c r="G17" s="50"/>
      <c r="H17" s="67"/>
      <c r="I17" s="52"/>
      <c r="J17" s="36"/>
      <c r="K17" s="36"/>
      <c r="L17" s="37"/>
      <c r="M17" s="39"/>
    </row>
    <row r="18" spans="1:13" s="2" customFormat="1" ht="14.1" customHeight="1" x14ac:dyDescent="0.3">
      <c r="A18" s="17"/>
      <c r="B18" s="31" t="s">
        <v>77</v>
      </c>
      <c r="C18" s="32"/>
      <c r="D18" s="41" t="s">
        <v>78</v>
      </c>
      <c r="E18" s="42"/>
      <c r="F18" s="42"/>
      <c r="G18" s="43"/>
      <c r="H18" s="24"/>
      <c r="I18" s="26"/>
      <c r="J18" s="28"/>
      <c r="K18" s="28"/>
      <c r="L18" s="38"/>
      <c r="M18" s="40"/>
    </row>
    <row r="19" spans="1:13" s="2" customFormat="1" ht="14.1" customHeight="1" x14ac:dyDescent="0.3">
      <c r="A19" s="45">
        <v>9</v>
      </c>
      <c r="B19" s="46" t="s">
        <v>79</v>
      </c>
      <c r="C19" s="47"/>
      <c r="D19" s="48" t="s">
        <v>178</v>
      </c>
      <c r="E19" s="49"/>
      <c r="F19" s="49"/>
      <c r="G19" s="50"/>
      <c r="H19" s="51">
        <f>SUM(I19)-3.5</f>
        <v>41.5</v>
      </c>
      <c r="I19" s="52">
        <v>45</v>
      </c>
      <c r="J19" s="36">
        <f>SUM(I19)+5</f>
        <v>50</v>
      </c>
      <c r="K19" s="36">
        <f>SUM(J19)+5</f>
        <v>55</v>
      </c>
      <c r="L19" s="36"/>
      <c r="M19" s="44"/>
    </row>
    <row r="20" spans="1:13" s="2" customFormat="1" ht="14.1" customHeight="1" x14ac:dyDescent="0.3">
      <c r="A20" s="17"/>
      <c r="B20" s="31" t="s">
        <v>80</v>
      </c>
      <c r="C20" s="32"/>
      <c r="D20" s="33" t="s">
        <v>81</v>
      </c>
      <c r="E20" s="34"/>
      <c r="F20" s="34"/>
      <c r="G20" s="35"/>
      <c r="H20" s="24"/>
      <c r="I20" s="26"/>
      <c r="J20" s="28"/>
      <c r="K20" s="28"/>
      <c r="L20" s="28"/>
      <c r="M20" s="30"/>
    </row>
    <row r="21" spans="1:13" s="2" customFormat="1" ht="14.1" customHeight="1" x14ac:dyDescent="0.3">
      <c r="A21" s="45">
        <v>10</v>
      </c>
      <c r="B21" s="46" t="s">
        <v>180</v>
      </c>
      <c r="C21" s="47"/>
      <c r="D21" s="48" t="s">
        <v>83</v>
      </c>
      <c r="E21" s="49"/>
      <c r="F21" s="49"/>
      <c r="G21" s="50"/>
      <c r="H21" s="51">
        <f>SUM(I21)-0.8</f>
        <v>19.2</v>
      </c>
      <c r="I21" s="52">
        <v>20</v>
      </c>
      <c r="J21" s="36">
        <f>SUM(I21)+0.8</f>
        <v>20.8</v>
      </c>
      <c r="K21" s="36">
        <f>SUM(J21)+0.8</f>
        <v>21.6</v>
      </c>
      <c r="L21" s="36"/>
      <c r="M21" s="44"/>
    </row>
    <row r="22" spans="1:13" s="2" customFormat="1" ht="14.1" customHeight="1" x14ac:dyDescent="0.3">
      <c r="A22" s="17"/>
      <c r="B22" s="31" t="s">
        <v>181</v>
      </c>
      <c r="C22" s="32"/>
      <c r="D22" s="53" t="s">
        <v>182</v>
      </c>
      <c r="E22" s="54"/>
      <c r="F22" s="54"/>
      <c r="G22" s="55"/>
      <c r="H22" s="24"/>
      <c r="I22" s="26"/>
      <c r="J22" s="28"/>
      <c r="K22" s="28"/>
      <c r="L22" s="28"/>
      <c r="M22" s="30"/>
    </row>
    <row r="23" spans="1:13" s="2" customFormat="1" ht="14.1" customHeight="1" x14ac:dyDescent="0.3">
      <c r="A23" s="45">
        <v>11</v>
      </c>
      <c r="B23" s="46" t="s">
        <v>86</v>
      </c>
      <c r="C23" s="47"/>
      <c r="D23" s="48" t="s">
        <v>87</v>
      </c>
      <c r="E23" s="49"/>
      <c r="F23" s="49"/>
      <c r="G23" s="50"/>
      <c r="H23" s="51">
        <f>SUM(I23)-0.8</f>
        <v>19.5</v>
      </c>
      <c r="I23" s="52">
        <v>20.3</v>
      </c>
      <c r="J23" s="36">
        <f>SUM(I23)+0.8</f>
        <v>21.1</v>
      </c>
      <c r="K23" s="36">
        <f>SUM(J23)+0.8</f>
        <v>21.900000000000002</v>
      </c>
      <c r="L23" s="36"/>
      <c r="M23" s="39"/>
    </row>
    <row r="24" spans="1:13" s="2" customFormat="1" ht="14.1" customHeight="1" x14ac:dyDescent="0.3">
      <c r="A24" s="17"/>
      <c r="B24" s="31" t="s">
        <v>88</v>
      </c>
      <c r="C24" s="32"/>
      <c r="D24" s="33" t="s">
        <v>184</v>
      </c>
      <c r="E24" s="34"/>
      <c r="F24" s="34"/>
      <c r="G24" s="35"/>
      <c r="H24" s="24"/>
      <c r="I24" s="26"/>
      <c r="J24" s="28"/>
      <c r="K24" s="28"/>
      <c r="L24" s="28"/>
      <c r="M24" s="40"/>
    </row>
    <row r="25" spans="1:13" s="2" customFormat="1" ht="14.1" customHeight="1" x14ac:dyDescent="0.3">
      <c r="A25" s="45">
        <v>12</v>
      </c>
      <c r="B25" s="46" t="s">
        <v>90</v>
      </c>
      <c r="C25" s="47"/>
      <c r="D25" s="48" t="s">
        <v>87</v>
      </c>
      <c r="E25" s="49"/>
      <c r="F25" s="49"/>
      <c r="G25" s="50"/>
      <c r="H25" s="51">
        <f>SUM(I25)-1</f>
        <v>25.1</v>
      </c>
      <c r="I25" s="52">
        <v>26.1</v>
      </c>
      <c r="J25" s="36">
        <f>SUM(I25)+1</f>
        <v>27.1</v>
      </c>
      <c r="K25" s="36">
        <f>SUM(J25)+1</f>
        <v>28.1</v>
      </c>
      <c r="L25" s="36"/>
      <c r="M25" s="39"/>
    </row>
    <row r="26" spans="1:13" s="2" customFormat="1" ht="14.1" customHeight="1" x14ac:dyDescent="0.3">
      <c r="A26" s="17"/>
      <c r="B26" s="31" t="s">
        <v>91</v>
      </c>
      <c r="C26" s="32"/>
      <c r="D26" s="33" t="s">
        <v>184</v>
      </c>
      <c r="E26" s="34"/>
      <c r="F26" s="34"/>
      <c r="G26" s="35"/>
      <c r="H26" s="24"/>
      <c r="I26" s="26"/>
      <c r="J26" s="28"/>
      <c r="K26" s="28"/>
      <c r="L26" s="28"/>
      <c r="M26" s="40"/>
    </row>
    <row r="27" spans="1:13" s="2" customFormat="1" ht="14.1" customHeight="1" x14ac:dyDescent="0.3">
      <c r="A27" s="45">
        <v>13</v>
      </c>
      <c r="B27" s="46" t="s">
        <v>92</v>
      </c>
      <c r="C27" s="47"/>
      <c r="D27" s="48" t="s">
        <v>93</v>
      </c>
      <c r="E27" s="49"/>
      <c r="F27" s="49"/>
      <c r="G27" s="50"/>
      <c r="H27" s="51">
        <f>SUM(I27)-1.9</f>
        <v>39.200000000000003</v>
      </c>
      <c r="I27" s="52">
        <v>41.1</v>
      </c>
      <c r="J27" s="36">
        <f>SUM(I27)+2</f>
        <v>43.1</v>
      </c>
      <c r="K27" s="36">
        <f>SUM(J27)+2</f>
        <v>45.1</v>
      </c>
      <c r="L27" s="36"/>
      <c r="M27" s="44"/>
    </row>
    <row r="28" spans="1:13" s="2" customFormat="1" ht="14.1" customHeight="1" x14ac:dyDescent="0.3">
      <c r="A28" s="17"/>
      <c r="B28" s="31" t="s">
        <v>94</v>
      </c>
      <c r="C28" s="32"/>
      <c r="D28" s="33" t="s">
        <v>95</v>
      </c>
      <c r="E28" s="34"/>
      <c r="F28" s="34"/>
      <c r="G28" s="35"/>
      <c r="H28" s="24"/>
      <c r="I28" s="26"/>
      <c r="J28" s="28"/>
      <c r="K28" s="28"/>
      <c r="L28" s="28"/>
      <c r="M28" s="30"/>
    </row>
    <row r="29" spans="1:13" s="2" customFormat="1" ht="14.1" customHeight="1" x14ac:dyDescent="0.3">
      <c r="A29" s="45">
        <v>14</v>
      </c>
      <c r="B29" s="46" t="s">
        <v>96</v>
      </c>
      <c r="C29" s="47"/>
      <c r="D29" s="48" t="s">
        <v>179</v>
      </c>
      <c r="E29" s="49"/>
      <c r="F29" s="49"/>
      <c r="G29" s="50"/>
      <c r="H29" s="51">
        <f>SUM(I29)-2.7</f>
        <v>23</v>
      </c>
      <c r="I29" s="52">
        <v>25.7</v>
      </c>
      <c r="J29" s="36">
        <f>SUM(I29)+4.2</f>
        <v>29.9</v>
      </c>
      <c r="K29" s="36">
        <f>SUM(J29)+4.2</f>
        <v>34.1</v>
      </c>
      <c r="L29" s="36"/>
      <c r="M29" s="44"/>
    </row>
    <row r="30" spans="1:13" s="2" customFormat="1" ht="14.1" customHeight="1" x14ac:dyDescent="0.3">
      <c r="A30" s="17"/>
      <c r="B30" s="31" t="s">
        <v>98</v>
      </c>
      <c r="C30" s="32"/>
      <c r="D30" s="33" t="s">
        <v>99</v>
      </c>
      <c r="E30" s="34"/>
      <c r="F30" s="34"/>
      <c r="G30" s="35"/>
      <c r="H30" s="24"/>
      <c r="I30" s="26"/>
      <c r="J30" s="28"/>
      <c r="K30" s="28"/>
      <c r="L30" s="28"/>
      <c r="M30" s="30"/>
    </row>
    <row r="31" spans="1:13" s="2" customFormat="1" ht="14.1" customHeight="1" x14ac:dyDescent="0.3">
      <c r="A31" s="45">
        <v>15</v>
      </c>
      <c r="B31" s="46" t="s">
        <v>100</v>
      </c>
      <c r="C31" s="47"/>
      <c r="D31" s="48" t="s">
        <v>44</v>
      </c>
      <c r="E31" s="49"/>
      <c r="F31" s="49"/>
      <c r="G31" s="50"/>
      <c r="H31" s="51">
        <f>SUM(I31)-1.5</f>
        <v>37</v>
      </c>
      <c r="I31" s="52">
        <v>38.5</v>
      </c>
      <c r="J31" s="36">
        <f>SUM(I31)+1.5</f>
        <v>40</v>
      </c>
      <c r="K31" s="36">
        <f>SUM(J31)+1.5</f>
        <v>41.5</v>
      </c>
      <c r="L31" s="36"/>
      <c r="M31" s="44"/>
    </row>
    <row r="32" spans="1:13" s="2" customFormat="1" ht="14.1" customHeight="1" x14ac:dyDescent="0.3">
      <c r="A32" s="17"/>
      <c r="B32" s="31" t="s">
        <v>101</v>
      </c>
      <c r="C32" s="32"/>
      <c r="D32" s="33" t="s">
        <v>44</v>
      </c>
      <c r="E32" s="34"/>
      <c r="F32" s="34"/>
      <c r="G32" s="35"/>
      <c r="H32" s="24"/>
      <c r="I32" s="26"/>
      <c r="J32" s="28"/>
      <c r="K32" s="28"/>
      <c r="L32" s="28"/>
      <c r="M32" s="30"/>
    </row>
    <row r="33" spans="1:13" s="2" customFormat="1" ht="14.1" customHeight="1" x14ac:dyDescent="0.3">
      <c r="A33" s="45">
        <v>16</v>
      </c>
      <c r="B33" s="46" t="s">
        <v>102</v>
      </c>
      <c r="C33" s="47"/>
      <c r="D33" s="48" t="s">
        <v>103</v>
      </c>
      <c r="E33" s="49"/>
      <c r="F33" s="49"/>
      <c r="G33" s="50"/>
      <c r="H33" s="51">
        <f>SUM(I33)-1.9</f>
        <v>27.900000000000002</v>
      </c>
      <c r="I33" s="52">
        <v>29.8</v>
      </c>
      <c r="J33" s="36">
        <f>SUM(I33)+2.5</f>
        <v>32.299999999999997</v>
      </c>
      <c r="K33" s="36">
        <f>SUM(J33)+2.5</f>
        <v>34.799999999999997</v>
      </c>
      <c r="L33" s="36"/>
      <c r="M33" s="44"/>
    </row>
    <row r="34" spans="1:13" s="2" customFormat="1" ht="14.1" customHeight="1" x14ac:dyDescent="0.3">
      <c r="A34" s="17"/>
      <c r="B34" s="31" t="s">
        <v>104</v>
      </c>
      <c r="C34" s="32"/>
      <c r="D34" s="33" t="s">
        <v>183</v>
      </c>
      <c r="E34" s="34"/>
      <c r="F34" s="34"/>
      <c r="G34" s="35"/>
      <c r="H34" s="24"/>
      <c r="I34" s="26"/>
      <c r="J34" s="28"/>
      <c r="K34" s="28"/>
      <c r="L34" s="28"/>
      <c r="M34" s="30"/>
    </row>
    <row r="35" spans="1:13" s="2" customFormat="1" ht="14.1" customHeight="1" x14ac:dyDescent="0.3">
      <c r="A35" s="45">
        <v>17</v>
      </c>
      <c r="B35" s="46" t="s">
        <v>106</v>
      </c>
      <c r="C35" s="47"/>
      <c r="D35" s="48" t="s">
        <v>107</v>
      </c>
      <c r="E35" s="49"/>
      <c r="F35" s="49"/>
      <c r="G35" s="50"/>
      <c r="H35" s="51">
        <f>SUM(I35)-0.2</f>
        <v>4.8</v>
      </c>
      <c r="I35" s="52">
        <v>5</v>
      </c>
      <c r="J35" s="36">
        <f>SUM(I35)+0.2</f>
        <v>5.2</v>
      </c>
      <c r="K35" s="36">
        <f>SUM(J35)+0.2</f>
        <v>5.4</v>
      </c>
      <c r="L35" s="36"/>
      <c r="M35" s="69"/>
    </row>
    <row r="36" spans="1:13" s="2" customFormat="1" ht="14.1" customHeight="1" x14ac:dyDescent="0.3">
      <c r="A36" s="17"/>
      <c r="B36" s="31" t="s">
        <v>108</v>
      </c>
      <c r="C36" s="32"/>
      <c r="D36" s="33" t="s">
        <v>109</v>
      </c>
      <c r="E36" s="34"/>
      <c r="F36" s="34"/>
      <c r="G36" s="35"/>
      <c r="H36" s="24"/>
      <c r="I36" s="26"/>
      <c r="J36" s="28"/>
      <c r="K36" s="28"/>
      <c r="L36" s="28"/>
      <c r="M36" s="70"/>
    </row>
    <row r="37" spans="1:13" ht="14.1" customHeight="1" x14ac:dyDescent="0.3">
      <c r="A37" s="45">
        <v>18</v>
      </c>
      <c r="B37" s="46" t="s">
        <v>110</v>
      </c>
      <c r="C37" s="47"/>
      <c r="D37" s="48" t="s">
        <v>111</v>
      </c>
      <c r="E37" s="49"/>
      <c r="F37" s="49"/>
      <c r="G37" s="50"/>
      <c r="H37" s="51">
        <f>SUM(I37)-0.6</f>
        <v>8.8000000000000007</v>
      </c>
      <c r="I37" s="52">
        <v>9.4</v>
      </c>
      <c r="J37" s="36">
        <f>SUM(I37)+0.6</f>
        <v>10</v>
      </c>
      <c r="K37" s="36">
        <f>SUM(J37)+0.6</f>
        <v>10.6</v>
      </c>
      <c r="L37" s="36"/>
      <c r="M37" s="69"/>
    </row>
    <row r="38" spans="1:13" ht="14.1" customHeight="1" x14ac:dyDescent="0.3">
      <c r="A38" s="17"/>
      <c r="B38" s="31" t="s">
        <v>112</v>
      </c>
      <c r="C38" s="32"/>
      <c r="D38" s="33" t="s">
        <v>113</v>
      </c>
      <c r="E38" s="34"/>
      <c r="F38" s="34"/>
      <c r="G38" s="35"/>
      <c r="H38" s="24"/>
      <c r="I38" s="26"/>
      <c r="J38" s="28"/>
      <c r="K38" s="28"/>
      <c r="L38" s="28"/>
      <c r="M38" s="70"/>
    </row>
    <row r="39" spans="1:13" ht="14.1" customHeight="1" x14ac:dyDescent="0.3">
      <c r="A39" s="45">
        <v>19</v>
      </c>
      <c r="B39" s="46" t="s">
        <v>115</v>
      </c>
      <c r="C39" s="47"/>
      <c r="D39" s="48"/>
      <c r="E39" s="49"/>
      <c r="F39" s="49"/>
      <c r="G39" s="50"/>
      <c r="H39" s="67">
        <f>SUM(I39)-0.4</f>
        <v>9.6</v>
      </c>
      <c r="I39" s="52">
        <v>10</v>
      </c>
      <c r="J39" s="36">
        <f>SUM(I39)+0.4</f>
        <v>10.4</v>
      </c>
      <c r="K39" s="36">
        <f>SUM(J39)+0.4</f>
        <v>10.8</v>
      </c>
      <c r="L39" s="57"/>
      <c r="M39" s="114">
        <f>SUM(L39)+1.1</f>
        <v>1.1000000000000001</v>
      </c>
    </row>
    <row r="40" spans="1:13" ht="14.1" customHeight="1" x14ac:dyDescent="0.3">
      <c r="A40" s="17"/>
      <c r="B40" s="31" t="s">
        <v>117</v>
      </c>
      <c r="C40" s="32"/>
      <c r="D40" s="33"/>
      <c r="E40" s="34"/>
      <c r="F40" s="34"/>
      <c r="G40" s="35"/>
      <c r="H40" s="24"/>
      <c r="I40" s="26"/>
      <c r="J40" s="28"/>
      <c r="K40" s="28"/>
      <c r="L40" s="28"/>
      <c r="M40" s="70"/>
    </row>
    <row r="41" spans="1:13" s="2" customFormat="1" ht="14.1" customHeight="1" x14ac:dyDescent="0.3">
      <c r="A41" s="45">
        <v>20</v>
      </c>
      <c r="B41" s="46" t="s">
        <v>116</v>
      </c>
      <c r="C41" s="47"/>
      <c r="D41" s="48"/>
      <c r="E41" s="49"/>
      <c r="F41" s="49"/>
      <c r="G41" s="50"/>
      <c r="H41" s="67">
        <f>SUM(I41)-0.4</f>
        <v>9.6</v>
      </c>
      <c r="I41" s="52">
        <v>10</v>
      </c>
      <c r="J41" s="36">
        <f>SUM(I41)+0.4</f>
        <v>10.4</v>
      </c>
      <c r="K41" s="36">
        <f>SUM(J41)+0.4</f>
        <v>10.8</v>
      </c>
      <c r="L41" s="36"/>
      <c r="M41" s="69">
        <f>SUM(L41)+0.4</f>
        <v>0.4</v>
      </c>
    </row>
    <row r="42" spans="1:13" s="2" customFormat="1" ht="14.1" customHeight="1" thickBot="1" x14ac:dyDescent="0.35">
      <c r="A42" s="81"/>
      <c r="B42" s="76" t="s">
        <v>118</v>
      </c>
      <c r="C42" s="77"/>
      <c r="D42" s="78"/>
      <c r="E42" s="79"/>
      <c r="F42" s="79"/>
      <c r="G42" s="80"/>
      <c r="H42" s="82"/>
      <c r="I42" s="83"/>
      <c r="J42" s="74"/>
      <c r="K42" s="74"/>
      <c r="L42" s="74"/>
      <c r="M42" s="75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2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D8EB-8190-40C5-B07B-D55B21A142EF}">
  <sheetPr>
    <tabColor rgb="FFFF0000"/>
    <pageSetUpPr fitToPage="1"/>
  </sheetPr>
  <dimension ref="A1:M51"/>
  <sheetViews>
    <sheetView zoomScale="110" zoomScaleNormal="110" workbookViewId="0">
      <selection sqref="A1:M4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2" t="s">
        <v>197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3" ht="16.5" customHeight="1" thickBot="1" x14ac:dyDescent="0.35">
      <c r="A2" s="6" t="s">
        <v>33</v>
      </c>
      <c r="B2" s="15" t="s">
        <v>34</v>
      </c>
      <c r="C2" s="15"/>
      <c r="D2" s="15" t="s">
        <v>35</v>
      </c>
      <c r="E2" s="15"/>
      <c r="F2" s="15"/>
      <c r="G2" s="15"/>
      <c r="H2" s="8" t="s">
        <v>134</v>
      </c>
      <c r="I2" s="3" t="s">
        <v>135</v>
      </c>
      <c r="J2" s="4" t="s">
        <v>136</v>
      </c>
      <c r="K2" s="7" t="s">
        <v>142</v>
      </c>
      <c r="L2" s="7"/>
      <c r="M2" s="4"/>
    </row>
    <row r="3" spans="1:13" s="2" customFormat="1" ht="14.1" customHeight="1" x14ac:dyDescent="0.3">
      <c r="A3" s="16">
        <v>1</v>
      </c>
      <c r="B3" s="18" t="s">
        <v>57</v>
      </c>
      <c r="C3" s="19"/>
      <c r="D3" s="20" t="s">
        <v>58</v>
      </c>
      <c r="E3" s="21"/>
      <c r="F3" s="21"/>
      <c r="G3" s="22"/>
      <c r="H3" s="23">
        <f>SUM(I3)-2</f>
        <v>40</v>
      </c>
      <c r="I3" s="25">
        <v>42</v>
      </c>
      <c r="J3" s="27">
        <f>SUM(I3)+2</f>
        <v>44</v>
      </c>
      <c r="K3" s="27">
        <f>SUM(J3)+2</f>
        <v>46</v>
      </c>
      <c r="L3" s="27"/>
      <c r="M3" s="29"/>
    </row>
    <row r="4" spans="1:13" s="2" customFormat="1" ht="14.1" customHeight="1" x14ac:dyDescent="0.3">
      <c r="A4" s="17"/>
      <c r="B4" s="31" t="s">
        <v>59</v>
      </c>
      <c r="C4" s="32"/>
      <c r="D4" s="33" t="s">
        <v>60</v>
      </c>
      <c r="E4" s="34"/>
      <c r="F4" s="34"/>
      <c r="G4" s="35"/>
      <c r="H4" s="24"/>
      <c r="I4" s="26"/>
      <c r="J4" s="28"/>
      <c r="K4" s="28"/>
      <c r="L4" s="28"/>
      <c r="M4" s="30"/>
    </row>
    <row r="5" spans="1:13" s="2" customFormat="1" ht="14.1" customHeight="1" x14ac:dyDescent="0.3">
      <c r="A5" s="45">
        <v>2</v>
      </c>
      <c r="B5" s="93" t="s">
        <v>61</v>
      </c>
      <c r="C5" s="94"/>
      <c r="D5" s="108"/>
      <c r="E5" s="109"/>
      <c r="F5" s="109"/>
      <c r="G5" s="110"/>
      <c r="H5" s="51"/>
      <c r="I5" s="56"/>
      <c r="J5" s="57"/>
      <c r="K5" s="57"/>
      <c r="L5" s="57"/>
      <c r="M5" s="58"/>
    </row>
    <row r="6" spans="1:13" s="2" customFormat="1" ht="14.1" customHeight="1" x14ac:dyDescent="0.3">
      <c r="A6" s="17"/>
      <c r="B6" s="31" t="s">
        <v>62</v>
      </c>
      <c r="C6" s="32"/>
      <c r="D6" s="33"/>
      <c r="E6" s="34"/>
      <c r="F6" s="34"/>
      <c r="G6" s="35"/>
      <c r="H6" s="24"/>
      <c r="I6" s="26"/>
      <c r="J6" s="28"/>
      <c r="K6" s="28"/>
      <c r="L6" s="28"/>
      <c r="M6" s="30"/>
    </row>
    <row r="7" spans="1:13" s="2" customFormat="1" ht="14.1" customHeight="1" x14ac:dyDescent="0.3">
      <c r="A7" s="45">
        <v>3</v>
      </c>
      <c r="B7" s="93" t="s">
        <v>63</v>
      </c>
      <c r="C7" s="94"/>
      <c r="D7" s="108"/>
      <c r="E7" s="109"/>
      <c r="F7" s="109"/>
      <c r="G7" s="110"/>
      <c r="H7" s="51"/>
      <c r="I7" s="56"/>
      <c r="J7" s="57"/>
      <c r="K7" s="57"/>
      <c r="L7" s="57"/>
      <c r="M7" s="58"/>
    </row>
    <row r="8" spans="1:13" s="2" customFormat="1" ht="14.1" customHeight="1" x14ac:dyDescent="0.3">
      <c r="A8" s="17"/>
      <c r="B8" s="31" t="s">
        <v>64</v>
      </c>
      <c r="C8" s="32"/>
      <c r="D8" s="33"/>
      <c r="E8" s="34"/>
      <c r="F8" s="34"/>
      <c r="G8" s="35"/>
      <c r="H8" s="24"/>
      <c r="I8" s="26"/>
      <c r="J8" s="28"/>
      <c r="K8" s="28"/>
      <c r="L8" s="28"/>
      <c r="M8" s="30"/>
    </row>
    <row r="9" spans="1:13" s="2" customFormat="1" ht="14.1" customHeight="1" x14ac:dyDescent="0.3">
      <c r="A9" s="45">
        <v>4</v>
      </c>
      <c r="B9" s="46" t="s">
        <v>65</v>
      </c>
      <c r="C9" s="47"/>
      <c r="D9" s="111"/>
      <c r="E9" s="112"/>
      <c r="F9" s="112"/>
      <c r="G9" s="113"/>
      <c r="H9" s="51"/>
      <c r="I9" s="56"/>
      <c r="J9" s="57"/>
      <c r="K9" s="57"/>
      <c r="L9" s="57"/>
      <c r="M9" s="58"/>
    </row>
    <row r="10" spans="1:13" s="2" customFormat="1" ht="14.1" customHeight="1" x14ac:dyDescent="0.3">
      <c r="A10" s="17"/>
      <c r="B10" s="31" t="s">
        <v>66</v>
      </c>
      <c r="C10" s="32"/>
      <c r="D10" s="71"/>
      <c r="E10" s="72"/>
      <c r="F10" s="72"/>
      <c r="G10" s="73"/>
      <c r="H10" s="24"/>
      <c r="I10" s="26"/>
      <c r="J10" s="28"/>
      <c r="K10" s="28"/>
      <c r="L10" s="28"/>
      <c r="M10" s="30"/>
    </row>
    <row r="11" spans="1:13" s="2" customFormat="1" ht="14.1" customHeight="1" x14ac:dyDescent="0.3">
      <c r="A11" s="45">
        <v>5</v>
      </c>
      <c r="B11" s="46" t="s">
        <v>67</v>
      </c>
      <c r="C11" s="47"/>
      <c r="D11" s="108"/>
      <c r="E11" s="109"/>
      <c r="F11" s="109"/>
      <c r="G11" s="110"/>
      <c r="H11" s="51">
        <f>SUM(I11)-2.8</f>
        <v>63.2</v>
      </c>
      <c r="I11" s="56">
        <v>66</v>
      </c>
      <c r="J11" s="57">
        <f>SUM(I11)+2.8</f>
        <v>68.8</v>
      </c>
      <c r="K11" s="57">
        <f>SUM(J11)+2.8</f>
        <v>71.599999999999994</v>
      </c>
      <c r="L11" s="57"/>
      <c r="M11" s="58"/>
    </row>
    <row r="12" spans="1:13" s="2" customFormat="1" ht="14.1" customHeight="1" x14ac:dyDescent="0.3">
      <c r="A12" s="17"/>
      <c r="B12" s="31" t="s">
        <v>68</v>
      </c>
      <c r="C12" s="32"/>
      <c r="D12" s="33"/>
      <c r="E12" s="34"/>
      <c r="F12" s="34"/>
      <c r="G12" s="35"/>
      <c r="H12" s="24"/>
      <c r="I12" s="26"/>
      <c r="J12" s="28"/>
      <c r="K12" s="28"/>
      <c r="L12" s="28"/>
      <c r="M12" s="30"/>
    </row>
    <row r="13" spans="1:13" s="2" customFormat="1" ht="14.1" customHeight="1" x14ac:dyDescent="0.3">
      <c r="A13" s="45">
        <v>6</v>
      </c>
      <c r="B13" s="46" t="s">
        <v>69</v>
      </c>
      <c r="C13" s="47"/>
      <c r="D13" s="48" t="s">
        <v>70</v>
      </c>
      <c r="E13" s="49"/>
      <c r="F13" s="49"/>
      <c r="G13" s="50"/>
      <c r="H13" s="51">
        <f>SUM(I13)-3</f>
        <v>65</v>
      </c>
      <c r="I13" s="52">
        <v>68</v>
      </c>
      <c r="J13" s="36">
        <f>SUM(I13)+3</f>
        <v>71</v>
      </c>
      <c r="K13" s="36">
        <f>SUM(J13)+3</f>
        <v>74</v>
      </c>
      <c r="L13" s="36"/>
      <c r="M13" s="44"/>
    </row>
    <row r="14" spans="1:13" s="2" customFormat="1" ht="14.1" customHeight="1" x14ac:dyDescent="0.3">
      <c r="A14" s="17"/>
      <c r="B14" s="31" t="s">
        <v>71</v>
      </c>
      <c r="C14" s="32"/>
      <c r="D14" s="33" t="s">
        <v>72</v>
      </c>
      <c r="E14" s="34"/>
      <c r="F14" s="34"/>
      <c r="G14" s="35"/>
      <c r="H14" s="24"/>
      <c r="I14" s="26"/>
      <c r="J14" s="28"/>
      <c r="K14" s="28"/>
      <c r="L14" s="28"/>
      <c r="M14" s="30"/>
    </row>
    <row r="15" spans="1:13" s="2" customFormat="1" ht="14.1" customHeight="1" x14ac:dyDescent="0.3">
      <c r="A15" s="45">
        <v>7</v>
      </c>
      <c r="B15" s="46" t="s">
        <v>73</v>
      </c>
      <c r="C15" s="47"/>
      <c r="D15" s="48"/>
      <c r="E15" s="49"/>
      <c r="F15" s="49"/>
      <c r="G15" s="50"/>
      <c r="H15" s="51">
        <f>SUM(I15)-0.5</f>
        <v>11.2</v>
      </c>
      <c r="I15" s="52">
        <v>11.7</v>
      </c>
      <c r="J15" s="36">
        <f>SUM(I15)+0.5</f>
        <v>12.2</v>
      </c>
      <c r="K15" s="36">
        <f>SUM(J15)+0.5</f>
        <v>12.7</v>
      </c>
      <c r="L15" s="37"/>
      <c r="M15" s="39"/>
    </row>
    <row r="16" spans="1:13" s="2" customFormat="1" ht="14.1" customHeight="1" x14ac:dyDescent="0.3">
      <c r="A16" s="17"/>
      <c r="B16" s="31" t="s">
        <v>74</v>
      </c>
      <c r="C16" s="32"/>
      <c r="D16" s="41" t="s">
        <v>75</v>
      </c>
      <c r="E16" s="42"/>
      <c r="F16" s="42"/>
      <c r="G16" s="43"/>
      <c r="H16" s="24"/>
      <c r="I16" s="26"/>
      <c r="J16" s="28"/>
      <c r="K16" s="28"/>
      <c r="L16" s="38"/>
      <c r="M16" s="40"/>
    </row>
    <row r="17" spans="1:13" s="2" customFormat="1" ht="14.1" customHeight="1" x14ac:dyDescent="0.3">
      <c r="A17" s="45">
        <v>8</v>
      </c>
      <c r="B17" s="46" t="s">
        <v>76</v>
      </c>
      <c r="C17" s="47"/>
      <c r="D17" s="48"/>
      <c r="E17" s="49"/>
      <c r="F17" s="49"/>
      <c r="G17" s="50"/>
      <c r="H17" s="67"/>
      <c r="I17" s="52"/>
      <c r="J17" s="36"/>
      <c r="K17" s="36"/>
      <c r="L17" s="37"/>
      <c r="M17" s="39"/>
    </row>
    <row r="18" spans="1:13" s="2" customFormat="1" ht="14.1" customHeight="1" x14ac:dyDescent="0.3">
      <c r="A18" s="17"/>
      <c r="B18" s="31" t="s">
        <v>77</v>
      </c>
      <c r="C18" s="32"/>
      <c r="D18" s="41" t="s">
        <v>78</v>
      </c>
      <c r="E18" s="42"/>
      <c r="F18" s="42"/>
      <c r="G18" s="43"/>
      <c r="H18" s="24"/>
      <c r="I18" s="26"/>
      <c r="J18" s="28"/>
      <c r="K18" s="28"/>
      <c r="L18" s="38"/>
      <c r="M18" s="40"/>
    </row>
    <row r="19" spans="1:13" s="2" customFormat="1" ht="14.1" customHeight="1" x14ac:dyDescent="0.3">
      <c r="A19" s="45">
        <v>9</v>
      </c>
      <c r="B19" s="46" t="s">
        <v>79</v>
      </c>
      <c r="C19" s="47"/>
      <c r="D19" s="48" t="s">
        <v>198</v>
      </c>
      <c r="E19" s="49"/>
      <c r="F19" s="49"/>
      <c r="G19" s="50"/>
      <c r="H19" s="51">
        <f>SUM(I19)-3.5</f>
        <v>43</v>
      </c>
      <c r="I19" s="52">
        <v>46.5</v>
      </c>
      <c r="J19" s="36">
        <f>SUM(I19)+5</f>
        <v>51.5</v>
      </c>
      <c r="K19" s="36">
        <f>SUM(J19)+5</f>
        <v>56.5</v>
      </c>
      <c r="L19" s="36"/>
      <c r="M19" s="44"/>
    </row>
    <row r="20" spans="1:13" s="2" customFormat="1" ht="14.1" customHeight="1" x14ac:dyDescent="0.3">
      <c r="A20" s="17"/>
      <c r="B20" s="31" t="s">
        <v>80</v>
      </c>
      <c r="C20" s="32"/>
      <c r="D20" s="33" t="s">
        <v>81</v>
      </c>
      <c r="E20" s="34"/>
      <c r="F20" s="34"/>
      <c r="G20" s="35"/>
      <c r="H20" s="24"/>
      <c r="I20" s="26"/>
      <c r="J20" s="28"/>
      <c r="K20" s="28"/>
      <c r="L20" s="28"/>
      <c r="M20" s="30"/>
    </row>
    <row r="21" spans="1:13" s="2" customFormat="1" ht="14.1" customHeight="1" x14ac:dyDescent="0.3">
      <c r="A21" s="45">
        <v>10</v>
      </c>
      <c r="B21" s="46" t="s">
        <v>82</v>
      </c>
      <c r="C21" s="47"/>
      <c r="D21" s="48" t="s">
        <v>83</v>
      </c>
      <c r="E21" s="49"/>
      <c r="F21" s="49"/>
      <c r="G21" s="50"/>
      <c r="H21" s="51">
        <f>SUM(I21)-0.8</f>
        <v>17.2</v>
      </c>
      <c r="I21" s="52">
        <v>18</v>
      </c>
      <c r="J21" s="36">
        <f>SUM(I21)+0.8</f>
        <v>18.8</v>
      </c>
      <c r="K21" s="36">
        <f>SUM(J21)+0.8</f>
        <v>19.600000000000001</v>
      </c>
      <c r="L21" s="36"/>
      <c r="M21" s="44"/>
    </row>
    <row r="22" spans="1:13" s="2" customFormat="1" ht="14.1" customHeight="1" x14ac:dyDescent="0.3">
      <c r="A22" s="17"/>
      <c r="B22" s="31" t="s">
        <v>84</v>
      </c>
      <c r="C22" s="32"/>
      <c r="D22" s="53" t="s">
        <v>85</v>
      </c>
      <c r="E22" s="54"/>
      <c r="F22" s="54"/>
      <c r="G22" s="55"/>
      <c r="H22" s="24"/>
      <c r="I22" s="26"/>
      <c r="J22" s="28"/>
      <c r="K22" s="28"/>
      <c r="L22" s="28"/>
      <c r="M22" s="30"/>
    </row>
    <row r="23" spans="1:13" s="2" customFormat="1" ht="14.1" customHeight="1" x14ac:dyDescent="0.3">
      <c r="A23" s="45">
        <v>11</v>
      </c>
      <c r="B23" s="46" t="s">
        <v>86</v>
      </c>
      <c r="C23" s="47"/>
      <c r="D23" s="48" t="s">
        <v>87</v>
      </c>
      <c r="E23" s="49"/>
      <c r="F23" s="49"/>
      <c r="G23" s="50"/>
      <c r="H23" s="51">
        <f>SUM(I23)-0.8</f>
        <v>18.7</v>
      </c>
      <c r="I23" s="52">
        <v>19.5</v>
      </c>
      <c r="J23" s="36">
        <f>SUM(I23)+0.8</f>
        <v>20.3</v>
      </c>
      <c r="K23" s="36">
        <f>SUM(J23)+0.8</f>
        <v>21.1</v>
      </c>
      <c r="L23" s="36"/>
      <c r="M23" s="39"/>
    </row>
    <row r="24" spans="1:13" s="2" customFormat="1" ht="14.1" customHeight="1" x14ac:dyDescent="0.3">
      <c r="A24" s="17"/>
      <c r="B24" s="31" t="s">
        <v>88</v>
      </c>
      <c r="C24" s="32"/>
      <c r="D24" s="33" t="s">
        <v>184</v>
      </c>
      <c r="E24" s="34"/>
      <c r="F24" s="34"/>
      <c r="G24" s="35"/>
      <c r="H24" s="24"/>
      <c r="I24" s="26"/>
      <c r="J24" s="28"/>
      <c r="K24" s="28"/>
      <c r="L24" s="28"/>
      <c r="M24" s="40"/>
    </row>
    <row r="25" spans="1:13" s="2" customFormat="1" ht="14.1" customHeight="1" x14ac:dyDescent="0.3">
      <c r="A25" s="45">
        <v>12</v>
      </c>
      <c r="B25" s="46" t="s">
        <v>90</v>
      </c>
      <c r="C25" s="47"/>
      <c r="D25" s="48" t="s">
        <v>87</v>
      </c>
      <c r="E25" s="49"/>
      <c r="F25" s="49"/>
      <c r="G25" s="50"/>
      <c r="H25" s="51">
        <f>SUM(I25)-1</f>
        <v>24.6</v>
      </c>
      <c r="I25" s="52">
        <v>25.6</v>
      </c>
      <c r="J25" s="36">
        <f>SUM(I25)+1</f>
        <v>26.6</v>
      </c>
      <c r="K25" s="36">
        <f>SUM(J25)+1</f>
        <v>27.6</v>
      </c>
      <c r="L25" s="36"/>
      <c r="M25" s="39"/>
    </row>
    <row r="26" spans="1:13" s="2" customFormat="1" ht="14.1" customHeight="1" x14ac:dyDescent="0.3">
      <c r="A26" s="17"/>
      <c r="B26" s="31" t="s">
        <v>91</v>
      </c>
      <c r="C26" s="32"/>
      <c r="D26" s="33" t="s">
        <v>184</v>
      </c>
      <c r="E26" s="34"/>
      <c r="F26" s="34"/>
      <c r="G26" s="35"/>
      <c r="H26" s="24"/>
      <c r="I26" s="26"/>
      <c r="J26" s="28"/>
      <c r="K26" s="28"/>
      <c r="L26" s="28"/>
      <c r="M26" s="40"/>
    </row>
    <row r="27" spans="1:13" s="2" customFormat="1" ht="14.1" customHeight="1" x14ac:dyDescent="0.3">
      <c r="A27" s="45">
        <v>13</v>
      </c>
      <c r="B27" s="46" t="s">
        <v>92</v>
      </c>
      <c r="C27" s="47"/>
      <c r="D27" s="48" t="s">
        <v>93</v>
      </c>
      <c r="E27" s="49"/>
      <c r="F27" s="49"/>
      <c r="G27" s="50"/>
      <c r="H27" s="51">
        <f>SUM(I27)-1.9</f>
        <v>38.9</v>
      </c>
      <c r="I27" s="52">
        <v>40.799999999999997</v>
      </c>
      <c r="J27" s="36">
        <f>SUM(I27)+2</f>
        <v>42.8</v>
      </c>
      <c r="K27" s="36">
        <f>SUM(J27)+2</f>
        <v>44.8</v>
      </c>
      <c r="L27" s="36"/>
      <c r="M27" s="44"/>
    </row>
    <row r="28" spans="1:13" s="2" customFormat="1" ht="14.1" customHeight="1" x14ac:dyDescent="0.3">
      <c r="A28" s="17"/>
      <c r="B28" s="31" t="s">
        <v>94</v>
      </c>
      <c r="C28" s="32"/>
      <c r="D28" s="33" t="s">
        <v>95</v>
      </c>
      <c r="E28" s="34"/>
      <c r="F28" s="34"/>
      <c r="G28" s="35"/>
      <c r="H28" s="24"/>
      <c r="I28" s="26"/>
      <c r="J28" s="28"/>
      <c r="K28" s="28"/>
      <c r="L28" s="28"/>
      <c r="M28" s="30"/>
    </row>
    <row r="29" spans="1:13" s="2" customFormat="1" ht="14.1" customHeight="1" x14ac:dyDescent="0.3">
      <c r="A29" s="45">
        <v>14</v>
      </c>
      <c r="B29" s="46" t="s">
        <v>96</v>
      </c>
      <c r="C29" s="47"/>
      <c r="D29" s="48" t="s">
        <v>199</v>
      </c>
      <c r="E29" s="49"/>
      <c r="F29" s="49"/>
      <c r="G29" s="50"/>
      <c r="H29" s="51">
        <f>SUM(I29)-2.7</f>
        <v>25</v>
      </c>
      <c r="I29" s="52">
        <v>27.7</v>
      </c>
      <c r="J29" s="36">
        <f>SUM(I29)+4.2</f>
        <v>31.9</v>
      </c>
      <c r="K29" s="36">
        <f>SUM(J29)+4.2</f>
        <v>36.1</v>
      </c>
      <c r="L29" s="36"/>
      <c r="M29" s="44"/>
    </row>
    <row r="30" spans="1:13" s="2" customFormat="1" ht="14.1" customHeight="1" x14ac:dyDescent="0.3">
      <c r="A30" s="17"/>
      <c r="B30" s="31" t="s">
        <v>98</v>
      </c>
      <c r="C30" s="32"/>
      <c r="D30" s="33" t="s">
        <v>99</v>
      </c>
      <c r="E30" s="34"/>
      <c r="F30" s="34"/>
      <c r="G30" s="35"/>
      <c r="H30" s="24"/>
      <c r="I30" s="26"/>
      <c r="J30" s="28"/>
      <c r="K30" s="28"/>
      <c r="L30" s="28"/>
      <c r="M30" s="30"/>
    </row>
    <row r="31" spans="1:13" s="2" customFormat="1" ht="14.1" customHeight="1" x14ac:dyDescent="0.3">
      <c r="A31" s="45">
        <v>15</v>
      </c>
      <c r="B31" s="46" t="s">
        <v>100</v>
      </c>
      <c r="C31" s="47"/>
      <c r="D31" s="48" t="s">
        <v>44</v>
      </c>
      <c r="E31" s="49"/>
      <c r="F31" s="49"/>
      <c r="G31" s="50"/>
      <c r="H31" s="51">
        <f>SUM(I31)-1.4</f>
        <v>35.200000000000003</v>
      </c>
      <c r="I31" s="52">
        <v>36.6</v>
      </c>
      <c r="J31" s="36">
        <f>SUM(I31)+1.4</f>
        <v>38</v>
      </c>
      <c r="K31" s="36">
        <f>SUM(J31)+1.4</f>
        <v>39.4</v>
      </c>
      <c r="L31" s="36"/>
      <c r="M31" s="44"/>
    </row>
    <row r="32" spans="1:13" s="2" customFormat="1" ht="14.1" customHeight="1" x14ac:dyDescent="0.3">
      <c r="A32" s="17"/>
      <c r="B32" s="31" t="s">
        <v>101</v>
      </c>
      <c r="C32" s="32"/>
      <c r="D32" s="33" t="s">
        <v>44</v>
      </c>
      <c r="E32" s="34"/>
      <c r="F32" s="34"/>
      <c r="G32" s="35"/>
      <c r="H32" s="24"/>
      <c r="I32" s="26"/>
      <c r="J32" s="28"/>
      <c r="K32" s="28"/>
      <c r="L32" s="28"/>
      <c r="M32" s="30"/>
    </row>
    <row r="33" spans="1:13" s="2" customFormat="1" ht="14.1" customHeight="1" x14ac:dyDescent="0.3">
      <c r="A33" s="45">
        <v>16</v>
      </c>
      <c r="B33" s="46" t="s">
        <v>102</v>
      </c>
      <c r="C33" s="47"/>
      <c r="D33" s="48" t="s">
        <v>103</v>
      </c>
      <c r="E33" s="49"/>
      <c r="F33" s="49"/>
      <c r="G33" s="50"/>
      <c r="H33" s="51">
        <f>SUM(I33)-1.8</f>
        <v>27.4</v>
      </c>
      <c r="I33" s="52">
        <v>29.2</v>
      </c>
      <c r="J33" s="36">
        <f>SUM(I33)+2.4</f>
        <v>31.599999999999998</v>
      </c>
      <c r="K33" s="36">
        <f>SUM(J33)+2.4</f>
        <v>34</v>
      </c>
      <c r="L33" s="36"/>
      <c r="M33" s="44"/>
    </row>
    <row r="34" spans="1:13" s="2" customFormat="1" ht="14.1" customHeight="1" x14ac:dyDescent="0.3">
      <c r="A34" s="17"/>
      <c r="B34" s="31" t="s">
        <v>104</v>
      </c>
      <c r="C34" s="32"/>
      <c r="D34" s="33" t="s">
        <v>183</v>
      </c>
      <c r="E34" s="34"/>
      <c r="F34" s="34"/>
      <c r="G34" s="35"/>
      <c r="H34" s="24"/>
      <c r="I34" s="26"/>
      <c r="J34" s="28"/>
      <c r="K34" s="28"/>
      <c r="L34" s="28"/>
      <c r="M34" s="30"/>
    </row>
    <row r="35" spans="1:13" s="2" customFormat="1" ht="14.1" customHeight="1" x14ac:dyDescent="0.3">
      <c r="A35" s="45">
        <v>17</v>
      </c>
      <c r="B35" s="46" t="s">
        <v>106</v>
      </c>
      <c r="C35" s="47"/>
      <c r="D35" s="48" t="s">
        <v>107</v>
      </c>
      <c r="E35" s="49"/>
      <c r="F35" s="49"/>
      <c r="G35" s="50"/>
      <c r="H35" s="51">
        <f>SUM(I35)-0.2</f>
        <v>5.2</v>
      </c>
      <c r="I35" s="52">
        <v>5.4</v>
      </c>
      <c r="J35" s="36">
        <f>SUM(I35)+0.2</f>
        <v>5.6000000000000005</v>
      </c>
      <c r="K35" s="36">
        <f>SUM(J35)+0.2</f>
        <v>5.8000000000000007</v>
      </c>
      <c r="L35" s="36"/>
      <c r="M35" s="69"/>
    </row>
    <row r="36" spans="1:13" s="2" customFormat="1" ht="14.1" customHeight="1" x14ac:dyDescent="0.3">
      <c r="A36" s="17"/>
      <c r="B36" s="31" t="s">
        <v>108</v>
      </c>
      <c r="C36" s="32"/>
      <c r="D36" s="33" t="s">
        <v>109</v>
      </c>
      <c r="E36" s="34"/>
      <c r="F36" s="34"/>
      <c r="G36" s="35"/>
      <c r="H36" s="24"/>
      <c r="I36" s="26"/>
      <c r="J36" s="28"/>
      <c r="K36" s="28"/>
      <c r="L36" s="28"/>
      <c r="M36" s="70"/>
    </row>
    <row r="37" spans="1:13" ht="14.1" customHeight="1" x14ac:dyDescent="0.3">
      <c r="A37" s="45">
        <v>18</v>
      </c>
      <c r="B37" s="46" t="s">
        <v>110</v>
      </c>
      <c r="C37" s="47"/>
      <c r="D37" s="48" t="s">
        <v>111</v>
      </c>
      <c r="E37" s="49"/>
      <c r="F37" s="49"/>
      <c r="G37" s="50"/>
      <c r="H37" s="51">
        <f>SUM(I37)-0.6</f>
        <v>6.9</v>
      </c>
      <c r="I37" s="52">
        <v>7.5</v>
      </c>
      <c r="J37" s="36">
        <f>SUM(I37)+0.6</f>
        <v>8.1</v>
      </c>
      <c r="K37" s="36">
        <f>SUM(J37)+0.6</f>
        <v>8.6999999999999993</v>
      </c>
      <c r="L37" s="36"/>
      <c r="M37" s="69"/>
    </row>
    <row r="38" spans="1:13" ht="14.1" customHeight="1" x14ac:dyDescent="0.3">
      <c r="A38" s="17"/>
      <c r="B38" s="31" t="s">
        <v>112</v>
      </c>
      <c r="C38" s="32"/>
      <c r="D38" s="33" t="s">
        <v>113</v>
      </c>
      <c r="E38" s="34"/>
      <c r="F38" s="34"/>
      <c r="G38" s="35"/>
      <c r="H38" s="24"/>
      <c r="I38" s="26"/>
      <c r="J38" s="28"/>
      <c r="K38" s="28"/>
      <c r="L38" s="28"/>
      <c r="M38" s="70"/>
    </row>
    <row r="39" spans="1:13" ht="14.1" customHeight="1" x14ac:dyDescent="0.3">
      <c r="A39" s="45">
        <v>19</v>
      </c>
      <c r="B39" s="46" t="s">
        <v>115</v>
      </c>
      <c r="C39" s="47"/>
      <c r="D39" s="48"/>
      <c r="E39" s="49"/>
      <c r="F39" s="49"/>
      <c r="G39" s="50"/>
      <c r="H39" s="67">
        <f>SUM(I39)-0.4</f>
        <v>9.6</v>
      </c>
      <c r="I39" s="52">
        <v>10</v>
      </c>
      <c r="J39" s="36">
        <f>SUM(I39)+0.4</f>
        <v>10.4</v>
      </c>
      <c r="K39" s="36">
        <f>SUM(J39)+0.4</f>
        <v>10.8</v>
      </c>
      <c r="L39" s="57"/>
      <c r="M39" s="114">
        <f>SUM(L39)+1.1</f>
        <v>1.1000000000000001</v>
      </c>
    </row>
    <row r="40" spans="1:13" ht="14.1" customHeight="1" x14ac:dyDescent="0.3">
      <c r="A40" s="17"/>
      <c r="B40" s="31" t="s">
        <v>117</v>
      </c>
      <c r="C40" s="32"/>
      <c r="D40" s="33"/>
      <c r="E40" s="34"/>
      <c r="F40" s="34"/>
      <c r="G40" s="35"/>
      <c r="H40" s="24"/>
      <c r="I40" s="26"/>
      <c r="J40" s="28"/>
      <c r="K40" s="28"/>
      <c r="L40" s="28"/>
      <c r="M40" s="70"/>
    </row>
    <row r="41" spans="1:13" s="2" customFormat="1" ht="14.1" customHeight="1" x14ac:dyDescent="0.3">
      <c r="A41" s="45">
        <v>20</v>
      </c>
      <c r="B41" s="46" t="s">
        <v>116</v>
      </c>
      <c r="C41" s="47"/>
      <c r="D41" s="48"/>
      <c r="E41" s="49"/>
      <c r="F41" s="49"/>
      <c r="G41" s="50"/>
      <c r="H41" s="67">
        <f>SUM(I41)-0.4</f>
        <v>9.6</v>
      </c>
      <c r="I41" s="52">
        <v>10</v>
      </c>
      <c r="J41" s="36">
        <f>SUM(I41)+0.4</f>
        <v>10.4</v>
      </c>
      <c r="K41" s="36">
        <f>SUM(J41)+0.4</f>
        <v>10.8</v>
      </c>
      <c r="L41" s="36"/>
      <c r="M41" s="69">
        <f>SUM(L41)+0.4</f>
        <v>0.4</v>
      </c>
    </row>
    <row r="42" spans="1:13" s="2" customFormat="1" ht="14.1" customHeight="1" x14ac:dyDescent="0.3">
      <c r="A42" s="17"/>
      <c r="B42" s="59" t="s">
        <v>118</v>
      </c>
      <c r="C42" s="60"/>
      <c r="D42" s="61"/>
      <c r="E42" s="62"/>
      <c r="F42" s="62"/>
      <c r="G42" s="63"/>
      <c r="H42" s="51"/>
      <c r="I42" s="56"/>
      <c r="J42" s="57"/>
      <c r="K42" s="57"/>
      <c r="L42" s="57"/>
      <c r="M42" s="114"/>
    </row>
    <row r="43" spans="1:13" ht="14.1" customHeight="1" x14ac:dyDescent="0.3">
      <c r="A43" s="45">
        <v>21</v>
      </c>
      <c r="B43" s="46" t="s">
        <v>53</v>
      </c>
      <c r="C43" s="47"/>
      <c r="D43" s="97"/>
      <c r="E43" s="98"/>
      <c r="F43" s="98"/>
      <c r="G43" s="99"/>
      <c r="H43" s="67">
        <f>SUM(I43)-1</f>
        <v>6.5</v>
      </c>
      <c r="I43" s="52">
        <v>7.5</v>
      </c>
      <c r="J43" s="36">
        <f>SUM(I43)+1.5</f>
        <v>9</v>
      </c>
      <c r="K43" s="36">
        <f>SUM(J43)+1.5</f>
        <v>10.5</v>
      </c>
      <c r="L43" s="36"/>
      <c r="M43" s="69"/>
    </row>
    <row r="44" spans="1:13" ht="14.1" customHeight="1" x14ac:dyDescent="0.3">
      <c r="A44" s="17"/>
      <c r="B44" s="95" t="s">
        <v>54</v>
      </c>
      <c r="C44" s="96"/>
      <c r="D44" s="41" t="s">
        <v>201</v>
      </c>
      <c r="E44" s="54"/>
      <c r="F44" s="54"/>
      <c r="G44" s="55"/>
      <c r="H44" s="24"/>
      <c r="I44" s="26"/>
      <c r="J44" s="28"/>
      <c r="K44" s="28"/>
      <c r="L44" s="28"/>
      <c r="M44" s="70"/>
    </row>
    <row r="45" spans="1:13" ht="14.1" customHeight="1" x14ac:dyDescent="0.3">
      <c r="A45" s="45">
        <v>22</v>
      </c>
      <c r="B45" s="46" t="s">
        <v>55</v>
      </c>
      <c r="C45" s="47"/>
      <c r="D45" s="97"/>
      <c r="E45" s="98"/>
      <c r="F45" s="98"/>
      <c r="G45" s="99"/>
      <c r="H45" s="67">
        <f>SUM(I45)</f>
        <v>3.1</v>
      </c>
      <c r="I45" s="52">
        <v>3.1</v>
      </c>
      <c r="J45" s="36">
        <f>SUM(I45)</f>
        <v>3.1</v>
      </c>
      <c r="K45" s="36">
        <f>SUM(J45)</f>
        <v>3.1</v>
      </c>
      <c r="L45" s="36"/>
      <c r="M45" s="69"/>
    </row>
    <row r="46" spans="1:13" ht="14.1" customHeight="1" thickBot="1" x14ac:dyDescent="0.35">
      <c r="A46" s="81"/>
      <c r="B46" s="85" t="s">
        <v>56</v>
      </c>
      <c r="C46" s="86"/>
      <c r="D46" s="115" t="s">
        <v>200</v>
      </c>
      <c r="E46" s="88"/>
      <c r="F46" s="88"/>
      <c r="G46" s="89"/>
      <c r="H46" s="82"/>
      <c r="I46" s="83"/>
      <c r="J46" s="74"/>
      <c r="K46" s="74"/>
      <c r="L46" s="74"/>
      <c r="M46" s="75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43:A44"/>
    <mergeCell ref="B43:C43"/>
    <mergeCell ref="D43:G43"/>
    <mergeCell ref="H43:H44"/>
    <mergeCell ref="I43:I44"/>
    <mergeCell ref="J43:J44"/>
    <mergeCell ref="K43:K44"/>
    <mergeCell ref="L43:L44"/>
    <mergeCell ref="M43:M44"/>
    <mergeCell ref="B44:C44"/>
    <mergeCell ref="D44:G44"/>
    <mergeCell ref="A45:A46"/>
    <mergeCell ref="B45:C45"/>
    <mergeCell ref="D45:G45"/>
    <mergeCell ref="H45:H46"/>
    <mergeCell ref="I45:I46"/>
    <mergeCell ref="J45:J46"/>
    <mergeCell ref="K45:K46"/>
    <mergeCell ref="L45:L46"/>
    <mergeCell ref="M45:M46"/>
    <mergeCell ref="B46:C46"/>
    <mergeCell ref="D46:G4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B6DF-A3A7-447F-9E30-366C9C3D0548}">
  <sheetPr>
    <tabColor rgb="FFFF0000"/>
    <pageSetUpPr fitToPage="1"/>
  </sheetPr>
  <dimension ref="A1:N51"/>
  <sheetViews>
    <sheetView zoomScale="110" zoomScaleNormal="110" workbookViewId="0">
      <selection sqref="A1:M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2" t="s">
        <v>171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4" ht="16.5" customHeight="1" thickBot="1" x14ac:dyDescent="0.35">
      <c r="A2" s="5" t="s">
        <v>33</v>
      </c>
      <c r="B2" s="15" t="s">
        <v>34</v>
      </c>
      <c r="C2" s="15"/>
      <c r="D2" s="15" t="s">
        <v>35</v>
      </c>
      <c r="E2" s="15"/>
      <c r="F2" s="15"/>
      <c r="G2" s="15"/>
      <c r="H2" s="8" t="s">
        <v>131</v>
      </c>
      <c r="I2" s="3" t="s">
        <v>132</v>
      </c>
      <c r="J2" s="4" t="s">
        <v>133</v>
      </c>
      <c r="K2" s="4" t="s">
        <v>142</v>
      </c>
      <c r="L2" s="4"/>
      <c r="M2" s="4"/>
      <c r="N2" t="s">
        <v>44</v>
      </c>
    </row>
    <row r="3" spans="1:14" s="2" customFormat="1" ht="14.1" customHeight="1" x14ac:dyDescent="0.3">
      <c r="A3" s="103">
        <v>1</v>
      </c>
      <c r="B3" s="106" t="s">
        <v>23</v>
      </c>
      <c r="C3" s="106"/>
      <c r="D3" s="107" t="s">
        <v>47</v>
      </c>
      <c r="E3" s="107"/>
      <c r="F3" s="107"/>
      <c r="G3" s="20"/>
      <c r="H3" s="23">
        <f>SUM(I3)-3</f>
        <v>31</v>
      </c>
      <c r="I3" s="25">
        <v>34</v>
      </c>
      <c r="J3" s="27">
        <f>SUM(I3)+3</f>
        <v>37</v>
      </c>
      <c r="K3" s="27">
        <f>SUM(J3)+3</f>
        <v>40</v>
      </c>
      <c r="L3" s="106"/>
      <c r="M3" s="29"/>
    </row>
    <row r="4" spans="1:14" s="2" customFormat="1" ht="14.1" customHeight="1" x14ac:dyDescent="0.3">
      <c r="A4" s="90"/>
      <c r="B4" s="38" t="s">
        <v>20</v>
      </c>
      <c r="C4" s="38"/>
      <c r="D4" s="53" t="s">
        <v>39</v>
      </c>
      <c r="E4" s="54"/>
      <c r="F4" s="54"/>
      <c r="G4" s="54"/>
      <c r="H4" s="51"/>
      <c r="I4" s="26"/>
      <c r="J4" s="28"/>
      <c r="K4" s="28"/>
      <c r="L4" s="38"/>
      <c r="M4" s="30"/>
    </row>
    <row r="5" spans="1:14" s="2" customFormat="1" ht="14.1" customHeight="1" x14ac:dyDescent="0.3">
      <c r="A5" s="90">
        <v>2</v>
      </c>
      <c r="B5" s="37" t="s">
        <v>21</v>
      </c>
      <c r="C5" s="37"/>
      <c r="D5" s="102" t="s">
        <v>22</v>
      </c>
      <c r="E5" s="102"/>
      <c r="F5" s="102"/>
      <c r="G5" s="102"/>
      <c r="H5" s="67">
        <f>SUM(I5)-1.2</f>
        <v>24.8</v>
      </c>
      <c r="I5" s="52">
        <v>26</v>
      </c>
      <c r="J5" s="36">
        <f>SUM(I5)+1.2</f>
        <v>27.2</v>
      </c>
      <c r="K5" s="36">
        <f>SUM(J5)+1.2</f>
        <v>28.4</v>
      </c>
      <c r="L5" s="36"/>
      <c r="M5" s="44"/>
    </row>
    <row r="6" spans="1:14" s="2" customFormat="1" ht="14.1" customHeight="1" x14ac:dyDescent="0.3">
      <c r="A6" s="90"/>
      <c r="B6" s="38" t="s">
        <v>11</v>
      </c>
      <c r="C6" s="38"/>
      <c r="D6" s="53" t="s">
        <v>26</v>
      </c>
      <c r="E6" s="54"/>
      <c r="F6" s="54"/>
      <c r="G6" s="55"/>
      <c r="H6" s="24"/>
      <c r="I6" s="26"/>
      <c r="J6" s="28"/>
      <c r="K6" s="28"/>
      <c r="L6" s="28"/>
      <c r="M6" s="30"/>
    </row>
    <row r="7" spans="1:14" s="2" customFormat="1" ht="14.1" customHeight="1" x14ac:dyDescent="0.3">
      <c r="A7" s="90">
        <v>3</v>
      </c>
      <c r="B7" s="37" t="s">
        <v>19</v>
      </c>
      <c r="C7" s="37"/>
      <c r="D7" s="102" t="s">
        <v>45</v>
      </c>
      <c r="E7" s="102"/>
      <c r="F7" s="102"/>
      <c r="G7" s="102"/>
      <c r="H7" s="67">
        <f>SUM(I7)-1.5</f>
        <v>29.5</v>
      </c>
      <c r="I7" s="52">
        <v>31</v>
      </c>
      <c r="J7" s="36">
        <f>SUM(I7)+1.5</f>
        <v>32.5</v>
      </c>
      <c r="K7" s="36">
        <f>SUM(J7)+1.5</f>
        <v>34</v>
      </c>
      <c r="L7" s="36"/>
      <c r="M7" s="44"/>
    </row>
    <row r="8" spans="1:14" s="2" customFormat="1" ht="14.1" customHeight="1" x14ac:dyDescent="0.3">
      <c r="A8" s="90"/>
      <c r="B8" s="38" t="s">
        <v>24</v>
      </c>
      <c r="C8" s="38"/>
      <c r="D8" s="53" t="s">
        <v>27</v>
      </c>
      <c r="E8" s="54"/>
      <c r="F8" s="54"/>
      <c r="G8" s="55"/>
      <c r="H8" s="24"/>
      <c r="I8" s="26"/>
      <c r="J8" s="28"/>
      <c r="K8" s="28"/>
      <c r="L8" s="28"/>
      <c r="M8" s="30"/>
    </row>
    <row r="9" spans="1:14" s="2" customFormat="1" ht="14.1" customHeight="1" x14ac:dyDescent="0.3">
      <c r="A9" s="90">
        <v>4</v>
      </c>
      <c r="B9" s="37" t="s">
        <v>25</v>
      </c>
      <c r="C9" s="37"/>
      <c r="D9" s="102" t="s">
        <v>9</v>
      </c>
      <c r="E9" s="102"/>
      <c r="F9" s="102"/>
      <c r="G9" s="102"/>
      <c r="H9" s="67">
        <f>SUM(I9)-1.2</f>
        <v>26.3</v>
      </c>
      <c r="I9" s="52">
        <v>27.5</v>
      </c>
      <c r="J9" s="36">
        <f>SUM(I9)+1.2</f>
        <v>28.7</v>
      </c>
      <c r="K9" s="36">
        <f>SUM(J9)+1.2</f>
        <v>29.9</v>
      </c>
      <c r="L9" s="36"/>
      <c r="M9" s="44"/>
    </row>
    <row r="10" spans="1:14" s="2" customFormat="1" ht="14.1" customHeight="1" x14ac:dyDescent="0.3">
      <c r="A10" s="90"/>
      <c r="B10" s="38" t="s">
        <v>12</v>
      </c>
      <c r="C10" s="38"/>
      <c r="D10" s="53" t="s">
        <v>28</v>
      </c>
      <c r="E10" s="54"/>
      <c r="F10" s="54"/>
      <c r="G10" s="55"/>
      <c r="H10" s="24"/>
      <c r="I10" s="26"/>
      <c r="J10" s="28"/>
      <c r="K10" s="28"/>
      <c r="L10" s="28"/>
      <c r="M10" s="30"/>
    </row>
    <row r="11" spans="1:14" s="2" customFormat="1" ht="14.1" customHeight="1" x14ac:dyDescent="0.3">
      <c r="A11" s="90">
        <v>5</v>
      </c>
      <c r="B11" s="37" t="s">
        <v>10</v>
      </c>
      <c r="C11" s="37"/>
      <c r="D11" s="102" t="s">
        <v>0</v>
      </c>
      <c r="E11" s="102"/>
      <c r="F11" s="102"/>
      <c r="G11" s="102"/>
      <c r="H11" s="67">
        <f>SUM(I11)-0.9</f>
        <v>12.6</v>
      </c>
      <c r="I11" s="52">
        <v>13.5</v>
      </c>
      <c r="J11" s="36">
        <f>SUM(I11)+0.9</f>
        <v>14.4</v>
      </c>
      <c r="K11" s="36">
        <f>SUM(J11)+0.9</f>
        <v>15.3</v>
      </c>
      <c r="L11" s="36"/>
      <c r="M11" s="44"/>
    </row>
    <row r="12" spans="1:14" s="2" customFormat="1" ht="14.1" customHeight="1" x14ac:dyDescent="0.3">
      <c r="A12" s="90"/>
      <c r="B12" s="38" t="s">
        <v>13</v>
      </c>
      <c r="C12" s="38"/>
      <c r="D12" s="53" t="s">
        <v>29</v>
      </c>
      <c r="E12" s="54"/>
      <c r="F12" s="54"/>
      <c r="G12" s="55"/>
      <c r="H12" s="24"/>
      <c r="I12" s="26"/>
      <c r="J12" s="28"/>
      <c r="K12" s="28"/>
      <c r="L12" s="28"/>
      <c r="M12" s="30"/>
    </row>
    <row r="13" spans="1:14" s="2" customFormat="1" ht="14.1" customHeight="1" x14ac:dyDescent="0.3">
      <c r="A13" s="90">
        <v>6</v>
      </c>
      <c r="B13" s="37" t="s">
        <v>1</v>
      </c>
      <c r="C13" s="37"/>
      <c r="D13" s="102" t="s">
        <v>2</v>
      </c>
      <c r="E13" s="102"/>
      <c r="F13" s="102"/>
      <c r="G13" s="102"/>
      <c r="H13" s="67">
        <f>SUM(I13)-0.5</f>
        <v>12.5</v>
      </c>
      <c r="I13" s="52">
        <v>13</v>
      </c>
      <c r="J13" s="36">
        <f>SUM(I13)+0.5</f>
        <v>13.5</v>
      </c>
      <c r="K13" s="36">
        <f>SUM(J13)+0.5</f>
        <v>14</v>
      </c>
      <c r="L13" s="37"/>
      <c r="M13" s="44"/>
    </row>
    <row r="14" spans="1:14" s="2" customFormat="1" ht="14.1" customHeight="1" x14ac:dyDescent="0.3">
      <c r="A14" s="90"/>
      <c r="B14" s="38" t="s">
        <v>14</v>
      </c>
      <c r="C14" s="38"/>
      <c r="D14" s="53" t="s">
        <v>52</v>
      </c>
      <c r="E14" s="54"/>
      <c r="F14" s="54"/>
      <c r="G14" s="55"/>
      <c r="H14" s="24"/>
      <c r="I14" s="26"/>
      <c r="J14" s="28"/>
      <c r="K14" s="28"/>
      <c r="L14" s="38"/>
      <c r="M14" s="30"/>
    </row>
    <row r="15" spans="1:14" s="2" customFormat="1" ht="14.1" customHeight="1" x14ac:dyDescent="0.3">
      <c r="A15" s="90">
        <v>7</v>
      </c>
      <c r="B15" s="37" t="s">
        <v>3</v>
      </c>
      <c r="C15" s="37"/>
      <c r="D15" s="102" t="s">
        <v>4</v>
      </c>
      <c r="E15" s="102"/>
      <c r="F15" s="102"/>
      <c r="G15" s="102"/>
      <c r="H15" s="67">
        <f>SUM(I15)-0.3</f>
        <v>5.4</v>
      </c>
      <c r="I15" s="52">
        <v>5.7</v>
      </c>
      <c r="J15" s="36">
        <f>SUM(I15)+0.3</f>
        <v>6</v>
      </c>
      <c r="K15" s="36">
        <f>SUM(J15)+0.3</f>
        <v>6.3</v>
      </c>
      <c r="L15" s="37"/>
      <c r="M15" s="44"/>
    </row>
    <row r="16" spans="1:14" s="2" customFormat="1" ht="14.1" customHeight="1" x14ac:dyDescent="0.3">
      <c r="A16" s="90"/>
      <c r="B16" s="38" t="s">
        <v>15</v>
      </c>
      <c r="C16" s="38"/>
      <c r="D16" s="53" t="s">
        <v>51</v>
      </c>
      <c r="E16" s="54"/>
      <c r="F16" s="54"/>
      <c r="G16" s="55"/>
      <c r="H16" s="24"/>
      <c r="I16" s="26"/>
      <c r="J16" s="28"/>
      <c r="K16" s="28"/>
      <c r="L16" s="38"/>
      <c r="M16" s="30"/>
    </row>
    <row r="17" spans="1:13" s="2" customFormat="1" ht="14.1" customHeight="1" x14ac:dyDescent="0.3">
      <c r="A17" s="90">
        <v>8</v>
      </c>
      <c r="B17" s="46" t="s">
        <v>40</v>
      </c>
      <c r="C17" s="47"/>
      <c r="D17" s="48" t="s">
        <v>42</v>
      </c>
      <c r="E17" s="49"/>
      <c r="F17" s="49"/>
      <c r="G17" s="50"/>
      <c r="H17" s="67">
        <f>SUM(I17)-1.4</f>
        <v>32.6</v>
      </c>
      <c r="I17" s="52">
        <v>34</v>
      </c>
      <c r="J17" s="36">
        <f>SUM(I17)+1.4</f>
        <v>35.4</v>
      </c>
      <c r="K17" s="36">
        <f>SUM(J17)+1.4</f>
        <v>36.799999999999997</v>
      </c>
      <c r="L17" s="37"/>
      <c r="M17" s="44"/>
    </row>
    <row r="18" spans="1:13" s="2" customFormat="1" ht="14.1" customHeight="1" x14ac:dyDescent="0.3">
      <c r="A18" s="90"/>
      <c r="B18" s="38" t="s">
        <v>41</v>
      </c>
      <c r="C18" s="38"/>
      <c r="D18" s="53" t="s">
        <v>50</v>
      </c>
      <c r="E18" s="54"/>
      <c r="F18" s="54"/>
      <c r="G18" s="55"/>
      <c r="H18" s="24"/>
      <c r="I18" s="26"/>
      <c r="J18" s="28"/>
      <c r="K18" s="28"/>
      <c r="L18" s="38"/>
      <c r="M18" s="30"/>
    </row>
    <row r="19" spans="1:13" s="2" customFormat="1" ht="14.1" customHeight="1" x14ac:dyDescent="0.3">
      <c r="A19" s="90">
        <v>9</v>
      </c>
      <c r="B19" s="37" t="s">
        <v>5</v>
      </c>
      <c r="C19" s="37"/>
      <c r="D19" s="102" t="s">
        <v>6</v>
      </c>
      <c r="E19" s="102"/>
      <c r="F19" s="102"/>
      <c r="G19" s="102"/>
      <c r="H19" s="67">
        <f>SUM(I19)-2.9</f>
        <v>26.1</v>
      </c>
      <c r="I19" s="52">
        <v>29</v>
      </c>
      <c r="J19" s="36">
        <f>SUM(I19)+2.9</f>
        <v>31.9</v>
      </c>
      <c r="K19" s="36">
        <f>SUM(J19)+2.9</f>
        <v>34.799999999999997</v>
      </c>
      <c r="L19" s="36"/>
      <c r="M19" s="44"/>
    </row>
    <row r="20" spans="1:13" s="2" customFormat="1" ht="14.1" customHeight="1" x14ac:dyDescent="0.3">
      <c r="A20" s="90"/>
      <c r="B20" s="38" t="s">
        <v>16</v>
      </c>
      <c r="C20" s="38"/>
      <c r="D20" s="53" t="s">
        <v>32</v>
      </c>
      <c r="E20" s="54"/>
      <c r="F20" s="54"/>
      <c r="G20" s="55"/>
      <c r="H20" s="24"/>
      <c r="I20" s="26"/>
      <c r="J20" s="28"/>
      <c r="K20" s="28"/>
      <c r="L20" s="28"/>
      <c r="M20" s="30"/>
    </row>
    <row r="21" spans="1:13" s="2" customFormat="1" ht="14.1" customHeight="1" x14ac:dyDescent="0.3">
      <c r="A21" s="90">
        <v>10</v>
      </c>
      <c r="B21" s="37" t="s">
        <v>7</v>
      </c>
      <c r="C21" s="37"/>
      <c r="D21" s="48" t="s">
        <v>8</v>
      </c>
      <c r="E21" s="49"/>
      <c r="F21" s="49"/>
      <c r="G21" s="50"/>
      <c r="H21" s="92"/>
      <c r="I21" s="100"/>
      <c r="J21" s="92"/>
      <c r="K21" s="92"/>
      <c r="L21" s="36"/>
      <c r="M21" s="44"/>
    </row>
    <row r="22" spans="1:13" s="2" customFormat="1" ht="14.1" customHeight="1" x14ac:dyDescent="0.3">
      <c r="A22" s="90"/>
      <c r="B22" s="38" t="s">
        <v>17</v>
      </c>
      <c r="C22" s="38"/>
      <c r="D22" s="53" t="s">
        <v>36</v>
      </c>
      <c r="E22" s="54"/>
      <c r="F22" s="54"/>
      <c r="G22" s="55"/>
      <c r="H22" s="92"/>
      <c r="I22" s="100"/>
      <c r="J22" s="92"/>
      <c r="K22" s="92"/>
      <c r="L22" s="28"/>
      <c r="M22" s="30"/>
    </row>
    <row r="23" spans="1:13" s="2" customFormat="1" ht="14.1" customHeight="1" x14ac:dyDescent="0.3">
      <c r="A23" s="90">
        <v>11</v>
      </c>
      <c r="B23" s="46" t="s">
        <v>46</v>
      </c>
      <c r="C23" s="47"/>
      <c r="D23" s="102" t="s">
        <v>37</v>
      </c>
      <c r="E23" s="102"/>
      <c r="F23" s="102"/>
      <c r="G23" s="102"/>
      <c r="H23" s="67">
        <f>SUM(I23)-0.5</f>
        <v>13.5</v>
      </c>
      <c r="I23" s="52">
        <v>14</v>
      </c>
      <c r="J23" s="36">
        <f>SUM(I23)+0.5</f>
        <v>14.5</v>
      </c>
      <c r="K23" s="36">
        <f>SUM(J23)+0.5</f>
        <v>15</v>
      </c>
      <c r="L23" s="36"/>
      <c r="M23" s="44"/>
    </row>
    <row r="24" spans="1:13" s="2" customFormat="1" ht="14.1" customHeight="1" x14ac:dyDescent="0.3">
      <c r="A24" s="90"/>
      <c r="B24" s="38" t="s">
        <v>18</v>
      </c>
      <c r="C24" s="38"/>
      <c r="D24" s="53" t="s">
        <v>38</v>
      </c>
      <c r="E24" s="54"/>
      <c r="F24" s="54"/>
      <c r="G24" s="55"/>
      <c r="H24" s="24"/>
      <c r="I24" s="26"/>
      <c r="J24" s="28"/>
      <c r="K24" s="28"/>
      <c r="L24" s="28"/>
      <c r="M24" s="30"/>
    </row>
    <row r="25" spans="1:13" s="2" customFormat="1" ht="14.1" customHeight="1" x14ac:dyDescent="0.3">
      <c r="A25" s="90">
        <v>12</v>
      </c>
      <c r="B25" s="46" t="s">
        <v>53</v>
      </c>
      <c r="C25" s="47"/>
      <c r="D25" s="97" t="s">
        <v>49</v>
      </c>
      <c r="E25" s="98"/>
      <c r="F25" s="98"/>
      <c r="G25" s="99"/>
      <c r="H25" s="67">
        <f>SUM(I25)-0.3</f>
        <v>3.5</v>
      </c>
      <c r="I25" s="52">
        <v>3.8</v>
      </c>
      <c r="J25" s="36">
        <f>SUM(I25)+0.3</f>
        <v>4.0999999999999996</v>
      </c>
      <c r="K25" s="36">
        <f>SUM(J25)+0.3</f>
        <v>4.3999999999999995</v>
      </c>
      <c r="L25" s="37"/>
      <c r="M25" s="44"/>
    </row>
    <row r="26" spans="1:13" s="2" customFormat="1" ht="14.1" customHeight="1" x14ac:dyDescent="0.3">
      <c r="A26" s="90"/>
      <c r="B26" s="95" t="s">
        <v>54</v>
      </c>
      <c r="C26" s="96"/>
      <c r="D26" s="53" t="s">
        <v>48</v>
      </c>
      <c r="E26" s="54"/>
      <c r="F26" s="54"/>
      <c r="G26" s="55"/>
      <c r="H26" s="24"/>
      <c r="I26" s="26"/>
      <c r="J26" s="28"/>
      <c r="K26" s="28"/>
      <c r="L26" s="38"/>
      <c r="M26" s="30"/>
    </row>
    <row r="27" spans="1:13" s="2" customFormat="1" ht="14.1" customHeight="1" x14ac:dyDescent="0.3">
      <c r="A27" s="103">
        <v>13</v>
      </c>
      <c r="B27" s="46" t="s">
        <v>139</v>
      </c>
      <c r="C27" s="47"/>
      <c r="D27" s="97"/>
      <c r="E27" s="98"/>
      <c r="F27" s="98"/>
      <c r="G27" s="99"/>
      <c r="H27" s="67">
        <f>SUM(I27)</f>
        <v>7.5</v>
      </c>
      <c r="I27" s="52">
        <v>7.5</v>
      </c>
      <c r="J27" s="36">
        <f>SUM(I27)+0.2</f>
        <v>7.7</v>
      </c>
      <c r="K27" s="36">
        <f>SUM(J27)+0.2</f>
        <v>7.9</v>
      </c>
      <c r="L27" s="36"/>
      <c r="M27" s="44"/>
    </row>
    <row r="28" spans="1:13" s="2" customFormat="1" ht="14.1" customHeight="1" thickBot="1" x14ac:dyDescent="0.35">
      <c r="A28" s="91"/>
      <c r="B28" s="85" t="s">
        <v>140</v>
      </c>
      <c r="C28" s="86"/>
      <c r="D28" s="87" t="s">
        <v>141</v>
      </c>
      <c r="E28" s="88"/>
      <c r="F28" s="88"/>
      <c r="G28" s="89"/>
      <c r="H28" s="82"/>
      <c r="I28" s="83"/>
      <c r="J28" s="74"/>
      <c r="K28" s="74"/>
      <c r="L28" s="74"/>
      <c r="M28" s="84"/>
    </row>
    <row r="29" spans="1:13" ht="14.1" customHeight="1" x14ac:dyDescent="0.3">
      <c r="K29" s="28"/>
    </row>
    <row r="30" spans="1:13" ht="14.1" customHeight="1" x14ac:dyDescent="0.3">
      <c r="K30" s="92"/>
    </row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K29:K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3A83-97E1-4688-9CAD-B3C639A69571}">
  <sheetPr>
    <tabColor rgb="FFFF0000"/>
    <pageSetUpPr fitToPage="1"/>
  </sheetPr>
  <dimension ref="A1:N51"/>
  <sheetViews>
    <sheetView zoomScale="110" zoomScaleNormal="110" workbookViewId="0">
      <selection sqref="A1:M3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2" t="s">
        <v>186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4" ht="16.5" customHeight="1" thickBot="1" x14ac:dyDescent="0.35">
      <c r="A2" s="5" t="s">
        <v>33</v>
      </c>
      <c r="B2" s="15" t="s">
        <v>34</v>
      </c>
      <c r="C2" s="15"/>
      <c r="D2" s="15" t="s">
        <v>35</v>
      </c>
      <c r="E2" s="15"/>
      <c r="F2" s="15"/>
      <c r="G2" s="15"/>
      <c r="H2" s="8" t="s">
        <v>131</v>
      </c>
      <c r="I2" s="3" t="s">
        <v>132</v>
      </c>
      <c r="J2" s="4" t="s">
        <v>133</v>
      </c>
      <c r="K2" s="4" t="s">
        <v>142</v>
      </c>
      <c r="L2" s="4"/>
      <c r="M2" s="4"/>
      <c r="N2" t="s">
        <v>44</v>
      </c>
    </row>
    <row r="3" spans="1:14" s="2" customFormat="1" ht="14.1" customHeight="1" x14ac:dyDescent="0.3">
      <c r="A3" s="103">
        <v>1</v>
      </c>
      <c r="B3" s="106" t="s">
        <v>23</v>
      </c>
      <c r="C3" s="106"/>
      <c r="D3" s="107" t="s">
        <v>47</v>
      </c>
      <c r="E3" s="107"/>
      <c r="F3" s="107"/>
      <c r="G3" s="20"/>
      <c r="H3" s="23">
        <f>SUM(I3)-3</f>
        <v>32</v>
      </c>
      <c r="I3" s="25">
        <v>35</v>
      </c>
      <c r="J3" s="27">
        <f>SUM(I3)+3</f>
        <v>38</v>
      </c>
      <c r="K3" s="27">
        <f>SUM(J3)+3</f>
        <v>41</v>
      </c>
      <c r="L3" s="106"/>
      <c r="M3" s="29"/>
    </row>
    <row r="4" spans="1:14" s="2" customFormat="1" ht="14.1" customHeight="1" x14ac:dyDescent="0.3">
      <c r="A4" s="90"/>
      <c r="B4" s="38" t="s">
        <v>20</v>
      </c>
      <c r="C4" s="38"/>
      <c r="D4" s="53" t="s">
        <v>39</v>
      </c>
      <c r="E4" s="54"/>
      <c r="F4" s="54"/>
      <c r="G4" s="54"/>
      <c r="H4" s="51"/>
      <c r="I4" s="26"/>
      <c r="J4" s="28"/>
      <c r="K4" s="28"/>
      <c r="L4" s="38"/>
      <c r="M4" s="30"/>
    </row>
    <row r="5" spans="1:14" s="2" customFormat="1" ht="14.1" customHeight="1" x14ac:dyDescent="0.3">
      <c r="A5" s="90">
        <v>2</v>
      </c>
      <c r="B5" s="37" t="s">
        <v>21</v>
      </c>
      <c r="C5" s="37"/>
      <c r="D5" s="102" t="s">
        <v>22</v>
      </c>
      <c r="E5" s="102"/>
      <c r="F5" s="102"/>
      <c r="G5" s="102"/>
      <c r="H5" s="67">
        <f>SUM(I5)-1.2</f>
        <v>20.8</v>
      </c>
      <c r="I5" s="52">
        <v>22</v>
      </c>
      <c r="J5" s="36">
        <f>SUM(I5)+1.2</f>
        <v>23.2</v>
      </c>
      <c r="K5" s="36">
        <f>SUM(J5)+1.2</f>
        <v>24.4</v>
      </c>
      <c r="L5" s="36"/>
      <c r="M5" s="44"/>
    </row>
    <row r="6" spans="1:14" s="2" customFormat="1" ht="14.1" customHeight="1" x14ac:dyDescent="0.3">
      <c r="A6" s="90"/>
      <c r="B6" s="38" t="s">
        <v>11</v>
      </c>
      <c r="C6" s="38"/>
      <c r="D6" s="53" t="s">
        <v>26</v>
      </c>
      <c r="E6" s="54"/>
      <c r="F6" s="54"/>
      <c r="G6" s="55"/>
      <c r="H6" s="24"/>
      <c r="I6" s="26"/>
      <c r="J6" s="28"/>
      <c r="K6" s="28"/>
      <c r="L6" s="28"/>
      <c r="M6" s="30"/>
    </row>
    <row r="7" spans="1:14" s="2" customFormat="1" ht="14.1" customHeight="1" x14ac:dyDescent="0.3">
      <c r="A7" s="90">
        <v>3</v>
      </c>
      <c r="B7" s="37" t="s">
        <v>19</v>
      </c>
      <c r="C7" s="37"/>
      <c r="D7" s="102" t="s">
        <v>45</v>
      </c>
      <c r="E7" s="102"/>
      <c r="F7" s="102"/>
      <c r="G7" s="102"/>
      <c r="H7" s="67">
        <f>SUM(I7)-1.5</f>
        <v>25.5</v>
      </c>
      <c r="I7" s="52">
        <v>27</v>
      </c>
      <c r="J7" s="36">
        <f>SUM(I7)+1.5</f>
        <v>28.5</v>
      </c>
      <c r="K7" s="36">
        <f>SUM(J7)+1.5</f>
        <v>30</v>
      </c>
      <c r="L7" s="36"/>
      <c r="M7" s="44"/>
    </row>
    <row r="8" spans="1:14" s="2" customFormat="1" ht="14.1" customHeight="1" x14ac:dyDescent="0.3">
      <c r="A8" s="90"/>
      <c r="B8" s="38" t="s">
        <v>24</v>
      </c>
      <c r="C8" s="38"/>
      <c r="D8" s="53" t="s">
        <v>27</v>
      </c>
      <c r="E8" s="54"/>
      <c r="F8" s="54"/>
      <c r="G8" s="55"/>
      <c r="H8" s="24"/>
      <c r="I8" s="26"/>
      <c r="J8" s="28"/>
      <c r="K8" s="28"/>
      <c r="L8" s="28"/>
      <c r="M8" s="30"/>
    </row>
    <row r="9" spans="1:14" s="2" customFormat="1" ht="14.1" customHeight="1" x14ac:dyDescent="0.3">
      <c r="A9" s="90">
        <v>4</v>
      </c>
      <c r="B9" s="37" t="s">
        <v>25</v>
      </c>
      <c r="C9" s="37"/>
      <c r="D9" s="102" t="s">
        <v>9</v>
      </c>
      <c r="E9" s="102"/>
      <c r="F9" s="102"/>
      <c r="G9" s="102"/>
      <c r="H9" s="67"/>
      <c r="I9" s="52"/>
      <c r="J9" s="36"/>
      <c r="K9" s="36"/>
      <c r="L9" s="36"/>
      <c r="M9" s="44"/>
    </row>
    <row r="10" spans="1:14" s="2" customFormat="1" ht="14.1" customHeight="1" x14ac:dyDescent="0.3">
      <c r="A10" s="90"/>
      <c r="B10" s="38" t="s">
        <v>12</v>
      </c>
      <c r="C10" s="38"/>
      <c r="D10" s="53" t="s">
        <v>28</v>
      </c>
      <c r="E10" s="54"/>
      <c r="F10" s="54"/>
      <c r="G10" s="55"/>
      <c r="H10" s="24"/>
      <c r="I10" s="26"/>
      <c r="J10" s="28"/>
      <c r="K10" s="28"/>
      <c r="L10" s="28"/>
      <c r="M10" s="30"/>
    </row>
    <row r="11" spans="1:14" s="2" customFormat="1" ht="14.1" customHeight="1" x14ac:dyDescent="0.3">
      <c r="A11" s="90">
        <v>5</v>
      </c>
      <c r="B11" s="37" t="s">
        <v>10</v>
      </c>
      <c r="C11" s="37"/>
      <c r="D11" s="102" t="s">
        <v>0</v>
      </c>
      <c r="E11" s="102"/>
      <c r="F11" s="102"/>
      <c r="G11" s="102"/>
      <c r="H11" s="67">
        <f>SUM(I11)-0.9</f>
        <v>11.7</v>
      </c>
      <c r="I11" s="52">
        <v>12.6</v>
      </c>
      <c r="J11" s="36">
        <f>SUM(I11)+0.9</f>
        <v>13.5</v>
      </c>
      <c r="K11" s="36">
        <f>SUM(J11)+0.9</f>
        <v>14.4</v>
      </c>
      <c r="L11" s="36"/>
      <c r="M11" s="44"/>
    </row>
    <row r="12" spans="1:14" s="2" customFormat="1" ht="14.1" customHeight="1" x14ac:dyDescent="0.3">
      <c r="A12" s="90"/>
      <c r="B12" s="38" t="s">
        <v>13</v>
      </c>
      <c r="C12" s="38"/>
      <c r="D12" s="53" t="s">
        <v>29</v>
      </c>
      <c r="E12" s="54"/>
      <c r="F12" s="54"/>
      <c r="G12" s="55"/>
      <c r="H12" s="24"/>
      <c r="I12" s="26"/>
      <c r="J12" s="28"/>
      <c r="K12" s="28"/>
      <c r="L12" s="28"/>
      <c r="M12" s="30"/>
    </row>
    <row r="13" spans="1:14" s="2" customFormat="1" ht="14.1" customHeight="1" x14ac:dyDescent="0.3">
      <c r="A13" s="90">
        <v>6</v>
      </c>
      <c r="B13" s="37" t="s">
        <v>1</v>
      </c>
      <c r="C13" s="37"/>
      <c r="D13" s="102" t="s">
        <v>2</v>
      </c>
      <c r="E13" s="102"/>
      <c r="F13" s="102"/>
      <c r="G13" s="102"/>
      <c r="H13" s="67">
        <f>SUM(I13)-0.5</f>
        <v>12.5</v>
      </c>
      <c r="I13" s="52">
        <v>13</v>
      </c>
      <c r="J13" s="36">
        <f>SUM(I13)+0.5</f>
        <v>13.5</v>
      </c>
      <c r="K13" s="36">
        <f>SUM(J13)+0.5</f>
        <v>14</v>
      </c>
      <c r="L13" s="37"/>
      <c r="M13" s="44"/>
    </row>
    <row r="14" spans="1:14" s="2" customFormat="1" ht="14.1" customHeight="1" x14ac:dyDescent="0.3">
      <c r="A14" s="90"/>
      <c r="B14" s="38" t="s">
        <v>14</v>
      </c>
      <c r="C14" s="38"/>
      <c r="D14" s="53" t="s">
        <v>52</v>
      </c>
      <c r="E14" s="54"/>
      <c r="F14" s="54"/>
      <c r="G14" s="55"/>
      <c r="H14" s="24"/>
      <c r="I14" s="26"/>
      <c r="J14" s="28"/>
      <c r="K14" s="28"/>
      <c r="L14" s="38"/>
      <c r="M14" s="30"/>
    </row>
    <row r="15" spans="1:14" s="2" customFormat="1" ht="14.1" customHeight="1" x14ac:dyDescent="0.3">
      <c r="A15" s="90">
        <v>7</v>
      </c>
      <c r="B15" s="37" t="s">
        <v>3</v>
      </c>
      <c r="C15" s="37"/>
      <c r="D15" s="102" t="s">
        <v>4</v>
      </c>
      <c r="E15" s="102"/>
      <c r="F15" s="102"/>
      <c r="G15" s="102"/>
      <c r="H15" s="67">
        <f>SUM(I15)-0.3</f>
        <v>4.7</v>
      </c>
      <c r="I15" s="52">
        <v>5</v>
      </c>
      <c r="J15" s="36">
        <f>SUM(I15)+0.3</f>
        <v>5.3</v>
      </c>
      <c r="K15" s="36">
        <f>SUM(J15)+0.3</f>
        <v>5.6</v>
      </c>
      <c r="L15" s="37"/>
      <c r="M15" s="44"/>
    </row>
    <row r="16" spans="1:14" s="2" customFormat="1" ht="14.1" customHeight="1" x14ac:dyDescent="0.3">
      <c r="A16" s="90"/>
      <c r="B16" s="38" t="s">
        <v>15</v>
      </c>
      <c r="C16" s="38"/>
      <c r="D16" s="53" t="s">
        <v>51</v>
      </c>
      <c r="E16" s="54"/>
      <c r="F16" s="54"/>
      <c r="G16" s="55"/>
      <c r="H16" s="24"/>
      <c r="I16" s="26"/>
      <c r="J16" s="28"/>
      <c r="K16" s="28"/>
      <c r="L16" s="38"/>
      <c r="M16" s="30"/>
    </row>
    <row r="17" spans="1:13" s="2" customFormat="1" ht="14.1" customHeight="1" x14ac:dyDescent="0.3">
      <c r="A17" s="90">
        <v>8</v>
      </c>
      <c r="B17" s="46" t="s">
        <v>40</v>
      </c>
      <c r="C17" s="47"/>
      <c r="D17" s="48" t="s">
        <v>42</v>
      </c>
      <c r="E17" s="49"/>
      <c r="F17" s="49"/>
      <c r="G17" s="50"/>
      <c r="H17" s="67">
        <f>SUM(I17)-1.4</f>
        <v>31.4</v>
      </c>
      <c r="I17" s="52">
        <v>32.799999999999997</v>
      </c>
      <c r="J17" s="36">
        <f>SUM(I17)+1.4</f>
        <v>34.199999999999996</v>
      </c>
      <c r="K17" s="36">
        <f>SUM(J17)+1.4</f>
        <v>35.599999999999994</v>
      </c>
      <c r="L17" s="37"/>
      <c r="M17" s="44"/>
    </row>
    <row r="18" spans="1:13" s="2" customFormat="1" ht="14.1" customHeight="1" x14ac:dyDescent="0.3">
      <c r="A18" s="90"/>
      <c r="B18" s="38" t="s">
        <v>41</v>
      </c>
      <c r="C18" s="38"/>
      <c r="D18" s="53" t="s">
        <v>50</v>
      </c>
      <c r="E18" s="54"/>
      <c r="F18" s="54"/>
      <c r="G18" s="55"/>
      <c r="H18" s="24"/>
      <c r="I18" s="26"/>
      <c r="J18" s="28"/>
      <c r="K18" s="28"/>
      <c r="L18" s="38"/>
      <c r="M18" s="30"/>
    </row>
    <row r="19" spans="1:13" s="2" customFormat="1" ht="14.1" customHeight="1" x14ac:dyDescent="0.3">
      <c r="A19" s="90">
        <v>9</v>
      </c>
      <c r="B19" s="37" t="s">
        <v>5</v>
      </c>
      <c r="C19" s="37"/>
      <c r="D19" s="102" t="s">
        <v>6</v>
      </c>
      <c r="E19" s="102"/>
      <c r="F19" s="102"/>
      <c r="G19" s="102"/>
      <c r="H19" s="67">
        <f>SUM(I19)-2.9</f>
        <v>24.900000000000002</v>
      </c>
      <c r="I19" s="52">
        <v>27.8</v>
      </c>
      <c r="J19" s="36">
        <f>SUM(I19)+2.9</f>
        <v>30.7</v>
      </c>
      <c r="K19" s="36">
        <f>SUM(J19)+2.9</f>
        <v>33.6</v>
      </c>
      <c r="L19" s="36"/>
      <c r="M19" s="44"/>
    </row>
    <row r="20" spans="1:13" s="2" customFormat="1" ht="14.1" customHeight="1" x14ac:dyDescent="0.3">
      <c r="A20" s="90"/>
      <c r="B20" s="38" t="s">
        <v>16</v>
      </c>
      <c r="C20" s="38"/>
      <c r="D20" s="53" t="s">
        <v>32</v>
      </c>
      <c r="E20" s="54"/>
      <c r="F20" s="54"/>
      <c r="G20" s="55"/>
      <c r="H20" s="24"/>
      <c r="I20" s="26"/>
      <c r="J20" s="28"/>
      <c r="K20" s="28"/>
      <c r="L20" s="28"/>
      <c r="M20" s="30"/>
    </row>
    <row r="21" spans="1:13" s="2" customFormat="1" ht="14.1" customHeight="1" x14ac:dyDescent="0.3">
      <c r="A21" s="90">
        <v>10</v>
      </c>
      <c r="B21" s="37" t="s">
        <v>7</v>
      </c>
      <c r="C21" s="37"/>
      <c r="D21" s="48" t="s">
        <v>8</v>
      </c>
      <c r="E21" s="49"/>
      <c r="F21" s="49"/>
      <c r="G21" s="50"/>
      <c r="H21" s="92"/>
      <c r="I21" s="100"/>
      <c r="J21" s="92"/>
      <c r="K21" s="92"/>
      <c r="L21" s="36"/>
      <c r="M21" s="44"/>
    </row>
    <row r="22" spans="1:13" s="2" customFormat="1" ht="14.1" customHeight="1" x14ac:dyDescent="0.3">
      <c r="A22" s="90"/>
      <c r="B22" s="38" t="s">
        <v>17</v>
      </c>
      <c r="C22" s="38"/>
      <c r="D22" s="53" t="s">
        <v>36</v>
      </c>
      <c r="E22" s="54"/>
      <c r="F22" s="54"/>
      <c r="G22" s="55"/>
      <c r="H22" s="92"/>
      <c r="I22" s="100"/>
      <c r="J22" s="92"/>
      <c r="K22" s="92"/>
      <c r="L22" s="28"/>
      <c r="M22" s="30"/>
    </row>
    <row r="23" spans="1:13" s="2" customFormat="1" ht="14.1" customHeight="1" x14ac:dyDescent="0.3">
      <c r="A23" s="90">
        <v>11</v>
      </c>
      <c r="B23" s="46" t="s">
        <v>46</v>
      </c>
      <c r="C23" s="47"/>
      <c r="D23" s="102" t="s">
        <v>37</v>
      </c>
      <c r="E23" s="102"/>
      <c r="F23" s="102"/>
      <c r="G23" s="102"/>
      <c r="H23" s="67">
        <f>SUM(I23)-0.6</f>
        <v>14.4</v>
      </c>
      <c r="I23" s="52">
        <v>15</v>
      </c>
      <c r="J23" s="36">
        <f>SUM(I23)+0.6</f>
        <v>15.6</v>
      </c>
      <c r="K23" s="36">
        <f>SUM(J23)+0.6</f>
        <v>16.2</v>
      </c>
      <c r="L23" s="36"/>
      <c r="M23" s="44"/>
    </row>
    <row r="24" spans="1:13" s="2" customFormat="1" ht="14.1" customHeight="1" x14ac:dyDescent="0.3">
      <c r="A24" s="90"/>
      <c r="B24" s="38" t="s">
        <v>18</v>
      </c>
      <c r="C24" s="38"/>
      <c r="D24" s="53" t="s">
        <v>38</v>
      </c>
      <c r="E24" s="54"/>
      <c r="F24" s="54"/>
      <c r="G24" s="55"/>
      <c r="H24" s="24"/>
      <c r="I24" s="26"/>
      <c r="J24" s="28"/>
      <c r="K24" s="28"/>
      <c r="L24" s="28"/>
      <c r="M24" s="30"/>
    </row>
    <row r="25" spans="1:13" s="2" customFormat="1" ht="14.1" customHeight="1" x14ac:dyDescent="0.3">
      <c r="A25" s="90">
        <v>12</v>
      </c>
      <c r="B25" s="46" t="s">
        <v>53</v>
      </c>
      <c r="C25" s="47"/>
      <c r="D25" s="97"/>
      <c r="E25" s="98"/>
      <c r="F25" s="98"/>
      <c r="G25" s="99"/>
      <c r="H25" s="67">
        <f>SUM(I25)-0.9</f>
        <v>10.799999999999999</v>
      </c>
      <c r="I25" s="52">
        <v>11.7</v>
      </c>
      <c r="J25" s="36">
        <f>SUM(I25)+0.9</f>
        <v>12.6</v>
      </c>
      <c r="K25" s="36">
        <f>SUM(J25)+0.9</f>
        <v>13.5</v>
      </c>
      <c r="L25" s="37"/>
      <c r="M25" s="44"/>
    </row>
    <row r="26" spans="1:13" s="2" customFormat="1" ht="14.1" customHeight="1" x14ac:dyDescent="0.3">
      <c r="A26" s="90"/>
      <c r="B26" s="95" t="s">
        <v>54</v>
      </c>
      <c r="C26" s="96"/>
      <c r="D26" s="53" t="s">
        <v>187</v>
      </c>
      <c r="E26" s="54"/>
      <c r="F26" s="54"/>
      <c r="G26" s="55"/>
      <c r="H26" s="24"/>
      <c r="I26" s="26"/>
      <c r="J26" s="28"/>
      <c r="K26" s="28"/>
      <c r="L26" s="38"/>
      <c r="M26" s="30"/>
    </row>
    <row r="27" spans="1:13" s="2" customFormat="1" ht="14.1" customHeight="1" x14ac:dyDescent="0.3">
      <c r="A27" s="90">
        <v>12</v>
      </c>
      <c r="B27" s="46" t="s">
        <v>55</v>
      </c>
      <c r="C27" s="47"/>
      <c r="D27" s="97"/>
      <c r="E27" s="98"/>
      <c r="F27" s="98"/>
      <c r="G27" s="99"/>
      <c r="H27" s="67">
        <f>SUM(I27)-0.4</f>
        <v>4.0999999999999996</v>
      </c>
      <c r="I27" s="52">
        <v>4.5</v>
      </c>
      <c r="J27" s="36">
        <f>SUM(I27)+0.4</f>
        <v>4.9000000000000004</v>
      </c>
      <c r="K27" s="36">
        <f>SUM(J27)+0.4</f>
        <v>5.3000000000000007</v>
      </c>
      <c r="L27" s="37"/>
      <c r="M27" s="44"/>
    </row>
    <row r="28" spans="1:13" s="2" customFormat="1" ht="14.1" customHeight="1" x14ac:dyDescent="0.3">
      <c r="A28" s="90"/>
      <c r="B28" s="95" t="s">
        <v>56</v>
      </c>
      <c r="C28" s="96"/>
      <c r="D28" s="53" t="s">
        <v>188</v>
      </c>
      <c r="E28" s="54"/>
      <c r="F28" s="54"/>
      <c r="G28" s="55"/>
      <c r="H28" s="24"/>
      <c r="I28" s="26"/>
      <c r="J28" s="28"/>
      <c r="K28" s="28"/>
      <c r="L28" s="38"/>
      <c r="M28" s="30"/>
    </row>
    <row r="29" spans="1:13" ht="14.1" customHeight="1" x14ac:dyDescent="0.3">
      <c r="A29" s="90">
        <v>13</v>
      </c>
      <c r="B29" s="46" t="s">
        <v>139</v>
      </c>
      <c r="C29" s="47"/>
      <c r="D29" s="97"/>
      <c r="E29" s="98"/>
      <c r="F29" s="98"/>
      <c r="G29" s="99"/>
      <c r="H29" s="67">
        <f>SUM(I29)</f>
        <v>5.5</v>
      </c>
      <c r="I29" s="52">
        <v>5.5</v>
      </c>
      <c r="J29" s="36">
        <f>SUM(I29)+0.2</f>
        <v>5.7</v>
      </c>
      <c r="K29" s="36">
        <f>SUM(J29)+0.2</f>
        <v>5.9</v>
      </c>
      <c r="L29" s="36"/>
      <c r="M29" s="44"/>
    </row>
    <row r="30" spans="1:13" ht="14.1" customHeight="1" x14ac:dyDescent="0.3">
      <c r="A30" s="90"/>
      <c r="B30" s="93" t="s">
        <v>140</v>
      </c>
      <c r="C30" s="94"/>
      <c r="D30" s="108" t="s">
        <v>141</v>
      </c>
      <c r="E30" s="109"/>
      <c r="F30" s="109"/>
      <c r="G30" s="110"/>
      <c r="H30" s="51"/>
      <c r="I30" s="56"/>
      <c r="J30" s="57"/>
      <c r="K30" s="57"/>
      <c r="L30" s="57"/>
      <c r="M30" s="58"/>
    </row>
    <row r="31" spans="1:13" ht="14.1" customHeight="1" x14ac:dyDescent="0.3">
      <c r="A31" s="90">
        <v>14</v>
      </c>
      <c r="B31" s="46" t="s">
        <v>189</v>
      </c>
      <c r="C31" s="47"/>
      <c r="D31" s="97"/>
      <c r="E31" s="98"/>
      <c r="F31" s="98"/>
      <c r="G31" s="99"/>
      <c r="H31" s="67">
        <f>SUM(I31)-0.4</f>
        <v>4.3999999999999995</v>
      </c>
      <c r="I31" s="52">
        <v>4.8</v>
      </c>
      <c r="J31" s="36">
        <f>SUM(I31)+0.4</f>
        <v>5.2</v>
      </c>
      <c r="K31" s="36">
        <f>SUM(J31)+0.4</f>
        <v>5.6000000000000005</v>
      </c>
      <c r="L31" s="36"/>
      <c r="M31" s="44"/>
    </row>
    <row r="32" spans="1:13" ht="14.1" customHeight="1" x14ac:dyDescent="0.3">
      <c r="A32" s="90"/>
      <c r="B32" s="95" t="s">
        <v>190</v>
      </c>
      <c r="C32" s="96"/>
      <c r="D32" s="53" t="s">
        <v>194</v>
      </c>
      <c r="E32" s="54"/>
      <c r="F32" s="54"/>
      <c r="G32" s="55"/>
      <c r="H32" s="51"/>
      <c r="I32" s="56"/>
      <c r="J32" s="57"/>
      <c r="K32" s="57"/>
      <c r="L32" s="57"/>
      <c r="M32" s="58"/>
    </row>
    <row r="33" spans="1:13" ht="14.1" customHeight="1" x14ac:dyDescent="0.3">
      <c r="A33" s="90">
        <v>15</v>
      </c>
      <c r="B33" s="46" t="s">
        <v>191</v>
      </c>
      <c r="C33" s="47"/>
      <c r="D33" s="97"/>
      <c r="E33" s="98"/>
      <c r="F33" s="98"/>
      <c r="G33" s="99"/>
      <c r="H33" s="67">
        <f>SUM(I33)-0.6</f>
        <v>7.5</v>
      </c>
      <c r="I33" s="52">
        <v>8.1</v>
      </c>
      <c r="J33" s="36">
        <f>SUM(I33)+0.6</f>
        <v>8.6999999999999993</v>
      </c>
      <c r="K33" s="36">
        <f>SUM(J33)+0.6</f>
        <v>9.2999999999999989</v>
      </c>
      <c r="L33" s="36"/>
      <c r="M33" s="44"/>
    </row>
    <row r="34" spans="1:13" ht="14.1" customHeight="1" x14ac:dyDescent="0.3">
      <c r="A34" s="90"/>
      <c r="B34" s="95" t="s">
        <v>192</v>
      </c>
      <c r="C34" s="96"/>
      <c r="D34" s="53" t="s">
        <v>195</v>
      </c>
      <c r="E34" s="54"/>
      <c r="F34" s="54"/>
      <c r="G34" s="55"/>
      <c r="H34" s="51"/>
      <c r="I34" s="56"/>
      <c r="J34" s="57"/>
      <c r="K34" s="57"/>
      <c r="L34" s="57"/>
      <c r="M34" s="58"/>
    </row>
    <row r="35" spans="1:13" ht="14.1" customHeight="1" x14ac:dyDescent="0.3">
      <c r="A35" s="90">
        <v>16</v>
      </c>
      <c r="B35" s="93" t="s">
        <v>137</v>
      </c>
      <c r="C35" s="94"/>
      <c r="D35" s="108"/>
      <c r="E35" s="109"/>
      <c r="F35" s="109"/>
      <c r="G35" s="110"/>
      <c r="H35" s="67">
        <f>SUM(I35)-1</f>
        <v>9</v>
      </c>
      <c r="I35" s="52">
        <v>10</v>
      </c>
      <c r="J35" s="36">
        <f>SUM(I35)+1</f>
        <v>11</v>
      </c>
      <c r="K35" s="36">
        <f>SUM(J35)+1</f>
        <v>12</v>
      </c>
      <c r="L35" s="36"/>
      <c r="M35" s="44"/>
    </row>
    <row r="36" spans="1:13" ht="14.1" customHeight="1" thickBot="1" x14ac:dyDescent="0.35">
      <c r="A36" s="91"/>
      <c r="B36" s="76" t="s">
        <v>138</v>
      </c>
      <c r="C36" s="77"/>
      <c r="D36" s="78" t="s">
        <v>193</v>
      </c>
      <c r="E36" s="79"/>
      <c r="F36" s="79"/>
      <c r="G36" s="80"/>
      <c r="H36" s="82"/>
      <c r="I36" s="83"/>
      <c r="J36" s="74"/>
      <c r="K36" s="74"/>
      <c r="L36" s="74"/>
      <c r="M36" s="84"/>
    </row>
    <row r="37" spans="1:13" ht="14.1" customHeight="1" x14ac:dyDescent="0.3">
      <c r="B37" s="1"/>
      <c r="C37" s="1"/>
      <c r="D37" s="1"/>
      <c r="E37" s="1"/>
      <c r="F37" s="1"/>
      <c r="G37" s="1"/>
    </row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D30:G30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7:J28"/>
    <mergeCell ref="L25:L26"/>
    <mergeCell ref="M25:M26"/>
    <mergeCell ref="B26:C26"/>
    <mergeCell ref="D26:G26"/>
    <mergeCell ref="A31:A32"/>
    <mergeCell ref="A33:A34"/>
    <mergeCell ref="D31:G31"/>
    <mergeCell ref="D32:G32"/>
    <mergeCell ref="D33:G33"/>
    <mergeCell ref="D34:G34"/>
    <mergeCell ref="K31:K32"/>
    <mergeCell ref="A25:A26"/>
    <mergeCell ref="B25:C25"/>
    <mergeCell ref="D25:G25"/>
    <mergeCell ref="H25:H26"/>
    <mergeCell ref="I25:I26"/>
    <mergeCell ref="J25:J26"/>
    <mergeCell ref="K25:K26"/>
    <mergeCell ref="J31:J32"/>
    <mergeCell ref="J29:J30"/>
    <mergeCell ref="K29:K30"/>
    <mergeCell ref="L29:L30"/>
    <mergeCell ref="M29:M30"/>
    <mergeCell ref="B30:C30"/>
    <mergeCell ref="D35:G35"/>
    <mergeCell ref="D36:G36"/>
    <mergeCell ref="H31:H32"/>
    <mergeCell ref="H33:H34"/>
    <mergeCell ref="H35:H36"/>
    <mergeCell ref="I31:I32"/>
    <mergeCell ref="I33:I34"/>
    <mergeCell ref="I35:I36"/>
    <mergeCell ref="A35:A36"/>
    <mergeCell ref="B31:C31"/>
    <mergeCell ref="B32:C32"/>
    <mergeCell ref="B33:C33"/>
    <mergeCell ref="B34:C34"/>
    <mergeCell ref="B35:C35"/>
    <mergeCell ref="B36:C36"/>
    <mergeCell ref="M31:M32"/>
    <mergeCell ref="M33:M34"/>
    <mergeCell ref="M35:M36"/>
    <mergeCell ref="J33:J34"/>
    <mergeCell ref="J35:J36"/>
    <mergeCell ref="K33:K34"/>
    <mergeCell ref="K35:K36"/>
    <mergeCell ref="L31:L32"/>
    <mergeCell ref="L33:L34"/>
    <mergeCell ref="L35:L3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ECBC-AE43-4146-A376-2793C2BEEB84}">
  <sheetPr>
    <tabColor rgb="FFFF0000"/>
    <pageSetUpPr fitToPage="1"/>
  </sheetPr>
  <dimension ref="A1:N51"/>
  <sheetViews>
    <sheetView zoomScale="110" zoomScaleNormal="110" workbookViewId="0">
      <selection sqref="A1:M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2" t="s">
        <v>196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4" ht="16.5" customHeight="1" thickBot="1" x14ac:dyDescent="0.35">
      <c r="A2" s="5" t="s">
        <v>33</v>
      </c>
      <c r="B2" s="15" t="s">
        <v>34</v>
      </c>
      <c r="C2" s="15"/>
      <c r="D2" s="15" t="s">
        <v>35</v>
      </c>
      <c r="E2" s="15"/>
      <c r="F2" s="15"/>
      <c r="G2" s="15"/>
      <c r="H2" s="8" t="s">
        <v>131</v>
      </c>
      <c r="I2" s="3" t="s">
        <v>132</v>
      </c>
      <c r="J2" s="4" t="s">
        <v>133</v>
      </c>
      <c r="K2" s="4" t="s">
        <v>142</v>
      </c>
      <c r="L2" s="4"/>
      <c r="M2" s="4"/>
      <c r="N2" t="s">
        <v>44</v>
      </c>
    </row>
    <row r="3" spans="1:14" s="2" customFormat="1" ht="14.1" customHeight="1" x14ac:dyDescent="0.3">
      <c r="A3" s="103">
        <v>1</v>
      </c>
      <c r="B3" s="106" t="s">
        <v>23</v>
      </c>
      <c r="C3" s="106"/>
      <c r="D3" s="107" t="s">
        <v>47</v>
      </c>
      <c r="E3" s="107"/>
      <c r="F3" s="107"/>
      <c r="G3" s="20"/>
      <c r="H3" s="23">
        <f>SUM(I3)-3</f>
        <v>33</v>
      </c>
      <c r="I3" s="25">
        <v>36</v>
      </c>
      <c r="J3" s="27">
        <f>SUM(I3)+3</f>
        <v>39</v>
      </c>
      <c r="K3" s="27">
        <f>SUM(J3)+3</f>
        <v>42</v>
      </c>
      <c r="L3" s="106"/>
      <c r="M3" s="29"/>
    </row>
    <row r="4" spans="1:14" s="2" customFormat="1" ht="14.1" customHeight="1" x14ac:dyDescent="0.3">
      <c r="A4" s="90"/>
      <c r="B4" s="38" t="s">
        <v>20</v>
      </c>
      <c r="C4" s="38"/>
      <c r="D4" s="53" t="s">
        <v>39</v>
      </c>
      <c r="E4" s="54"/>
      <c r="F4" s="54"/>
      <c r="G4" s="54"/>
      <c r="H4" s="51"/>
      <c r="I4" s="26"/>
      <c r="J4" s="28"/>
      <c r="K4" s="28"/>
      <c r="L4" s="38"/>
      <c r="M4" s="30"/>
    </row>
    <row r="5" spans="1:14" s="2" customFormat="1" ht="14.1" customHeight="1" x14ac:dyDescent="0.3">
      <c r="A5" s="90">
        <v>2</v>
      </c>
      <c r="B5" s="37" t="s">
        <v>21</v>
      </c>
      <c r="C5" s="37"/>
      <c r="D5" s="102" t="s">
        <v>22</v>
      </c>
      <c r="E5" s="102"/>
      <c r="F5" s="102"/>
      <c r="G5" s="102"/>
      <c r="H5" s="67">
        <f>SUM(I5)-1.4</f>
        <v>32.6</v>
      </c>
      <c r="I5" s="52">
        <v>34</v>
      </c>
      <c r="J5" s="36">
        <f>SUM(I5)+1.4</f>
        <v>35.4</v>
      </c>
      <c r="K5" s="36">
        <f>SUM(J5)+1.4</f>
        <v>36.799999999999997</v>
      </c>
      <c r="L5" s="36"/>
      <c r="M5" s="44"/>
    </row>
    <row r="6" spans="1:14" s="2" customFormat="1" ht="14.1" customHeight="1" x14ac:dyDescent="0.3">
      <c r="A6" s="90"/>
      <c r="B6" s="38" t="s">
        <v>11</v>
      </c>
      <c r="C6" s="38"/>
      <c r="D6" s="53" t="s">
        <v>26</v>
      </c>
      <c r="E6" s="54"/>
      <c r="F6" s="54"/>
      <c r="G6" s="55"/>
      <c r="H6" s="24"/>
      <c r="I6" s="26"/>
      <c r="J6" s="28"/>
      <c r="K6" s="28"/>
      <c r="L6" s="28"/>
      <c r="M6" s="30"/>
    </row>
    <row r="7" spans="1:14" s="2" customFormat="1" ht="14.1" customHeight="1" x14ac:dyDescent="0.3">
      <c r="A7" s="90">
        <v>3</v>
      </c>
      <c r="B7" s="37" t="s">
        <v>19</v>
      </c>
      <c r="C7" s="37"/>
      <c r="D7" s="102" t="s">
        <v>45</v>
      </c>
      <c r="E7" s="102"/>
      <c r="F7" s="102"/>
      <c r="G7" s="102"/>
      <c r="H7" s="67">
        <f>SUM(I7)-1.5</f>
        <v>32.5</v>
      </c>
      <c r="I7" s="52">
        <v>34</v>
      </c>
      <c r="J7" s="36">
        <f>SUM(I7)+1.5</f>
        <v>35.5</v>
      </c>
      <c r="K7" s="36">
        <f>SUM(J7)+1.5</f>
        <v>37</v>
      </c>
      <c r="L7" s="36"/>
      <c r="M7" s="44"/>
    </row>
    <row r="8" spans="1:14" s="2" customFormat="1" ht="14.1" customHeight="1" x14ac:dyDescent="0.3">
      <c r="A8" s="90"/>
      <c r="B8" s="38" t="s">
        <v>24</v>
      </c>
      <c r="C8" s="38"/>
      <c r="D8" s="53" t="s">
        <v>27</v>
      </c>
      <c r="E8" s="54"/>
      <c r="F8" s="54"/>
      <c r="G8" s="55"/>
      <c r="H8" s="24"/>
      <c r="I8" s="26"/>
      <c r="J8" s="28"/>
      <c r="K8" s="28"/>
      <c r="L8" s="28"/>
      <c r="M8" s="30"/>
    </row>
    <row r="9" spans="1:14" s="2" customFormat="1" ht="14.1" customHeight="1" x14ac:dyDescent="0.3">
      <c r="A9" s="90">
        <v>4</v>
      </c>
      <c r="B9" s="37" t="s">
        <v>25</v>
      </c>
      <c r="C9" s="37"/>
      <c r="D9" s="102" t="s">
        <v>9</v>
      </c>
      <c r="E9" s="102"/>
      <c r="F9" s="102"/>
      <c r="G9" s="102"/>
      <c r="H9" s="67">
        <f>SUM(I9)-1.2</f>
        <v>27.8</v>
      </c>
      <c r="I9" s="52">
        <v>29</v>
      </c>
      <c r="J9" s="36">
        <f>SUM(I9)+1.2</f>
        <v>30.2</v>
      </c>
      <c r="K9" s="36">
        <f>SUM(J9)+1.2</f>
        <v>31.4</v>
      </c>
      <c r="L9" s="36"/>
      <c r="M9" s="44"/>
    </row>
    <row r="10" spans="1:14" s="2" customFormat="1" ht="14.1" customHeight="1" x14ac:dyDescent="0.3">
      <c r="A10" s="90"/>
      <c r="B10" s="38" t="s">
        <v>12</v>
      </c>
      <c r="C10" s="38"/>
      <c r="D10" s="53" t="s">
        <v>28</v>
      </c>
      <c r="E10" s="54"/>
      <c r="F10" s="54"/>
      <c r="G10" s="55"/>
      <c r="H10" s="24"/>
      <c r="I10" s="26"/>
      <c r="J10" s="28"/>
      <c r="K10" s="28"/>
      <c r="L10" s="28"/>
      <c r="M10" s="30"/>
    </row>
    <row r="11" spans="1:14" s="2" customFormat="1" ht="14.1" customHeight="1" x14ac:dyDescent="0.3">
      <c r="A11" s="90">
        <v>5</v>
      </c>
      <c r="B11" s="37" t="s">
        <v>10</v>
      </c>
      <c r="C11" s="37"/>
      <c r="D11" s="102" t="s">
        <v>0</v>
      </c>
      <c r="E11" s="102"/>
      <c r="F11" s="102"/>
      <c r="G11" s="102"/>
      <c r="H11" s="67">
        <f>SUM(I11)-0.8</f>
        <v>13.2</v>
      </c>
      <c r="I11" s="52">
        <v>14</v>
      </c>
      <c r="J11" s="36">
        <f>SUM(I11)+0.8</f>
        <v>14.8</v>
      </c>
      <c r="K11" s="36">
        <f>SUM(J11)+0.8</f>
        <v>15.600000000000001</v>
      </c>
      <c r="L11" s="36"/>
      <c r="M11" s="44"/>
    </row>
    <row r="12" spans="1:14" s="2" customFormat="1" ht="14.1" customHeight="1" x14ac:dyDescent="0.3">
      <c r="A12" s="90"/>
      <c r="B12" s="38" t="s">
        <v>13</v>
      </c>
      <c r="C12" s="38"/>
      <c r="D12" s="53" t="s">
        <v>29</v>
      </c>
      <c r="E12" s="54"/>
      <c r="F12" s="54"/>
      <c r="G12" s="55"/>
      <c r="H12" s="24"/>
      <c r="I12" s="26"/>
      <c r="J12" s="28"/>
      <c r="K12" s="28"/>
      <c r="L12" s="28"/>
      <c r="M12" s="30"/>
    </row>
    <row r="13" spans="1:14" s="2" customFormat="1" ht="14.1" customHeight="1" x14ac:dyDescent="0.3">
      <c r="A13" s="90">
        <v>6</v>
      </c>
      <c r="B13" s="37" t="s">
        <v>1</v>
      </c>
      <c r="C13" s="37"/>
      <c r="D13" s="102" t="s">
        <v>2</v>
      </c>
      <c r="E13" s="102"/>
      <c r="F13" s="102"/>
      <c r="G13" s="102"/>
      <c r="H13" s="67">
        <f>SUM(I13)-0.5</f>
        <v>13.5</v>
      </c>
      <c r="I13" s="52">
        <v>14</v>
      </c>
      <c r="J13" s="36">
        <f>SUM(I13)+0.5</f>
        <v>14.5</v>
      </c>
      <c r="K13" s="36">
        <f>SUM(J13)+0.5</f>
        <v>15</v>
      </c>
      <c r="L13" s="37"/>
      <c r="M13" s="44"/>
    </row>
    <row r="14" spans="1:14" s="2" customFormat="1" ht="14.1" customHeight="1" x14ac:dyDescent="0.3">
      <c r="A14" s="90"/>
      <c r="B14" s="38" t="s">
        <v>14</v>
      </c>
      <c r="C14" s="38"/>
      <c r="D14" s="53" t="s">
        <v>52</v>
      </c>
      <c r="E14" s="54"/>
      <c r="F14" s="54"/>
      <c r="G14" s="55"/>
      <c r="H14" s="24"/>
      <c r="I14" s="26"/>
      <c r="J14" s="28"/>
      <c r="K14" s="28"/>
      <c r="L14" s="38"/>
      <c r="M14" s="30"/>
    </row>
    <row r="15" spans="1:14" s="2" customFormat="1" ht="14.1" customHeight="1" x14ac:dyDescent="0.3">
      <c r="A15" s="90">
        <v>7</v>
      </c>
      <c r="B15" s="37" t="s">
        <v>3</v>
      </c>
      <c r="C15" s="37"/>
      <c r="D15" s="102" t="s">
        <v>4</v>
      </c>
      <c r="E15" s="102"/>
      <c r="F15" s="102"/>
      <c r="G15" s="102"/>
      <c r="H15" s="67">
        <f>SUM(I15)-0.3</f>
        <v>5.2</v>
      </c>
      <c r="I15" s="52">
        <v>5.5</v>
      </c>
      <c r="J15" s="36">
        <f>SUM(I15)+0.3</f>
        <v>5.8</v>
      </c>
      <c r="K15" s="36">
        <f>SUM(J15)+0.3</f>
        <v>6.1</v>
      </c>
      <c r="L15" s="37"/>
      <c r="M15" s="44"/>
    </row>
    <row r="16" spans="1:14" s="2" customFormat="1" ht="14.1" customHeight="1" x14ac:dyDescent="0.3">
      <c r="A16" s="90"/>
      <c r="B16" s="38" t="s">
        <v>15</v>
      </c>
      <c r="C16" s="38"/>
      <c r="D16" s="53" t="s">
        <v>51</v>
      </c>
      <c r="E16" s="54"/>
      <c r="F16" s="54"/>
      <c r="G16" s="55"/>
      <c r="H16" s="24"/>
      <c r="I16" s="26"/>
      <c r="J16" s="28"/>
      <c r="K16" s="28"/>
      <c r="L16" s="38"/>
      <c r="M16" s="30"/>
    </row>
    <row r="17" spans="1:13" s="2" customFormat="1" ht="14.1" customHeight="1" x14ac:dyDescent="0.3">
      <c r="A17" s="90">
        <v>8</v>
      </c>
      <c r="B17" s="46" t="s">
        <v>40</v>
      </c>
      <c r="C17" s="47"/>
      <c r="D17" s="48" t="s">
        <v>42</v>
      </c>
      <c r="E17" s="49"/>
      <c r="F17" s="49"/>
      <c r="G17" s="50"/>
      <c r="H17" s="67">
        <f>SUM(I17)-1.4</f>
        <v>32.6</v>
      </c>
      <c r="I17" s="52">
        <v>34</v>
      </c>
      <c r="J17" s="36">
        <f>SUM(I17)+1.4</f>
        <v>35.4</v>
      </c>
      <c r="K17" s="36">
        <f>SUM(J17)+1.4</f>
        <v>36.799999999999997</v>
      </c>
      <c r="L17" s="37"/>
      <c r="M17" s="44"/>
    </row>
    <row r="18" spans="1:13" s="2" customFormat="1" ht="14.1" customHeight="1" x14ac:dyDescent="0.3">
      <c r="A18" s="90"/>
      <c r="B18" s="38" t="s">
        <v>41</v>
      </c>
      <c r="C18" s="38"/>
      <c r="D18" s="53" t="s">
        <v>50</v>
      </c>
      <c r="E18" s="54"/>
      <c r="F18" s="54"/>
      <c r="G18" s="55"/>
      <c r="H18" s="24"/>
      <c r="I18" s="26"/>
      <c r="J18" s="28"/>
      <c r="K18" s="28"/>
      <c r="L18" s="38"/>
      <c r="M18" s="30"/>
    </row>
    <row r="19" spans="1:13" s="2" customFormat="1" ht="14.1" customHeight="1" x14ac:dyDescent="0.3">
      <c r="A19" s="90">
        <v>9</v>
      </c>
      <c r="B19" s="37" t="s">
        <v>5</v>
      </c>
      <c r="C19" s="37"/>
      <c r="D19" s="102" t="s">
        <v>6</v>
      </c>
      <c r="E19" s="102"/>
      <c r="F19" s="102"/>
      <c r="G19" s="102"/>
      <c r="H19" s="67">
        <f>SUM(I19)-2.8</f>
        <v>20.7</v>
      </c>
      <c r="I19" s="52">
        <v>23.5</v>
      </c>
      <c r="J19" s="36">
        <f>SUM(I19)+2.8</f>
        <v>26.3</v>
      </c>
      <c r="K19" s="36">
        <f>SUM(J19)+2.8</f>
        <v>29.1</v>
      </c>
      <c r="L19" s="36"/>
      <c r="M19" s="44"/>
    </row>
    <row r="20" spans="1:13" s="2" customFormat="1" ht="14.1" customHeight="1" x14ac:dyDescent="0.3">
      <c r="A20" s="90"/>
      <c r="B20" s="38" t="s">
        <v>16</v>
      </c>
      <c r="C20" s="38"/>
      <c r="D20" s="53" t="s">
        <v>32</v>
      </c>
      <c r="E20" s="54"/>
      <c r="F20" s="54"/>
      <c r="G20" s="55"/>
      <c r="H20" s="24"/>
      <c r="I20" s="26"/>
      <c r="J20" s="28"/>
      <c r="K20" s="28"/>
      <c r="L20" s="28"/>
      <c r="M20" s="30"/>
    </row>
    <row r="21" spans="1:13" s="2" customFormat="1" ht="14.1" customHeight="1" x14ac:dyDescent="0.3">
      <c r="A21" s="90">
        <v>10</v>
      </c>
      <c r="B21" s="37" t="s">
        <v>7</v>
      </c>
      <c r="C21" s="37"/>
      <c r="D21" s="48" t="s">
        <v>8</v>
      </c>
      <c r="E21" s="49"/>
      <c r="F21" s="49"/>
      <c r="G21" s="50"/>
      <c r="H21" s="92">
        <f>SUM(I21)-1.5</f>
        <v>24.9</v>
      </c>
      <c r="I21" s="100">
        <v>26.4</v>
      </c>
      <c r="J21" s="92">
        <f>SUM(I21)+1.5</f>
        <v>27.9</v>
      </c>
      <c r="K21" s="92">
        <f>SUM(J21)+1.5</f>
        <v>29.4</v>
      </c>
      <c r="L21" s="36"/>
      <c r="M21" s="44"/>
    </row>
    <row r="22" spans="1:13" s="2" customFormat="1" ht="14.1" customHeight="1" x14ac:dyDescent="0.3">
      <c r="A22" s="90"/>
      <c r="B22" s="38" t="s">
        <v>17</v>
      </c>
      <c r="C22" s="38"/>
      <c r="D22" s="53" t="s">
        <v>36</v>
      </c>
      <c r="E22" s="54"/>
      <c r="F22" s="54"/>
      <c r="G22" s="55"/>
      <c r="H22" s="92"/>
      <c r="I22" s="100"/>
      <c r="J22" s="92"/>
      <c r="K22" s="92"/>
      <c r="L22" s="28"/>
      <c r="M22" s="30"/>
    </row>
    <row r="23" spans="1:13" s="2" customFormat="1" ht="14.1" customHeight="1" x14ac:dyDescent="0.3">
      <c r="A23" s="90">
        <v>11</v>
      </c>
      <c r="B23" s="46" t="s">
        <v>46</v>
      </c>
      <c r="C23" s="47"/>
      <c r="D23" s="102" t="s">
        <v>37</v>
      </c>
      <c r="E23" s="102"/>
      <c r="F23" s="102"/>
      <c r="G23" s="102"/>
      <c r="H23" s="67">
        <f>SUM(I23)-0.5</f>
        <v>13.5</v>
      </c>
      <c r="I23" s="52">
        <v>14</v>
      </c>
      <c r="J23" s="36">
        <f>SUM(I23)+0.5</f>
        <v>14.5</v>
      </c>
      <c r="K23" s="36">
        <f>SUM(J23)+0.5</f>
        <v>15</v>
      </c>
      <c r="L23" s="36"/>
      <c r="M23" s="44"/>
    </row>
    <row r="24" spans="1:13" s="2" customFormat="1" ht="14.1" customHeight="1" x14ac:dyDescent="0.3">
      <c r="A24" s="90"/>
      <c r="B24" s="38" t="s">
        <v>18</v>
      </c>
      <c r="C24" s="38"/>
      <c r="D24" s="53" t="s">
        <v>38</v>
      </c>
      <c r="E24" s="54"/>
      <c r="F24" s="54"/>
      <c r="G24" s="55"/>
      <c r="H24" s="24"/>
      <c r="I24" s="26"/>
      <c r="J24" s="28"/>
      <c r="K24" s="28"/>
      <c r="L24" s="28"/>
      <c r="M24" s="30"/>
    </row>
    <row r="25" spans="1:13" s="2" customFormat="1" ht="14.1" customHeight="1" x14ac:dyDescent="0.3">
      <c r="A25" s="90">
        <v>12</v>
      </c>
      <c r="B25" s="46" t="s">
        <v>53</v>
      </c>
      <c r="C25" s="47"/>
      <c r="D25" s="97" t="s">
        <v>49</v>
      </c>
      <c r="E25" s="98"/>
      <c r="F25" s="98"/>
      <c r="G25" s="99"/>
      <c r="H25" s="67">
        <f>SUM(I25)-0.3</f>
        <v>4.2</v>
      </c>
      <c r="I25" s="52">
        <v>4.5</v>
      </c>
      <c r="J25" s="36">
        <f>SUM(I25)+0.3</f>
        <v>4.8</v>
      </c>
      <c r="K25" s="36">
        <f>SUM(J25)+0.3</f>
        <v>5.0999999999999996</v>
      </c>
      <c r="L25" s="37"/>
      <c r="M25" s="44"/>
    </row>
    <row r="26" spans="1:13" s="2" customFormat="1" ht="14.1" customHeight="1" x14ac:dyDescent="0.3">
      <c r="A26" s="90"/>
      <c r="B26" s="95" t="s">
        <v>54</v>
      </c>
      <c r="C26" s="96"/>
      <c r="D26" s="53" t="s">
        <v>48</v>
      </c>
      <c r="E26" s="54"/>
      <c r="F26" s="54"/>
      <c r="G26" s="55"/>
      <c r="H26" s="24"/>
      <c r="I26" s="26"/>
      <c r="J26" s="28"/>
      <c r="K26" s="28"/>
      <c r="L26" s="38"/>
      <c r="M26" s="30"/>
    </row>
    <row r="27" spans="1:13" s="2" customFormat="1" ht="14.1" customHeight="1" x14ac:dyDescent="0.3">
      <c r="A27" s="103">
        <v>13</v>
      </c>
      <c r="B27" s="46" t="s">
        <v>139</v>
      </c>
      <c r="C27" s="47"/>
      <c r="D27" s="97"/>
      <c r="E27" s="98"/>
      <c r="F27" s="98"/>
      <c r="G27" s="99"/>
      <c r="H27" s="67">
        <f>SUM(I27)</f>
        <v>8.5</v>
      </c>
      <c r="I27" s="52">
        <v>8.5</v>
      </c>
      <c r="J27" s="36">
        <f>SUM(I27)+0.2</f>
        <v>8.6999999999999993</v>
      </c>
      <c r="K27" s="36">
        <f>SUM(J27)+0.2</f>
        <v>8.8999999999999986</v>
      </c>
      <c r="L27" s="36"/>
      <c r="M27" s="44"/>
    </row>
    <row r="28" spans="1:13" s="2" customFormat="1" ht="14.1" customHeight="1" thickBot="1" x14ac:dyDescent="0.35">
      <c r="A28" s="91"/>
      <c r="B28" s="85" t="s">
        <v>140</v>
      </c>
      <c r="C28" s="86"/>
      <c r="D28" s="87" t="s">
        <v>141</v>
      </c>
      <c r="E28" s="88"/>
      <c r="F28" s="88"/>
      <c r="G28" s="89"/>
      <c r="H28" s="82"/>
      <c r="I28" s="83"/>
      <c r="J28" s="74"/>
      <c r="K28" s="74"/>
      <c r="L28" s="74"/>
      <c r="M28" s="84"/>
    </row>
    <row r="29" spans="1:13" ht="14.1" customHeight="1" x14ac:dyDescent="0.3">
      <c r="K29" s="28"/>
    </row>
    <row r="30" spans="1:13" ht="14.1" customHeight="1" x14ac:dyDescent="0.3">
      <c r="K30" s="92"/>
    </row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K29:K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E148-6BCC-47F3-9E0F-39646A5B58A7}">
  <sheetPr>
    <tabColor rgb="FFFF0000"/>
    <pageSetUpPr fitToPage="1"/>
  </sheetPr>
  <dimension ref="A1:P51"/>
  <sheetViews>
    <sheetView zoomScale="110" zoomScaleNormal="110" workbookViewId="0">
      <selection activeCell="H25" sqref="H25:K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12" t="s">
        <v>170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6" ht="16.5" customHeight="1" thickBot="1" x14ac:dyDescent="0.35">
      <c r="A2" s="5" t="s">
        <v>33</v>
      </c>
      <c r="B2" s="15" t="s">
        <v>34</v>
      </c>
      <c r="C2" s="15"/>
      <c r="D2" s="15" t="s">
        <v>35</v>
      </c>
      <c r="E2" s="15"/>
      <c r="F2" s="15"/>
      <c r="G2" s="15"/>
      <c r="H2" s="8" t="s">
        <v>131</v>
      </c>
      <c r="I2" s="3" t="s">
        <v>132</v>
      </c>
      <c r="J2" s="4" t="s">
        <v>133</v>
      </c>
      <c r="K2" s="4" t="s">
        <v>142</v>
      </c>
      <c r="L2" s="4"/>
      <c r="M2" s="4"/>
      <c r="N2" t="s">
        <v>44</v>
      </c>
    </row>
    <row r="3" spans="1:16" s="2" customFormat="1" ht="14.1" customHeight="1" x14ac:dyDescent="0.3">
      <c r="A3" s="103">
        <v>1</v>
      </c>
      <c r="B3" s="106" t="s">
        <v>23</v>
      </c>
      <c r="C3" s="106"/>
      <c r="D3" s="107" t="s">
        <v>47</v>
      </c>
      <c r="E3" s="107"/>
      <c r="F3" s="107"/>
      <c r="G3" s="20"/>
      <c r="H3" s="23">
        <f>SUM(I3)-3</f>
        <v>31.5</v>
      </c>
      <c r="I3" s="25">
        <v>34.5</v>
      </c>
      <c r="J3" s="27">
        <f>SUM(I3)+3</f>
        <v>37.5</v>
      </c>
      <c r="K3" s="27">
        <f>SUM(J3)+3</f>
        <v>40.5</v>
      </c>
      <c r="L3" s="104"/>
      <c r="M3" s="105"/>
    </row>
    <row r="4" spans="1:16" s="2" customFormat="1" ht="14.1" customHeight="1" x14ac:dyDescent="0.3">
      <c r="A4" s="90"/>
      <c r="B4" s="38" t="s">
        <v>20</v>
      </c>
      <c r="C4" s="38"/>
      <c r="D4" s="53" t="s">
        <v>39</v>
      </c>
      <c r="E4" s="54"/>
      <c r="F4" s="54"/>
      <c r="G4" s="54"/>
      <c r="H4" s="51"/>
      <c r="I4" s="26"/>
      <c r="J4" s="28"/>
      <c r="K4" s="28"/>
      <c r="L4" s="36"/>
      <c r="M4" s="44"/>
    </row>
    <row r="5" spans="1:16" s="2" customFormat="1" ht="14.1" customHeight="1" x14ac:dyDescent="0.3">
      <c r="A5" s="90">
        <v>2</v>
      </c>
      <c r="B5" s="37" t="s">
        <v>21</v>
      </c>
      <c r="C5" s="37"/>
      <c r="D5" s="102" t="s">
        <v>22</v>
      </c>
      <c r="E5" s="102"/>
      <c r="F5" s="102"/>
      <c r="G5" s="102"/>
      <c r="H5" s="36">
        <f>SUM(I5)-1.2</f>
        <v>24.2</v>
      </c>
      <c r="I5" s="52">
        <v>25.4</v>
      </c>
      <c r="J5" s="36">
        <f>SUM(I5)+1.2</f>
        <v>26.599999999999998</v>
      </c>
      <c r="K5" s="36">
        <f>SUM(J5)+1.2</f>
        <v>27.799999999999997</v>
      </c>
      <c r="L5" s="36"/>
      <c r="M5" s="44"/>
    </row>
    <row r="6" spans="1:16" s="2" customFormat="1" ht="14.1" customHeight="1" x14ac:dyDescent="0.3">
      <c r="A6" s="90"/>
      <c r="B6" s="38" t="s">
        <v>11</v>
      </c>
      <c r="C6" s="38"/>
      <c r="D6" s="53" t="s">
        <v>143</v>
      </c>
      <c r="E6" s="54"/>
      <c r="F6" s="54"/>
      <c r="G6" s="55"/>
      <c r="H6" s="28"/>
      <c r="I6" s="26"/>
      <c r="J6" s="28"/>
      <c r="K6" s="28"/>
      <c r="L6" s="28"/>
      <c r="M6" s="30"/>
    </row>
    <row r="7" spans="1:16" s="2" customFormat="1" ht="14.1" customHeight="1" x14ac:dyDescent="0.3">
      <c r="A7" s="90">
        <v>3</v>
      </c>
      <c r="B7" s="37" t="s">
        <v>19</v>
      </c>
      <c r="C7" s="37"/>
      <c r="D7" s="102" t="s">
        <v>45</v>
      </c>
      <c r="E7" s="102"/>
      <c r="F7" s="102"/>
      <c r="G7" s="102"/>
      <c r="H7" s="36">
        <f>SUM(I7)-1.5</f>
        <v>30.5</v>
      </c>
      <c r="I7" s="52">
        <v>32</v>
      </c>
      <c r="J7" s="36">
        <f>SUM(I7)+1.5</f>
        <v>33.5</v>
      </c>
      <c r="K7" s="36">
        <f>SUM(J7)+1.5</f>
        <v>35</v>
      </c>
      <c r="L7" s="36"/>
      <c r="M7" s="44"/>
    </row>
    <row r="8" spans="1:16" s="2" customFormat="1" ht="14.1" customHeight="1" x14ac:dyDescent="0.3">
      <c r="A8" s="90"/>
      <c r="B8" s="38" t="s">
        <v>24</v>
      </c>
      <c r="C8" s="38"/>
      <c r="D8" s="53" t="s">
        <v>27</v>
      </c>
      <c r="E8" s="54"/>
      <c r="F8" s="54"/>
      <c r="G8" s="55"/>
      <c r="H8" s="28"/>
      <c r="I8" s="26"/>
      <c r="J8" s="28"/>
      <c r="K8" s="28"/>
      <c r="L8" s="28"/>
      <c r="M8" s="30"/>
    </row>
    <row r="9" spans="1:16" s="2" customFormat="1" ht="14.1" customHeight="1" x14ac:dyDescent="0.3">
      <c r="A9" s="90">
        <v>4</v>
      </c>
      <c r="B9" s="37" t="s">
        <v>25</v>
      </c>
      <c r="C9" s="37"/>
      <c r="D9" s="102" t="s">
        <v>9</v>
      </c>
      <c r="E9" s="102"/>
      <c r="F9" s="102"/>
      <c r="G9" s="102"/>
      <c r="H9" s="36">
        <f>SUM(I9)-1.5</f>
        <v>27.5</v>
      </c>
      <c r="I9" s="52">
        <v>29</v>
      </c>
      <c r="J9" s="36">
        <f>SUM(I9)+1.5</f>
        <v>30.5</v>
      </c>
      <c r="K9" s="36">
        <f>SUM(J9)+1.5</f>
        <v>32</v>
      </c>
      <c r="L9" s="36"/>
      <c r="M9" s="44"/>
    </row>
    <row r="10" spans="1:16" s="2" customFormat="1" ht="14.1" customHeight="1" x14ac:dyDescent="0.3">
      <c r="A10" s="90"/>
      <c r="B10" s="38" t="s">
        <v>12</v>
      </c>
      <c r="C10" s="38"/>
      <c r="D10" s="53" t="s">
        <v>28</v>
      </c>
      <c r="E10" s="54"/>
      <c r="F10" s="54"/>
      <c r="G10" s="55"/>
      <c r="H10" s="28"/>
      <c r="I10" s="26"/>
      <c r="J10" s="28"/>
      <c r="K10" s="28"/>
      <c r="L10" s="28"/>
      <c r="M10" s="30"/>
    </row>
    <row r="11" spans="1:16" s="2" customFormat="1" ht="14.1" customHeight="1" x14ac:dyDescent="0.3">
      <c r="A11" s="90">
        <v>5</v>
      </c>
      <c r="B11" s="37" t="s">
        <v>123</v>
      </c>
      <c r="C11" s="37"/>
      <c r="D11" s="102"/>
      <c r="E11" s="102"/>
      <c r="F11" s="102"/>
      <c r="G11" s="102"/>
      <c r="H11" s="92">
        <f>SUM(I11)</f>
        <v>4.5</v>
      </c>
      <c r="I11" s="100">
        <v>4.5</v>
      </c>
      <c r="J11" s="92">
        <f>SUM(I11)</f>
        <v>4.5</v>
      </c>
      <c r="K11" s="92">
        <f>SUM(J11)</f>
        <v>4.5</v>
      </c>
      <c r="L11" s="92"/>
      <c r="M11" s="101"/>
    </row>
    <row r="12" spans="1:16" s="2" customFormat="1" ht="14.1" customHeight="1" x14ac:dyDescent="0.3">
      <c r="A12" s="90"/>
      <c r="B12" s="38" t="s">
        <v>124</v>
      </c>
      <c r="C12" s="38"/>
      <c r="D12" s="53"/>
      <c r="E12" s="54"/>
      <c r="F12" s="54"/>
      <c r="G12" s="55"/>
      <c r="H12" s="92"/>
      <c r="I12" s="100"/>
      <c r="J12" s="92"/>
      <c r="K12" s="92"/>
      <c r="L12" s="92"/>
      <c r="M12" s="101"/>
    </row>
    <row r="13" spans="1:16" s="2" customFormat="1" ht="14.1" customHeight="1" x14ac:dyDescent="0.3">
      <c r="A13" s="90">
        <v>6</v>
      </c>
      <c r="B13" s="37" t="s">
        <v>10</v>
      </c>
      <c r="C13" s="37"/>
      <c r="D13" s="102" t="s">
        <v>0</v>
      </c>
      <c r="E13" s="102"/>
      <c r="F13" s="102"/>
      <c r="G13" s="102"/>
      <c r="H13" s="92">
        <f>SUM(I13)-0.8</f>
        <v>15.7</v>
      </c>
      <c r="I13" s="100">
        <v>16.5</v>
      </c>
      <c r="J13" s="92">
        <f>SUM(I13)+0.8</f>
        <v>17.3</v>
      </c>
      <c r="K13" s="92">
        <f>SUM(J13)+0.8</f>
        <v>18.100000000000001</v>
      </c>
      <c r="L13" s="92"/>
      <c r="M13" s="101"/>
      <c r="P13" s="2" t="s">
        <v>114</v>
      </c>
    </row>
    <row r="14" spans="1:16" s="2" customFormat="1" ht="14.1" customHeight="1" x14ac:dyDescent="0.3">
      <c r="A14" s="90"/>
      <c r="B14" s="38" t="s">
        <v>13</v>
      </c>
      <c r="C14" s="38"/>
      <c r="D14" s="53" t="s">
        <v>144</v>
      </c>
      <c r="E14" s="54"/>
      <c r="F14" s="54"/>
      <c r="G14" s="55"/>
      <c r="H14" s="92"/>
      <c r="I14" s="100"/>
      <c r="J14" s="92"/>
      <c r="K14" s="92"/>
      <c r="L14" s="92"/>
      <c r="M14" s="101"/>
    </row>
    <row r="15" spans="1:16" s="2" customFormat="1" ht="14.1" customHeight="1" x14ac:dyDescent="0.3">
      <c r="A15" s="90">
        <v>7</v>
      </c>
      <c r="B15" s="37" t="s">
        <v>1</v>
      </c>
      <c r="C15" s="37"/>
      <c r="D15" s="102" t="s">
        <v>2</v>
      </c>
      <c r="E15" s="102"/>
      <c r="F15" s="102"/>
      <c r="G15" s="102"/>
      <c r="H15" s="92">
        <f>SUM(I15)-0.5</f>
        <v>13</v>
      </c>
      <c r="I15" s="100">
        <v>13.5</v>
      </c>
      <c r="J15" s="92">
        <f>SUM(I15)+0.5</f>
        <v>14</v>
      </c>
      <c r="K15" s="92">
        <f>SUM(J15)+0.5</f>
        <v>14.5</v>
      </c>
      <c r="L15" s="92"/>
      <c r="M15" s="101"/>
    </row>
    <row r="16" spans="1:16" s="2" customFormat="1" ht="14.1" customHeight="1" x14ac:dyDescent="0.3">
      <c r="A16" s="90"/>
      <c r="B16" s="38" t="s">
        <v>14</v>
      </c>
      <c r="C16" s="38"/>
      <c r="D16" s="53" t="s">
        <v>30</v>
      </c>
      <c r="E16" s="54"/>
      <c r="F16" s="54"/>
      <c r="G16" s="55"/>
      <c r="H16" s="92"/>
      <c r="I16" s="100"/>
      <c r="J16" s="92"/>
      <c r="K16" s="92"/>
      <c r="L16" s="92"/>
      <c r="M16" s="101"/>
    </row>
    <row r="17" spans="1:13" s="2" customFormat="1" ht="14.1" customHeight="1" x14ac:dyDescent="0.3">
      <c r="A17" s="90">
        <v>8</v>
      </c>
      <c r="B17" s="37" t="s">
        <v>3</v>
      </c>
      <c r="C17" s="37"/>
      <c r="D17" s="102" t="s">
        <v>4</v>
      </c>
      <c r="E17" s="102"/>
      <c r="F17" s="102"/>
      <c r="G17" s="102"/>
      <c r="H17" s="92">
        <f>SUM(I17)-0.3</f>
        <v>6.7</v>
      </c>
      <c r="I17" s="100">
        <v>7</v>
      </c>
      <c r="J17" s="92">
        <f>SUM(I17)+0.3</f>
        <v>7.3</v>
      </c>
      <c r="K17" s="92">
        <f>SUM(J17)+0.3</f>
        <v>7.6</v>
      </c>
      <c r="L17" s="92"/>
      <c r="M17" s="101"/>
    </row>
    <row r="18" spans="1:13" s="2" customFormat="1" ht="14.1" customHeight="1" x14ac:dyDescent="0.3">
      <c r="A18" s="90"/>
      <c r="B18" s="38" t="s">
        <v>15</v>
      </c>
      <c r="C18" s="38"/>
      <c r="D18" s="53" t="s">
        <v>31</v>
      </c>
      <c r="E18" s="54"/>
      <c r="F18" s="54"/>
      <c r="G18" s="55"/>
      <c r="H18" s="92"/>
      <c r="I18" s="100"/>
      <c r="J18" s="92"/>
      <c r="K18" s="92"/>
      <c r="L18" s="92"/>
      <c r="M18" s="101"/>
    </row>
    <row r="19" spans="1:13" s="2" customFormat="1" ht="14.1" customHeight="1" x14ac:dyDescent="0.3">
      <c r="A19" s="90">
        <v>9</v>
      </c>
      <c r="B19" s="46" t="s">
        <v>40</v>
      </c>
      <c r="C19" s="47"/>
      <c r="D19" s="48" t="s">
        <v>42</v>
      </c>
      <c r="E19" s="49"/>
      <c r="F19" s="49"/>
      <c r="G19" s="50"/>
      <c r="H19" s="92"/>
      <c r="I19" s="100"/>
      <c r="J19" s="92"/>
      <c r="K19" s="92"/>
      <c r="L19" s="92"/>
      <c r="M19" s="101"/>
    </row>
    <row r="20" spans="1:13" s="2" customFormat="1" ht="14.1" customHeight="1" x14ac:dyDescent="0.3">
      <c r="A20" s="90"/>
      <c r="B20" s="38" t="s">
        <v>41</v>
      </c>
      <c r="C20" s="38"/>
      <c r="D20" s="53" t="s">
        <v>43</v>
      </c>
      <c r="E20" s="54"/>
      <c r="F20" s="54"/>
      <c r="G20" s="55"/>
      <c r="H20" s="92"/>
      <c r="I20" s="100"/>
      <c r="J20" s="92"/>
      <c r="K20" s="92"/>
      <c r="L20" s="92"/>
      <c r="M20" s="101"/>
    </row>
    <row r="21" spans="1:13" s="2" customFormat="1" ht="14.1" customHeight="1" x14ac:dyDescent="0.3">
      <c r="A21" s="90">
        <v>10</v>
      </c>
      <c r="B21" s="37" t="s">
        <v>125</v>
      </c>
      <c r="C21" s="37"/>
      <c r="D21" s="102"/>
      <c r="E21" s="102"/>
      <c r="F21" s="102"/>
      <c r="G21" s="102"/>
      <c r="H21" s="92">
        <f>SUM(I21)</f>
        <v>2.5</v>
      </c>
      <c r="I21" s="100">
        <v>2.5</v>
      </c>
      <c r="J21" s="92">
        <f>SUM(I21)</f>
        <v>2.5</v>
      </c>
      <c r="K21" s="92">
        <f>SUM(J21)</f>
        <v>2.5</v>
      </c>
      <c r="L21" s="92"/>
      <c r="M21" s="101"/>
    </row>
    <row r="22" spans="1:13" s="2" customFormat="1" ht="14.1" customHeight="1" x14ac:dyDescent="0.3">
      <c r="A22" s="90"/>
      <c r="B22" s="38" t="s">
        <v>126</v>
      </c>
      <c r="C22" s="38"/>
      <c r="D22" s="53"/>
      <c r="E22" s="54"/>
      <c r="F22" s="54"/>
      <c r="G22" s="55"/>
      <c r="H22" s="92"/>
      <c r="I22" s="100"/>
      <c r="J22" s="92"/>
      <c r="K22" s="92"/>
      <c r="L22" s="92"/>
      <c r="M22" s="101"/>
    </row>
    <row r="23" spans="1:13" s="2" customFormat="1" ht="14.1" customHeight="1" x14ac:dyDescent="0.3">
      <c r="A23" s="90">
        <v>11</v>
      </c>
      <c r="B23" s="37" t="s">
        <v>5</v>
      </c>
      <c r="C23" s="37"/>
      <c r="D23" s="102" t="s">
        <v>6</v>
      </c>
      <c r="E23" s="102"/>
      <c r="F23" s="102"/>
      <c r="G23" s="102"/>
      <c r="H23" s="92">
        <f>SUM(I23)-2.9</f>
        <v>24.1</v>
      </c>
      <c r="I23" s="100">
        <v>27</v>
      </c>
      <c r="J23" s="92">
        <f>SUM(I23)+2.9</f>
        <v>29.9</v>
      </c>
      <c r="K23" s="92">
        <f>SUM(J23)+2.9</f>
        <v>32.799999999999997</v>
      </c>
      <c r="L23" s="92"/>
      <c r="M23" s="101"/>
    </row>
    <row r="24" spans="1:13" s="2" customFormat="1" ht="14.1" customHeight="1" x14ac:dyDescent="0.3">
      <c r="A24" s="90"/>
      <c r="B24" s="38" t="s">
        <v>16</v>
      </c>
      <c r="C24" s="38"/>
      <c r="D24" s="53" t="s">
        <v>32</v>
      </c>
      <c r="E24" s="54"/>
      <c r="F24" s="54"/>
      <c r="G24" s="55"/>
      <c r="H24" s="92"/>
      <c r="I24" s="100"/>
      <c r="J24" s="92"/>
      <c r="K24" s="92"/>
      <c r="L24" s="92"/>
      <c r="M24" s="101"/>
    </row>
    <row r="25" spans="1:13" s="2" customFormat="1" ht="14.1" customHeight="1" x14ac:dyDescent="0.3">
      <c r="A25" s="90">
        <v>12</v>
      </c>
      <c r="B25" s="37" t="s">
        <v>7</v>
      </c>
      <c r="C25" s="37"/>
      <c r="D25" s="48" t="s">
        <v>8</v>
      </c>
      <c r="E25" s="49"/>
      <c r="F25" s="49"/>
      <c r="G25" s="50"/>
      <c r="H25" s="92">
        <f>SUM(I25)-1.2</f>
        <v>23.8</v>
      </c>
      <c r="I25" s="100">
        <v>25</v>
      </c>
      <c r="J25" s="92">
        <f>SUM(I25)+1.2</f>
        <v>26.2</v>
      </c>
      <c r="K25" s="92">
        <f>SUM(J25)+1.2</f>
        <v>27.4</v>
      </c>
      <c r="L25" s="92"/>
      <c r="M25" s="101"/>
    </row>
    <row r="26" spans="1:13" s="2" customFormat="1" ht="14.1" customHeight="1" x14ac:dyDescent="0.3">
      <c r="A26" s="90"/>
      <c r="B26" s="38" t="s">
        <v>17</v>
      </c>
      <c r="C26" s="38"/>
      <c r="D26" s="53" t="s">
        <v>36</v>
      </c>
      <c r="E26" s="54"/>
      <c r="F26" s="54"/>
      <c r="G26" s="55"/>
      <c r="H26" s="92"/>
      <c r="I26" s="100"/>
      <c r="J26" s="92"/>
      <c r="K26" s="92"/>
      <c r="L26" s="92"/>
      <c r="M26" s="101"/>
    </row>
    <row r="27" spans="1:13" s="2" customFormat="1" ht="14.1" customHeight="1" x14ac:dyDescent="0.3">
      <c r="A27" s="90">
        <v>13</v>
      </c>
      <c r="B27" s="46" t="s">
        <v>46</v>
      </c>
      <c r="C27" s="47"/>
      <c r="D27" s="102" t="s">
        <v>37</v>
      </c>
      <c r="E27" s="102"/>
      <c r="F27" s="102"/>
      <c r="G27" s="102"/>
      <c r="H27" s="92">
        <f>SUM(I27)-0.5</f>
        <v>14.5</v>
      </c>
      <c r="I27" s="100">
        <v>15</v>
      </c>
      <c r="J27" s="92">
        <f>SUM(I27)+0.5</f>
        <v>15.5</v>
      </c>
      <c r="K27" s="92">
        <f>SUM(J27)+0.5</f>
        <v>16</v>
      </c>
      <c r="L27" s="92"/>
      <c r="M27" s="101"/>
    </row>
    <row r="28" spans="1:13" s="2" customFormat="1" ht="14.1" customHeight="1" x14ac:dyDescent="0.3">
      <c r="A28" s="90"/>
      <c r="B28" s="38" t="s">
        <v>18</v>
      </c>
      <c r="C28" s="38"/>
      <c r="D28" s="53" t="s">
        <v>38</v>
      </c>
      <c r="E28" s="54"/>
      <c r="F28" s="54"/>
      <c r="G28" s="55"/>
      <c r="H28" s="92"/>
      <c r="I28" s="100"/>
      <c r="J28" s="92"/>
      <c r="K28" s="92"/>
      <c r="L28" s="92"/>
      <c r="M28" s="101"/>
    </row>
    <row r="29" spans="1:13" s="2" customFormat="1" ht="14.1" customHeight="1" x14ac:dyDescent="0.3">
      <c r="A29" s="90">
        <v>14</v>
      </c>
      <c r="B29" s="46" t="s">
        <v>127</v>
      </c>
      <c r="C29" s="47"/>
      <c r="D29" s="102"/>
      <c r="E29" s="102"/>
      <c r="F29" s="102"/>
      <c r="G29" s="102"/>
      <c r="H29" s="92">
        <f>SUM(I29)</f>
        <v>4</v>
      </c>
      <c r="I29" s="100">
        <v>4</v>
      </c>
      <c r="J29" s="92">
        <f>SUM(I29)</f>
        <v>4</v>
      </c>
      <c r="K29" s="92">
        <f>SUM(J29)</f>
        <v>4</v>
      </c>
      <c r="L29" s="92"/>
      <c r="M29" s="101"/>
    </row>
    <row r="30" spans="1:13" s="2" customFormat="1" ht="14.1" customHeight="1" x14ac:dyDescent="0.3">
      <c r="A30" s="90"/>
      <c r="B30" s="38" t="s">
        <v>128</v>
      </c>
      <c r="C30" s="38"/>
      <c r="D30" s="53"/>
      <c r="E30" s="54"/>
      <c r="F30" s="54"/>
      <c r="G30" s="55"/>
      <c r="H30" s="92"/>
      <c r="I30" s="100"/>
      <c r="J30" s="92"/>
      <c r="K30" s="92"/>
      <c r="L30" s="92"/>
      <c r="M30" s="101"/>
    </row>
    <row r="31" spans="1:13" s="2" customFormat="1" ht="14.1" customHeight="1" x14ac:dyDescent="0.3">
      <c r="A31" s="90">
        <v>15</v>
      </c>
      <c r="B31" s="46"/>
      <c r="C31" s="47"/>
      <c r="D31" s="97"/>
      <c r="E31" s="98"/>
      <c r="F31" s="98"/>
      <c r="G31" s="99"/>
      <c r="H31" s="92"/>
      <c r="I31" s="100"/>
      <c r="J31" s="92"/>
      <c r="K31" s="92"/>
      <c r="L31" s="36"/>
      <c r="M31" s="44"/>
    </row>
    <row r="32" spans="1:13" s="2" customFormat="1" ht="14.1" customHeight="1" x14ac:dyDescent="0.3">
      <c r="A32" s="90"/>
      <c r="B32" s="95"/>
      <c r="C32" s="96"/>
      <c r="D32" s="53"/>
      <c r="E32" s="54"/>
      <c r="F32" s="54"/>
      <c r="G32" s="55"/>
      <c r="H32" s="92"/>
      <c r="I32" s="100"/>
      <c r="J32" s="92"/>
      <c r="K32" s="92"/>
      <c r="L32" s="28"/>
      <c r="M32" s="30"/>
    </row>
    <row r="33" spans="1:13" s="2" customFormat="1" ht="14.1" customHeight="1" x14ac:dyDescent="0.3">
      <c r="A33" s="90">
        <v>16</v>
      </c>
      <c r="B33" s="46"/>
      <c r="C33" s="47"/>
      <c r="D33" s="48"/>
      <c r="E33" s="49"/>
      <c r="F33" s="49"/>
      <c r="G33" s="50"/>
      <c r="H33" s="36"/>
      <c r="I33" s="52"/>
      <c r="J33" s="36"/>
      <c r="K33" s="36"/>
      <c r="L33" s="36"/>
      <c r="M33" s="44"/>
    </row>
    <row r="34" spans="1:13" s="2" customFormat="1" ht="14.1" customHeight="1" thickBot="1" x14ac:dyDescent="0.35">
      <c r="A34" s="91"/>
      <c r="B34" s="85"/>
      <c r="C34" s="86"/>
      <c r="D34" s="87"/>
      <c r="E34" s="88"/>
      <c r="F34" s="88"/>
      <c r="G34" s="89"/>
      <c r="H34" s="74"/>
      <c r="I34" s="83"/>
      <c r="J34" s="74"/>
      <c r="K34" s="74"/>
      <c r="L34" s="74"/>
      <c r="M34" s="84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11</vt:i4>
      </vt:variant>
    </vt:vector>
  </HeadingPairs>
  <TitlesOfParts>
    <vt:vector size="22" baseType="lpstr">
      <vt:lpstr>LE01 </vt:lpstr>
      <vt:lpstr>EC01(니트) </vt:lpstr>
      <vt:lpstr>OU01 (니트)</vt:lpstr>
      <vt:lpstr>OU02(니트)</vt:lpstr>
      <vt:lpstr>PT01</vt:lpstr>
      <vt:lpstr>PT02</vt:lpstr>
      <vt:lpstr>PT03</vt:lpstr>
      <vt:lpstr>TO01</vt:lpstr>
      <vt:lpstr>TO02</vt:lpstr>
      <vt:lpstr>TO03</vt:lpstr>
      <vt:lpstr>TO04 (니트)</vt:lpstr>
      <vt:lpstr>'EC01(니트) '!Print_Area</vt:lpstr>
      <vt:lpstr>'LE01 '!Print_Area</vt:lpstr>
      <vt:lpstr>'OU01 (니트)'!Print_Area</vt:lpstr>
      <vt:lpstr>'OU02(니트)'!Print_Area</vt:lpstr>
      <vt:lpstr>'PT01'!Print_Area</vt:lpstr>
      <vt:lpstr>'PT02'!Print_Area</vt:lpstr>
      <vt:lpstr>'PT03'!Print_Area</vt:lpstr>
      <vt:lpstr>'TO01'!Print_Area</vt:lpstr>
      <vt:lpstr>'TO02'!Print_Area</vt:lpstr>
      <vt:lpstr>'TO03'!Print_Area</vt:lpstr>
      <vt:lpstr>'TO04 (니트)'!Print_Area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2026-05-26T01:22:18Z</cp:lastPrinted>
  <dcterms:created xsi:type="dcterms:W3CDTF">2018-05-14T06:17:18Z</dcterms:created>
  <dcterms:modified xsi:type="dcterms:W3CDTF">2026-06-01T08:34:04Z</dcterms:modified>
</cp:coreProperties>
</file>