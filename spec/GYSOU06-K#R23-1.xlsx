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5\10월31일\"/>
    </mc:Choice>
  </mc:AlternateContent>
  <xr:revisionPtr revIDLastSave="0" documentId="13_ncr:1_{50049459-F6DD-473F-9C5C-71CB73CC9D9D}" xr6:coauthVersionLast="47" xr6:coauthVersionMax="47" xr10:uidLastSave="{00000000-0000-0000-0000-000000000000}"/>
  <bookViews>
    <workbookView xWindow="36585" yWindow="1185" windowWidth="20085" windowHeight="13860" tabRatio="776" xr2:uid="{3359282B-7569-4BC7-A037-9A98D8DF6EA5}"/>
  </bookViews>
  <sheets>
    <sheet name="OU06(니트)" sheetId="979" r:id="rId1"/>
  </sheets>
  <definedNames>
    <definedName name="_xlnm.Print_Area" localSheetId="0">'OU06(니트)'!$A$1:$M$34</definedName>
  </definedNames>
  <calcPr calcId="191029"/>
</workbook>
</file>

<file path=xl/calcChain.xml><?xml version="1.0" encoding="utf-8"?>
<calcChain xmlns="http://schemas.openxmlformats.org/spreadsheetml/2006/main">
  <c r="H31" i="979" l="1"/>
  <c r="J31" i="979"/>
  <c r="J23" i="979"/>
  <c r="H23" i="979"/>
  <c r="J27" i="979" l="1"/>
  <c r="H27" i="979"/>
  <c r="J25" i="979"/>
  <c r="H25" i="979"/>
  <c r="J21" i="979"/>
  <c r="H21" i="979"/>
  <c r="J17" i="979"/>
  <c r="H17" i="979"/>
  <c r="J15" i="979"/>
  <c r="H15" i="979"/>
  <c r="J13" i="979"/>
  <c r="H13" i="979"/>
  <c r="J9" i="979"/>
  <c r="H9" i="979"/>
  <c r="J7" i="979"/>
  <c r="H7" i="979"/>
  <c r="J5" i="979"/>
  <c r="H5" i="979"/>
  <c r="J3" i="979"/>
  <c r="H3" i="979"/>
</calcChain>
</file>

<file path=xl/sharedStrings.xml><?xml version="1.0" encoding="utf-8"?>
<sst xmlns="http://schemas.openxmlformats.org/spreadsheetml/2006/main" count="60" uniqueCount="60">
  <si>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</si>
  <si>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</si>
  <si>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</si>
  <si>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</si>
  <si>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</si>
  <si>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</si>
  <si>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</si>
  <si>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</si>
  <si>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</si>
  <si>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</si>
  <si>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</si>
  <si>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</si>
  <si>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</si>
  <si>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</si>
  <si>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</si>
  <si>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</si>
  <si>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</si>
  <si>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</si>
  <si>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</si>
  <si>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</si>
  <si>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</si>
  <si>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</si>
  <si>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</si>
  <si>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</si>
  <si>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</si>
  <si>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</si>
  <si>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</si>
  <si>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</si>
  <si>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</si>
  <si>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</si>
  <si>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</si>
  <si>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</si>
  <si>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</si>
  <si>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</si>
  <si>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</si>
  <si>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</si>
  <si>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</si>
  <si>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</si>
  <si>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GRAPHIC POINT A</t>
    <phoneticPr fontId="1" type="noConversion"/>
  </si>
  <si>
    <t>나염위치 A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</si>
  <si>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</si>
  <si>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</si>
  <si>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</si>
  <si>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</si>
  <si>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</si>
  <si>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</si>
  <si>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</si>
  <si>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</si>
  <si>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>옆목점에서 앞목중심의 수직 길이</t>
    <phoneticPr fontId="1" type="noConversion"/>
  </si>
  <si>
    <t>옆목점을 수평으로 잰 길이</t>
    <phoneticPr fontId="1" type="noConversion"/>
  </si>
  <si>
    <t>WITHOUT NECK BAND</t>
    <phoneticPr fontId="2" type="noConversion"/>
  </si>
  <si>
    <t>목라인(NECK LINE)을 따라 잰 곡선의 둘레길이</t>
    <phoneticPr fontId="1" type="noConversion"/>
  </si>
  <si>
    <t>BOTTOM RIB WIDTH</t>
    <phoneticPr fontId="2" type="noConversion"/>
  </si>
  <si>
    <t>밑단립 폭</t>
    <phoneticPr fontId="1" type="noConversion"/>
  </si>
  <si>
    <t>앞옆목에서 수직으로</t>
    <phoneticPr fontId="4" type="noConversion"/>
  </si>
  <si>
    <t>STYLE NO: GYSOU06-K#R23</t>
    <phoneticPr fontId="1" type="noConversion"/>
  </si>
  <si>
    <t>COLLARS RIB WIDTH</t>
    <phoneticPr fontId="10" type="noConversion"/>
  </si>
  <si>
    <t>카라립 폭</t>
    <phoneticPr fontId="10" type="noConversion"/>
  </si>
  <si>
    <t>FRONT ZIPPER LENGTH</t>
    <phoneticPr fontId="10" type="noConversion"/>
  </si>
  <si>
    <t>앞지퍼길이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</si>
</sst>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FCD7-44C6-48D4-8368-C68C30202608}">
  <sheetPr>
    <tabColor theme="9"/>
  </sheetPr>
  <dimension ref="A1:M54"/>
  <sheetViews>
    <sheetView tabSelected="1" zoomScale="110" zoomScaleNormal="110" zoomScalePageLayoutView="110" workbookViewId="0">
      <selection activeCell="I33" sqref="I33:I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37" t="s">
        <v>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</row>
    <row r="2" spans="1:13" ht="16.5" customHeight="1" thickBot="1" x14ac:dyDescent="0.35">
      <c r="A2" s="3" t="s">
        <v>29</v>
      </c>
      <c r="B2" s="40" t="s">
        <v>30</v>
      </c>
      <c r="C2" s="40"/>
      <c r="D2" s="40" t="s">
        <v>31</v>
      </c>
      <c r="E2" s="40"/>
      <c r="F2" s="40"/>
      <c r="G2" s="40"/>
      <c r="H2" s="4" t="s">
        <v>32</v>
      </c>
      <c r="I2" s="6" t="s">
        <v>33</v>
      </c>
      <c r="J2" s="5" t="s">
        <v>34</v>
      </c>
      <c r="K2" s="5"/>
      <c r="L2" s="5"/>
      <c r="M2" s="5"/>
    </row>
    <row r="3" spans="1:13" s="2" customFormat="1" ht="14.1" customHeight="1" x14ac:dyDescent="0.3">
      <c r="A3" s="41">
        <v>1</v>
      </c>
      <c r="B3" s="42" t="s">
        <v>47</v>
      </c>
      <c r="C3" s="42"/>
      <c r="D3" s="45" t="s">
        <v>46</v>
      </c>
      <c r="E3" s="45"/>
      <c r="F3" s="45"/>
      <c r="G3" s="46"/>
      <c r="H3" s="47">
        <f>SUM(I3)-3</f>
        <v>42</v>
      </c>
      <c r="I3" s="69">
        <v>45</v>
      </c>
      <c r="J3" s="48">
        <f>SUM(I3)+3</f>
        <v>48</v>
      </c>
      <c r="K3" s="48"/>
      <c r="L3" s="49"/>
      <c r="M3" s="43"/>
    </row>
    <row r="4" spans="1:13" s="2" customFormat="1" ht="14.1" customHeight="1" x14ac:dyDescent="0.3">
      <c r="A4" s="7"/>
      <c r="B4" s="23" t="s">
        <v>45</v>
      </c>
      <c r="C4" s="23"/>
      <c r="D4" s="24" t="s">
        <v>44</v>
      </c>
      <c r="E4" s="25"/>
      <c r="F4" s="25"/>
      <c r="G4" s="25"/>
      <c r="H4" s="13"/>
      <c r="I4" s="63"/>
      <c r="J4" s="15"/>
      <c r="K4" s="16"/>
      <c r="L4" s="36"/>
      <c r="M4" s="44"/>
    </row>
    <row r="5" spans="1:13" s="2" customFormat="1" ht="14.1" customHeight="1" x14ac:dyDescent="0.3">
      <c r="A5" s="65">
        <v>2</v>
      </c>
      <c r="B5" s="8" t="s">
        <v>20</v>
      </c>
      <c r="C5" s="9"/>
      <c r="D5" s="19" t="s">
        <v>21</v>
      </c>
      <c r="E5" s="20"/>
      <c r="F5" s="20"/>
      <c r="G5" s="21"/>
      <c r="H5" s="34">
        <f>SUM(I5)-4</f>
        <v>32</v>
      </c>
      <c r="I5" s="66">
        <v>36</v>
      </c>
      <c r="J5" s="16">
        <f>SUM(I5)+4</f>
        <v>40</v>
      </c>
      <c r="K5" s="16"/>
      <c r="L5" s="16"/>
      <c r="M5" s="27"/>
    </row>
    <row r="6" spans="1:13" s="2" customFormat="1" ht="14.1" customHeight="1" x14ac:dyDescent="0.3">
      <c r="A6" s="55"/>
      <c r="B6" s="50" t="s">
        <v>11</v>
      </c>
      <c r="C6" s="51"/>
      <c r="D6" s="24" t="s">
        <v>24</v>
      </c>
      <c r="E6" s="25"/>
      <c r="F6" s="25"/>
      <c r="G6" s="26"/>
      <c r="H6" s="35"/>
      <c r="I6" s="61"/>
      <c r="J6" s="36"/>
      <c r="K6" s="36"/>
      <c r="L6" s="36"/>
      <c r="M6" s="44"/>
    </row>
    <row r="7" spans="1:13" s="2" customFormat="1" ht="14.1" customHeight="1" x14ac:dyDescent="0.3">
      <c r="A7" s="65">
        <v>3</v>
      </c>
      <c r="B7" s="18" t="s">
        <v>19</v>
      </c>
      <c r="C7" s="18"/>
      <c r="D7" s="33" t="s">
        <v>10</v>
      </c>
      <c r="E7" s="33"/>
      <c r="F7" s="33"/>
      <c r="G7" s="33"/>
      <c r="H7" s="34">
        <f>SUM(I7)-4</f>
        <v>36</v>
      </c>
      <c r="I7" s="66">
        <v>40</v>
      </c>
      <c r="J7" s="16">
        <f>SUM(I7)+4</f>
        <v>44</v>
      </c>
      <c r="K7" s="15"/>
      <c r="L7" s="15"/>
      <c r="M7" s="22"/>
    </row>
    <row r="8" spans="1:13" s="2" customFormat="1" ht="14.1" customHeight="1" x14ac:dyDescent="0.3">
      <c r="A8" s="55"/>
      <c r="B8" s="23" t="s">
        <v>22</v>
      </c>
      <c r="C8" s="23"/>
      <c r="D8" s="24" t="s">
        <v>25</v>
      </c>
      <c r="E8" s="25"/>
      <c r="F8" s="25"/>
      <c r="G8" s="26"/>
      <c r="H8" s="35"/>
      <c r="I8" s="61"/>
      <c r="J8" s="36"/>
      <c r="K8" s="15"/>
      <c r="L8" s="15"/>
      <c r="M8" s="22"/>
    </row>
    <row r="9" spans="1:13" s="2" customFormat="1" ht="14.1" customHeight="1" x14ac:dyDescent="0.3">
      <c r="A9" s="65">
        <v>4</v>
      </c>
      <c r="B9" s="18" t="s">
        <v>23</v>
      </c>
      <c r="C9" s="18"/>
      <c r="D9" s="33" t="s">
        <v>8</v>
      </c>
      <c r="E9" s="33"/>
      <c r="F9" s="33"/>
      <c r="G9" s="33"/>
      <c r="H9" s="34">
        <f>SUM(I9)-4</f>
        <v>33</v>
      </c>
      <c r="I9" s="66">
        <v>37</v>
      </c>
      <c r="J9" s="16">
        <f>SUM(I9)+4</f>
        <v>41</v>
      </c>
      <c r="K9" s="15"/>
      <c r="L9" s="15"/>
      <c r="M9" s="22"/>
    </row>
    <row r="10" spans="1:13" s="2" customFormat="1" ht="14.1" customHeight="1" x14ac:dyDescent="0.3">
      <c r="A10" s="55"/>
      <c r="B10" s="23" t="s">
        <v>12</v>
      </c>
      <c r="C10" s="23"/>
      <c r="D10" s="24" t="s">
        <v>26</v>
      </c>
      <c r="E10" s="25"/>
      <c r="F10" s="25"/>
      <c r="G10" s="26"/>
      <c r="H10" s="35"/>
      <c r="I10" s="61"/>
      <c r="J10" s="36"/>
      <c r="K10" s="15"/>
      <c r="L10" s="15"/>
      <c r="M10" s="22"/>
    </row>
    <row r="11" spans="1:13" s="2" customFormat="1" ht="14.1" customHeight="1" x14ac:dyDescent="0.3">
      <c r="A11" s="65">
        <v>5</v>
      </c>
      <c r="B11" s="18" t="s">
        <v>52</v>
      </c>
      <c r="C11" s="18"/>
      <c r="D11" s="33"/>
      <c r="E11" s="33"/>
      <c r="F11" s="33"/>
      <c r="G11" s="33"/>
      <c r="H11" s="34"/>
      <c r="I11" s="66"/>
      <c r="J11" s="16"/>
      <c r="K11" s="16"/>
      <c r="L11" s="16"/>
      <c r="M11" s="27"/>
    </row>
    <row r="12" spans="1:13" s="2" customFormat="1" ht="14.1" customHeight="1" x14ac:dyDescent="0.3">
      <c r="A12" s="55"/>
      <c r="B12" s="23" t="s">
        <v>53</v>
      </c>
      <c r="C12" s="23"/>
      <c r="D12" s="24"/>
      <c r="E12" s="25"/>
      <c r="F12" s="25"/>
      <c r="G12" s="26"/>
      <c r="H12" s="35"/>
      <c r="I12" s="61"/>
      <c r="J12" s="36"/>
      <c r="K12" s="36"/>
      <c r="L12" s="36"/>
      <c r="M12" s="44"/>
    </row>
    <row r="13" spans="1:13" s="2" customFormat="1" ht="14.1" customHeight="1" x14ac:dyDescent="0.3">
      <c r="A13" s="65">
        <v>6</v>
      </c>
      <c r="B13" s="18" t="s">
        <v>9</v>
      </c>
      <c r="C13" s="18"/>
      <c r="D13" s="33" t="s">
        <v>0</v>
      </c>
      <c r="E13" s="33"/>
      <c r="F13" s="33"/>
      <c r="G13" s="33"/>
      <c r="H13" s="13">
        <f>SUM(I13)-1</f>
        <v>17</v>
      </c>
      <c r="I13" s="63">
        <v>18</v>
      </c>
      <c r="J13" s="15">
        <f>SUM(I13)+1</f>
        <v>19</v>
      </c>
      <c r="K13" s="15"/>
      <c r="L13" s="15"/>
      <c r="M13" s="22"/>
    </row>
    <row r="14" spans="1:13" s="2" customFormat="1" ht="14.1" customHeight="1" x14ac:dyDescent="0.3">
      <c r="A14" s="55"/>
      <c r="B14" s="23" t="s">
        <v>13</v>
      </c>
      <c r="C14" s="23"/>
      <c r="D14" s="24" t="s">
        <v>27</v>
      </c>
      <c r="E14" s="25"/>
      <c r="F14" s="25"/>
      <c r="G14" s="26"/>
      <c r="H14" s="13"/>
      <c r="I14" s="63"/>
      <c r="J14" s="15"/>
      <c r="K14" s="15"/>
      <c r="L14" s="15"/>
      <c r="M14" s="22"/>
    </row>
    <row r="15" spans="1:13" s="2" customFormat="1" ht="14.1" customHeight="1" x14ac:dyDescent="0.3">
      <c r="A15" s="65">
        <v>7</v>
      </c>
      <c r="B15" s="18" t="s">
        <v>1</v>
      </c>
      <c r="C15" s="18"/>
      <c r="D15" s="33" t="s">
        <v>50</v>
      </c>
      <c r="E15" s="33"/>
      <c r="F15" s="33"/>
      <c r="G15" s="33"/>
      <c r="H15" s="13">
        <f>SUM(I15)-0.6</f>
        <v>19.399999999999999</v>
      </c>
      <c r="I15" s="63">
        <v>20</v>
      </c>
      <c r="J15" s="15">
        <f>SUM(I15)+0.6</f>
        <v>20.6</v>
      </c>
      <c r="K15" s="15"/>
      <c r="L15" s="15"/>
      <c r="M15" s="22"/>
    </row>
    <row r="16" spans="1:13" s="2" customFormat="1" ht="14.1" customHeight="1" x14ac:dyDescent="0.3">
      <c r="A16" s="55"/>
      <c r="B16" s="23" t="s">
        <v>14</v>
      </c>
      <c r="C16" s="23"/>
      <c r="D16" s="24" t="s">
        <v>49</v>
      </c>
      <c r="E16" s="25"/>
      <c r="F16" s="25"/>
      <c r="G16" s="26"/>
      <c r="H16" s="13"/>
      <c r="I16" s="63"/>
      <c r="J16" s="15"/>
      <c r="K16" s="15"/>
      <c r="L16" s="15"/>
      <c r="M16" s="22"/>
    </row>
    <row r="17" spans="1:13" s="2" customFormat="1" ht="14.1" customHeight="1" x14ac:dyDescent="0.3">
      <c r="A17" s="65">
        <v>8</v>
      </c>
      <c r="B17" s="18" t="s">
        <v>2</v>
      </c>
      <c r="C17" s="18"/>
      <c r="D17" s="33" t="s">
        <v>3</v>
      </c>
      <c r="E17" s="33"/>
      <c r="F17" s="33"/>
      <c r="G17" s="33"/>
      <c r="H17" s="13">
        <f>SUM(I17)-0.3</f>
        <v>7.2</v>
      </c>
      <c r="I17" s="63">
        <v>7.5</v>
      </c>
      <c r="J17" s="15">
        <f>SUM(I17)+0.3</f>
        <v>7.8</v>
      </c>
      <c r="K17" s="15"/>
      <c r="L17" s="15"/>
      <c r="M17" s="22"/>
    </row>
    <row r="18" spans="1:13" s="2" customFormat="1" ht="14.1" customHeight="1" x14ac:dyDescent="0.3">
      <c r="A18" s="55"/>
      <c r="B18" s="23" t="s">
        <v>15</v>
      </c>
      <c r="C18" s="23"/>
      <c r="D18" s="24" t="s">
        <v>48</v>
      </c>
      <c r="E18" s="25"/>
      <c r="F18" s="25"/>
      <c r="G18" s="26"/>
      <c r="H18" s="13"/>
      <c r="I18" s="63"/>
      <c r="J18" s="15"/>
      <c r="K18" s="15"/>
      <c r="L18" s="15"/>
      <c r="M18" s="22"/>
    </row>
    <row r="19" spans="1:13" s="2" customFormat="1" ht="14.1" customHeight="1" x14ac:dyDescent="0.3">
      <c r="A19" s="65">
        <v>9</v>
      </c>
      <c r="B19" s="8" t="s">
        <v>40</v>
      </c>
      <c r="C19" s="9"/>
      <c r="D19" s="19" t="s">
        <v>42</v>
      </c>
      <c r="E19" s="20"/>
      <c r="F19" s="20"/>
      <c r="G19" s="21"/>
      <c r="H19" s="13"/>
      <c r="I19" s="63"/>
      <c r="J19" s="15"/>
      <c r="K19" s="15"/>
      <c r="L19" s="15"/>
      <c r="M19" s="22"/>
    </row>
    <row r="20" spans="1:13" s="2" customFormat="1" ht="14.1" customHeight="1" x14ac:dyDescent="0.3">
      <c r="A20" s="55"/>
      <c r="B20" s="23" t="s">
        <v>41</v>
      </c>
      <c r="C20" s="23"/>
      <c r="D20" s="24" t="s">
        <v>51</v>
      </c>
      <c r="E20" s="25"/>
      <c r="F20" s="25"/>
      <c r="G20" s="26"/>
      <c r="H20" s="13"/>
      <c r="I20" s="63"/>
      <c r="J20" s="15"/>
      <c r="K20" s="15"/>
      <c r="L20" s="15"/>
      <c r="M20" s="22"/>
    </row>
    <row r="21" spans="1:13" s="2" customFormat="1" ht="14.1" customHeight="1" x14ac:dyDescent="0.3">
      <c r="A21" s="65">
        <v>10</v>
      </c>
      <c r="B21" s="18" t="s">
        <v>4</v>
      </c>
      <c r="C21" s="18"/>
      <c r="D21" s="33" t="s">
        <v>5</v>
      </c>
      <c r="E21" s="33"/>
      <c r="F21" s="33"/>
      <c r="G21" s="33"/>
      <c r="H21" s="35">
        <f>SUM(I21)-2</f>
        <v>55</v>
      </c>
      <c r="I21" s="61">
        <v>57</v>
      </c>
      <c r="J21" s="36">
        <f>SUM(I21)+2</f>
        <v>59</v>
      </c>
      <c r="K21" s="15"/>
      <c r="L21" s="15"/>
      <c r="M21" s="22"/>
    </row>
    <row r="22" spans="1:13" s="2" customFormat="1" ht="14.1" customHeight="1" x14ac:dyDescent="0.3">
      <c r="A22" s="55"/>
      <c r="B22" s="23" t="s">
        <v>16</v>
      </c>
      <c r="C22" s="23"/>
      <c r="D22" s="24" t="s">
        <v>28</v>
      </c>
      <c r="E22" s="25"/>
      <c r="F22" s="25"/>
      <c r="G22" s="26"/>
      <c r="H22" s="13"/>
      <c r="I22" s="63"/>
      <c r="J22" s="15"/>
      <c r="K22" s="15"/>
      <c r="L22" s="15"/>
      <c r="M22" s="22"/>
    </row>
    <row r="23" spans="1:13" s="2" customFormat="1" ht="14.1" customHeight="1" x14ac:dyDescent="0.3">
      <c r="A23" s="65">
        <v>11</v>
      </c>
      <c r="B23" s="18" t="s">
        <v>6</v>
      </c>
      <c r="C23" s="18"/>
      <c r="D23" s="19" t="s">
        <v>7</v>
      </c>
      <c r="E23" s="20"/>
      <c r="F23" s="20"/>
      <c r="G23" s="21"/>
      <c r="H23" s="35">
        <f>SUM(I23)-1.5</f>
        <v>25.5</v>
      </c>
      <c r="I23" s="61">
        <v>27</v>
      </c>
      <c r="J23" s="36">
        <f>SUM(I23)+1.5</f>
        <v>28.5</v>
      </c>
      <c r="K23" s="15"/>
      <c r="L23" s="15"/>
      <c r="M23" s="22"/>
    </row>
    <row r="24" spans="1:13" s="2" customFormat="1" ht="14.1" customHeight="1" x14ac:dyDescent="0.3">
      <c r="A24" s="55"/>
      <c r="B24" s="23" t="s">
        <v>17</v>
      </c>
      <c r="C24" s="23"/>
      <c r="D24" s="24" t="s">
        <v>35</v>
      </c>
      <c r="E24" s="25"/>
      <c r="F24" s="25"/>
      <c r="G24" s="26"/>
      <c r="H24" s="13"/>
      <c r="I24" s="63"/>
      <c r="J24" s="15"/>
      <c r="K24" s="15"/>
      <c r="L24" s="15"/>
      <c r="M24" s="22"/>
    </row>
    <row r="25" spans="1:13" s="2" customFormat="1" ht="14.1" customHeight="1" x14ac:dyDescent="0.3">
      <c r="A25" s="65">
        <v>12</v>
      </c>
      <c r="B25" s="8" t="s">
        <v>43</v>
      </c>
      <c r="C25" s="9"/>
      <c r="D25" s="33" t="s">
        <v>36</v>
      </c>
      <c r="E25" s="33"/>
      <c r="F25" s="33"/>
      <c r="G25" s="33"/>
      <c r="H25" s="35">
        <f>SUM(I25)-0.8</f>
        <v>18.2</v>
      </c>
      <c r="I25" s="61">
        <v>19</v>
      </c>
      <c r="J25" s="36">
        <f>SUM(I25)+0.8</f>
        <v>19.8</v>
      </c>
      <c r="K25" s="15"/>
      <c r="L25" s="15"/>
      <c r="M25" s="22"/>
    </row>
    <row r="26" spans="1:13" s="2" customFormat="1" ht="14.1" customHeight="1" x14ac:dyDescent="0.3">
      <c r="A26" s="55"/>
      <c r="B26" s="23" t="s">
        <v>18</v>
      </c>
      <c r="C26" s="23"/>
      <c r="D26" s="24" t="s">
        <v>37</v>
      </c>
      <c r="E26" s="25"/>
      <c r="F26" s="25"/>
      <c r="G26" s="26"/>
      <c r="H26" s="13"/>
      <c r="I26" s="63"/>
      <c r="J26" s="15"/>
      <c r="K26" s="15"/>
      <c r="L26" s="15"/>
      <c r="M26" s="22"/>
    </row>
    <row r="27" spans="1:13" s="2" customFormat="1" ht="14.1" customHeight="1" x14ac:dyDescent="0.3">
      <c r="A27" s="65">
        <v>13</v>
      </c>
      <c r="B27" s="64" t="s">
        <v>56</v>
      </c>
      <c r="C27" s="64"/>
      <c r="D27" s="52"/>
      <c r="E27" s="53"/>
      <c r="F27" s="53"/>
      <c r="G27" s="54"/>
      <c r="H27" s="35">
        <f>SUM(I27)-0.5</f>
        <v>7.5</v>
      </c>
      <c r="I27" s="61">
        <v>8</v>
      </c>
      <c r="J27" s="36">
        <f>SUM(I27)+0.5</f>
        <v>8.5</v>
      </c>
      <c r="K27" s="36"/>
      <c r="L27" s="36"/>
      <c r="M27" s="44"/>
    </row>
    <row r="28" spans="1:13" s="2" customFormat="1" ht="14.1" customHeight="1" x14ac:dyDescent="0.3">
      <c r="A28" s="55"/>
      <c r="B28" s="23" t="s">
        <v>57</v>
      </c>
      <c r="C28" s="23"/>
      <c r="D28" s="24"/>
      <c r="E28" s="25"/>
      <c r="F28" s="25"/>
      <c r="G28" s="26"/>
      <c r="H28" s="13"/>
      <c r="I28" s="63"/>
      <c r="J28" s="15"/>
      <c r="K28" s="15"/>
      <c r="L28" s="15"/>
      <c r="M28" s="22"/>
    </row>
    <row r="29" spans="1:13" s="2" customFormat="1" ht="14.1" customHeight="1" x14ac:dyDescent="0.3">
      <c r="A29" s="65">
        <v>14</v>
      </c>
      <c r="B29" s="18" t="s">
        <v>58</v>
      </c>
      <c r="C29" s="18"/>
      <c r="D29" s="19"/>
      <c r="E29" s="20"/>
      <c r="F29" s="20"/>
      <c r="G29" s="21"/>
      <c r="H29" s="13">
        <v>35</v>
      </c>
      <c r="I29" s="63">
        <v>37.5</v>
      </c>
      <c r="J29" s="15">
        <v>40</v>
      </c>
      <c r="K29" s="16"/>
      <c r="L29" s="16"/>
      <c r="M29" s="27"/>
    </row>
    <row r="30" spans="1:13" s="2" customFormat="1" ht="14.1" customHeight="1" x14ac:dyDescent="0.3">
      <c r="A30" s="55"/>
      <c r="B30" s="23" t="s">
        <v>59</v>
      </c>
      <c r="C30" s="23"/>
      <c r="D30" s="24"/>
      <c r="E30" s="25"/>
      <c r="F30" s="25"/>
      <c r="G30" s="26"/>
      <c r="H30" s="13"/>
      <c r="I30" s="63"/>
      <c r="J30" s="15"/>
      <c r="K30" s="36"/>
      <c r="L30" s="36"/>
      <c r="M30" s="44"/>
    </row>
    <row r="31" spans="1:13" s="2" customFormat="1" ht="14.1" customHeight="1" x14ac:dyDescent="0.3">
      <c r="A31" s="7">
        <v>15</v>
      </c>
      <c r="B31" s="8" t="s">
        <v>38</v>
      </c>
      <c r="C31" s="9"/>
      <c r="D31" s="10"/>
      <c r="E31" s="11"/>
      <c r="F31" s="11"/>
      <c r="G31" s="12"/>
      <c r="H31" s="35">
        <f>SUM(I31)-0.5</f>
        <v>14</v>
      </c>
      <c r="I31" s="61">
        <v>14.5</v>
      </c>
      <c r="J31" s="36">
        <f>SUM(I31)+0.5</f>
        <v>15</v>
      </c>
      <c r="K31" s="16"/>
      <c r="L31" s="15"/>
      <c r="M31" s="22"/>
    </row>
    <row r="32" spans="1:13" s="2" customFormat="1" ht="14.1" customHeight="1" x14ac:dyDescent="0.3">
      <c r="A32" s="7"/>
      <c r="B32" s="50" t="s">
        <v>39</v>
      </c>
      <c r="C32" s="51"/>
      <c r="D32" s="24" t="s">
        <v>54</v>
      </c>
      <c r="E32" s="25"/>
      <c r="F32" s="25"/>
      <c r="G32" s="26"/>
      <c r="H32" s="13"/>
      <c r="I32" s="63"/>
      <c r="J32" s="15"/>
      <c r="K32" s="36"/>
      <c r="L32" s="15"/>
      <c r="M32" s="22"/>
    </row>
    <row r="33" spans="1:13" s="2" customFormat="1" ht="14.1" customHeight="1" x14ac:dyDescent="0.3">
      <c r="A33" s="65">
        <v>16</v>
      </c>
      <c r="B33" s="56"/>
      <c r="C33" s="57"/>
      <c r="D33" s="58"/>
      <c r="E33" s="59"/>
      <c r="F33" s="59"/>
      <c r="G33" s="60"/>
      <c r="H33" s="13"/>
      <c r="I33" s="63"/>
      <c r="J33" s="63"/>
      <c r="K33" s="15"/>
      <c r="L33" s="15"/>
      <c r="M33" s="22"/>
    </row>
    <row r="34" spans="1:13" s="2" customFormat="1" ht="14.1" customHeight="1" thickBot="1" x14ac:dyDescent="0.35">
      <c r="A34" s="67"/>
      <c r="B34" s="28"/>
      <c r="C34" s="29"/>
      <c r="D34" s="30"/>
      <c r="E34" s="31"/>
      <c r="F34" s="31"/>
      <c r="G34" s="32"/>
      <c r="H34" s="14"/>
      <c r="I34" s="62"/>
      <c r="J34" s="62"/>
      <c r="K34" s="17"/>
      <c r="L34" s="17"/>
      <c r="M34" s="68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A31:A32"/>
    <mergeCell ref="J33:J34"/>
    <mergeCell ref="K33:K34"/>
    <mergeCell ref="L33:L34"/>
    <mergeCell ref="M33:M34"/>
    <mergeCell ref="B34:C34"/>
    <mergeCell ref="D34:G34"/>
    <mergeCell ref="K29:K30"/>
    <mergeCell ref="L29:L30"/>
    <mergeCell ref="M29:M30"/>
    <mergeCell ref="B30:C30"/>
    <mergeCell ref="D30:G30"/>
    <mergeCell ref="J29:J30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</mergeCells>
  <phoneticPr fontId="10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OU06(니트)</vt:lpstr>
      <vt:lpstr>'OU06(니트)'!Print_Area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2025-10-31T07:12:45Z</cp:lastPrinted>
  <dcterms:created xsi:type="dcterms:W3CDTF">2018-05-14T06:17:18Z</dcterms:created>
  <dcterms:modified xsi:type="dcterms:W3CDTF">2025-10-31T07:20:15Z</dcterms:modified>
</cp:coreProperties>
</file>