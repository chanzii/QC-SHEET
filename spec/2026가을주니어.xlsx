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중국풀패턴\작지싸이즈스펙\2026\"/>
    </mc:Choice>
  </mc:AlternateContent>
  <xr:revisionPtr revIDLastSave="0" documentId="13_ncr:1_{749C5062-3121-4C8E-BB70-C72E6DFA6CCE}" xr6:coauthVersionLast="47" xr6:coauthVersionMax="47" xr10:uidLastSave="{00000000-0000-0000-0000-000000000000}"/>
  <bookViews>
    <workbookView xWindow="28680" yWindow="-120" windowWidth="29040" windowHeight="15720" tabRatio="776" firstSheet="5" activeTab="22" xr2:uid="{3359282B-7569-4BC7-A037-9A98D8DF6EA5}"/>
  </bookViews>
  <sheets>
    <sheet name="OU01" sheetId="1014" r:id="rId1"/>
    <sheet name="OU02(니트)" sheetId="1009" r:id="rId2"/>
    <sheet name="OU03" sheetId="1012" r:id="rId3"/>
    <sheet name="OU04(심양)패턴" sheetId="1026" r:id="rId4"/>
    <sheet name="OU04(심양)제품" sheetId="1029" r:id="rId5"/>
    <sheet name="PT01 " sheetId="1006" r:id="rId6"/>
    <sheet name="PT02" sheetId="1015" r:id="rId7"/>
    <sheet name="PT03(완사입)" sheetId="1008" r:id="rId8"/>
    <sheet name="PT04" sheetId="1019" r:id="rId9"/>
    <sheet name="PT05" sheetId="1017" r:id="rId10"/>
    <sheet name="PT06(완사입)" sheetId="1027" r:id="rId11"/>
    <sheet name="PT07(완사입) " sheetId="1028" r:id="rId12"/>
    <sheet name="SK01" sheetId="1016" r:id="rId13"/>
    <sheet name="TO01" sheetId="1013" r:id="rId14"/>
    <sheet name="TO02" sheetId="1010" r:id="rId15"/>
    <sheet name="TO03" sheetId="1011" r:id="rId16"/>
    <sheet name="TO04" sheetId="1025" r:id="rId17"/>
    <sheet name="TO05" sheetId="1020" r:id="rId18"/>
    <sheet name="TO06" sheetId="1021" r:id="rId19"/>
    <sheet name="TO07" sheetId="1018" r:id="rId20"/>
    <sheet name="TO08" sheetId="1022" r:id="rId21"/>
    <sheet name="TO09" sheetId="1023" r:id="rId22"/>
    <sheet name="TO10" sheetId="1024" r:id="rId23"/>
  </sheets>
  <definedNames>
    <definedName name="_xlnm.Print_Area" localSheetId="0">'OU01'!$A$1:$M$38</definedName>
    <definedName name="_xlnm.Print_Area" localSheetId="1">'OU02(니트)'!$A$1:$M$38</definedName>
    <definedName name="_xlnm.Print_Area" localSheetId="2">'OU03'!$A$1:$M$42</definedName>
    <definedName name="_xlnm.Print_Area" localSheetId="4">'OU04(심양)제품'!$A$1:$M$38</definedName>
    <definedName name="_xlnm.Print_Area" localSheetId="3">'OU04(심양)패턴'!$A$1:$M$38</definedName>
    <definedName name="_xlnm.Print_Area" localSheetId="5">'PT01 '!$A$1:$M$48</definedName>
    <definedName name="_xlnm.Print_Area" localSheetId="6">'PT02'!$A$1:$M$48</definedName>
    <definedName name="_xlnm.Print_Area" localSheetId="7">'PT03(완사입)'!$A$1:$M$44</definedName>
    <definedName name="_xlnm.Print_Area" localSheetId="8">'PT04'!$A$1:$M$56</definedName>
    <definedName name="_xlnm.Print_Area" localSheetId="9">'PT05'!$A$1:$M$50</definedName>
    <definedName name="_xlnm.Print_Area" localSheetId="10">'PT06(완사입)'!$A$1:$M$46</definedName>
    <definedName name="_xlnm.Print_Area" localSheetId="11">'PT07(완사입) '!$A$1:$M$46</definedName>
    <definedName name="_xlnm.Print_Area" localSheetId="12">'SK01'!$A$1:$M$42</definedName>
    <definedName name="_xlnm.Print_Area" localSheetId="13">'TO01'!$A$1:$M$32</definedName>
    <definedName name="_xlnm.Print_Area" localSheetId="14">'TO02'!$A$1:$M$36</definedName>
    <definedName name="_xlnm.Print_Area" localSheetId="15">'TO03'!$A$1:$M$36</definedName>
    <definedName name="_xlnm.Print_Area" localSheetId="16">'TO04'!$A$1:$M$34</definedName>
    <definedName name="_xlnm.Print_Area" localSheetId="17">'TO05'!$A$1:$M$34</definedName>
    <definedName name="_xlnm.Print_Area" localSheetId="18">'TO06'!$A$1:$M$36</definedName>
    <definedName name="_xlnm.Print_Area" localSheetId="19">'TO07'!$A$1:$M$36</definedName>
    <definedName name="_xlnm.Print_Area" localSheetId="20">'TO08'!$A$1:$M$42</definedName>
    <definedName name="_xlnm.Print_Area" localSheetId="21">'TO09'!$A$1:$M$42</definedName>
    <definedName name="_xlnm.Print_Area" localSheetId="22">'TO10'!$A$1:$M$34</definedName>
  </definedNames>
  <calcPr calcId="191029"/>
</workbook>
</file>

<file path=xl/calcChain.xml><?xml version="1.0" encoding="utf-8"?>
<calcChain xmlns="http://schemas.openxmlformats.org/spreadsheetml/2006/main">
  <c r="J27" i="1025" l="1"/>
  <c r="I27" i="1025"/>
  <c r="J25" i="1025"/>
  <c r="I25" i="1025"/>
  <c r="I23" i="1028"/>
  <c r="J23" i="1028" s="1"/>
  <c r="J21" i="1025"/>
  <c r="I21" i="1025"/>
  <c r="J31" i="1018"/>
  <c r="I31" i="1018"/>
  <c r="I33" i="1018"/>
  <c r="J33" i="1018" s="1"/>
  <c r="J29" i="1018"/>
  <c r="J27" i="1018"/>
  <c r="I27" i="1018"/>
  <c r="I29" i="1018"/>
  <c r="I25" i="1018"/>
  <c r="I35" i="1029"/>
  <c r="J35" i="1029" s="1"/>
  <c r="I35" i="1026"/>
  <c r="J35" i="1026" s="1"/>
  <c r="I33" i="1029"/>
  <c r="J33" i="1029" s="1"/>
  <c r="I31" i="1029"/>
  <c r="J31" i="1029" s="1"/>
  <c r="I27" i="1029"/>
  <c r="J27" i="1029" s="1"/>
  <c r="P16" i="1029" s="1"/>
  <c r="P17" i="1029" s="1"/>
  <c r="J25" i="1029"/>
  <c r="I25" i="1029"/>
  <c r="I17" i="1029"/>
  <c r="J17" i="1029" s="1"/>
  <c r="I15" i="1029"/>
  <c r="J15" i="1029" s="1"/>
  <c r="I13" i="1029"/>
  <c r="J13" i="1029" s="1"/>
  <c r="I11" i="1029"/>
  <c r="J11" i="1029" s="1"/>
  <c r="I9" i="1029"/>
  <c r="J9" i="1029" s="1"/>
  <c r="I7" i="1029"/>
  <c r="J7" i="1029" s="1"/>
  <c r="I5" i="1029"/>
  <c r="J5" i="1029" s="1"/>
  <c r="I3" i="1029"/>
  <c r="J3" i="1029" s="1"/>
  <c r="P23" i="1019"/>
  <c r="P24" i="1019" s="1"/>
  <c r="J39" i="1028"/>
  <c r="I39" i="1028"/>
  <c r="J37" i="1028"/>
  <c r="I37" i="1028"/>
  <c r="I43" i="1028"/>
  <c r="J43" i="1028" s="1"/>
  <c r="I41" i="1028"/>
  <c r="J41" i="1028" s="1"/>
  <c r="I27" i="1028"/>
  <c r="J27" i="1028" s="1"/>
  <c r="I25" i="1028"/>
  <c r="J25" i="1028" s="1"/>
  <c r="I21" i="1028"/>
  <c r="J21" i="1028" s="1"/>
  <c r="J19" i="1028"/>
  <c r="I19" i="1028"/>
  <c r="I17" i="1028"/>
  <c r="J17" i="1028" s="1"/>
  <c r="I15" i="1028"/>
  <c r="J15" i="1028" s="1"/>
  <c r="I13" i="1028"/>
  <c r="J13" i="1028" s="1"/>
  <c r="I11" i="1028"/>
  <c r="J11" i="1028" s="1"/>
  <c r="I9" i="1028"/>
  <c r="J9" i="1028" s="1"/>
  <c r="I7" i="1028"/>
  <c r="J7" i="1028" s="1"/>
  <c r="I5" i="1028"/>
  <c r="J5" i="1028" s="1"/>
  <c r="I3" i="1028"/>
  <c r="J3" i="1028" s="1"/>
  <c r="I41" i="1027"/>
  <c r="J41" i="1027" s="1"/>
  <c r="I39" i="1027"/>
  <c r="J39" i="1027" s="1"/>
  <c r="J21" i="1027"/>
  <c r="I21" i="1027"/>
  <c r="J19" i="1027"/>
  <c r="I19" i="1027"/>
  <c r="I17" i="1027"/>
  <c r="J17" i="1027" s="1"/>
  <c r="I9" i="1027"/>
  <c r="J9" i="1027" s="1"/>
  <c r="I7" i="1027"/>
  <c r="J7" i="1027" s="1"/>
  <c r="I5" i="1027"/>
  <c r="J5" i="1027" s="1"/>
  <c r="I43" i="1027" l="1"/>
  <c r="J43" i="1027" s="1"/>
  <c r="I37" i="1027"/>
  <c r="J37" i="1027" s="1"/>
  <c r="I27" i="1027"/>
  <c r="J27" i="1027" s="1"/>
  <c r="I25" i="1027"/>
  <c r="J25" i="1027" s="1"/>
  <c r="I23" i="1027"/>
  <c r="J23" i="1027" s="1"/>
  <c r="I15" i="1027"/>
  <c r="J15" i="1027" s="1"/>
  <c r="I13" i="1027"/>
  <c r="J13" i="1027" s="1"/>
  <c r="I11" i="1027"/>
  <c r="J11" i="1027" s="1"/>
  <c r="I3" i="1027"/>
  <c r="J3" i="1027" s="1"/>
  <c r="P17" i="1026"/>
  <c r="P16" i="1026"/>
  <c r="I33" i="1026"/>
  <c r="J33" i="1026" s="1"/>
  <c r="I31" i="1026"/>
  <c r="J31" i="1026" s="1"/>
  <c r="I9" i="1026"/>
  <c r="J9" i="1026" s="1"/>
  <c r="I5" i="1026"/>
  <c r="J5" i="1026" s="1"/>
  <c r="I27" i="1026"/>
  <c r="J27" i="1026" s="1"/>
  <c r="I25" i="1026"/>
  <c r="J25" i="1026" s="1"/>
  <c r="I17" i="1026" l="1"/>
  <c r="J17" i="1026" s="1"/>
  <c r="I15" i="1026"/>
  <c r="J15" i="1026" s="1"/>
  <c r="I13" i="1026"/>
  <c r="J13" i="1026" s="1"/>
  <c r="I11" i="1026"/>
  <c r="J11" i="1026" s="1"/>
  <c r="I7" i="1026"/>
  <c r="J7" i="1026" s="1"/>
  <c r="I3" i="1026"/>
  <c r="J3" i="1026" s="1"/>
  <c r="I35" i="1006" l="1"/>
  <c r="J35" i="1006" s="1"/>
  <c r="I33" i="1006"/>
  <c r="J33" i="1006" s="1"/>
  <c r="J31" i="1006"/>
  <c r="I31" i="1006"/>
  <c r="J29" i="1006"/>
  <c r="I29" i="1006"/>
  <c r="J23" i="1006"/>
  <c r="I23" i="1006"/>
  <c r="I21" i="1006"/>
  <c r="J21" i="1006" s="1"/>
  <c r="I19" i="1006"/>
  <c r="J19" i="1006" s="1"/>
  <c r="I23" i="1025"/>
  <c r="J23" i="1025" s="1"/>
  <c r="I5" i="1025"/>
  <c r="J5" i="1025" s="1"/>
  <c r="I17" i="1025"/>
  <c r="J17" i="1025" s="1"/>
  <c r="I15" i="1025"/>
  <c r="J15" i="1025" s="1"/>
  <c r="I13" i="1025"/>
  <c r="J13" i="1025" s="1"/>
  <c r="I9" i="1025"/>
  <c r="J9" i="1025" s="1"/>
  <c r="I7" i="1025"/>
  <c r="J7" i="1025" s="1"/>
  <c r="I3" i="1025"/>
  <c r="J3" i="1025" s="1"/>
  <c r="I25" i="1024"/>
  <c r="J25" i="1024" s="1"/>
  <c r="I23" i="1024"/>
  <c r="J23" i="1024" s="1"/>
  <c r="I21" i="1024"/>
  <c r="J21" i="1024" s="1"/>
  <c r="I19" i="1024"/>
  <c r="J19" i="1024" s="1"/>
  <c r="I17" i="1024"/>
  <c r="J17" i="1024" s="1"/>
  <c r="I15" i="1024"/>
  <c r="J15" i="1024" s="1"/>
  <c r="I13" i="1024"/>
  <c r="J13" i="1024" s="1"/>
  <c r="I11" i="1024"/>
  <c r="J11" i="1024" s="1"/>
  <c r="J9" i="1024"/>
  <c r="I9" i="1024"/>
  <c r="I7" i="1024"/>
  <c r="J7" i="1024" s="1"/>
  <c r="I5" i="1024"/>
  <c r="J5" i="1024" s="1"/>
  <c r="I3" i="1024"/>
  <c r="J3" i="1024" s="1"/>
  <c r="J37" i="1023"/>
  <c r="H37" i="1023"/>
  <c r="J35" i="1023"/>
  <c r="H35" i="1023"/>
  <c r="J33" i="1023"/>
  <c r="H33" i="1023"/>
  <c r="J31" i="1023"/>
  <c r="H31" i="1023"/>
  <c r="J29" i="1023"/>
  <c r="H29" i="1023"/>
  <c r="J27" i="1023"/>
  <c r="H27" i="1023"/>
  <c r="J25" i="1023"/>
  <c r="H25" i="1023"/>
  <c r="J23" i="1023"/>
  <c r="H23" i="1023"/>
  <c r="J21" i="1023"/>
  <c r="H21" i="1023"/>
  <c r="J19" i="1023"/>
  <c r="H19" i="1023"/>
  <c r="J17" i="1023"/>
  <c r="H17" i="1023"/>
  <c r="J15" i="1023"/>
  <c r="H15" i="1023"/>
  <c r="J13" i="1023"/>
  <c r="H13" i="1023"/>
  <c r="J11" i="1023"/>
  <c r="H11" i="1023"/>
  <c r="J9" i="1023"/>
  <c r="H9" i="1023"/>
  <c r="J7" i="1023"/>
  <c r="H7" i="1023"/>
  <c r="J5" i="1023"/>
  <c r="H5" i="1023"/>
  <c r="J3" i="1023"/>
  <c r="H3" i="1023"/>
  <c r="I39" i="1022"/>
  <c r="J39" i="1022" s="1"/>
  <c r="I37" i="1022"/>
  <c r="J37" i="1022" s="1"/>
  <c r="I35" i="1022"/>
  <c r="J35" i="1022" s="1"/>
  <c r="I33" i="1022"/>
  <c r="J33" i="1022" s="1"/>
  <c r="I31" i="1022"/>
  <c r="J31" i="1022" s="1"/>
  <c r="I29" i="1022"/>
  <c r="J29" i="1022" s="1"/>
  <c r="I27" i="1022"/>
  <c r="J27" i="1022" s="1"/>
  <c r="I25" i="1022"/>
  <c r="J25" i="1022" s="1"/>
  <c r="I23" i="1022"/>
  <c r="J23" i="1022" s="1"/>
  <c r="I21" i="1022"/>
  <c r="J21" i="1022" s="1"/>
  <c r="I19" i="1022"/>
  <c r="J19" i="1022" s="1"/>
  <c r="I17" i="1022"/>
  <c r="J17" i="1022" s="1"/>
  <c r="I15" i="1022"/>
  <c r="J15" i="1022" s="1"/>
  <c r="I13" i="1022"/>
  <c r="J13" i="1022" s="1"/>
  <c r="I11" i="1022"/>
  <c r="J11" i="1022" s="1"/>
  <c r="I9" i="1022"/>
  <c r="J9" i="1022" s="1"/>
  <c r="I7" i="1022"/>
  <c r="J7" i="1022" s="1"/>
  <c r="I5" i="1022"/>
  <c r="J5" i="1022" s="1"/>
  <c r="I3" i="1022"/>
  <c r="J3" i="1022" s="1"/>
  <c r="I35" i="1021"/>
  <c r="J35" i="1021" s="1"/>
  <c r="I33" i="1021"/>
  <c r="J33" i="1021" s="1"/>
  <c r="I31" i="1021"/>
  <c r="J31" i="1021" s="1"/>
  <c r="I29" i="1021"/>
  <c r="J29" i="1021" s="1"/>
  <c r="I27" i="1021"/>
  <c r="J27" i="1021" s="1"/>
  <c r="J25" i="1021"/>
  <c r="I25" i="1021"/>
  <c r="I23" i="1021"/>
  <c r="J23" i="1021" s="1"/>
  <c r="I21" i="1021"/>
  <c r="J21" i="1021" s="1"/>
  <c r="J19" i="1021"/>
  <c r="I19" i="1021"/>
  <c r="I17" i="1021"/>
  <c r="J17" i="1021" s="1"/>
  <c r="I15" i="1021"/>
  <c r="J15" i="1021" s="1"/>
  <c r="I13" i="1021"/>
  <c r="J13" i="1021" s="1"/>
  <c r="I11" i="1021"/>
  <c r="J11" i="1021" s="1"/>
  <c r="J9" i="1021"/>
  <c r="I9" i="1021"/>
  <c r="I7" i="1021"/>
  <c r="J7" i="1021" s="1"/>
  <c r="I5" i="1021"/>
  <c r="J5" i="1021" s="1"/>
  <c r="J3" i="1021"/>
  <c r="I3" i="1021"/>
  <c r="I27" i="1020"/>
  <c r="J27" i="1020" s="1"/>
  <c r="I25" i="1020"/>
  <c r="J25" i="1020" s="1"/>
  <c r="I23" i="1020"/>
  <c r="J23" i="1020" s="1"/>
  <c r="I21" i="1020"/>
  <c r="J21" i="1020" s="1"/>
  <c r="J19" i="1020"/>
  <c r="I19" i="1020"/>
  <c r="I17" i="1020"/>
  <c r="J17" i="1020" s="1"/>
  <c r="I15" i="1020"/>
  <c r="J15" i="1020" s="1"/>
  <c r="J13" i="1020"/>
  <c r="I13" i="1020"/>
  <c r="I11" i="1020"/>
  <c r="J11" i="1020" s="1"/>
  <c r="I9" i="1020"/>
  <c r="J9" i="1020" s="1"/>
  <c r="I7" i="1020"/>
  <c r="J7" i="1020" s="1"/>
  <c r="I5" i="1020"/>
  <c r="J5" i="1020" s="1"/>
  <c r="J3" i="1020"/>
  <c r="I3" i="1020"/>
  <c r="I17" i="1019" l="1"/>
  <c r="J17" i="1019" s="1"/>
  <c r="K17" i="1019" s="1"/>
  <c r="I47" i="1019"/>
  <c r="J47" i="1019" s="1"/>
  <c r="K47" i="1019" s="1"/>
  <c r="I45" i="1019"/>
  <c r="J45" i="1019" s="1"/>
  <c r="K45" i="1019" s="1"/>
  <c r="I51" i="1019"/>
  <c r="J51" i="1019" s="1"/>
  <c r="K51" i="1019" s="1"/>
  <c r="I49" i="1019"/>
  <c r="J49" i="1019" s="1"/>
  <c r="K49" i="1019" s="1"/>
  <c r="I39" i="1019"/>
  <c r="J39" i="1019" s="1"/>
  <c r="K39" i="1019" s="1"/>
  <c r="I37" i="1019"/>
  <c r="J37" i="1019" s="1"/>
  <c r="K37" i="1019" s="1"/>
  <c r="I35" i="1019"/>
  <c r="J35" i="1019" s="1"/>
  <c r="K35" i="1019" s="1"/>
  <c r="I33" i="1019"/>
  <c r="J33" i="1019" s="1"/>
  <c r="K33" i="1019" s="1"/>
  <c r="I53" i="1019"/>
  <c r="J53" i="1019" s="1"/>
  <c r="K53" i="1019" s="1"/>
  <c r="I43" i="1019"/>
  <c r="J43" i="1019" s="1"/>
  <c r="K43" i="1019" s="1"/>
  <c r="I41" i="1019"/>
  <c r="J41" i="1019" s="1"/>
  <c r="K41" i="1019" s="1"/>
  <c r="I31" i="1019"/>
  <c r="J31" i="1019" s="1"/>
  <c r="K31" i="1019" s="1"/>
  <c r="I29" i="1019"/>
  <c r="J29" i="1019" s="1"/>
  <c r="K29" i="1019" s="1"/>
  <c r="I27" i="1019"/>
  <c r="J27" i="1019" s="1"/>
  <c r="K27" i="1019" s="1"/>
  <c r="I25" i="1019"/>
  <c r="J25" i="1019" s="1"/>
  <c r="K25" i="1019" s="1"/>
  <c r="I23" i="1019"/>
  <c r="J23" i="1019" s="1"/>
  <c r="K23" i="1019" s="1"/>
  <c r="I21" i="1019"/>
  <c r="J21" i="1019" s="1"/>
  <c r="K21" i="1019" s="1"/>
  <c r="I19" i="1019"/>
  <c r="J19" i="1019" s="1"/>
  <c r="K19" i="1019" s="1"/>
  <c r="I15" i="1019"/>
  <c r="J15" i="1019" s="1"/>
  <c r="K15" i="1019" s="1"/>
  <c r="I13" i="1019"/>
  <c r="J13" i="1019" s="1"/>
  <c r="K13" i="1019" s="1"/>
  <c r="I11" i="1019"/>
  <c r="J11" i="1019" s="1"/>
  <c r="K11" i="1019" s="1"/>
  <c r="I3" i="1019"/>
  <c r="J3" i="1019" s="1"/>
  <c r="K3" i="1019" s="1"/>
  <c r="J29" i="1010"/>
  <c r="I29" i="1010"/>
  <c r="I27" i="1010"/>
  <c r="I25" i="1010"/>
  <c r="J25" i="1010" s="1"/>
  <c r="J27" i="1010"/>
  <c r="I19" i="1010"/>
  <c r="J19" i="1010" s="1"/>
  <c r="I5" i="1010" l="1"/>
  <c r="J5" i="1010" s="1"/>
  <c r="J25" i="1018"/>
  <c r="I21" i="1018"/>
  <c r="J21" i="1018" s="1"/>
  <c r="I19" i="1018"/>
  <c r="J19" i="1018" s="1"/>
  <c r="I9" i="1018"/>
  <c r="J9" i="1018" s="1"/>
  <c r="I7" i="1018"/>
  <c r="J7" i="1018" s="1"/>
  <c r="I5" i="1018"/>
  <c r="J5" i="1018" s="1"/>
  <c r="I23" i="1018"/>
  <c r="J23" i="1018" s="1"/>
  <c r="I17" i="1018"/>
  <c r="J17" i="1018" s="1"/>
  <c r="I15" i="1018"/>
  <c r="J15" i="1018" s="1"/>
  <c r="I13" i="1018"/>
  <c r="J13" i="1018" s="1"/>
  <c r="I11" i="1018"/>
  <c r="J11" i="1018" s="1"/>
  <c r="I3" i="1018"/>
  <c r="J3" i="1018" s="1"/>
  <c r="I41" i="1017"/>
  <c r="J41" i="1017" s="1"/>
  <c r="I37" i="1017"/>
  <c r="J37" i="1017" s="1"/>
  <c r="I33" i="1017"/>
  <c r="J33" i="1017" s="1"/>
  <c r="I31" i="1017"/>
  <c r="J31" i="1017" s="1"/>
  <c r="I19" i="1017" l="1"/>
  <c r="J19" i="1017" s="1"/>
  <c r="I47" i="1017" l="1"/>
  <c r="J47" i="1017" s="1"/>
  <c r="I45" i="1017"/>
  <c r="J45" i="1017" s="1"/>
  <c r="I43" i="1017"/>
  <c r="J43" i="1017" s="1"/>
  <c r="I39" i="1017"/>
  <c r="J39" i="1017" s="1"/>
  <c r="I35" i="1017"/>
  <c r="J35" i="1017" s="1"/>
  <c r="I29" i="1017"/>
  <c r="J29" i="1017" s="1"/>
  <c r="I27" i="1017"/>
  <c r="J27" i="1017" s="1"/>
  <c r="I25" i="1017"/>
  <c r="J25" i="1017" s="1"/>
  <c r="I23" i="1017"/>
  <c r="J23" i="1017" s="1"/>
  <c r="I21" i="1017"/>
  <c r="J21" i="1017" s="1"/>
  <c r="I15" i="1017"/>
  <c r="J15" i="1017" s="1"/>
  <c r="I13" i="1017"/>
  <c r="J13" i="1017" s="1"/>
  <c r="I11" i="1017"/>
  <c r="J11" i="1017" s="1"/>
  <c r="I3" i="1017"/>
  <c r="J3" i="1017" s="1"/>
  <c r="I9" i="1016"/>
  <c r="J9" i="1016" s="1"/>
  <c r="J29" i="1016"/>
  <c r="I29" i="1016"/>
  <c r="I31" i="1016"/>
  <c r="J31" i="1016" s="1"/>
  <c r="J17" i="1016"/>
  <c r="I17" i="1016"/>
  <c r="I15" i="1016"/>
  <c r="J15" i="1016" s="1"/>
  <c r="I7" i="1016"/>
  <c r="J7" i="1016" s="1"/>
  <c r="I5" i="1016"/>
  <c r="J5" i="1016" s="1"/>
  <c r="I27" i="1016"/>
  <c r="J27" i="1016" s="1"/>
  <c r="I25" i="1016"/>
  <c r="J25" i="1016" s="1"/>
  <c r="I23" i="1016"/>
  <c r="J23" i="1016" s="1"/>
  <c r="I21" i="1016"/>
  <c r="J21" i="1016" s="1"/>
  <c r="I13" i="1016"/>
  <c r="J13" i="1016" s="1"/>
  <c r="I11" i="1016"/>
  <c r="J11" i="1016" s="1"/>
  <c r="I3" i="1016"/>
  <c r="J3" i="1016" s="1"/>
  <c r="J23" i="1015" l="1"/>
  <c r="I23" i="1015"/>
  <c r="J19" i="1015"/>
  <c r="I19" i="1015"/>
  <c r="I33" i="1015"/>
  <c r="J33" i="1015" s="1"/>
  <c r="I31" i="1015"/>
  <c r="J31" i="1015" s="1"/>
  <c r="I29" i="1015"/>
  <c r="J29" i="1015" s="1"/>
  <c r="I21" i="1015"/>
  <c r="J21" i="1015" s="1"/>
  <c r="I45" i="1015"/>
  <c r="J45" i="1015" s="1"/>
  <c r="I43" i="1015"/>
  <c r="J43" i="1015" s="1"/>
  <c r="I41" i="1015"/>
  <c r="J41" i="1015" s="1"/>
  <c r="I39" i="1015"/>
  <c r="J39" i="1015" s="1"/>
  <c r="I37" i="1015"/>
  <c r="J37" i="1015" s="1"/>
  <c r="I35" i="1015"/>
  <c r="J35" i="1015" s="1"/>
  <c r="I27" i="1015"/>
  <c r="J27" i="1015" s="1"/>
  <c r="I25" i="1015"/>
  <c r="J25" i="1015" s="1"/>
  <c r="I15" i="1015"/>
  <c r="J15" i="1015" s="1"/>
  <c r="I13" i="1015"/>
  <c r="J13" i="1015" s="1"/>
  <c r="J11" i="1015"/>
  <c r="I11" i="1015"/>
  <c r="I3" i="1015"/>
  <c r="J3" i="1015" s="1"/>
  <c r="I35" i="1014"/>
  <c r="J35" i="1014" s="1"/>
  <c r="I33" i="1014"/>
  <c r="J33" i="1014" s="1"/>
  <c r="I31" i="1014"/>
  <c r="J31" i="1014" s="1"/>
  <c r="I29" i="1014"/>
  <c r="J29" i="1014" s="1"/>
  <c r="I27" i="1014"/>
  <c r="J27" i="1014" s="1"/>
  <c r="I25" i="1014"/>
  <c r="J25" i="1014" s="1"/>
  <c r="I23" i="1014"/>
  <c r="J23" i="1014" s="1"/>
  <c r="I21" i="1014"/>
  <c r="J21" i="1014" s="1"/>
  <c r="J19" i="1014"/>
  <c r="I19" i="1014"/>
  <c r="I17" i="1014"/>
  <c r="J17" i="1014" s="1"/>
  <c r="I15" i="1014"/>
  <c r="J15" i="1014" s="1"/>
  <c r="I13" i="1014"/>
  <c r="J13" i="1014" s="1"/>
  <c r="I11" i="1014"/>
  <c r="J11" i="1014" s="1"/>
  <c r="I9" i="1014"/>
  <c r="J9" i="1014" s="1"/>
  <c r="I7" i="1014"/>
  <c r="J7" i="1014" s="1"/>
  <c r="I5" i="1014"/>
  <c r="J5" i="1014" s="1"/>
  <c r="J3" i="1014"/>
  <c r="I3" i="1014"/>
  <c r="I25" i="1013"/>
  <c r="J25" i="1013" s="1"/>
  <c r="I21" i="1013"/>
  <c r="J21" i="1013" s="1"/>
  <c r="I19" i="1013"/>
  <c r="J19" i="1013" s="1"/>
  <c r="I9" i="1013"/>
  <c r="J9" i="1013" s="1"/>
  <c r="I5" i="1013"/>
  <c r="J5" i="1013" s="1"/>
  <c r="I7" i="1013"/>
  <c r="J7" i="1013" s="1"/>
  <c r="I23" i="1013"/>
  <c r="J23" i="1013" s="1"/>
  <c r="I17" i="1013"/>
  <c r="J17" i="1013" s="1"/>
  <c r="I15" i="1013"/>
  <c r="J15" i="1013" s="1"/>
  <c r="I13" i="1013"/>
  <c r="J13" i="1013" s="1"/>
  <c r="I11" i="1013"/>
  <c r="J11" i="1013" s="1"/>
  <c r="I3" i="1013"/>
  <c r="J3" i="1013" s="1"/>
  <c r="I19" i="1008"/>
  <c r="H23" i="1008"/>
  <c r="I23" i="1008"/>
  <c r="I21" i="1008"/>
  <c r="I9" i="1008" l="1"/>
  <c r="I7" i="1008"/>
  <c r="H7" i="1008" s="1"/>
  <c r="I3" i="1008"/>
  <c r="H37" i="1008"/>
  <c r="H39" i="1008"/>
  <c r="H41" i="1008"/>
  <c r="H43" i="1008"/>
  <c r="I43" i="1008"/>
  <c r="I41" i="1008"/>
  <c r="I39" i="1008"/>
  <c r="I37" i="1008"/>
  <c r="H21" i="1008"/>
  <c r="H5" i="1008"/>
  <c r="I5" i="1008"/>
  <c r="I27" i="1008" l="1"/>
  <c r="H27" i="1008"/>
  <c r="I25" i="1008"/>
  <c r="H25" i="1008"/>
  <c r="H19" i="1008"/>
  <c r="I17" i="1008"/>
  <c r="H17" i="1008"/>
  <c r="I15" i="1008"/>
  <c r="H15" i="1008"/>
  <c r="I13" i="1008"/>
  <c r="H13" i="1008"/>
  <c r="I11" i="1008"/>
  <c r="H11" i="1008"/>
  <c r="H9" i="1008"/>
  <c r="H3" i="1008"/>
  <c r="L3" i="1008" l="1"/>
  <c r="L5" i="1008"/>
  <c r="L7" i="1008"/>
  <c r="L9" i="1008"/>
  <c r="L11" i="1008"/>
  <c r="L13" i="1008"/>
  <c r="L15" i="1008"/>
  <c r="L17" i="1008"/>
  <c r="L21" i="1008"/>
  <c r="L23" i="1008"/>
  <c r="L25" i="1008"/>
  <c r="L27" i="1008"/>
  <c r="L37" i="1008"/>
  <c r="L39" i="1008"/>
  <c r="L41" i="1008"/>
  <c r="L43" i="1008"/>
  <c r="I39" i="1012"/>
  <c r="J39" i="1012" s="1"/>
  <c r="J33" i="1012"/>
  <c r="J7" i="1012"/>
  <c r="I7" i="1012"/>
  <c r="I33" i="1012"/>
  <c r="I35" i="1012"/>
  <c r="J35" i="1012" s="1"/>
  <c r="I31" i="1012"/>
  <c r="J31" i="1012" s="1"/>
  <c r="I29" i="1012"/>
  <c r="J29" i="1012" s="1"/>
  <c r="I27" i="1012"/>
  <c r="J27" i="1012" s="1"/>
  <c r="I25" i="1012"/>
  <c r="J25" i="1012" s="1"/>
  <c r="I21" i="1012"/>
  <c r="J21" i="1012" s="1"/>
  <c r="I9" i="1012"/>
  <c r="J9" i="1012" s="1"/>
  <c r="I5" i="1012"/>
  <c r="J5" i="1012" s="1"/>
  <c r="I23" i="1012"/>
  <c r="J23" i="1012" s="1"/>
  <c r="I17" i="1012"/>
  <c r="J17" i="1012" s="1"/>
  <c r="I15" i="1012"/>
  <c r="J15" i="1012" s="1"/>
  <c r="I13" i="1012"/>
  <c r="J13" i="1012" s="1"/>
  <c r="I3" i="1012"/>
  <c r="J3" i="1012" s="1"/>
  <c r="I31" i="1011"/>
  <c r="J31" i="1011" s="1"/>
  <c r="Q14" i="1011" s="1"/>
  <c r="Q15" i="1011" s="1"/>
  <c r="J29" i="1011"/>
  <c r="I29" i="1011"/>
  <c r="I27" i="1011"/>
  <c r="J27" i="1011" s="1"/>
  <c r="I25" i="1011"/>
  <c r="J25" i="1011" s="1"/>
  <c r="I23" i="1011"/>
  <c r="J23" i="1011" s="1"/>
  <c r="I21" i="1011"/>
  <c r="J21" i="1011" s="1"/>
  <c r="I17" i="1011"/>
  <c r="J17" i="1011" s="1"/>
  <c r="J15" i="1011"/>
  <c r="I15" i="1011"/>
  <c r="I13" i="1011"/>
  <c r="J13" i="1011" s="1"/>
  <c r="I11" i="1011"/>
  <c r="J11" i="1011" s="1"/>
  <c r="I9" i="1011"/>
  <c r="J9" i="1011" s="1"/>
  <c r="I7" i="1011"/>
  <c r="J7" i="1011" s="1"/>
  <c r="I5" i="1011"/>
  <c r="J5" i="1011" s="1"/>
  <c r="I3" i="1011"/>
  <c r="J3" i="1011" s="1"/>
  <c r="I21" i="1010"/>
  <c r="J21" i="1010" s="1"/>
  <c r="I9" i="1010"/>
  <c r="J9" i="1010" s="1"/>
  <c r="I7" i="1010"/>
  <c r="J7" i="1010" s="1"/>
  <c r="I23" i="1010"/>
  <c r="J23" i="1010" s="1"/>
  <c r="I17" i="1010"/>
  <c r="J17" i="1010" s="1"/>
  <c r="I15" i="1010"/>
  <c r="J15" i="1010" s="1"/>
  <c r="I13" i="1010"/>
  <c r="J13" i="1010" s="1"/>
  <c r="I11" i="1010"/>
  <c r="J11" i="1010" s="1"/>
  <c r="I3" i="1010"/>
  <c r="J3" i="1010" s="1"/>
  <c r="J11" i="1009"/>
  <c r="I11" i="1009"/>
  <c r="I29" i="1009"/>
  <c r="J29" i="1009" s="1"/>
  <c r="I23" i="1009"/>
  <c r="J23" i="1009" s="1"/>
  <c r="J25" i="1009"/>
  <c r="I25" i="1009"/>
  <c r="J9" i="1009"/>
  <c r="I9" i="1009"/>
  <c r="I5" i="1009"/>
  <c r="J5" i="1009" s="1"/>
  <c r="J7" i="1009"/>
  <c r="I7" i="1009"/>
  <c r="I21" i="1009" l="1"/>
  <c r="J21" i="1009" s="1"/>
  <c r="I19" i="1009"/>
  <c r="J19" i="1009" s="1"/>
  <c r="I27" i="1009"/>
  <c r="J27" i="1009" s="1"/>
  <c r="I17" i="1009"/>
  <c r="J17" i="1009" s="1"/>
  <c r="I15" i="1009"/>
  <c r="J15" i="1009" s="1"/>
  <c r="I13" i="1009"/>
  <c r="J13" i="1009" s="1"/>
  <c r="I3" i="1009"/>
  <c r="J3" i="1009" s="1"/>
  <c r="K23" i="1008" l="1"/>
  <c r="K39" i="1008"/>
  <c r="K37" i="1008"/>
  <c r="K43" i="1008" l="1"/>
  <c r="K41" i="1008"/>
  <c r="K27" i="1008"/>
  <c r="K25" i="1008"/>
  <c r="K21" i="1008"/>
  <c r="K17" i="1008"/>
  <c r="K15" i="1008"/>
  <c r="K13" i="1008"/>
  <c r="K11" i="1008"/>
  <c r="K9" i="1008"/>
  <c r="K7" i="1008"/>
  <c r="K5" i="1008"/>
  <c r="K3" i="1008"/>
  <c r="I45" i="1006" l="1"/>
  <c r="J45" i="1006" s="1"/>
  <c r="I43" i="1006"/>
  <c r="J43" i="1006" s="1"/>
  <c r="I41" i="1006"/>
  <c r="J41" i="1006" s="1"/>
  <c r="I39" i="1006"/>
  <c r="J39" i="1006" s="1"/>
  <c r="I37" i="1006"/>
  <c r="J37" i="1006" s="1"/>
  <c r="I27" i="1006"/>
  <c r="J27" i="1006" s="1"/>
  <c r="I25" i="1006"/>
  <c r="J25" i="1006" s="1"/>
  <c r="I15" i="1006"/>
  <c r="J15" i="1006" s="1"/>
  <c r="I13" i="1006"/>
  <c r="J13" i="1006" s="1"/>
  <c r="I11" i="1006"/>
  <c r="J11" i="1006" s="1"/>
  <c r="I3" i="1006"/>
  <c r="J3" i="1006" s="1"/>
</calcChain>
</file>

<file path=xl/sharedStrings.xml><?xml version="1.0" encoding="utf-8"?>
<sst xmlns="http://schemas.openxmlformats.org/spreadsheetml/2006/main" count="1629" uniqueCount="315">
  <si>
    <t xml:space="preserve">STRIGHT </t>
    <phoneticPr fontId="2" type="noConversion"/>
  </si>
  <si>
    <t>NECK WIDTH</t>
    <phoneticPr fontId="2" type="noConversion"/>
  </si>
  <si>
    <t>WITHOUT NECK BAND (INSIDE)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</si>
  <si>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</si>
  <si>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</si>
  <si>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</si>
  <si>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</si>
  <si>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</si>
  <si>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</si>
  <si>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</si>
  <si>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</si>
  <si>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START ARM HOLE JOINING POINT TO POINT(1/2)</t>
    <phoneticPr fontId="1" type="noConversion"/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</si>
  <si>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</si>
  <si>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</si>
  <si>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</si>
  <si>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</si>
  <si>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</si>
  <si>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</si>
  <si>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</si>
  <si>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</si>
  <si>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</si>
  <si>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</si>
  <si>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</si>
  <si>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</si>
  <si>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</si>
  <si>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</si>
  <si>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</si>
  <si>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</si>
  <si>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</si>
  <si>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</si>
  <si>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</si>
  <si>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</si>
  <si>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</si>
  <si>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</si>
  <si>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</si>
  <si>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</si>
  <si>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</si>
  <si>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</si>
  <si>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</si>
  <si>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GRAPHIC POINT A</t>
    <phoneticPr fontId="1" type="noConversion"/>
  </si>
  <si>
    <t>나염위치 A</t>
    <phoneticPr fontId="1" type="noConversion"/>
  </si>
  <si>
    <t xml:space="preserve">HIP </t>
  </si>
  <si>
    <t>엉덩이둘레</t>
  </si>
  <si>
    <t xml:space="preserve">TOTAL LENGTH </t>
  </si>
  <si>
    <t>바지기장</t>
  </si>
  <si>
    <t xml:space="preserve">FRONT RISE </t>
  </si>
  <si>
    <t xml:space="preserve">INCLUDE WAIST BAND TO EDGE </t>
  </si>
  <si>
    <t>앞밑위</t>
  </si>
  <si>
    <t>BACK RISE</t>
  </si>
  <si>
    <t>뒤밑위</t>
  </si>
  <si>
    <t xml:space="preserve">TIGHT </t>
  </si>
  <si>
    <t xml:space="preserve">FROM CROCH  3cm BELOW . WIDE STRIGHT </t>
  </si>
  <si>
    <t>허벅지둘레</t>
  </si>
  <si>
    <t>INSEAM</t>
  </si>
  <si>
    <t xml:space="preserve">CROCH TO EDGE </t>
  </si>
  <si>
    <t>인심길이</t>
  </si>
  <si>
    <t>NECK</t>
    <phoneticPr fontId="2" type="noConversion"/>
  </si>
  <si>
    <t>목둘레</t>
  </si>
  <si>
    <t xml:space="preserve">ROUND ,@ NECK SEWING  LINE </t>
    <phoneticPr fontId="1" type="noConversion"/>
  </si>
  <si>
    <t xml:space="preserve">CUFFS OPENING </t>
    <phoneticPr fontId="2" type="noConversion"/>
  </si>
  <si>
    <t>총기장(뒷목)</t>
  </si>
  <si>
    <t>옆목점에서 밑단까지의 직선길이</t>
    <phoneticPr fontId="1" type="noConversion"/>
  </si>
  <si>
    <t>총기장(옆목)</t>
    <phoneticPr fontId="2" type="noConversion"/>
  </si>
  <si>
    <t>HPS TO BOTTOM EDGE</t>
    <phoneticPr fontId="2" type="noConversion"/>
  </si>
  <si>
    <t>TOTAL LENGTH</t>
    <phoneticPr fontId="2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</si>
  <si>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</si>
  <si>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</si>
  <si>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</si>
  <si>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</si>
  <si>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</si>
  <si>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</si>
  <si>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와끼선을 기준으로 오비끝에서 바지 밑단 끝까지의 길이</t>
    <phoneticPr fontId="1" type="noConversion"/>
  </si>
  <si>
    <t xml:space="preserve">INCLUDE WAIST BAND TO EDGE </t>
    <phoneticPr fontId="1" type="noConversion"/>
  </si>
  <si>
    <t>BACK WAIST E-BAND</t>
    <phoneticPr fontId="1" type="noConversion"/>
  </si>
  <si>
    <t>오비를 일자 상태로 만든 후 수평으로 잰 길이</t>
    <phoneticPr fontId="1" type="noConversion"/>
  </si>
  <si>
    <t xml:space="preserve">FLAT,FRONT AND BACK WAIST LINE MATCH STRIGHT </t>
    <phoneticPr fontId="1" type="noConversion"/>
  </si>
  <si>
    <t>앞 댕고 스테치를 기준점으로 하여 양쪽 수평선의 길이</t>
    <phoneticPr fontId="1" type="noConversion"/>
  </si>
  <si>
    <t>BACK POCKET WIDTH</t>
    <phoneticPr fontId="2" type="noConversion"/>
  </si>
  <si>
    <t>뒤주머니너비</t>
    <phoneticPr fontId="1" type="noConversion"/>
  </si>
  <si>
    <t>BACK POCKET HEIGHT</t>
    <phoneticPr fontId="2" type="noConversion"/>
  </si>
  <si>
    <t>뒤주머니높이</t>
    <phoneticPr fontId="1" type="noConversion"/>
  </si>
  <si>
    <t>바지 밑단의 둘레길이</t>
    <phoneticPr fontId="2" type="noConversion"/>
  </si>
  <si>
    <t>바지부리</t>
  </si>
  <si>
    <t xml:space="preserve">CIRCLE ROUND </t>
  </si>
  <si>
    <t xml:space="preserve">BOTTOM OPENING </t>
  </si>
  <si>
    <t>WAIST SIZE</t>
    <phoneticPr fontId="1" type="noConversion"/>
  </si>
  <si>
    <t>GRAPHIC POINT B</t>
    <phoneticPr fontId="1" type="noConversion"/>
  </si>
  <si>
    <t>나염위치 B</t>
    <phoneticPr fontId="1" type="noConversion"/>
  </si>
  <si>
    <t xml:space="preserve">앞목중심에서 수직으로 </t>
    <phoneticPr fontId="1" type="noConversion"/>
  </si>
  <si>
    <t>FROM FRONT NECK CENTER TO VERTICAL</t>
    <phoneticPr fontId="1" type="noConversion"/>
  </si>
  <si>
    <t>옆목점에서 앞목중심의 수직 길이</t>
    <phoneticPr fontId="1" type="noConversion"/>
  </si>
  <si>
    <t>옆목점을 수평으로 잰 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</si>
  <si>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</si>
  <si>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</si>
  <si>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</si>
  <si>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 xml:space="preserve"> (지퍼제외)</t>
    </r>
    <phoneticPr fontId="1" type="noConversion"/>
  </si>
  <si>
    <t>앞지퍼길이</t>
    <phoneticPr fontId="1" type="noConversion"/>
  </si>
  <si>
    <t>FRONT ZIPPER LENGTH</t>
    <phoneticPr fontId="1" type="noConversion"/>
  </si>
  <si>
    <t>허리스트링</t>
    <phoneticPr fontId="1" type="noConversion"/>
  </si>
  <si>
    <t>WAIST STRING</t>
    <phoneticPr fontId="1" type="noConversion"/>
  </si>
  <si>
    <t>허리에서 수직으로 (오비포함)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</si>
  <si>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</si>
  <si>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</si>
  <si>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</si>
  <si>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>오비제외</t>
    <phoneticPr fontId="1" type="noConversion"/>
  </si>
  <si>
    <t>뎅고스티치길이</t>
    <phoneticPr fontId="1" type="noConversion"/>
  </si>
  <si>
    <t>J STITCH LENGTH</t>
    <phoneticPr fontId="1" type="noConversion"/>
  </si>
  <si>
    <t>오비포함 와끼기준</t>
    <phoneticPr fontId="1" type="noConversion"/>
  </si>
  <si>
    <t>엉덩이 위치</t>
    <phoneticPr fontId="1" type="noConversion"/>
  </si>
  <si>
    <t>HIP POINT</t>
    <phoneticPr fontId="1" type="noConversion"/>
  </si>
  <si>
    <t>몸판 허리 둘레</t>
    <phoneticPr fontId="1" type="noConversion"/>
  </si>
  <si>
    <t>나나밴드</t>
    <phoneticPr fontId="1" type="noConversion"/>
  </si>
  <si>
    <t>ADIJUSTABLE BAND</t>
    <phoneticPr fontId="1" type="noConversion"/>
  </si>
  <si>
    <t>뒤 허리 고무줄 완성</t>
    <phoneticPr fontId="1" type="noConversion"/>
  </si>
  <si>
    <t>앞허리완성</t>
    <phoneticPr fontId="1" type="noConversion"/>
  </si>
  <si>
    <t>FRONT WAIST</t>
    <phoneticPr fontId="1" type="noConversion"/>
  </si>
  <si>
    <t>허리완성사이즈</t>
    <phoneticPr fontId="1" type="noConversion"/>
  </si>
  <si>
    <t>TOTAL WAIST</t>
    <phoneticPr fontId="1" type="noConversion"/>
  </si>
  <si>
    <t>BASED ON ZIPPER FLY OUT LINE ,STRIGHT</t>
    <phoneticPr fontId="1" type="noConversion"/>
  </si>
  <si>
    <t>오비 와끼끝에서 주머니입구 까지의 세로길이</t>
    <phoneticPr fontId="1" type="noConversion"/>
  </si>
  <si>
    <t>앞주머니세로</t>
  </si>
  <si>
    <t xml:space="preserve">FROM SIDE SEAM TO STRIGHT </t>
  </si>
  <si>
    <t xml:space="preserve">FRONT POCKET VERTICAL </t>
    <phoneticPr fontId="1" type="noConversion"/>
  </si>
  <si>
    <t>오비 와끼끝에서 주머니입구 까지의 가로길이</t>
    <phoneticPr fontId="1" type="noConversion"/>
  </si>
  <si>
    <t>앞주머니가로</t>
  </si>
  <si>
    <t xml:space="preserve">FROM EDGE STITCHES </t>
  </si>
  <si>
    <t xml:space="preserve">FRONT POCKET WIDE </t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</si>
  <si>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</si>
  <si>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</si>
  <si>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</si>
  <si>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HOOD STRING</t>
    <phoneticPr fontId="1" type="noConversion"/>
  </si>
  <si>
    <t>후드스트링</t>
    <phoneticPr fontId="1" type="noConversion"/>
  </si>
  <si>
    <t>위치 A</t>
    <phoneticPr fontId="1" type="noConversion"/>
  </si>
  <si>
    <t>POINT A</t>
    <phoneticPr fontId="1" type="noConversion"/>
  </si>
  <si>
    <t>WITHOUT NECK BAND</t>
    <phoneticPr fontId="2" type="noConversion"/>
  </si>
  <si>
    <t>목라인(NECK LINE)을 따라 잰 곡선의 둘레길이</t>
    <phoneticPr fontId="1" type="noConversion"/>
  </si>
  <si>
    <t>주머니높이</t>
    <phoneticPr fontId="1" type="noConversion"/>
  </si>
  <si>
    <t>POCKET HEIGHT</t>
    <phoneticPr fontId="2" type="noConversion"/>
  </si>
  <si>
    <t>주머니너비</t>
    <phoneticPr fontId="1" type="noConversion"/>
  </si>
  <si>
    <t>POCKET WIDTH</t>
    <phoneticPr fontId="2" type="noConversion"/>
  </si>
  <si>
    <t>모자의 가장 돌출된 부위를 수평으로 잰 길이</t>
    <phoneticPr fontId="1" type="noConversion"/>
  </si>
  <si>
    <t>후드폭(모자폭)</t>
  </si>
  <si>
    <t xml:space="preserve">HALF FOLDING ,MAXIMUM DEEP POINT </t>
    <phoneticPr fontId="2" type="noConversion"/>
  </si>
  <si>
    <t xml:space="preserve">HOOD WIDTH </t>
    <phoneticPr fontId="2" type="noConversion"/>
  </si>
  <si>
    <t>모자 앞 중심을 기준으로 양 끝점을 수직으로 잰 길이</t>
    <phoneticPr fontId="1" type="noConversion"/>
  </si>
  <si>
    <t>후드장(모자길이)</t>
  </si>
  <si>
    <t xml:space="preserve">FROM CENTER LENGTH TO EDGE </t>
    <phoneticPr fontId="2" type="noConversion"/>
  </si>
  <si>
    <t>HOOD LENGTH</t>
    <phoneticPr fontId="2" type="noConversion"/>
  </si>
  <si>
    <t>노출길이=20cm</t>
    <phoneticPr fontId="5" type="noConversion"/>
  </si>
  <si>
    <t>BOTTOM STRING LENGTH</t>
    <phoneticPr fontId="1" type="noConversion"/>
  </si>
  <si>
    <t>밑단스트링길이</t>
    <phoneticPr fontId="1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</si>
  <si>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</si>
  <si>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</si>
  <si>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</si>
  <si>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</si>
  <si>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>FRONT POCKET LENGTH</t>
    <phoneticPr fontId="1" type="noConversion"/>
  </si>
  <si>
    <t>앞주머니입구</t>
    <phoneticPr fontId="15" type="noConversion"/>
  </si>
  <si>
    <t>XS</t>
    <phoneticPr fontId="1" type="noConversion"/>
  </si>
  <si>
    <t>STYLE NO: GYFPT01-K#R02</t>
    <phoneticPr fontId="1" type="noConversion"/>
  </si>
  <si>
    <t>노출길이=12cm 포함</t>
    <phoneticPr fontId="15" type="noConversion"/>
  </si>
  <si>
    <t>노출길이=16cm</t>
    <phoneticPr fontId="5" type="noConversion"/>
  </si>
  <si>
    <t>제일 넓은쪽 기준</t>
    <phoneticPr fontId="1" type="noConversion"/>
  </si>
  <si>
    <t xml:space="preserve"> YKK</t>
    <phoneticPr fontId="1" type="noConversion"/>
  </si>
  <si>
    <t>노출길이 16cm 포함 (전체 32cm)</t>
    <phoneticPr fontId="15" type="noConversion"/>
  </si>
  <si>
    <t>앞목에서 수직으로 (입어서오른쪽기준)</t>
    <phoneticPr fontId="1" type="noConversion"/>
  </si>
  <si>
    <t>오비제외 앞뎅고 기준</t>
    <phoneticPr fontId="1" type="noConversion"/>
  </si>
  <si>
    <t>J STITCH WIDTH</t>
    <phoneticPr fontId="1" type="noConversion"/>
  </si>
  <si>
    <t>뎅고스티치 폭</t>
    <phoneticPr fontId="1" type="noConversion"/>
  </si>
  <si>
    <t>STYLE NO: GYFPT03-D#R11</t>
    <phoneticPr fontId="1" type="noConversion"/>
  </si>
  <si>
    <r>
      <t>엉덩이둘레</t>
    </r>
    <r>
      <rPr>
        <sz val="7.5"/>
        <color rgb="FFFF0000"/>
        <rFont val="맑은 고딕"/>
        <family val="3"/>
        <charset val="129"/>
        <scheme val="minor"/>
      </rPr>
      <t>(주름폈을때)</t>
    </r>
    <phoneticPr fontId="15" type="noConversion"/>
  </si>
  <si>
    <t>여유분= 4cm</t>
    <phoneticPr fontId="15" type="noConversion"/>
  </si>
  <si>
    <t>BOTTOM RIB WIDTH</t>
    <phoneticPr fontId="2" type="noConversion"/>
  </si>
  <si>
    <t>밑단립 폭</t>
    <phoneticPr fontId="1" type="noConversion"/>
  </si>
  <si>
    <t>SLEEVE RIB WIDTH</t>
    <phoneticPr fontId="15" type="noConversion"/>
  </si>
  <si>
    <t>소매립 폭</t>
    <phoneticPr fontId="15" type="noConversion"/>
  </si>
  <si>
    <t>앞옆목에서 수직으로</t>
    <phoneticPr fontId="1" type="noConversion"/>
  </si>
  <si>
    <t>앞중심에서</t>
    <phoneticPr fontId="1" type="noConversion"/>
  </si>
  <si>
    <t>GRAPHIC POINT C</t>
    <phoneticPr fontId="1" type="noConversion"/>
  </si>
  <si>
    <t>나염위치 C</t>
    <phoneticPr fontId="1" type="noConversion"/>
  </si>
  <si>
    <t>뒤립위에서</t>
    <phoneticPr fontId="15" type="noConversion"/>
  </si>
  <si>
    <t>STYLE NO: GYFOU02-S#Y05(니트)</t>
    <phoneticPr fontId="1" type="noConversion"/>
  </si>
  <si>
    <t>STYLE NO: GYFTO02-K#Y12</t>
    <phoneticPr fontId="1" type="noConversion"/>
  </si>
  <si>
    <t>BACK YOKE LENGTH</t>
    <phoneticPr fontId="1" type="noConversion"/>
  </si>
  <si>
    <t>뒤요크길이</t>
    <phoneticPr fontId="1" type="noConversion"/>
  </si>
  <si>
    <t>뒤중심</t>
    <phoneticPr fontId="15" type="noConversion"/>
  </si>
  <si>
    <t xml:space="preserve"> </t>
    <phoneticPr fontId="15" type="noConversion"/>
  </si>
  <si>
    <t>STYLE NO: GYFTO03-K#R12</t>
    <phoneticPr fontId="1" type="noConversion"/>
  </si>
  <si>
    <t>4G-BANBD</t>
    <phoneticPr fontId="15" type="noConversion"/>
  </si>
  <si>
    <r>
      <t xml:space="preserve">옆목점에서 </t>
    </r>
    <r>
      <rPr>
        <sz val="7.5"/>
        <color rgb="FFFF0000"/>
        <rFont val="맑은 고딕"/>
        <family val="3"/>
        <charset val="129"/>
        <scheme val="minor"/>
      </rPr>
      <t>배색랍빠</t>
    </r>
    <r>
      <rPr>
        <sz val="7.5"/>
        <rFont val="맑은 고딕"/>
        <family val="3"/>
        <charset val="129"/>
        <scheme val="minor"/>
      </rPr>
      <t xml:space="preserve">앞목중심까지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</si>
  <si>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 xml:space="preserve">TO CENTER NECK FRONT </t>
    <phoneticPr fontId="2" type="noConversion"/>
  </si>
  <si>
    <r>
      <t xml:space="preserve">옆목점에서 </t>
    </r>
    <r>
      <rPr>
        <sz val="7.5"/>
        <color rgb="FFFF0000"/>
        <rFont val="맑은 고딕"/>
        <family val="3"/>
        <charset val="129"/>
        <scheme val="minor"/>
      </rPr>
      <t>깊게파진랍빠선</t>
    </r>
    <r>
      <rPr>
        <sz val="7.5"/>
        <rFont val="맑은 고딕"/>
        <family val="3"/>
        <charset val="129"/>
        <scheme val="minor"/>
      </rPr>
      <t xml:space="preserve">까지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</si>
  <si>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 xml:space="preserve">앞중심에서 수평으로 </t>
    <phoneticPr fontId="1" type="noConversion"/>
  </si>
  <si>
    <t>POINT B</t>
    <phoneticPr fontId="1" type="noConversion"/>
  </si>
  <si>
    <t>위치 B</t>
    <phoneticPr fontId="1" type="noConversion"/>
  </si>
  <si>
    <t>옆목점에서 수직으로</t>
    <phoneticPr fontId="1" type="noConversion"/>
  </si>
  <si>
    <t>SIDE LINE 4G BAND</t>
    <phoneticPr fontId="1" type="noConversion"/>
  </si>
  <si>
    <t>와끼 4골 밴드완성</t>
    <phoneticPr fontId="1" type="noConversion"/>
  </si>
  <si>
    <t>완성사이즈</t>
    <phoneticPr fontId="1" type="noConversion"/>
  </si>
  <si>
    <t>STYLE NO: GYFOU03-W#Y06</t>
    <phoneticPr fontId="1" type="noConversion"/>
  </si>
  <si>
    <t>SLEEVE 20mm BAND</t>
    <phoneticPr fontId="2" type="noConversion"/>
  </si>
  <si>
    <t>소매 20mm 고무줄</t>
    <phoneticPr fontId="15" type="noConversion"/>
  </si>
  <si>
    <t>POCKET POLDING BAND</t>
    <phoneticPr fontId="2" type="noConversion"/>
  </si>
  <si>
    <t>주머니입구접밴드</t>
    <phoneticPr fontId="1" type="noConversion"/>
  </si>
  <si>
    <t>노출길이 18cm 포함 (전체 36cm)</t>
    <phoneticPr fontId="15" type="noConversion"/>
  </si>
  <si>
    <t>앞중심(지퍼포함)</t>
    <phoneticPr fontId="15" type="noConversion"/>
  </si>
  <si>
    <t>앞목절개라인</t>
    <phoneticPr fontId="15" type="noConversion"/>
  </si>
  <si>
    <t>암홀 겨드랑이 지점에서 수평으로 잰 길이(셔링펴서)</t>
    <phoneticPr fontId="1" type="noConversion"/>
  </si>
  <si>
    <t>BOTTOM STRING LENGTH</t>
    <phoneticPr fontId="15" type="noConversion"/>
  </si>
  <si>
    <t>밑단스트링길이</t>
    <phoneticPr fontId="15" type="noConversion"/>
  </si>
  <si>
    <t>8mm 접밴드</t>
    <phoneticPr fontId="15" type="noConversion"/>
  </si>
  <si>
    <t>스트링 여유분=12cm(전체 24cm)</t>
    <phoneticPr fontId="15" type="noConversion"/>
  </si>
  <si>
    <t>XS</t>
    <phoneticPr fontId="15" type="noConversion"/>
  </si>
  <si>
    <t>2XS</t>
    <phoneticPr fontId="15" type="noConversion"/>
  </si>
  <si>
    <t>S사이즈=나나단추간격 = 16cm</t>
    <phoneticPr fontId="15" type="noConversion"/>
  </si>
  <si>
    <t>STYLE NO: GYFTO01-K#R10</t>
    <phoneticPr fontId="1" type="noConversion"/>
  </si>
  <si>
    <t>STYLE NO: GYFOU01-K#R01</t>
    <phoneticPr fontId="1" type="noConversion"/>
  </si>
  <si>
    <t>STYLE NO: GYFPT02-K#Y11</t>
    <phoneticPr fontId="1" type="noConversion"/>
  </si>
  <si>
    <r>
      <t xml:space="preserve">앞 댕고스티치 기준 </t>
    </r>
    <r>
      <rPr>
        <sz val="7.5"/>
        <color rgb="FFFF0000"/>
        <rFont val="맑은 고딕"/>
        <family val="3"/>
        <charset val="129"/>
        <scheme val="minor"/>
      </rPr>
      <t>(턱 펼쳐서 잰 길이)</t>
    </r>
    <phoneticPr fontId="1" type="noConversion"/>
  </si>
  <si>
    <t>여유분 = 4cm</t>
    <phoneticPr fontId="15" type="noConversion"/>
  </si>
  <si>
    <t xml:space="preserve">SKIRT LENGTH </t>
    <phoneticPr fontId="1" type="noConversion"/>
  </si>
  <si>
    <t xml:space="preserve">BASED ON ZIPPER FLY OUT LINE ,STRIGHT </t>
  </si>
  <si>
    <t xml:space="preserve">오비끝에서 밑으로 </t>
    <phoneticPr fontId="1" type="noConversion"/>
  </si>
  <si>
    <t>STYLE NO: GYFSK01-W#R15</t>
    <phoneticPr fontId="1" type="noConversion"/>
  </si>
  <si>
    <t>치마기장</t>
    <phoneticPr fontId="1" type="noConversion"/>
  </si>
  <si>
    <t>YOKE LENGTH</t>
    <phoneticPr fontId="1" type="noConversion"/>
  </si>
  <si>
    <t>요크기장</t>
    <phoneticPr fontId="1" type="noConversion"/>
  </si>
  <si>
    <t>SIDE ZIPPER</t>
    <phoneticPr fontId="15" type="noConversion"/>
  </si>
  <si>
    <t>옆지퍼길이</t>
    <phoneticPr fontId="15" type="noConversion"/>
  </si>
  <si>
    <t>안단 빼고</t>
    <phoneticPr fontId="15" type="noConversion"/>
  </si>
  <si>
    <t>앞밑위(안단제외)</t>
    <phoneticPr fontId="15" type="noConversion"/>
  </si>
  <si>
    <t>뒤밑위(안단제외)</t>
    <phoneticPr fontId="15" type="noConversion"/>
  </si>
  <si>
    <t>STYLE NO: GYFPT05-W#Y19</t>
    <phoneticPr fontId="1" type="noConversion"/>
  </si>
  <si>
    <t xml:space="preserve">FRONT FLAT POCKET VERTICAL </t>
    <phoneticPr fontId="1" type="noConversion"/>
  </si>
  <si>
    <t>FRONT FLAT POCKET WIDTH</t>
    <phoneticPr fontId="1" type="noConversion"/>
  </si>
  <si>
    <t>앞후다가로</t>
    <phoneticPr fontId="15" type="noConversion"/>
  </si>
  <si>
    <t>앞후다세로</t>
    <phoneticPr fontId="15" type="noConversion"/>
  </si>
  <si>
    <t>STYLE NO: GYFTO07-K#Y16</t>
    <phoneticPr fontId="1" type="noConversion"/>
  </si>
  <si>
    <t>FRONT YOKE LENGTH</t>
    <phoneticPr fontId="1" type="noConversion"/>
  </si>
  <si>
    <t>앞요크길이</t>
    <phoneticPr fontId="1" type="noConversion"/>
  </si>
  <si>
    <t>앞중심,절개</t>
    <phoneticPr fontId="15" type="noConversion"/>
  </si>
  <si>
    <t>뒤중심,절개</t>
    <phoneticPr fontId="15" type="noConversion"/>
  </si>
  <si>
    <t>옆목</t>
    <phoneticPr fontId="15" type="noConversion"/>
  </si>
  <si>
    <t xml:space="preserve">앞중심 </t>
    <phoneticPr fontId="15" type="noConversion"/>
  </si>
  <si>
    <t>SHOULDER STRAP LENGTH</t>
    <phoneticPr fontId="1" type="noConversion"/>
  </si>
  <si>
    <t>어깨끈길이</t>
    <phoneticPr fontId="1" type="noConversion"/>
  </si>
  <si>
    <t>앞중심</t>
    <phoneticPr fontId="15" type="noConversion"/>
  </si>
  <si>
    <t>STYLE NO: GYFPT04-W#R16</t>
    <phoneticPr fontId="1" type="noConversion"/>
  </si>
  <si>
    <t>L</t>
    <phoneticPr fontId="15" type="noConversion"/>
  </si>
  <si>
    <t>SIDE FLAT POCKET WIDTH</t>
    <phoneticPr fontId="1" type="noConversion"/>
  </si>
  <si>
    <t xml:space="preserve">SIDE FLAT POCKET VERTICAL </t>
    <phoneticPr fontId="1" type="noConversion"/>
  </si>
  <si>
    <t>옆후다가로</t>
    <phoneticPr fontId="15" type="noConversion"/>
  </si>
  <si>
    <t>옆후다세로</t>
    <phoneticPr fontId="15" type="noConversion"/>
  </si>
  <si>
    <t>SIDE POCKET WIDTH</t>
    <phoneticPr fontId="2" type="noConversion"/>
  </si>
  <si>
    <t>SIDE POCKET HEIGHT</t>
    <phoneticPr fontId="2" type="noConversion"/>
  </si>
  <si>
    <t>옆주머니너비</t>
    <phoneticPr fontId="1" type="noConversion"/>
  </si>
  <si>
    <t>옆주머니높이</t>
    <phoneticPr fontId="1" type="noConversion"/>
  </si>
  <si>
    <t>STYLE NO: GYFTO05-K#Y14</t>
    <phoneticPr fontId="1" type="noConversion"/>
  </si>
  <si>
    <t>앞옆목점에서 수직으로</t>
    <phoneticPr fontId="1" type="noConversion"/>
  </si>
  <si>
    <t>STYLE NO: GYFTO06-K#Y15</t>
    <phoneticPr fontId="1" type="noConversion"/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</si>
  <si>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</si>
  <si>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</si>
  <si>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앞중심에서 수평으로</t>
    <phoneticPr fontId="1" type="noConversion"/>
  </si>
  <si>
    <t>STYLE NO: GYFTO08-W#R17</t>
    <phoneticPr fontId="1" type="noConversion"/>
  </si>
  <si>
    <t>SHIRT LENGTH</t>
    <phoneticPr fontId="2" type="noConversion"/>
  </si>
  <si>
    <t>셔츠기장(뒤중심)</t>
    <phoneticPr fontId="2" type="noConversion"/>
  </si>
  <si>
    <r>
      <rPr>
        <sz val="7.5"/>
        <color theme="1"/>
        <rFont val="맑은 고딕"/>
        <family val="3"/>
        <charset val="129"/>
        <scheme val="minor"/>
      </rPr>
      <t>뒷목중심에서 밑단까지 직선 길이</t>
    </r>
    <r>
      <rPr>
        <sz val="7.5"/>
        <color rgb="FFFF0000"/>
        <rFont val="맑은 고딕"/>
        <family val="3"/>
        <charset val="129"/>
        <scheme val="minor"/>
      </rPr>
      <t xml:space="preserve"> (주원단)</t>
    </r>
    <phoneticPr fontId="1" type="noConversion"/>
  </si>
  <si>
    <t>SHIRT NECK</t>
    <phoneticPr fontId="2" type="noConversion"/>
  </si>
  <si>
    <t>셔츠 목둘레</t>
    <phoneticPr fontId="15" type="noConversion"/>
  </si>
  <si>
    <t>에리고시밑단끝점을 따라 잰 곡선의 둘레길이</t>
    <phoneticPr fontId="1" type="noConversion"/>
  </si>
  <si>
    <t xml:space="preserve">NECK BAND CENTER HIGHT </t>
    <phoneticPr fontId="2" type="noConversion"/>
  </si>
  <si>
    <t xml:space="preserve">AT CENTER BACK HIGHT </t>
    <phoneticPr fontId="1" type="noConversion"/>
  </si>
  <si>
    <t>고시폭</t>
  </si>
  <si>
    <t>뒷목 중심에서 고시 수직으로 잰 길이</t>
    <phoneticPr fontId="15" type="noConversion"/>
  </si>
  <si>
    <t>COLLARD WIDTH</t>
    <phoneticPr fontId="15" type="noConversion"/>
  </si>
  <si>
    <t>카라 폭</t>
    <phoneticPr fontId="15" type="noConversion"/>
  </si>
  <si>
    <t>중심</t>
    <phoneticPr fontId="15" type="noConversion"/>
  </si>
  <si>
    <t>COLLAR POINT</t>
    <phoneticPr fontId="2" type="noConversion"/>
  </si>
  <si>
    <t xml:space="preserve">COLLAR WIDTH AT EDGE </t>
  </si>
  <si>
    <t>카라포인트길이</t>
  </si>
  <si>
    <t>앞목쪽 카라 길이</t>
  </si>
  <si>
    <t xml:space="preserve">CUFF OPENING </t>
    <phoneticPr fontId="2" type="noConversion"/>
  </si>
  <si>
    <t>소매부리(단추채웠을때)</t>
    <phoneticPr fontId="1" type="noConversion"/>
  </si>
  <si>
    <t>앞주머니</t>
    <phoneticPr fontId="1" type="noConversion"/>
  </si>
  <si>
    <t>STYLE NO: GYFTO09-K#R18</t>
    <phoneticPr fontId="1" type="noConversion"/>
  </si>
  <si>
    <t>TOP LENGTH</t>
    <phoneticPr fontId="2" type="noConversion"/>
  </si>
  <si>
    <t>상의기장(뒤중심)</t>
    <phoneticPr fontId="2" type="noConversion"/>
  </si>
  <si>
    <t>뒷넥중심에서 밑단까지 직선길이</t>
    <phoneticPr fontId="15" type="noConversion"/>
  </si>
  <si>
    <t>TOP BOTTOM SWEEP (1/2)</t>
    <phoneticPr fontId="2" type="noConversion"/>
  </si>
  <si>
    <t>상의 밑단둘레(반품)</t>
    <phoneticPr fontId="15" type="noConversion"/>
  </si>
  <si>
    <r>
      <t xml:space="preserve">와끼선의 밑단 양끝점을 수평으로 잰 길이 </t>
    </r>
    <r>
      <rPr>
        <sz val="7.5"/>
        <color rgb="FFFF0000"/>
        <rFont val="맑은 고딕"/>
        <family val="3"/>
        <charset val="129"/>
        <scheme val="minor"/>
      </rPr>
      <t>(주원단)</t>
    </r>
    <phoneticPr fontId="1" type="noConversion"/>
  </si>
  <si>
    <r>
      <t xml:space="preserve">와끼선의 밑단 양끝점을 수평으로 잰 길이 </t>
    </r>
    <r>
      <rPr>
        <sz val="7.5"/>
        <color rgb="FFFF0000"/>
        <rFont val="맑은 고딕"/>
        <family val="3"/>
        <charset val="129"/>
        <scheme val="minor"/>
      </rPr>
      <t>(배색C)</t>
    </r>
    <phoneticPr fontId="1" type="noConversion"/>
  </si>
  <si>
    <r>
      <t xml:space="preserve">앞중심에서 수평으로 </t>
    </r>
    <r>
      <rPr>
        <sz val="7.5"/>
        <color rgb="FFFF0000"/>
        <rFont val="맑은 고딕"/>
        <family val="3"/>
        <charset val="129"/>
        <scheme val="minor"/>
      </rPr>
      <t>(좌/우 동일)</t>
    </r>
    <phoneticPr fontId="1" type="noConversion"/>
  </si>
  <si>
    <r>
      <t xml:space="preserve">앞옆목점에서 수직으로 </t>
    </r>
    <r>
      <rPr>
        <sz val="7.5"/>
        <color rgb="FFFF0000"/>
        <rFont val="맑은 고딕"/>
        <family val="3"/>
        <charset val="129"/>
        <scheme val="minor"/>
      </rPr>
      <t>(좌/우 동일)</t>
    </r>
    <phoneticPr fontId="1" type="noConversion"/>
  </si>
  <si>
    <t>STYLE NO: GYFTO10-K#R19</t>
    <phoneticPr fontId="1" type="noConversion"/>
  </si>
  <si>
    <t>STYLE NO: GYFTO04-K#Y13</t>
    <phoneticPr fontId="1" type="noConversion"/>
  </si>
  <si>
    <t>와끼에서 수평으로</t>
    <phoneticPr fontId="1" type="noConversion"/>
  </si>
  <si>
    <t xml:space="preserve">밑단에서 수직으로 </t>
    <phoneticPr fontId="1" type="noConversion"/>
  </si>
  <si>
    <t>WELT POCKET LENGTH</t>
    <phoneticPr fontId="2" type="noConversion"/>
  </si>
  <si>
    <t>구찌길이</t>
    <phoneticPr fontId="1" type="noConversion"/>
  </si>
  <si>
    <t>POCKET BOTTOM 6G BAND</t>
    <phoneticPr fontId="2" type="noConversion"/>
  </si>
  <si>
    <r>
      <t>주머니접선에서 밑단안감물림선까지의 길이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15" type="noConversion"/>
  </si>
  <si>
    <t>주머니밑단6골밴드</t>
    <phoneticPr fontId="1" type="noConversion"/>
  </si>
  <si>
    <t>COLLAR WIDTH</t>
    <phoneticPr fontId="2" type="noConversion"/>
  </si>
  <si>
    <t>CENTER BACK HIGHT</t>
    <phoneticPr fontId="1" type="noConversion"/>
  </si>
  <si>
    <t>카라폭</t>
  </si>
  <si>
    <t>중심에서 수직으로 잰 길이</t>
    <phoneticPr fontId="1" type="noConversion"/>
  </si>
  <si>
    <t>6G</t>
    <phoneticPr fontId="15" type="noConversion"/>
  </si>
  <si>
    <t>STYLE NO: GYFPT06-D#Y26</t>
    <phoneticPr fontId="1" type="noConversion"/>
  </si>
  <si>
    <t>STYLE NO: GYFPT07-D#Y27</t>
    <phoneticPr fontId="1" type="noConversion"/>
  </si>
  <si>
    <t>엉덩이둘레</t>
    <phoneticPr fontId="15" type="noConversion"/>
  </si>
  <si>
    <t>STYLE NO: GYFOU04-W#R26(패턴사이즈)</t>
    <phoneticPr fontId="1" type="noConversion"/>
  </si>
  <si>
    <t>STYLE NO: GYFOU04-W#R26(제품사이즈)</t>
    <phoneticPr fontId="1" type="noConversion"/>
  </si>
  <si>
    <t xml:space="preserve">앞중심에서 수직으로 </t>
    <phoneticPr fontId="1" type="noConversion"/>
  </si>
  <si>
    <t>와끼기준</t>
    <phoneticPr fontId="15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</si>
  <si>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(지퍼포함)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</si>
</sst>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7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.5"/>
      <color theme="0" tint="-4.9989318521683403E-2"/>
      <name val="맑은 고딕"/>
      <family val="3"/>
      <charset val="129"/>
      <scheme val="minor"/>
    </font>
    <font>
      <sz val="7.5"/>
      <color rgb="FFFFFF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>
      <alignment vertical="center"/>
    </xf>
  </cellStyleXfs>
  <cellXfs count="15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0" fillId="0" borderId="2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7" fillId="0" borderId="3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5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56" xfId="0" applyFont="1" applyBorder="1" applyAlignment="1">
      <alignment horizontal="left" vertical="center"/>
    </xf>
    <xf numFmtId="0" fontId="7" fillId="2" borderId="58" xfId="0" applyFont="1" applyFill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45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3">
    <cellStyle name="표준" xfId="0" builtinId="0"/>
    <cellStyle name="표준 2" xfId="1" xr:uid="{CD8A8543-CAE2-4172-95C6-682EBB052837}"/>
    <cellStyle name="표준 2 2" xfId="2" xr:uid="{4513A2C9-5C13-40EA-B412-56D1200336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5981-0BF3-418D-AB7E-4FD7A54E6E8E}">
  <sheetPr>
    <tabColor theme="7"/>
    <pageSetUpPr fitToPage="1"/>
  </sheetPr>
  <dimension ref="A1:M60"/>
  <sheetViews>
    <sheetView zoomScale="110" zoomScaleNormal="110" zoomScalePageLayoutView="30" workbookViewId="0">
      <selection activeCell="B35" sqref="B35:C3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215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3.5" customHeight="1" x14ac:dyDescent="0.3">
      <c r="A3" s="53">
        <v>1</v>
      </c>
      <c r="B3" s="54" t="s">
        <v>94</v>
      </c>
      <c r="C3" s="55"/>
      <c r="D3" s="56" t="s">
        <v>93</v>
      </c>
      <c r="E3" s="57"/>
      <c r="F3" s="57"/>
      <c r="G3" s="58"/>
      <c r="H3" s="59">
        <v>56</v>
      </c>
      <c r="I3" s="60">
        <f>SUM(H3)+2.9</f>
        <v>58.9</v>
      </c>
      <c r="J3" s="60">
        <f>SUM(I3)+2.9</f>
        <v>61.8</v>
      </c>
      <c r="K3" s="60"/>
      <c r="L3" s="61"/>
      <c r="M3" s="62"/>
    </row>
    <row r="4" spans="1:13" s="2" customFormat="1" ht="13.5" customHeight="1" x14ac:dyDescent="0.3">
      <c r="A4" s="21"/>
      <c r="B4" s="41" t="s">
        <v>60</v>
      </c>
      <c r="C4" s="41"/>
      <c r="D4" s="36" t="s">
        <v>92</v>
      </c>
      <c r="E4" s="37"/>
      <c r="F4" s="37"/>
      <c r="G4" s="37"/>
      <c r="H4" s="39"/>
      <c r="I4" s="32"/>
      <c r="J4" s="32"/>
      <c r="K4" s="12"/>
      <c r="L4" s="30"/>
      <c r="M4" s="33"/>
    </row>
    <row r="5" spans="1:13" s="2" customFormat="1" ht="13.5" customHeight="1" x14ac:dyDescent="0.3">
      <c r="A5" s="21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55.3</v>
      </c>
      <c r="I5" s="12">
        <f>SUM(H5)+3.8</f>
        <v>59.099999999999994</v>
      </c>
      <c r="J5" s="12">
        <f>SUM(I5)+3.8</f>
        <v>62.899999999999991</v>
      </c>
      <c r="K5" s="32"/>
      <c r="L5" s="32"/>
      <c r="M5" s="42"/>
    </row>
    <row r="6" spans="1:13" s="2" customFormat="1" ht="13.5" customHeight="1" x14ac:dyDescent="0.3">
      <c r="A6" s="21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2"/>
      <c r="L6" s="32"/>
      <c r="M6" s="42"/>
    </row>
    <row r="7" spans="1:13" s="2" customFormat="1" ht="13.5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56</v>
      </c>
      <c r="I7" s="12">
        <f>SUM(H7)+4</f>
        <v>60</v>
      </c>
      <c r="J7" s="12">
        <f>SUM(I7)+4</f>
        <v>64</v>
      </c>
      <c r="K7" s="32"/>
      <c r="L7" s="48"/>
      <c r="M7" s="42"/>
    </row>
    <row r="8" spans="1:13" s="2" customFormat="1" ht="13.5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48"/>
      <c r="M8" s="42"/>
    </row>
    <row r="9" spans="1:13" s="2" customFormat="1" ht="13.5" customHeight="1" x14ac:dyDescent="0.3">
      <c r="A9" s="21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43</v>
      </c>
      <c r="I9" s="12">
        <f>SUM(H9)+3</f>
        <v>46</v>
      </c>
      <c r="J9" s="12">
        <f>SUM(I9)+3</f>
        <v>49</v>
      </c>
      <c r="K9" s="32"/>
      <c r="L9" s="32"/>
      <c r="M9" s="42"/>
    </row>
    <row r="10" spans="1:13" s="2" customFormat="1" ht="13.5" customHeight="1" x14ac:dyDescent="0.3">
      <c r="A10" s="21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3" s="2" customFormat="1" ht="13.5" customHeight="1" x14ac:dyDescent="0.3">
      <c r="A11" s="21">
        <v>5</v>
      </c>
      <c r="B11" s="43" t="s">
        <v>10</v>
      </c>
      <c r="C11" s="43"/>
      <c r="D11" s="47" t="s">
        <v>0</v>
      </c>
      <c r="E11" s="47"/>
      <c r="F11" s="47"/>
      <c r="G11" s="47"/>
      <c r="H11" s="39">
        <v>23.6</v>
      </c>
      <c r="I11" s="32">
        <f>SUM(H11)+1</f>
        <v>24.6</v>
      </c>
      <c r="J11" s="32">
        <f>SUM(I11)+1</f>
        <v>25.6</v>
      </c>
      <c r="K11" s="32"/>
      <c r="L11" s="32"/>
      <c r="M11" s="42"/>
    </row>
    <row r="12" spans="1:13" s="2" customFormat="1" ht="13.5" customHeight="1" x14ac:dyDescent="0.3">
      <c r="A12" s="21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3" s="2" customFormat="1" ht="13.5" customHeight="1" x14ac:dyDescent="0.3">
      <c r="A13" s="21">
        <v>6</v>
      </c>
      <c r="B13" s="43" t="s">
        <v>1</v>
      </c>
      <c r="C13" s="43"/>
      <c r="D13" s="47" t="s">
        <v>2</v>
      </c>
      <c r="E13" s="47"/>
      <c r="F13" s="47"/>
      <c r="G13" s="47"/>
      <c r="H13" s="39">
        <v>18.899999999999999</v>
      </c>
      <c r="I13" s="32">
        <f>SUM(H13)+0.6</f>
        <v>19.5</v>
      </c>
      <c r="J13" s="32">
        <f>SUM(I13)+0.6</f>
        <v>20.100000000000001</v>
      </c>
      <c r="K13" s="32"/>
      <c r="L13" s="32"/>
      <c r="M13" s="42"/>
    </row>
    <row r="14" spans="1:13" s="2" customFormat="1" ht="13.5" customHeight="1" x14ac:dyDescent="0.3">
      <c r="A14" s="21"/>
      <c r="B14" s="41" t="s">
        <v>15</v>
      </c>
      <c r="C14" s="41"/>
      <c r="D14" s="36" t="s">
        <v>91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3" s="2" customFormat="1" ht="13.5" customHeight="1" x14ac:dyDescent="0.3">
      <c r="A15" s="21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7.7</v>
      </c>
      <c r="I15" s="32">
        <f>SUM(H15)+0.3</f>
        <v>8</v>
      </c>
      <c r="J15" s="32">
        <f>SUM(I15)+0.3</f>
        <v>8.3000000000000007</v>
      </c>
      <c r="K15" s="32"/>
      <c r="L15" s="32"/>
      <c r="M15" s="42"/>
    </row>
    <row r="16" spans="1:13" s="2" customFormat="1" ht="13.5" customHeight="1" x14ac:dyDescent="0.3">
      <c r="A16" s="21"/>
      <c r="B16" s="41" t="s">
        <v>16</v>
      </c>
      <c r="C16" s="41"/>
      <c r="D16" s="36" t="s">
        <v>90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3.5" customHeight="1" x14ac:dyDescent="0.3">
      <c r="A17" s="21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46.5</v>
      </c>
      <c r="I17" s="32">
        <f>SUM(H17)+1.6</f>
        <v>48.1</v>
      </c>
      <c r="J17" s="32">
        <f>SUM(I17)+1.6</f>
        <v>49.7</v>
      </c>
      <c r="K17" s="32"/>
      <c r="L17" s="32"/>
      <c r="M17" s="42"/>
    </row>
    <row r="18" spans="1:13" s="2" customFormat="1" ht="13.5" customHeight="1" x14ac:dyDescent="0.3">
      <c r="A18" s="21"/>
      <c r="B18" s="41" t="s">
        <v>57</v>
      </c>
      <c r="C18" s="41"/>
      <c r="D18" s="36" t="s">
        <v>95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3.5" customHeight="1" x14ac:dyDescent="0.3">
      <c r="A19" s="21">
        <v>9</v>
      </c>
      <c r="B19" s="43" t="s">
        <v>5</v>
      </c>
      <c r="C19" s="43"/>
      <c r="D19" s="47" t="s">
        <v>6</v>
      </c>
      <c r="E19" s="47"/>
      <c r="F19" s="47"/>
      <c r="G19" s="47"/>
      <c r="H19" s="39">
        <v>46.5</v>
      </c>
      <c r="I19" s="32">
        <f>SUM(H19)+2.1</f>
        <v>48.6</v>
      </c>
      <c r="J19" s="32">
        <f>SUM(I19)+2.1</f>
        <v>50.7</v>
      </c>
      <c r="K19" s="32"/>
      <c r="L19" s="32"/>
      <c r="M19" s="42"/>
    </row>
    <row r="20" spans="1:13" s="2" customFormat="1" ht="13.5" customHeight="1" x14ac:dyDescent="0.3">
      <c r="A20" s="21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3.5" customHeight="1" x14ac:dyDescent="0.3">
      <c r="A21" s="21">
        <v>10</v>
      </c>
      <c r="B21" s="43" t="s">
        <v>7</v>
      </c>
      <c r="C21" s="43"/>
      <c r="D21" s="44" t="s">
        <v>8</v>
      </c>
      <c r="E21" s="45"/>
      <c r="F21" s="45"/>
      <c r="G21" s="46"/>
      <c r="H21" s="39">
        <v>46.6</v>
      </c>
      <c r="I21" s="32">
        <f>SUM(H21)+2</f>
        <v>48.6</v>
      </c>
      <c r="J21" s="32">
        <f>SUM(I21)+2</f>
        <v>50.6</v>
      </c>
      <c r="K21" s="32"/>
      <c r="L21" s="32"/>
      <c r="M21" s="42"/>
    </row>
    <row r="22" spans="1:13" s="2" customFormat="1" ht="13.5" customHeight="1" x14ac:dyDescent="0.3">
      <c r="A22" s="21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3.5" customHeight="1" x14ac:dyDescent="0.3">
      <c r="A23" s="21">
        <v>11</v>
      </c>
      <c r="B23" s="23" t="s">
        <v>59</v>
      </c>
      <c r="C23" s="24"/>
      <c r="D23" s="47" t="s">
        <v>37</v>
      </c>
      <c r="E23" s="47"/>
      <c r="F23" s="47"/>
      <c r="G23" s="47"/>
      <c r="H23" s="39">
        <v>18.2</v>
      </c>
      <c r="I23" s="32">
        <f>SUM(H23)+0.8</f>
        <v>19</v>
      </c>
      <c r="J23" s="32">
        <f>SUM(I23)+0.8</f>
        <v>19.8</v>
      </c>
      <c r="K23" s="32"/>
      <c r="L23" s="32"/>
      <c r="M23" s="42"/>
    </row>
    <row r="24" spans="1:13" s="2" customFormat="1" ht="13.5" customHeight="1" x14ac:dyDescent="0.3">
      <c r="A24" s="21"/>
      <c r="B24" s="41" t="s">
        <v>19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ht="13.5" customHeight="1" x14ac:dyDescent="0.3">
      <c r="A25" s="21">
        <v>12</v>
      </c>
      <c r="B25" s="23" t="s">
        <v>139</v>
      </c>
      <c r="C25" s="24"/>
      <c r="D25" s="47"/>
      <c r="E25" s="47"/>
      <c r="F25" s="47"/>
      <c r="G25" s="47"/>
      <c r="H25" s="40">
        <v>16.899999999999999</v>
      </c>
      <c r="I25" s="12">
        <f>SUM(H25)+1.2</f>
        <v>18.099999999999998</v>
      </c>
      <c r="J25" s="12">
        <f>SUM(I25)+1.2</f>
        <v>19.299999999999997</v>
      </c>
      <c r="K25" s="12"/>
      <c r="L25" s="12"/>
      <c r="M25" s="14"/>
    </row>
    <row r="26" spans="1:13" ht="13.5" customHeight="1" x14ac:dyDescent="0.3">
      <c r="A26" s="21"/>
      <c r="B26" s="34" t="s">
        <v>138</v>
      </c>
      <c r="C26" s="35"/>
      <c r="D26" s="36" t="s">
        <v>161</v>
      </c>
      <c r="E26" s="37"/>
      <c r="F26" s="37"/>
      <c r="G26" s="38"/>
      <c r="H26" s="28"/>
      <c r="I26" s="30"/>
      <c r="J26" s="30"/>
      <c r="K26" s="30"/>
      <c r="L26" s="30"/>
      <c r="M26" s="33"/>
    </row>
    <row r="27" spans="1:13" ht="13.5" customHeight="1" x14ac:dyDescent="0.3">
      <c r="A27" s="21">
        <v>13</v>
      </c>
      <c r="B27" s="23" t="s">
        <v>137</v>
      </c>
      <c r="C27" s="24"/>
      <c r="D27" s="47"/>
      <c r="E27" s="47"/>
      <c r="F27" s="47"/>
      <c r="G27" s="47"/>
      <c r="H27" s="40">
        <v>18.5</v>
      </c>
      <c r="I27" s="12">
        <f>SUM(H27)+1.3</f>
        <v>19.8</v>
      </c>
      <c r="J27" s="12">
        <f>SUM(I27)+1.3</f>
        <v>21.1</v>
      </c>
      <c r="K27" s="12"/>
      <c r="L27" s="12"/>
      <c r="M27" s="14"/>
    </row>
    <row r="28" spans="1:13" ht="13.5" customHeight="1" x14ac:dyDescent="0.3">
      <c r="A28" s="21"/>
      <c r="B28" s="41" t="s">
        <v>136</v>
      </c>
      <c r="C28" s="41"/>
      <c r="D28" s="36"/>
      <c r="E28" s="37"/>
      <c r="F28" s="37"/>
      <c r="G28" s="38"/>
      <c r="H28" s="28"/>
      <c r="I28" s="30"/>
      <c r="J28" s="30"/>
      <c r="K28" s="30"/>
      <c r="L28" s="30"/>
      <c r="M28" s="33"/>
    </row>
    <row r="29" spans="1:13" s="2" customFormat="1" ht="13.5" customHeight="1" x14ac:dyDescent="0.3">
      <c r="A29" s="21">
        <v>14</v>
      </c>
      <c r="B29" s="43" t="s">
        <v>147</v>
      </c>
      <c r="C29" s="43"/>
      <c r="D29" s="44" t="s">
        <v>146</v>
      </c>
      <c r="E29" s="45"/>
      <c r="F29" s="45"/>
      <c r="G29" s="46"/>
      <c r="H29" s="40">
        <v>36</v>
      </c>
      <c r="I29" s="12">
        <f>SUM(H29)+1</f>
        <v>37</v>
      </c>
      <c r="J29" s="12">
        <f>SUM(I29)+1</f>
        <v>38</v>
      </c>
      <c r="K29" s="12"/>
      <c r="L29" s="32"/>
      <c r="M29" s="42"/>
    </row>
    <row r="30" spans="1:13" s="2" customFormat="1" ht="13.5" customHeight="1" x14ac:dyDescent="0.3">
      <c r="A30" s="21"/>
      <c r="B30" s="41" t="s">
        <v>145</v>
      </c>
      <c r="C30" s="41"/>
      <c r="D30" s="36" t="s">
        <v>144</v>
      </c>
      <c r="E30" s="37"/>
      <c r="F30" s="37"/>
      <c r="G30" s="38"/>
      <c r="H30" s="28"/>
      <c r="I30" s="30"/>
      <c r="J30" s="30"/>
      <c r="K30" s="30"/>
      <c r="L30" s="32"/>
      <c r="M30" s="42"/>
    </row>
    <row r="31" spans="1:13" s="2" customFormat="1" ht="13.5" customHeight="1" x14ac:dyDescent="0.3">
      <c r="A31" s="21">
        <v>15</v>
      </c>
      <c r="B31" s="43" t="s">
        <v>143</v>
      </c>
      <c r="C31" s="43"/>
      <c r="D31" s="44" t="s">
        <v>142</v>
      </c>
      <c r="E31" s="45"/>
      <c r="F31" s="45"/>
      <c r="G31" s="46"/>
      <c r="H31" s="40">
        <v>24.7</v>
      </c>
      <c r="I31" s="12">
        <f>SUM(H31)+0.8</f>
        <v>25.5</v>
      </c>
      <c r="J31" s="12">
        <f>SUM(I31)+0.8</f>
        <v>26.3</v>
      </c>
      <c r="K31" s="12"/>
      <c r="L31" s="12"/>
      <c r="M31" s="14"/>
    </row>
    <row r="32" spans="1:13" s="2" customFormat="1" ht="13.5" customHeight="1" x14ac:dyDescent="0.3">
      <c r="A32" s="21"/>
      <c r="B32" s="41" t="s">
        <v>141</v>
      </c>
      <c r="C32" s="41"/>
      <c r="D32" s="36" t="s">
        <v>140</v>
      </c>
      <c r="E32" s="37"/>
      <c r="F32" s="37"/>
      <c r="G32" s="38"/>
      <c r="H32" s="28"/>
      <c r="I32" s="30"/>
      <c r="J32" s="30"/>
      <c r="K32" s="30"/>
      <c r="L32" s="30"/>
      <c r="M32" s="33"/>
    </row>
    <row r="33" spans="1:13" s="2" customFormat="1" ht="13.5" customHeight="1" x14ac:dyDescent="0.3">
      <c r="A33" s="21">
        <v>16</v>
      </c>
      <c r="B33" s="23" t="s">
        <v>130</v>
      </c>
      <c r="C33" s="24"/>
      <c r="D33" s="25"/>
      <c r="E33" s="26"/>
      <c r="F33" s="26"/>
      <c r="G33" s="27"/>
      <c r="H33" s="40">
        <v>104</v>
      </c>
      <c r="I33" s="12">
        <f>SUM(H33)+2</f>
        <v>106</v>
      </c>
      <c r="J33" s="12">
        <f>SUM(I33)+2</f>
        <v>108</v>
      </c>
      <c r="K33" s="12"/>
      <c r="L33" s="12"/>
      <c r="M33" s="14"/>
    </row>
    <row r="34" spans="1:13" s="2" customFormat="1" ht="13.5" customHeight="1" x14ac:dyDescent="0.3">
      <c r="A34" s="21"/>
      <c r="B34" s="34" t="s">
        <v>131</v>
      </c>
      <c r="C34" s="35"/>
      <c r="D34" s="36" t="s">
        <v>163</v>
      </c>
      <c r="E34" s="37"/>
      <c r="F34" s="37"/>
      <c r="G34" s="38"/>
      <c r="H34" s="28"/>
      <c r="I34" s="30"/>
      <c r="J34" s="30"/>
      <c r="K34" s="30"/>
      <c r="L34" s="30"/>
      <c r="M34" s="33"/>
    </row>
    <row r="35" spans="1:13" s="2" customFormat="1" ht="13.5" customHeight="1" x14ac:dyDescent="0.3">
      <c r="A35" s="21">
        <v>17</v>
      </c>
      <c r="B35" s="23" t="s">
        <v>39</v>
      </c>
      <c r="C35" s="24"/>
      <c r="D35" s="25"/>
      <c r="E35" s="26"/>
      <c r="F35" s="26"/>
      <c r="G35" s="27"/>
      <c r="H35" s="39">
        <v>7</v>
      </c>
      <c r="I35" s="32">
        <f>SUM(H35)+0.2</f>
        <v>7.2</v>
      </c>
      <c r="J35" s="32">
        <f>SUM(I35)+0.2</f>
        <v>7.4</v>
      </c>
      <c r="K35" s="12"/>
      <c r="L35" s="12"/>
      <c r="M35" s="14"/>
    </row>
    <row r="36" spans="1:13" s="2" customFormat="1" ht="13.5" customHeight="1" x14ac:dyDescent="0.3">
      <c r="A36" s="21"/>
      <c r="B36" s="34" t="s">
        <v>40</v>
      </c>
      <c r="C36" s="35"/>
      <c r="D36" s="36" t="s">
        <v>164</v>
      </c>
      <c r="E36" s="37"/>
      <c r="F36" s="37"/>
      <c r="G36" s="38"/>
      <c r="H36" s="39"/>
      <c r="I36" s="32"/>
      <c r="J36" s="32"/>
      <c r="K36" s="30"/>
      <c r="L36" s="30"/>
      <c r="M36" s="33"/>
    </row>
    <row r="37" spans="1:13" s="2" customFormat="1" ht="13.5" customHeight="1" x14ac:dyDescent="0.3">
      <c r="A37" s="21">
        <v>18</v>
      </c>
      <c r="B37" s="23" t="s">
        <v>97</v>
      </c>
      <c r="C37" s="24"/>
      <c r="D37" s="25"/>
      <c r="E37" s="26"/>
      <c r="F37" s="26"/>
      <c r="G37" s="27"/>
      <c r="H37" s="28">
        <v>50</v>
      </c>
      <c r="I37" s="30">
        <v>53</v>
      </c>
      <c r="J37" s="30">
        <v>55.5</v>
      </c>
      <c r="K37" s="12"/>
      <c r="L37" s="12"/>
      <c r="M37" s="14"/>
    </row>
    <row r="38" spans="1:13" s="2" customFormat="1" ht="13.5" customHeight="1" thickBot="1" x14ac:dyDescent="0.35">
      <c r="A38" s="22"/>
      <c r="B38" s="16" t="s">
        <v>96</v>
      </c>
      <c r="C38" s="17"/>
      <c r="D38" s="18" t="s">
        <v>162</v>
      </c>
      <c r="E38" s="19"/>
      <c r="F38" s="19"/>
      <c r="G38" s="20"/>
      <c r="H38" s="29"/>
      <c r="I38" s="31"/>
      <c r="J38" s="31"/>
      <c r="K38" s="13"/>
      <c r="L38" s="13"/>
      <c r="M38" s="15"/>
    </row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CF21-2EEE-47A8-B744-C546BB303642}">
  <sheetPr>
    <tabColor theme="7"/>
    <pageSetUpPr fitToPage="1"/>
  </sheetPr>
  <dimension ref="A1:M60"/>
  <sheetViews>
    <sheetView zoomScale="110" zoomScaleNormal="110" zoomScalePageLayoutView="30" workbookViewId="0">
      <selection activeCell="Q23" sqref="Q2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180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3.5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59">
        <v>45</v>
      </c>
      <c r="I3" s="60">
        <f>SUM(H3)+3</f>
        <v>48</v>
      </c>
      <c r="J3" s="60">
        <f>SUM(I3)+3</f>
        <v>51</v>
      </c>
      <c r="K3" s="60"/>
      <c r="L3" s="61"/>
      <c r="M3" s="62"/>
    </row>
    <row r="4" spans="1:13" s="2" customFormat="1" ht="13.5" customHeight="1" x14ac:dyDescent="0.3">
      <c r="A4" s="21"/>
      <c r="B4" s="41" t="s">
        <v>62</v>
      </c>
      <c r="C4" s="41"/>
      <c r="D4" s="36" t="s">
        <v>61</v>
      </c>
      <c r="E4" s="37"/>
      <c r="F4" s="37"/>
      <c r="G4" s="37"/>
      <c r="H4" s="39"/>
      <c r="I4" s="32"/>
      <c r="J4" s="32"/>
      <c r="K4" s="12"/>
      <c r="L4" s="30"/>
      <c r="M4" s="33"/>
    </row>
    <row r="5" spans="1:13" s="2" customFormat="1" ht="13.5" customHeight="1" x14ac:dyDescent="0.3">
      <c r="A5" s="63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33</v>
      </c>
      <c r="I5" s="12">
        <f>SUM(H5)+2.6</f>
        <v>35.6</v>
      </c>
      <c r="J5" s="12">
        <f>SUM(I5)+2.6</f>
        <v>38.200000000000003</v>
      </c>
      <c r="K5" s="12"/>
      <c r="L5" s="12"/>
      <c r="M5" s="14"/>
    </row>
    <row r="6" spans="1:13" s="2" customFormat="1" ht="13.5" customHeight="1" x14ac:dyDescent="0.3">
      <c r="A6" s="64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0"/>
      <c r="L6" s="30"/>
      <c r="M6" s="33"/>
    </row>
    <row r="7" spans="1:13" s="2" customFormat="1" ht="13.5" customHeight="1" x14ac:dyDescent="0.3">
      <c r="A7" s="63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41</v>
      </c>
      <c r="I7" s="12">
        <f>SUM(H7)+3</f>
        <v>44</v>
      </c>
      <c r="J7" s="12">
        <f>SUM(I7)+3</f>
        <v>47</v>
      </c>
      <c r="K7" s="32"/>
      <c r="L7" s="32"/>
      <c r="M7" s="42"/>
    </row>
    <row r="8" spans="1:13" s="2" customFormat="1" ht="13.5" customHeight="1" x14ac:dyDescent="0.3">
      <c r="A8" s="64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32"/>
      <c r="M8" s="42"/>
    </row>
    <row r="9" spans="1:13" s="2" customFormat="1" ht="13.5" customHeight="1" x14ac:dyDescent="0.3">
      <c r="A9" s="63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32.5</v>
      </c>
      <c r="I9" s="12">
        <f>SUM(H9)+2.4</f>
        <v>34.9</v>
      </c>
      <c r="J9" s="12">
        <f>SUM(I9)+2.4</f>
        <v>37.299999999999997</v>
      </c>
      <c r="K9" s="32"/>
      <c r="L9" s="32"/>
      <c r="M9" s="42"/>
    </row>
    <row r="10" spans="1:13" s="2" customFormat="1" ht="13.5" customHeight="1" x14ac:dyDescent="0.3">
      <c r="A10" s="64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3" s="2" customFormat="1" ht="13.5" customHeight="1" x14ac:dyDescent="0.3">
      <c r="A11" s="63">
        <v>5</v>
      </c>
      <c r="B11" s="43" t="s">
        <v>171</v>
      </c>
      <c r="C11" s="43"/>
      <c r="D11" s="47"/>
      <c r="E11" s="47"/>
      <c r="F11" s="47"/>
      <c r="G11" s="47"/>
      <c r="H11" s="39">
        <v>13</v>
      </c>
      <c r="I11" s="32">
        <f>SUM(H11)+1</f>
        <v>14</v>
      </c>
      <c r="J11" s="32">
        <f>SUM(I11)+1</f>
        <v>15</v>
      </c>
      <c r="K11" s="12"/>
      <c r="L11" s="12"/>
      <c r="M11" s="14"/>
    </row>
    <row r="12" spans="1:13" s="2" customFormat="1" ht="13.5" customHeight="1" x14ac:dyDescent="0.3">
      <c r="A12" s="64"/>
      <c r="B12" s="41" t="s">
        <v>172</v>
      </c>
      <c r="C12" s="41"/>
      <c r="D12" s="36"/>
      <c r="E12" s="37"/>
      <c r="F12" s="37"/>
      <c r="G12" s="38"/>
      <c r="H12" s="39"/>
      <c r="I12" s="32"/>
      <c r="J12" s="32"/>
      <c r="K12" s="30"/>
      <c r="L12" s="30"/>
      <c r="M12" s="33"/>
    </row>
    <row r="13" spans="1:13" s="2" customFormat="1" ht="13.5" customHeight="1" x14ac:dyDescent="0.3">
      <c r="A13" s="63">
        <v>6</v>
      </c>
      <c r="B13" s="43" t="s">
        <v>10</v>
      </c>
      <c r="C13" s="43"/>
      <c r="D13" s="47" t="s">
        <v>0</v>
      </c>
      <c r="E13" s="47"/>
      <c r="F13" s="47"/>
      <c r="G13" s="47"/>
      <c r="H13" s="39">
        <v>18.5</v>
      </c>
      <c r="I13" s="32">
        <f>SUM(H13)+1</f>
        <v>19.5</v>
      </c>
      <c r="J13" s="32">
        <f>SUM(I13)+1</f>
        <v>20.5</v>
      </c>
      <c r="K13" s="32"/>
      <c r="L13" s="32"/>
      <c r="M13" s="42"/>
    </row>
    <row r="14" spans="1:13" s="2" customFormat="1" ht="13.5" customHeight="1" x14ac:dyDescent="0.3">
      <c r="A14" s="64"/>
      <c r="B14" s="41" t="s">
        <v>14</v>
      </c>
      <c r="C14" s="41"/>
      <c r="D14" s="36" t="s">
        <v>28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3" s="2" customFormat="1" ht="13.5" customHeight="1" x14ac:dyDescent="0.3">
      <c r="A15" s="63">
        <v>7</v>
      </c>
      <c r="B15" s="43" t="s">
        <v>1</v>
      </c>
      <c r="C15" s="43"/>
      <c r="D15" s="47" t="s">
        <v>134</v>
      </c>
      <c r="E15" s="47"/>
      <c r="F15" s="47"/>
      <c r="G15" s="47"/>
      <c r="H15" s="39">
        <v>20</v>
      </c>
      <c r="I15" s="32">
        <f>SUM(H15)+0.6</f>
        <v>20.6</v>
      </c>
      <c r="J15" s="32">
        <f>SUM(I15)+0.6</f>
        <v>21.200000000000003</v>
      </c>
      <c r="K15" s="32"/>
      <c r="L15" s="32"/>
      <c r="M15" s="42"/>
    </row>
    <row r="16" spans="1:13" s="2" customFormat="1" ht="13.5" customHeight="1" x14ac:dyDescent="0.3">
      <c r="A16" s="64"/>
      <c r="B16" s="41" t="s">
        <v>15</v>
      </c>
      <c r="C16" s="41"/>
      <c r="D16" s="36" t="s">
        <v>91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3.5" customHeight="1" x14ac:dyDescent="0.3">
      <c r="A17" s="63">
        <v>8</v>
      </c>
      <c r="B17" s="43" t="s">
        <v>3</v>
      </c>
      <c r="C17" s="43"/>
      <c r="D17" s="47" t="s">
        <v>4</v>
      </c>
      <c r="E17" s="47"/>
      <c r="F17" s="47"/>
      <c r="G17" s="47"/>
      <c r="H17" s="39">
        <v>7</v>
      </c>
      <c r="I17" s="32">
        <f>SUM(H17)+0.3</f>
        <v>7.3</v>
      </c>
      <c r="J17" s="32">
        <f>SUM(I17)+0.3</f>
        <v>7.6</v>
      </c>
      <c r="K17" s="32"/>
      <c r="L17" s="32"/>
      <c r="M17" s="42"/>
    </row>
    <row r="18" spans="1:13" s="2" customFormat="1" ht="13.5" customHeight="1" x14ac:dyDescent="0.3">
      <c r="A18" s="64"/>
      <c r="B18" s="41" t="s">
        <v>16</v>
      </c>
      <c r="C18" s="41"/>
      <c r="D18" s="36" t="s">
        <v>90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3.5" customHeight="1" x14ac:dyDescent="0.3">
      <c r="A19" s="63">
        <v>9</v>
      </c>
      <c r="B19" s="43" t="s">
        <v>147</v>
      </c>
      <c r="C19" s="43"/>
      <c r="D19" s="44" t="s">
        <v>146</v>
      </c>
      <c r="E19" s="45"/>
      <c r="F19" s="45"/>
      <c r="G19" s="46"/>
      <c r="H19" s="40">
        <v>36</v>
      </c>
      <c r="I19" s="12">
        <f>SUM(H19)+1</f>
        <v>37</v>
      </c>
      <c r="J19" s="12">
        <f>SUM(I19)+1</f>
        <v>38</v>
      </c>
      <c r="K19" s="32"/>
      <c r="L19" s="32"/>
      <c r="M19" s="42"/>
    </row>
    <row r="20" spans="1:13" s="2" customFormat="1" ht="13.5" customHeight="1" x14ac:dyDescent="0.3">
      <c r="A20" s="64"/>
      <c r="B20" s="41" t="s">
        <v>145</v>
      </c>
      <c r="C20" s="41"/>
      <c r="D20" s="36" t="s">
        <v>144</v>
      </c>
      <c r="E20" s="37"/>
      <c r="F20" s="37"/>
      <c r="G20" s="38"/>
      <c r="H20" s="28"/>
      <c r="I20" s="30"/>
      <c r="J20" s="30"/>
      <c r="K20" s="32"/>
      <c r="L20" s="32"/>
      <c r="M20" s="42"/>
    </row>
    <row r="21" spans="1:13" s="2" customFormat="1" ht="13.5" customHeight="1" x14ac:dyDescent="0.3">
      <c r="A21" s="63">
        <v>10</v>
      </c>
      <c r="B21" s="43" t="s">
        <v>143</v>
      </c>
      <c r="C21" s="43"/>
      <c r="D21" s="44" t="s">
        <v>142</v>
      </c>
      <c r="E21" s="45"/>
      <c r="F21" s="45"/>
      <c r="G21" s="46"/>
      <c r="H21" s="40">
        <v>23</v>
      </c>
      <c r="I21" s="12">
        <f>SUM(H21)+0.8</f>
        <v>23.8</v>
      </c>
      <c r="J21" s="12">
        <f>SUM(I21)+0.8</f>
        <v>24.6</v>
      </c>
      <c r="K21" s="32"/>
      <c r="L21" s="32"/>
      <c r="M21" s="42"/>
    </row>
    <row r="22" spans="1:13" s="2" customFormat="1" ht="13.5" customHeight="1" x14ac:dyDescent="0.3">
      <c r="A22" s="64"/>
      <c r="B22" s="41" t="s">
        <v>141</v>
      </c>
      <c r="C22" s="41"/>
      <c r="D22" s="36" t="s">
        <v>140</v>
      </c>
      <c r="E22" s="37"/>
      <c r="F22" s="37"/>
      <c r="G22" s="38"/>
      <c r="H22" s="28"/>
      <c r="I22" s="30"/>
      <c r="J22" s="30"/>
      <c r="K22" s="32"/>
      <c r="L22" s="32"/>
      <c r="M22" s="42"/>
    </row>
    <row r="23" spans="1:13" s="2" customFormat="1" ht="13.5" customHeight="1" x14ac:dyDescent="0.3">
      <c r="A23" s="63">
        <v>11</v>
      </c>
      <c r="B23" s="43" t="s">
        <v>5</v>
      </c>
      <c r="C23" s="43"/>
      <c r="D23" s="47" t="s">
        <v>6</v>
      </c>
      <c r="E23" s="47"/>
      <c r="F23" s="47"/>
      <c r="G23" s="47"/>
      <c r="H23" s="39">
        <v>53.5</v>
      </c>
      <c r="I23" s="32">
        <f>SUM(H23)+2.7</f>
        <v>56.2</v>
      </c>
      <c r="J23" s="32">
        <f>SUM(I23)+2.7</f>
        <v>58.900000000000006</v>
      </c>
      <c r="K23" s="32"/>
      <c r="L23" s="32"/>
      <c r="M23" s="42"/>
    </row>
    <row r="24" spans="1:13" s="2" customFormat="1" ht="13.5" customHeight="1" x14ac:dyDescent="0.3">
      <c r="A24" s="64"/>
      <c r="B24" s="41" t="s">
        <v>17</v>
      </c>
      <c r="C24" s="41"/>
      <c r="D24" s="36" t="s">
        <v>29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ht="13.5" customHeight="1" x14ac:dyDescent="0.3">
      <c r="A25" s="63">
        <v>12</v>
      </c>
      <c r="B25" s="43" t="s">
        <v>7</v>
      </c>
      <c r="C25" s="43"/>
      <c r="D25" s="44" t="s">
        <v>8</v>
      </c>
      <c r="E25" s="45"/>
      <c r="F25" s="45"/>
      <c r="G25" s="46"/>
      <c r="H25" s="39">
        <v>30</v>
      </c>
      <c r="I25" s="32">
        <f>SUM(H25)+1.6</f>
        <v>31.6</v>
      </c>
      <c r="J25" s="32">
        <f>SUM(I25)+1.6</f>
        <v>33.200000000000003</v>
      </c>
      <c r="K25" s="32"/>
      <c r="L25" s="32"/>
      <c r="M25" s="42"/>
    </row>
    <row r="26" spans="1:13" ht="13.5" customHeight="1" x14ac:dyDescent="0.3">
      <c r="A26" s="64"/>
      <c r="B26" s="41" t="s">
        <v>18</v>
      </c>
      <c r="C26" s="41"/>
      <c r="D26" s="36" t="s">
        <v>36</v>
      </c>
      <c r="E26" s="37"/>
      <c r="F26" s="37"/>
      <c r="G26" s="38"/>
      <c r="H26" s="39"/>
      <c r="I26" s="32"/>
      <c r="J26" s="32"/>
      <c r="K26" s="32"/>
      <c r="L26" s="32"/>
      <c r="M26" s="42"/>
    </row>
    <row r="27" spans="1:13" ht="13.5" customHeight="1" x14ac:dyDescent="0.3">
      <c r="A27" s="63">
        <v>13</v>
      </c>
      <c r="B27" s="23" t="s">
        <v>59</v>
      </c>
      <c r="C27" s="24"/>
      <c r="D27" s="47" t="s">
        <v>37</v>
      </c>
      <c r="E27" s="47"/>
      <c r="F27" s="47"/>
      <c r="G27" s="47"/>
      <c r="H27" s="39">
        <v>19</v>
      </c>
      <c r="I27" s="32">
        <f>SUM(H27)+0.8</f>
        <v>19.8</v>
      </c>
      <c r="J27" s="32">
        <f>SUM(I27)+0.8</f>
        <v>20.6</v>
      </c>
      <c r="K27" s="32"/>
      <c r="L27" s="32"/>
      <c r="M27" s="42"/>
    </row>
    <row r="28" spans="1:13" ht="13.5" customHeight="1" x14ac:dyDescent="0.3">
      <c r="A28" s="64"/>
      <c r="B28" s="41" t="s">
        <v>19</v>
      </c>
      <c r="C28" s="41"/>
      <c r="D28" s="36" t="s">
        <v>38</v>
      </c>
      <c r="E28" s="37"/>
      <c r="F28" s="37"/>
      <c r="G28" s="38"/>
      <c r="H28" s="40"/>
      <c r="I28" s="12"/>
      <c r="J28" s="12"/>
      <c r="K28" s="32"/>
      <c r="L28" s="32"/>
      <c r="M28" s="42"/>
    </row>
    <row r="29" spans="1:13" s="2" customFormat="1" ht="13.5" customHeight="1" x14ac:dyDescent="0.3">
      <c r="A29" s="63">
        <v>14</v>
      </c>
      <c r="B29" s="68" t="s">
        <v>173</v>
      </c>
      <c r="C29" s="68"/>
      <c r="D29" s="56"/>
      <c r="E29" s="57"/>
      <c r="F29" s="57"/>
      <c r="G29" s="58"/>
      <c r="H29" s="39">
        <v>21</v>
      </c>
      <c r="I29" s="32">
        <f>SUM(H29)+1</f>
        <v>22</v>
      </c>
      <c r="J29" s="32">
        <f>SUM(I29)+1</f>
        <v>23</v>
      </c>
      <c r="K29" s="30"/>
      <c r="L29" s="30"/>
      <c r="M29" s="33"/>
    </row>
    <row r="30" spans="1:13" s="2" customFormat="1" ht="13.5" customHeight="1" x14ac:dyDescent="0.3">
      <c r="A30" s="64"/>
      <c r="B30" s="41" t="s">
        <v>174</v>
      </c>
      <c r="C30" s="41"/>
      <c r="D30" s="36"/>
      <c r="E30" s="37"/>
      <c r="F30" s="37"/>
      <c r="G30" s="38"/>
      <c r="H30" s="39"/>
      <c r="I30" s="32"/>
      <c r="J30" s="32"/>
      <c r="K30" s="32"/>
      <c r="L30" s="32"/>
      <c r="M30" s="42"/>
    </row>
    <row r="31" spans="1:13" s="2" customFormat="1" ht="13.5" customHeight="1" x14ac:dyDescent="0.3">
      <c r="A31" s="21">
        <v>15</v>
      </c>
      <c r="B31" s="23" t="s">
        <v>39</v>
      </c>
      <c r="C31" s="24"/>
      <c r="D31" s="25"/>
      <c r="E31" s="26"/>
      <c r="F31" s="26"/>
      <c r="G31" s="27"/>
      <c r="H31" s="39">
        <v>15</v>
      </c>
      <c r="I31" s="32"/>
      <c r="J31" s="32"/>
      <c r="K31" s="12"/>
      <c r="L31" s="32"/>
      <c r="M31" s="42"/>
    </row>
    <row r="32" spans="1:13" s="2" customFormat="1" ht="13.5" customHeight="1" x14ac:dyDescent="0.3">
      <c r="A32" s="21"/>
      <c r="B32" s="34" t="s">
        <v>40</v>
      </c>
      <c r="C32" s="35"/>
      <c r="D32" s="36" t="s">
        <v>175</v>
      </c>
      <c r="E32" s="37"/>
      <c r="F32" s="37"/>
      <c r="G32" s="38"/>
      <c r="H32" s="39"/>
      <c r="I32" s="32"/>
      <c r="J32" s="32"/>
      <c r="K32" s="30"/>
      <c r="L32" s="32"/>
      <c r="M32" s="42"/>
    </row>
    <row r="33" spans="1:13" s="2" customFormat="1" ht="13.5" customHeight="1" x14ac:dyDescent="0.3">
      <c r="A33" s="21">
        <v>16</v>
      </c>
      <c r="B33" s="23" t="s">
        <v>86</v>
      </c>
      <c r="C33" s="24"/>
      <c r="D33" s="25"/>
      <c r="E33" s="26"/>
      <c r="F33" s="26"/>
      <c r="G33" s="27"/>
      <c r="H33" s="39">
        <v>7.7</v>
      </c>
      <c r="I33" s="32"/>
      <c r="J33" s="32"/>
      <c r="K33" s="12"/>
      <c r="L33" s="12"/>
      <c r="M33" s="14"/>
    </row>
    <row r="34" spans="1:13" s="2" customFormat="1" ht="13.5" customHeight="1" x14ac:dyDescent="0.3">
      <c r="A34" s="21"/>
      <c r="B34" s="34" t="s">
        <v>87</v>
      </c>
      <c r="C34" s="35"/>
      <c r="D34" s="36" t="s">
        <v>176</v>
      </c>
      <c r="E34" s="37"/>
      <c r="F34" s="37"/>
      <c r="G34" s="38"/>
      <c r="H34" s="39"/>
      <c r="I34" s="32"/>
      <c r="J34" s="32"/>
      <c r="K34" s="30"/>
      <c r="L34" s="30"/>
      <c r="M34" s="33"/>
    </row>
    <row r="35" spans="1:13" s="2" customFormat="1" ht="13.5" customHeight="1" x14ac:dyDescent="0.3">
      <c r="A35" s="63">
        <v>17</v>
      </c>
      <c r="B35" s="23" t="s">
        <v>177</v>
      </c>
      <c r="C35" s="24"/>
      <c r="D35" s="44"/>
      <c r="E35" s="45"/>
      <c r="F35" s="45"/>
      <c r="G35" s="46"/>
      <c r="H35" s="39">
        <v>4.5</v>
      </c>
      <c r="I35" s="32"/>
      <c r="J35" s="32"/>
      <c r="K35" s="12"/>
      <c r="L35" s="12"/>
      <c r="M35" s="14"/>
    </row>
    <row r="36" spans="1:13" s="2" customFormat="1" ht="13.5" customHeight="1" x14ac:dyDescent="0.3">
      <c r="A36" s="64"/>
      <c r="B36" s="34" t="s">
        <v>178</v>
      </c>
      <c r="C36" s="35"/>
      <c r="D36" s="36" t="s">
        <v>179</v>
      </c>
      <c r="E36" s="37"/>
      <c r="F36" s="37"/>
      <c r="G36" s="38"/>
      <c r="H36" s="39"/>
      <c r="I36" s="32"/>
      <c r="J36" s="32"/>
      <c r="K36" s="30"/>
      <c r="L36" s="30"/>
      <c r="M36" s="33"/>
    </row>
    <row r="37" spans="1:13" s="2" customFormat="1" ht="13.5" customHeight="1" x14ac:dyDescent="0.3">
      <c r="A37" s="63">
        <v>18</v>
      </c>
      <c r="B37" s="23" t="s">
        <v>97</v>
      </c>
      <c r="C37" s="24"/>
      <c r="D37" s="25"/>
      <c r="E37" s="26"/>
      <c r="F37" s="26"/>
      <c r="G37" s="27"/>
      <c r="H37" s="39">
        <v>37</v>
      </c>
      <c r="I37" s="48"/>
      <c r="J37" s="48"/>
      <c r="K37" s="32"/>
      <c r="L37" s="32"/>
      <c r="M37" s="42"/>
    </row>
    <row r="38" spans="1:13" s="2" customFormat="1" ht="13.5" customHeight="1" thickBot="1" x14ac:dyDescent="0.35">
      <c r="A38" s="67"/>
      <c r="B38" s="16" t="s">
        <v>96</v>
      </c>
      <c r="C38" s="17"/>
      <c r="D38" s="18" t="s">
        <v>162</v>
      </c>
      <c r="E38" s="19"/>
      <c r="F38" s="19"/>
      <c r="G38" s="20"/>
      <c r="H38" s="29"/>
      <c r="I38" s="65"/>
      <c r="J38" s="65"/>
      <c r="K38" s="31"/>
      <c r="L38" s="31"/>
      <c r="M38" s="66"/>
    </row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J21:J22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176E-3326-44E3-AB3D-F565EAEEF5BD}">
  <sheetPr>
    <tabColor theme="7"/>
    <pageSetUpPr fitToPage="1"/>
  </sheetPr>
  <dimension ref="A1:M60"/>
  <sheetViews>
    <sheetView topLeftCell="A13" zoomScale="110" zoomScaleNormal="110" zoomScalePageLayoutView="30" workbookViewId="0">
      <selection activeCell="B33" sqref="B33:C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198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3.5" customHeight="1" x14ac:dyDescent="0.3">
      <c r="A3" s="53">
        <v>1</v>
      </c>
      <c r="B3" s="54" t="s">
        <v>94</v>
      </c>
      <c r="C3" s="55"/>
      <c r="D3" s="56" t="s">
        <v>93</v>
      </c>
      <c r="E3" s="57"/>
      <c r="F3" s="57"/>
      <c r="G3" s="58"/>
      <c r="H3" s="59">
        <v>56.8</v>
      </c>
      <c r="I3" s="60">
        <f>SUM(H3)+2.9</f>
        <v>59.699999999999996</v>
      </c>
      <c r="J3" s="60">
        <f>SUM(I3)+2.9</f>
        <v>62.599999999999994</v>
      </c>
      <c r="K3" s="60"/>
      <c r="L3" s="61"/>
      <c r="M3" s="62"/>
    </row>
    <row r="4" spans="1:13" s="2" customFormat="1" ht="13.5" customHeight="1" x14ac:dyDescent="0.3">
      <c r="A4" s="21"/>
      <c r="B4" s="41" t="s">
        <v>60</v>
      </c>
      <c r="C4" s="41"/>
      <c r="D4" s="36" t="s">
        <v>92</v>
      </c>
      <c r="E4" s="37"/>
      <c r="F4" s="37"/>
      <c r="G4" s="37"/>
      <c r="H4" s="39"/>
      <c r="I4" s="32"/>
      <c r="J4" s="32"/>
      <c r="K4" s="12"/>
      <c r="L4" s="30"/>
      <c r="M4" s="33"/>
    </row>
    <row r="5" spans="1:13" s="2" customFormat="1" ht="13.5" customHeight="1" x14ac:dyDescent="0.3">
      <c r="A5" s="21">
        <v>2</v>
      </c>
      <c r="B5" s="72" t="s">
        <v>151</v>
      </c>
      <c r="C5" s="73"/>
      <c r="D5" s="56" t="s">
        <v>152</v>
      </c>
      <c r="E5" s="57"/>
      <c r="F5" s="57"/>
      <c r="G5" s="58"/>
      <c r="H5" s="40">
        <v>74</v>
      </c>
      <c r="I5" s="12">
        <f>SUM(H5)+4</f>
        <v>78</v>
      </c>
      <c r="J5" s="12">
        <f>SUM(I5)+4</f>
        <v>82</v>
      </c>
      <c r="K5" s="32"/>
      <c r="L5" s="32"/>
      <c r="M5" s="42"/>
    </row>
    <row r="6" spans="1:13" s="2" customFormat="1" ht="13.5" customHeight="1" x14ac:dyDescent="0.3">
      <c r="A6" s="21"/>
      <c r="B6" s="34" t="s">
        <v>153</v>
      </c>
      <c r="C6" s="35"/>
      <c r="D6" s="36" t="s">
        <v>154</v>
      </c>
      <c r="E6" s="37"/>
      <c r="F6" s="37"/>
      <c r="G6" s="38"/>
      <c r="H6" s="28"/>
      <c r="I6" s="30"/>
      <c r="J6" s="30"/>
      <c r="K6" s="32"/>
      <c r="L6" s="32"/>
      <c r="M6" s="42"/>
    </row>
    <row r="7" spans="1:13" s="2" customFormat="1" ht="13.5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59.3</v>
      </c>
      <c r="I7" s="12">
        <f>SUM(H7)+4.3</f>
        <v>63.599999999999994</v>
      </c>
      <c r="J7" s="12">
        <f>SUM(I7)+4.3</f>
        <v>67.899999999999991</v>
      </c>
      <c r="K7" s="32"/>
      <c r="L7" s="48"/>
      <c r="M7" s="42"/>
    </row>
    <row r="8" spans="1:13" s="2" customFormat="1" ht="13.5" customHeight="1" x14ac:dyDescent="0.3">
      <c r="A8" s="21"/>
      <c r="B8" s="41" t="s">
        <v>23</v>
      </c>
      <c r="C8" s="41"/>
      <c r="D8" s="36" t="s">
        <v>206</v>
      </c>
      <c r="E8" s="37"/>
      <c r="F8" s="37"/>
      <c r="G8" s="38"/>
      <c r="H8" s="28"/>
      <c r="I8" s="30"/>
      <c r="J8" s="30"/>
      <c r="K8" s="32"/>
      <c r="L8" s="48"/>
      <c r="M8" s="42"/>
    </row>
    <row r="9" spans="1:13" s="2" customFormat="1" ht="13.5" customHeight="1" x14ac:dyDescent="0.3">
      <c r="A9" s="21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55</v>
      </c>
      <c r="I9" s="12">
        <f>SUM(H9)+4</f>
        <v>59</v>
      </c>
      <c r="J9" s="12">
        <f>SUM(I9)+4</f>
        <v>63</v>
      </c>
      <c r="K9" s="32"/>
      <c r="L9" s="32"/>
      <c r="M9" s="42"/>
    </row>
    <row r="10" spans="1:13" s="2" customFormat="1" ht="13.5" customHeight="1" x14ac:dyDescent="0.3">
      <c r="A10" s="21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3" s="2" customFormat="1" ht="13.5" customHeight="1" x14ac:dyDescent="0.3">
      <c r="A11" s="21">
        <v>5</v>
      </c>
      <c r="B11" s="43" t="s">
        <v>10</v>
      </c>
      <c r="C11" s="43"/>
      <c r="D11" s="47" t="s">
        <v>0</v>
      </c>
      <c r="E11" s="47"/>
      <c r="F11" s="47"/>
      <c r="G11" s="47"/>
      <c r="H11" s="39"/>
      <c r="I11" s="32"/>
      <c r="J11" s="32"/>
      <c r="K11" s="32"/>
      <c r="L11" s="32"/>
      <c r="M11" s="42"/>
    </row>
    <row r="12" spans="1:13" s="2" customFormat="1" ht="13.5" customHeight="1" x14ac:dyDescent="0.3">
      <c r="A12" s="21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3" s="2" customFormat="1" ht="13.5" customHeight="1" x14ac:dyDescent="0.3">
      <c r="A13" s="21">
        <v>6</v>
      </c>
      <c r="B13" s="43" t="s">
        <v>1</v>
      </c>
      <c r="C13" s="43"/>
      <c r="D13" s="47" t="s">
        <v>2</v>
      </c>
      <c r="E13" s="47"/>
      <c r="F13" s="47"/>
      <c r="G13" s="47"/>
      <c r="H13" s="39">
        <v>18.399999999999999</v>
      </c>
      <c r="I13" s="32">
        <f>SUM(H13)+0.6</f>
        <v>19</v>
      </c>
      <c r="J13" s="32">
        <f>SUM(I13)+0.6</f>
        <v>19.600000000000001</v>
      </c>
      <c r="K13" s="32"/>
      <c r="L13" s="32"/>
      <c r="M13" s="42"/>
    </row>
    <row r="14" spans="1:13" s="2" customFormat="1" ht="13.5" customHeight="1" x14ac:dyDescent="0.3">
      <c r="A14" s="21"/>
      <c r="B14" s="41" t="s">
        <v>15</v>
      </c>
      <c r="C14" s="41"/>
      <c r="D14" s="36" t="s">
        <v>91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3" s="2" customFormat="1" ht="13.5" customHeight="1" x14ac:dyDescent="0.3">
      <c r="A15" s="21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9</v>
      </c>
      <c r="I15" s="32">
        <f>SUM(H15)+0.3</f>
        <v>9.3000000000000007</v>
      </c>
      <c r="J15" s="32">
        <f>SUM(I15)+0.3</f>
        <v>9.6000000000000014</v>
      </c>
      <c r="K15" s="32"/>
      <c r="L15" s="32"/>
      <c r="M15" s="42"/>
    </row>
    <row r="16" spans="1:13" s="2" customFormat="1" ht="13.5" customHeight="1" x14ac:dyDescent="0.3">
      <c r="A16" s="21"/>
      <c r="B16" s="41" t="s">
        <v>16</v>
      </c>
      <c r="C16" s="41"/>
      <c r="D16" s="36" t="s">
        <v>90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3.5" customHeight="1" x14ac:dyDescent="0.3">
      <c r="A17" s="21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47.9</v>
      </c>
      <c r="I17" s="32">
        <f>SUM(H17)+1.6</f>
        <v>49.5</v>
      </c>
      <c r="J17" s="32">
        <f>SUM(I17)+1.6</f>
        <v>51.1</v>
      </c>
      <c r="K17" s="32"/>
      <c r="L17" s="32"/>
      <c r="M17" s="42"/>
    </row>
    <row r="18" spans="1:13" s="2" customFormat="1" ht="13.5" customHeight="1" x14ac:dyDescent="0.3">
      <c r="A18" s="21"/>
      <c r="B18" s="41" t="s">
        <v>57</v>
      </c>
      <c r="C18" s="41"/>
      <c r="D18" s="36" t="s">
        <v>95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3.5" customHeight="1" x14ac:dyDescent="0.3">
      <c r="A19" s="21">
        <v>9</v>
      </c>
      <c r="B19" s="43" t="s">
        <v>5</v>
      </c>
      <c r="C19" s="43"/>
      <c r="D19" s="47" t="s">
        <v>6</v>
      </c>
      <c r="E19" s="47"/>
      <c r="F19" s="47"/>
      <c r="G19" s="47"/>
      <c r="H19" s="39"/>
      <c r="I19" s="32"/>
      <c r="J19" s="32"/>
      <c r="K19" s="32"/>
      <c r="L19" s="32"/>
      <c r="M19" s="42"/>
    </row>
    <row r="20" spans="1:13" s="2" customFormat="1" ht="13.5" customHeight="1" x14ac:dyDescent="0.3">
      <c r="A20" s="21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3.5" customHeight="1" x14ac:dyDescent="0.3">
      <c r="A21" s="21">
        <v>10</v>
      </c>
      <c r="B21" s="43" t="s">
        <v>7</v>
      </c>
      <c r="C21" s="43"/>
      <c r="D21" s="44" t="s">
        <v>8</v>
      </c>
      <c r="E21" s="45"/>
      <c r="F21" s="45"/>
      <c r="G21" s="46"/>
      <c r="H21" s="39">
        <v>46.5</v>
      </c>
      <c r="I21" s="32">
        <f>SUM(H21)+2.1</f>
        <v>48.6</v>
      </c>
      <c r="J21" s="32">
        <f>SUM(I21)+2.1</f>
        <v>50.7</v>
      </c>
      <c r="K21" s="32"/>
      <c r="L21" s="32"/>
      <c r="M21" s="42"/>
    </row>
    <row r="22" spans="1:13" s="2" customFormat="1" ht="13.5" customHeight="1" x14ac:dyDescent="0.3">
      <c r="A22" s="21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3.5" customHeight="1" x14ac:dyDescent="0.3">
      <c r="A23" s="21">
        <v>11</v>
      </c>
      <c r="B23" s="23" t="s">
        <v>199</v>
      </c>
      <c r="C23" s="24"/>
      <c r="D23" s="47" t="s">
        <v>37</v>
      </c>
      <c r="E23" s="47"/>
      <c r="F23" s="47"/>
      <c r="G23" s="47"/>
      <c r="H23" s="39">
        <v>20.399999999999999</v>
      </c>
      <c r="I23" s="32">
        <f>SUM(H23)+0.8</f>
        <v>21.2</v>
      </c>
      <c r="J23" s="32">
        <f>SUM(I23)+0.8</f>
        <v>22</v>
      </c>
      <c r="K23" s="32"/>
      <c r="L23" s="32"/>
      <c r="M23" s="42"/>
    </row>
    <row r="24" spans="1:13" s="2" customFormat="1" ht="13.5" customHeight="1" x14ac:dyDescent="0.3">
      <c r="A24" s="21"/>
      <c r="B24" s="41" t="s">
        <v>200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ht="13.5" customHeight="1" x14ac:dyDescent="0.3">
      <c r="A25" s="21">
        <v>12</v>
      </c>
      <c r="B25" s="23" t="s">
        <v>201</v>
      </c>
      <c r="C25" s="24"/>
      <c r="D25" s="47"/>
      <c r="E25" s="47"/>
      <c r="F25" s="47"/>
      <c r="G25" s="47"/>
      <c r="H25" s="40">
        <v>14</v>
      </c>
      <c r="I25" s="12">
        <f>SUM(H25)+0.5</f>
        <v>14.5</v>
      </c>
      <c r="J25" s="12">
        <f>SUM(I25)+0.5</f>
        <v>15</v>
      </c>
      <c r="K25" s="12"/>
      <c r="L25" s="12"/>
      <c r="M25" s="14"/>
    </row>
    <row r="26" spans="1:13" ht="13.5" customHeight="1" x14ac:dyDescent="0.3">
      <c r="A26" s="21"/>
      <c r="B26" s="34" t="s">
        <v>202</v>
      </c>
      <c r="C26" s="35"/>
      <c r="D26" s="36" t="s">
        <v>209</v>
      </c>
      <c r="E26" s="37"/>
      <c r="F26" s="37"/>
      <c r="G26" s="38"/>
      <c r="H26" s="28"/>
      <c r="I26" s="30"/>
      <c r="J26" s="30"/>
      <c r="K26" s="30"/>
      <c r="L26" s="30"/>
      <c r="M26" s="33"/>
    </row>
    <row r="27" spans="1:13" ht="13.5" customHeight="1" x14ac:dyDescent="0.3">
      <c r="A27" s="21">
        <v>13</v>
      </c>
      <c r="B27" s="43" t="s">
        <v>147</v>
      </c>
      <c r="C27" s="43"/>
      <c r="D27" s="44" t="s">
        <v>146</v>
      </c>
      <c r="E27" s="45"/>
      <c r="F27" s="45"/>
      <c r="G27" s="46"/>
      <c r="H27" s="40">
        <v>36</v>
      </c>
      <c r="I27" s="12">
        <f>SUM(H27)+1</f>
        <v>37</v>
      </c>
      <c r="J27" s="12">
        <f>SUM(I27)+1</f>
        <v>38</v>
      </c>
      <c r="K27" s="12"/>
      <c r="L27" s="12"/>
      <c r="M27" s="14"/>
    </row>
    <row r="28" spans="1:13" ht="13.5" customHeight="1" x14ac:dyDescent="0.3">
      <c r="A28" s="21"/>
      <c r="B28" s="41" t="s">
        <v>145</v>
      </c>
      <c r="C28" s="41"/>
      <c r="D28" s="36" t="s">
        <v>144</v>
      </c>
      <c r="E28" s="37"/>
      <c r="F28" s="37"/>
      <c r="G28" s="38"/>
      <c r="H28" s="28"/>
      <c r="I28" s="30"/>
      <c r="J28" s="30"/>
      <c r="K28" s="30"/>
      <c r="L28" s="30"/>
      <c r="M28" s="33"/>
    </row>
    <row r="29" spans="1:13" s="2" customFormat="1" ht="13.5" customHeight="1" x14ac:dyDescent="0.3">
      <c r="A29" s="21">
        <v>14</v>
      </c>
      <c r="B29" s="43" t="s">
        <v>143</v>
      </c>
      <c r="C29" s="43"/>
      <c r="D29" s="44" t="s">
        <v>142</v>
      </c>
      <c r="E29" s="45"/>
      <c r="F29" s="45"/>
      <c r="G29" s="46"/>
      <c r="H29" s="40">
        <v>26.4</v>
      </c>
      <c r="I29" s="12">
        <f>SUM(H29)+0.8</f>
        <v>27.2</v>
      </c>
      <c r="J29" s="12">
        <f>SUM(I29)+0.8</f>
        <v>28</v>
      </c>
      <c r="K29" s="12"/>
      <c r="L29" s="32"/>
      <c r="M29" s="42"/>
    </row>
    <row r="30" spans="1:13" s="2" customFormat="1" ht="13.5" customHeight="1" x14ac:dyDescent="0.3">
      <c r="A30" s="21"/>
      <c r="B30" s="41" t="s">
        <v>141</v>
      </c>
      <c r="C30" s="41"/>
      <c r="D30" s="36" t="s">
        <v>140</v>
      </c>
      <c r="E30" s="37"/>
      <c r="F30" s="37"/>
      <c r="G30" s="38"/>
      <c r="H30" s="28"/>
      <c r="I30" s="30"/>
      <c r="J30" s="30"/>
      <c r="K30" s="30"/>
      <c r="L30" s="32"/>
      <c r="M30" s="42"/>
    </row>
    <row r="31" spans="1:13" s="2" customFormat="1" ht="13.5" customHeight="1" x14ac:dyDescent="0.3">
      <c r="A31" s="21">
        <v>15</v>
      </c>
      <c r="B31" s="23" t="s">
        <v>130</v>
      </c>
      <c r="C31" s="24"/>
      <c r="D31" s="25"/>
      <c r="E31" s="26"/>
      <c r="F31" s="26"/>
      <c r="G31" s="27"/>
      <c r="H31" s="40">
        <v>101</v>
      </c>
      <c r="I31" s="12">
        <f>SUM(H31)+2</f>
        <v>103</v>
      </c>
      <c r="J31" s="12">
        <f>SUM(I31)+2</f>
        <v>105</v>
      </c>
      <c r="K31" s="12"/>
      <c r="L31" s="12"/>
      <c r="M31" s="14"/>
    </row>
    <row r="32" spans="1:13" s="2" customFormat="1" ht="13.5" customHeight="1" x14ac:dyDescent="0.3">
      <c r="A32" s="21"/>
      <c r="B32" s="34" t="s">
        <v>131</v>
      </c>
      <c r="C32" s="35"/>
      <c r="D32" s="36" t="s">
        <v>203</v>
      </c>
      <c r="E32" s="37"/>
      <c r="F32" s="37"/>
      <c r="G32" s="38"/>
      <c r="H32" s="28"/>
      <c r="I32" s="30"/>
      <c r="J32" s="30"/>
      <c r="K32" s="30"/>
      <c r="L32" s="30"/>
      <c r="M32" s="33"/>
    </row>
    <row r="33" spans="1:13" s="2" customFormat="1" ht="13.5" customHeight="1" x14ac:dyDescent="0.3">
      <c r="A33" s="21">
        <v>16</v>
      </c>
      <c r="B33" s="23" t="s">
        <v>39</v>
      </c>
      <c r="C33" s="24"/>
      <c r="D33" s="25"/>
      <c r="E33" s="26"/>
      <c r="F33" s="26"/>
      <c r="G33" s="27"/>
      <c r="H33" s="39">
        <v>9.6999999999999993</v>
      </c>
      <c r="I33" s="32">
        <f>SUM(H33)+0.7</f>
        <v>10.399999999999999</v>
      </c>
      <c r="J33" s="32">
        <f>SUM(I33)+0.6</f>
        <v>10.999999999999998</v>
      </c>
      <c r="K33" s="12"/>
      <c r="L33" s="12"/>
      <c r="M33" s="14"/>
    </row>
    <row r="34" spans="1:13" s="2" customFormat="1" ht="13.5" customHeight="1" x14ac:dyDescent="0.3">
      <c r="A34" s="21"/>
      <c r="B34" s="34" t="s">
        <v>40</v>
      </c>
      <c r="C34" s="35"/>
      <c r="D34" s="36" t="s">
        <v>205</v>
      </c>
      <c r="E34" s="37"/>
      <c r="F34" s="37"/>
      <c r="G34" s="38"/>
      <c r="H34" s="39"/>
      <c r="I34" s="32"/>
      <c r="J34" s="32"/>
      <c r="K34" s="30"/>
      <c r="L34" s="30"/>
      <c r="M34" s="33"/>
    </row>
    <row r="35" spans="1:13" s="2" customFormat="1" ht="13.5" customHeight="1" x14ac:dyDescent="0.3">
      <c r="A35" s="21">
        <v>17</v>
      </c>
      <c r="B35" s="23" t="s">
        <v>86</v>
      </c>
      <c r="C35" s="24"/>
      <c r="D35" s="25"/>
      <c r="E35" s="26"/>
      <c r="F35" s="26"/>
      <c r="G35" s="27"/>
      <c r="H35" s="39">
        <v>8.5</v>
      </c>
      <c r="I35" s="32">
        <f>SUM(H35)+0.7</f>
        <v>9.1999999999999993</v>
      </c>
      <c r="J35" s="32">
        <f>SUM(I35)+0.7</f>
        <v>9.8999999999999986</v>
      </c>
      <c r="K35" s="12"/>
      <c r="L35" s="12"/>
      <c r="M35" s="14"/>
    </row>
    <row r="36" spans="1:13" s="2" customFormat="1" ht="13.5" customHeight="1" x14ac:dyDescent="0.3">
      <c r="A36" s="21"/>
      <c r="B36" s="34" t="s">
        <v>87</v>
      </c>
      <c r="C36" s="35"/>
      <c r="D36" s="36" t="s">
        <v>204</v>
      </c>
      <c r="E36" s="37"/>
      <c r="F36" s="37"/>
      <c r="G36" s="38"/>
      <c r="H36" s="39"/>
      <c r="I36" s="32"/>
      <c r="J36" s="32"/>
      <c r="K36" s="30"/>
      <c r="L36" s="30"/>
      <c r="M36" s="33"/>
    </row>
    <row r="37" spans="1:13" s="2" customFormat="1" ht="13.5" customHeight="1" x14ac:dyDescent="0.3">
      <c r="A37" s="21">
        <v>18</v>
      </c>
      <c r="B37" s="23" t="s">
        <v>97</v>
      </c>
      <c r="C37" s="24"/>
      <c r="D37" s="25"/>
      <c r="E37" s="26"/>
      <c r="F37" s="26"/>
      <c r="G37" s="27"/>
      <c r="H37" s="28">
        <v>48.5</v>
      </c>
      <c r="I37" s="30">
        <v>51</v>
      </c>
      <c r="J37" s="30">
        <v>53.5</v>
      </c>
      <c r="K37" s="12"/>
      <c r="L37" s="12"/>
      <c r="M37" s="14"/>
    </row>
    <row r="38" spans="1:13" s="2" customFormat="1" ht="13.5" customHeight="1" x14ac:dyDescent="0.3">
      <c r="A38" s="63"/>
      <c r="B38" s="54" t="s">
        <v>96</v>
      </c>
      <c r="C38" s="55"/>
      <c r="D38" s="56" t="s">
        <v>162</v>
      </c>
      <c r="E38" s="57"/>
      <c r="F38" s="57"/>
      <c r="G38" s="58"/>
      <c r="H38" s="40"/>
      <c r="I38" s="12"/>
      <c r="J38" s="12"/>
      <c r="K38" s="74"/>
      <c r="L38" s="74"/>
      <c r="M38" s="75"/>
    </row>
    <row r="39" spans="1:13" ht="14.1" customHeight="1" x14ac:dyDescent="0.3">
      <c r="A39" s="21">
        <v>19</v>
      </c>
      <c r="B39" s="23" t="s">
        <v>207</v>
      </c>
      <c r="C39" s="24"/>
      <c r="D39" s="25"/>
      <c r="E39" s="26"/>
      <c r="F39" s="26"/>
      <c r="G39" s="27"/>
      <c r="H39" s="40">
        <v>79</v>
      </c>
      <c r="I39" s="12">
        <f>SUM(H39)+4</f>
        <v>83</v>
      </c>
      <c r="J39" s="12">
        <f>SUM(I39)+4</f>
        <v>87</v>
      </c>
      <c r="K39" s="12"/>
      <c r="L39" s="12"/>
      <c r="M39" s="14"/>
    </row>
    <row r="40" spans="1:13" ht="14.1" customHeight="1" x14ac:dyDescent="0.3">
      <c r="A40" s="21"/>
      <c r="B40" s="34" t="s">
        <v>208</v>
      </c>
      <c r="C40" s="35"/>
      <c r="D40" s="36" t="s">
        <v>210</v>
      </c>
      <c r="E40" s="37"/>
      <c r="F40" s="37"/>
      <c r="G40" s="38"/>
      <c r="H40" s="28"/>
      <c r="I40" s="30"/>
      <c r="J40" s="30"/>
      <c r="K40" s="30"/>
      <c r="L40" s="30"/>
      <c r="M40" s="33"/>
    </row>
    <row r="41" spans="1:13" ht="14.1" customHeight="1" x14ac:dyDescent="0.3">
      <c r="A41" s="21">
        <v>20</v>
      </c>
      <c r="B41" s="23"/>
      <c r="C41" s="24"/>
      <c r="D41" s="25"/>
      <c r="E41" s="26"/>
      <c r="F41" s="26"/>
      <c r="G41" s="27"/>
      <c r="H41" s="28"/>
      <c r="I41" s="30"/>
      <c r="J41" s="30"/>
      <c r="K41" s="12"/>
      <c r="L41" s="12"/>
      <c r="M41" s="14"/>
    </row>
    <row r="42" spans="1:13" ht="14.1" customHeight="1" thickBot="1" x14ac:dyDescent="0.35">
      <c r="A42" s="22"/>
      <c r="B42" s="16"/>
      <c r="C42" s="17"/>
      <c r="D42" s="18"/>
      <c r="E42" s="19"/>
      <c r="F42" s="19"/>
      <c r="G42" s="20"/>
      <c r="H42" s="29"/>
      <c r="I42" s="31"/>
      <c r="J42" s="31"/>
      <c r="K42" s="13"/>
      <c r="L42" s="13"/>
      <c r="M42" s="15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</sheetData>
  <mergeCells count="223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00CE-9C8B-499C-B423-297013896BBE}">
  <sheetPr>
    <tabColor theme="7"/>
    <pageSetUpPr fitToPage="1"/>
  </sheetPr>
  <dimension ref="A1:P60"/>
  <sheetViews>
    <sheetView zoomScale="110" zoomScaleNormal="110" zoomScalePageLayoutView="30" workbookViewId="0">
      <selection activeCell="P11" sqref="P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49" t="s">
        <v>310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6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6" s="2" customFormat="1" ht="13.5" customHeight="1" x14ac:dyDescent="0.3">
      <c r="A3" s="53">
        <v>1</v>
      </c>
      <c r="B3" s="54" t="s">
        <v>94</v>
      </c>
      <c r="C3" s="55"/>
      <c r="D3" s="56" t="s">
        <v>93</v>
      </c>
      <c r="E3" s="57"/>
      <c r="F3" s="57"/>
      <c r="G3" s="58"/>
      <c r="H3" s="59">
        <v>47.2</v>
      </c>
      <c r="I3" s="60">
        <f>SUM(H3)+2.9</f>
        <v>50.1</v>
      </c>
      <c r="J3" s="60">
        <f>SUM(I3)+2.9</f>
        <v>53</v>
      </c>
      <c r="K3" s="60"/>
      <c r="L3" s="61"/>
      <c r="M3" s="62"/>
    </row>
    <row r="4" spans="1:16" s="2" customFormat="1" ht="13.5" customHeight="1" x14ac:dyDescent="0.3">
      <c r="A4" s="21"/>
      <c r="B4" s="41" t="s">
        <v>60</v>
      </c>
      <c r="C4" s="41"/>
      <c r="D4" s="36" t="s">
        <v>92</v>
      </c>
      <c r="E4" s="37"/>
      <c r="F4" s="37"/>
      <c r="G4" s="37"/>
      <c r="H4" s="39"/>
      <c r="I4" s="32"/>
      <c r="J4" s="32"/>
      <c r="K4" s="12"/>
      <c r="L4" s="30"/>
      <c r="M4" s="33"/>
    </row>
    <row r="5" spans="1:16" s="2" customFormat="1" ht="13.5" customHeight="1" x14ac:dyDescent="0.3">
      <c r="A5" s="21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41.9</v>
      </c>
      <c r="I5" s="12">
        <f>SUM(H5)+3</f>
        <v>44.9</v>
      </c>
      <c r="J5" s="12">
        <f>SUM(I5)+3</f>
        <v>47.9</v>
      </c>
      <c r="K5" s="32"/>
      <c r="L5" s="32"/>
      <c r="M5" s="42"/>
    </row>
    <row r="6" spans="1:16" s="2" customFormat="1" ht="13.5" customHeight="1" x14ac:dyDescent="0.3">
      <c r="A6" s="21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2"/>
      <c r="L6" s="32"/>
      <c r="M6" s="42"/>
    </row>
    <row r="7" spans="1:16" s="2" customFormat="1" ht="13.5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55</v>
      </c>
      <c r="I7" s="12">
        <f>SUM(H7)+4</f>
        <v>59</v>
      </c>
      <c r="J7" s="12">
        <f>SUM(I7)+4</f>
        <v>63</v>
      </c>
      <c r="K7" s="32"/>
      <c r="L7" s="48"/>
      <c r="M7" s="42"/>
    </row>
    <row r="8" spans="1:16" s="2" customFormat="1" ht="13.5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48"/>
      <c r="M8" s="42"/>
    </row>
    <row r="9" spans="1:16" s="2" customFormat="1" ht="13.5" customHeight="1" x14ac:dyDescent="0.3">
      <c r="A9" s="63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58</v>
      </c>
      <c r="I9" s="12">
        <f>SUM(H9)+4.2</f>
        <v>62.2</v>
      </c>
      <c r="J9" s="12">
        <f>SUM(I9)+4.2</f>
        <v>66.400000000000006</v>
      </c>
      <c r="K9" s="32"/>
      <c r="L9" s="32"/>
      <c r="M9" s="42"/>
    </row>
    <row r="10" spans="1:16" s="2" customFormat="1" ht="13.5" customHeight="1" x14ac:dyDescent="0.3">
      <c r="A10" s="64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6" s="2" customFormat="1" ht="13.5" customHeight="1" x14ac:dyDescent="0.3">
      <c r="A11" s="63">
        <v>5</v>
      </c>
      <c r="B11" s="43" t="s">
        <v>10</v>
      </c>
      <c r="C11" s="43"/>
      <c r="D11" s="47" t="s">
        <v>0</v>
      </c>
      <c r="E11" s="47"/>
      <c r="F11" s="47"/>
      <c r="G11" s="47"/>
      <c r="H11" s="39">
        <v>25.9</v>
      </c>
      <c r="I11" s="32">
        <f>SUM(H11)+1</f>
        <v>26.9</v>
      </c>
      <c r="J11" s="32">
        <f>SUM(I11)+1</f>
        <v>27.9</v>
      </c>
      <c r="K11" s="32"/>
      <c r="L11" s="32"/>
      <c r="M11" s="42"/>
    </row>
    <row r="12" spans="1:16" s="2" customFormat="1" ht="13.5" customHeight="1" x14ac:dyDescent="0.3">
      <c r="A12" s="64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6" s="2" customFormat="1" ht="13.5" customHeight="1" x14ac:dyDescent="0.3">
      <c r="A13" s="63">
        <v>6</v>
      </c>
      <c r="B13" s="43" t="s">
        <v>1</v>
      </c>
      <c r="C13" s="43"/>
      <c r="D13" s="47" t="s">
        <v>2</v>
      </c>
      <c r="E13" s="47"/>
      <c r="F13" s="47"/>
      <c r="G13" s="47"/>
      <c r="H13" s="39">
        <v>21.2</v>
      </c>
      <c r="I13" s="32">
        <f>SUM(H13)+0.6</f>
        <v>21.8</v>
      </c>
      <c r="J13" s="32">
        <f>SUM(I13)+0.6</f>
        <v>22.400000000000002</v>
      </c>
      <c r="K13" s="32"/>
      <c r="L13" s="32"/>
      <c r="M13" s="42"/>
    </row>
    <row r="14" spans="1:16" s="2" customFormat="1" ht="13.5" customHeight="1" thickBot="1" x14ac:dyDescent="0.35">
      <c r="A14" s="64"/>
      <c r="B14" s="41" t="s">
        <v>15</v>
      </c>
      <c r="C14" s="41"/>
      <c r="D14" s="36" t="s">
        <v>91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6" s="2" customFormat="1" ht="13.5" customHeight="1" thickTop="1" x14ac:dyDescent="0.3">
      <c r="A15" s="63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10.5</v>
      </c>
      <c r="I15" s="32">
        <f>SUM(H15)+0.3</f>
        <v>10.8</v>
      </c>
      <c r="J15" s="32">
        <f>SUM(I15)+0.3</f>
        <v>11.100000000000001</v>
      </c>
      <c r="K15" s="32"/>
      <c r="L15" s="32"/>
      <c r="M15" s="42"/>
      <c r="P15" s="6" t="s">
        <v>306</v>
      </c>
    </row>
    <row r="16" spans="1:16" s="2" customFormat="1" ht="13.5" customHeight="1" x14ac:dyDescent="0.3">
      <c r="A16" s="64"/>
      <c r="B16" s="41" t="s">
        <v>16</v>
      </c>
      <c r="C16" s="41"/>
      <c r="D16" s="36" t="s">
        <v>90</v>
      </c>
      <c r="E16" s="37"/>
      <c r="F16" s="37"/>
      <c r="G16" s="38"/>
      <c r="H16" s="39"/>
      <c r="I16" s="32"/>
      <c r="J16" s="32"/>
      <c r="K16" s="32"/>
      <c r="L16" s="32"/>
      <c r="M16" s="42"/>
      <c r="P16" s="7">
        <f>SUM(H27+H27+I27+I27+J27+J27)</f>
        <v>75.600000000000009</v>
      </c>
    </row>
    <row r="17" spans="1:16" s="2" customFormat="1" ht="13.5" customHeight="1" thickBot="1" x14ac:dyDescent="0.35">
      <c r="A17" s="63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56.1</v>
      </c>
      <c r="I17" s="32">
        <f>SUM(H17)+1.6</f>
        <v>57.7</v>
      </c>
      <c r="J17" s="32">
        <f>SUM(I17)+1.6</f>
        <v>59.300000000000004</v>
      </c>
      <c r="K17" s="32"/>
      <c r="L17" s="32"/>
      <c r="M17" s="42"/>
      <c r="P17" s="8">
        <f>SUM(P16/91.44/3*1.08)</f>
        <v>0.29763779527559059</v>
      </c>
    </row>
    <row r="18" spans="1:16" s="2" customFormat="1" ht="13.5" customHeight="1" thickTop="1" x14ac:dyDescent="0.3">
      <c r="A18" s="64"/>
      <c r="B18" s="41" t="s">
        <v>57</v>
      </c>
      <c r="C18" s="41"/>
      <c r="D18" s="36" t="s">
        <v>95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6" s="2" customFormat="1" ht="13.5" customHeight="1" x14ac:dyDescent="0.3">
      <c r="A19" s="63">
        <v>9</v>
      </c>
      <c r="B19" s="43" t="s">
        <v>5</v>
      </c>
      <c r="C19" s="43"/>
      <c r="D19" s="47" t="s">
        <v>6</v>
      </c>
      <c r="E19" s="47"/>
      <c r="F19" s="47"/>
      <c r="G19" s="47"/>
      <c r="H19" s="39"/>
      <c r="I19" s="32"/>
      <c r="J19" s="32"/>
      <c r="K19" s="32"/>
      <c r="L19" s="32"/>
      <c r="M19" s="42"/>
    </row>
    <row r="20" spans="1:16" s="2" customFormat="1" ht="13.5" customHeight="1" x14ac:dyDescent="0.3">
      <c r="A20" s="64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6" s="2" customFormat="1" ht="13.5" customHeight="1" x14ac:dyDescent="0.3">
      <c r="A21" s="63">
        <v>10</v>
      </c>
      <c r="B21" s="43" t="s">
        <v>7</v>
      </c>
      <c r="C21" s="43"/>
      <c r="D21" s="44" t="s">
        <v>8</v>
      </c>
      <c r="E21" s="45"/>
      <c r="F21" s="45"/>
      <c r="G21" s="46"/>
      <c r="H21" s="39"/>
      <c r="I21" s="32"/>
      <c r="J21" s="32"/>
      <c r="K21" s="32"/>
      <c r="L21" s="32"/>
      <c r="M21" s="42"/>
    </row>
    <row r="22" spans="1:16" s="2" customFormat="1" ht="13.5" customHeight="1" x14ac:dyDescent="0.3">
      <c r="A22" s="64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6" s="2" customFormat="1" ht="13.5" customHeight="1" x14ac:dyDescent="0.3">
      <c r="A23" s="63">
        <v>11</v>
      </c>
      <c r="B23" s="23" t="s">
        <v>59</v>
      </c>
      <c r="C23" s="24"/>
      <c r="D23" s="47" t="s">
        <v>37</v>
      </c>
      <c r="E23" s="47"/>
      <c r="F23" s="47"/>
      <c r="G23" s="47"/>
      <c r="H23" s="39"/>
      <c r="I23" s="32"/>
      <c r="J23" s="32"/>
      <c r="K23" s="32"/>
      <c r="L23" s="32"/>
      <c r="M23" s="42"/>
    </row>
    <row r="24" spans="1:16" s="2" customFormat="1" ht="13.5" customHeight="1" x14ac:dyDescent="0.3">
      <c r="A24" s="64"/>
      <c r="B24" s="41" t="s">
        <v>19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6" ht="13.5" customHeight="1" x14ac:dyDescent="0.3">
      <c r="A25" s="63">
        <v>12</v>
      </c>
      <c r="B25" s="23" t="s">
        <v>297</v>
      </c>
      <c r="C25" s="24"/>
      <c r="D25" s="47"/>
      <c r="E25" s="47"/>
      <c r="F25" s="47"/>
      <c r="G25" s="47"/>
      <c r="H25" s="40">
        <v>13</v>
      </c>
      <c r="I25" s="12">
        <f>SUM(H25)+0.6</f>
        <v>13.6</v>
      </c>
      <c r="J25" s="12">
        <f>SUM(I25)+0.6</f>
        <v>14.2</v>
      </c>
      <c r="K25" s="12"/>
      <c r="L25" s="12"/>
      <c r="M25" s="14"/>
    </row>
    <row r="26" spans="1:16" ht="13.5" customHeight="1" x14ac:dyDescent="0.3">
      <c r="A26" s="64"/>
      <c r="B26" s="34" t="s">
        <v>298</v>
      </c>
      <c r="C26" s="35"/>
      <c r="D26" s="36"/>
      <c r="E26" s="37"/>
      <c r="F26" s="37"/>
      <c r="G26" s="38"/>
      <c r="H26" s="28"/>
      <c r="I26" s="30"/>
      <c r="J26" s="30"/>
      <c r="K26" s="30"/>
      <c r="L26" s="30"/>
      <c r="M26" s="33"/>
    </row>
    <row r="27" spans="1:16" ht="13.5" customHeight="1" x14ac:dyDescent="0.3">
      <c r="A27" s="63">
        <v>13</v>
      </c>
      <c r="B27" s="23" t="s">
        <v>299</v>
      </c>
      <c r="C27" s="24"/>
      <c r="D27" s="47"/>
      <c r="E27" s="47"/>
      <c r="F27" s="47"/>
      <c r="G27" s="47"/>
      <c r="H27" s="40">
        <v>12</v>
      </c>
      <c r="I27" s="12">
        <f>SUM(H27)+0.6</f>
        <v>12.6</v>
      </c>
      <c r="J27" s="12">
        <f>SUM(I27)+0.6</f>
        <v>13.2</v>
      </c>
      <c r="K27" s="12"/>
      <c r="L27" s="12"/>
      <c r="M27" s="14"/>
    </row>
    <row r="28" spans="1:16" ht="13.5" customHeight="1" x14ac:dyDescent="0.3">
      <c r="A28" s="64"/>
      <c r="B28" s="34" t="s">
        <v>301</v>
      </c>
      <c r="C28" s="35"/>
      <c r="D28" s="36" t="s">
        <v>300</v>
      </c>
      <c r="E28" s="37"/>
      <c r="F28" s="37"/>
      <c r="G28" s="38"/>
      <c r="H28" s="28"/>
      <c r="I28" s="30"/>
      <c r="J28" s="30"/>
      <c r="K28" s="30"/>
      <c r="L28" s="30"/>
      <c r="M28" s="33"/>
    </row>
    <row r="29" spans="1:16" s="2" customFormat="1" ht="13.5" customHeight="1" x14ac:dyDescent="0.3">
      <c r="A29" s="63">
        <v>14</v>
      </c>
      <c r="B29" s="23" t="s">
        <v>97</v>
      </c>
      <c r="C29" s="24"/>
      <c r="D29" s="25"/>
      <c r="E29" s="26"/>
      <c r="F29" s="26"/>
      <c r="G29" s="27"/>
      <c r="H29" s="40">
        <v>47.5</v>
      </c>
      <c r="I29" s="12">
        <v>50</v>
      </c>
      <c r="J29" s="12">
        <v>53</v>
      </c>
      <c r="K29" s="12"/>
      <c r="L29" s="32"/>
      <c r="M29" s="42"/>
    </row>
    <row r="30" spans="1:16" s="2" customFormat="1" ht="13.5" customHeight="1" x14ac:dyDescent="0.3">
      <c r="A30" s="64"/>
      <c r="B30" s="54" t="s">
        <v>96</v>
      </c>
      <c r="C30" s="55"/>
      <c r="D30" s="56" t="s">
        <v>162</v>
      </c>
      <c r="E30" s="57"/>
      <c r="F30" s="57"/>
      <c r="G30" s="58"/>
      <c r="H30" s="76"/>
      <c r="I30" s="74"/>
      <c r="J30" s="74"/>
      <c r="K30" s="74"/>
      <c r="L30" s="12"/>
      <c r="M30" s="42"/>
    </row>
    <row r="31" spans="1:16" s="2" customFormat="1" ht="13.5" customHeight="1" x14ac:dyDescent="0.3">
      <c r="A31" s="63">
        <v>15</v>
      </c>
      <c r="B31" s="23" t="s">
        <v>302</v>
      </c>
      <c r="C31" s="24"/>
      <c r="D31" s="45" t="s">
        <v>303</v>
      </c>
      <c r="E31" s="45"/>
      <c r="F31" s="45"/>
      <c r="G31" s="45"/>
      <c r="H31" s="40">
        <v>8</v>
      </c>
      <c r="I31" s="12">
        <f>SUM(H31)+0.2</f>
        <v>8.1999999999999993</v>
      </c>
      <c r="J31" s="12">
        <f>SUM(I31)+0.2</f>
        <v>8.3999999999999986</v>
      </c>
      <c r="K31" s="12"/>
      <c r="L31" s="12"/>
      <c r="M31" s="14"/>
    </row>
    <row r="32" spans="1:16" s="2" customFormat="1" ht="13.5" customHeight="1" x14ac:dyDescent="0.3">
      <c r="A32" s="64"/>
      <c r="B32" s="41" t="s">
        <v>304</v>
      </c>
      <c r="C32" s="41"/>
      <c r="D32" s="36" t="s">
        <v>305</v>
      </c>
      <c r="E32" s="37"/>
      <c r="F32" s="37"/>
      <c r="G32" s="38"/>
      <c r="H32" s="28"/>
      <c r="I32" s="30"/>
      <c r="J32" s="30"/>
      <c r="K32" s="30"/>
      <c r="L32" s="30"/>
      <c r="M32" s="33"/>
    </row>
    <row r="33" spans="1:13" s="2" customFormat="1" ht="13.5" customHeight="1" x14ac:dyDescent="0.3">
      <c r="A33" s="63">
        <v>16</v>
      </c>
      <c r="B33" s="23" t="s">
        <v>207</v>
      </c>
      <c r="C33" s="24"/>
      <c r="D33" s="25"/>
      <c r="E33" s="26"/>
      <c r="F33" s="26"/>
      <c r="G33" s="27"/>
      <c r="H33" s="40">
        <v>82</v>
      </c>
      <c r="I33" s="12">
        <f>SUM(H33)+4.2</f>
        <v>86.2</v>
      </c>
      <c r="J33" s="12">
        <f>SUM(I33)+4.2</f>
        <v>90.4</v>
      </c>
      <c r="K33" s="12"/>
      <c r="L33" s="12"/>
      <c r="M33" s="14"/>
    </row>
    <row r="34" spans="1:13" s="2" customFormat="1" ht="13.5" customHeight="1" x14ac:dyDescent="0.3">
      <c r="A34" s="64"/>
      <c r="B34" s="34" t="s">
        <v>208</v>
      </c>
      <c r="C34" s="35"/>
      <c r="D34" s="36" t="s">
        <v>210</v>
      </c>
      <c r="E34" s="37"/>
      <c r="F34" s="37"/>
      <c r="G34" s="38"/>
      <c r="H34" s="28"/>
      <c r="I34" s="30"/>
      <c r="J34" s="30"/>
      <c r="K34" s="30"/>
      <c r="L34" s="30"/>
      <c r="M34" s="33"/>
    </row>
    <row r="35" spans="1:13" s="2" customFormat="1" ht="13.5" customHeight="1" x14ac:dyDescent="0.3">
      <c r="A35" s="63">
        <v>17</v>
      </c>
      <c r="B35" s="23" t="s">
        <v>39</v>
      </c>
      <c r="C35" s="24"/>
      <c r="D35" s="25"/>
      <c r="E35" s="26"/>
      <c r="F35" s="26"/>
      <c r="G35" s="27"/>
      <c r="H35" s="40">
        <v>8.5</v>
      </c>
      <c r="I35" s="12">
        <f>SUM(H35)+0.8</f>
        <v>9.3000000000000007</v>
      </c>
      <c r="J35" s="12">
        <f>SUM(I35)+0.8</f>
        <v>10.100000000000001</v>
      </c>
      <c r="K35" s="12"/>
      <c r="L35" s="12"/>
      <c r="M35" s="14"/>
    </row>
    <row r="36" spans="1:13" s="2" customFormat="1" ht="13.5" customHeight="1" x14ac:dyDescent="0.3">
      <c r="A36" s="64"/>
      <c r="B36" s="34" t="s">
        <v>40</v>
      </c>
      <c r="C36" s="35"/>
      <c r="D36" s="36" t="s">
        <v>245</v>
      </c>
      <c r="E36" s="37"/>
      <c r="F36" s="37"/>
      <c r="G36" s="38"/>
      <c r="H36" s="28"/>
      <c r="I36" s="30"/>
      <c r="J36" s="30"/>
      <c r="K36" s="30"/>
      <c r="L36" s="30"/>
      <c r="M36" s="33"/>
    </row>
    <row r="37" spans="1:13" s="2" customFormat="1" ht="13.5" customHeight="1" x14ac:dyDescent="0.3">
      <c r="A37" s="63">
        <v>18</v>
      </c>
      <c r="B37" s="23"/>
      <c r="C37" s="24"/>
      <c r="D37" s="25"/>
      <c r="E37" s="26"/>
      <c r="F37" s="26"/>
      <c r="G37" s="27"/>
      <c r="H37" s="40"/>
      <c r="I37" s="12"/>
      <c r="J37" s="12"/>
      <c r="K37" s="12"/>
      <c r="L37" s="12"/>
      <c r="M37" s="14"/>
    </row>
    <row r="38" spans="1:13" s="2" customFormat="1" ht="13.5" customHeight="1" thickBot="1" x14ac:dyDescent="0.35">
      <c r="A38" s="67"/>
      <c r="B38" s="16"/>
      <c r="C38" s="17"/>
      <c r="D38" s="18"/>
      <c r="E38" s="19"/>
      <c r="F38" s="19"/>
      <c r="G38" s="20"/>
      <c r="H38" s="77"/>
      <c r="I38" s="13"/>
      <c r="J38" s="13"/>
      <c r="K38" s="13"/>
      <c r="L38" s="13"/>
      <c r="M38" s="15"/>
    </row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</sheetData>
  <mergeCells count="201">
    <mergeCell ref="A31:A32"/>
    <mergeCell ref="K37:K38"/>
    <mergeCell ref="L37:L38"/>
    <mergeCell ref="M37:M38"/>
    <mergeCell ref="B38:C38"/>
    <mergeCell ref="D38:G38"/>
    <mergeCell ref="B27:C27"/>
    <mergeCell ref="I31:I32"/>
    <mergeCell ref="H31:H32"/>
    <mergeCell ref="D31:G31"/>
    <mergeCell ref="B31:C31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D28:G28"/>
    <mergeCell ref="K25:K26"/>
    <mergeCell ref="L25:L26"/>
    <mergeCell ref="M25:M26"/>
    <mergeCell ref="B26:C26"/>
    <mergeCell ref="D26:G26"/>
    <mergeCell ref="A27:A28"/>
    <mergeCell ref="B28:C28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1BDA-05DA-4C3D-BE8B-A2B99DC60F13}">
  <sheetPr>
    <tabColor theme="7"/>
    <pageSetUpPr fitToPage="1"/>
  </sheetPr>
  <dimension ref="A1:P60"/>
  <sheetViews>
    <sheetView zoomScale="110" zoomScaleNormal="110" zoomScalePageLayoutView="30" workbookViewId="0">
      <selection activeCell="P23" sqref="P2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49" t="s">
        <v>311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6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6" s="2" customFormat="1" ht="13.5" customHeight="1" x14ac:dyDescent="0.3">
      <c r="A3" s="53">
        <v>1</v>
      </c>
      <c r="B3" s="54" t="s">
        <v>94</v>
      </c>
      <c r="C3" s="55"/>
      <c r="D3" s="56" t="s">
        <v>93</v>
      </c>
      <c r="E3" s="57"/>
      <c r="F3" s="57"/>
      <c r="G3" s="58"/>
      <c r="H3" s="59">
        <v>45.1</v>
      </c>
      <c r="I3" s="60">
        <f>SUM(H3)+2.9</f>
        <v>48</v>
      </c>
      <c r="J3" s="60">
        <f>SUM(I3)+2.9</f>
        <v>50.9</v>
      </c>
      <c r="K3" s="60"/>
      <c r="L3" s="61"/>
      <c r="M3" s="62"/>
    </row>
    <row r="4" spans="1:16" s="2" customFormat="1" ht="13.5" customHeight="1" x14ac:dyDescent="0.3">
      <c r="A4" s="21"/>
      <c r="B4" s="41" t="s">
        <v>60</v>
      </c>
      <c r="C4" s="41"/>
      <c r="D4" s="36" t="s">
        <v>92</v>
      </c>
      <c r="E4" s="37"/>
      <c r="F4" s="37"/>
      <c r="G4" s="37"/>
      <c r="H4" s="39"/>
      <c r="I4" s="32"/>
      <c r="J4" s="32"/>
      <c r="K4" s="12"/>
      <c r="L4" s="30"/>
      <c r="M4" s="33"/>
    </row>
    <row r="5" spans="1:16" s="2" customFormat="1" ht="13.5" customHeight="1" x14ac:dyDescent="0.3">
      <c r="A5" s="21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40.5</v>
      </c>
      <c r="I5" s="12">
        <f>SUM(H5)+3</f>
        <v>43.5</v>
      </c>
      <c r="J5" s="12">
        <f>SUM(I5)+3</f>
        <v>46.5</v>
      </c>
      <c r="K5" s="32"/>
      <c r="L5" s="32"/>
      <c r="M5" s="42"/>
    </row>
    <row r="6" spans="1:16" s="2" customFormat="1" ht="13.5" customHeight="1" x14ac:dyDescent="0.3">
      <c r="A6" s="21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2"/>
      <c r="L6" s="32"/>
      <c r="M6" s="42"/>
    </row>
    <row r="7" spans="1:16" s="2" customFormat="1" ht="13.5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52</v>
      </c>
      <c r="I7" s="12">
        <f>SUM(H7)+4</f>
        <v>56</v>
      </c>
      <c r="J7" s="12">
        <f>SUM(I7)+4</f>
        <v>60</v>
      </c>
      <c r="K7" s="32"/>
      <c r="L7" s="48"/>
      <c r="M7" s="42"/>
    </row>
    <row r="8" spans="1:16" s="2" customFormat="1" ht="13.5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48"/>
      <c r="M8" s="42"/>
    </row>
    <row r="9" spans="1:16" s="2" customFormat="1" ht="13.5" customHeight="1" x14ac:dyDescent="0.3">
      <c r="A9" s="63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53.8</v>
      </c>
      <c r="I9" s="12">
        <f>SUM(H9)+4.2</f>
        <v>58</v>
      </c>
      <c r="J9" s="12">
        <f>SUM(I9)+4.2</f>
        <v>62.2</v>
      </c>
      <c r="K9" s="32"/>
      <c r="L9" s="32"/>
      <c r="M9" s="42"/>
    </row>
    <row r="10" spans="1:16" s="2" customFormat="1" ht="13.5" customHeight="1" x14ac:dyDescent="0.3">
      <c r="A10" s="64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6" s="2" customFormat="1" ht="13.5" customHeight="1" x14ac:dyDescent="0.3">
      <c r="A11" s="63">
        <v>5</v>
      </c>
      <c r="B11" s="43" t="s">
        <v>10</v>
      </c>
      <c r="C11" s="43"/>
      <c r="D11" s="47" t="s">
        <v>0</v>
      </c>
      <c r="E11" s="47"/>
      <c r="F11" s="47"/>
      <c r="G11" s="47"/>
      <c r="H11" s="39">
        <v>24</v>
      </c>
      <c r="I11" s="32">
        <f>SUM(H11)+1</f>
        <v>25</v>
      </c>
      <c r="J11" s="32">
        <f>SUM(I11)+1</f>
        <v>26</v>
      </c>
      <c r="K11" s="32"/>
      <c r="L11" s="32"/>
      <c r="M11" s="42"/>
    </row>
    <row r="12" spans="1:16" s="2" customFormat="1" ht="13.5" customHeight="1" x14ac:dyDescent="0.3">
      <c r="A12" s="64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6" s="2" customFormat="1" ht="13.5" customHeight="1" x14ac:dyDescent="0.3">
      <c r="A13" s="63">
        <v>6</v>
      </c>
      <c r="B13" s="43" t="s">
        <v>1</v>
      </c>
      <c r="C13" s="43"/>
      <c r="D13" s="47" t="s">
        <v>2</v>
      </c>
      <c r="E13" s="47"/>
      <c r="F13" s="47"/>
      <c r="G13" s="47"/>
      <c r="H13" s="39">
        <v>21.2</v>
      </c>
      <c r="I13" s="32">
        <f>SUM(H13)+0.6</f>
        <v>21.8</v>
      </c>
      <c r="J13" s="32">
        <f>SUM(I13)+0.6</f>
        <v>22.400000000000002</v>
      </c>
      <c r="K13" s="32"/>
      <c r="L13" s="32"/>
      <c r="M13" s="42"/>
    </row>
    <row r="14" spans="1:16" s="2" customFormat="1" ht="13.5" customHeight="1" thickBot="1" x14ac:dyDescent="0.35">
      <c r="A14" s="64"/>
      <c r="B14" s="41" t="s">
        <v>15</v>
      </c>
      <c r="C14" s="41"/>
      <c r="D14" s="36" t="s">
        <v>91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6" s="2" customFormat="1" ht="13.5" customHeight="1" thickTop="1" x14ac:dyDescent="0.3">
      <c r="A15" s="63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10.5</v>
      </c>
      <c r="I15" s="32">
        <f>SUM(H15)+0.3</f>
        <v>10.8</v>
      </c>
      <c r="J15" s="32">
        <f>SUM(I15)+0.3</f>
        <v>11.100000000000001</v>
      </c>
      <c r="K15" s="32"/>
      <c r="L15" s="32"/>
      <c r="M15" s="42"/>
      <c r="P15" s="6" t="s">
        <v>306</v>
      </c>
    </row>
    <row r="16" spans="1:16" s="2" customFormat="1" ht="13.5" customHeight="1" x14ac:dyDescent="0.3">
      <c r="A16" s="64"/>
      <c r="B16" s="41" t="s">
        <v>16</v>
      </c>
      <c r="C16" s="41"/>
      <c r="D16" s="36" t="s">
        <v>90</v>
      </c>
      <c r="E16" s="37"/>
      <c r="F16" s="37"/>
      <c r="G16" s="38"/>
      <c r="H16" s="39"/>
      <c r="I16" s="32"/>
      <c r="J16" s="32"/>
      <c r="K16" s="32"/>
      <c r="L16" s="32"/>
      <c r="M16" s="42"/>
      <c r="P16" s="7">
        <f>SUM(H27+H27+I27+I27+J27+J27)</f>
        <v>75.600000000000009</v>
      </c>
    </row>
    <row r="17" spans="1:16" s="2" customFormat="1" ht="13.5" customHeight="1" thickBot="1" x14ac:dyDescent="0.35">
      <c r="A17" s="63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56.1</v>
      </c>
      <c r="I17" s="32">
        <f>SUM(H17)+1.6</f>
        <v>57.7</v>
      </c>
      <c r="J17" s="32">
        <f>SUM(I17)+1.6</f>
        <v>59.300000000000004</v>
      </c>
      <c r="K17" s="32"/>
      <c r="L17" s="32"/>
      <c r="M17" s="42"/>
      <c r="P17" s="8">
        <f>SUM(P16/91.44/3*1.08)</f>
        <v>0.29763779527559059</v>
      </c>
    </row>
    <row r="18" spans="1:16" s="2" customFormat="1" ht="13.5" customHeight="1" thickTop="1" x14ac:dyDescent="0.3">
      <c r="A18" s="64"/>
      <c r="B18" s="41" t="s">
        <v>57</v>
      </c>
      <c r="C18" s="41"/>
      <c r="D18" s="36" t="s">
        <v>95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6" s="2" customFormat="1" ht="13.5" customHeight="1" x14ac:dyDescent="0.3">
      <c r="A19" s="63">
        <v>9</v>
      </c>
      <c r="B19" s="43" t="s">
        <v>5</v>
      </c>
      <c r="C19" s="43"/>
      <c r="D19" s="47" t="s">
        <v>6</v>
      </c>
      <c r="E19" s="47"/>
      <c r="F19" s="47"/>
      <c r="G19" s="47"/>
      <c r="H19" s="39"/>
      <c r="I19" s="32"/>
      <c r="J19" s="32"/>
      <c r="K19" s="32"/>
      <c r="L19" s="32"/>
      <c r="M19" s="42"/>
    </row>
    <row r="20" spans="1:16" s="2" customFormat="1" ht="13.5" customHeight="1" x14ac:dyDescent="0.3">
      <c r="A20" s="64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6" s="2" customFormat="1" ht="13.5" customHeight="1" x14ac:dyDescent="0.3">
      <c r="A21" s="63">
        <v>10</v>
      </c>
      <c r="B21" s="43" t="s">
        <v>7</v>
      </c>
      <c r="C21" s="43"/>
      <c r="D21" s="44" t="s">
        <v>8</v>
      </c>
      <c r="E21" s="45"/>
      <c r="F21" s="45"/>
      <c r="G21" s="46"/>
      <c r="H21" s="39"/>
      <c r="I21" s="32"/>
      <c r="J21" s="32"/>
      <c r="K21" s="32"/>
      <c r="L21" s="32"/>
      <c r="M21" s="42"/>
    </row>
    <row r="22" spans="1:16" s="2" customFormat="1" ht="13.5" customHeight="1" x14ac:dyDescent="0.3">
      <c r="A22" s="64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6" s="2" customFormat="1" ht="13.5" customHeight="1" x14ac:dyDescent="0.3">
      <c r="A23" s="63">
        <v>11</v>
      </c>
      <c r="B23" s="23" t="s">
        <v>59</v>
      </c>
      <c r="C23" s="24"/>
      <c r="D23" s="47" t="s">
        <v>37</v>
      </c>
      <c r="E23" s="47"/>
      <c r="F23" s="47"/>
      <c r="G23" s="47"/>
      <c r="H23" s="39"/>
      <c r="I23" s="32"/>
      <c r="J23" s="32"/>
      <c r="K23" s="32"/>
      <c r="L23" s="32"/>
      <c r="M23" s="42"/>
    </row>
    <row r="24" spans="1:16" s="2" customFormat="1" ht="13.5" customHeight="1" x14ac:dyDescent="0.3">
      <c r="A24" s="64"/>
      <c r="B24" s="41" t="s">
        <v>19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6" ht="13.5" customHeight="1" x14ac:dyDescent="0.3">
      <c r="A25" s="63">
        <v>12</v>
      </c>
      <c r="B25" s="23" t="s">
        <v>297</v>
      </c>
      <c r="C25" s="24"/>
      <c r="D25" s="47"/>
      <c r="E25" s="47"/>
      <c r="F25" s="47"/>
      <c r="G25" s="47"/>
      <c r="H25" s="40">
        <v>13</v>
      </c>
      <c r="I25" s="12">
        <f>SUM(H25)+0.6</f>
        <v>13.6</v>
      </c>
      <c r="J25" s="12">
        <f>SUM(I25)+0.6</f>
        <v>14.2</v>
      </c>
      <c r="K25" s="12"/>
      <c r="L25" s="12"/>
      <c r="M25" s="14"/>
    </row>
    <row r="26" spans="1:16" ht="13.5" customHeight="1" x14ac:dyDescent="0.3">
      <c r="A26" s="64"/>
      <c r="B26" s="34" t="s">
        <v>298</v>
      </c>
      <c r="C26" s="35"/>
      <c r="D26" s="36"/>
      <c r="E26" s="37"/>
      <c r="F26" s="37"/>
      <c r="G26" s="38"/>
      <c r="H26" s="28"/>
      <c r="I26" s="30"/>
      <c r="J26" s="30"/>
      <c r="K26" s="30"/>
      <c r="L26" s="30"/>
      <c r="M26" s="33"/>
    </row>
    <row r="27" spans="1:16" ht="13.5" customHeight="1" x14ac:dyDescent="0.3">
      <c r="A27" s="63">
        <v>13</v>
      </c>
      <c r="B27" s="23" t="s">
        <v>299</v>
      </c>
      <c r="C27" s="24"/>
      <c r="D27" s="47"/>
      <c r="E27" s="47"/>
      <c r="F27" s="47"/>
      <c r="G27" s="47"/>
      <c r="H27" s="40">
        <v>12</v>
      </c>
      <c r="I27" s="12">
        <f>SUM(H27)+0.6</f>
        <v>12.6</v>
      </c>
      <c r="J27" s="12">
        <f>SUM(I27)+0.6</f>
        <v>13.2</v>
      </c>
      <c r="K27" s="12"/>
      <c r="L27" s="12"/>
      <c r="M27" s="14"/>
    </row>
    <row r="28" spans="1:16" ht="13.5" customHeight="1" x14ac:dyDescent="0.3">
      <c r="A28" s="64"/>
      <c r="B28" s="34" t="s">
        <v>301</v>
      </c>
      <c r="C28" s="35"/>
      <c r="D28" s="36" t="s">
        <v>300</v>
      </c>
      <c r="E28" s="37"/>
      <c r="F28" s="37"/>
      <c r="G28" s="38"/>
      <c r="H28" s="28"/>
      <c r="I28" s="30"/>
      <c r="J28" s="30"/>
      <c r="K28" s="30"/>
      <c r="L28" s="30"/>
      <c r="M28" s="33"/>
    </row>
    <row r="29" spans="1:16" s="2" customFormat="1" ht="13.5" customHeight="1" x14ac:dyDescent="0.3">
      <c r="A29" s="63">
        <v>14</v>
      </c>
      <c r="B29" s="23" t="s">
        <v>97</v>
      </c>
      <c r="C29" s="24"/>
      <c r="D29" s="25"/>
      <c r="E29" s="26"/>
      <c r="F29" s="26"/>
      <c r="G29" s="27"/>
      <c r="H29" s="40">
        <v>47.5</v>
      </c>
      <c r="I29" s="12">
        <v>50</v>
      </c>
      <c r="J29" s="12">
        <v>53</v>
      </c>
      <c r="K29" s="12"/>
      <c r="L29" s="32"/>
      <c r="M29" s="42"/>
    </row>
    <row r="30" spans="1:16" s="2" customFormat="1" ht="13.5" customHeight="1" x14ac:dyDescent="0.3">
      <c r="A30" s="64"/>
      <c r="B30" s="54" t="s">
        <v>96</v>
      </c>
      <c r="C30" s="55"/>
      <c r="D30" s="56" t="s">
        <v>162</v>
      </c>
      <c r="E30" s="57"/>
      <c r="F30" s="57"/>
      <c r="G30" s="58"/>
      <c r="H30" s="76"/>
      <c r="I30" s="74"/>
      <c r="J30" s="74"/>
      <c r="K30" s="74"/>
      <c r="L30" s="12"/>
      <c r="M30" s="42"/>
    </row>
    <row r="31" spans="1:16" s="2" customFormat="1" ht="13.5" customHeight="1" x14ac:dyDescent="0.3">
      <c r="A31" s="63">
        <v>15</v>
      </c>
      <c r="B31" s="23" t="s">
        <v>302</v>
      </c>
      <c r="C31" s="24"/>
      <c r="D31" s="45" t="s">
        <v>303</v>
      </c>
      <c r="E31" s="45"/>
      <c r="F31" s="45"/>
      <c r="G31" s="45"/>
      <c r="H31" s="40">
        <v>8</v>
      </c>
      <c r="I31" s="12">
        <f>SUM(H31)+0.2</f>
        <v>8.1999999999999993</v>
      </c>
      <c r="J31" s="12">
        <f>SUM(I31)+0.2</f>
        <v>8.3999999999999986</v>
      </c>
      <c r="K31" s="12"/>
      <c r="L31" s="12"/>
      <c r="M31" s="14"/>
    </row>
    <row r="32" spans="1:16" s="2" customFormat="1" ht="13.5" customHeight="1" x14ac:dyDescent="0.3">
      <c r="A32" s="64"/>
      <c r="B32" s="41" t="s">
        <v>304</v>
      </c>
      <c r="C32" s="41"/>
      <c r="D32" s="36" t="s">
        <v>305</v>
      </c>
      <c r="E32" s="37"/>
      <c r="F32" s="37"/>
      <c r="G32" s="38"/>
      <c r="H32" s="28"/>
      <c r="I32" s="30"/>
      <c r="J32" s="30"/>
      <c r="K32" s="30"/>
      <c r="L32" s="30"/>
      <c r="M32" s="33"/>
    </row>
    <row r="33" spans="1:13" s="2" customFormat="1" ht="13.5" customHeight="1" x14ac:dyDescent="0.3">
      <c r="A33" s="63">
        <v>16</v>
      </c>
      <c r="B33" s="23" t="s">
        <v>207</v>
      </c>
      <c r="C33" s="24"/>
      <c r="D33" s="25"/>
      <c r="E33" s="26"/>
      <c r="F33" s="26"/>
      <c r="G33" s="27"/>
      <c r="H33" s="40">
        <v>82</v>
      </c>
      <c r="I33" s="12">
        <f>SUM(H33)+4.2</f>
        <v>86.2</v>
      </c>
      <c r="J33" s="12">
        <f>SUM(I33)+4.2</f>
        <v>90.4</v>
      </c>
      <c r="K33" s="12"/>
      <c r="L33" s="12"/>
      <c r="M33" s="14"/>
    </row>
    <row r="34" spans="1:13" s="2" customFormat="1" ht="13.5" customHeight="1" x14ac:dyDescent="0.3">
      <c r="A34" s="64"/>
      <c r="B34" s="34" t="s">
        <v>208</v>
      </c>
      <c r="C34" s="35"/>
      <c r="D34" s="36" t="s">
        <v>210</v>
      </c>
      <c r="E34" s="37"/>
      <c r="F34" s="37"/>
      <c r="G34" s="38"/>
      <c r="H34" s="28"/>
      <c r="I34" s="30"/>
      <c r="J34" s="30"/>
      <c r="K34" s="30"/>
      <c r="L34" s="30"/>
      <c r="M34" s="33"/>
    </row>
    <row r="35" spans="1:13" s="2" customFormat="1" ht="13.5" customHeight="1" x14ac:dyDescent="0.3">
      <c r="A35" s="63">
        <v>17</v>
      </c>
      <c r="B35" s="23" t="s">
        <v>39</v>
      </c>
      <c r="C35" s="24"/>
      <c r="D35" s="25"/>
      <c r="E35" s="26"/>
      <c r="F35" s="26"/>
      <c r="G35" s="27"/>
      <c r="H35" s="40">
        <v>8.5</v>
      </c>
      <c r="I35" s="12">
        <f>SUM(H35)+0.8</f>
        <v>9.3000000000000007</v>
      </c>
      <c r="J35" s="12">
        <f>SUM(I35)+0.8</f>
        <v>10.100000000000001</v>
      </c>
      <c r="K35" s="12"/>
      <c r="L35" s="12"/>
      <c r="M35" s="14"/>
    </row>
    <row r="36" spans="1:13" s="2" customFormat="1" ht="13.5" customHeight="1" x14ac:dyDescent="0.3">
      <c r="A36" s="64"/>
      <c r="B36" s="34" t="s">
        <v>40</v>
      </c>
      <c r="C36" s="35"/>
      <c r="D36" s="36" t="s">
        <v>245</v>
      </c>
      <c r="E36" s="37"/>
      <c r="F36" s="37"/>
      <c r="G36" s="38"/>
      <c r="H36" s="28"/>
      <c r="I36" s="30"/>
      <c r="J36" s="30"/>
      <c r="K36" s="30"/>
      <c r="L36" s="30"/>
      <c r="M36" s="33"/>
    </row>
    <row r="37" spans="1:13" s="2" customFormat="1" ht="13.5" customHeight="1" x14ac:dyDescent="0.3">
      <c r="A37" s="63">
        <v>18</v>
      </c>
      <c r="B37" s="23"/>
      <c r="C37" s="24"/>
      <c r="D37" s="25"/>
      <c r="E37" s="26"/>
      <c r="F37" s="26"/>
      <c r="G37" s="27"/>
      <c r="H37" s="40"/>
      <c r="I37" s="12"/>
      <c r="J37" s="12"/>
      <c r="K37" s="12"/>
      <c r="L37" s="12"/>
      <c r="M37" s="14"/>
    </row>
    <row r="38" spans="1:13" s="2" customFormat="1" ht="13.5" customHeight="1" thickBot="1" x14ac:dyDescent="0.35">
      <c r="A38" s="67"/>
      <c r="B38" s="16"/>
      <c r="C38" s="17"/>
      <c r="D38" s="18"/>
      <c r="E38" s="19"/>
      <c r="F38" s="19"/>
      <c r="G38" s="20"/>
      <c r="H38" s="77"/>
      <c r="I38" s="13"/>
      <c r="J38" s="13"/>
      <c r="K38" s="13"/>
      <c r="L38" s="13"/>
      <c r="M38" s="15"/>
    </row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0DAB-980F-4E5B-B2A6-A07285205630}">
  <sheetPr>
    <tabColor theme="7"/>
    <pageSetUpPr fitToPage="1"/>
  </sheetPr>
  <dimension ref="A1:M51"/>
  <sheetViews>
    <sheetView zoomScale="110" zoomScaleNormal="110" workbookViewId="0">
      <selection sqref="A1:M4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158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103" t="s">
        <v>117</v>
      </c>
      <c r="C3" s="104"/>
      <c r="D3" s="71" t="s">
        <v>75</v>
      </c>
      <c r="E3" s="105"/>
      <c r="F3" s="105"/>
      <c r="G3" s="106"/>
      <c r="H3" s="107">
        <v>64</v>
      </c>
      <c r="I3" s="61">
        <f>SUM(H3)+2.5</f>
        <v>66.5</v>
      </c>
      <c r="J3" s="61">
        <f>SUM(I3)+2.5</f>
        <v>69</v>
      </c>
      <c r="K3" s="61"/>
      <c r="L3" s="61"/>
      <c r="M3" s="62"/>
    </row>
    <row r="4" spans="1:13" s="2" customFormat="1" ht="14.1" customHeight="1" x14ac:dyDescent="0.3">
      <c r="A4" s="84"/>
      <c r="B4" s="85" t="s">
        <v>116</v>
      </c>
      <c r="C4" s="86"/>
      <c r="D4" s="87" t="s">
        <v>74</v>
      </c>
      <c r="E4" s="88"/>
      <c r="F4" s="88"/>
      <c r="G4" s="89"/>
      <c r="H4" s="28"/>
      <c r="I4" s="30"/>
      <c r="J4" s="30"/>
      <c r="K4" s="30"/>
      <c r="L4" s="30"/>
      <c r="M4" s="33"/>
    </row>
    <row r="5" spans="1:13" s="2" customFormat="1" ht="14.1" customHeight="1" x14ac:dyDescent="0.3">
      <c r="A5" s="80">
        <v>2</v>
      </c>
      <c r="B5" s="54" t="s">
        <v>115</v>
      </c>
      <c r="C5" s="55"/>
      <c r="D5" s="56"/>
      <c r="E5" s="57"/>
      <c r="F5" s="57"/>
      <c r="G5" s="58"/>
      <c r="H5" s="76"/>
      <c r="I5" s="74"/>
      <c r="J5" s="74"/>
      <c r="K5" s="74"/>
      <c r="L5" s="74"/>
      <c r="M5" s="75"/>
    </row>
    <row r="6" spans="1:13" s="2" customFormat="1" ht="14.1" customHeight="1" x14ac:dyDescent="0.3">
      <c r="A6" s="84"/>
      <c r="B6" s="85" t="s">
        <v>114</v>
      </c>
      <c r="C6" s="86"/>
      <c r="D6" s="87"/>
      <c r="E6" s="88"/>
      <c r="F6" s="88"/>
      <c r="G6" s="89"/>
      <c r="H6" s="28"/>
      <c r="I6" s="30"/>
      <c r="J6" s="30"/>
      <c r="K6" s="30"/>
      <c r="L6" s="30"/>
      <c r="M6" s="33"/>
    </row>
    <row r="7" spans="1:13" s="2" customFormat="1" ht="14.1" customHeight="1" x14ac:dyDescent="0.3">
      <c r="A7" s="80">
        <v>3</v>
      </c>
      <c r="B7" s="54" t="s">
        <v>73</v>
      </c>
      <c r="C7" s="55"/>
      <c r="D7" s="56"/>
      <c r="E7" s="57"/>
      <c r="F7" s="57"/>
      <c r="G7" s="58"/>
      <c r="H7" s="76"/>
      <c r="I7" s="74"/>
      <c r="J7" s="74"/>
      <c r="K7" s="74"/>
      <c r="L7" s="74"/>
      <c r="M7" s="75"/>
    </row>
    <row r="8" spans="1:13" s="2" customFormat="1" ht="14.1" customHeight="1" x14ac:dyDescent="0.3">
      <c r="A8" s="84"/>
      <c r="B8" s="85" t="s">
        <v>113</v>
      </c>
      <c r="C8" s="86"/>
      <c r="D8" s="87"/>
      <c r="E8" s="88"/>
      <c r="F8" s="88"/>
      <c r="G8" s="89"/>
      <c r="H8" s="28"/>
      <c r="I8" s="30"/>
      <c r="J8" s="30"/>
      <c r="K8" s="30"/>
      <c r="L8" s="30"/>
      <c r="M8" s="33"/>
    </row>
    <row r="9" spans="1:13" s="2" customFormat="1" ht="14.1" customHeight="1" x14ac:dyDescent="0.3">
      <c r="A9" s="80">
        <v>4</v>
      </c>
      <c r="B9" s="23" t="s">
        <v>112</v>
      </c>
      <c r="C9" s="24"/>
      <c r="D9" s="99"/>
      <c r="E9" s="100"/>
      <c r="F9" s="100"/>
      <c r="G9" s="101"/>
      <c r="H9" s="76"/>
      <c r="I9" s="74"/>
      <c r="J9" s="74"/>
      <c r="K9" s="74"/>
      <c r="L9" s="74"/>
      <c r="M9" s="75"/>
    </row>
    <row r="10" spans="1:13" s="2" customFormat="1" ht="14.1" customHeight="1" x14ac:dyDescent="0.3">
      <c r="A10" s="84"/>
      <c r="B10" s="85" t="s">
        <v>111</v>
      </c>
      <c r="C10" s="86"/>
      <c r="D10" s="96"/>
      <c r="E10" s="97"/>
      <c r="F10" s="97"/>
      <c r="G10" s="98"/>
      <c r="H10" s="28"/>
      <c r="I10" s="30"/>
      <c r="J10" s="30"/>
      <c r="K10" s="30"/>
      <c r="L10" s="30"/>
      <c r="M10" s="33"/>
    </row>
    <row r="11" spans="1:13" s="2" customFormat="1" ht="14.1" customHeight="1" x14ac:dyDescent="0.3">
      <c r="A11" s="80">
        <v>5</v>
      </c>
      <c r="B11" s="23" t="s">
        <v>85</v>
      </c>
      <c r="C11" s="24"/>
      <c r="D11" s="56"/>
      <c r="E11" s="57"/>
      <c r="F11" s="57"/>
      <c r="G11" s="58"/>
      <c r="H11" s="76">
        <v>96.4</v>
      </c>
      <c r="I11" s="74">
        <f>SUM(H11)+4.5</f>
        <v>100.9</v>
      </c>
      <c r="J11" s="74">
        <f>SUM(I11)+4.5</f>
        <v>105.4</v>
      </c>
      <c r="K11" s="74"/>
      <c r="L11" s="74"/>
      <c r="M11" s="75"/>
    </row>
    <row r="12" spans="1:13" s="2" customFormat="1" ht="14.1" customHeight="1" x14ac:dyDescent="0.3">
      <c r="A12" s="84"/>
      <c r="B12" s="85" t="s">
        <v>110</v>
      </c>
      <c r="C12" s="86"/>
      <c r="D12" s="87"/>
      <c r="E12" s="88"/>
      <c r="F12" s="88"/>
      <c r="G12" s="89"/>
      <c r="H12" s="28"/>
      <c r="I12" s="30"/>
      <c r="J12" s="30"/>
      <c r="K12" s="30"/>
      <c r="L12" s="30"/>
      <c r="M12" s="33"/>
    </row>
    <row r="13" spans="1:13" s="2" customFormat="1" ht="14.1" customHeight="1" x14ac:dyDescent="0.3">
      <c r="A13" s="80">
        <v>6</v>
      </c>
      <c r="B13" s="23" t="s">
        <v>41</v>
      </c>
      <c r="C13" s="24"/>
      <c r="D13" s="44" t="s">
        <v>118</v>
      </c>
      <c r="E13" s="45"/>
      <c r="F13" s="45"/>
      <c r="G13" s="46"/>
      <c r="H13" s="40">
        <v>105.4</v>
      </c>
      <c r="I13" s="12">
        <f>SUM(H13)+5</f>
        <v>110.4</v>
      </c>
      <c r="J13" s="12">
        <f>SUM(I13)+5</f>
        <v>115.4</v>
      </c>
      <c r="K13" s="12"/>
      <c r="L13" s="12"/>
      <c r="M13" s="14"/>
    </row>
    <row r="14" spans="1:13" s="2" customFormat="1" ht="14.1" customHeight="1" x14ac:dyDescent="0.3">
      <c r="A14" s="84"/>
      <c r="B14" s="85" t="s">
        <v>42</v>
      </c>
      <c r="C14" s="86"/>
      <c r="D14" s="87" t="s">
        <v>76</v>
      </c>
      <c r="E14" s="88"/>
      <c r="F14" s="88"/>
      <c r="G14" s="89"/>
      <c r="H14" s="28"/>
      <c r="I14" s="30"/>
      <c r="J14" s="30"/>
      <c r="K14" s="30"/>
      <c r="L14" s="30"/>
      <c r="M14" s="33"/>
    </row>
    <row r="15" spans="1:13" s="2" customFormat="1" ht="14.1" customHeight="1" x14ac:dyDescent="0.3">
      <c r="A15" s="80">
        <v>7</v>
      </c>
      <c r="B15" s="23" t="s">
        <v>109</v>
      </c>
      <c r="C15" s="24"/>
      <c r="D15" s="44"/>
      <c r="E15" s="45"/>
      <c r="F15" s="45"/>
      <c r="G15" s="46"/>
      <c r="H15" s="40">
        <v>19.399999999999999</v>
      </c>
      <c r="I15" s="12">
        <f>SUM(H15)+0.7</f>
        <v>20.099999999999998</v>
      </c>
      <c r="J15" s="12">
        <f>SUM(I15)+0.7</f>
        <v>20.799999999999997</v>
      </c>
      <c r="K15" s="12"/>
      <c r="L15" s="43"/>
      <c r="M15" s="90"/>
    </row>
    <row r="16" spans="1:13" s="2" customFormat="1" ht="14.1" customHeight="1" x14ac:dyDescent="0.3">
      <c r="A16" s="84"/>
      <c r="B16" s="85" t="s">
        <v>108</v>
      </c>
      <c r="C16" s="86"/>
      <c r="D16" s="93" t="s">
        <v>107</v>
      </c>
      <c r="E16" s="94"/>
      <c r="F16" s="94"/>
      <c r="G16" s="95"/>
      <c r="H16" s="28"/>
      <c r="I16" s="30"/>
      <c r="J16" s="30"/>
      <c r="K16" s="30"/>
      <c r="L16" s="41"/>
      <c r="M16" s="91"/>
    </row>
    <row r="17" spans="1:13" s="2" customFormat="1" ht="14.1" customHeight="1" x14ac:dyDescent="0.3">
      <c r="A17" s="80">
        <v>8</v>
      </c>
      <c r="B17" s="23" t="s">
        <v>106</v>
      </c>
      <c r="C17" s="24"/>
      <c r="D17" s="44"/>
      <c r="E17" s="45"/>
      <c r="F17" s="45"/>
      <c r="G17" s="46"/>
      <c r="H17" s="40"/>
      <c r="I17" s="12"/>
      <c r="J17" s="12"/>
      <c r="K17" s="12"/>
      <c r="L17" s="43"/>
      <c r="M17" s="90"/>
    </row>
    <row r="18" spans="1:13" s="2" customFormat="1" ht="14.1" customHeight="1" x14ac:dyDescent="0.3">
      <c r="A18" s="84"/>
      <c r="B18" s="85" t="s">
        <v>105</v>
      </c>
      <c r="C18" s="86"/>
      <c r="D18" s="93" t="s">
        <v>104</v>
      </c>
      <c r="E18" s="94"/>
      <c r="F18" s="94"/>
      <c r="G18" s="95"/>
      <c r="H18" s="28"/>
      <c r="I18" s="30"/>
      <c r="J18" s="30"/>
      <c r="K18" s="30"/>
      <c r="L18" s="41"/>
      <c r="M18" s="91"/>
    </row>
    <row r="19" spans="1:13" s="2" customFormat="1" ht="14.1" customHeight="1" x14ac:dyDescent="0.3">
      <c r="A19" s="80">
        <v>9</v>
      </c>
      <c r="B19" s="23" t="s">
        <v>43</v>
      </c>
      <c r="C19" s="24"/>
      <c r="D19" s="44" t="s">
        <v>72</v>
      </c>
      <c r="E19" s="45"/>
      <c r="F19" s="45"/>
      <c r="G19" s="46"/>
      <c r="H19" s="40">
        <v>94.1</v>
      </c>
      <c r="I19" s="12">
        <f>SUM(H19)+4</f>
        <v>98.1</v>
      </c>
      <c r="J19" s="12">
        <f>SUM(I19)+4</f>
        <v>102.1</v>
      </c>
      <c r="K19" s="12"/>
      <c r="L19" s="12"/>
      <c r="M19" s="14"/>
    </row>
    <row r="20" spans="1:13" s="2" customFormat="1" ht="14.1" customHeight="1" x14ac:dyDescent="0.3">
      <c r="A20" s="84"/>
      <c r="B20" s="85" t="s">
        <v>44</v>
      </c>
      <c r="C20" s="86"/>
      <c r="D20" s="87" t="s">
        <v>71</v>
      </c>
      <c r="E20" s="88"/>
      <c r="F20" s="88"/>
      <c r="G20" s="89"/>
      <c r="H20" s="28"/>
      <c r="I20" s="30"/>
      <c r="J20" s="30"/>
      <c r="K20" s="30"/>
      <c r="L20" s="30"/>
      <c r="M20" s="33"/>
    </row>
    <row r="21" spans="1:13" s="2" customFormat="1" ht="14.1" customHeight="1" x14ac:dyDescent="0.3">
      <c r="A21" s="80">
        <v>10</v>
      </c>
      <c r="B21" s="23" t="s">
        <v>84</v>
      </c>
      <c r="C21" s="24"/>
      <c r="D21" s="44" t="s">
        <v>83</v>
      </c>
      <c r="E21" s="45"/>
      <c r="F21" s="45"/>
      <c r="G21" s="46"/>
      <c r="H21" s="40">
        <v>56</v>
      </c>
      <c r="I21" s="12">
        <f>SUM(H21)+2.5</f>
        <v>58.5</v>
      </c>
      <c r="J21" s="12">
        <f>SUM(I21)+2.5</f>
        <v>61</v>
      </c>
      <c r="K21" s="12"/>
      <c r="L21" s="12"/>
      <c r="M21" s="14"/>
    </row>
    <row r="22" spans="1:13" s="2" customFormat="1" ht="14.1" customHeight="1" x14ac:dyDescent="0.3">
      <c r="A22" s="84"/>
      <c r="B22" s="85" t="s">
        <v>82</v>
      </c>
      <c r="C22" s="86"/>
      <c r="D22" s="36" t="s">
        <v>81</v>
      </c>
      <c r="E22" s="37"/>
      <c r="F22" s="37"/>
      <c r="G22" s="38"/>
      <c r="H22" s="28"/>
      <c r="I22" s="30"/>
      <c r="J22" s="30"/>
      <c r="K22" s="30"/>
      <c r="L22" s="30"/>
      <c r="M22" s="33"/>
    </row>
    <row r="23" spans="1:13" s="2" customFormat="1" ht="14.1" customHeight="1" x14ac:dyDescent="0.3">
      <c r="A23" s="80">
        <v>11</v>
      </c>
      <c r="B23" s="54" t="s">
        <v>149</v>
      </c>
      <c r="C23" s="55"/>
      <c r="D23" s="81"/>
      <c r="E23" s="82"/>
      <c r="F23" s="82"/>
      <c r="G23" s="83"/>
      <c r="H23" s="40">
        <v>68</v>
      </c>
      <c r="I23" s="12">
        <f>SUM(H23)+2.5</f>
        <v>70.5</v>
      </c>
      <c r="J23" s="12">
        <f>SUM(I23)+2.5</f>
        <v>73</v>
      </c>
      <c r="K23" s="74"/>
      <c r="L23" s="74"/>
      <c r="M23" s="75"/>
    </row>
    <row r="24" spans="1:13" s="2" customFormat="1" ht="14.1" customHeight="1" x14ac:dyDescent="0.3">
      <c r="A24" s="84"/>
      <c r="B24" s="54" t="s">
        <v>150</v>
      </c>
      <c r="C24" s="55"/>
      <c r="D24" s="92" t="s">
        <v>159</v>
      </c>
      <c r="E24" s="57"/>
      <c r="F24" s="57"/>
      <c r="G24" s="58"/>
      <c r="H24" s="28"/>
      <c r="I24" s="30"/>
      <c r="J24" s="30"/>
      <c r="K24" s="74"/>
      <c r="L24" s="74"/>
      <c r="M24" s="75"/>
    </row>
    <row r="25" spans="1:13" s="2" customFormat="1" ht="14.1" customHeight="1" x14ac:dyDescent="0.3">
      <c r="A25" s="80">
        <v>12</v>
      </c>
      <c r="B25" s="23" t="s">
        <v>45</v>
      </c>
      <c r="C25" s="24"/>
      <c r="D25" s="44" t="s">
        <v>46</v>
      </c>
      <c r="E25" s="45"/>
      <c r="F25" s="45"/>
      <c r="G25" s="46"/>
      <c r="H25" s="40">
        <v>30.1</v>
      </c>
      <c r="I25" s="12">
        <f>SUM(H25)+1.1</f>
        <v>31.200000000000003</v>
      </c>
      <c r="J25" s="12">
        <f>SUM(I25)+1.1</f>
        <v>32.300000000000004</v>
      </c>
      <c r="K25" s="12"/>
      <c r="L25" s="43"/>
      <c r="M25" s="90"/>
    </row>
    <row r="26" spans="1:13" s="2" customFormat="1" ht="14.1" customHeight="1" x14ac:dyDescent="0.3">
      <c r="A26" s="84"/>
      <c r="B26" s="85" t="s">
        <v>47</v>
      </c>
      <c r="C26" s="86"/>
      <c r="D26" s="87" t="s">
        <v>70</v>
      </c>
      <c r="E26" s="88"/>
      <c r="F26" s="88"/>
      <c r="G26" s="89"/>
      <c r="H26" s="28"/>
      <c r="I26" s="30"/>
      <c r="J26" s="30"/>
      <c r="K26" s="30"/>
      <c r="L26" s="41"/>
      <c r="M26" s="91"/>
    </row>
    <row r="27" spans="1:13" s="2" customFormat="1" ht="14.1" customHeight="1" x14ac:dyDescent="0.3">
      <c r="A27" s="80">
        <v>13</v>
      </c>
      <c r="B27" s="23" t="s">
        <v>48</v>
      </c>
      <c r="C27" s="24"/>
      <c r="D27" s="44" t="s">
        <v>46</v>
      </c>
      <c r="E27" s="45"/>
      <c r="F27" s="45"/>
      <c r="G27" s="46"/>
      <c r="H27" s="40">
        <v>38.799999999999997</v>
      </c>
      <c r="I27" s="12">
        <f>SUM(H27)+1.3</f>
        <v>40.099999999999994</v>
      </c>
      <c r="J27" s="12">
        <f>SUM(I27)+1.3</f>
        <v>41.399999999999991</v>
      </c>
      <c r="K27" s="12"/>
      <c r="L27" s="43"/>
      <c r="M27" s="90"/>
    </row>
    <row r="28" spans="1:13" s="2" customFormat="1" ht="14.1" customHeight="1" x14ac:dyDescent="0.3">
      <c r="A28" s="84"/>
      <c r="B28" s="85" t="s">
        <v>49</v>
      </c>
      <c r="C28" s="86"/>
      <c r="D28" s="87" t="s">
        <v>70</v>
      </c>
      <c r="E28" s="88"/>
      <c r="F28" s="88"/>
      <c r="G28" s="89"/>
      <c r="H28" s="28"/>
      <c r="I28" s="30"/>
      <c r="J28" s="30"/>
      <c r="K28" s="30"/>
      <c r="L28" s="41"/>
      <c r="M28" s="91"/>
    </row>
    <row r="29" spans="1:13" s="2" customFormat="1" ht="14.1" customHeight="1" x14ac:dyDescent="0.3">
      <c r="A29" s="80">
        <v>14</v>
      </c>
      <c r="B29" s="23" t="s">
        <v>50</v>
      </c>
      <c r="C29" s="24"/>
      <c r="D29" s="44" t="s">
        <v>51</v>
      </c>
      <c r="E29" s="45"/>
      <c r="F29" s="45"/>
      <c r="G29" s="46"/>
      <c r="H29" s="40">
        <v>74.3</v>
      </c>
      <c r="I29" s="12">
        <f>SUM(H29)+3.2</f>
        <v>77.5</v>
      </c>
      <c r="J29" s="12">
        <f>SUM(I29)+3.2</f>
        <v>80.7</v>
      </c>
      <c r="K29" s="12"/>
      <c r="L29" s="12"/>
      <c r="M29" s="14"/>
    </row>
    <row r="30" spans="1:13" s="2" customFormat="1" ht="14.1" customHeight="1" x14ac:dyDescent="0.3">
      <c r="A30" s="84"/>
      <c r="B30" s="85" t="s">
        <v>52</v>
      </c>
      <c r="C30" s="86"/>
      <c r="D30" s="87" t="s">
        <v>69</v>
      </c>
      <c r="E30" s="88"/>
      <c r="F30" s="88"/>
      <c r="G30" s="89"/>
      <c r="H30" s="28"/>
      <c r="I30" s="30"/>
      <c r="J30" s="30"/>
      <c r="K30" s="30"/>
      <c r="L30" s="30"/>
      <c r="M30" s="33"/>
    </row>
    <row r="31" spans="1:13" s="2" customFormat="1" ht="14.1" customHeight="1" x14ac:dyDescent="0.3">
      <c r="A31" s="80">
        <v>15</v>
      </c>
      <c r="B31" s="23" t="s">
        <v>53</v>
      </c>
      <c r="C31" s="24"/>
      <c r="D31" s="44" t="s">
        <v>54</v>
      </c>
      <c r="E31" s="45"/>
      <c r="F31" s="45"/>
      <c r="G31" s="46"/>
      <c r="H31" s="40">
        <v>65.599999999999994</v>
      </c>
      <c r="I31" s="12">
        <f>SUM(H31)+3</f>
        <v>68.599999999999994</v>
      </c>
      <c r="J31" s="12">
        <f>SUM(I31)+3</f>
        <v>71.599999999999994</v>
      </c>
      <c r="K31" s="12"/>
      <c r="L31" s="12"/>
      <c r="M31" s="14"/>
    </row>
    <row r="32" spans="1:13" s="2" customFormat="1" ht="14.1" customHeight="1" x14ac:dyDescent="0.3">
      <c r="A32" s="84"/>
      <c r="B32" s="85" t="s">
        <v>55</v>
      </c>
      <c r="C32" s="86"/>
      <c r="D32" s="87" t="s">
        <v>68</v>
      </c>
      <c r="E32" s="88"/>
      <c r="F32" s="88"/>
      <c r="G32" s="89"/>
      <c r="H32" s="28"/>
      <c r="I32" s="30"/>
      <c r="J32" s="30"/>
      <c r="K32" s="30"/>
      <c r="L32" s="30"/>
      <c r="M32" s="33"/>
    </row>
    <row r="33" spans="1:13" s="2" customFormat="1" ht="14.1" customHeight="1" x14ac:dyDescent="0.3">
      <c r="A33" s="80">
        <v>16</v>
      </c>
      <c r="B33" s="23" t="s">
        <v>67</v>
      </c>
      <c r="C33" s="24"/>
      <c r="D33" s="44" t="s">
        <v>65</v>
      </c>
      <c r="E33" s="45"/>
      <c r="F33" s="45"/>
      <c r="G33" s="46"/>
      <c r="H33" s="40">
        <v>62.2</v>
      </c>
      <c r="I33" s="12">
        <f>SUM(H33)+2.8</f>
        <v>65</v>
      </c>
      <c r="J33" s="12">
        <f>SUM(I33)+2.8</f>
        <v>67.8</v>
      </c>
      <c r="K33" s="12"/>
      <c r="L33" s="12"/>
      <c r="M33" s="14"/>
    </row>
    <row r="34" spans="1:13" s="2" customFormat="1" ht="14.1" customHeight="1" x14ac:dyDescent="0.3">
      <c r="A34" s="84"/>
      <c r="B34" s="85" t="s">
        <v>66</v>
      </c>
      <c r="C34" s="86"/>
      <c r="D34" s="87" t="s">
        <v>65</v>
      </c>
      <c r="E34" s="88"/>
      <c r="F34" s="88"/>
      <c r="G34" s="89"/>
      <c r="H34" s="28"/>
      <c r="I34" s="30"/>
      <c r="J34" s="30"/>
      <c r="K34" s="30"/>
      <c r="L34" s="30"/>
      <c r="M34" s="33"/>
    </row>
    <row r="35" spans="1:13" s="2" customFormat="1" ht="14.1" customHeight="1" x14ac:dyDescent="0.3">
      <c r="A35" s="80">
        <v>17</v>
      </c>
      <c r="B35" s="23" t="s">
        <v>103</v>
      </c>
      <c r="C35" s="24"/>
      <c r="D35" s="44" t="s">
        <v>102</v>
      </c>
      <c r="E35" s="45"/>
      <c r="F35" s="45"/>
      <c r="G35" s="46"/>
      <c r="H35" s="40">
        <v>55.2</v>
      </c>
      <c r="I35" s="12">
        <f>SUM(H35)+2.2</f>
        <v>57.400000000000006</v>
      </c>
      <c r="J35" s="12">
        <f>SUM(I35)+2.2</f>
        <v>59.600000000000009</v>
      </c>
      <c r="K35" s="12"/>
      <c r="L35" s="12"/>
      <c r="M35" s="14"/>
    </row>
    <row r="36" spans="1:13" s="2" customFormat="1" ht="14.1" customHeight="1" x14ac:dyDescent="0.3">
      <c r="A36" s="84"/>
      <c r="B36" s="85" t="s">
        <v>101</v>
      </c>
      <c r="C36" s="86"/>
      <c r="D36" s="87" t="s">
        <v>100</v>
      </c>
      <c r="E36" s="88"/>
      <c r="F36" s="88"/>
      <c r="G36" s="89"/>
      <c r="H36" s="28"/>
      <c r="I36" s="30"/>
      <c r="J36" s="30"/>
      <c r="K36" s="30"/>
      <c r="L36" s="30"/>
      <c r="M36" s="33"/>
    </row>
    <row r="37" spans="1:13" ht="14.1" customHeight="1" x14ac:dyDescent="0.3">
      <c r="A37" s="80">
        <v>18</v>
      </c>
      <c r="B37" s="23" t="s">
        <v>126</v>
      </c>
      <c r="C37" s="24"/>
      <c r="D37" s="44" t="s">
        <v>125</v>
      </c>
      <c r="E37" s="45"/>
      <c r="F37" s="45"/>
      <c r="G37" s="46"/>
      <c r="H37" s="39">
        <v>4.5</v>
      </c>
      <c r="I37" s="48">
        <f>SUM(H37)+0.2</f>
        <v>4.7</v>
      </c>
      <c r="J37" s="48">
        <f>SUM(I37)+0.2</f>
        <v>4.9000000000000004</v>
      </c>
      <c r="K37" s="12"/>
      <c r="L37" s="12"/>
      <c r="M37" s="14"/>
    </row>
    <row r="38" spans="1:13" ht="14.1" customHeight="1" x14ac:dyDescent="0.3">
      <c r="A38" s="84"/>
      <c r="B38" s="85" t="s">
        <v>124</v>
      </c>
      <c r="C38" s="86"/>
      <c r="D38" s="87" t="s">
        <v>123</v>
      </c>
      <c r="E38" s="88"/>
      <c r="F38" s="88"/>
      <c r="G38" s="89"/>
      <c r="H38" s="39"/>
      <c r="I38" s="48"/>
      <c r="J38" s="48"/>
      <c r="K38" s="30"/>
      <c r="L38" s="30"/>
      <c r="M38" s="33"/>
    </row>
    <row r="39" spans="1:13" ht="14.1" customHeight="1" x14ac:dyDescent="0.3">
      <c r="A39" s="80">
        <v>19</v>
      </c>
      <c r="B39" s="23" t="s">
        <v>122</v>
      </c>
      <c r="C39" s="24"/>
      <c r="D39" s="44" t="s">
        <v>121</v>
      </c>
      <c r="E39" s="45"/>
      <c r="F39" s="45"/>
      <c r="G39" s="46"/>
      <c r="H39" s="40">
        <v>12.5</v>
      </c>
      <c r="I39" s="12">
        <f>SUM(H39)+0.6</f>
        <v>13.1</v>
      </c>
      <c r="J39" s="12">
        <f>SUM(I39)+0.6</f>
        <v>13.7</v>
      </c>
      <c r="K39" s="12"/>
      <c r="L39" s="12"/>
      <c r="M39" s="14"/>
    </row>
    <row r="40" spans="1:13" ht="14.1" customHeight="1" x14ac:dyDescent="0.3">
      <c r="A40" s="84"/>
      <c r="B40" s="85" t="s">
        <v>120</v>
      </c>
      <c r="C40" s="86"/>
      <c r="D40" s="87" t="s">
        <v>119</v>
      </c>
      <c r="E40" s="88"/>
      <c r="F40" s="88"/>
      <c r="G40" s="89"/>
      <c r="H40" s="28"/>
      <c r="I40" s="30"/>
      <c r="J40" s="30"/>
      <c r="K40" s="30"/>
      <c r="L40" s="30"/>
      <c r="M40" s="33"/>
    </row>
    <row r="41" spans="1:13" s="2" customFormat="1" ht="14.1" customHeight="1" x14ac:dyDescent="0.3">
      <c r="A41" s="80">
        <v>20</v>
      </c>
      <c r="B41" s="23" t="s">
        <v>77</v>
      </c>
      <c r="C41" s="24"/>
      <c r="D41" s="47"/>
      <c r="E41" s="47"/>
      <c r="F41" s="47"/>
      <c r="G41" s="47"/>
      <c r="H41" s="40">
        <v>13.5</v>
      </c>
      <c r="I41" s="12">
        <f>SUM(H41)+0.5</f>
        <v>14</v>
      </c>
      <c r="J41" s="12">
        <f>SUM(I41)+0.5</f>
        <v>14.5</v>
      </c>
      <c r="K41" s="12"/>
      <c r="L41" s="12"/>
      <c r="M41" s="14"/>
    </row>
    <row r="42" spans="1:13" s="2" customFormat="1" ht="14.1" customHeight="1" x14ac:dyDescent="0.3">
      <c r="A42" s="84"/>
      <c r="B42" s="34" t="s">
        <v>78</v>
      </c>
      <c r="C42" s="35"/>
      <c r="D42" s="36"/>
      <c r="E42" s="37"/>
      <c r="F42" s="37"/>
      <c r="G42" s="38"/>
      <c r="H42" s="28"/>
      <c r="I42" s="30"/>
      <c r="J42" s="30"/>
      <c r="K42" s="30"/>
      <c r="L42" s="30"/>
      <c r="M42" s="33"/>
    </row>
    <row r="43" spans="1:13" s="2" customFormat="1" ht="14.1" customHeight="1" x14ac:dyDescent="0.3">
      <c r="A43" s="80">
        <v>21</v>
      </c>
      <c r="B43" s="23" t="s">
        <v>79</v>
      </c>
      <c r="C43" s="24"/>
      <c r="D43" s="47"/>
      <c r="E43" s="47"/>
      <c r="F43" s="47"/>
      <c r="G43" s="47"/>
      <c r="H43" s="40">
        <v>14</v>
      </c>
      <c r="I43" s="12">
        <f>SUM(H43)+0.5</f>
        <v>14.5</v>
      </c>
      <c r="J43" s="12">
        <f>SUM(I43)+0.5</f>
        <v>15</v>
      </c>
      <c r="K43" s="12"/>
      <c r="L43" s="12"/>
      <c r="M43" s="14"/>
    </row>
    <row r="44" spans="1:13" s="2" customFormat="1" ht="14.1" customHeight="1" x14ac:dyDescent="0.3">
      <c r="A44" s="84"/>
      <c r="B44" s="41" t="s">
        <v>80</v>
      </c>
      <c r="C44" s="41"/>
      <c r="D44" s="36"/>
      <c r="E44" s="37"/>
      <c r="F44" s="37"/>
      <c r="G44" s="38"/>
      <c r="H44" s="28"/>
      <c r="I44" s="30"/>
      <c r="J44" s="30"/>
      <c r="K44" s="30"/>
      <c r="L44" s="30"/>
      <c r="M44" s="33"/>
    </row>
    <row r="45" spans="1:13" ht="14.1" customHeight="1" x14ac:dyDescent="0.3">
      <c r="A45" s="80">
        <v>22</v>
      </c>
      <c r="B45" s="54" t="s">
        <v>99</v>
      </c>
      <c r="C45" s="55"/>
      <c r="D45" s="81"/>
      <c r="E45" s="82"/>
      <c r="F45" s="82"/>
      <c r="G45" s="83"/>
      <c r="H45" s="28">
        <v>96</v>
      </c>
      <c r="I45" s="74">
        <f>SUM(H45)+2.5</f>
        <v>98.5</v>
      </c>
      <c r="J45" s="74">
        <f>SUM(I45)+2.5</f>
        <v>101</v>
      </c>
      <c r="K45" s="74"/>
      <c r="L45" s="74"/>
      <c r="M45" s="75"/>
    </row>
    <row r="46" spans="1:13" ht="14.1" customHeight="1" x14ac:dyDescent="0.3">
      <c r="A46" s="80"/>
      <c r="B46" s="54" t="s">
        <v>98</v>
      </c>
      <c r="C46" s="55"/>
      <c r="D46" s="56" t="s">
        <v>160</v>
      </c>
      <c r="E46" s="57"/>
      <c r="F46" s="57"/>
      <c r="G46" s="58"/>
      <c r="H46" s="40"/>
      <c r="I46" s="74"/>
      <c r="J46" s="74"/>
      <c r="K46" s="74"/>
      <c r="L46" s="74"/>
      <c r="M46" s="75"/>
    </row>
    <row r="47" spans="1:13" ht="14.1" customHeight="1" x14ac:dyDescent="0.3">
      <c r="A47" s="78">
        <v>23</v>
      </c>
      <c r="B47" s="23"/>
      <c r="C47" s="24"/>
      <c r="D47" s="25"/>
      <c r="E47" s="26"/>
      <c r="F47" s="26"/>
      <c r="G47" s="27"/>
      <c r="H47" s="39"/>
      <c r="I47" s="12"/>
      <c r="J47" s="12"/>
      <c r="K47" s="12"/>
      <c r="L47" s="12"/>
      <c r="M47" s="14"/>
    </row>
    <row r="48" spans="1:13" ht="14.1" customHeight="1" thickBot="1" x14ac:dyDescent="0.35">
      <c r="A48" s="79"/>
      <c r="B48" s="16"/>
      <c r="C48" s="17"/>
      <c r="D48" s="18"/>
      <c r="E48" s="19"/>
      <c r="F48" s="19"/>
      <c r="G48" s="20"/>
      <c r="H48" s="29"/>
      <c r="I48" s="13"/>
      <c r="J48" s="13"/>
      <c r="K48" s="13"/>
      <c r="L48" s="13"/>
      <c r="M48" s="15"/>
    </row>
    <row r="49" ht="14.1" customHeight="1" x14ac:dyDescent="0.3"/>
    <row r="50" ht="14.1" customHeight="1" x14ac:dyDescent="0.3"/>
    <row r="51" ht="14.1" customHeight="1" x14ac:dyDescent="0.3"/>
  </sheetData>
  <mergeCells count="25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4D02-B543-4CF5-A0EF-3616FA84FF6F}">
  <sheetPr>
    <tabColor theme="7"/>
    <pageSetUpPr fitToPage="1"/>
  </sheetPr>
  <dimension ref="A1:M51"/>
  <sheetViews>
    <sheetView zoomScale="110" zoomScaleNormal="110" workbookViewId="0">
      <selection activeCell="H45" sqref="H45:H4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216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103" t="s">
        <v>117</v>
      </c>
      <c r="C3" s="104"/>
      <c r="D3" s="71" t="s">
        <v>75</v>
      </c>
      <c r="E3" s="105"/>
      <c r="F3" s="105"/>
      <c r="G3" s="106"/>
      <c r="H3" s="107">
        <v>62</v>
      </c>
      <c r="I3" s="61">
        <f>SUM(H3)+2.5</f>
        <v>64.5</v>
      </c>
      <c r="J3" s="61">
        <f>SUM(I3)+2.5</f>
        <v>67</v>
      </c>
      <c r="K3" s="61"/>
      <c r="L3" s="61"/>
      <c r="M3" s="62"/>
    </row>
    <row r="4" spans="1:13" s="2" customFormat="1" ht="14.1" customHeight="1" x14ac:dyDescent="0.3">
      <c r="A4" s="84"/>
      <c r="B4" s="85" t="s">
        <v>116</v>
      </c>
      <c r="C4" s="86"/>
      <c r="D4" s="87" t="s">
        <v>74</v>
      </c>
      <c r="E4" s="88"/>
      <c r="F4" s="88"/>
      <c r="G4" s="89"/>
      <c r="H4" s="28"/>
      <c r="I4" s="30"/>
      <c r="J4" s="30"/>
      <c r="K4" s="30"/>
      <c r="L4" s="30"/>
      <c r="M4" s="33"/>
    </row>
    <row r="5" spans="1:13" s="2" customFormat="1" ht="14.1" customHeight="1" x14ac:dyDescent="0.3">
      <c r="A5" s="80">
        <v>2</v>
      </c>
      <c r="B5" s="54" t="s">
        <v>115</v>
      </c>
      <c r="C5" s="55"/>
      <c r="D5" s="56"/>
      <c r="E5" s="57"/>
      <c r="F5" s="57"/>
      <c r="G5" s="58"/>
      <c r="H5" s="76"/>
      <c r="I5" s="74"/>
      <c r="J5" s="74"/>
      <c r="K5" s="74"/>
      <c r="L5" s="74"/>
      <c r="M5" s="75"/>
    </row>
    <row r="6" spans="1:13" s="2" customFormat="1" ht="14.1" customHeight="1" x14ac:dyDescent="0.3">
      <c r="A6" s="84"/>
      <c r="B6" s="85" t="s">
        <v>114</v>
      </c>
      <c r="C6" s="86"/>
      <c r="D6" s="87"/>
      <c r="E6" s="88"/>
      <c r="F6" s="88"/>
      <c r="G6" s="89"/>
      <c r="H6" s="28"/>
      <c r="I6" s="30"/>
      <c r="J6" s="30"/>
      <c r="K6" s="30"/>
      <c r="L6" s="30"/>
      <c r="M6" s="33"/>
    </row>
    <row r="7" spans="1:13" s="2" customFormat="1" ht="14.1" customHeight="1" x14ac:dyDescent="0.3">
      <c r="A7" s="80">
        <v>3</v>
      </c>
      <c r="B7" s="54" t="s">
        <v>73</v>
      </c>
      <c r="C7" s="55"/>
      <c r="D7" s="56"/>
      <c r="E7" s="57"/>
      <c r="F7" s="57"/>
      <c r="G7" s="58"/>
      <c r="H7" s="76"/>
      <c r="I7" s="74"/>
      <c r="J7" s="74"/>
      <c r="K7" s="74"/>
      <c r="L7" s="74"/>
      <c r="M7" s="75"/>
    </row>
    <row r="8" spans="1:13" s="2" customFormat="1" ht="14.1" customHeight="1" x14ac:dyDescent="0.3">
      <c r="A8" s="84"/>
      <c r="B8" s="85" t="s">
        <v>113</v>
      </c>
      <c r="C8" s="86"/>
      <c r="D8" s="87"/>
      <c r="E8" s="88"/>
      <c r="F8" s="88"/>
      <c r="G8" s="89"/>
      <c r="H8" s="28"/>
      <c r="I8" s="30"/>
      <c r="J8" s="30"/>
      <c r="K8" s="30"/>
      <c r="L8" s="30"/>
      <c r="M8" s="33"/>
    </row>
    <row r="9" spans="1:13" s="2" customFormat="1" ht="14.1" customHeight="1" x14ac:dyDescent="0.3">
      <c r="A9" s="80">
        <v>4</v>
      </c>
      <c r="B9" s="23" t="s">
        <v>112</v>
      </c>
      <c r="C9" s="24"/>
      <c r="D9" s="99"/>
      <c r="E9" s="100"/>
      <c r="F9" s="100"/>
      <c r="G9" s="101"/>
      <c r="H9" s="76"/>
      <c r="I9" s="74"/>
      <c r="J9" s="74"/>
      <c r="K9" s="74"/>
      <c r="L9" s="74"/>
      <c r="M9" s="75"/>
    </row>
    <row r="10" spans="1:13" s="2" customFormat="1" ht="14.1" customHeight="1" x14ac:dyDescent="0.3">
      <c r="A10" s="84"/>
      <c r="B10" s="85" t="s">
        <v>111</v>
      </c>
      <c r="C10" s="86"/>
      <c r="D10" s="96"/>
      <c r="E10" s="97"/>
      <c r="F10" s="97"/>
      <c r="G10" s="98"/>
      <c r="H10" s="28"/>
      <c r="I10" s="30"/>
      <c r="J10" s="30"/>
      <c r="K10" s="30"/>
      <c r="L10" s="30"/>
      <c r="M10" s="33"/>
    </row>
    <row r="11" spans="1:13" s="2" customFormat="1" ht="14.1" customHeight="1" x14ac:dyDescent="0.3">
      <c r="A11" s="80">
        <v>5</v>
      </c>
      <c r="B11" s="23" t="s">
        <v>85</v>
      </c>
      <c r="C11" s="24"/>
      <c r="D11" s="56"/>
      <c r="E11" s="57"/>
      <c r="F11" s="57"/>
      <c r="G11" s="58"/>
      <c r="H11" s="76">
        <v>93.8</v>
      </c>
      <c r="I11" s="74">
        <f>SUM(H11)+4.5</f>
        <v>98.3</v>
      </c>
      <c r="J11" s="74">
        <f>SUM(I11)+4.5</f>
        <v>102.8</v>
      </c>
      <c r="K11" s="74"/>
      <c r="L11" s="74"/>
      <c r="M11" s="75"/>
    </row>
    <row r="12" spans="1:13" s="2" customFormat="1" ht="14.1" customHeight="1" x14ac:dyDescent="0.3">
      <c r="A12" s="84"/>
      <c r="B12" s="85" t="s">
        <v>110</v>
      </c>
      <c r="C12" s="86"/>
      <c r="D12" s="87"/>
      <c r="E12" s="88"/>
      <c r="F12" s="88"/>
      <c r="G12" s="89"/>
      <c r="H12" s="28"/>
      <c r="I12" s="30"/>
      <c r="J12" s="30"/>
      <c r="K12" s="30"/>
      <c r="L12" s="30"/>
      <c r="M12" s="33"/>
    </row>
    <row r="13" spans="1:13" s="2" customFormat="1" ht="14.1" customHeight="1" x14ac:dyDescent="0.3">
      <c r="A13" s="80">
        <v>6</v>
      </c>
      <c r="B13" s="23" t="s">
        <v>41</v>
      </c>
      <c r="C13" s="24"/>
      <c r="D13" s="44" t="s">
        <v>118</v>
      </c>
      <c r="E13" s="45"/>
      <c r="F13" s="45"/>
      <c r="G13" s="46"/>
      <c r="H13" s="40">
        <v>119.9</v>
      </c>
      <c r="I13" s="12">
        <f>SUM(H13)+5</f>
        <v>124.9</v>
      </c>
      <c r="J13" s="12">
        <f>SUM(I13)+5</f>
        <v>129.9</v>
      </c>
      <c r="K13" s="12"/>
      <c r="L13" s="12"/>
      <c r="M13" s="14"/>
    </row>
    <row r="14" spans="1:13" s="2" customFormat="1" ht="14.1" customHeight="1" x14ac:dyDescent="0.3">
      <c r="A14" s="84"/>
      <c r="B14" s="85" t="s">
        <v>42</v>
      </c>
      <c r="C14" s="86"/>
      <c r="D14" s="87" t="s">
        <v>217</v>
      </c>
      <c r="E14" s="88"/>
      <c r="F14" s="88"/>
      <c r="G14" s="89"/>
      <c r="H14" s="28"/>
      <c r="I14" s="30"/>
      <c r="J14" s="30"/>
      <c r="K14" s="30"/>
      <c r="L14" s="30"/>
      <c r="M14" s="33"/>
    </row>
    <row r="15" spans="1:13" s="2" customFormat="1" ht="14.1" customHeight="1" x14ac:dyDescent="0.3">
      <c r="A15" s="80">
        <v>7</v>
      </c>
      <c r="B15" s="23" t="s">
        <v>109</v>
      </c>
      <c r="C15" s="24"/>
      <c r="D15" s="44"/>
      <c r="E15" s="45"/>
      <c r="F15" s="45"/>
      <c r="G15" s="46"/>
      <c r="H15" s="40">
        <v>19.8</v>
      </c>
      <c r="I15" s="12">
        <f>SUM(H15)+0.7</f>
        <v>20.5</v>
      </c>
      <c r="J15" s="12">
        <f>SUM(I15)+0.7</f>
        <v>21.2</v>
      </c>
      <c r="K15" s="12"/>
      <c r="L15" s="43"/>
      <c r="M15" s="90"/>
    </row>
    <row r="16" spans="1:13" s="2" customFormat="1" ht="14.1" customHeight="1" x14ac:dyDescent="0.3">
      <c r="A16" s="84"/>
      <c r="B16" s="85" t="s">
        <v>108</v>
      </c>
      <c r="C16" s="86"/>
      <c r="D16" s="93" t="s">
        <v>107</v>
      </c>
      <c r="E16" s="94"/>
      <c r="F16" s="94"/>
      <c r="G16" s="95"/>
      <c r="H16" s="28"/>
      <c r="I16" s="30"/>
      <c r="J16" s="30"/>
      <c r="K16" s="30"/>
      <c r="L16" s="41"/>
      <c r="M16" s="91"/>
    </row>
    <row r="17" spans="1:13" s="2" customFormat="1" ht="14.1" customHeight="1" x14ac:dyDescent="0.3">
      <c r="A17" s="80">
        <v>8</v>
      </c>
      <c r="B17" s="23" t="s">
        <v>106</v>
      </c>
      <c r="C17" s="24"/>
      <c r="D17" s="44"/>
      <c r="E17" s="45"/>
      <c r="F17" s="45"/>
      <c r="G17" s="46"/>
      <c r="H17" s="40"/>
      <c r="I17" s="12"/>
      <c r="J17" s="12"/>
      <c r="K17" s="12"/>
      <c r="L17" s="43"/>
      <c r="M17" s="90"/>
    </row>
    <row r="18" spans="1:13" s="2" customFormat="1" ht="14.1" customHeight="1" x14ac:dyDescent="0.3">
      <c r="A18" s="84"/>
      <c r="B18" s="85" t="s">
        <v>105</v>
      </c>
      <c r="C18" s="86"/>
      <c r="D18" s="93" t="s">
        <v>104</v>
      </c>
      <c r="E18" s="94"/>
      <c r="F18" s="94"/>
      <c r="G18" s="95"/>
      <c r="H18" s="28"/>
      <c r="I18" s="30"/>
      <c r="J18" s="30"/>
      <c r="K18" s="30"/>
      <c r="L18" s="41"/>
      <c r="M18" s="91"/>
    </row>
    <row r="19" spans="1:13" s="2" customFormat="1" ht="14.1" customHeight="1" x14ac:dyDescent="0.3">
      <c r="A19" s="80">
        <v>9</v>
      </c>
      <c r="B19" s="23" t="s">
        <v>43</v>
      </c>
      <c r="C19" s="24"/>
      <c r="D19" s="44" t="s">
        <v>72</v>
      </c>
      <c r="E19" s="45"/>
      <c r="F19" s="45"/>
      <c r="G19" s="46"/>
      <c r="H19" s="40">
        <v>94</v>
      </c>
      <c r="I19" s="12">
        <f>SUM(H19)+4</f>
        <v>98</v>
      </c>
      <c r="J19" s="12">
        <f>SUM(I19)+4</f>
        <v>102</v>
      </c>
      <c r="K19" s="12"/>
      <c r="L19" s="12"/>
      <c r="M19" s="14"/>
    </row>
    <row r="20" spans="1:13" s="2" customFormat="1" ht="14.1" customHeight="1" x14ac:dyDescent="0.3">
      <c r="A20" s="84"/>
      <c r="B20" s="85" t="s">
        <v>44</v>
      </c>
      <c r="C20" s="86"/>
      <c r="D20" s="87" t="s">
        <v>71</v>
      </c>
      <c r="E20" s="88"/>
      <c r="F20" s="88"/>
      <c r="G20" s="89"/>
      <c r="H20" s="28"/>
      <c r="I20" s="30"/>
      <c r="J20" s="30"/>
      <c r="K20" s="30"/>
      <c r="L20" s="30"/>
      <c r="M20" s="33"/>
    </row>
    <row r="21" spans="1:13" s="2" customFormat="1" ht="14.1" customHeight="1" x14ac:dyDescent="0.3">
      <c r="A21" s="80">
        <v>10</v>
      </c>
      <c r="B21" s="23" t="s">
        <v>84</v>
      </c>
      <c r="C21" s="24"/>
      <c r="D21" s="44" t="s">
        <v>83</v>
      </c>
      <c r="E21" s="45"/>
      <c r="F21" s="45"/>
      <c r="G21" s="46"/>
      <c r="H21" s="40">
        <v>58</v>
      </c>
      <c r="I21" s="12">
        <f>SUM(H21)+2.6</f>
        <v>60.6</v>
      </c>
      <c r="J21" s="12">
        <f>SUM(I21)+2.6</f>
        <v>63.2</v>
      </c>
      <c r="K21" s="12"/>
      <c r="L21" s="12"/>
      <c r="M21" s="14"/>
    </row>
    <row r="22" spans="1:13" s="2" customFormat="1" ht="14.1" customHeight="1" x14ac:dyDescent="0.3">
      <c r="A22" s="84"/>
      <c r="B22" s="85" t="s">
        <v>82</v>
      </c>
      <c r="C22" s="86"/>
      <c r="D22" s="36" t="s">
        <v>81</v>
      </c>
      <c r="E22" s="37"/>
      <c r="F22" s="37"/>
      <c r="G22" s="38"/>
      <c r="H22" s="28"/>
      <c r="I22" s="30"/>
      <c r="J22" s="30"/>
      <c r="K22" s="30"/>
      <c r="L22" s="30"/>
      <c r="M22" s="33"/>
    </row>
    <row r="23" spans="1:13" s="2" customFormat="1" ht="14.1" customHeight="1" x14ac:dyDescent="0.3">
      <c r="A23" s="80">
        <v>11</v>
      </c>
      <c r="B23" s="54" t="s">
        <v>149</v>
      </c>
      <c r="C23" s="55"/>
      <c r="D23" s="81"/>
      <c r="E23" s="82"/>
      <c r="F23" s="82"/>
      <c r="G23" s="83"/>
      <c r="H23" s="40">
        <v>70</v>
      </c>
      <c r="I23" s="12">
        <f>SUM(H23)+2.6</f>
        <v>72.599999999999994</v>
      </c>
      <c r="J23" s="12">
        <f>SUM(I23)+2.6</f>
        <v>75.199999999999989</v>
      </c>
      <c r="K23" s="74"/>
      <c r="L23" s="74"/>
      <c r="M23" s="75"/>
    </row>
    <row r="24" spans="1:13" s="2" customFormat="1" ht="14.1" customHeight="1" x14ac:dyDescent="0.3">
      <c r="A24" s="84"/>
      <c r="B24" s="54" t="s">
        <v>150</v>
      </c>
      <c r="C24" s="55"/>
      <c r="D24" s="92" t="s">
        <v>159</v>
      </c>
      <c r="E24" s="57"/>
      <c r="F24" s="57"/>
      <c r="G24" s="58"/>
      <c r="H24" s="28"/>
      <c r="I24" s="30"/>
      <c r="J24" s="30"/>
      <c r="K24" s="74"/>
      <c r="L24" s="74"/>
      <c r="M24" s="75"/>
    </row>
    <row r="25" spans="1:13" s="2" customFormat="1" ht="14.1" customHeight="1" x14ac:dyDescent="0.3">
      <c r="A25" s="80">
        <v>12</v>
      </c>
      <c r="B25" s="23" t="s">
        <v>45</v>
      </c>
      <c r="C25" s="24"/>
      <c r="D25" s="44" t="s">
        <v>46</v>
      </c>
      <c r="E25" s="45"/>
      <c r="F25" s="45"/>
      <c r="G25" s="46"/>
      <c r="H25" s="40">
        <v>32.200000000000003</v>
      </c>
      <c r="I25" s="12">
        <f>SUM(H25)+1.1</f>
        <v>33.300000000000004</v>
      </c>
      <c r="J25" s="12">
        <f>SUM(I25)+1.1</f>
        <v>34.400000000000006</v>
      </c>
      <c r="K25" s="12"/>
      <c r="L25" s="43"/>
      <c r="M25" s="90"/>
    </row>
    <row r="26" spans="1:13" s="2" customFormat="1" ht="14.1" customHeight="1" x14ac:dyDescent="0.3">
      <c r="A26" s="84"/>
      <c r="B26" s="85" t="s">
        <v>47</v>
      </c>
      <c r="C26" s="86"/>
      <c r="D26" s="87" t="s">
        <v>70</v>
      </c>
      <c r="E26" s="88"/>
      <c r="F26" s="88"/>
      <c r="G26" s="89"/>
      <c r="H26" s="28"/>
      <c r="I26" s="30"/>
      <c r="J26" s="30"/>
      <c r="K26" s="30"/>
      <c r="L26" s="41"/>
      <c r="M26" s="91"/>
    </row>
    <row r="27" spans="1:13" s="2" customFormat="1" ht="14.1" customHeight="1" x14ac:dyDescent="0.3">
      <c r="A27" s="80">
        <v>13</v>
      </c>
      <c r="B27" s="23" t="s">
        <v>48</v>
      </c>
      <c r="C27" s="24"/>
      <c r="D27" s="44" t="s">
        <v>46</v>
      </c>
      <c r="E27" s="45"/>
      <c r="F27" s="45"/>
      <c r="G27" s="46"/>
      <c r="H27" s="40">
        <v>40.6</v>
      </c>
      <c r="I27" s="12">
        <f>SUM(H27)+1.3</f>
        <v>41.9</v>
      </c>
      <c r="J27" s="12">
        <f>SUM(I27)+1.3</f>
        <v>43.199999999999996</v>
      </c>
      <c r="K27" s="12"/>
      <c r="L27" s="43"/>
      <c r="M27" s="90"/>
    </row>
    <row r="28" spans="1:13" s="2" customFormat="1" ht="14.1" customHeight="1" x14ac:dyDescent="0.3">
      <c r="A28" s="84"/>
      <c r="B28" s="85" t="s">
        <v>49</v>
      </c>
      <c r="C28" s="86"/>
      <c r="D28" s="87" t="s">
        <v>70</v>
      </c>
      <c r="E28" s="88"/>
      <c r="F28" s="88"/>
      <c r="G28" s="89"/>
      <c r="H28" s="28"/>
      <c r="I28" s="30"/>
      <c r="J28" s="30"/>
      <c r="K28" s="30"/>
      <c r="L28" s="41"/>
      <c r="M28" s="91"/>
    </row>
    <row r="29" spans="1:13" s="2" customFormat="1" ht="14.1" customHeight="1" x14ac:dyDescent="0.3">
      <c r="A29" s="80">
        <v>14</v>
      </c>
      <c r="B29" s="23" t="s">
        <v>50</v>
      </c>
      <c r="C29" s="24"/>
      <c r="D29" s="44" t="s">
        <v>51</v>
      </c>
      <c r="E29" s="45"/>
      <c r="F29" s="45"/>
      <c r="G29" s="46"/>
      <c r="H29" s="40">
        <v>73.8</v>
      </c>
      <c r="I29" s="12">
        <f>SUM(H29)+3</f>
        <v>76.8</v>
      </c>
      <c r="J29" s="12">
        <f>SUM(I29)+3.1</f>
        <v>79.899999999999991</v>
      </c>
      <c r="K29" s="12"/>
      <c r="L29" s="12"/>
      <c r="M29" s="14"/>
    </row>
    <row r="30" spans="1:13" s="2" customFormat="1" ht="14.1" customHeight="1" x14ac:dyDescent="0.3">
      <c r="A30" s="84"/>
      <c r="B30" s="85" t="s">
        <v>52</v>
      </c>
      <c r="C30" s="86"/>
      <c r="D30" s="87" t="s">
        <v>69</v>
      </c>
      <c r="E30" s="88"/>
      <c r="F30" s="88"/>
      <c r="G30" s="89"/>
      <c r="H30" s="28"/>
      <c r="I30" s="30"/>
      <c r="J30" s="30"/>
      <c r="K30" s="30"/>
      <c r="L30" s="30"/>
      <c r="M30" s="33"/>
    </row>
    <row r="31" spans="1:13" s="2" customFormat="1" ht="14.1" customHeight="1" x14ac:dyDescent="0.3">
      <c r="A31" s="80">
        <v>15</v>
      </c>
      <c r="B31" s="23" t="s">
        <v>53</v>
      </c>
      <c r="C31" s="24"/>
      <c r="D31" s="44" t="s">
        <v>54</v>
      </c>
      <c r="E31" s="45"/>
      <c r="F31" s="45"/>
      <c r="G31" s="46"/>
      <c r="H31" s="40">
        <v>64.099999999999994</v>
      </c>
      <c r="I31" s="12">
        <f>SUM(H31)+3</f>
        <v>67.099999999999994</v>
      </c>
      <c r="J31" s="12">
        <f>SUM(I31)+3</f>
        <v>70.099999999999994</v>
      </c>
      <c r="K31" s="12"/>
      <c r="L31" s="12"/>
      <c r="M31" s="14"/>
    </row>
    <row r="32" spans="1:13" s="2" customFormat="1" ht="14.1" customHeight="1" x14ac:dyDescent="0.3">
      <c r="A32" s="84"/>
      <c r="B32" s="85" t="s">
        <v>55</v>
      </c>
      <c r="C32" s="86"/>
      <c r="D32" s="87" t="s">
        <v>68</v>
      </c>
      <c r="E32" s="88"/>
      <c r="F32" s="88"/>
      <c r="G32" s="89"/>
      <c r="H32" s="28"/>
      <c r="I32" s="30"/>
      <c r="J32" s="30"/>
      <c r="K32" s="30"/>
      <c r="L32" s="30"/>
      <c r="M32" s="33"/>
    </row>
    <row r="33" spans="1:13" s="2" customFormat="1" ht="14.1" customHeight="1" x14ac:dyDescent="0.3">
      <c r="A33" s="80">
        <v>16</v>
      </c>
      <c r="B33" s="23" t="s">
        <v>67</v>
      </c>
      <c r="C33" s="24"/>
      <c r="D33" s="44" t="s">
        <v>65</v>
      </c>
      <c r="E33" s="45"/>
      <c r="F33" s="45"/>
      <c r="G33" s="46"/>
      <c r="H33" s="40">
        <v>66.2</v>
      </c>
      <c r="I33" s="12">
        <f>SUM(H33)+2.6</f>
        <v>68.8</v>
      </c>
      <c r="J33" s="12">
        <f>SUM(I33)+2.6</f>
        <v>71.399999999999991</v>
      </c>
      <c r="K33" s="12"/>
      <c r="L33" s="12"/>
      <c r="M33" s="14"/>
    </row>
    <row r="34" spans="1:13" s="2" customFormat="1" ht="14.1" customHeight="1" x14ac:dyDescent="0.3">
      <c r="A34" s="84"/>
      <c r="B34" s="85" t="s">
        <v>66</v>
      </c>
      <c r="C34" s="86"/>
      <c r="D34" s="87" t="s">
        <v>65</v>
      </c>
      <c r="E34" s="88"/>
      <c r="F34" s="88"/>
      <c r="G34" s="89"/>
      <c r="H34" s="28"/>
      <c r="I34" s="30"/>
      <c r="J34" s="30"/>
      <c r="K34" s="30"/>
      <c r="L34" s="30"/>
      <c r="M34" s="33"/>
    </row>
    <row r="35" spans="1:13" s="2" customFormat="1" ht="14.1" customHeight="1" x14ac:dyDescent="0.3">
      <c r="A35" s="80">
        <v>17</v>
      </c>
      <c r="B35" s="23" t="s">
        <v>103</v>
      </c>
      <c r="C35" s="24"/>
      <c r="D35" s="44" t="s">
        <v>102</v>
      </c>
      <c r="E35" s="45"/>
      <c r="F35" s="45"/>
      <c r="G35" s="46"/>
      <c r="H35" s="40">
        <v>52.2</v>
      </c>
      <c r="I35" s="12">
        <f>SUM(H35)+2</f>
        <v>54.2</v>
      </c>
      <c r="J35" s="12">
        <f>SUM(I35)+2</f>
        <v>56.2</v>
      </c>
      <c r="K35" s="12"/>
      <c r="L35" s="12"/>
      <c r="M35" s="14"/>
    </row>
    <row r="36" spans="1:13" s="2" customFormat="1" ht="14.1" customHeight="1" x14ac:dyDescent="0.3">
      <c r="A36" s="84"/>
      <c r="B36" s="85" t="s">
        <v>101</v>
      </c>
      <c r="C36" s="86"/>
      <c r="D36" s="87" t="s">
        <v>100</v>
      </c>
      <c r="E36" s="88"/>
      <c r="F36" s="88"/>
      <c r="G36" s="89"/>
      <c r="H36" s="28"/>
      <c r="I36" s="30"/>
      <c r="J36" s="30"/>
      <c r="K36" s="30"/>
      <c r="L36" s="30"/>
      <c r="M36" s="33"/>
    </row>
    <row r="37" spans="1:13" ht="14.1" customHeight="1" x14ac:dyDescent="0.3">
      <c r="A37" s="80">
        <v>18</v>
      </c>
      <c r="B37" s="23" t="s">
        <v>126</v>
      </c>
      <c r="C37" s="24"/>
      <c r="D37" s="44" t="s">
        <v>125</v>
      </c>
      <c r="E37" s="45"/>
      <c r="F37" s="45"/>
      <c r="G37" s="46"/>
      <c r="H37" s="39">
        <v>5.0999999999999996</v>
      </c>
      <c r="I37" s="48">
        <f>SUM(H37)+0.2</f>
        <v>5.3</v>
      </c>
      <c r="J37" s="48">
        <f>SUM(I37)+0.2</f>
        <v>5.5</v>
      </c>
      <c r="K37" s="12"/>
      <c r="L37" s="12"/>
      <c r="M37" s="14"/>
    </row>
    <row r="38" spans="1:13" ht="14.1" customHeight="1" x14ac:dyDescent="0.3">
      <c r="A38" s="84"/>
      <c r="B38" s="85" t="s">
        <v>124</v>
      </c>
      <c r="C38" s="86"/>
      <c r="D38" s="87" t="s">
        <v>123</v>
      </c>
      <c r="E38" s="88"/>
      <c r="F38" s="88"/>
      <c r="G38" s="89"/>
      <c r="H38" s="39"/>
      <c r="I38" s="48"/>
      <c r="J38" s="48"/>
      <c r="K38" s="30"/>
      <c r="L38" s="30"/>
      <c r="M38" s="33"/>
    </row>
    <row r="39" spans="1:13" ht="14.1" customHeight="1" x14ac:dyDescent="0.3">
      <c r="A39" s="80">
        <v>19</v>
      </c>
      <c r="B39" s="23" t="s">
        <v>122</v>
      </c>
      <c r="C39" s="24"/>
      <c r="D39" s="44" t="s">
        <v>121</v>
      </c>
      <c r="E39" s="45"/>
      <c r="F39" s="45"/>
      <c r="G39" s="46"/>
      <c r="H39" s="40">
        <v>14</v>
      </c>
      <c r="I39" s="12">
        <f>SUM(H39)+0.6</f>
        <v>14.6</v>
      </c>
      <c r="J39" s="12">
        <f>SUM(I39)+0.6</f>
        <v>15.2</v>
      </c>
      <c r="K39" s="12"/>
      <c r="L39" s="12"/>
      <c r="M39" s="14"/>
    </row>
    <row r="40" spans="1:13" ht="14.1" customHeight="1" x14ac:dyDescent="0.3">
      <c r="A40" s="84"/>
      <c r="B40" s="85" t="s">
        <v>120</v>
      </c>
      <c r="C40" s="86"/>
      <c r="D40" s="87" t="s">
        <v>119</v>
      </c>
      <c r="E40" s="88"/>
      <c r="F40" s="88"/>
      <c r="G40" s="89"/>
      <c r="H40" s="28"/>
      <c r="I40" s="30"/>
      <c r="J40" s="30"/>
      <c r="K40" s="30"/>
      <c r="L40" s="30"/>
      <c r="M40" s="33"/>
    </row>
    <row r="41" spans="1:13" s="2" customFormat="1" ht="14.1" customHeight="1" x14ac:dyDescent="0.3">
      <c r="A41" s="80">
        <v>20</v>
      </c>
      <c r="B41" s="23" t="s">
        <v>77</v>
      </c>
      <c r="C41" s="24"/>
      <c r="D41" s="47"/>
      <c r="E41" s="47"/>
      <c r="F41" s="47"/>
      <c r="G41" s="47"/>
      <c r="H41" s="40">
        <v>14</v>
      </c>
      <c r="I41" s="12">
        <f>SUM(H41)+0.5</f>
        <v>14.5</v>
      </c>
      <c r="J41" s="12">
        <f>SUM(I41)+0.5</f>
        <v>15</v>
      </c>
      <c r="K41" s="12"/>
      <c r="L41" s="12"/>
      <c r="M41" s="14"/>
    </row>
    <row r="42" spans="1:13" s="2" customFormat="1" ht="14.1" customHeight="1" x14ac:dyDescent="0.3">
      <c r="A42" s="84"/>
      <c r="B42" s="34" t="s">
        <v>78</v>
      </c>
      <c r="C42" s="35"/>
      <c r="D42" s="36"/>
      <c r="E42" s="37"/>
      <c r="F42" s="37"/>
      <c r="G42" s="38"/>
      <c r="H42" s="28"/>
      <c r="I42" s="30"/>
      <c r="J42" s="30"/>
      <c r="K42" s="30"/>
      <c r="L42" s="30"/>
      <c r="M42" s="33"/>
    </row>
    <row r="43" spans="1:13" s="2" customFormat="1" ht="14.1" customHeight="1" x14ac:dyDescent="0.3">
      <c r="A43" s="80">
        <v>21</v>
      </c>
      <c r="B43" s="23" t="s">
        <v>79</v>
      </c>
      <c r="C43" s="24"/>
      <c r="D43" s="47"/>
      <c r="E43" s="47"/>
      <c r="F43" s="47"/>
      <c r="G43" s="47"/>
      <c r="H43" s="40">
        <v>15.5</v>
      </c>
      <c r="I43" s="12">
        <f>SUM(H43)+0.5</f>
        <v>16</v>
      </c>
      <c r="J43" s="12">
        <f>SUM(I43)+0.5</f>
        <v>16.5</v>
      </c>
      <c r="K43" s="12"/>
      <c r="L43" s="12"/>
      <c r="M43" s="14"/>
    </row>
    <row r="44" spans="1:13" s="2" customFormat="1" ht="14.1" customHeight="1" x14ac:dyDescent="0.3">
      <c r="A44" s="84"/>
      <c r="B44" s="41" t="s">
        <v>80</v>
      </c>
      <c r="C44" s="41"/>
      <c r="D44" s="36"/>
      <c r="E44" s="37"/>
      <c r="F44" s="37"/>
      <c r="G44" s="38"/>
      <c r="H44" s="28"/>
      <c r="I44" s="30"/>
      <c r="J44" s="30"/>
      <c r="K44" s="30"/>
      <c r="L44" s="30"/>
      <c r="M44" s="33"/>
    </row>
    <row r="45" spans="1:13" ht="14.1" customHeight="1" x14ac:dyDescent="0.3">
      <c r="A45" s="80">
        <v>22</v>
      </c>
      <c r="B45" s="54" t="s">
        <v>99</v>
      </c>
      <c r="C45" s="55"/>
      <c r="D45" s="81"/>
      <c r="E45" s="82"/>
      <c r="F45" s="82"/>
      <c r="G45" s="83"/>
      <c r="H45" s="28">
        <v>102</v>
      </c>
      <c r="I45" s="74">
        <f>SUM(H45)+2.5</f>
        <v>104.5</v>
      </c>
      <c r="J45" s="74">
        <f>SUM(I45)+2.5</f>
        <v>107</v>
      </c>
      <c r="K45" s="74"/>
      <c r="L45" s="74"/>
      <c r="M45" s="75"/>
    </row>
    <row r="46" spans="1:13" ht="14.1" customHeight="1" x14ac:dyDescent="0.3">
      <c r="A46" s="80"/>
      <c r="B46" s="54" t="s">
        <v>98</v>
      </c>
      <c r="C46" s="55"/>
      <c r="D46" s="56" t="s">
        <v>148</v>
      </c>
      <c r="E46" s="57"/>
      <c r="F46" s="57"/>
      <c r="G46" s="58"/>
      <c r="H46" s="40"/>
      <c r="I46" s="74"/>
      <c r="J46" s="74"/>
      <c r="K46" s="74"/>
      <c r="L46" s="74"/>
      <c r="M46" s="75"/>
    </row>
    <row r="47" spans="1:13" ht="14.1" customHeight="1" x14ac:dyDescent="0.3">
      <c r="A47" s="78">
        <v>23</v>
      </c>
      <c r="B47" s="23"/>
      <c r="C47" s="24"/>
      <c r="D47" s="25"/>
      <c r="E47" s="26"/>
      <c r="F47" s="26"/>
      <c r="G47" s="27"/>
      <c r="H47" s="39"/>
      <c r="I47" s="12"/>
      <c r="J47" s="12"/>
      <c r="K47" s="12"/>
      <c r="L47" s="12"/>
      <c r="M47" s="14"/>
    </row>
    <row r="48" spans="1:13" ht="14.1" customHeight="1" thickBot="1" x14ac:dyDescent="0.35">
      <c r="A48" s="79"/>
      <c r="B48" s="16"/>
      <c r="C48" s="17"/>
      <c r="D48" s="18"/>
      <c r="E48" s="19"/>
      <c r="F48" s="19"/>
      <c r="G48" s="20"/>
      <c r="H48" s="29"/>
      <c r="I48" s="13"/>
      <c r="J48" s="13"/>
      <c r="K48" s="13"/>
      <c r="L48" s="13"/>
      <c r="M48" s="15"/>
    </row>
    <row r="49" ht="14.1" customHeight="1" x14ac:dyDescent="0.3"/>
    <row r="50" ht="14.1" customHeight="1" x14ac:dyDescent="0.3"/>
    <row r="51" ht="14.1" customHeight="1" x14ac:dyDescent="0.3"/>
  </sheetData>
  <mergeCells count="256"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7646-B463-433A-A06B-F8C8E9281FD4}">
  <sheetPr>
    <tabColor theme="7"/>
    <pageSetUpPr fitToPage="1"/>
  </sheetPr>
  <dimension ref="A1:M51"/>
  <sheetViews>
    <sheetView topLeftCell="A10" zoomScale="110" zoomScaleNormal="110" workbookViewId="0">
      <selection activeCell="L23" sqref="L23:L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168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10" t="s">
        <v>212</v>
      </c>
      <c r="I2" s="5" t="s">
        <v>211</v>
      </c>
      <c r="J2" s="9" t="s">
        <v>33</v>
      </c>
      <c r="K2" s="5" t="s">
        <v>34</v>
      </c>
      <c r="L2" s="5" t="s">
        <v>35</v>
      </c>
      <c r="M2" s="5"/>
    </row>
    <row r="3" spans="1:13" s="2" customFormat="1" ht="14.1" customHeight="1" x14ac:dyDescent="0.3">
      <c r="A3" s="102">
        <v>1</v>
      </c>
      <c r="B3" s="103" t="s">
        <v>117</v>
      </c>
      <c r="C3" s="104"/>
      <c r="D3" s="71" t="s">
        <v>75</v>
      </c>
      <c r="E3" s="105"/>
      <c r="F3" s="105"/>
      <c r="G3" s="106"/>
      <c r="H3" s="43">
        <f>SUM(I3)-3</f>
        <v>57</v>
      </c>
      <c r="I3" s="12">
        <f>SUM(J3)-4</f>
        <v>60</v>
      </c>
      <c r="J3" s="115">
        <v>64</v>
      </c>
      <c r="K3" s="61">
        <f>SUM(J3)+2.5</f>
        <v>66.5</v>
      </c>
      <c r="L3" s="61">
        <f>SUM(K3)+2.5</f>
        <v>69</v>
      </c>
      <c r="M3" s="62"/>
    </row>
    <row r="4" spans="1:13" s="2" customFormat="1" ht="14.1" customHeight="1" x14ac:dyDescent="0.3">
      <c r="A4" s="84"/>
      <c r="B4" s="85" t="s">
        <v>116</v>
      </c>
      <c r="C4" s="86"/>
      <c r="D4" s="87" t="s">
        <v>74</v>
      </c>
      <c r="E4" s="88"/>
      <c r="F4" s="88"/>
      <c r="G4" s="89"/>
      <c r="H4" s="41"/>
      <c r="I4" s="30"/>
      <c r="J4" s="111"/>
      <c r="K4" s="30"/>
      <c r="L4" s="30"/>
      <c r="M4" s="33"/>
    </row>
    <row r="5" spans="1:13" s="2" customFormat="1" ht="14.1" customHeight="1" x14ac:dyDescent="0.3">
      <c r="A5" s="80">
        <v>2</v>
      </c>
      <c r="B5" s="54" t="s">
        <v>115</v>
      </c>
      <c r="C5" s="55"/>
      <c r="D5" s="56"/>
      <c r="E5" s="57"/>
      <c r="F5" s="57"/>
      <c r="G5" s="58"/>
      <c r="H5" s="12">
        <f>SUM(I5)-2.25</f>
        <v>25.5</v>
      </c>
      <c r="I5" s="12">
        <f>SUM(J5)-2.25</f>
        <v>27.75</v>
      </c>
      <c r="J5" s="114">
        <v>30</v>
      </c>
      <c r="K5" s="74">
        <f>SUM(J5)+2.25</f>
        <v>32.25</v>
      </c>
      <c r="L5" s="74">
        <f>SUM(K5)+2.25</f>
        <v>34.5</v>
      </c>
      <c r="M5" s="75"/>
    </row>
    <row r="6" spans="1:13" s="2" customFormat="1" ht="14.1" customHeight="1" x14ac:dyDescent="0.3">
      <c r="A6" s="84"/>
      <c r="B6" s="85" t="s">
        <v>114</v>
      </c>
      <c r="C6" s="86"/>
      <c r="D6" s="87"/>
      <c r="E6" s="88"/>
      <c r="F6" s="88"/>
      <c r="G6" s="89"/>
      <c r="H6" s="30"/>
      <c r="I6" s="30"/>
      <c r="J6" s="111"/>
      <c r="K6" s="30"/>
      <c r="L6" s="30"/>
      <c r="M6" s="33"/>
    </row>
    <row r="7" spans="1:13" s="2" customFormat="1" ht="14.1" customHeight="1" x14ac:dyDescent="0.3">
      <c r="A7" s="80">
        <v>3</v>
      </c>
      <c r="B7" s="54" t="s">
        <v>73</v>
      </c>
      <c r="C7" s="55"/>
      <c r="D7" s="56"/>
      <c r="E7" s="57"/>
      <c r="F7" s="57"/>
      <c r="G7" s="58"/>
      <c r="H7" s="12">
        <f>SUM(I7)-0.75</f>
        <v>31.5</v>
      </c>
      <c r="I7" s="12">
        <f>SUM(J7)-1.75</f>
        <v>32.25</v>
      </c>
      <c r="J7" s="114">
        <v>34</v>
      </c>
      <c r="K7" s="74">
        <f>SUM(J7)+0.25</f>
        <v>34.25</v>
      </c>
      <c r="L7" s="74">
        <f>SUM(K7)+0.25</f>
        <v>34.5</v>
      </c>
      <c r="M7" s="75"/>
    </row>
    <row r="8" spans="1:13" s="2" customFormat="1" ht="14.1" customHeight="1" x14ac:dyDescent="0.3">
      <c r="A8" s="84"/>
      <c r="B8" s="85" t="s">
        <v>113</v>
      </c>
      <c r="C8" s="86"/>
      <c r="D8" s="87"/>
      <c r="E8" s="88"/>
      <c r="F8" s="88"/>
      <c r="G8" s="89"/>
      <c r="H8" s="30"/>
      <c r="I8" s="30"/>
      <c r="J8" s="111"/>
      <c r="K8" s="30"/>
      <c r="L8" s="30"/>
      <c r="M8" s="33"/>
    </row>
    <row r="9" spans="1:13" s="2" customFormat="1" ht="14.1" customHeight="1" x14ac:dyDescent="0.3">
      <c r="A9" s="80">
        <v>4</v>
      </c>
      <c r="B9" s="23" t="s">
        <v>112</v>
      </c>
      <c r="C9" s="24"/>
      <c r="D9" s="99" t="s">
        <v>213</v>
      </c>
      <c r="E9" s="100"/>
      <c r="F9" s="100"/>
      <c r="G9" s="101"/>
      <c r="H9" s="12">
        <f>SUM(I9)-2.2</f>
        <v>46.599999999999994</v>
      </c>
      <c r="I9" s="12">
        <f>SUM(J9)-3.2</f>
        <v>48.8</v>
      </c>
      <c r="J9" s="114">
        <v>52</v>
      </c>
      <c r="K9" s="74">
        <f>SUM(J9)+1.3</f>
        <v>53.3</v>
      </c>
      <c r="L9" s="74">
        <f>SUM(K9)+1.3</f>
        <v>54.599999999999994</v>
      </c>
      <c r="M9" s="75"/>
    </row>
    <row r="10" spans="1:13" s="2" customFormat="1" ht="14.1" customHeight="1" x14ac:dyDescent="0.3">
      <c r="A10" s="84"/>
      <c r="B10" s="85" t="s">
        <v>111</v>
      </c>
      <c r="C10" s="86"/>
      <c r="D10" s="96" t="s">
        <v>170</v>
      </c>
      <c r="E10" s="97"/>
      <c r="F10" s="97"/>
      <c r="G10" s="98"/>
      <c r="H10" s="30"/>
      <c r="I10" s="30"/>
      <c r="J10" s="111"/>
      <c r="K10" s="30"/>
      <c r="L10" s="30"/>
      <c r="M10" s="33"/>
    </row>
    <row r="11" spans="1:13" s="2" customFormat="1" ht="14.1" customHeight="1" x14ac:dyDescent="0.3">
      <c r="A11" s="80">
        <v>5</v>
      </c>
      <c r="B11" s="23" t="s">
        <v>85</v>
      </c>
      <c r="C11" s="24"/>
      <c r="D11" s="56"/>
      <c r="E11" s="57"/>
      <c r="F11" s="57"/>
      <c r="G11" s="58"/>
      <c r="H11" s="43">
        <f>SUM(I11)-4.5</f>
        <v>67</v>
      </c>
      <c r="I11" s="12">
        <f>SUM(J11)-4.5</f>
        <v>71.5</v>
      </c>
      <c r="J11" s="114">
        <v>76</v>
      </c>
      <c r="K11" s="74">
        <f>SUM(J11)+4.5</f>
        <v>80.5</v>
      </c>
      <c r="L11" s="74">
        <f>SUM(K11)+4.5</f>
        <v>85</v>
      </c>
      <c r="M11" s="75"/>
    </row>
    <row r="12" spans="1:13" s="2" customFormat="1" ht="14.1" customHeight="1" x14ac:dyDescent="0.3">
      <c r="A12" s="84"/>
      <c r="B12" s="85" t="s">
        <v>110</v>
      </c>
      <c r="C12" s="86"/>
      <c r="D12" s="87"/>
      <c r="E12" s="88"/>
      <c r="F12" s="88"/>
      <c r="G12" s="89"/>
      <c r="H12" s="41"/>
      <c r="I12" s="30"/>
      <c r="J12" s="111"/>
      <c r="K12" s="30"/>
      <c r="L12" s="30"/>
      <c r="M12" s="33"/>
    </row>
    <row r="13" spans="1:13" s="2" customFormat="1" ht="14.1" customHeight="1" x14ac:dyDescent="0.3">
      <c r="A13" s="80">
        <v>6</v>
      </c>
      <c r="B13" s="23" t="s">
        <v>41</v>
      </c>
      <c r="C13" s="24"/>
      <c r="D13" s="44" t="s">
        <v>118</v>
      </c>
      <c r="E13" s="45"/>
      <c r="F13" s="45"/>
      <c r="G13" s="46"/>
      <c r="H13" s="43">
        <f>SUM(I13)-5</f>
        <v>92</v>
      </c>
      <c r="I13" s="12">
        <f>SUM(J13)-5</f>
        <v>97</v>
      </c>
      <c r="J13" s="109">
        <v>102</v>
      </c>
      <c r="K13" s="12">
        <f>SUM(J13)+5</f>
        <v>107</v>
      </c>
      <c r="L13" s="12">
        <f>SUM(K13)+5</f>
        <v>112</v>
      </c>
      <c r="M13" s="14"/>
    </row>
    <row r="14" spans="1:13" s="2" customFormat="1" ht="14.1" customHeight="1" x14ac:dyDescent="0.3">
      <c r="A14" s="84"/>
      <c r="B14" s="85" t="s">
        <v>169</v>
      </c>
      <c r="C14" s="86"/>
      <c r="D14" s="87" t="s">
        <v>76</v>
      </c>
      <c r="E14" s="88"/>
      <c r="F14" s="88"/>
      <c r="G14" s="89"/>
      <c r="H14" s="41"/>
      <c r="I14" s="30"/>
      <c r="J14" s="111"/>
      <c r="K14" s="30"/>
      <c r="L14" s="30"/>
      <c r="M14" s="33"/>
    </row>
    <row r="15" spans="1:13" s="2" customFormat="1" ht="14.1" customHeight="1" x14ac:dyDescent="0.3">
      <c r="A15" s="80">
        <v>7</v>
      </c>
      <c r="B15" s="23" t="s">
        <v>109</v>
      </c>
      <c r="C15" s="24"/>
      <c r="D15" s="44"/>
      <c r="E15" s="45"/>
      <c r="F15" s="45"/>
      <c r="G15" s="46"/>
      <c r="H15" s="43">
        <f>SUM(I15)-0.7</f>
        <v>12.600000000000001</v>
      </c>
      <c r="I15" s="12">
        <f>SUM(J15)-0.7</f>
        <v>13.3</v>
      </c>
      <c r="J15" s="109">
        <v>14</v>
      </c>
      <c r="K15" s="12">
        <f>SUM(J15)+0.7</f>
        <v>14.7</v>
      </c>
      <c r="L15" s="12">
        <f>SUM(K15)+0.7</f>
        <v>15.399999999999999</v>
      </c>
      <c r="M15" s="90"/>
    </row>
    <row r="16" spans="1:13" s="2" customFormat="1" ht="14.1" customHeight="1" x14ac:dyDescent="0.3">
      <c r="A16" s="84"/>
      <c r="B16" s="85" t="s">
        <v>108</v>
      </c>
      <c r="C16" s="86"/>
      <c r="D16" s="93" t="s">
        <v>165</v>
      </c>
      <c r="E16" s="94"/>
      <c r="F16" s="94"/>
      <c r="G16" s="95"/>
      <c r="H16" s="41"/>
      <c r="I16" s="30"/>
      <c r="J16" s="111"/>
      <c r="K16" s="30"/>
      <c r="L16" s="30"/>
      <c r="M16" s="91"/>
    </row>
    <row r="17" spans="1:13" s="2" customFormat="1" ht="14.1" customHeight="1" x14ac:dyDescent="0.3">
      <c r="A17" s="80">
        <v>8</v>
      </c>
      <c r="B17" s="23" t="s">
        <v>106</v>
      </c>
      <c r="C17" s="24"/>
      <c r="D17" s="44"/>
      <c r="E17" s="45"/>
      <c r="F17" s="45"/>
      <c r="G17" s="46"/>
      <c r="H17" s="43">
        <f>SUM(I17)-0.7</f>
        <v>12.600000000000001</v>
      </c>
      <c r="I17" s="12">
        <f>SUM(J17)-0.7</f>
        <v>13.3</v>
      </c>
      <c r="J17" s="109">
        <v>14</v>
      </c>
      <c r="K17" s="112">
        <f>SUM(J17)+0.7</f>
        <v>14.7</v>
      </c>
      <c r="L17" s="112">
        <f>SUM(K17)+0.7</f>
        <v>15.399999999999999</v>
      </c>
      <c r="M17" s="90"/>
    </row>
    <row r="18" spans="1:13" s="2" customFormat="1" ht="14.1" customHeight="1" x14ac:dyDescent="0.3">
      <c r="A18" s="84"/>
      <c r="B18" s="85" t="s">
        <v>105</v>
      </c>
      <c r="C18" s="86"/>
      <c r="D18" s="93" t="s">
        <v>104</v>
      </c>
      <c r="E18" s="94"/>
      <c r="F18" s="94"/>
      <c r="G18" s="95"/>
      <c r="H18" s="41"/>
      <c r="I18" s="30"/>
      <c r="J18" s="111"/>
      <c r="K18" s="113"/>
      <c r="L18" s="113"/>
      <c r="M18" s="91"/>
    </row>
    <row r="19" spans="1:13" s="2" customFormat="1" ht="14.1" customHeight="1" x14ac:dyDescent="0.3">
      <c r="A19" s="80">
        <v>9</v>
      </c>
      <c r="B19" s="23" t="s">
        <v>166</v>
      </c>
      <c r="C19" s="24"/>
      <c r="D19" s="44"/>
      <c r="E19" s="45"/>
      <c r="F19" s="45"/>
      <c r="G19" s="46"/>
      <c r="H19" s="12">
        <f>SUM(I19)-0</f>
        <v>3.3</v>
      </c>
      <c r="I19" s="12">
        <f>SUM(J19)-0.2</f>
        <v>3.3</v>
      </c>
      <c r="J19" s="109">
        <v>3.5</v>
      </c>
      <c r="K19" s="112">
        <v>3.5</v>
      </c>
      <c r="L19" s="112">
        <v>3.5</v>
      </c>
      <c r="M19" s="14"/>
    </row>
    <row r="20" spans="1:13" s="2" customFormat="1" ht="14.1" customHeight="1" x14ac:dyDescent="0.3">
      <c r="A20" s="84"/>
      <c r="B20" s="85" t="s">
        <v>167</v>
      </c>
      <c r="C20" s="86"/>
      <c r="D20" s="93"/>
      <c r="E20" s="94"/>
      <c r="F20" s="94"/>
      <c r="G20" s="95"/>
      <c r="H20" s="30"/>
      <c r="I20" s="30"/>
      <c r="J20" s="111"/>
      <c r="K20" s="113"/>
      <c r="L20" s="113"/>
      <c r="M20" s="33"/>
    </row>
    <row r="21" spans="1:13" s="2" customFormat="1" ht="14.1" customHeight="1" x14ac:dyDescent="0.3">
      <c r="A21" s="80">
        <v>10</v>
      </c>
      <c r="B21" s="23" t="s">
        <v>43</v>
      </c>
      <c r="C21" s="24"/>
      <c r="D21" s="44" t="s">
        <v>72</v>
      </c>
      <c r="E21" s="45"/>
      <c r="F21" s="45"/>
      <c r="G21" s="46"/>
      <c r="H21" s="12">
        <f>SUM(I21)-6</f>
        <v>78</v>
      </c>
      <c r="I21" s="12">
        <f>SUM(J21)-8</f>
        <v>84</v>
      </c>
      <c r="J21" s="109">
        <v>92</v>
      </c>
      <c r="K21" s="12">
        <f>SUM(J21)+4</f>
        <v>96</v>
      </c>
      <c r="L21" s="12">
        <f>SUM(K21)+4</f>
        <v>100</v>
      </c>
      <c r="M21" s="14"/>
    </row>
    <row r="22" spans="1:13" s="2" customFormat="1" ht="14.1" customHeight="1" x14ac:dyDescent="0.3">
      <c r="A22" s="84"/>
      <c r="B22" s="85" t="s">
        <v>44</v>
      </c>
      <c r="C22" s="86"/>
      <c r="D22" s="87" t="s">
        <v>71</v>
      </c>
      <c r="E22" s="88"/>
      <c r="F22" s="88"/>
      <c r="G22" s="89"/>
      <c r="H22" s="30"/>
      <c r="I22" s="30"/>
      <c r="J22" s="111"/>
      <c r="K22" s="30"/>
      <c r="L22" s="30"/>
      <c r="M22" s="33"/>
    </row>
    <row r="23" spans="1:13" s="2" customFormat="1" ht="14.1" customHeight="1" x14ac:dyDescent="0.3">
      <c r="A23" s="80">
        <v>11</v>
      </c>
      <c r="B23" s="23" t="s">
        <v>84</v>
      </c>
      <c r="C23" s="24"/>
      <c r="D23" s="44" t="s">
        <v>83</v>
      </c>
      <c r="E23" s="45"/>
      <c r="F23" s="45"/>
      <c r="G23" s="46"/>
      <c r="H23" s="12">
        <f>SUM(I23)-2.4</f>
        <v>50.2</v>
      </c>
      <c r="I23" s="12">
        <f>SUM(J23)-2.4</f>
        <v>52.6</v>
      </c>
      <c r="J23" s="109">
        <v>55</v>
      </c>
      <c r="K23" s="12">
        <f>SUM(J23)+2.2</f>
        <v>57.2</v>
      </c>
      <c r="L23" s="12">
        <f>SUM(K23)+2.2</f>
        <v>59.400000000000006</v>
      </c>
      <c r="M23" s="14"/>
    </row>
    <row r="24" spans="1:13" s="2" customFormat="1" ht="14.1" customHeight="1" x14ac:dyDescent="0.3">
      <c r="A24" s="84"/>
      <c r="B24" s="85" t="s">
        <v>82</v>
      </c>
      <c r="C24" s="86"/>
      <c r="D24" s="36" t="s">
        <v>81</v>
      </c>
      <c r="E24" s="37"/>
      <c r="F24" s="37"/>
      <c r="G24" s="38"/>
      <c r="H24" s="30"/>
      <c r="I24" s="30"/>
      <c r="J24" s="111"/>
      <c r="K24" s="30"/>
      <c r="L24" s="30"/>
      <c r="M24" s="33"/>
    </row>
    <row r="25" spans="1:13" s="2" customFormat="1" ht="14.1" customHeight="1" x14ac:dyDescent="0.3">
      <c r="A25" s="80">
        <v>12</v>
      </c>
      <c r="B25" s="23" t="s">
        <v>45</v>
      </c>
      <c r="C25" s="24"/>
      <c r="D25" s="44" t="s">
        <v>46</v>
      </c>
      <c r="E25" s="45"/>
      <c r="F25" s="45"/>
      <c r="G25" s="46"/>
      <c r="H25" s="43">
        <f>SUM(I25)-1.1</f>
        <v>24.799999999999997</v>
      </c>
      <c r="I25" s="12">
        <f>SUM(J25)-1.1</f>
        <v>25.9</v>
      </c>
      <c r="J25" s="109">
        <v>27</v>
      </c>
      <c r="K25" s="12">
        <f>SUM(J25)+1.1</f>
        <v>28.1</v>
      </c>
      <c r="L25" s="12">
        <f>SUM(K25)+1.1</f>
        <v>29.200000000000003</v>
      </c>
      <c r="M25" s="90"/>
    </row>
    <row r="26" spans="1:13" s="2" customFormat="1" ht="14.1" customHeight="1" x14ac:dyDescent="0.3">
      <c r="A26" s="84"/>
      <c r="B26" s="85" t="s">
        <v>47</v>
      </c>
      <c r="C26" s="86"/>
      <c r="D26" s="87" t="s">
        <v>70</v>
      </c>
      <c r="E26" s="88"/>
      <c r="F26" s="88"/>
      <c r="G26" s="89"/>
      <c r="H26" s="41"/>
      <c r="I26" s="30"/>
      <c r="J26" s="111"/>
      <c r="K26" s="30"/>
      <c r="L26" s="30"/>
      <c r="M26" s="91"/>
    </row>
    <row r="27" spans="1:13" s="2" customFormat="1" ht="14.1" customHeight="1" x14ac:dyDescent="0.3">
      <c r="A27" s="80">
        <v>13</v>
      </c>
      <c r="B27" s="23" t="s">
        <v>48</v>
      </c>
      <c r="C27" s="24"/>
      <c r="D27" s="44" t="s">
        <v>46</v>
      </c>
      <c r="E27" s="45"/>
      <c r="F27" s="45"/>
      <c r="G27" s="46"/>
      <c r="H27" s="43">
        <f>SUM(I27)-1.3</f>
        <v>34.400000000000006</v>
      </c>
      <c r="I27" s="12">
        <f>SUM(J27)-1.3</f>
        <v>35.700000000000003</v>
      </c>
      <c r="J27" s="109">
        <v>37</v>
      </c>
      <c r="K27" s="12">
        <f>SUM(J27)+1.3</f>
        <v>38.299999999999997</v>
      </c>
      <c r="L27" s="12">
        <f>SUM(K27)+1.3</f>
        <v>39.599999999999994</v>
      </c>
      <c r="M27" s="90"/>
    </row>
    <row r="28" spans="1:13" s="2" customFormat="1" ht="14.1" customHeight="1" x14ac:dyDescent="0.3">
      <c r="A28" s="84"/>
      <c r="B28" s="85" t="s">
        <v>49</v>
      </c>
      <c r="C28" s="86"/>
      <c r="D28" s="87" t="s">
        <v>70</v>
      </c>
      <c r="E28" s="88"/>
      <c r="F28" s="88"/>
      <c r="G28" s="89"/>
      <c r="H28" s="41"/>
      <c r="I28" s="30"/>
      <c r="J28" s="111"/>
      <c r="K28" s="30"/>
      <c r="L28" s="30"/>
      <c r="M28" s="91"/>
    </row>
    <row r="29" spans="1:13" s="2" customFormat="1" ht="14.1" customHeight="1" x14ac:dyDescent="0.3">
      <c r="A29" s="80">
        <v>14</v>
      </c>
      <c r="B29" s="23" t="s">
        <v>50</v>
      </c>
      <c r="C29" s="24"/>
      <c r="D29" s="44" t="s">
        <v>51</v>
      </c>
      <c r="E29" s="45"/>
      <c r="F29" s="45"/>
      <c r="G29" s="46"/>
      <c r="H29" s="12"/>
      <c r="I29" s="12"/>
      <c r="J29" s="109"/>
      <c r="K29" s="12"/>
      <c r="L29" s="12"/>
      <c r="M29" s="14"/>
    </row>
    <row r="30" spans="1:13" s="2" customFormat="1" ht="14.1" customHeight="1" x14ac:dyDescent="0.3">
      <c r="A30" s="84"/>
      <c r="B30" s="85" t="s">
        <v>52</v>
      </c>
      <c r="C30" s="86"/>
      <c r="D30" s="87" t="s">
        <v>69</v>
      </c>
      <c r="E30" s="88"/>
      <c r="F30" s="88"/>
      <c r="G30" s="89"/>
      <c r="H30" s="30"/>
      <c r="I30" s="30"/>
      <c r="J30" s="111"/>
      <c r="K30" s="30"/>
      <c r="L30" s="30"/>
      <c r="M30" s="33"/>
    </row>
    <row r="31" spans="1:13" s="2" customFormat="1" ht="14.1" customHeight="1" x14ac:dyDescent="0.3">
      <c r="A31" s="80">
        <v>15</v>
      </c>
      <c r="B31" s="23" t="s">
        <v>53</v>
      </c>
      <c r="C31" s="24"/>
      <c r="D31" s="44" t="s">
        <v>54</v>
      </c>
      <c r="E31" s="45"/>
      <c r="F31" s="45"/>
      <c r="G31" s="46"/>
      <c r="H31" s="12"/>
      <c r="I31" s="12"/>
      <c r="J31" s="109"/>
      <c r="K31" s="12"/>
      <c r="L31" s="12"/>
      <c r="M31" s="14"/>
    </row>
    <row r="32" spans="1:13" s="2" customFormat="1" ht="14.1" customHeight="1" x14ac:dyDescent="0.3">
      <c r="A32" s="84"/>
      <c r="B32" s="85" t="s">
        <v>55</v>
      </c>
      <c r="C32" s="86"/>
      <c r="D32" s="87" t="s">
        <v>68</v>
      </c>
      <c r="E32" s="88"/>
      <c r="F32" s="88"/>
      <c r="G32" s="89"/>
      <c r="H32" s="30"/>
      <c r="I32" s="30"/>
      <c r="J32" s="111"/>
      <c r="K32" s="30"/>
      <c r="L32" s="30"/>
      <c r="M32" s="33"/>
    </row>
    <row r="33" spans="1:13" s="2" customFormat="1" ht="14.1" customHeight="1" x14ac:dyDescent="0.3">
      <c r="A33" s="80">
        <v>16</v>
      </c>
      <c r="B33" s="23" t="s">
        <v>67</v>
      </c>
      <c r="C33" s="24"/>
      <c r="D33" s="44" t="s">
        <v>65</v>
      </c>
      <c r="E33" s="45"/>
      <c r="F33" s="45"/>
      <c r="G33" s="46"/>
      <c r="H33" s="12"/>
      <c r="I33" s="12"/>
      <c r="J33" s="109"/>
      <c r="K33" s="12"/>
      <c r="L33" s="12"/>
      <c r="M33" s="14"/>
    </row>
    <row r="34" spans="1:13" s="2" customFormat="1" ht="14.1" customHeight="1" x14ac:dyDescent="0.3">
      <c r="A34" s="84"/>
      <c r="B34" s="85" t="s">
        <v>66</v>
      </c>
      <c r="C34" s="86"/>
      <c r="D34" s="87" t="s">
        <v>65</v>
      </c>
      <c r="E34" s="88"/>
      <c r="F34" s="88"/>
      <c r="G34" s="89"/>
      <c r="H34" s="30"/>
      <c r="I34" s="30"/>
      <c r="J34" s="111"/>
      <c r="K34" s="30"/>
      <c r="L34" s="30"/>
      <c r="M34" s="33"/>
    </row>
    <row r="35" spans="1:13" s="2" customFormat="1" ht="14.1" customHeight="1" x14ac:dyDescent="0.3">
      <c r="A35" s="80">
        <v>17</v>
      </c>
      <c r="B35" s="23" t="s">
        <v>103</v>
      </c>
      <c r="C35" s="24"/>
      <c r="D35" s="44" t="s">
        <v>102</v>
      </c>
      <c r="E35" s="45"/>
      <c r="F35" s="45"/>
      <c r="G35" s="46"/>
      <c r="H35" s="12"/>
      <c r="I35" s="12"/>
      <c r="J35" s="109"/>
      <c r="K35" s="12"/>
      <c r="L35" s="12"/>
      <c r="M35" s="14"/>
    </row>
    <row r="36" spans="1:13" s="2" customFormat="1" ht="14.1" customHeight="1" x14ac:dyDescent="0.3">
      <c r="A36" s="84"/>
      <c r="B36" s="85" t="s">
        <v>101</v>
      </c>
      <c r="C36" s="86"/>
      <c r="D36" s="87" t="s">
        <v>100</v>
      </c>
      <c r="E36" s="88"/>
      <c r="F36" s="88"/>
      <c r="G36" s="89"/>
      <c r="H36" s="30"/>
      <c r="I36" s="30"/>
      <c r="J36" s="111"/>
      <c r="K36" s="30"/>
      <c r="L36" s="30"/>
      <c r="M36" s="33"/>
    </row>
    <row r="37" spans="1:13" ht="14.1" customHeight="1" x14ac:dyDescent="0.3">
      <c r="A37" s="80">
        <v>18</v>
      </c>
      <c r="B37" s="23" t="s">
        <v>126</v>
      </c>
      <c r="C37" s="24"/>
      <c r="D37" s="44" t="s">
        <v>125</v>
      </c>
      <c r="E37" s="45"/>
      <c r="F37" s="45"/>
      <c r="G37" s="46"/>
      <c r="H37" s="12">
        <f>SUM(I37)-0.4</f>
        <v>7.6999999999999993</v>
      </c>
      <c r="I37" s="12">
        <f>SUM(J37)-0.4</f>
        <v>8.1</v>
      </c>
      <c r="J37" s="109">
        <v>8.5</v>
      </c>
      <c r="K37" s="12">
        <f>SUM(J37)+0.4</f>
        <v>8.9</v>
      </c>
      <c r="L37" s="12">
        <f>SUM(K37)+0.4</f>
        <v>9.3000000000000007</v>
      </c>
      <c r="M37" s="14"/>
    </row>
    <row r="38" spans="1:13" ht="14.1" customHeight="1" x14ac:dyDescent="0.3">
      <c r="A38" s="84"/>
      <c r="B38" s="85" t="s">
        <v>124</v>
      </c>
      <c r="C38" s="86"/>
      <c r="D38" s="87" t="s">
        <v>123</v>
      </c>
      <c r="E38" s="88"/>
      <c r="F38" s="88"/>
      <c r="G38" s="89"/>
      <c r="H38" s="30"/>
      <c r="I38" s="30"/>
      <c r="J38" s="111"/>
      <c r="K38" s="30"/>
      <c r="L38" s="30"/>
      <c r="M38" s="33"/>
    </row>
    <row r="39" spans="1:13" ht="14.1" customHeight="1" x14ac:dyDescent="0.3">
      <c r="A39" s="80">
        <v>19</v>
      </c>
      <c r="B39" s="23" t="s">
        <v>122</v>
      </c>
      <c r="C39" s="24"/>
      <c r="D39" s="44" t="s">
        <v>121</v>
      </c>
      <c r="E39" s="45"/>
      <c r="F39" s="45"/>
      <c r="G39" s="46"/>
      <c r="H39" s="12">
        <f t="shared" ref="H39:I39" si="0">SUM(I39)-0.4</f>
        <v>7.6999999999999993</v>
      </c>
      <c r="I39" s="12">
        <f t="shared" si="0"/>
        <v>8.1</v>
      </c>
      <c r="J39" s="109">
        <v>8.5</v>
      </c>
      <c r="K39" s="12">
        <f>SUM(J39)+0.4</f>
        <v>8.9</v>
      </c>
      <c r="L39" s="12">
        <f>SUM(K39)+0.4</f>
        <v>9.3000000000000007</v>
      </c>
      <c r="M39" s="14"/>
    </row>
    <row r="40" spans="1:13" ht="14.1" customHeight="1" x14ac:dyDescent="0.3">
      <c r="A40" s="84"/>
      <c r="B40" s="85" t="s">
        <v>120</v>
      </c>
      <c r="C40" s="86"/>
      <c r="D40" s="87" t="s">
        <v>119</v>
      </c>
      <c r="E40" s="88"/>
      <c r="F40" s="88"/>
      <c r="G40" s="89"/>
      <c r="H40" s="30"/>
      <c r="I40" s="30"/>
      <c r="J40" s="111"/>
      <c r="K40" s="30"/>
      <c r="L40" s="30"/>
      <c r="M40" s="33"/>
    </row>
    <row r="41" spans="1:13" s="2" customFormat="1" ht="14.1" customHeight="1" x14ac:dyDescent="0.3">
      <c r="A41" s="80">
        <v>20</v>
      </c>
      <c r="B41" s="23" t="s">
        <v>77</v>
      </c>
      <c r="C41" s="24"/>
      <c r="D41" s="47"/>
      <c r="E41" s="47"/>
      <c r="F41" s="47"/>
      <c r="G41" s="47"/>
      <c r="H41" s="12">
        <f>SUM(I41)-0.5</f>
        <v>14</v>
      </c>
      <c r="I41" s="12">
        <f>SUM(J41)-0.5</f>
        <v>14.5</v>
      </c>
      <c r="J41" s="109">
        <v>15</v>
      </c>
      <c r="K41" s="12">
        <f>SUM(J41)+0.5</f>
        <v>15.5</v>
      </c>
      <c r="L41" s="12">
        <f>SUM(K41)+0.5</f>
        <v>16</v>
      </c>
      <c r="M41" s="14"/>
    </row>
    <row r="42" spans="1:13" s="2" customFormat="1" ht="14.1" customHeight="1" x14ac:dyDescent="0.3">
      <c r="A42" s="84"/>
      <c r="B42" s="34" t="s">
        <v>78</v>
      </c>
      <c r="C42" s="35"/>
      <c r="D42" s="36"/>
      <c r="E42" s="37"/>
      <c r="F42" s="37"/>
      <c r="G42" s="38"/>
      <c r="H42" s="30"/>
      <c r="I42" s="30"/>
      <c r="J42" s="111"/>
      <c r="K42" s="30"/>
      <c r="L42" s="30"/>
      <c r="M42" s="33"/>
    </row>
    <row r="43" spans="1:13" s="2" customFormat="1" ht="14.1" customHeight="1" x14ac:dyDescent="0.3">
      <c r="A43" s="80">
        <v>21</v>
      </c>
      <c r="B43" s="23" t="s">
        <v>79</v>
      </c>
      <c r="C43" s="24"/>
      <c r="D43" s="47"/>
      <c r="E43" s="47"/>
      <c r="F43" s="47"/>
      <c r="G43" s="47"/>
      <c r="H43" s="12">
        <f>SUM(I43)-0.5</f>
        <v>14.5</v>
      </c>
      <c r="I43" s="12">
        <f>SUM(J43)-0.5</f>
        <v>15</v>
      </c>
      <c r="J43" s="109">
        <v>15.5</v>
      </c>
      <c r="K43" s="12">
        <f>SUM(J43)+0.5</f>
        <v>16</v>
      </c>
      <c r="L43" s="12">
        <f>SUM(K43)+0.5</f>
        <v>16.5</v>
      </c>
      <c r="M43" s="14"/>
    </row>
    <row r="44" spans="1:13" s="2" customFormat="1" ht="14.1" customHeight="1" thickBot="1" x14ac:dyDescent="0.35">
      <c r="A44" s="79"/>
      <c r="B44" s="108" t="s">
        <v>80</v>
      </c>
      <c r="C44" s="108"/>
      <c r="D44" s="18"/>
      <c r="E44" s="19"/>
      <c r="F44" s="19"/>
      <c r="G44" s="20"/>
      <c r="H44" s="13"/>
      <c r="I44" s="13"/>
      <c r="J44" s="110"/>
      <c r="K44" s="13"/>
      <c r="L44" s="13"/>
      <c r="M44" s="15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J3:J4"/>
    <mergeCell ref="K3:K4"/>
    <mergeCell ref="L3:L4"/>
    <mergeCell ref="M3:M4"/>
    <mergeCell ref="B4:C4"/>
    <mergeCell ref="D4:G4"/>
    <mergeCell ref="I3:I4"/>
    <mergeCell ref="H3:H4"/>
    <mergeCell ref="L7:L8"/>
    <mergeCell ref="M7:M8"/>
    <mergeCell ref="B8:C8"/>
    <mergeCell ref="D8:G8"/>
    <mergeCell ref="L5:L6"/>
    <mergeCell ref="M5:M6"/>
    <mergeCell ref="I5:I6"/>
    <mergeCell ref="I7:I8"/>
    <mergeCell ref="H5:H6"/>
    <mergeCell ref="H7:H8"/>
    <mergeCell ref="A5:A6"/>
    <mergeCell ref="B5:C5"/>
    <mergeCell ref="D5:G5"/>
    <mergeCell ref="J5:J6"/>
    <mergeCell ref="K5:K6"/>
    <mergeCell ref="B6:C6"/>
    <mergeCell ref="D6:G6"/>
    <mergeCell ref="A11:A12"/>
    <mergeCell ref="B11:C11"/>
    <mergeCell ref="D11:G11"/>
    <mergeCell ref="J11:J12"/>
    <mergeCell ref="K11:K12"/>
    <mergeCell ref="A9:A10"/>
    <mergeCell ref="B9:C9"/>
    <mergeCell ref="D9:G9"/>
    <mergeCell ref="J9:J10"/>
    <mergeCell ref="K9:K10"/>
    <mergeCell ref="A7:A8"/>
    <mergeCell ref="B7:C7"/>
    <mergeCell ref="D7:G7"/>
    <mergeCell ref="J7:J8"/>
    <mergeCell ref="K7:K8"/>
    <mergeCell ref="L11:L12"/>
    <mergeCell ref="M11:M12"/>
    <mergeCell ref="B12:C12"/>
    <mergeCell ref="D12:G12"/>
    <mergeCell ref="L9:L10"/>
    <mergeCell ref="M9:M10"/>
    <mergeCell ref="B10:C10"/>
    <mergeCell ref="D10:G10"/>
    <mergeCell ref="I9:I10"/>
    <mergeCell ref="I11:I12"/>
    <mergeCell ref="H9:H10"/>
    <mergeCell ref="H11:H12"/>
    <mergeCell ref="A15:A16"/>
    <mergeCell ref="B15:C15"/>
    <mergeCell ref="D15:G15"/>
    <mergeCell ref="J15:J16"/>
    <mergeCell ref="K15:K16"/>
    <mergeCell ref="A13:A14"/>
    <mergeCell ref="B13:C13"/>
    <mergeCell ref="D13:G13"/>
    <mergeCell ref="J13:J14"/>
    <mergeCell ref="K13:K14"/>
    <mergeCell ref="L15:L16"/>
    <mergeCell ref="M15:M16"/>
    <mergeCell ref="B16:C16"/>
    <mergeCell ref="D16:G16"/>
    <mergeCell ref="L13:L14"/>
    <mergeCell ref="M13:M14"/>
    <mergeCell ref="B14:C14"/>
    <mergeCell ref="D14:G14"/>
    <mergeCell ref="I13:I14"/>
    <mergeCell ref="I15:I16"/>
    <mergeCell ref="H13:H14"/>
    <mergeCell ref="H15:H16"/>
    <mergeCell ref="A19:A20"/>
    <mergeCell ref="B19:C19"/>
    <mergeCell ref="D19:G19"/>
    <mergeCell ref="J19:J20"/>
    <mergeCell ref="K19:K20"/>
    <mergeCell ref="A17:A18"/>
    <mergeCell ref="B17:C17"/>
    <mergeCell ref="D17:G17"/>
    <mergeCell ref="J17:J18"/>
    <mergeCell ref="K17:K18"/>
    <mergeCell ref="L19:L20"/>
    <mergeCell ref="M19:M20"/>
    <mergeCell ref="B20:C20"/>
    <mergeCell ref="D20:G20"/>
    <mergeCell ref="L17:L18"/>
    <mergeCell ref="M17:M18"/>
    <mergeCell ref="B18:C18"/>
    <mergeCell ref="D18:G18"/>
    <mergeCell ref="I17:I18"/>
    <mergeCell ref="I19:I20"/>
    <mergeCell ref="H17:H18"/>
    <mergeCell ref="H19:H20"/>
    <mergeCell ref="A23:A24"/>
    <mergeCell ref="B23:C23"/>
    <mergeCell ref="D23:G23"/>
    <mergeCell ref="J23:J24"/>
    <mergeCell ref="K23:K24"/>
    <mergeCell ref="A21:A22"/>
    <mergeCell ref="B21:C21"/>
    <mergeCell ref="D21:G21"/>
    <mergeCell ref="J21:J22"/>
    <mergeCell ref="K21:K22"/>
    <mergeCell ref="L23:L24"/>
    <mergeCell ref="M23:M24"/>
    <mergeCell ref="B24:C24"/>
    <mergeCell ref="D24:G24"/>
    <mergeCell ref="L21:L22"/>
    <mergeCell ref="M21:M22"/>
    <mergeCell ref="B22:C22"/>
    <mergeCell ref="D22:G22"/>
    <mergeCell ref="I21:I22"/>
    <mergeCell ref="I23:I24"/>
    <mergeCell ref="H21:H22"/>
    <mergeCell ref="H23:H24"/>
    <mergeCell ref="A27:A28"/>
    <mergeCell ref="B27:C27"/>
    <mergeCell ref="D27:G27"/>
    <mergeCell ref="J27:J28"/>
    <mergeCell ref="K27:K28"/>
    <mergeCell ref="A25:A26"/>
    <mergeCell ref="B25:C25"/>
    <mergeCell ref="D25:G25"/>
    <mergeCell ref="J25:J26"/>
    <mergeCell ref="K25:K26"/>
    <mergeCell ref="L27:L28"/>
    <mergeCell ref="M27:M28"/>
    <mergeCell ref="B28:C28"/>
    <mergeCell ref="D28:G28"/>
    <mergeCell ref="L25:L26"/>
    <mergeCell ref="M25:M26"/>
    <mergeCell ref="B26:C26"/>
    <mergeCell ref="D26:G26"/>
    <mergeCell ref="I25:I26"/>
    <mergeCell ref="I27:I28"/>
    <mergeCell ref="H25:H26"/>
    <mergeCell ref="H27:H28"/>
    <mergeCell ref="A31:A32"/>
    <mergeCell ref="B31:C31"/>
    <mergeCell ref="D31:G31"/>
    <mergeCell ref="J31:J32"/>
    <mergeCell ref="K31:K32"/>
    <mergeCell ref="A29:A30"/>
    <mergeCell ref="B29:C29"/>
    <mergeCell ref="D29:G29"/>
    <mergeCell ref="J29:J30"/>
    <mergeCell ref="K29:K30"/>
    <mergeCell ref="L31:L32"/>
    <mergeCell ref="M31:M32"/>
    <mergeCell ref="B32:C32"/>
    <mergeCell ref="D32:G32"/>
    <mergeCell ref="L29:L30"/>
    <mergeCell ref="M29:M30"/>
    <mergeCell ref="B30:C30"/>
    <mergeCell ref="D30:G30"/>
    <mergeCell ref="I29:I30"/>
    <mergeCell ref="I31:I32"/>
    <mergeCell ref="H29:H30"/>
    <mergeCell ref="H31:H32"/>
    <mergeCell ref="A35:A36"/>
    <mergeCell ref="B35:C35"/>
    <mergeCell ref="D35:G35"/>
    <mergeCell ref="J35:J36"/>
    <mergeCell ref="K35:K36"/>
    <mergeCell ref="A33:A34"/>
    <mergeCell ref="B33:C33"/>
    <mergeCell ref="D33:G33"/>
    <mergeCell ref="J33:J34"/>
    <mergeCell ref="K33:K34"/>
    <mergeCell ref="L35:L36"/>
    <mergeCell ref="M35:M36"/>
    <mergeCell ref="B36:C36"/>
    <mergeCell ref="D36:G36"/>
    <mergeCell ref="L33:L34"/>
    <mergeCell ref="M33:M34"/>
    <mergeCell ref="B34:C34"/>
    <mergeCell ref="D34:G34"/>
    <mergeCell ref="I33:I34"/>
    <mergeCell ref="I35:I36"/>
    <mergeCell ref="H33:H34"/>
    <mergeCell ref="H35:H36"/>
    <mergeCell ref="A39:A40"/>
    <mergeCell ref="B39:C39"/>
    <mergeCell ref="D39:G39"/>
    <mergeCell ref="J39:J40"/>
    <mergeCell ref="K39:K40"/>
    <mergeCell ref="A37:A38"/>
    <mergeCell ref="B37:C37"/>
    <mergeCell ref="D37:G37"/>
    <mergeCell ref="J37:J38"/>
    <mergeCell ref="K37:K38"/>
    <mergeCell ref="L39:L40"/>
    <mergeCell ref="M39:M40"/>
    <mergeCell ref="B40:C40"/>
    <mergeCell ref="D40:G40"/>
    <mergeCell ref="L37:L38"/>
    <mergeCell ref="M37:M38"/>
    <mergeCell ref="B38:C38"/>
    <mergeCell ref="D38:G38"/>
    <mergeCell ref="I37:I38"/>
    <mergeCell ref="I39:I40"/>
    <mergeCell ref="H37:H38"/>
    <mergeCell ref="H39:H40"/>
    <mergeCell ref="A43:A44"/>
    <mergeCell ref="B43:C43"/>
    <mergeCell ref="D43:G43"/>
    <mergeCell ref="J43:J44"/>
    <mergeCell ref="K43:K44"/>
    <mergeCell ref="A41:A42"/>
    <mergeCell ref="B41:C41"/>
    <mergeCell ref="D41:G41"/>
    <mergeCell ref="J41:J42"/>
    <mergeCell ref="K41:K42"/>
    <mergeCell ref="L43:L44"/>
    <mergeCell ref="M43:M44"/>
    <mergeCell ref="B44:C44"/>
    <mergeCell ref="D44:G44"/>
    <mergeCell ref="L41:L42"/>
    <mergeCell ref="M41:M42"/>
    <mergeCell ref="B42:C42"/>
    <mergeCell ref="D42:G42"/>
    <mergeCell ref="I41:I42"/>
    <mergeCell ref="I43:I44"/>
    <mergeCell ref="H41:H42"/>
    <mergeCell ref="H43:H4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113D-0B64-4F6A-9EDF-39926734195C}">
  <sheetPr>
    <tabColor theme="7"/>
    <pageSetUpPr fitToPage="1"/>
  </sheetPr>
  <dimension ref="A1:P60"/>
  <sheetViews>
    <sheetView zoomScale="110" zoomScaleNormal="110" workbookViewId="0">
      <selection activeCell="O34" sqref="O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246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157</v>
      </c>
      <c r="I2" s="5" t="s">
        <v>33</v>
      </c>
      <c r="J2" s="5" t="s">
        <v>34</v>
      </c>
      <c r="K2" s="5" t="s">
        <v>247</v>
      </c>
      <c r="L2" s="5"/>
      <c r="M2" s="5"/>
    </row>
    <row r="3" spans="1:13" s="2" customFormat="1" ht="14.1" customHeight="1" x14ac:dyDescent="0.3">
      <c r="A3" s="102">
        <v>1</v>
      </c>
      <c r="B3" s="103" t="s">
        <v>117</v>
      </c>
      <c r="C3" s="104"/>
      <c r="D3" s="71" t="s">
        <v>75</v>
      </c>
      <c r="E3" s="105"/>
      <c r="F3" s="105"/>
      <c r="G3" s="106"/>
      <c r="H3" s="121">
        <v>61.5</v>
      </c>
      <c r="I3" s="61">
        <f>SUM(H3)+2.5</f>
        <v>64</v>
      </c>
      <c r="J3" s="61">
        <f>SUM(I3)+2.5</f>
        <v>66.5</v>
      </c>
      <c r="K3" s="61">
        <f>SUM(J3)+2.5</f>
        <v>69</v>
      </c>
      <c r="L3" s="61"/>
      <c r="M3" s="62"/>
    </row>
    <row r="4" spans="1:13" s="2" customFormat="1" ht="14.1" customHeight="1" x14ac:dyDescent="0.3">
      <c r="A4" s="84"/>
      <c r="B4" s="85" t="s">
        <v>116</v>
      </c>
      <c r="C4" s="86"/>
      <c r="D4" s="87" t="s">
        <v>74</v>
      </c>
      <c r="E4" s="88"/>
      <c r="F4" s="88"/>
      <c r="G4" s="89"/>
      <c r="H4" s="117"/>
      <c r="I4" s="30"/>
      <c r="J4" s="30"/>
      <c r="K4" s="30"/>
      <c r="L4" s="30"/>
      <c r="M4" s="33"/>
    </row>
    <row r="5" spans="1:13" s="2" customFormat="1" ht="14.1" customHeight="1" x14ac:dyDescent="0.3">
      <c r="A5" s="80">
        <v>2</v>
      </c>
      <c r="B5" s="54" t="s">
        <v>115</v>
      </c>
      <c r="C5" s="55"/>
      <c r="D5" s="56"/>
      <c r="E5" s="57"/>
      <c r="F5" s="57"/>
      <c r="G5" s="58"/>
      <c r="H5" s="120"/>
      <c r="I5" s="74"/>
      <c r="J5" s="74"/>
      <c r="K5" s="74"/>
      <c r="L5" s="74"/>
      <c r="M5" s="75"/>
    </row>
    <row r="6" spans="1:13" s="2" customFormat="1" ht="14.1" customHeight="1" x14ac:dyDescent="0.3">
      <c r="A6" s="84"/>
      <c r="B6" s="85" t="s">
        <v>114</v>
      </c>
      <c r="C6" s="86"/>
      <c r="D6" s="87"/>
      <c r="E6" s="88"/>
      <c r="F6" s="88"/>
      <c r="G6" s="89"/>
      <c r="H6" s="117"/>
      <c r="I6" s="30"/>
      <c r="J6" s="30"/>
      <c r="K6" s="30"/>
      <c r="L6" s="30"/>
      <c r="M6" s="33"/>
    </row>
    <row r="7" spans="1:13" s="2" customFormat="1" ht="14.1" customHeight="1" x14ac:dyDescent="0.3">
      <c r="A7" s="80">
        <v>3</v>
      </c>
      <c r="B7" s="54" t="s">
        <v>73</v>
      </c>
      <c r="C7" s="55"/>
      <c r="D7" s="56"/>
      <c r="E7" s="57"/>
      <c r="F7" s="57"/>
      <c r="G7" s="58"/>
      <c r="H7" s="120"/>
      <c r="I7" s="74"/>
      <c r="J7" s="74"/>
      <c r="K7" s="74"/>
      <c r="L7" s="74"/>
      <c r="M7" s="75"/>
    </row>
    <row r="8" spans="1:13" s="2" customFormat="1" ht="14.1" customHeight="1" x14ac:dyDescent="0.3">
      <c r="A8" s="84"/>
      <c r="B8" s="85" t="s">
        <v>113</v>
      </c>
      <c r="C8" s="86"/>
      <c r="D8" s="87"/>
      <c r="E8" s="88"/>
      <c r="F8" s="88"/>
      <c r="G8" s="89"/>
      <c r="H8" s="117"/>
      <c r="I8" s="30"/>
      <c r="J8" s="30"/>
      <c r="K8" s="30"/>
      <c r="L8" s="30"/>
      <c r="M8" s="33"/>
    </row>
    <row r="9" spans="1:13" s="2" customFormat="1" ht="14.1" customHeight="1" x14ac:dyDescent="0.3">
      <c r="A9" s="80">
        <v>4</v>
      </c>
      <c r="B9" s="23" t="s">
        <v>112</v>
      </c>
      <c r="C9" s="24"/>
      <c r="D9" s="99"/>
      <c r="E9" s="100"/>
      <c r="F9" s="100"/>
      <c r="G9" s="101"/>
      <c r="H9" s="120"/>
      <c r="I9" s="74"/>
      <c r="J9" s="74"/>
      <c r="K9" s="74"/>
      <c r="L9" s="74"/>
      <c r="M9" s="75"/>
    </row>
    <row r="10" spans="1:13" s="2" customFormat="1" ht="14.1" customHeight="1" x14ac:dyDescent="0.3">
      <c r="A10" s="84"/>
      <c r="B10" s="85" t="s">
        <v>111</v>
      </c>
      <c r="C10" s="86"/>
      <c r="D10" s="96"/>
      <c r="E10" s="97"/>
      <c r="F10" s="97"/>
      <c r="G10" s="98"/>
      <c r="H10" s="117"/>
      <c r="I10" s="30"/>
      <c r="J10" s="30"/>
      <c r="K10" s="30"/>
      <c r="L10" s="30"/>
      <c r="M10" s="33"/>
    </row>
    <row r="11" spans="1:13" s="2" customFormat="1" ht="14.1" customHeight="1" x14ac:dyDescent="0.3">
      <c r="A11" s="80">
        <v>5</v>
      </c>
      <c r="B11" s="23" t="s">
        <v>85</v>
      </c>
      <c r="C11" s="24"/>
      <c r="D11" s="56"/>
      <c r="E11" s="57"/>
      <c r="F11" s="57"/>
      <c r="G11" s="58"/>
      <c r="H11" s="120">
        <v>92</v>
      </c>
      <c r="I11" s="74">
        <f>SUM(H11)+4.5</f>
        <v>96.5</v>
      </c>
      <c r="J11" s="74">
        <f>SUM(I11)+4.5</f>
        <v>101</v>
      </c>
      <c r="K11" s="74">
        <f>SUM(J11)+4.5</f>
        <v>105.5</v>
      </c>
      <c r="L11" s="74"/>
      <c r="M11" s="75"/>
    </row>
    <row r="12" spans="1:13" s="2" customFormat="1" ht="14.1" customHeight="1" x14ac:dyDescent="0.3">
      <c r="A12" s="84"/>
      <c r="B12" s="85" t="s">
        <v>110</v>
      </c>
      <c r="C12" s="86"/>
      <c r="D12" s="87"/>
      <c r="E12" s="88"/>
      <c r="F12" s="88"/>
      <c r="G12" s="89"/>
      <c r="H12" s="117"/>
      <c r="I12" s="30"/>
      <c r="J12" s="30"/>
      <c r="K12" s="30"/>
      <c r="L12" s="30"/>
      <c r="M12" s="33"/>
    </row>
    <row r="13" spans="1:13" s="2" customFormat="1" ht="14.1" customHeight="1" x14ac:dyDescent="0.3">
      <c r="A13" s="80">
        <v>6</v>
      </c>
      <c r="B13" s="23" t="s">
        <v>41</v>
      </c>
      <c r="C13" s="24"/>
      <c r="D13" s="44" t="s">
        <v>118</v>
      </c>
      <c r="E13" s="45"/>
      <c r="F13" s="45"/>
      <c r="G13" s="46"/>
      <c r="H13" s="116">
        <v>97.8</v>
      </c>
      <c r="I13" s="12">
        <f>SUM(H13)+5</f>
        <v>102.8</v>
      </c>
      <c r="J13" s="12">
        <f>SUM(I13)+5</f>
        <v>107.8</v>
      </c>
      <c r="K13" s="12">
        <f>SUM(J13)+5</f>
        <v>112.8</v>
      </c>
      <c r="L13" s="12"/>
      <c r="M13" s="14"/>
    </row>
    <row r="14" spans="1:13" s="2" customFormat="1" ht="14.1" customHeight="1" x14ac:dyDescent="0.3">
      <c r="A14" s="84"/>
      <c r="B14" s="85" t="s">
        <v>42</v>
      </c>
      <c r="C14" s="86"/>
      <c r="D14" s="87" t="s">
        <v>76</v>
      </c>
      <c r="E14" s="88"/>
      <c r="F14" s="88"/>
      <c r="G14" s="89"/>
      <c r="H14" s="117"/>
      <c r="I14" s="30"/>
      <c r="J14" s="30"/>
      <c r="K14" s="30"/>
      <c r="L14" s="30"/>
      <c r="M14" s="33"/>
    </row>
    <row r="15" spans="1:13" s="2" customFormat="1" ht="14.1" customHeight="1" x14ac:dyDescent="0.3">
      <c r="A15" s="80">
        <v>7</v>
      </c>
      <c r="B15" s="23" t="s">
        <v>109</v>
      </c>
      <c r="C15" s="24"/>
      <c r="D15" s="44"/>
      <c r="E15" s="45"/>
      <c r="F15" s="45"/>
      <c r="G15" s="46"/>
      <c r="H15" s="116">
        <v>18.2</v>
      </c>
      <c r="I15" s="12">
        <f>SUM(H15)+0.7</f>
        <v>18.899999999999999</v>
      </c>
      <c r="J15" s="12">
        <f>SUM(I15)+0.7</f>
        <v>19.599999999999998</v>
      </c>
      <c r="K15" s="12">
        <f>SUM(J15)+0.7</f>
        <v>20.299999999999997</v>
      </c>
      <c r="L15" s="43"/>
      <c r="M15" s="90"/>
    </row>
    <row r="16" spans="1:13" s="2" customFormat="1" ht="14.1" customHeight="1" x14ac:dyDescent="0.3">
      <c r="A16" s="84"/>
      <c r="B16" s="85" t="s">
        <v>108</v>
      </c>
      <c r="C16" s="86"/>
      <c r="D16" s="93" t="s">
        <v>107</v>
      </c>
      <c r="E16" s="94"/>
      <c r="F16" s="94"/>
      <c r="G16" s="95"/>
      <c r="H16" s="117"/>
      <c r="I16" s="30"/>
      <c r="J16" s="30"/>
      <c r="K16" s="30"/>
      <c r="L16" s="41"/>
      <c r="M16" s="91"/>
    </row>
    <row r="17" spans="1:16" s="2" customFormat="1" ht="14.1" customHeight="1" x14ac:dyDescent="0.3">
      <c r="A17" s="80">
        <v>8</v>
      </c>
      <c r="B17" s="23" t="s">
        <v>106</v>
      </c>
      <c r="C17" s="24"/>
      <c r="D17" s="44"/>
      <c r="E17" s="45"/>
      <c r="F17" s="45"/>
      <c r="G17" s="46"/>
      <c r="H17" s="116">
        <v>14</v>
      </c>
      <c r="I17" s="12">
        <f>SUM(H17)+0.7</f>
        <v>14.7</v>
      </c>
      <c r="J17" s="12">
        <f>SUM(I17)+0.7</f>
        <v>15.399999999999999</v>
      </c>
      <c r="K17" s="12">
        <f>SUM(J17)+0.7</f>
        <v>16.099999999999998</v>
      </c>
      <c r="L17" s="43"/>
      <c r="M17" s="90"/>
    </row>
    <row r="18" spans="1:16" s="2" customFormat="1" ht="14.1" customHeight="1" x14ac:dyDescent="0.3">
      <c r="A18" s="84"/>
      <c r="B18" s="85" t="s">
        <v>105</v>
      </c>
      <c r="C18" s="86"/>
      <c r="D18" s="93" t="s">
        <v>104</v>
      </c>
      <c r="E18" s="94"/>
      <c r="F18" s="94"/>
      <c r="G18" s="95"/>
      <c r="H18" s="117"/>
      <c r="I18" s="30"/>
      <c r="J18" s="30"/>
      <c r="K18" s="30"/>
      <c r="L18" s="41"/>
      <c r="M18" s="91"/>
    </row>
    <row r="19" spans="1:16" s="2" customFormat="1" ht="14.1" customHeight="1" x14ac:dyDescent="0.3">
      <c r="A19" s="80">
        <v>9</v>
      </c>
      <c r="B19" s="23" t="s">
        <v>43</v>
      </c>
      <c r="C19" s="24"/>
      <c r="D19" s="44" t="s">
        <v>72</v>
      </c>
      <c r="E19" s="45"/>
      <c r="F19" s="45"/>
      <c r="G19" s="46"/>
      <c r="H19" s="116">
        <v>92.5</v>
      </c>
      <c r="I19" s="12">
        <f>SUM(H19)+4</f>
        <v>96.5</v>
      </c>
      <c r="J19" s="12">
        <f>SUM(I19)+4</f>
        <v>100.5</v>
      </c>
      <c r="K19" s="12">
        <f>SUM(J19)+4</f>
        <v>104.5</v>
      </c>
      <c r="L19" s="12"/>
      <c r="M19" s="14"/>
    </row>
    <row r="20" spans="1:16" s="2" customFormat="1" ht="14.1" customHeight="1" x14ac:dyDescent="0.3">
      <c r="A20" s="84"/>
      <c r="B20" s="85" t="s">
        <v>44</v>
      </c>
      <c r="C20" s="86"/>
      <c r="D20" s="87" t="s">
        <v>71</v>
      </c>
      <c r="E20" s="88"/>
      <c r="F20" s="88"/>
      <c r="G20" s="89"/>
      <c r="H20" s="117"/>
      <c r="I20" s="30"/>
      <c r="J20" s="30"/>
      <c r="K20" s="30"/>
      <c r="L20" s="30"/>
      <c r="M20" s="33"/>
    </row>
    <row r="21" spans="1:16" s="2" customFormat="1" ht="14.1" customHeight="1" x14ac:dyDescent="0.3">
      <c r="A21" s="80">
        <v>10</v>
      </c>
      <c r="B21" s="23" t="s">
        <v>84</v>
      </c>
      <c r="C21" s="24"/>
      <c r="D21" s="44" t="s">
        <v>83</v>
      </c>
      <c r="E21" s="45"/>
      <c r="F21" s="45"/>
      <c r="G21" s="46"/>
      <c r="H21" s="116">
        <v>55</v>
      </c>
      <c r="I21" s="12">
        <f>SUM(H21)+2.4</f>
        <v>57.4</v>
      </c>
      <c r="J21" s="12">
        <f>SUM(I21)+2.4</f>
        <v>59.8</v>
      </c>
      <c r="K21" s="12">
        <f>SUM(J21)+2.4</f>
        <v>62.199999999999996</v>
      </c>
      <c r="L21" s="12"/>
      <c r="M21" s="14"/>
    </row>
    <row r="22" spans="1:16" s="2" customFormat="1" ht="14.1" customHeight="1" x14ac:dyDescent="0.3">
      <c r="A22" s="84"/>
      <c r="B22" s="85" t="s">
        <v>82</v>
      </c>
      <c r="C22" s="86"/>
      <c r="D22" s="36" t="s">
        <v>81</v>
      </c>
      <c r="E22" s="37"/>
      <c r="F22" s="37"/>
      <c r="G22" s="38"/>
      <c r="H22" s="117"/>
      <c r="I22" s="30"/>
      <c r="J22" s="30"/>
      <c r="K22" s="30"/>
      <c r="L22" s="30"/>
      <c r="M22" s="33"/>
      <c r="P22" s="11" t="s">
        <v>208</v>
      </c>
    </row>
    <row r="23" spans="1:16" s="2" customFormat="1" ht="14.1" customHeight="1" x14ac:dyDescent="0.3">
      <c r="A23" s="80">
        <v>11</v>
      </c>
      <c r="B23" s="54" t="s">
        <v>149</v>
      </c>
      <c r="C23" s="55"/>
      <c r="D23" s="81"/>
      <c r="E23" s="82"/>
      <c r="F23" s="82"/>
      <c r="G23" s="83"/>
      <c r="H23" s="116">
        <v>67</v>
      </c>
      <c r="I23" s="12">
        <f>SUM(H23)+2.4</f>
        <v>69.400000000000006</v>
      </c>
      <c r="J23" s="12">
        <f>SUM(I23)+2.4</f>
        <v>71.800000000000011</v>
      </c>
      <c r="K23" s="12">
        <f>SUM(J23)+2.4</f>
        <v>74.200000000000017</v>
      </c>
      <c r="L23" s="74"/>
      <c r="M23" s="75"/>
      <c r="P23" s="11">
        <f>SUM(I23+I23+J23+J23+K23+K23)</f>
        <v>430.80000000000007</v>
      </c>
    </row>
    <row r="24" spans="1:16" s="2" customFormat="1" ht="14.1" customHeight="1" x14ac:dyDescent="0.3">
      <c r="A24" s="84"/>
      <c r="B24" s="54" t="s">
        <v>150</v>
      </c>
      <c r="C24" s="55"/>
      <c r="D24" s="92" t="s">
        <v>159</v>
      </c>
      <c r="E24" s="57"/>
      <c r="F24" s="57"/>
      <c r="G24" s="58"/>
      <c r="H24" s="117"/>
      <c r="I24" s="30"/>
      <c r="J24" s="30"/>
      <c r="K24" s="30"/>
      <c r="L24" s="74"/>
      <c r="M24" s="75"/>
      <c r="P24" s="11">
        <f>SUM(P23/91.44/3*1.08)</f>
        <v>1.6960629921259847</v>
      </c>
    </row>
    <row r="25" spans="1:16" s="2" customFormat="1" ht="14.1" customHeight="1" x14ac:dyDescent="0.3">
      <c r="A25" s="80">
        <v>12</v>
      </c>
      <c r="B25" s="23" t="s">
        <v>45</v>
      </c>
      <c r="C25" s="24"/>
      <c r="D25" s="44" t="s">
        <v>46</v>
      </c>
      <c r="E25" s="45"/>
      <c r="F25" s="45"/>
      <c r="G25" s="46"/>
      <c r="H25" s="116">
        <v>28.8</v>
      </c>
      <c r="I25" s="12">
        <f>SUM(H25)+1.1</f>
        <v>29.900000000000002</v>
      </c>
      <c r="J25" s="12">
        <f>SUM(I25)+1.1</f>
        <v>31.000000000000004</v>
      </c>
      <c r="K25" s="12">
        <f>SUM(J25)+1.1</f>
        <v>32.1</v>
      </c>
      <c r="L25" s="43"/>
      <c r="M25" s="90"/>
    </row>
    <row r="26" spans="1:16" s="2" customFormat="1" ht="14.1" customHeight="1" x14ac:dyDescent="0.3">
      <c r="A26" s="84"/>
      <c r="B26" s="85" t="s">
        <v>47</v>
      </c>
      <c r="C26" s="86"/>
      <c r="D26" s="87" t="s">
        <v>70</v>
      </c>
      <c r="E26" s="88"/>
      <c r="F26" s="88"/>
      <c r="G26" s="89"/>
      <c r="H26" s="117"/>
      <c r="I26" s="30"/>
      <c r="J26" s="30"/>
      <c r="K26" s="30"/>
      <c r="L26" s="41"/>
      <c r="M26" s="91"/>
    </row>
    <row r="27" spans="1:16" s="2" customFormat="1" ht="14.1" customHeight="1" x14ac:dyDescent="0.3">
      <c r="A27" s="80">
        <v>13</v>
      </c>
      <c r="B27" s="23" t="s">
        <v>48</v>
      </c>
      <c r="C27" s="24"/>
      <c r="D27" s="44" t="s">
        <v>46</v>
      </c>
      <c r="E27" s="45"/>
      <c r="F27" s="45"/>
      <c r="G27" s="46"/>
      <c r="H27" s="116">
        <v>38.9</v>
      </c>
      <c r="I27" s="12">
        <f>SUM(H27)+1.3</f>
        <v>40.199999999999996</v>
      </c>
      <c r="J27" s="12">
        <f>SUM(I27)+1.3</f>
        <v>41.499999999999993</v>
      </c>
      <c r="K27" s="12">
        <f>SUM(J27)+1.3</f>
        <v>42.79999999999999</v>
      </c>
      <c r="L27" s="43"/>
      <c r="M27" s="90"/>
    </row>
    <row r="28" spans="1:16" s="2" customFormat="1" ht="14.1" customHeight="1" x14ac:dyDescent="0.3">
      <c r="A28" s="84"/>
      <c r="B28" s="85" t="s">
        <v>49</v>
      </c>
      <c r="C28" s="86"/>
      <c r="D28" s="87" t="s">
        <v>70</v>
      </c>
      <c r="E28" s="88"/>
      <c r="F28" s="88"/>
      <c r="G28" s="89"/>
      <c r="H28" s="117"/>
      <c r="I28" s="30"/>
      <c r="J28" s="30"/>
      <c r="K28" s="30"/>
      <c r="L28" s="41"/>
      <c r="M28" s="91"/>
    </row>
    <row r="29" spans="1:16" s="2" customFormat="1" ht="14.1" customHeight="1" x14ac:dyDescent="0.3">
      <c r="A29" s="80">
        <v>14</v>
      </c>
      <c r="B29" s="23" t="s">
        <v>50</v>
      </c>
      <c r="C29" s="24"/>
      <c r="D29" s="44" t="s">
        <v>51</v>
      </c>
      <c r="E29" s="45"/>
      <c r="F29" s="45"/>
      <c r="G29" s="46"/>
      <c r="H29" s="116">
        <v>63.2</v>
      </c>
      <c r="I29" s="12">
        <f>SUM(H29)+3.1</f>
        <v>66.3</v>
      </c>
      <c r="J29" s="12">
        <f>SUM(I29)+3.1</f>
        <v>69.399999999999991</v>
      </c>
      <c r="K29" s="12">
        <f>SUM(J29)+3.1</f>
        <v>72.499999999999986</v>
      </c>
      <c r="L29" s="12"/>
      <c r="M29" s="14"/>
    </row>
    <row r="30" spans="1:16" s="2" customFormat="1" ht="14.1" customHeight="1" x14ac:dyDescent="0.3">
      <c r="A30" s="84"/>
      <c r="B30" s="85" t="s">
        <v>52</v>
      </c>
      <c r="C30" s="86"/>
      <c r="D30" s="87" t="s">
        <v>69</v>
      </c>
      <c r="E30" s="88"/>
      <c r="F30" s="88"/>
      <c r="G30" s="89"/>
      <c r="H30" s="117"/>
      <c r="I30" s="30"/>
      <c r="J30" s="30"/>
      <c r="K30" s="30"/>
      <c r="L30" s="30"/>
      <c r="M30" s="33"/>
    </row>
    <row r="31" spans="1:16" s="2" customFormat="1" ht="14.1" customHeight="1" x14ac:dyDescent="0.3">
      <c r="A31" s="80">
        <v>15</v>
      </c>
      <c r="B31" s="23" t="s">
        <v>53</v>
      </c>
      <c r="C31" s="24"/>
      <c r="D31" s="44" t="s">
        <v>54</v>
      </c>
      <c r="E31" s="45"/>
      <c r="F31" s="45"/>
      <c r="G31" s="46"/>
      <c r="H31" s="116">
        <v>65.3</v>
      </c>
      <c r="I31" s="12">
        <f>SUM(H31)+3</f>
        <v>68.3</v>
      </c>
      <c r="J31" s="12">
        <f>SUM(I31)+3</f>
        <v>71.3</v>
      </c>
      <c r="K31" s="12">
        <f>SUM(J31)+3</f>
        <v>74.3</v>
      </c>
      <c r="L31" s="12"/>
      <c r="M31" s="14"/>
    </row>
    <row r="32" spans="1:16" s="2" customFormat="1" ht="14.1" customHeight="1" x14ac:dyDescent="0.3">
      <c r="A32" s="84"/>
      <c r="B32" s="85" t="s">
        <v>55</v>
      </c>
      <c r="C32" s="86"/>
      <c r="D32" s="87" t="s">
        <v>68</v>
      </c>
      <c r="E32" s="88"/>
      <c r="F32" s="88"/>
      <c r="G32" s="89"/>
      <c r="H32" s="117"/>
      <c r="I32" s="30"/>
      <c r="J32" s="30"/>
      <c r="K32" s="30"/>
      <c r="L32" s="30"/>
      <c r="M32" s="33"/>
    </row>
    <row r="33" spans="1:13" s="2" customFormat="1" ht="14.1" customHeight="1" x14ac:dyDescent="0.3">
      <c r="A33" s="80">
        <v>16</v>
      </c>
      <c r="B33" s="23" t="s">
        <v>67</v>
      </c>
      <c r="C33" s="24"/>
      <c r="D33" s="44" t="s">
        <v>65</v>
      </c>
      <c r="E33" s="45"/>
      <c r="F33" s="45"/>
      <c r="G33" s="46"/>
      <c r="H33" s="116">
        <v>57</v>
      </c>
      <c r="I33" s="12">
        <f>SUM(H33)+2.5</f>
        <v>59.5</v>
      </c>
      <c r="J33" s="12">
        <f>SUM(I33)+2.5</f>
        <v>62</v>
      </c>
      <c r="K33" s="12">
        <f>SUM(J33)+2.5</f>
        <v>64.5</v>
      </c>
      <c r="L33" s="12"/>
      <c r="M33" s="14"/>
    </row>
    <row r="34" spans="1:13" s="2" customFormat="1" ht="14.1" customHeight="1" x14ac:dyDescent="0.3">
      <c r="A34" s="84"/>
      <c r="B34" s="85" t="s">
        <v>66</v>
      </c>
      <c r="C34" s="86"/>
      <c r="D34" s="87" t="s">
        <v>65</v>
      </c>
      <c r="E34" s="88"/>
      <c r="F34" s="88"/>
      <c r="G34" s="89"/>
      <c r="H34" s="117"/>
      <c r="I34" s="30"/>
      <c r="J34" s="30"/>
      <c r="K34" s="30"/>
      <c r="L34" s="30"/>
      <c r="M34" s="33"/>
    </row>
    <row r="35" spans="1:13" s="2" customFormat="1" ht="14.1" customHeight="1" x14ac:dyDescent="0.3">
      <c r="A35" s="80">
        <v>17</v>
      </c>
      <c r="B35" s="23" t="s">
        <v>103</v>
      </c>
      <c r="C35" s="24"/>
      <c r="D35" s="44" t="s">
        <v>102</v>
      </c>
      <c r="E35" s="45"/>
      <c r="F35" s="45"/>
      <c r="G35" s="46"/>
      <c r="H35" s="116">
        <v>53.8</v>
      </c>
      <c r="I35" s="12">
        <f>SUM(H35)+2.2</f>
        <v>56</v>
      </c>
      <c r="J35" s="12">
        <f>SUM(I35)+2.2</f>
        <v>58.2</v>
      </c>
      <c r="K35" s="12">
        <f>SUM(J35)+2.2</f>
        <v>60.400000000000006</v>
      </c>
      <c r="L35" s="12"/>
      <c r="M35" s="14"/>
    </row>
    <row r="36" spans="1:13" s="2" customFormat="1" ht="14.1" customHeight="1" x14ac:dyDescent="0.3">
      <c r="A36" s="84"/>
      <c r="B36" s="85" t="s">
        <v>101</v>
      </c>
      <c r="C36" s="86"/>
      <c r="D36" s="87" t="s">
        <v>100</v>
      </c>
      <c r="E36" s="88"/>
      <c r="F36" s="88"/>
      <c r="G36" s="89"/>
      <c r="H36" s="117"/>
      <c r="I36" s="30"/>
      <c r="J36" s="30"/>
      <c r="K36" s="30"/>
      <c r="L36" s="30"/>
      <c r="M36" s="33"/>
    </row>
    <row r="37" spans="1:13" ht="14.1" customHeight="1" x14ac:dyDescent="0.3">
      <c r="A37" s="80">
        <v>18</v>
      </c>
      <c r="B37" s="23" t="s">
        <v>126</v>
      </c>
      <c r="C37" s="24"/>
      <c r="D37" s="44" t="s">
        <v>125</v>
      </c>
      <c r="E37" s="45"/>
      <c r="F37" s="45"/>
      <c r="G37" s="46"/>
      <c r="H37" s="118">
        <v>5.5</v>
      </c>
      <c r="I37" s="48">
        <f>SUM(H37)+0.2</f>
        <v>5.7</v>
      </c>
      <c r="J37" s="48">
        <f>SUM(I37)+0.2</f>
        <v>5.9</v>
      </c>
      <c r="K37" s="48">
        <f>SUM(J37)+0.2</f>
        <v>6.1000000000000005</v>
      </c>
      <c r="L37" s="12"/>
      <c r="M37" s="14"/>
    </row>
    <row r="38" spans="1:13" ht="14.1" customHeight="1" x14ac:dyDescent="0.3">
      <c r="A38" s="84"/>
      <c r="B38" s="85" t="s">
        <v>124</v>
      </c>
      <c r="C38" s="86"/>
      <c r="D38" s="87" t="s">
        <v>123</v>
      </c>
      <c r="E38" s="88"/>
      <c r="F38" s="88"/>
      <c r="G38" s="89"/>
      <c r="H38" s="118"/>
      <c r="I38" s="48"/>
      <c r="J38" s="48"/>
      <c r="K38" s="48"/>
      <c r="L38" s="30"/>
      <c r="M38" s="33"/>
    </row>
    <row r="39" spans="1:13" ht="14.1" customHeight="1" x14ac:dyDescent="0.3">
      <c r="A39" s="80">
        <v>19</v>
      </c>
      <c r="B39" s="23" t="s">
        <v>122</v>
      </c>
      <c r="C39" s="24"/>
      <c r="D39" s="44" t="s">
        <v>121</v>
      </c>
      <c r="E39" s="45"/>
      <c r="F39" s="45"/>
      <c r="G39" s="46"/>
      <c r="H39" s="118">
        <v>13.5</v>
      </c>
      <c r="I39" s="48">
        <f>SUM(H39)+0.6</f>
        <v>14.1</v>
      </c>
      <c r="J39" s="48">
        <f>SUM(I39)+0.6</f>
        <v>14.7</v>
      </c>
      <c r="K39" s="48">
        <f>SUM(J39)+0.6</f>
        <v>15.299999999999999</v>
      </c>
      <c r="L39" s="12"/>
      <c r="M39" s="14"/>
    </row>
    <row r="40" spans="1:13" ht="14.1" customHeight="1" x14ac:dyDescent="0.3">
      <c r="A40" s="84"/>
      <c r="B40" s="85" t="s">
        <v>120</v>
      </c>
      <c r="C40" s="86"/>
      <c r="D40" s="87" t="s">
        <v>119</v>
      </c>
      <c r="E40" s="88"/>
      <c r="F40" s="88"/>
      <c r="G40" s="89"/>
      <c r="H40" s="118"/>
      <c r="I40" s="48"/>
      <c r="J40" s="48"/>
      <c r="K40" s="48"/>
      <c r="L40" s="30"/>
      <c r="M40" s="33"/>
    </row>
    <row r="41" spans="1:13" s="2" customFormat="1" ht="13.5" customHeight="1" x14ac:dyDescent="0.3">
      <c r="A41" s="80">
        <v>20</v>
      </c>
      <c r="B41" s="23" t="s">
        <v>248</v>
      </c>
      <c r="C41" s="24"/>
      <c r="D41" s="44"/>
      <c r="E41" s="45"/>
      <c r="F41" s="45"/>
      <c r="G41" s="46"/>
      <c r="H41" s="116">
        <v>16.5</v>
      </c>
      <c r="I41" s="12">
        <f>SUM(H41)+0.6</f>
        <v>17.100000000000001</v>
      </c>
      <c r="J41" s="12">
        <f>SUM(I41)+0.6</f>
        <v>17.700000000000003</v>
      </c>
      <c r="K41" s="12">
        <f>SUM(J41)+0.6</f>
        <v>18.300000000000004</v>
      </c>
      <c r="L41" s="12"/>
      <c r="M41" s="14"/>
    </row>
    <row r="42" spans="1:13" s="2" customFormat="1" ht="13.5" customHeight="1" x14ac:dyDescent="0.3">
      <c r="A42" s="84"/>
      <c r="B42" s="85" t="s">
        <v>250</v>
      </c>
      <c r="C42" s="86"/>
      <c r="D42" s="87"/>
      <c r="E42" s="88"/>
      <c r="F42" s="88"/>
      <c r="G42" s="89"/>
      <c r="H42" s="117"/>
      <c r="I42" s="30"/>
      <c r="J42" s="30"/>
      <c r="K42" s="30"/>
      <c r="L42" s="30"/>
      <c r="M42" s="33"/>
    </row>
    <row r="43" spans="1:13" s="2" customFormat="1" ht="13.5" customHeight="1" x14ac:dyDescent="0.3">
      <c r="A43" s="80">
        <v>21</v>
      </c>
      <c r="B43" s="23" t="s">
        <v>249</v>
      </c>
      <c r="C43" s="24"/>
      <c r="D43" s="44"/>
      <c r="E43" s="45"/>
      <c r="F43" s="45"/>
      <c r="G43" s="46"/>
      <c r="H43" s="116">
        <v>6.5</v>
      </c>
      <c r="I43" s="12">
        <f>SUM(H43)+0.2</f>
        <v>6.7</v>
      </c>
      <c r="J43" s="12">
        <f>SUM(I43)+0.2</f>
        <v>6.9</v>
      </c>
      <c r="K43" s="12">
        <f>SUM(J43)+0.2</f>
        <v>7.1000000000000005</v>
      </c>
      <c r="L43" s="12"/>
      <c r="M43" s="14"/>
    </row>
    <row r="44" spans="1:13" s="2" customFormat="1" ht="13.5" customHeight="1" x14ac:dyDescent="0.3">
      <c r="A44" s="84"/>
      <c r="B44" s="85" t="s">
        <v>251</v>
      </c>
      <c r="C44" s="86"/>
      <c r="D44" s="87"/>
      <c r="E44" s="88"/>
      <c r="F44" s="88"/>
      <c r="G44" s="89"/>
      <c r="H44" s="117"/>
      <c r="I44" s="30"/>
      <c r="J44" s="30"/>
      <c r="K44" s="30"/>
      <c r="L44" s="30"/>
      <c r="M44" s="33"/>
    </row>
    <row r="45" spans="1:13" ht="13.5" customHeight="1" x14ac:dyDescent="0.3">
      <c r="A45" s="80">
        <v>22</v>
      </c>
      <c r="B45" s="23" t="s">
        <v>252</v>
      </c>
      <c r="C45" s="24"/>
      <c r="D45" s="47"/>
      <c r="E45" s="47"/>
      <c r="F45" s="47"/>
      <c r="G45" s="47"/>
      <c r="H45" s="116">
        <v>16</v>
      </c>
      <c r="I45" s="12">
        <f>SUM(H45)+0.6</f>
        <v>16.600000000000001</v>
      </c>
      <c r="J45" s="12">
        <f>SUM(I45)+0.6</f>
        <v>17.200000000000003</v>
      </c>
      <c r="K45" s="12">
        <f>SUM(J45)+0.6</f>
        <v>17.800000000000004</v>
      </c>
      <c r="L45" s="12"/>
      <c r="M45" s="14"/>
    </row>
    <row r="46" spans="1:13" ht="13.5" customHeight="1" x14ac:dyDescent="0.3">
      <c r="A46" s="84"/>
      <c r="B46" s="34" t="s">
        <v>254</v>
      </c>
      <c r="C46" s="35"/>
      <c r="D46" s="36"/>
      <c r="E46" s="37"/>
      <c r="F46" s="37"/>
      <c r="G46" s="38"/>
      <c r="H46" s="117"/>
      <c r="I46" s="30"/>
      <c r="J46" s="30"/>
      <c r="K46" s="30"/>
      <c r="L46" s="30"/>
      <c r="M46" s="33"/>
    </row>
    <row r="47" spans="1:13" ht="13.5" customHeight="1" x14ac:dyDescent="0.3">
      <c r="A47" s="80">
        <v>23</v>
      </c>
      <c r="B47" s="23" t="s">
        <v>253</v>
      </c>
      <c r="C47" s="24"/>
      <c r="D47" s="47"/>
      <c r="E47" s="47"/>
      <c r="F47" s="47"/>
      <c r="G47" s="47"/>
      <c r="H47" s="116">
        <v>18.5</v>
      </c>
      <c r="I47" s="12">
        <f>SUM(H47)+0.6</f>
        <v>19.100000000000001</v>
      </c>
      <c r="J47" s="12">
        <f>SUM(I47)+0.6</f>
        <v>19.700000000000003</v>
      </c>
      <c r="K47" s="12">
        <f>SUM(J47)+0.6</f>
        <v>20.300000000000004</v>
      </c>
      <c r="L47" s="12"/>
      <c r="M47" s="14"/>
    </row>
    <row r="48" spans="1:13" ht="13.5" customHeight="1" x14ac:dyDescent="0.3">
      <c r="A48" s="84"/>
      <c r="B48" s="41" t="s">
        <v>255</v>
      </c>
      <c r="C48" s="41"/>
      <c r="D48" s="36"/>
      <c r="E48" s="37"/>
      <c r="F48" s="37"/>
      <c r="G48" s="38"/>
      <c r="H48" s="117"/>
      <c r="I48" s="30"/>
      <c r="J48" s="30"/>
      <c r="K48" s="30"/>
      <c r="L48" s="30"/>
      <c r="M48" s="33"/>
    </row>
    <row r="49" spans="1:13" ht="13.5" customHeight="1" x14ac:dyDescent="0.3">
      <c r="A49" s="80">
        <v>24</v>
      </c>
      <c r="B49" s="23" t="s">
        <v>77</v>
      </c>
      <c r="C49" s="24"/>
      <c r="D49" s="47"/>
      <c r="E49" s="47"/>
      <c r="F49" s="47"/>
      <c r="G49" s="47"/>
      <c r="H49" s="116">
        <v>14.5</v>
      </c>
      <c r="I49" s="12">
        <f>SUM(H49)+0.5</f>
        <v>15</v>
      </c>
      <c r="J49" s="12">
        <f>SUM(I49)+0.5</f>
        <v>15.5</v>
      </c>
      <c r="K49" s="12">
        <f>SUM(J49)+0.5</f>
        <v>16</v>
      </c>
      <c r="L49" s="12"/>
      <c r="M49" s="14"/>
    </row>
    <row r="50" spans="1:13" ht="13.5" customHeight="1" x14ac:dyDescent="0.3">
      <c r="A50" s="84"/>
      <c r="B50" s="34" t="s">
        <v>78</v>
      </c>
      <c r="C50" s="35"/>
      <c r="D50" s="36"/>
      <c r="E50" s="37"/>
      <c r="F50" s="37"/>
      <c r="G50" s="38"/>
      <c r="H50" s="117"/>
      <c r="I50" s="30"/>
      <c r="J50" s="30"/>
      <c r="K50" s="30"/>
      <c r="L50" s="30"/>
      <c r="M50" s="33"/>
    </row>
    <row r="51" spans="1:13" ht="13.5" customHeight="1" x14ac:dyDescent="0.3">
      <c r="A51" s="80">
        <v>25</v>
      </c>
      <c r="B51" s="23" t="s">
        <v>79</v>
      </c>
      <c r="C51" s="24"/>
      <c r="D51" s="47"/>
      <c r="E51" s="47"/>
      <c r="F51" s="47"/>
      <c r="G51" s="47"/>
      <c r="H51" s="116">
        <v>16</v>
      </c>
      <c r="I51" s="12">
        <f>SUM(H51)+0.5</f>
        <v>16.5</v>
      </c>
      <c r="J51" s="12">
        <f>SUM(I51)+0.5</f>
        <v>17</v>
      </c>
      <c r="K51" s="12">
        <f>SUM(J51)+0.5</f>
        <v>17.5</v>
      </c>
      <c r="L51" s="12"/>
      <c r="M51" s="14"/>
    </row>
    <row r="52" spans="1:13" ht="13.5" customHeight="1" x14ac:dyDescent="0.3">
      <c r="A52" s="84"/>
      <c r="B52" s="41" t="s">
        <v>80</v>
      </c>
      <c r="C52" s="41"/>
      <c r="D52" s="36"/>
      <c r="E52" s="37"/>
      <c r="F52" s="37"/>
      <c r="G52" s="38"/>
      <c r="H52" s="117"/>
      <c r="I52" s="30"/>
      <c r="J52" s="30"/>
      <c r="K52" s="30"/>
      <c r="L52" s="30"/>
      <c r="M52" s="33"/>
    </row>
    <row r="53" spans="1:13" ht="13.5" customHeight="1" x14ac:dyDescent="0.3">
      <c r="A53" s="80">
        <v>26</v>
      </c>
      <c r="B53" s="54" t="s">
        <v>99</v>
      </c>
      <c r="C53" s="55"/>
      <c r="D53" s="81"/>
      <c r="E53" s="82"/>
      <c r="F53" s="82"/>
      <c r="G53" s="83"/>
      <c r="H53" s="117">
        <v>93.5</v>
      </c>
      <c r="I53" s="74">
        <f>SUM(H53)+2.5</f>
        <v>96</v>
      </c>
      <c r="J53" s="74">
        <f>SUM(I53)+2.5</f>
        <v>98.5</v>
      </c>
      <c r="K53" s="74">
        <f>SUM(J53)+2.5</f>
        <v>101</v>
      </c>
      <c r="L53" s="74"/>
      <c r="M53" s="75"/>
    </row>
    <row r="54" spans="1:13" ht="13.5" customHeight="1" x14ac:dyDescent="0.3">
      <c r="A54" s="80"/>
      <c r="B54" s="54" t="s">
        <v>98</v>
      </c>
      <c r="C54" s="55"/>
      <c r="D54" s="56" t="s">
        <v>160</v>
      </c>
      <c r="E54" s="57"/>
      <c r="F54" s="57"/>
      <c r="G54" s="58"/>
      <c r="H54" s="116"/>
      <c r="I54" s="74"/>
      <c r="J54" s="74"/>
      <c r="K54" s="74"/>
      <c r="L54" s="74"/>
      <c r="M54" s="75"/>
    </row>
    <row r="55" spans="1:13" ht="13.5" customHeight="1" x14ac:dyDescent="0.3">
      <c r="A55" s="78">
        <v>27</v>
      </c>
      <c r="B55" s="23"/>
      <c r="C55" s="24"/>
      <c r="D55" s="25"/>
      <c r="E55" s="26"/>
      <c r="F55" s="26"/>
      <c r="G55" s="27"/>
      <c r="H55" s="118"/>
      <c r="I55" s="12"/>
      <c r="J55" s="12"/>
      <c r="K55" s="12"/>
      <c r="L55" s="12"/>
      <c r="M55" s="14"/>
    </row>
    <row r="56" spans="1:13" ht="13.5" customHeight="1" thickBot="1" x14ac:dyDescent="0.35">
      <c r="A56" s="79"/>
      <c r="B56" s="16"/>
      <c r="C56" s="17"/>
      <c r="D56" s="18"/>
      <c r="E56" s="19"/>
      <c r="F56" s="19"/>
      <c r="G56" s="20"/>
      <c r="H56" s="119"/>
      <c r="I56" s="13"/>
      <c r="J56" s="13"/>
      <c r="K56" s="13"/>
      <c r="L56" s="13"/>
      <c r="M56" s="15"/>
    </row>
    <row r="57" spans="1:13" ht="13.5" customHeight="1" x14ac:dyDescent="0.3"/>
    <row r="58" spans="1:13" ht="13.5" customHeight="1" x14ac:dyDescent="0.3"/>
    <row r="59" spans="1:13" ht="13.5" customHeight="1" x14ac:dyDescent="0.3"/>
    <row r="60" spans="1:13" ht="13.5" customHeight="1" x14ac:dyDescent="0.3"/>
  </sheetData>
  <mergeCells count="30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41:A42"/>
    <mergeCell ref="B41:C41"/>
    <mergeCell ref="D41:G41"/>
    <mergeCell ref="H41:H42"/>
    <mergeCell ref="I41:I42"/>
    <mergeCell ref="A37:A38"/>
    <mergeCell ref="B37:C37"/>
    <mergeCell ref="D37:G37"/>
    <mergeCell ref="H37:H38"/>
    <mergeCell ref="I37:I38"/>
    <mergeCell ref="A39:A40"/>
    <mergeCell ref="J41:J42"/>
    <mergeCell ref="K41:K42"/>
    <mergeCell ref="L41:L42"/>
    <mergeCell ref="M41:M42"/>
    <mergeCell ref="B42:C42"/>
    <mergeCell ref="D42:G42"/>
    <mergeCell ref="K37:K38"/>
    <mergeCell ref="L37:L38"/>
    <mergeCell ref="M37:M38"/>
    <mergeCell ref="B38:C38"/>
    <mergeCell ref="D38:G38"/>
    <mergeCell ref="J37:J38"/>
    <mergeCell ref="B39:C39"/>
    <mergeCell ref="D39:G39"/>
    <mergeCell ref="H39:H40"/>
    <mergeCell ref="I39:I40"/>
    <mergeCell ref="J39:J40"/>
    <mergeCell ref="K39:K40"/>
    <mergeCell ref="L39:L40"/>
    <mergeCell ref="M39:M40"/>
    <mergeCell ref="B40:C40"/>
    <mergeCell ref="D40:G40"/>
    <mergeCell ref="K43:K44"/>
    <mergeCell ref="L43:L44"/>
    <mergeCell ref="M43:M44"/>
    <mergeCell ref="B44:C44"/>
    <mergeCell ref="D44:G44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3:J44"/>
    <mergeCell ref="J45:J46"/>
    <mergeCell ref="K45:K46"/>
    <mergeCell ref="L45:L46"/>
    <mergeCell ref="M45:M46"/>
    <mergeCell ref="B46:C46"/>
    <mergeCell ref="D46:G46"/>
    <mergeCell ref="A55:A56"/>
    <mergeCell ref="B55:C55"/>
    <mergeCell ref="D55:G55"/>
    <mergeCell ref="H55:H56"/>
    <mergeCell ref="I55:I56"/>
    <mergeCell ref="B54:C54"/>
    <mergeCell ref="D54:G54"/>
    <mergeCell ref="B48:C48"/>
    <mergeCell ref="D48:G48"/>
    <mergeCell ref="A53:A54"/>
    <mergeCell ref="B53:C53"/>
    <mergeCell ref="D53:G53"/>
    <mergeCell ref="H53:H54"/>
    <mergeCell ref="I53:I54"/>
    <mergeCell ref="A47:A48"/>
    <mergeCell ref="B47:C47"/>
    <mergeCell ref="D47:G47"/>
    <mergeCell ref="H47:H48"/>
    <mergeCell ref="I47:I48"/>
    <mergeCell ref="A51:A52"/>
    <mergeCell ref="B51:C51"/>
    <mergeCell ref="D51:G51"/>
    <mergeCell ref="H51:H52"/>
    <mergeCell ref="I51:I52"/>
    <mergeCell ref="K55:K56"/>
    <mergeCell ref="L55:L56"/>
    <mergeCell ref="M55:M56"/>
    <mergeCell ref="B56:C56"/>
    <mergeCell ref="D56:G56"/>
    <mergeCell ref="J55:J56"/>
    <mergeCell ref="J53:J54"/>
    <mergeCell ref="K53:K54"/>
    <mergeCell ref="L53:L54"/>
    <mergeCell ref="M53:M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K47:K48"/>
    <mergeCell ref="L47:L48"/>
    <mergeCell ref="M47:M48"/>
    <mergeCell ref="J47:J48"/>
    <mergeCell ref="A49:A50"/>
    <mergeCell ref="B49:C49"/>
    <mergeCell ref="D49:G49"/>
    <mergeCell ref="H49:H50"/>
    <mergeCell ref="I49:I50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A9AF-0FF5-49AC-801C-97FBFB45E7E9}">
  <sheetPr>
    <tabColor theme="7"/>
    <pageSetUpPr fitToPage="1"/>
  </sheetPr>
  <dimension ref="A1:M51"/>
  <sheetViews>
    <sheetView zoomScale="110" zoomScaleNormal="110" workbookViewId="0">
      <selection activeCell="J21" sqref="J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231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103" t="s">
        <v>117</v>
      </c>
      <c r="C3" s="104"/>
      <c r="D3" s="71" t="s">
        <v>75</v>
      </c>
      <c r="E3" s="105"/>
      <c r="F3" s="105"/>
      <c r="G3" s="106"/>
      <c r="H3" s="107">
        <v>62</v>
      </c>
      <c r="I3" s="61">
        <f>SUM(H3)+2.5</f>
        <v>64.5</v>
      </c>
      <c r="J3" s="61">
        <f>SUM(I3)+2.5</f>
        <v>67</v>
      </c>
      <c r="K3" s="61"/>
      <c r="L3" s="61"/>
      <c r="M3" s="62"/>
    </row>
    <row r="4" spans="1:13" s="2" customFormat="1" ht="14.1" customHeight="1" x14ac:dyDescent="0.3">
      <c r="A4" s="84"/>
      <c r="B4" s="85" t="s">
        <v>116</v>
      </c>
      <c r="C4" s="86"/>
      <c r="D4" s="87" t="s">
        <v>74</v>
      </c>
      <c r="E4" s="88"/>
      <c r="F4" s="88"/>
      <c r="G4" s="89"/>
      <c r="H4" s="28"/>
      <c r="I4" s="30"/>
      <c r="J4" s="30"/>
      <c r="K4" s="30"/>
      <c r="L4" s="30"/>
      <c r="M4" s="33"/>
    </row>
    <row r="5" spans="1:13" s="2" customFormat="1" ht="14.1" customHeight="1" x14ac:dyDescent="0.3">
      <c r="A5" s="80">
        <v>2</v>
      </c>
      <c r="B5" s="54" t="s">
        <v>115</v>
      </c>
      <c r="C5" s="55"/>
      <c r="D5" s="56"/>
      <c r="E5" s="57"/>
      <c r="F5" s="57"/>
      <c r="G5" s="58"/>
      <c r="H5" s="76"/>
      <c r="I5" s="74"/>
      <c r="J5" s="74"/>
      <c r="K5" s="74"/>
      <c r="L5" s="74"/>
      <c r="M5" s="75"/>
    </row>
    <row r="6" spans="1:13" s="2" customFormat="1" ht="14.1" customHeight="1" x14ac:dyDescent="0.3">
      <c r="A6" s="84"/>
      <c r="B6" s="85" t="s">
        <v>114</v>
      </c>
      <c r="C6" s="86"/>
      <c r="D6" s="87"/>
      <c r="E6" s="88"/>
      <c r="F6" s="88"/>
      <c r="G6" s="89"/>
      <c r="H6" s="28"/>
      <c r="I6" s="30"/>
      <c r="J6" s="30"/>
      <c r="K6" s="30"/>
      <c r="L6" s="30"/>
      <c r="M6" s="33"/>
    </row>
    <row r="7" spans="1:13" s="2" customFormat="1" ht="14.1" customHeight="1" x14ac:dyDescent="0.3">
      <c r="A7" s="80">
        <v>3</v>
      </c>
      <c r="B7" s="54" t="s">
        <v>73</v>
      </c>
      <c r="C7" s="55"/>
      <c r="D7" s="56"/>
      <c r="E7" s="57"/>
      <c r="F7" s="57"/>
      <c r="G7" s="58"/>
      <c r="H7" s="76"/>
      <c r="I7" s="74"/>
      <c r="J7" s="74"/>
      <c r="K7" s="74"/>
      <c r="L7" s="74"/>
      <c r="M7" s="75"/>
    </row>
    <row r="8" spans="1:13" s="2" customFormat="1" ht="14.1" customHeight="1" x14ac:dyDescent="0.3">
      <c r="A8" s="84"/>
      <c r="B8" s="85" t="s">
        <v>113</v>
      </c>
      <c r="C8" s="86"/>
      <c r="D8" s="87"/>
      <c r="E8" s="88"/>
      <c r="F8" s="88"/>
      <c r="G8" s="89"/>
      <c r="H8" s="28"/>
      <c r="I8" s="30"/>
      <c r="J8" s="30"/>
      <c r="K8" s="30"/>
      <c r="L8" s="30"/>
      <c r="M8" s="33"/>
    </row>
    <row r="9" spans="1:13" s="2" customFormat="1" ht="14.1" customHeight="1" x14ac:dyDescent="0.3">
      <c r="A9" s="80">
        <v>4</v>
      </c>
      <c r="B9" s="23" t="s">
        <v>112</v>
      </c>
      <c r="C9" s="24"/>
      <c r="D9" s="99"/>
      <c r="E9" s="100"/>
      <c r="F9" s="100"/>
      <c r="G9" s="101"/>
      <c r="H9" s="76"/>
      <c r="I9" s="74"/>
      <c r="J9" s="74"/>
      <c r="K9" s="74"/>
      <c r="L9" s="74"/>
      <c r="M9" s="75"/>
    </row>
    <row r="10" spans="1:13" s="2" customFormat="1" ht="14.1" customHeight="1" x14ac:dyDescent="0.3">
      <c r="A10" s="84"/>
      <c r="B10" s="85" t="s">
        <v>111</v>
      </c>
      <c r="C10" s="86"/>
      <c r="D10" s="96"/>
      <c r="E10" s="97"/>
      <c r="F10" s="97"/>
      <c r="G10" s="98"/>
      <c r="H10" s="28"/>
      <c r="I10" s="30"/>
      <c r="J10" s="30"/>
      <c r="K10" s="30"/>
      <c r="L10" s="30"/>
      <c r="M10" s="33"/>
    </row>
    <row r="11" spans="1:13" s="2" customFormat="1" ht="14.1" customHeight="1" x14ac:dyDescent="0.3">
      <c r="A11" s="80">
        <v>5</v>
      </c>
      <c r="B11" s="23" t="s">
        <v>85</v>
      </c>
      <c r="C11" s="24"/>
      <c r="D11" s="56"/>
      <c r="E11" s="57"/>
      <c r="F11" s="57"/>
      <c r="G11" s="58"/>
      <c r="H11" s="76">
        <v>97.8</v>
      </c>
      <c r="I11" s="74">
        <f>SUM(H11)+4.5</f>
        <v>102.3</v>
      </c>
      <c r="J11" s="74">
        <f>SUM(I11)+4.5</f>
        <v>106.8</v>
      </c>
      <c r="K11" s="74"/>
      <c r="L11" s="74"/>
      <c r="M11" s="75"/>
    </row>
    <row r="12" spans="1:13" s="2" customFormat="1" ht="14.1" customHeight="1" x14ac:dyDescent="0.3">
      <c r="A12" s="84"/>
      <c r="B12" s="85" t="s">
        <v>110</v>
      </c>
      <c r="C12" s="86"/>
      <c r="D12" s="87"/>
      <c r="E12" s="88"/>
      <c r="F12" s="88"/>
      <c r="G12" s="89"/>
      <c r="H12" s="28"/>
      <c r="I12" s="30"/>
      <c r="J12" s="30"/>
      <c r="K12" s="30"/>
      <c r="L12" s="30"/>
      <c r="M12" s="33"/>
    </row>
    <row r="13" spans="1:13" s="2" customFormat="1" ht="14.1" customHeight="1" x14ac:dyDescent="0.3">
      <c r="A13" s="80">
        <v>6</v>
      </c>
      <c r="B13" s="23" t="s">
        <v>41</v>
      </c>
      <c r="C13" s="24"/>
      <c r="D13" s="44" t="s">
        <v>118</v>
      </c>
      <c r="E13" s="45"/>
      <c r="F13" s="45"/>
      <c r="G13" s="46"/>
      <c r="H13" s="40">
        <v>105.5</v>
      </c>
      <c r="I13" s="12">
        <f>SUM(H13)+5</f>
        <v>110.5</v>
      </c>
      <c r="J13" s="12">
        <f>SUM(I13)+5</f>
        <v>115.5</v>
      </c>
      <c r="K13" s="12"/>
      <c r="L13" s="12"/>
      <c r="M13" s="14"/>
    </row>
    <row r="14" spans="1:13" s="2" customFormat="1" ht="14.1" customHeight="1" x14ac:dyDescent="0.3">
      <c r="A14" s="84"/>
      <c r="B14" s="85" t="s">
        <v>42</v>
      </c>
      <c r="C14" s="86"/>
      <c r="D14" s="87" t="s">
        <v>76</v>
      </c>
      <c r="E14" s="88"/>
      <c r="F14" s="88"/>
      <c r="G14" s="89"/>
      <c r="H14" s="28"/>
      <c r="I14" s="30"/>
      <c r="J14" s="30"/>
      <c r="K14" s="30"/>
      <c r="L14" s="30"/>
      <c r="M14" s="33"/>
    </row>
    <row r="15" spans="1:13" s="2" customFormat="1" ht="14.1" customHeight="1" x14ac:dyDescent="0.3">
      <c r="A15" s="80">
        <v>7</v>
      </c>
      <c r="B15" s="23" t="s">
        <v>109</v>
      </c>
      <c r="C15" s="24"/>
      <c r="D15" s="44"/>
      <c r="E15" s="45"/>
      <c r="F15" s="45"/>
      <c r="G15" s="46"/>
      <c r="H15" s="40">
        <v>19.399999999999999</v>
      </c>
      <c r="I15" s="12">
        <f>SUM(H15)+0.7</f>
        <v>20.099999999999998</v>
      </c>
      <c r="J15" s="12">
        <f>SUM(I15)+0.7</f>
        <v>20.799999999999997</v>
      </c>
      <c r="K15" s="12"/>
      <c r="L15" s="43"/>
      <c r="M15" s="90"/>
    </row>
    <row r="16" spans="1:13" s="2" customFormat="1" ht="14.1" customHeight="1" x14ac:dyDescent="0.3">
      <c r="A16" s="84"/>
      <c r="B16" s="85" t="s">
        <v>108</v>
      </c>
      <c r="C16" s="86"/>
      <c r="D16" s="93" t="s">
        <v>107</v>
      </c>
      <c r="E16" s="94"/>
      <c r="F16" s="94"/>
      <c r="G16" s="95"/>
      <c r="H16" s="28"/>
      <c r="I16" s="30"/>
      <c r="J16" s="30"/>
      <c r="K16" s="30"/>
      <c r="L16" s="41"/>
      <c r="M16" s="91"/>
    </row>
    <row r="17" spans="1:13" s="2" customFormat="1" ht="14.1" customHeight="1" x14ac:dyDescent="0.3">
      <c r="A17" s="80">
        <v>8</v>
      </c>
      <c r="B17" s="23" t="s">
        <v>106</v>
      </c>
      <c r="C17" s="24"/>
      <c r="D17" s="44"/>
      <c r="E17" s="45"/>
      <c r="F17" s="45"/>
      <c r="G17" s="46"/>
      <c r="H17" s="40"/>
      <c r="I17" s="12"/>
      <c r="J17" s="12"/>
      <c r="K17" s="12"/>
      <c r="L17" s="43"/>
      <c r="M17" s="90"/>
    </row>
    <row r="18" spans="1:13" s="2" customFormat="1" ht="14.1" customHeight="1" x14ac:dyDescent="0.3">
      <c r="A18" s="84"/>
      <c r="B18" s="85" t="s">
        <v>105</v>
      </c>
      <c r="C18" s="86"/>
      <c r="D18" s="93" t="s">
        <v>104</v>
      </c>
      <c r="E18" s="94"/>
      <c r="F18" s="94"/>
      <c r="G18" s="95"/>
      <c r="H18" s="28"/>
      <c r="I18" s="30"/>
      <c r="J18" s="30"/>
      <c r="K18" s="30"/>
      <c r="L18" s="41"/>
      <c r="M18" s="91"/>
    </row>
    <row r="19" spans="1:13" s="2" customFormat="1" ht="14.1" customHeight="1" x14ac:dyDescent="0.3">
      <c r="A19" s="80">
        <v>9</v>
      </c>
      <c r="B19" s="23" t="s">
        <v>43</v>
      </c>
      <c r="C19" s="24"/>
      <c r="D19" s="44" t="s">
        <v>72</v>
      </c>
      <c r="E19" s="45"/>
      <c r="F19" s="45"/>
      <c r="G19" s="46"/>
      <c r="H19" s="40">
        <v>96</v>
      </c>
      <c r="I19" s="12">
        <f>SUM(H19)+4</f>
        <v>100</v>
      </c>
      <c r="J19" s="12">
        <f>SUM(I19)+4</f>
        <v>104</v>
      </c>
      <c r="K19" s="12"/>
      <c r="L19" s="12"/>
      <c r="M19" s="14"/>
    </row>
    <row r="20" spans="1:13" s="2" customFormat="1" ht="14.1" customHeight="1" x14ac:dyDescent="0.3">
      <c r="A20" s="84"/>
      <c r="B20" s="85" t="s">
        <v>44</v>
      </c>
      <c r="C20" s="86"/>
      <c r="D20" s="87" t="s">
        <v>71</v>
      </c>
      <c r="E20" s="88"/>
      <c r="F20" s="88"/>
      <c r="G20" s="89"/>
      <c r="H20" s="28"/>
      <c r="I20" s="30"/>
      <c r="J20" s="30"/>
      <c r="K20" s="30"/>
      <c r="L20" s="30"/>
      <c r="M20" s="33"/>
    </row>
    <row r="21" spans="1:13" s="2" customFormat="1" ht="14.1" customHeight="1" x14ac:dyDescent="0.3">
      <c r="A21" s="80">
        <v>10</v>
      </c>
      <c r="B21" s="23" t="s">
        <v>84</v>
      </c>
      <c r="C21" s="24"/>
      <c r="D21" s="44" t="s">
        <v>83</v>
      </c>
      <c r="E21" s="45"/>
      <c r="F21" s="45"/>
      <c r="G21" s="46"/>
      <c r="H21" s="40">
        <v>58</v>
      </c>
      <c r="I21" s="12">
        <f>SUM(H21)+2.4</f>
        <v>60.4</v>
      </c>
      <c r="J21" s="12">
        <f>SUM(I21)+2.4</f>
        <v>62.8</v>
      </c>
      <c r="K21" s="12"/>
      <c r="L21" s="12"/>
      <c r="M21" s="14"/>
    </row>
    <row r="22" spans="1:13" s="2" customFormat="1" ht="14.1" customHeight="1" x14ac:dyDescent="0.3">
      <c r="A22" s="84"/>
      <c r="B22" s="85" t="s">
        <v>82</v>
      </c>
      <c r="C22" s="86"/>
      <c r="D22" s="36" t="s">
        <v>81</v>
      </c>
      <c r="E22" s="37"/>
      <c r="F22" s="37"/>
      <c r="G22" s="38"/>
      <c r="H22" s="28"/>
      <c r="I22" s="30"/>
      <c r="J22" s="30"/>
      <c r="K22" s="30"/>
      <c r="L22" s="30"/>
      <c r="M22" s="33"/>
    </row>
    <row r="23" spans="1:13" s="2" customFormat="1" ht="14.1" customHeight="1" x14ac:dyDescent="0.3">
      <c r="A23" s="80">
        <v>11</v>
      </c>
      <c r="B23" s="54" t="s">
        <v>149</v>
      </c>
      <c r="C23" s="55"/>
      <c r="D23" s="81"/>
      <c r="E23" s="82"/>
      <c r="F23" s="82"/>
      <c r="G23" s="83"/>
      <c r="H23" s="40">
        <v>70</v>
      </c>
      <c r="I23" s="12">
        <f>SUM(H23)+2.4</f>
        <v>72.400000000000006</v>
      </c>
      <c r="J23" s="12">
        <f>SUM(I23)+2.4</f>
        <v>74.800000000000011</v>
      </c>
      <c r="K23" s="74"/>
      <c r="L23" s="74"/>
      <c r="M23" s="75"/>
    </row>
    <row r="24" spans="1:13" s="2" customFormat="1" ht="14.1" customHeight="1" x14ac:dyDescent="0.3">
      <c r="A24" s="84"/>
      <c r="B24" s="54" t="s">
        <v>150</v>
      </c>
      <c r="C24" s="55"/>
      <c r="D24" s="92" t="s">
        <v>159</v>
      </c>
      <c r="E24" s="57"/>
      <c r="F24" s="57"/>
      <c r="G24" s="58"/>
      <c r="H24" s="28"/>
      <c r="I24" s="30"/>
      <c r="J24" s="30"/>
      <c r="K24" s="74"/>
      <c r="L24" s="74"/>
      <c r="M24" s="75"/>
    </row>
    <row r="25" spans="1:13" s="2" customFormat="1" ht="14.1" customHeight="1" x14ac:dyDescent="0.3">
      <c r="A25" s="80">
        <v>12</v>
      </c>
      <c r="B25" s="23" t="s">
        <v>45</v>
      </c>
      <c r="C25" s="24"/>
      <c r="D25" s="44" t="s">
        <v>46</v>
      </c>
      <c r="E25" s="45"/>
      <c r="F25" s="45"/>
      <c r="G25" s="46"/>
      <c r="H25" s="40">
        <v>31.5</v>
      </c>
      <c r="I25" s="12">
        <f>SUM(H25)+1.1</f>
        <v>32.6</v>
      </c>
      <c r="J25" s="12">
        <f>SUM(I25)+1.1</f>
        <v>33.700000000000003</v>
      </c>
      <c r="K25" s="12"/>
      <c r="L25" s="43"/>
      <c r="M25" s="90"/>
    </row>
    <row r="26" spans="1:13" s="2" customFormat="1" ht="14.1" customHeight="1" x14ac:dyDescent="0.3">
      <c r="A26" s="84"/>
      <c r="B26" s="85" t="s">
        <v>47</v>
      </c>
      <c r="C26" s="86"/>
      <c r="D26" s="87" t="s">
        <v>70</v>
      </c>
      <c r="E26" s="88"/>
      <c r="F26" s="88"/>
      <c r="G26" s="89"/>
      <c r="H26" s="28"/>
      <c r="I26" s="30"/>
      <c r="J26" s="30"/>
      <c r="K26" s="30"/>
      <c r="L26" s="41"/>
      <c r="M26" s="91"/>
    </row>
    <row r="27" spans="1:13" s="2" customFormat="1" ht="14.1" customHeight="1" x14ac:dyDescent="0.3">
      <c r="A27" s="80">
        <v>13</v>
      </c>
      <c r="B27" s="23" t="s">
        <v>48</v>
      </c>
      <c r="C27" s="24"/>
      <c r="D27" s="44" t="s">
        <v>46</v>
      </c>
      <c r="E27" s="45"/>
      <c r="F27" s="45"/>
      <c r="G27" s="46"/>
      <c r="H27" s="40">
        <v>41.2</v>
      </c>
      <c r="I27" s="12">
        <f>SUM(H27)+1.3</f>
        <v>42.5</v>
      </c>
      <c r="J27" s="12">
        <f>SUM(I27)+1.3</f>
        <v>43.8</v>
      </c>
      <c r="K27" s="12"/>
      <c r="L27" s="43"/>
      <c r="M27" s="90"/>
    </row>
    <row r="28" spans="1:13" s="2" customFormat="1" ht="14.1" customHeight="1" x14ac:dyDescent="0.3">
      <c r="A28" s="84"/>
      <c r="B28" s="85" t="s">
        <v>49</v>
      </c>
      <c r="C28" s="86"/>
      <c r="D28" s="87" t="s">
        <v>70</v>
      </c>
      <c r="E28" s="88"/>
      <c r="F28" s="88"/>
      <c r="G28" s="89"/>
      <c r="H28" s="28"/>
      <c r="I28" s="30"/>
      <c r="J28" s="30"/>
      <c r="K28" s="30"/>
      <c r="L28" s="41"/>
      <c r="M28" s="91"/>
    </row>
    <row r="29" spans="1:13" s="2" customFormat="1" ht="14.1" customHeight="1" x14ac:dyDescent="0.3">
      <c r="A29" s="80">
        <v>14</v>
      </c>
      <c r="B29" s="23" t="s">
        <v>50</v>
      </c>
      <c r="C29" s="24"/>
      <c r="D29" s="44" t="s">
        <v>51</v>
      </c>
      <c r="E29" s="45"/>
      <c r="F29" s="45"/>
      <c r="G29" s="46"/>
      <c r="H29" s="40">
        <v>70</v>
      </c>
      <c r="I29" s="12">
        <f>SUM(H29)+3.1</f>
        <v>73.099999999999994</v>
      </c>
      <c r="J29" s="12">
        <f>SUM(I29)+3.1</f>
        <v>76.199999999999989</v>
      </c>
      <c r="K29" s="12"/>
      <c r="L29" s="12"/>
      <c r="M29" s="14"/>
    </row>
    <row r="30" spans="1:13" s="2" customFormat="1" ht="14.1" customHeight="1" x14ac:dyDescent="0.3">
      <c r="A30" s="84"/>
      <c r="B30" s="85" t="s">
        <v>52</v>
      </c>
      <c r="C30" s="86"/>
      <c r="D30" s="87" t="s">
        <v>69</v>
      </c>
      <c r="E30" s="88"/>
      <c r="F30" s="88"/>
      <c r="G30" s="89"/>
      <c r="H30" s="28"/>
      <c r="I30" s="30"/>
      <c r="J30" s="30"/>
      <c r="K30" s="30"/>
      <c r="L30" s="30"/>
      <c r="M30" s="33"/>
    </row>
    <row r="31" spans="1:13" s="2" customFormat="1" ht="14.1" customHeight="1" x14ac:dyDescent="0.3">
      <c r="A31" s="80">
        <v>15</v>
      </c>
      <c r="B31" s="23" t="s">
        <v>53</v>
      </c>
      <c r="C31" s="24"/>
      <c r="D31" s="44" t="s">
        <v>54</v>
      </c>
      <c r="E31" s="45"/>
      <c r="F31" s="45"/>
      <c r="G31" s="46"/>
      <c r="H31" s="40">
        <v>66.599999999999994</v>
      </c>
      <c r="I31" s="12">
        <f>SUM(H31)+3</f>
        <v>69.599999999999994</v>
      </c>
      <c r="J31" s="12">
        <f>SUM(I31)+3</f>
        <v>72.599999999999994</v>
      </c>
      <c r="K31" s="12"/>
      <c r="L31" s="12"/>
      <c r="M31" s="14"/>
    </row>
    <row r="32" spans="1:13" s="2" customFormat="1" ht="14.1" customHeight="1" x14ac:dyDescent="0.3">
      <c r="A32" s="84"/>
      <c r="B32" s="85" t="s">
        <v>55</v>
      </c>
      <c r="C32" s="86"/>
      <c r="D32" s="87" t="s">
        <v>68</v>
      </c>
      <c r="E32" s="88"/>
      <c r="F32" s="88"/>
      <c r="G32" s="89"/>
      <c r="H32" s="28"/>
      <c r="I32" s="30"/>
      <c r="J32" s="30"/>
      <c r="K32" s="30"/>
      <c r="L32" s="30"/>
      <c r="M32" s="33"/>
    </row>
    <row r="33" spans="1:13" s="2" customFormat="1" ht="14.1" customHeight="1" x14ac:dyDescent="0.3">
      <c r="A33" s="80">
        <v>16</v>
      </c>
      <c r="B33" s="23" t="s">
        <v>67</v>
      </c>
      <c r="C33" s="24"/>
      <c r="D33" s="44" t="s">
        <v>65</v>
      </c>
      <c r="E33" s="45"/>
      <c r="F33" s="45"/>
      <c r="G33" s="46"/>
      <c r="H33" s="40">
        <v>64.400000000000006</v>
      </c>
      <c r="I33" s="12">
        <f>SUM(H33)+2.6</f>
        <v>67</v>
      </c>
      <c r="J33" s="12">
        <f>SUM(I33)+2.6</f>
        <v>69.599999999999994</v>
      </c>
      <c r="K33" s="12"/>
      <c r="L33" s="12"/>
      <c r="M33" s="14"/>
    </row>
    <row r="34" spans="1:13" s="2" customFormat="1" ht="14.1" customHeight="1" x14ac:dyDescent="0.3">
      <c r="A34" s="84"/>
      <c r="B34" s="85" t="s">
        <v>66</v>
      </c>
      <c r="C34" s="86"/>
      <c r="D34" s="87" t="s">
        <v>65</v>
      </c>
      <c r="E34" s="88"/>
      <c r="F34" s="88"/>
      <c r="G34" s="89"/>
      <c r="H34" s="28"/>
      <c r="I34" s="30"/>
      <c r="J34" s="30"/>
      <c r="K34" s="30"/>
      <c r="L34" s="30"/>
      <c r="M34" s="33"/>
    </row>
    <row r="35" spans="1:13" s="2" customFormat="1" ht="14.1" customHeight="1" x14ac:dyDescent="0.3">
      <c r="A35" s="80">
        <v>17</v>
      </c>
      <c r="B35" s="23" t="s">
        <v>103</v>
      </c>
      <c r="C35" s="24"/>
      <c r="D35" s="44" t="s">
        <v>102</v>
      </c>
      <c r="E35" s="45"/>
      <c r="F35" s="45"/>
      <c r="G35" s="46"/>
      <c r="H35" s="40">
        <v>52.7</v>
      </c>
      <c r="I35" s="12">
        <f>SUM(H35)+2</f>
        <v>54.7</v>
      </c>
      <c r="J35" s="12">
        <f>SUM(I35)+2</f>
        <v>56.7</v>
      </c>
      <c r="K35" s="12"/>
      <c r="L35" s="12"/>
      <c r="M35" s="14"/>
    </row>
    <row r="36" spans="1:13" s="2" customFormat="1" ht="14.1" customHeight="1" x14ac:dyDescent="0.3">
      <c r="A36" s="84"/>
      <c r="B36" s="85" t="s">
        <v>101</v>
      </c>
      <c r="C36" s="86"/>
      <c r="D36" s="87" t="s">
        <v>100</v>
      </c>
      <c r="E36" s="88"/>
      <c r="F36" s="88"/>
      <c r="G36" s="89"/>
      <c r="H36" s="28"/>
      <c r="I36" s="30"/>
      <c r="J36" s="30"/>
      <c r="K36" s="30"/>
      <c r="L36" s="30"/>
      <c r="M36" s="33"/>
    </row>
    <row r="37" spans="1:13" ht="14.1" customHeight="1" x14ac:dyDescent="0.3">
      <c r="A37" s="80">
        <v>18</v>
      </c>
      <c r="B37" s="23" t="s">
        <v>155</v>
      </c>
      <c r="C37" s="24"/>
      <c r="D37" s="44"/>
      <c r="E37" s="45"/>
      <c r="F37" s="45"/>
      <c r="G37" s="46"/>
      <c r="H37" s="39">
        <v>12.5</v>
      </c>
      <c r="I37" s="48">
        <f>SUM(H37)+0.5</f>
        <v>13</v>
      </c>
      <c r="J37" s="48">
        <f>SUM(I37)+0.5</f>
        <v>13.5</v>
      </c>
      <c r="K37" s="12"/>
      <c r="L37" s="12"/>
      <c r="M37" s="14"/>
    </row>
    <row r="38" spans="1:13" ht="14.1" customHeight="1" x14ac:dyDescent="0.3">
      <c r="A38" s="84"/>
      <c r="B38" s="85" t="s">
        <v>156</v>
      </c>
      <c r="C38" s="86"/>
      <c r="D38" s="87"/>
      <c r="E38" s="88"/>
      <c r="F38" s="88"/>
      <c r="G38" s="89"/>
      <c r="H38" s="39"/>
      <c r="I38" s="48"/>
      <c r="J38" s="48"/>
      <c r="K38" s="30"/>
      <c r="L38" s="30"/>
      <c r="M38" s="33"/>
    </row>
    <row r="39" spans="1:13" ht="14.1" customHeight="1" x14ac:dyDescent="0.3">
      <c r="A39" s="80">
        <v>19</v>
      </c>
      <c r="B39" s="23" t="s">
        <v>233</v>
      </c>
      <c r="C39" s="24"/>
      <c r="D39" s="44"/>
      <c r="E39" s="45"/>
      <c r="F39" s="45"/>
      <c r="G39" s="46"/>
      <c r="H39" s="40">
        <v>14</v>
      </c>
      <c r="I39" s="12">
        <f>SUM(H39)+0.6</f>
        <v>14.6</v>
      </c>
      <c r="J39" s="12">
        <f>SUM(I39)+0.6</f>
        <v>15.2</v>
      </c>
      <c r="K39" s="12"/>
      <c r="L39" s="12"/>
      <c r="M39" s="14"/>
    </row>
    <row r="40" spans="1:13" ht="14.1" customHeight="1" x14ac:dyDescent="0.3">
      <c r="A40" s="84"/>
      <c r="B40" s="85" t="s">
        <v>234</v>
      </c>
      <c r="C40" s="86"/>
      <c r="D40" s="87"/>
      <c r="E40" s="88"/>
      <c r="F40" s="88"/>
      <c r="G40" s="89"/>
      <c r="H40" s="28"/>
      <c r="I40" s="30"/>
      <c r="J40" s="30"/>
      <c r="K40" s="30"/>
      <c r="L40" s="30"/>
      <c r="M40" s="33"/>
    </row>
    <row r="41" spans="1:13" s="2" customFormat="1" ht="14.1" customHeight="1" x14ac:dyDescent="0.3">
      <c r="A41" s="80">
        <v>20</v>
      </c>
      <c r="B41" s="23" t="s">
        <v>232</v>
      </c>
      <c r="C41" s="24"/>
      <c r="D41" s="44"/>
      <c r="E41" s="45"/>
      <c r="F41" s="45"/>
      <c r="G41" s="46"/>
      <c r="H41" s="40">
        <v>4.5999999999999996</v>
      </c>
      <c r="I41" s="12">
        <f>SUM(H41)+0.2</f>
        <v>4.8</v>
      </c>
      <c r="J41" s="12">
        <f>SUM(I41)+0.2</f>
        <v>5</v>
      </c>
      <c r="K41" s="12"/>
      <c r="L41" s="12"/>
      <c r="M41" s="14"/>
    </row>
    <row r="42" spans="1:13" s="2" customFormat="1" ht="14.1" customHeight="1" x14ac:dyDescent="0.3">
      <c r="A42" s="84"/>
      <c r="B42" s="85" t="s">
        <v>235</v>
      </c>
      <c r="C42" s="86"/>
      <c r="D42" s="87"/>
      <c r="E42" s="88"/>
      <c r="F42" s="88"/>
      <c r="G42" s="89"/>
      <c r="H42" s="28"/>
      <c r="I42" s="30"/>
      <c r="J42" s="30"/>
      <c r="K42" s="30"/>
      <c r="L42" s="30"/>
      <c r="M42" s="33"/>
    </row>
    <row r="43" spans="1:13" s="2" customFormat="1" ht="14.1" customHeight="1" x14ac:dyDescent="0.3">
      <c r="A43" s="80">
        <v>21</v>
      </c>
      <c r="B43" s="23" t="s">
        <v>77</v>
      </c>
      <c r="C43" s="24"/>
      <c r="D43" s="47"/>
      <c r="E43" s="47"/>
      <c r="F43" s="47"/>
      <c r="G43" s="47"/>
      <c r="H43" s="40">
        <v>14</v>
      </c>
      <c r="I43" s="12">
        <f>SUM(H43)+0.5</f>
        <v>14.5</v>
      </c>
      <c r="J43" s="12">
        <f>SUM(I43)+0.5</f>
        <v>15</v>
      </c>
      <c r="K43" s="12"/>
      <c r="L43" s="12"/>
      <c r="M43" s="14"/>
    </row>
    <row r="44" spans="1:13" s="2" customFormat="1" ht="14.1" customHeight="1" x14ac:dyDescent="0.3">
      <c r="A44" s="84"/>
      <c r="B44" s="34" t="s">
        <v>78</v>
      </c>
      <c r="C44" s="35"/>
      <c r="D44" s="36"/>
      <c r="E44" s="37"/>
      <c r="F44" s="37"/>
      <c r="G44" s="38"/>
      <c r="H44" s="28"/>
      <c r="I44" s="30"/>
      <c r="J44" s="30"/>
      <c r="K44" s="30"/>
      <c r="L44" s="30"/>
      <c r="M44" s="33"/>
    </row>
    <row r="45" spans="1:13" ht="14.1" customHeight="1" x14ac:dyDescent="0.3">
      <c r="A45" s="80">
        <v>22</v>
      </c>
      <c r="B45" s="23" t="s">
        <v>79</v>
      </c>
      <c r="C45" s="24"/>
      <c r="D45" s="47"/>
      <c r="E45" s="47"/>
      <c r="F45" s="47"/>
      <c r="G45" s="47"/>
      <c r="H45" s="40">
        <v>15</v>
      </c>
      <c r="I45" s="12">
        <f>SUM(H45)+0.5</f>
        <v>15.5</v>
      </c>
      <c r="J45" s="12">
        <f>SUM(I45)+0.5</f>
        <v>16</v>
      </c>
      <c r="K45" s="12"/>
      <c r="L45" s="12"/>
      <c r="M45" s="14"/>
    </row>
    <row r="46" spans="1:13" ht="14.1" customHeight="1" x14ac:dyDescent="0.3">
      <c r="A46" s="84"/>
      <c r="B46" s="41" t="s">
        <v>80</v>
      </c>
      <c r="C46" s="41"/>
      <c r="D46" s="36"/>
      <c r="E46" s="37"/>
      <c r="F46" s="37"/>
      <c r="G46" s="38"/>
      <c r="H46" s="28"/>
      <c r="I46" s="30"/>
      <c r="J46" s="30"/>
      <c r="K46" s="30"/>
      <c r="L46" s="30"/>
      <c r="M46" s="33"/>
    </row>
    <row r="47" spans="1:13" ht="14.1" customHeight="1" x14ac:dyDescent="0.3">
      <c r="A47" s="80">
        <v>23</v>
      </c>
      <c r="B47" s="54" t="s">
        <v>99</v>
      </c>
      <c r="C47" s="55"/>
      <c r="D47" s="81"/>
      <c r="E47" s="82"/>
      <c r="F47" s="82"/>
      <c r="G47" s="83"/>
      <c r="H47" s="28">
        <v>102</v>
      </c>
      <c r="I47" s="74">
        <f>SUM(H47)+2.5</f>
        <v>104.5</v>
      </c>
      <c r="J47" s="74">
        <f>SUM(I47)+2.5</f>
        <v>107</v>
      </c>
      <c r="K47" s="74"/>
      <c r="L47" s="74"/>
      <c r="M47" s="75"/>
    </row>
    <row r="48" spans="1:13" ht="14.1" customHeight="1" x14ac:dyDescent="0.3">
      <c r="A48" s="80"/>
      <c r="B48" s="54" t="s">
        <v>98</v>
      </c>
      <c r="C48" s="55"/>
      <c r="D48" s="56" t="s">
        <v>148</v>
      </c>
      <c r="E48" s="57"/>
      <c r="F48" s="57"/>
      <c r="G48" s="58"/>
      <c r="H48" s="40"/>
      <c r="I48" s="74"/>
      <c r="J48" s="74"/>
      <c r="K48" s="74"/>
      <c r="L48" s="74"/>
      <c r="M48" s="75"/>
    </row>
    <row r="49" spans="1:13" ht="14.1" customHeight="1" x14ac:dyDescent="0.3">
      <c r="A49" s="78">
        <v>24</v>
      </c>
      <c r="B49" s="23"/>
      <c r="C49" s="24"/>
      <c r="D49" s="25"/>
      <c r="E49" s="26"/>
      <c r="F49" s="26"/>
      <c r="G49" s="27"/>
      <c r="H49" s="39"/>
      <c r="I49" s="12"/>
      <c r="J49" s="12"/>
      <c r="K49" s="12"/>
      <c r="L49" s="12"/>
      <c r="M49" s="14"/>
    </row>
    <row r="50" spans="1:13" ht="14.1" customHeight="1" thickBot="1" x14ac:dyDescent="0.35">
      <c r="A50" s="79"/>
      <c r="B50" s="16"/>
      <c r="C50" s="17"/>
      <c r="D50" s="18"/>
      <c r="E50" s="19"/>
      <c r="F50" s="19"/>
      <c r="G50" s="20"/>
      <c r="H50" s="29"/>
      <c r="I50" s="13"/>
      <c r="J50" s="13"/>
      <c r="K50" s="13"/>
      <c r="L50" s="13"/>
      <c r="M50" s="15"/>
    </row>
    <row r="51" spans="1:13" ht="14.1" customHeight="1" x14ac:dyDescent="0.3"/>
  </sheetData>
  <mergeCells count="26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9:A50"/>
    <mergeCell ref="B49:C49"/>
    <mergeCell ref="D49:G49"/>
    <mergeCell ref="H49:H50"/>
    <mergeCell ref="I49:I50"/>
    <mergeCell ref="A47:A48"/>
    <mergeCell ref="B47:C47"/>
    <mergeCell ref="D47:G47"/>
    <mergeCell ref="H47:H48"/>
    <mergeCell ref="I47:I48"/>
    <mergeCell ref="J49:J50"/>
    <mergeCell ref="K49:K50"/>
    <mergeCell ref="L49:L50"/>
    <mergeCell ref="M49:M50"/>
    <mergeCell ref="B50:C50"/>
    <mergeCell ref="D50:G50"/>
    <mergeCell ref="K47:K48"/>
    <mergeCell ref="L47:L48"/>
    <mergeCell ref="M47:M48"/>
    <mergeCell ref="B48:C48"/>
    <mergeCell ref="D48:G48"/>
    <mergeCell ref="J47:J48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1892-BBE4-49D2-A952-B798DD12A620}">
  <sheetPr>
    <tabColor theme="7"/>
    <pageSetUpPr fitToPage="1"/>
  </sheetPr>
  <dimension ref="A1:M51"/>
  <sheetViews>
    <sheetView zoomScale="110" zoomScaleNormal="110" workbookViewId="0">
      <selection activeCell="H23" sqref="H23:H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307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103" t="s">
        <v>117</v>
      </c>
      <c r="C3" s="104"/>
      <c r="D3" s="71" t="s">
        <v>75</v>
      </c>
      <c r="E3" s="105"/>
      <c r="F3" s="105"/>
      <c r="G3" s="106"/>
      <c r="H3" s="107">
        <v>64</v>
      </c>
      <c r="I3" s="61">
        <f>SUM(H3)+2.5</f>
        <v>66.5</v>
      </c>
      <c r="J3" s="61">
        <f>SUM(I3)+2.5</f>
        <v>69</v>
      </c>
      <c r="K3" s="61"/>
      <c r="L3" s="61"/>
      <c r="M3" s="62"/>
    </row>
    <row r="4" spans="1:13" s="2" customFormat="1" ht="14.1" customHeight="1" x14ac:dyDescent="0.3">
      <c r="A4" s="84"/>
      <c r="B4" s="85" t="s">
        <v>116</v>
      </c>
      <c r="C4" s="86"/>
      <c r="D4" s="87" t="s">
        <v>74</v>
      </c>
      <c r="E4" s="88"/>
      <c r="F4" s="88"/>
      <c r="G4" s="89"/>
      <c r="H4" s="28"/>
      <c r="I4" s="30"/>
      <c r="J4" s="30"/>
      <c r="K4" s="30"/>
      <c r="L4" s="30"/>
      <c r="M4" s="33"/>
    </row>
    <row r="5" spans="1:13" s="2" customFormat="1" ht="14.1" customHeight="1" x14ac:dyDescent="0.3">
      <c r="A5" s="80">
        <v>2</v>
      </c>
      <c r="B5" s="54" t="s">
        <v>115</v>
      </c>
      <c r="C5" s="55"/>
      <c r="D5" s="56"/>
      <c r="E5" s="57"/>
      <c r="F5" s="57"/>
      <c r="G5" s="58"/>
      <c r="H5" s="114">
        <v>30</v>
      </c>
      <c r="I5" s="74">
        <f>SUM(H5)+2.25</f>
        <v>32.25</v>
      </c>
      <c r="J5" s="74">
        <f>SUM(I5)+2.25</f>
        <v>34.5</v>
      </c>
      <c r="K5" s="74"/>
      <c r="L5" s="74"/>
      <c r="M5" s="75"/>
    </row>
    <row r="6" spans="1:13" s="2" customFormat="1" ht="14.1" customHeight="1" x14ac:dyDescent="0.3">
      <c r="A6" s="84"/>
      <c r="B6" s="85" t="s">
        <v>114</v>
      </c>
      <c r="C6" s="86"/>
      <c r="D6" s="87"/>
      <c r="E6" s="88"/>
      <c r="F6" s="88"/>
      <c r="G6" s="89"/>
      <c r="H6" s="111"/>
      <c r="I6" s="30"/>
      <c r="J6" s="30"/>
      <c r="K6" s="30"/>
      <c r="L6" s="30"/>
      <c r="M6" s="33"/>
    </row>
    <row r="7" spans="1:13" s="2" customFormat="1" ht="14.1" customHeight="1" x14ac:dyDescent="0.3">
      <c r="A7" s="80">
        <v>3</v>
      </c>
      <c r="B7" s="54" t="s">
        <v>73</v>
      </c>
      <c r="C7" s="55"/>
      <c r="D7" s="56"/>
      <c r="E7" s="57"/>
      <c r="F7" s="57"/>
      <c r="G7" s="58"/>
      <c r="H7" s="114">
        <v>34</v>
      </c>
      <c r="I7" s="74">
        <f>SUM(H7)+0.25</f>
        <v>34.25</v>
      </c>
      <c r="J7" s="74">
        <f>SUM(I7)+0.25</f>
        <v>34.5</v>
      </c>
      <c r="K7" s="74"/>
      <c r="L7" s="74"/>
      <c r="M7" s="75"/>
    </row>
    <row r="8" spans="1:13" s="2" customFormat="1" ht="14.1" customHeight="1" x14ac:dyDescent="0.3">
      <c r="A8" s="84"/>
      <c r="B8" s="85" t="s">
        <v>113</v>
      </c>
      <c r="C8" s="86"/>
      <c r="D8" s="87"/>
      <c r="E8" s="88"/>
      <c r="F8" s="88"/>
      <c r="G8" s="89"/>
      <c r="H8" s="111"/>
      <c r="I8" s="30"/>
      <c r="J8" s="30"/>
      <c r="K8" s="30"/>
      <c r="L8" s="30"/>
      <c r="M8" s="33"/>
    </row>
    <row r="9" spans="1:13" s="2" customFormat="1" ht="14.1" customHeight="1" x14ac:dyDescent="0.3">
      <c r="A9" s="80">
        <v>4</v>
      </c>
      <c r="B9" s="23" t="s">
        <v>112</v>
      </c>
      <c r="C9" s="24"/>
      <c r="D9" s="99" t="s">
        <v>213</v>
      </c>
      <c r="E9" s="100"/>
      <c r="F9" s="100"/>
      <c r="G9" s="101"/>
      <c r="H9" s="114">
        <v>52</v>
      </c>
      <c r="I9" s="74">
        <f>SUM(H9)+1.3</f>
        <v>53.3</v>
      </c>
      <c r="J9" s="74">
        <f>SUM(I9)+1.3</f>
        <v>54.599999999999994</v>
      </c>
      <c r="K9" s="74"/>
      <c r="L9" s="74"/>
      <c r="M9" s="75"/>
    </row>
    <row r="10" spans="1:13" s="2" customFormat="1" ht="14.1" customHeight="1" x14ac:dyDescent="0.3">
      <c r="A10" s="84"/>
      <c r="B10" s="85" t="s">
        <v>111</v>
      </c>
      <c r="C10" s="86"/>
      <c r="D10" s="96" t="s">
        <v>170</v>
      </c>
      <c r="E10" s="97"/>
      <c r="F10" s="97"/>
      <c r="G10" s="98"/>
      <c r="H10" s="111"/>
      <c r="I10" s="30"/>
      <c r="J10" s="30"/>
      <c r="K10" s="30"/>
      <c r="L10" s="30"/>
      <c r="M10" s="33"/>
    </row>
    <row r="11" spans="1:13" s="2" customFormat="1" ht="14.1" customHeight="1" x14ac:dyDescent="0.3">
      <c r="A11" s="80">
        <v>5</v>
      </c>
      <c r="B11" s="23" t="s">
        <v>85</v>
      </c>
      <c r="C11" s="24"/>
      <c r="D11" s="56"/>
      <c r="E11" s="57"/>
      <c r="F11" s="57"/>
      <c r="G11" s="58"/>
      <c r="H11" s="76">
        <v>76</v>
      </c>
      <c r="I11" s="74">
        <f>SUM(H11)+4.5</f>
        <v>80.5</v>
      </c>
      <c r="J11" s="74">
        <f>SUM(I11)+4.5</f>
        <v>85</v>
      </c>
      <c r="K11" s="74"/>
      <c r="L11" s="74"/>
      <c r="M11" s="75"/>
    </row>
    <row r="12" spans="1:13" s="2" customFormat="1" ht="14.1" customHeight="1" x14ac:dyDescent="0.3">
      <c r="A12" s="84"/>
      <c r="B12" s="85" t="s">
        <v>110</v>
      </c>
      <c r="C12" s="86"/>
      <c r="D12" s="87"/>
      <c r="E12" s="88"/>
      <c r="F12" s="88"/>
      <c r="G12" s="89"/>
      <c r="H12" s="28"/>
      <c r="I12" s="30"/>
      <c r="J12" s="30"/>
      <c r="K12" s="30"/>
      <c r="L12" s="30"/>
      <c r="M12" s="33"/>
    </row>
    <row r="13" spans="1:13" s="2" customFormat="1" ht="14.1" customHeight="1" x14ac:dyDescent="0.3">
      <c r="A13" s="80">
        <v>6</v>
      </c>
      <c r="B13" s="23" t="s">
        <v>41</v>
      </c>
      <c r="C13" s="24"/>
      <c r="D13" s="44" t="s">
        <v>118</v>
      </c>
      <c r="E13" s="45"/>
      <c r="F13" s="45"/>
      <c r="G13" s="46"/>
      <c r="H13" s="40">
        <v>110</v>
      </c>
      <c r="I13" s="12">
        <f>SUM(H13)+5</f>
        <v>115</v>
      </c>
      <c r="J13" s="12">
        <f>SUM(I13)+5</f>
        <v>120</v>
      </c>
      <c r="K13" s="12"/>
      <c r="L13" s="12"/>
      <c r="M13" s="14"/>
    </row>
    <row r="14" spans="1:13" s="2" customFormat="1" ht="14.1" customHeight="1" x14ac:dyDescent="0.3">
      <c r="A14" s="84"/>
      <c r="B14" s="85" t="s">
        <v>169</v>
      </c>
      <c r="C14" s="86"/>
      <c r="D14" s="87" t="s">
        <v>76</v>
      </c>
      <c r="E14" s="88"/>
      <c r="F14" s="88"/>
      <c r="G14" s="89"/>
      <c r="H14" s="28"/>
      <c r="I14" s="30"/>
      <c r="J14" s="30"/>
      <c r="K14" s="30"/>
      <c r="L14" s="30"/>
      <c r="M14" s="33"/>
    </row>
    <row r="15" spans="1:13" s="2" customFormat="1" ht="14.1" customHeight="1" x14ac:dyDescent="0.3">
      <c r="A15" s="80">
        <v>7</v>
      </c>
      <c r="B15" s="23" t="s">
        <v>109</v>
      </c>
      <c r="C15" s="24"/>
      <c r="D15" s="44"/>
      <c r="E15" s="45"/>
      <c r="F15" s="45"/>
      <c r="G15" s="46"/>
      <c r="H15" s="40">
        <v>14</v>
      </c>
      <c r="I15" s="12">
        <f>SUM(H15)+0.7</f>
        <v>14.7</v>
      </c>
      <c r="J15" s="12">
        <f>SUM(I15)+0.7</f>
        <v>15.399999999999999</v>
      </c>
      <c r="K15" s="12"/>
      <c r="L15" s="12"/>
      <c r="M15" s="90"/>
    </row>
    <row r="16" spans="1:13" s="2" customFormat="1" ht="14.1" customHeight="1" x14ac:dyDescent="0.3">
      <c r="A16" s="84"/>
      <c r="B16" s="85" t="s">
        <v>108</v>
      </c>
      <c r="C16" s="86"/>
      <c r="D16" s="93" t="s">
        <v>165</v>
      </c>
      <c r="E16" s="94"/>
      <c r="F16" s="94"/>
      <c r="G16" s="95"/>
      <c r="H16" s="28"/>
      <c r="I16" s="30"/>
      <c r="J16" s="30"/>
      <c r="K16" s="30"/>
      <c r="L16" s="30"/>
      <c r="M16" s="91"/>
    </row>
    <row r="17" spans="1:13" s="2" customFormat="1" ht="14.1" customHeight="1" x14ac:dyDescent="0.3">
      <c r="A17" s="80">
        <v>8</v>
      </c>
      <c r="B17" s="23" t="s">
        <v>106</v>
      </c>
      <c r="C17" s="24"/>
      <c r="D17" s="44"/>
      <c r="E17" s="45"/>
      <c r="F17" s="45"/>
      <c r="G17" s="46"/>
      <c r="H17" s="40">
        <v>14</v>
      </c>
      <c r="I17" s="12">
        <f>SUM(H17)+0.7</f>
        <v>14.7</v>
      </c>
      <c r="J17" s="12">
        <f>SUM(I17)+0.7</f>
        <v>15.399999999999999</v>
      </c>
      <c r="K17" s="112"/>
      <c r="L17" s="112"/>
      <c r="M17" s="90"/>
    </row>
    <row r="18" spans="1:13" s="2" customFormat="1" ht="14.1" customHeight="1" x14ac:dyDescent="0.3">
      <c r="A18" s="84"/>
      <c r="B18" s="85" t="s">
        <v>105</v>
      </c>
      <c r="C18" s="86"/>
      <c r="D18" s="93" t="s">
        <v>104</v>
      </c>
      <c r="E18" s="94"/>
      <c r="F18" s="94"/>
      <c r="G18" s="95"/>
      <c r="H18" s="28"/>
      <c r="I18" s="30"/>
      <c r="J18" s="30"/>
      <c r="K18" s="113"/>
      <c r="L18" s="113"/>
      <c r="M18" s="91"/>
    </row>
    <row r="19" spans="1:13" s="2" customFormat="1" ht="14.1" customHeight="1" x14ac:dyDescent="0.3">
      <c r="A19" s="80">
        <v>9</v>
      </c>
      <c r="B19" s="23" t="s">
        <v>166</v>
      </c>
      <c r="C19" s="24"/>
      <c r="D19" s="44"/>
      <c r="E19" s="45"/>
      <c r="F19" s="45"/>
      <c r="G19" s="46"/>
      <c r="H19" s="40">
        <v>3.5</v>
      </c>
      <c r="I19" s="12">
        <f>SUM(H19)</f>
        <v>3.5</v>
      </c>
      <c r="J19" s="12">
        <f>SUM(I19)</f>
        <v>3.5</v>
      </c>
      <c r="K19" s="112"/>
      <c r="L19" s="112"/>
      <c r="M19" s="14"/>
    </row>
    <row r="20" spans="1:13" s="2" customFormat="1" ht="14.1" customHeight="1" x14ac:dyDescent="0.3">
      <c r="A20" s="84"/>
      <c r="B20" s="85" t="s">
        <v>167</v>
      </c>
      <c r="C20" s="86"/>
      <c r="D20" s="93"/>
      <c r="E20" s="94"/>
      <c r="F20" s="94"/>
      <c r="G20" s="95"/>
      <c r="H20" s="28"/>
      <c r="I20" s="30"/>
      <c r="J20" s="30"/>
      <c r="K20" s="113"/>
      <c r="L20" s="113"/>
      <c r="M20" s="33"/>
    </row>
    <row r="21" spans="1:13" s="2" customFormat="1" ht="14.1" customHeight="1" x14ac:dyDescent="0.3">
      <c r="A21" s="80">
        <v>10</v>
      </c>
      <c r="B21" s="23" t="s">
        <v>43</v>
      </c>
      <c r="C21" s="24"/>
      <c r="D21" s="44" t="s">
        <v>72</v>
      </c>
      <c r="E21" s="45"/>
      <c r="F21" s="45"/>
      <c r="G21" s="46"/>
      <c r="H21" s="40">
        <v>94</v>
      </c>
      <c r="I21" s="12">
        <f>SUM(H21)+4</f>
        <v>98</v>
      </c>
      <c r="J21" s="12">
        <f>SUM(I21)+4</f>
        <v>102</v>
      </c>
      <c r="K21" s="12"/>
      <c r="L21" s="12"/>
      <c r="M21" s="14"/>
    </row>
    <row r="22" spans="1:13" s="2" customFormat="1" ht="14.1" customHeight="1" x14ac:dyDescent="0.3">
      <c r="A22" s="84"/>
      <c r="B22" s="85" t="s">
        <v>44</v>
      </c>
      <c r="C22" s="86"/>
      <c r="D22" s="87" t="s">
        <v>71</v>
      </c>
      <c r="E22" s="88"/>
      <c r="F22" s="88"/>
      <c r="G22" s="89"/>
      <c r="H22" s="28"/>
      <c r="I22" s="30"/>
      <c r="J22" s="30"/>
      <c r="K22" s="30"/>
      <c r="L22" s="30"/>
      <c r="M22" s="33"/>
    </row>
    <row r="23" spans="1:13" s="2" customFormat="1" ht="14.1" customHeight="1" x14ac:dyDescent="0.3">
      <c r="A23" s="80">
        <v>11</v>
      </c>
      <c r="B23" s="23" t="s">
        <v>84</v>
      </c>
      <c r="C23" s="24"/>
      <c r="D23" s="44" t="s">
        <v>83</v>
      </c>
      <c r="E23" s="45"/>
      <c r="F23" s="45"/>
      <c r="G23" s="46"/>
      <c r="H23" s="40">
        <v>57</v>
      </c>
      <c r="I23" s="12">
        <f>SUM(H23)+2.4</f>
        <v>59.4</v>
      </c>
      <c r="J23" s="12">
        <f>SUM(I23)+2.4</f>
        <v>61.8</v>
      </c>
      <c r="K23" s="12"/>
      <c r="L23" s="12"/>
      <c r="M23" s="14"/>
    </row>
    <row r="24" spans="1:13" s="2" customFormat="1" ht="14.1" customHeight="1" x14ac:dyDescent="0.3">
      <c r="A24" s="84"/>
      <c r="B24" s="85" t="s">
        <v>82</v>
      </c>
      <c r="C24" s="86"/>
      <c r="D24" s="36" t="s">
        <v>81</v>
      </c>
      <c r="E24" s="37"/>
      <c r="F24" s="37"/>
      <c r="G24" s="38"/>
      <c r="H24" s="28"/>
      <c r="I24" s="30"/>
      <c r="J24" s="30"/>
      <c r="K24" s="30"/>
      <c r="L24" s="30"/>
      <c r="M24" s="33"/>
    </row>
    <row r="25" spans="1:13" s="2" customFormat="1" ht="14.1" customHeight="1" x14ac:dyDescent="0.3">
      <c r="A25" s="80">
        <v>12</v>
      </c>
      <c r="B25" s="23" t="s">
        <v>45</v>
      </c>
      <c r="C25" s="24"/>
      <c r="D25" s="44" t="s">
        <v>46</v>
      </c>
      <c r="E25" s="45"/>
      <c r="F25" s="45"/>
      <c r="G25" s="46"/>
      <c r="H25" s="40">
        <v>29.5</v>
      </c>
      <c r="I25" s="12">
        <f>SUM(H25)+1.1</f>
        <v>30.6</v>
      </c>
      <c r="J25" s="12">
        <f>SUM(I25)+1.1</f>
        <v>31.700000000000003</v>
      </c>
      <c r="K25" s="12"/>
      <c r="L25" s="12"/>
      <c r="M25" s="90"/>
    </row>
    <row r="26" spans="1:13" s="2" customFormat="1" ht="14.1" customHeight="1" x14ac:dyDescent="0.3">
      <c r="A26" s="84"/>
      <c r="B26" s="85" t="s">
        <v>47</v>
      </c>
      <c r="C26" s="86"/>
      <c r="D26" s="87" t="s">
        <v>70</v>
      </c>
      <c r="E26" s="88"/>
      <c r="F26" s="88"/>
      <c r="G26" s="89"/>
      <c r="H26" s="28"/>
      <c r="I26" s="30"/>
      <c r="J26" s="30"/>
      <c r="K26" s="30"/>
      <c r="L26" s="30"/>
      <c r="M26" s="91"/>
    </row>
    <row r="27" spans="1:13" s="2" customFormat="1" ht="14.1" customHeight="1" x14ac:dyDescent="0.3">
      <c r="A27" s="80">
        <v>13</v>
      </c>
      <c r="B27" s="23" t="s">
        <v>48</v>
      </c>
      <c r="C27" s="24"/>
      <c r="D27" s="44" t="s">
        <v>46</v>
      </c>
      <c r="E27" s="45"/>
      <c r="F27" s="45"/>
      <c r="G27" s="46"/>
      <c r="H27" s="40">
        <v>39</v>
      </c>
      <c r="I27" s="12">
        <f>SUM(H27)+1.3</f>
        <v>40.299999999999997</v>
      </c>
      <c r="J27" s="12">
        <f>SUM(I27)+1.3</f>
        <v>41.599999999999994</v>
      </c>
      <c r="K27" s="12"/>
      <c r="L27" s="12"/>
      <c r="M27" s="90"/>
    </row>
    <row r="28" spans="1:13" s="2" customFormat="1" ht="14.1" customHeight="1" x14ac:dyDescent="0.3">
      <c r="A28" s="84"/>
      <c r="B28" s="85" t="s">
        <v>49</v>
      </c>
      <c r="C28" s="86"/>
      <c r="D28" s="87" t="s">
        <v>70</v>
      </c>
      <c r="E28" s="88"/>
      <c r="F28" s="88"/>
      <c r="G28" s="89"/>
      <c r="H28" s="28"/>
      <c r="I28" s="30"/>
      <c r="J28" s="30"/>
      <c r="K28" s="30"/>
      <c r="L28" s="30"/>
      <c r="M28" s="91"/>
    </row>
    <row r="29" spans="1:13" s="2" customFormat="1" ht="14.1" customHeight="1" x14ac:dyDescent="0.3">
      <c r="A29" s="80">
        <v>14</v>
      </c>
      <c r="B29" s="23" t="s">
        <v>50</v>
      </c>
      <c r="C29" s="24"/>
      <c r="D29" s="44" t="s">
        <v>51</v>
      </c>
      <c r="E29" s="45"/>
      <c r="F29" s="45"/>
      <c r="G29" s="46"/>
      <c r="H29" s="40"/>
      <c r="I29" s="12"/>
      <c r="J29" s="12"/>
      <c r="K29" s="12"/>
      <c r="L29" s="12"/>
      <c r="M29" s="14"/>
    </row>
    <row r="30" spans="1:13" s="2" customFormat="1" ht="14.1" customHeight="1" x14ac:dyDescent="0.3">
      <c r="A30" s="84"/>
      <c r="B30" s="85" t="s">
        <v>52</v>
      </c>
      <c r="C30" s="86"/>
      <c r="D30" s="87" t="s">
        <v>69</v>
      </c>
      <c r="E30" s="88"/>
      <c r="F30" s="88"/>
      <c r="G30" s="89"/>
      <c r="H30" s="28"/>
      <c r="I30" s="30"/>
      <c r="J30" s="30"/>
      <c r="K30" s="30"/>
      <c r="L30" s="30"/>
      <c r="M30" s="33"/>
    </row>
    <row r="31" spans="1:13" s="2" customFormat="1" ht="14.1" customHeight="1" x14ac:dyDescent="0.3">
      <c r="A31" s="80">
        <v>15</v>
      </c>
      <c r="B31" s="23" t="s">
        <v>53</v>
      </c>
      <c r="C31" s="24"/>
      <c r="D31" s="44" t="s">
        <v>54</v>
      </c>
      <c r="E31" s="45"/>
      <c r="F31" s="45"/>
      <c r="G31" s="46"/>
      <c r="H31" s="40"/>
      <c r="I31" s="12"/>
      <c r="J31" s="12"/>
      <c r="K31" s="12"/>
      <c r="L31" s="12"/>
      <c r="M31" s="14"/>
    </row>
    <row r="32" spans="1:13" s="2" customFormat="1" ht="14.1" customHeight="1" x14ac:dyDescent="0.3">
      <c r="A32" s="84"/>
      <c r="B32" s="85" t="s">
        <v>55</v>
      </c>
      <c r="C32" s="86"/>
      <c r="D32" s="87" t="s">
        <v>68</v>
      </c>
      <c r="E32" s="88"/>
      <c r="F32" s="88"/>
      <c r="G32" s="89"/>
      <c r="H32" s="28"/>
      <c r="I32" s="30"/>
      <c r="J32" s="30"/>
      <c r="K32" s="30"/>
      <c r="L32" s="30"/>
      <c r="M32" s="33"/>
    </row>
    <row r="33" spans="1:13" s="2" customFormat="1" ht="14.1" customHeight="1" x14ac:dyDescent="0.3">
      <c r="A33" s="80">
        <v>16</v>
      </c>
      <c r="B33" s="23" t="s">
        <v>67</v>
      </c>
      <c r="C33" s="24"/>
      <c r="D33" s="44" t="s">
        <v>65</v>
      </c>
      <c r="E33" s="45"/>
      <c r="F33" s="45"/>
      <c r="G33" s="46"/>
      <c r="H33" s="40"/>
      <c r="I33" s="12"/>
      <c r="J33" s="12"/>
      <c r="K33" s="12"/>
      <c r="L33" s="12"/>
      <c r="M33" s="14"/>
    </row>
    <row r="34" spans="1:13" s="2" customFormat="1" ht="14.1" customHeight="1" x14ac:dyDescent="0.3">
      <c r="A34" s="84"/>
      <c r="B34" s="85" t="s">
        <v>66</v>
      </c>
      <c r="C34" s="86"/>
      <c r="D34" s="87" t="s">
        <v>65</v>
      </c>
      <c r="E34" s="88"/>
      <c r="F34" s="88"/>
      <c r="G34" s="89"/>
      <c r="H34" s="28"/>
      <c r="I34" s="30"/>
      <c r="J34" s="30"/>
      <c r="K34" s="30"/>
      <c r="L34" s="30"/>
      <c r="M34" s="33"/>
    </row>
    <row r="35" spans="1:13" s="2" customFormat="1" ht="14.1" customHeight="1" x14ac:dyDescent="0.3">
      <c r="A35" s="80">
        <v>17</v>
      </c>
      <c r="B35" s="23" t="s">
        <v>103</v>
      </c>
      <c r="C35" s="24"/>
      <c r="D35" s="44" t="s">
        <v>102</v>
      </c>
      <c r="E35" s="45"/>
      <c r="F35" s="45"/>
      <c r="G35" s="46"/>
      <c r="H35" s="40"/>
      <c r="I35" s="12"/>
      <c r="J35" s="12"/>
      <c r="K35" s="12"/>
      <c r="L35" s="12"/>
      <c r="M35" s="14"/>
    </row>
    <row r="36" spans="1:13" s="2" customFormat="1" ht="14.1" customHeight="1" x14ac:dyDescent="0.3">
      <c r="A36" s="84"/>
      <c r="B36" s="85" t="s">
        <v>101</v>
      </c>
      <c r="C36" s="86"/>
      <c r="D36" s="87" t="s">
        <v>100</v>
      </c>
      <c r="E36" s="88"/>
      <c r="F36" s="88"/>
      <c r="G36" s="89"/>
      <c r="H36" s="28"/>
      <c r="I36" s="30"/>
      <c r="J36" s="30"/>
      <c r="K36" s="30"/>
      <c r="L36" s="30"/>
      <c r="M36" s="33"/>
    </row>
    <row r="37" spans="1:13" ht="14.1" customHeight="1" x14ac:dyDescent="0.3">
      <c r="A37" s="80">
        <v>18</v>
      </c>
      <c r="B37" s="23" t="s">
        <v>126</v>
      </c>
      <c r="C37" s="24"/>
      <c r="D37" s="44" t="s">
        <v>125</v>
      </c>
      <c r="E37" s="45"/>
      <c r="F37" s="45"/>
      <c r="G37" s="46"/>
      <c r="H37" s="39">
        <v>9</v>
      </c>
      <c r="I37" s="48">
        <f>SUM(H37)+0.5</f>
        <v>9.5</v>
      </c>
      <c r="J37" s="48">
        <f>SUM(I37)+0.5</f>
        <v>10</v>
      </c>
      <c r="K37" s="12"/>
      <c r="L37" s="12"/>
      <c r="M37" s="14"/>
    </row>
    <row r="38" spans="1:13" ht="14.1" customHeight="1" x14ac:dyDescent="0.3">
      <c r="A38" s="84"/>
      <c r="B38" s="85" t="s">
        <v>124</v>
      </c>
      <c r="C38" s="86"/>
      <c r="D38" s="87" t="s">
        <v>123</v>
      </c>
      <c r="E38" s="88"/>
      <c r="F38" s="88"/>
      <c r="G38" s="89"/>
      <c r="H38" s="39"/>
      <c r="I38" s="48"/>
      <c r="J38" s="48"/>
      <c r="K38" s="30"/>
      <c r="L38" s="30"/>
      <c r="M38" s="33"/>
    </row>
    <row r="39" spans="1:13" ht="14.1" customHeight="1" x14ac:dyDescent="0.3">
      <c r="A39" s="80">
        <v>19</v>
      </c>
      <c r="B39" s="23" t="s">
        <v>122</v>
      </c>
      <c r="C39" s="24"/>
      <c r="D39" s="44" t="s">
        <v>121</v>
      </c>
      <c r="E39" s="45"/>
      <c r="F39" s="45"/>
      <c r="G39" s="46"/>
      <c r="H39" s="40">
        <v>6</v>
      </c>
      <c r="I39" s="12">
        <f>SUM(H39)+0.3</f>
        <v>6.3</v>
      </c>
      <c r="J39" s="12">
        <f>SUM(I39)+0.3</f>
        <v>6.6</v>
      </c>
      <c r="K39" s="12"/>
      <c r="L39" s="12"/>
      <c r="M39" s="14"/>
    </row>
    <row r="40" spans="1:13" ht="14.1" customHeight="1" x14ac:dyDescent="0.3">
      <c r="A40" s="84"/>
      <c r="B40" s="85" t="s">
        <v>120</v>
      </c>
      <c r="C40" s="86"/>
      <c r="D40" s="87" t="s">
        <v>119</v>
      </c>
      <c r="E40" s="88"/>
      <c r="F40" s="88"/>
      <c r="G40" s="89"/>
      <c r="H40" s="28"/>
      <c r="I40" s="30"/>
      <c r="J40" s="30"/>
      <c r="K40" s="30"/>
      <c r="L40" s="30"/>
      <c r="M40" s="33"/>
    </row>
    <row r="41" spans="1:13" s="2" customFormat="1" ht="14.1" customHeight="1" x14ac:dyDescent="0.3">
      <c r="A41" s="80">
        <v>20</v>
      </c>
      <c r="B41" s="23" t="s">
        <v>77</v>
      </c>
      <c r="C41" s="24"/>
      <c r="D41" s="47"/>
      <c r="E41" s="47"/>
      <c r="F41" s="47"/>
      <c r="G41" s="47"/>
      <c r="H41" s="40">
        <v>15</v>
      </c>
      <c r="I41" s="12">
        <f>SUM(H41)+0.5</f>
        <v>15.5</v>
      </c>
      <c r="J41" s="12">
        <f>SUM(I41)+0.5</f>
        <v>16</v>
      </c>
      <c r="K41" s="12"/>
      <c r="L41" s="12"/>
      <c r="M41" s="14"/>
    </row>
    <row r="42" spans="1:13" s="2" customFormat="1" ht="14.1" customHeight="1" x14ac:dyDescent="0.3">
      <c r="A42" s="84"/>
      <c r="B42" s="34" t="s">
        <v>78</v>
      </c>
      <c r="C42" s="35"/>
      <c r="D42" s="36"/>
      <c r="E42" s="37"/>
      <c r="F42" s="37"/>
      <c r="G42" s="38"/>
      <c r="H42" s="28"/>
      <c r="I42" s="30"/>
      <c r="J42" s="30"/>
      <c r="K42" s="30"/>
      <c r="L42" s="30"/>
      <c r="M42" s="33"/>
    </row>
    <row r="43" spans="1:13" s="2" customFormat="1" ht="14.1" customHeight="1" x14ac:dyDescent="0.3">
      <c r="A43" s="80">
        <v>21</v>
      </c>
      <c r="B43" s="23" t="s">
        <v>79</v>
      </c>
      <c r="C43" s="24"/>
      <c r="D43" s="47"/>
      <c r="E43" s="47"/>
      <c r="F43" s="47"/>
      <c r="G43" s="47"/>
      <c r="H43" s="40">
        <v>15.5</v>
      </c>
      <c r="I43" s="12">
        <f>SUM(H43)+0.5</f>
        <v>16</v>
      </c>
      <c r="J43" s="12">
        <f>SUM(I43)+0.5</f>
        <v>16.5</v>
      </c>
      <c r="K43" s="12"/>
      <c r="L43" s="12"/>
      <c r="M43" s="14"/>
    </row>
    <row r="44" spans="1:13" s="2" customFormat="1" ht="14.1" customHeight="1" x14ac:dyDescent="0.3">
      <c r="A44" s="80"/>
      <c r="B44" s="68" t="s">
        <v>80</v>
      </c>
      <c r="C44" s="68"/>
      <c r="D44" s="56"/>
      <c r="E44" s="57"/>
      <c r="F44" s="57"/>
      <c r="G44" s="58"/>
      <c r="H44" s="76"/>
      <c r="I44" s="74"/>
      <c r="J44" s="74"/>
      <c r="K44" s="74"/>
      <c r="L44" s="74"/>
      <c r="M44" s="75"/>
    </row>
    <row r="45" spans="1:13" ht="14.1" customHeight="1" x14ac:dyDescent="0.3">
      <c r="A45" s="78">
        <v>22</v>
      </c>
      <c r="B45" s="23"/>
      <c r="C45" s="24"/>
      <c r="D45" s="47"/>
      <c r="E45" s="47"/>
      <c r="F45" s="47"/>
      <c r="G45" s="47"/>
      <c r="H45" s="40"/>
      <c r="I45" s="12"/>
      <c r="J45" s="12"/>
      <c r="K45" s="12"/>
      <c r="L45" s="12"/>
      <c r="M45" s="14"/>
    </row>
    <row r="46" spans="1:13" ht="14.1" customHeight="1" thickBot="1" x14ac:dyDescent="0.35">
      <c r="A46" s="79"/>
      <c r="B46" s="108"/>
      <c r="C46" s="108"/>
      <c r="D46" s="18"/>
      <c r="E46" s="19"/>
      <c r="F46" s="19"/>
      <c r="G46" s="20"/>
      <c r="H46" s="77"/>
      <c r="I46" s="13"/>
      <c r="J46" s="13"/>
      <c r="K46" s="13"/>
      <c r="L46" s="13"/>
      <c r="M46" s="15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B21E-4B06-4DF3-A268-5BAF5EE1D382}">
  <sheetPr>
    <tabColor theme="7"/>
    <pageSetUpPr fitToPage="1"/>
  </sheetPr>
  <dimension ref="A1:M51"/>
  <sheetViews>
    <sheetView zoomScale="110" zoomScaleNormal="110" workbookViewId="0">
      <selection activeCell="P16" sqref="P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308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103" t="s">
        <v>117</v>
      </c>
      <c r="C3" s="104"/>
      <c r="D3" s="71" t="s">
        <v>75</v>
      </c>
      <c r="E3" s="105"/>
      <c r="F3" s="105"/>
      <c r="G3" s="106"/>
      <c r="H3" s="107">
        <v>64</v>
      </c>
      <c r="I3" s="61">
        <f>SUM(H3)+2.5</f>
        <v>66.5</v>
      </c>
      <c r="J3" s="61">
        <f>SUM(I3)+2.5</f>
        <v>69</v>
      </c>
      <c r="K3" s="61"/>
      <c r="L3" s="61"/>
      <c r="M3" s="62"/>
    </row>
    <row r="4" spans="1:13" s="2" customFormat="1" ht="14.1" customHeight="1" x14ac:dyDescent="0.3">
      <c r="A4" s="84"/>
      <c r="B4" s="85" t="s">
        <v>116</v>
      </c>
      <c r="C4" s="86"/>
      <c r="D4" s="87" t="s">
        <v>74</v>
      </c>
      <c r="E4" s="88"/>
      <c r="F4" s="88"/>
      <c r="G4" s="89"/>
      <c r="H4" s="28"/>
      <c r="I4" s="30"/>
      <c r="J4" s="30"/>
      <c r="K4" s="30"/>
      <c r="L4" s="30"/>
      <c r="M4" s="33"/>
    </row>
    <row r="5" spans="1:13" s="2" customFormat="1" ht="14.1" customHeight="1" x14ac:dyDescent="0.3">
      <c r="A5" s="80">
        <v>2</v>
      </c>
      <c r="B5" s="54" t="s">
        <v>115</v>
      </c>
      <c r="C5" s="55"/>
      <c r="D5" s="56"/>
      <c r="E5" s="57"/>
      <c r="F5" s="57"/>
      <c r="G5" s="58"/>
      <c r="H5" s="114">
        <v>30</v>
      </c>
      <c r="I5" s="74">
        <f>SUM(H5)+2.25</f>
        <v>32.25</v>
      </c>
      <c r="J5" s="74">
        <f>SUM(I5)+2.25</f>
        <v>34.5</v>
      </c>
      <c r="K5" s="74"/>
      <c r="L5" s="74"/>
      <c r="M5" s="75"/>
    </row>
    <row r="6" spans="1:13" s="2" customFormat="1" ht="14.1" customHeight="1" x14ac:dyDescent="0.3">
      <c r="A6" s="84"/>
      <c r="B6" s="85" t="s">
        <v>114</v>
      </c>
      <c r="C6" s="86"/>
      <c r="D6" s="87"/>
      <c r="E6" s="88"/>
      <c r="F6" s="88"/>
      <c r="G6" s="89"/>
      <c r="H6" s="111"/>
      <c r="I6" s="30"/>
      <c r="J6" s="30"/>
      <c r="K6" s="30"/>
      <c r="L6" s="30"/>
      <c r="M6" s="33"/>
    </row>
    <row r="7" spans="1:13" s="2" customFormat="1" ht="14.1" customHeight="1" x14ac:dyDescent="0.3">
      <c r="A7" s="80">
        <v>3</v>
      </c>
      <c r="B7" s="54" t="s">
        <v>73</v>
      </c>
      <c r="C7" s="55"/>
      <c r="D7" s="56"/>
      <c r="E7" s="57"/>
      <c r="F7" s="57"/>
      <c r="G7" s="58"/>
      <c r="H7" s="114">
        <v>34</v>
      </c>
      <c r="I7" s="74">
        <f>SUM(H7)+0.25</f>
        <v>34.25</v>
      </c>
      <c r="J7" s="74">
        <f>SUM(I7)+0.25</f>
        <v>34.5</v>
      </c>
      <c r="K7" s="74"/>
      <c r="L7" s="74"/>
      <c r="M7" s="75"/>
    </row>
    <row r="8" spans="1:13" s="2" customFormat="1" ht="14.1" customHeight="1" x14ac:dyDescent="0.3">
      <c r="A8" s="84"/>
      <c r="B8" s="85" t="s">
        <v>113</v>
      </c>
      <c r="C8" s="86"/>
      <c r="D8" s="87"/>
      <c r="E8" s="88"/>
      <c r="F8" s="88"/>
      <c r="G8" s="89"/>
      <c r="H8" s="111"/>
      <c r="I8" s="30"/>
      <c r="J8" s="30"/>
      <c r="K8" s="30"/>
      <c r="L8" s="30"/>
      <c r="M8" s="33"/>
    </row>
    <row r="9" spans="1:13" s="2" customFormat="1" ht="14.1" customHeight="1" x14ac:dyDescent="0.3">
      <c r="A9" s="80">
        <v>4</v>
      </c>
      <c r="B9" s="23" t="s">
        <v>112</v>
      </c>
      <c r="C9" s="24"/>
      <c r="D9" s="99" t="s">
        <v>213</v>
      </c>
      <c r="E9" s="100"/>
      <c r="F9" s="100"/>
      <c r="G9" s="101"/>
      <c r="H9" s="114">
        <v>52</v>
      </c>
      <c r="I9" s="74">
        <f>SUM(H9)+1.3</f>
        <v>53.3</v>
      </c>
      <c r="J9" s="74">
        <f>SUM(I9)+1.3</f>
        <v>54.599999999999994</v>
      </c>
      <c r="K9" s="74"/>
      <c r="L9" s="74"/>
      <c r="M9" s="75"/>
    </row>
    <row r="10" spans="1:13" s="2" customFormat="1" ht="14.1" customHeight="1" x14ac:dyDescent="0.3">
      <c r="A10" s="84"/>
      <c r="B10" s="85" t="s">
        <v>111</v>
      </c>
      <c r="C10" s="86"/>
      <c r="D10" s="96" t="s">
        <v>170</v>
      </c>
      <c r="E10" s="97"/>
      <c r="F10" s="97"/>
      <c r="G10" s="98"/>
      <c r="H10" s="111"/>
      <c r="I10" s="30"/>
      <c r="J10" s="30"/>
      <c r="K10" s="30"/>
      <c r="L10" s="30"/>
      <c r="M10" s="33"/>
    </row>
    <row r="11" spans="1:13" s="2" customFormat="1" ht="14.1" customHeight="1" x14ac:dyDescent="0.3">
      <c r="A11" s="80">
        <v>5</v>
      </c>
      <c r="B11" s="23" t="s">
        <v>85</v>
      </c>
      <c r="C11" s="24"/>
      <c r="D11" s="56"/>
      <c r="E11" s="57"/>
      <c r="F11" s="57"/>
      <c r="G11" s="58"/>
      <c r="H11" s="76">
        <v>76</v>
      </c>
      <c r="I11" s="74">
        <f>SUM(H11)+4.5</f>
        <v>80.5</v>
      </c>
      <c r="J11" s="74">
        <f>SUM(I11)+4.5</f>
        <v>85</v>
      </c>
      <c r="K11" s="74"/>
      <c r="L11" s="74"/>
      <c r="M11" s="75"/>
    </row>
    <row r="12" spans="1:13" s="2" customFormat="1" ht="14.1" customHeight="1" x14ac:dyDescent="0.3">
      <c r="A12" s="84"/>
      <c r="B12" s="85" t="s">
        <v>110</v>
      </c>
      <c r="C12" s="86"/>
      <c r="D12" s="87"/>
      <c r="E12" s="88"/>
      <c r="F12" s="88"/>
      <c r="G12" s="89"/>
      <c r="H12" s="28"/>
      <c r="I12" s="30"/>
      <c r="J12" s="30"/>
      <c r="K12" s="30"/>
      <c r="L12" s="30"/>
      <c r="M12" s="33"/>
    </row>
    <row r="13" spans="1:13" s="2" customFormat="1" ht="14.1" customHeight="1" x14ac:dyDescent="0.3">
      <c r="A13" s="80">
        <v>6</v>
      </c>
      <c r="B13" s="23" t="s">
        <v>41</v>
      </c>
      <c r="C13" s="24"/>
      <c r="D13" s="44" t="s">
        <v>118</v>
      </c>
      <c r="E13" s="45"/>
      <c r="F13" s="45"/>
      <c r="G13" s="46"/>
      <c r="H13" s="40">
        <v>100</v>
      </c>
      <c r="I13" s="12">
        <f>SUM(H13)+5</f>
        <v>105</v>
      </c>
      <c r="J13" s="12">
        <f>SUM(I13)+5</f>
        <v>110</v>
      </c>
      <c r="K13" s="12"/>
      <c r="L13" s="12"/>
      <c r="M13" s="14"/>
    </row>
    <row r="14" spans="1:13" s="2" customFormat="1" ht="14.1" customHeight="1" x14ac:dyDescent="0.3">
      <c r="A14" s="84"/>
      <c r="B14" s="85" t="s">
        <v>309</v>
      </c>
      <c r="C14" s="86"/>
      <c r="D14" s="87" t="s">
        <v>76</v>
      </c>
      <c r="E14" s="88"/>
      <c r="F14" s="88"/>
      <c r="G14" s="89"/>
      <c r="H14" s="28"/>
      <c r="I14" s="30"/>
      <c r="J14" s="30"/>
      <c r="K14" s="30"/>
      <c r="L14" s="30"/>
      <c r="M14" s="33"/>
    </row>
    <row r="15" spans="1:13" s="2" customFormat="1" ht="14.1" customHeight="1" x14ac:dyDescent="0.3">
      <c r="A15" s="80">
        <v>7</v>
      </c>
      <c r="B15" s="23" t="s">
        <v>109</v>
      </c>
      <c r="C15" s="24"/>
      <c r="D15" s="44"/>
      <c r="E15" s="45"/>
      <c r="F15" s="45"/>
      <c r="G15" s="46"/>
      <c r="H15" s="40">
        <v>14</v>
      </c>
      <c r="I15" s="12">
        <f>SUM(H15)+0.7</f>
        <v>14.7</v>
      </c>
      <c r="J15" s="12">
        <f>SUM(I15)+0.7</f>
        <v>15.399999999999999</v>
      </c>
      <c r="K15" s="12"/>
      <c r="L15" s="12"/>
      <c r="M15" s="90"/>
    </row>
    <row r="16" spans="1:13" s="2" customFormat="1" ht="14.1" customHeight="1" x14ac:dyDescent="0.3">
      <c r="A16" s="84"/>
      <c r="B16" s="85" t="s">
        <v>108</v>
      </c>
      <c r="C16" s="86"/>
      <c r="D16" s="93" t="s">
        <v>165</v>
      </c>
      <c r="E16" s="94"/>
      <c r="F16" s="94"/>
      <c r="G16" s="95"/>
      <c r="H16" s="28"/>
      <c r="I16" s="30"/>
      <c r="J16" s="30"/>
      <c r="K16" s="30"/>
      <c r="L16" s="30"/>
      <c r="M16" s="91"/>
    </row>
    <row r="17" spans="1:13" s="2" customFormat="1" ht="14.1" customHeight="1" x14ac:dyDescent="0.3">
      <c r="A17" s="80">
        <v>8</v>
      </c>
      <c r="B17" s="23" t="s">
        <v>106</v>
      </c>
      <c r="C17" s="24"/>
      <c r="D17" s="44"/>
      <c r="E17" s="45"/>
      <c r="F17" s="45"/>
      <c r="G17" s="46"/>
      <c r="H17" s="40">
        <v>14</v>
      </c>
      <c r="I17" s="12">
        <f>SUM(H17)+0.7</f>
        <v>14.7</v>
      </c>
      <c r="J17" s="12">
        <f>SUM(I17)+0.7</f>
        <v>15.399999999999999</v>
      </c>
      <c r="K17" s="112"/>
      <c r="L17" s="112"/>
      <c r="M17" s="90"/>
    </row>
    <row r="18" spans="1:13" s="2" customFormat="1" ht="14.1" customHeight="1" x14ac:dyDescent="0.3">
      <c r="A18" s="84"/>
      <c r="B18" s="85" t="s">
        <v>105</v>
      </c>
      <c r="C18" s="86"/>
      <c r="D18" s="93" t="s">
        <v>104</v>
      </c>
      <c r="E18" s="94"/>
      <c r="F18" s="94"/>
      <c r="G18" s="95"/>
      <c r="H18" s="28"/>
      <c r="I18" s="30"/>
      <c r="J18" s="30"/>
      <c r="K18" s="113"/>
      <c r="L18" s="113"/>
      <c r="M18" s="91"/>
    </row>
    <row r="19" spans="1:13" s="2" customFormat="1" ht="14.1" customHeight="1" x14ac:dyDescent="0.3">
      <c r="A19" s="80">
        <v>9</v>
      </c>
      <c r="B19" s="23" t="s">
        <v>166</v>
      </c>
      <c r="C19" s="24"/>
      <c r="D19" s="44"/>
      <c r="E19" s="45"/>
      <c r="F19" s="45"/>
      <c r="G19" s="46"/>
      <c r="H19" s="40">
        <v>3.5</v>
      </c>
      <c r="I19" s="12">
        <f>SUM(H19)</f>
        <v>3.5</v>
      </c>
      <c r="J19" s="12">
        <f>SUM(I19)</f>
        <v>3.5</v>
      </c>
      <c r="K19" s="112"/>
      <c r="L19" s="112"/>
      <c r="M19" s="14"/>
    </row>
    <row r="20" spans="1:13" s="2" customFormat="1" ht="14.1" customHeight="1" x14ac:dyDescent="0.3">
      <c r="A20" s="84"/>
      <c r="B20" s="85" t="s">
        <v>167</v>
      </c>
      <c r="C20" s="86"/>
      <c r="D20" s="93"/>
      <c r="E20" s="94"/>
      <c r="F20" s="94"/>
      <c r="G20" s="95"/>
      <c r="H20" s="28"/>
      <c r="I20" s="30"/>
      <c r="J20" s="30"/>
      <c r="K20" s="113"/>
      <c r="L20" s="113"/>
      <c r="M20" s="33"/>
    </row>
    <row r="21" spans="1:13" s="2" customFormat="1" ht="14.1" customHeight="1" x14ac:dyDescent="0.3">
      <c r="A21" s="80">
        <v>10</v>
      </c>
      <c r="B21" s="23" t="s">
        <v>43</v>
      </c>
      <c r="C21" s="24"/>
      <c r="D21" s="44" t="s">
        <v>72</v>
      </c>
      <c r="E21" s="45"/>
      <c r="F21" s="45"/>
      <c r="G21" s="46"/>
      <c r="H21" s="40">
        <v>94</v>
      </c>
      <c r="I21" s="12">
        <f>SUM(H21)+4</f>
        <v>98</v>
      </c>
      <c r="J21" s="12">
        <f>SUM(I21)+4</f>
        <v>102</v>
      </c>
      <c r="K21" s="12"/>
      <c r="L21" s="12"/>
      <c r="M21" s="14"/>
    </row>
    <row r="22" spans="1:13" s="2" customFormat="1" ht="14.1" customHeight="1" x14ac:dyDescent="0.3">
      <c r="A22" s="84"/>
      <c r="B22" s="85" t="s">
        <v>44</v>
      </c>
      <c r="C22" s="86"/>
      <c r="D22" s="87" t="s">
        <v>71</v>
      </c>
      <c r="E22" s="88"/>
      <c r="F22" s="88"/>
      <c r="G22" s="89"/>
      <c r="H22" s="28"/>
      <c r="I22" s="30"/>
      <c r="J22" s="30"/>
      <c r="K22" s="30"/>
      <c r="L22" s="30"/>
      <c r="M22" s="33"/>
    </row>
    <row r="23" spans="1:13" s="2" customFormat="1" ht="14.1" customHeight="1" x14ac:dyDescent="0.3">
      <c r="A23" s="80">
        <v>11</v>
      </c>
      <c r="B23" s="23" t="s">
        <v>84</v>
      </c>
      <c r="C23" s="24"/>
      <c r="D23" s="44" t="s">
        <v>83</v>
      </c>
      <c r="E23" s="45"/>
      <c r="F23" s="45"/>
      <c r="G23" s="46"/>
      <c r="H23" s="40">
        <v>50.6</v>
      </c>
      <c r="I23" s="12">
        <f>SUM(H23)+2.4</f>
        <v>53</v>
      </c>
      <c r="J23" s="12">
        <f>SUM(I23)+2.4</f>
        <v>55.4</v>
      </c>
      <c r="K23" s="12"/>
      <c r="L23" s="12"/>
      <c r="M23" s="14"/>
    </row>
    <row r="24" spans="1:13" s="2" customFormat="1" ht="14.1" customHeight="1" x14ac:dyDescent="0.3">
      <c r="A24" s="84"/>
      <c r="B24" s="85" t="s">
        <v>82</v>
      </c>
      <c r="C24" s="86"/>
      <c r="D24" s="36" t="s">
        <v>81</v>
      </c>
      <c r="E24" s="37"/>
      <c r="F24" s="37"/>
      <c r="G24" s="38"/>
      <c r="H24" s="28"/>
      <c r="I24" s="30"/>
      <c r="J24" s="30"/>
      <c r="K24" s="30"/>
      <c r="L24" s="30"/>
      <c r="M24" s="33"/>
    </row>
    <row r="25" spans="1:13" s="2" customFormat="1" ht="14.1" customHeight="1" x14ac:dyDescent="0.3">
      <c r="A25" s="80">
        <v>12</v>
      </c>
      <c r="B25" s="23" t="s">
        <v>45</v>
      </c>
      <c r="C25" s="24"/>
      <c r="D25" s="44" t="s">
        <v>46</v>
      </c>
      <c r="E25" s="45"/>
      <c r="F25" s="45"/>
      <c r="G25" s="46"/>
      <c r="H25" s="40">
        <v>29.5</v>
      </c>
      <c r="I25" s="12">
        <f>SUM(H25)+1.1</f>
        <v>30.6</v>
      </c>
      <c r="J25" s="12">
        <f>SUM(I25)+1.1</f>
        <v>31.700000000000003</v>
      </c>
      <c r="K25" s="12"/>
      <c r="L25" s="12"/>
      <c r="M25" s="90"/>
    </row>
    <row r="26" spans="1:13" s="2" customFormat="1" ht="14.1" customHeight="1" x14ac:dyDescent="0.3">
      <c r="A26" s="84"/>
      <c r="B26" s="85" t="s">
        <v>47</v>
      </c>
      <c r="C26" s="86"/>
      <c r="D26" s="87" t="s">
        <v>70</v>
      </c>
      <c r="E26" s="88"/>
      <c r="F26" s="88"/>
      <c r="G26" s="89"/>
      <c r="H26" s="28"/>
      <c r="I26" s="30"/>
      <c r="J26" s="30"/>
      <c r="K26" s="30"/>
      <c r="L26" s="30"/>
      <c r="M26" s="91"/>
    </row>
    <row r="27" spans="1:13" s="2" customFormat="1" ht="14.1" customHeight="1" x14ac:dyDescent="0.3">
      <c r="A27" s="80">
        <v>13</v>
      </c>
      <c r="B27" s="23" t="s">
        <v>48</v>
      </c>
      <c r="C27" s="24"/>
      <c r="D27" s="44" t="s">
        <v>46</v>
      </c>
      <c r="E27" s="45"/>
      <c r="F27" s="45"/>
      <c r="G27" s="46"/>
      <c r="H27" s="40">
        <v>40.200000000000003</v>
      </c>
      <c r="I27" s="12">
        <f>SUM(H27)+1.3</f>
        <v>41.5</v>
      </c>
      <c r="J27" s="12">
        <f>SUM(I27)+1.3</f>
        <v>42.8</v>
      </c>
      <c r="K27" s="12"/>
      <c r="L27" s="12"/>
      <c r="M27" s="90"/>
    </row>
    <row r="28" spans="1:13" s="2" customFormat="1" ht="14.1" customHeight="1" x14ac:dyDescent="0.3">
      <c r="A28" s="84"/>
      <c r="B28" s="85" t="s">
        <v>49</v>
      </c>
      <c r="C28" s="86"/>
      <c r="D28" s="87" t="s">
        <v>70</v>
      </c>
      <c r="E28" s="88"/>
      <c r="F28" s="88"/>
      <c r="G28" s="89"/>
      <c r="H28" s="28"/>
      <c r="I28" s="30"/>
      <c r="J28" s="30"/>
      <c r="K28" s="30"/>
      <c r="L28" s="30"/>
      <c r="M28" s="91"/>
    </row>
    <row r="29" spans="1:13" s="2" customFormat="1" ht="14.1" customHeight="1" x14ac:dyDescent="0.3">
      <c r="A29" s="80">
        <v>14</v>
      </c>
      <c r="B29" s="23" t="s">
        <v>50</v>
      </c>
      <c r="C29" s="24"/>
      <c r="D29" s="44" t="s">
        <v>51</v>
      </c>
      <c r="E29" s="45"/>
      <c r="F29" s="45"/>
      <c r="G29" s="46"/>
      <c r="H29" s="40"/>
      <c r="I29" s="12"/>
      <c r="J29" s="12"/>
      <c r="K29" s="12"/>
      <c r="L29" s="12"/>
      <c r="M29" s="14"/>
    </row>
    <row r="30" spans="1:13" s="2" customFormat="1" ht="14.1" customHeight="1" x14ac:dyDescent="0.3">
      <c r="A30" s="84"/>
      <c r="B30" s="85" t="s">
        <v>52</v>
      </c>
      <c r="C30" s="86"/>
      <c r="D30" s="87" t="s">
        <v>69</v>
      </c>
      <c r="E30" s="88"/>
      <c r="F30" s="88"/>
      <c r="G30" s="89"/>
      <c r="H30" s="28"/>
      <c r="I30" s="30"/>
      <c r="J30" s="30"/>
      <c r="K30" s="30"/>
      <c r="L30" s="30"/>
      <c r="M30" s="33"/>
    </row>
    <row r="31" spans="1:13" s="2" customFormat="1" ht="14.1" customHeight="1" x14ac:dyDescent="0.3">
      <c r="A31" s="80">
        <v>15</v>
      </c>
      <c r="B31" s="23" t="s">
        <v>53</v>
      </c>
      <c r="C31" s="24"/>
      <c r="D31" s="44" t="s">
        <v>54</v>
      </c>
      <c r="E31" s="45"/>
      <c r="F31" s="45"/>
      <c r="G31" s="46"/>
      <c r="H31" s="40"/>
      <c r="I31" s="12"/>
      <c r="J31" s="12"/>
      <c r="K31" s="12"/>
      <c r="L31" s="12"/>
      <c r="M31" s="14"/>
    </row>
    <row r="32" spans="1:13" s="2" customFormat="1" ht="14.1" customHeight="1" x14ac:dyDescent="0.3">
      <c r="A32" s="84"/>
      <c r="B32" s="85" t="s">
        <v>55</v>
      </c>
      <c r="C32" s="86"/>
      <c r="D32" s="87" t="s">
        <v>68</v>
      </c>
      <c r="E32" s="88"/>
      <c r="F32" s="88"/>
      <c r="G32" s="89"/>
      <c r="H32" s="28"/>
      <c r="I32" s="30"/>
      <c r="J32" s="30"/>
      <c r="K32" s="30"/>
      <c r="L32" s="30"/>
      <c r="M32" s="33"/>
    </row>
    <row r="33" spans="1:13" s="2" customFormat="1" ht="14.1" customHeight="1" x14ac:dyDescent="0.3">
      <c r="A33" s="80">
        <v>16</v>
      </c>
      <c r="B33" s="23" t="s">
        <v>67</v>
      </c>
      <c r="C33" s="24"/>
      <c r="D33" s="44" t="s">
        <v>65</v>
      </c>
      <c r="E33" s="45"/>
      <c r="F33" s="45"/>
      <c r="G33" s="46"/>
      <c r="H33" s="40"/>
      <c r="I33" s="12"/>
      <c r="J33" s="12"/>
      <c r="K33" s="12"/>
      <c r="L33" s="12"/>
      <c r="M33" s="14"/>
    </row>
    <row r="34" spans="1:13" s="2" customFormat="1" ht="14.1" customHeight="1" x14ac:dyDescent="0.3">
      <c r="A34" s="84"/>
      <c r="B34" s="85" t="s">
        <v>66</v>
      </c>
      <c r="C34" s="86"/>
      <c r="D34" s="87" t="s">
        <v>65</v>
      </c>
      <c r="E34" s="88"/>
      <c r="F34" s="88"/>
      <c r="G34" s="89"/>
      <c r="H34" s="28"/>
      <c r="I34" s="30"/>
      <c r="J34" s="30"/>
      <c r="K34" s="30"/>
      <c r="L34" s="30"/>
      <c r="M34" s="33"/>
    </row>
    <row r="35" spans="1:13" s="2" customFormat="1" ht="14.1" customHeight="1" x14ac:dyDescent="0.3">
      <c r="A35" s="80">
        <v>17</v>
      </c>
      <c r="B35" s="23" t="s">
        <v>103</v>
      </c>
      <c r="C35" s="24"/>
      <c r="D35" s="44" t="s">
        <v>102</v>
      </c>
      <c r="E35" s="45"/>
      <c r="F35" s="45"/>
      <c r="G35" s="46"/>
      <c r="H35" s="40"/>
      <c r="I35" s="12"/>
      <c r="J35" s="12"/>
      <c r="K35" s="12"/>
      <c r="L35" s="12"/>
      <c r="M35" s="14"/>
    </row>
    <row r="36" spans="1:13" s="2" customFormat="1" ht="14.1" customHeight="1" x14ac:dyDescent="0.3">
      <c r="A36" s="84"/>
      <c r="B36" s="85" t="s">
        <v>101</v>
      </c>
      <c r="C36" s="86"/>
      <c r="D36" s="87" t="s">
        <v>100</v>
      </c>
      <c r="E36" s="88"/>
      <c r="F36" s="88"/>
      <c r="G36" s="89"/>
      <c r="H36" s="28"/>
      <c r="I36" s="30"/>
      <c r="J36" s="30"/>
      <c r="K36" s="30"/>
      <c r="L36" s="30"/>
      <c r="M36" s="33"/>
    </row>
    <row r="37" spans="1:13" ht="14.1" customHeight="1" x14ac:dyDescent="0.3">
      <c r="A37" s="80">
        <v>18</v>
      </c>
      <c r="B37" s="23" t="s">
        <v>126</v>
      </c>
      <c r="C37" s="24"/>
      <c r="D37" s="44" t="s">
        <v>125</v>
      </c>
      <c r="E37" s="45"/>
      <c r="F37" s="45"/>
      <c r="G37" s="46"/>
      <c r="H37" s="39">
        <v>6.5</v>
      </c>
      <c r="I37" s="48">
        <f>SUM(H37)+0.3</f>
        <v>6.8</v>
      </c>
      <c r="J37" s="48">
        <f>SUM(I37)+0.3</f>
        <v>7.1</v>
      </c>
      <c r="K37" s="12"/>
      <c r="L37" s="12"/>
      <c r="M37" s="14"/>
    </row>
    <row r="38" spans="1:13" ht="14.1" customHeight="1" x14ac:dyDescent="0.3">
      <c r="A38" s="84"/>
      <c r="B38" s="85" t="s">
        <v>124</v>
      </c>
      <c r="C38" s="86"/>
      <c r="D38" s="87" t="s">
        <v>123</v>
      </c>
      <c r="E38" s="88"/>
      <c r="F38" s="88"/>
      <c r="G38" s="89"/>
      <c r="H38" s="39"/>
      <c r="I38" s="48"/>
      <c r="J38" s="48"/>
      <c r="K38" s="30"/>
      <c r="L38" s="30"/>
      <c r="M38" s="33"/>
    </row>
    <row r="39" spans="1:13" ht="14.1" customHeight="1" x14ac:dyDescent="0.3">
      <c r="A39" s="80">
        <v>19</v>
      </c>
      <c r="B39" s="23" t="s">
        <v>122</v>
      </c>
      <c r="C39" s="24"/>
      <c r="D39" s="44" t="s">
        <v>121</v>
      </c>
      <c r="E39" s="45"/>
      <c r="F39" s="45"/>
      <c r="G39" s="46"/>
      <c r="H39" s="40">
        <v>9</v>
      </c>
      <c r="I39" s="12">
        <f>SUM(H39)+0.5</f>
        <v>9.5</v>
      </c>
      <c r="J39" s="12">
        <f>SUM(I39)+0.5</f>
        <v>10</v>
      </c>
      <c r="K39" s="12"/>
      <c r="L39" s="12"/>
      <c r="M39" s="14"/>
    </row>
    <row r="40" spans="1:13" ht="14.1" customHeight="1" x14ac:dyDescent="0.3">
      <c r="A40" s="84"/>
      <c r="B40" s="85" t="s">
        <v>120</v>
      </c>
      <c r="C40" s="86"/>
      <c r="D40" s="87" t="s">
        <v>119</v>
      </c>
      <c r="E40" s="88"/>
      <c r="F40" s="88"/>
      <c r="G40" s="89"/>
      <c r="H40" s="28"/>
      <c r="I40" s="30"/>
      <c r="J40" s="30"/>
      <c r="K40" s="30"/>
      <c r="L40" s="30"/>
      <c r="M40" s="33"/>
    </row>
    <row r="41" spans="1:13" s="2" customFormat="1" ht="14.1" customHeight="1" x14ac:dyDescent="0.3">
      <c r="A41" s="80">
        <v>20</v>
      </c>
      <c r="B41" s="23" t="s">
        <v>77</v>
      </c>
      <c r="C41" s="24"/>
      <c r="D41" s="47"/>
      <c r="E41" s="47"/>
      <c r="F41" s="47"/>
      <c r="G41" s="47"/>
      <c r="H41" s="40">
        <v>15</v>
      </c>
      <c r="I41" s="12">
        <f>SUM(H41)+0.5</f>
        <v>15.5</v>
      </c>
      <c r="J41" s="12">
        <f>SUM(I41)+0.5</f>
        <v>16</v>
      </c>
      <c r="K41" s="12"/>
      <c r="L41" s="12"/>
      <c r="M41" s="14"/>
    </row>
    <row r="42" spans="1:13" s="2" customFormat="1" ht="14.1" customHeight="1" x14ac:dyDescent="0.3">
      <c r="A42" s="84"/>
      <c r="B42" s="34" t="s">
        <v>78</v>
      </c>
      <c r="C42" s="35"/>
      <c r="D42" s="36"/>
      <c r="E42" s="37"/>
      <c r="F42" s="37"/>
      <c r="G42" s="38"/>
      <c r="H42" s="28"/>
      <c r="I42" s="30"/>
      <c r="J42" s="30"/>
      <c r="K42" s="30"/>
      <c r="L42" s="30"/>
      <c r="M42" s="33"/>
    </row>
    <row r="43" spans="1:13" s="2" customFormat="1" ht="14.1" customHeight="1" x14ac:dyDescent="0.3">
      <c r="A43" s="80">
        <v>21</v>
      </c>
      <c r="B43" s="23" t="s">
        <v>79</v>
      </c>
      <c r="C43" s="24"/>
      <c r="D43" s="47"/>
      <c r="E43" s="47"/>
      <c r="F43" s="47"/>
      <c r="G43" s="47"/>
      <c r="H43" s="40">
        <v>15.5</v>
      </c>
      <c r="I43" s="12">
        <f>SUM(H43)+0.5</f>
        <v>16</v>
      </c>
      <c r="J43" s="12">
        <f>SUM(I43)+0.5</f>
        <v>16.5</v>
      </c>
      <c r="K43" s="12"/>
      <c r="L43" s="12"/>
      <c r="M43" s="14"/>
    </row>
    <row r="44" spans="1:13" s="2" customFormat="1" ht="14.1" customHeight="1" x14ac:dyDescent="0.3">
      <c r="A44" s="80"/>
      <c r="B44" s="68" t="s">
        <v>80</v>
      </c>
      <c r="C44" s="68"/>
      <c r="D44" s="56"/>
      <c r="E44" s="57"/>
      <c r="F44" s="57"/>
      <c r="G44" s="58"/>
      <c r="H44" s="76"/>
      <c r="I44" s="74"/>
      <c r="J44" s="74"/>
      <c r="K44" s="74"/>
      <c r="L44" s="74"/>
      <c r="M44" s="75"/>
    </row>
    <row r="45" spans="1:13" ht="14.1" customHeight="1" x14ac:dyDescent="0.3">
      <c r="A45" s="78">
        <v>22</v>
      </c>
      <c r="B45" s="23"/>
      <c r="C45" s="24"/>
      <c r="D45" s="47"/>
      <c r="E45" s="47"/>
      <c r="F45" s="47"/>
      <c r="G45" s="47"/>
      <c r="H45" s="40"/>
      <c r="I45" s="12"/>
      <c r="J45" s="12"/>
      <c r="K45" s="12"/>
      <c r="L45" s="12"/>
      <c r="M45" s="14"/>
    </row>
    <row r="46" spans="1:13" ht="14.1" customHeight="1" thickBot="1" x14ac:dyDescent="0.35">
      <c r="A46" s="79"/>
      <c r="B46" s="108"/>
      <c r="C46" s="108"/>
      <c r="D46" s="18"/>
      <c r="E46" s="19"/>
      <c r="F46" s="19"/>
      <c r="G46" s="20"/>
      <c r="H46" s="77"/>
      <c r="I46" s="13"/>
      <c r="J46" s="13"/>
      <c r="K46" s="13"/>
      <c r="L46" s="13"/>
      <c r="M46" s="15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033F-DCEF-446E-BC31-6EB238E48BD9}">
  <sheetPr>
    <tabColor theme="7"/>
    <pageSetUpPr fitToPage="1"/>
  </sheetPr>
  <dimension ref="A1:M51"/>
  <sheetViews>
    <sheetView zoomScale="110" zoomScaleNormal="110" workbookViewId="0">
      <selection sqref="A1:M42"/>
    </sheetView>
  </sheetViews>
  <sheetFormatPr defaultColWidth="8.75" defaultRowHeight="16.5" x14ac:dyDescent="0.3"/>
  <cols>
    <col min="1" max="1" width="3.6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222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103" t="s">
        <v>117</v>
      </c>
      <c r="C3" s="104"/>
      <c r="D3" s="71" t="s">
        <v>75</v>
      </c>
      <c r="E3" s="105"/>
      <c r="F3" s="105"/>
      <c r="G3" s="106"/>
      <c r="H3" s="59">
        <v>64</v>
      </c>
      <c r="I3" s="60">
        <f>SUM(H3)+2.5</f>
        <v>66.5</v>
      </c>
      <c r="J3" s="60">
        <f>SUM(I3)+2.5</f>
        <v>69</v>
      </c>
      <c r="K3" s="61"/>
      <c r="L3" s="61"/>
      <c r="M3" s="62"/>
    </row>
    <row r="4" spans="1:13" s="2" customFormat="1" ht="14.1" customHeight="1" x14ac:dyDescent="0.3">
      <c r="A4" s="84"/>
      <c r="B4" s="85" t="s">
        <v>116</v>
      </c>
      <c r="C4" s="86"/>
      <c r="D4" s="87" t="s">
        <v>74</v>
      </c>
      <c r="E4" s="88"/>
      <c r="F4" s="88"/>
      <c r="G4" s="89"/>
      <c r="H4" s="39"/>
      <c r="I4" s="32"/>
      <c r="J4" s="32"/>
      <c r="K4" s="30"/>
      <c r="L4" s="30"/>
      <c r="M4" s="33"/>
    </row>
    <row r="5" spans="1:13" s="2" customFormat="1" ht="14.1" customHeight="1" x14ac:dyDescent="0.3">
      <c r="A5" s="80">
        <v>2</v>
      </c>
      <c r="B5" s="54" t="s">
        <v>115</v>
      </c>
      <c r="C5" s="55"/>
      <c r="D5" s="56"/>
      <c r="E5" s="57"/>
      <c r="F5" s="57"/>
      <c r="G5" s="58"/>
      <c r="H5" s="40">
        <v>31</v>
      </c>
      <c r="I5" s="12">
        <f>SUM(H5)+2.25</f>
        <v>33.25</v>
      </c>
      <c r="J5" s="12">
        <f>SUM(I5)+2.25</f>
        <v>35.5</v>
      </c>
      <c r="K5" s="74"/>
      <c r="L5" s="74"/>
      <c r="M5" s="75"/>
    </row>
    <row r="6" spans="1:13" s="2" customFormat="1" ht="14.1" customHeight="1" x14ac:dyDescent="0.3">
      <c r="A6" s="84"/>
      <c r="B6" s="85" t="s">
        <v>114</v>
      </c>
      <c r="C6" s="86"/>
      <c r="D6" s="87"/>
      <c r="E6" s="88"/>
      <c r="F6" s="88"/>
      <c r="G6" s="89"/>
      <c r="H6" s="28"/>
      <c r="I6" s="30"/>
      <c r="J6" s="30"/>
      <c r="K6" s="30"/>
      <c r="L6" s="30"/>
      <c r="M6" s="33"/>
    </row>
    <row r="7" spans="1:13" s="2" customFormat="1" ht="14.1" customHeight="1" x14ac:dyDescent="0.3">
      <c r="A7" s="80">
        <v>3</v>
      </c>
      <c r="B7" s="54" t="s">
        <v>73</v>
      </c>
      <c r="C7" s="55"/>
      <c r="D7" s="56"/>
      <c r="E7" s="57"/>
      <c r="F7" s="57"/>
      <c r="G7" s="58"/>
      <c r="H7" s="40">
        <v>33</v>
      </c>
      <c r="I7" s="12">
        <f>SUM(H7)+0.25</f>
        <v>33.25</v>
      </c>
      <c r="J7" s="12">
        <f>SUM(I7)+0.25</f>
        <v>33.5</v>
      </c>
      <c r="K7" s="74"/>
      <c r="L7" s="74"/>
      <c r="M7" s="75"/>
    </row>
    <row r="8" spans="1:13" s="2" customFormat="1" ht="14.1" customHeight="1" x14ac:dyDescent="0.3">
      <c r="A8" s="84"/>
      <c r="B8" s="85" t="s">
        <v>113</v>
      </c>
      <c r="C8" s="86"/>
      <c r="D8" s="87"/>
      <c r="E8" s="88"/>
      <c r="F8" s="88"/>
      <c r="G8" s="89"/>
      <c r="H8" s="28"/>
      <c r="I8" s="30"/>
      <c r="J8" s="30"/>
      <c r="K8" s="30"/>
      <c r="L8" s="30"/>
      <c r="M8" s="33"/>
    </row>
    <row r="9" spans="1:13" s="2" customFormat="1" ht="14.1" customHeight="1" x14ac:dyDescent="0.3">
      <c r="A9" s="80">
        <v>4</v>
      </c>
      <c r="B9" s="23" t="s">
        <v>112</v>
      </c>
      <c r="C9" s="24"/>
      <c r="D9" s="99"/>
      <c r="E9" s="100"/>
      <c r="F9" s="100"/>
      <c r="G9" s="101"/>
      <c r="H9" s="40">
        <v>37</v>
      </c>
      <c r="I9" s="12">
        <f>SUM(H9)+0.25</f>
        <v>37.25</v>
      </c>
      <c r="J9" s="12">
        <f>SUM(I9)+0.25</f>
        <v>37.5</v>
      </c>
      <c r="K9" s="74"/>
      <c r="L9" s="74"/>
      <c r="M9" s="75"/>
    </row>
    <row r="10" spans="1:13" s="2" customFormat="1" ht="14.1" customHeight="1" x14ac:dyDescent="0.3">
      <c r="A10" s="84"/>
      <c r="B10" s="85" t="s">
        <v>111</v>
      </c>
      <c r="C10" s="86"/>
      <c r="D10" s="96" t="s">
        <v>218</v>
      </c>
      <c r="E10" s="97"/>
      <c r="F10" s="97"/>
      <c r="G10" s="98"/>
      <c r="H10" s="28"/>
      <c r="I10" s="30"/>
      <c r="J10" s="30"/>
      <c r="K10" s="30"/>
      <c r="L10" s="30"/>
      <c r="M10" s="33"/>
    </row>
    <row r="11" spans="1:13" s="2" customFormat="1" ht="14.1" customHeight="1" x14ac:dyDescent="0.3">
      <c r="A11" s="80">
        <v>5</v>
      </c>
      <c r="B11" s="23" t="s">
        <v>85</v>
      </c>
      <c r="C11" s="24"/>
      <c r="D11" s="56"/>
      <c r="E11" s="57"/>
      <c r="F11" s="57"/>
      <c r="G11" s="58"/>
      <c r="H11" s="39">
        <v>73</v>
      </c>
      <c r="I11" s="32">
        <f>SUM(H11)+4.5</f>
        <v>77.5</v>
      </c>
      <c r="J11" s="32">
        <f>SUM(I11)+4.5</f>
        <v>82</v>
      </c>
      <c r="K11" s="74"/>
      <c r="L11" s="74"/>
      <c r="M11" s="75"/>
    </row>
    <row r="12" spans="1:13" s="2" customFormat="1" ht="14.1" customHeight="1" x14ac:dyDescent="0.3">
      <c r="A12" s="84"/>
      <c r="B12" s="85" t="s">
        <v>110</v>
      </c>
      <c r="C12" s="86"/>
      <c r="D12" s="87"/>
      <c r="E12" s="88"/>
      <c r="F12" s="88"/>
      <c r="G12" s="89"/>
      <c r="H12" s="39"/>
      <c r="I12" s="32"/>
      <c r="J12" s="32"/>
      <c r="K12" s="30"/>
      <c r="L12" s="30"/>
      <c r="M12" s="33"/>
    </row>
    <row r="13" spans="1:13" s="2" customFormat="1" ht="14.1" customHeight="1" x14ac:dyDescent="0.3">
      <c r="A13" s="80">
        <v>6</v>
      </c>
      <c r="B13" s="23" t="s">
        <v>219</v>
      </c>
      <c r="C13" s="24"/>
      <c r="D13" s="44" t="s">
        <v>72</v>
      </c>
      <c r="E13" s="45"/>
      <c r="F13" s="45"/>
      <c r="G13" s="46"/>
      <c r="H13" s="39">
        <v>37.5</v>
      </c>
      <c r="I13" s="32">
        <f>SUM(H13)+1.5</f>
        <v>39</v>
      </c>
      <c r="J13" s="32">
        <f>SUM(I13)+1.5</f>
        <v>40.5</v>
      </c>
      <c r="K13" s="12"/>
      <c r="L13" s="12"/>
      <c r="M13" s="14"/>
    </row>
    <row r="14" spans="1:13" s="2" customFormat="1" ht="14.1" customHeight="1" x14ac:dyDescent="0.3">
      <c r="A14" s="84"/>
      <c r="B14" s="85" t="s">
        <v>223</v>
      </c>
      <c r="C14" s="86"/>
      <c r="D14" s="87" t="s">
        <v>71</v>
      </c>
      <c r="E14" s="88"/>
      <c r="F14" s="88"/>
      <c r="G14" s="89"/>
      <c r="H14" s="39"/>
      <c r="I14" s="32"/>
      <c r="J14" s="32"/>
      <c r="K14" s="30"/>
      <c r="L14" s="30"/>
      <c r="M14" s="33"/>
    </row>
    <row r="15" spans="1:13" s="2" customFormat="1" ht="14.1" customHeight="1" x14ac:dyDescent="0.3">
      <c r="A15" s="80">
        <v>7</v>
      </c>
      <c r="B15" s="23" t="s">
        <v>224</v>
      </c>
      <c r="C15" s="24"/>
      <c r="D15" s="44"/>
      <c r="E15" s="45"/>
      <c r="F15" s="45"/>
      <c r="G15" s="46"/>
      <c r="H15" s="39">
        <v>11</v>
      </c>
      <c r="I15" s="32">
        <f>SUM(H15)+0.5</f>
        <v>11.5</v>
      </c>
      <c r="J15" s="32">
        <f>SUM(I15)+0.5</f>
        <v>12</v>
      </c>
      <c r="K15" s="12"/>
      <c r="L15" s="12"/>
      <c r="M15" s="14"/>
    </row>
    <row r="16" spans="1:13" s="2" customFormat="1" ht="14.1" customHeight="1" x14ac:dyDescent="0.3">
      <c r="A16" s="84"/>
      <c r="B16" s="85" t="s">
        <v>225</v>
      </c>
      <c r="C16" s="86"/>
      <c r="D16" s="87" t="s">
        <v>313</v>
      </c>
      <c r="E16" s="88"/>
      <c r="F16" s="88"/>
      <c r="G16" s="89"/>
      <c r="H16" s="39"/>
      <c r="I16" s="32"/>
      <c r="J16" s="32"/>
      <c r="K16" s="30"/>
      <c r="L16" s="30"/>
      <c r="M16" s="33"/>
    </row>
    <row r="17" spans="1:13" s="2" customFormat="1" ht="14.1" customHeight="1" x14ac:dyDescent="0.3">
      <c r="A17" s="80">
        <v>8</v>
      </c>
      <c r="B17" s="23" t="s">
        <v>226</v>
      </c>
      <c r="C17" s="24"/>
      <c r="D17" s="44"/>
      <c r="E17" s="45"/>
      <c r="F17" s="45"/>
      <c r="G17" s="46"/>
      <c r="H17" s="39">
        <v>16</v>
      </c>
      <c r="I17" s="32">
        <f>SUM(H17)+0.7</f>
        <v>16.7</v>
      </c>
      <c r="J17" s="32">
        <f>SUM(I17)+0.7</f>
        <v>17.399999999999999</v>
      </c>
      <c r="K17" s="12"/>
      <c r="L17" s="12"/>
      <c r="M17" s="14"/>
    </row>
    <row r="18" spans="1:13" s="2" customFormat="1" ht="14.1" customHeight="1" x14ac:dyDescent="0.3">
      <c r="A18" s="80"/>
      <c r="B18" s="54" t="s">
        <v>227</v>
      </c>
      <c r="C18" s="55"/>
      <c r="D18" s="56"/>
      <c r="E18" s="57"/>
      <c r="F18" s="57"/>
      <c r="G18" s="58"/>
      <c r="H18" s="39"/>
      <c r="I18" s="32"/>
      <c r="J18" s="32"/>
      <c r="K18" s="74"/>
      <c r="L18" s="74"/>
      <c r="M18" s="75"/>
    </row>
    <row r="19" spans="1:13" s="2" customFormat="1" ht="14.1" customHeight="1" x14ac:dyDescent="0.3">
      <c r="A19" s="78">
        <v>9</v>
      </c>
      <c r="B19" s="23"/>
      <c r="C19" s="24"/>
      <c r="D19" s="44"/>
      <c r="E19" s="45"/>
      <c r="F19" s="45"/>
      <c r="G19" s="46"/>
      <c r="H19" s="39"/>
      <c r="I19" s="32"/>
      <c r="J19" s="32"/>
      <c r="K19" s="12"/>
      <c r="L19" s="12"/>
      <c r="M19" s="14"/>
    </row>
    <row r="20" spans="1:13" s="2" customFormat="1" ht="14.1" customHeight="1" thickBot="1" x14ac:dyDescent="0.35">
      <c r="A20" s="80"/>
      <c r="B20" s="54"/>
      <c r="C20" s="55"/>
      <c r="D20" s="56"/>
      <c r="E20" s="57"/>
      <c r="F20" s="57"/>
      <c r="G20" s="58"/>
      <c r="H20" s="40"/>
      <c r="I20" s="12"/>
      <c r="J20" s="12"/>
      <c r="K20" s="74"/>
      <c r="L20" s="74"/>
      <c r="M20" s="75"/>
    </row>
    <row r="21" spans="1:13" s="2" customFormat="1" ht="14.1" customHeight="1" thickTop="1" x14ac:dyDescent="0.3">
      <c r="A21" s="122">
        <v>10</v>
      </c>
      <c r="B21" s="123" t="s">
        <v>41</v>
      </c>
      <c r="C21" s="124"/>
      <c r="D21" s="125" t="s">
        <v>220</v>
      </c>
      <c r="E21" s="126"/>
      <c r="F21" s="126"/>
      <c r="G21" s="127"/>
      <c r="H21" s="128">
        <v>83.4</v>
      </c>
      <c r="I21" s="129">
        <f>SUM(H21)+4</f>
        <v>87.4</v>
      </c>
      <c r="J21" s="129">
        <f>SUM(I21)+4</f>
        <v>91.4</v>
      </c>
      <c r="K21" s="130"/>
      <c r="L21" s="131"/>
      <c r="M21" s="132"/>
    </row>
    <row r="22" spans="1:13" s="2" customFormat="1" ht="14.1" customHeight="1" x14ac:dyDescent="0.3">
      <c r="A22" s="84"/>
      <c r="B22" s="85" t="s">
        <v>42</v>
      </c>
      <c r="C22" s="86"/>
      <c r="D22" s="87" t="s">
        <v>76</v>
      </c>
      <c r="E22" s="88"/>
      <c r="F22" s="88"/>
      <c r="G22" s="89"/>
      <c r="H22" s="39"/>
      <c r="I22" s="32"/>
      <c r="J22" s="32"/>
      <c r="K22" s="30"/>
      <c r="L22" s="41"/>
      <c r="M22" s="91"/>
    </row>
    <row r="23" spans="1:13" s="2" customFormat="1" ht="14.1" customHeight="1" x14ac:dyDescent="0.3">
      <c r="A23" s="80">
        <v>11</v>
      </c>
      <c r="B23" s="23" t="s">
        <v>109</v>
      </c>
      <c r="C23" s="24"/>
      <c r="D23" s="44"/>
      <c r="E23" s="45"/>
      <c r="F23" s="45"/>
      <c r="G23" s="46"/>
      <c r="H23" s="39">
        <v>13.9</v>
      </c>
      <c r="I23" s="32">
        <f>SUM(H23)+0.7</f>
        <v>14.6</v>
      </c>
      <c r="J23" s="32">
        <f>SUM(I23)+0.7</f>
        <v>15.299999999999999</v>
      </c>
      <c r="K23" s="12"/>
      <c r="L23" s="43"/>
      <c r="M23" s="90"/>
    </row>
    <row r="24" spans="1:13" s="2" customFormat="1" ht="14.1" customHeight="1" x14ac:dyDescent="0.3">
      <c r="A24" s="84"/>
      <c r="B24" s="85" t="s">
        <v>108</v>
      </c>
      <c r="C24" s="86"/>
      <c r="D24" s="93" t="s">
        <v>228</v>
      </c>
      <c r="E24" s="88"/>
      <c r="F24" s="88"/>
      <c r="G24" s="89"/>
      <c r="H24" s="39"/>
      <c r="I24" s="32"/>
      <c r="J24" s="32"/>
      <c r="K24" s="30"/>
      <c r="L24" s="41"/>
      <c r="M24" s="91"/>
    </row>
    <row r="25" spans="1:13" s="2" customFormat="1" ht="14.1" customHeight="1" x14ac:dyDescent="0.3">
      <c r="A25" s="80">
        <v>12</v>
      </c>
      <c r="B25" s="23" t="s">
        <v>43</v>
      </c>
      <c r="C25" s="24"/>
      <c r="D25" s="44"/>
      <c r="E25" s="45"/>
      <c r="F25" s="45"/>
      <c r="G25" s="46"/>
      <c r="H25" s="39">
        <v>28.2</v>
      </c>
      <c r="I25" s="32">
        <f>SUM(H25)+1.5</f>
        <v>29.7</v>
      </c>
      <c r="J25" s="32">
        <f>SUM(I25)+1.5</f>
        <v>31.2</v>
      </c>
      <c r="K25" s="12"/>
      <c r="L25" s="12"/>
      <c r="M25" s="14"/>
    </row>
    <row r="26" spans="1:13" s="2" customFormat="1" ht="14.1" customHeight="1" x14ac:dyDescent="0.3">
      <c r="A26" s="84"/>
      <c r="B26" s="85" t="s">
        <v>44</v>
      </c>
      <c r="C26" s="86"/>
      <c r="D26" s="93" t="s">
        <v>228</v>
      </c>
      <c r="E26" s="88"/>
      <c r="F26" s="88"/>
      <c r="G26" s="89"/>
      <c r="H26" s="39"/>
      <c r="I26" s="32"/>
      <c r="J26" s="32"/>
      <c r="K26" s="30"/>
      <c r="L26" s="30"/>
      <c r="M26" s="33"/>
    </row>
    <row r="27" spans="1:13" s="2" customFormat="1" ht="14.1" customHeight="1" x14ac:dyDescent="0.3">
      <c r="A27" s="80">
        <v>13</v>
      </c>
      <c r="B27" s="23" t="s">
        <v>84</v>
      </c>
      <c r="C27" s="24"/>
      <c r="D27" s="44" t="s">
        <v>83</v>
      </c>
      <c r="E27" s="45"/>
      <c r="F27" s="45"/>
      <c r="G27" s="46"/>
      <c r="H27" s="39">
        <v>48.4</v>
      </c>
      <c r="I27" s="32">
        <f>SUM(H27)+2.2</f>
        <v>50.6</v>
      </c>
      <c r="J27" s="32">
        <f>SUM(I27)+2.2</f>
        <v>52.800000000000004</v>
      </c>
      <c r="K27" s="12"/>
      <c r="L27" s="12"/>
      <c r="M27" s="14"/>
    </row>
    <row r="28" spans="1:13" s="2" customFormat="1" ht="14.1" customHeight="1" x14ac:dyDescent="0.3">
      <c r="A28" s="84"/>
      <c r="B28" s="85" t="s">
        <v>82</v>
      </c>
      <c r="C28" s="86"/>
      <c r="D28" s="36" t="s">
        <v>81</v>
      </c>
      <c r="E28" s="37"/>
      <c r="F28" s="37"/>
      <c r="G28" s="38"/>
      <c r="H28" s="39"/>
      <c r="I28" s="32"/>
      <c r="J28" s="32"/>
      <c r="K28" s="30"/>
      <c r="L28" s="30"/>
      <c r="M28" s="33"/>
    </row>
    <row r="29" spans="1:13" s="2" customFormat="1" ht="14.1" customHeight="1" x14ac:dyDescent="0.3">
      <c r="A29" s="80">
        <v>14</v>
      </c>
      <c r="B29" s="23" t="s">
        <v>45</v>
      </c>
      <c r="C29" s="24"/>
      <c r="D29" s="44" t="s">
        <v>46</v>
      </c>
      <c r="E29" s="45"/>
      <c r="F29" s="45"/>
      <c r="G29" s="46"/>
      <c r="H29" s="39">
        <v>22.3</v>
      </c>
      <c r="I29" s="32">
        <f>SUM(H29)+1</f>
        <v>23.3</v>
      </c>
      <c r="J29" s="32">
        <f>SUM(I29)+1</f>
        <v>24.3</v>
      </c>
      <c r="K29" s="12"/>
      <c r="L29" s="12"/>
      <c r="M29" s="14"/>
    </row>
    <row r="30" spans="1:13" s="2" customFormat="1" ht="14.1" customHeight="1" x14ac:dyDescent="0.3">
      <c r="A30" s="84"/>
      <c r="B30" s="85" t="s">
        <v>229</v>
      </c>
      <c r="C30" s="86"/>
      <c r="D30" s="87" t="s">
        <v>70</v>
      </c>
      <c r="E30" s="88"/>
      <c r="F30" s="88"/>
      <c r="G30" s="89"/>
      <c r="H30" s="39"/>
      <c r="I30" s="32"/>
      <c r="J30" s="32"/>
      <c r="K30" s="30"/>
      <c r="L30" s="30"/>
      <c r="M30" s="33"/>
    </row>
    <row r="31" spans="1:13" s="2" customFormat="1" ht="14.1" customHeight="1" x14ac:dyDescent="0.3">
      <c r="A31" s="80">
        <v>15</v>
      </c>
      <c r="B31" s="23" t="s">
        <v>48</v>
      </c>
      <c r="C31" s="24"/>
      <c r="D31" s="44" t="s">
        <v>46</v>
      </c>
      <c r="E31" s="45"/>
      <c r="F31" s="45"/>
      <c r="G31" s="46"/>
      <c r="H31" s="39">
        <v>26.2</v>
      </c>
      <c r="I31" s="32">
        <f>SUM(H31)+1.2</f>
        <v>27.4</v>
      </c>
      <c r="J31" s="32">
        <f>SUM(I31)+1.2</f>
        <v>28.599999999999998</v>
      </c>
      <c r="K31" s="12"/>
      <c r="L31" s="43"/>
      <c r="M31" s="90"/>
    </row>
    <row r="32" spans="1:13" s="2" customFormat="1" ht="14.1" customHeight="1" x14ac:dyDescent="0.3">
      <c r="A32" s="84"/>
      <c r="B32" s="85" t="s">
        <v>230</v>
      </c>
      <c r="C32" s="86"/>
      <c r="D32" s="87" t="s">
        <v>70</v>
      </c>
      <c r="E32" s="88"/>
      <c r="F32" s="88"/>
      <c r="G32" s="89"/>
      <c r="H32" s="39"/>
      <c r="I32" s="32"/>
      <c r="J32" s="32"/>
      <c r="K32" s="30"/>
      <c r="L32" s="41"/>
      <c r="M32" s="91"/>
    </row>
    <row r="33" spans="1:13" s="2" customFormat="1" ht="14.1" customHeight="1" x14ac:dyDescent="0.3">
      <c r="A33" s="80">
        <v>16</v>
      </c>
      <c r="B33" s="23" t="s">
        <v>50</v>
      </c>
      <c r="C33" s="24"/>
      <c r="D33" s="44" t="s">
        <v>51</v>
      </c>
      <c r="E33" s="45"/>
      <c r="F33" s="45"/>
      <c r="G33" s="46"/>
      <c r="H33" s="39"/>
      <c r="I33" s="32"/>
      <c r="J33" s="32"/>
      <c r="K33" s="12"/>
      <c r="L33" s="12"/>
      <c r="M33" s="14"/>
    </row>
    <row r="34" spans="1:13" s="2" customFormat="1" ht="14.1" customHeight="1" x14ac:dyDescent="0.3">
      <c r="A34" s="84"/>
      <c r="B34" s="85" t="s">
        <v>52</v>
      </c>
      <c r="C34" s="86"/>
      <c r="D34" s="87" t="s">
        <v>69</v>
      </c>
      <c r="E34" s="88"/>
      <c r="F34" s="88"/>
      <c r="G34" s="89"/>
      <c r="H34" s="39"/>
      <c r="I34" s="32"/>
      <c r="J34" s="32"/>
      <c r="K34" s="30"/>
      <c r="L34" s="30"/>
      <c r="M34" s="33"/>
    </row>
    <row r="35" spans="1:13" s="2" customFormat="1" ht="14.1" customHeight="1" x14ac:dyDescent="0.3">
      <c r="A35" s="80">
        <v>17</v>
      </c>
      <c r="B35" s="23" t="s">
        <v>53</v>
      </c>
      <c r="C35" s="24"/>
      <c r="D35" s="44" t="s">
        <v>54</v>
      </c>
      <c r="E35" s="45"/>
      <c r="F35" s="45"/>
      <c r="G35" s="46"/>
      <c r="H35" s="39"/>
      <c r="I35" s="32"/>
      <c r="J35" s="32"/>
      <c r="K35" s="12"/>
      <c r="L35" s="12"/>
      <c r="M35" s="14"/>
    </row>
    <row r="36" spans="1:13" s="2" customFormat="1" ht="14.1" customHeight="1" x14ac:dyDescent="0.3">
      <c r="A36" s="84"/>
      <c r="B36" s="85" t="s">
        <v>55</v>
      </c>
      <c r="C36" s="86"/>
      <c r="D36" s="87" t="s">
        <v>68</v>
      </c>
      <c r="E36" s="88"/>
      <c r="F36" s="88"/>
      <c r="G36" s="89"/>
      <c r="H36" s="39"/>
      <c r="I36" s="32"/>
      <c r="J36" s="32"/>
      <c r="K36" s="30"/>
      <c r="L36" s="30"/>
      <c r="M36" s="33"/>
    </row>
    <row r="37" spans="1:13" ht="14.1" customHeight="1" x14ac:dyDescent="0.3">
      <c r="A37" s="80">
        <v>18</v>
      </c>
      <c r="B37" s="23" t="s">
        <v>67</v>
      </c>
      <c r="C37" s="24"/>
      <c r="D37" s="44" t="s">
        <v>65</v>
      </c>
      <c r="E37" s="45"/>
      <c r="F37" s="45"/>
      <c r="G37" s="46"/>
      <c r="H37" s="39"/>
      <c r="I37" s="32"/>
      <c r="J37" s="32"/>
      <c r="K37" s="12"/>
      <c r="L37" s="12"/>
      <c r="M37" s="14"/>
    </row>
    <row r="38" spans="1:13" ht="14.1" customHeight="1" x14ac:dyDescent="0.3">
      <c r="A38" s="84"/>
      <c r="B38" s="85" t="s">
        <v>66</v>
      </c>
      <c r="C38" s="86"/>
      <c r="D38" s="87" t="s">
        <v>65</v>
      </c>
      <c r="E38" s="88"/>
      <c r="F38" s="88"/>
      <c r="G38" s="89"/>
      <c r="H38" s="39"/>
      <c r="I38" s="32"/>
      <c r="J38" s="32"/>
      <c r="K38" s="30"/>
      <c r="L38" s="30"/>
      <c r="M38" s="33"/>
    </row>
    <row r="39" spans="1:13" ht="14.1" customHeight="1" x14ac:dyDescent="0.3">
      <c r="A39" s="78">
        <v>19</v>
      </c>
      <c r="B39" s="23" t="s">
        <v>103</v>
      </c>
      <c r="C39" s="24"/>
      <c r="D39" s="44" t="s">
        <v>102</v>
      </c>
      <c r="E39" s="45"/>
      <c r="F39" s="45"/>
      <c r="G39" s="46"/>
      <c r="H39" s="39"/>
      <c r="I39" s="32"/>
      <c r="J39" s="32"/>
      <c r="K39" s="12"/>
      <c r="L39" s="12"/>
      <c r="M39" s="14"/>
    </row>
    <row r="40" spans="1:13" ht="14.1" customHeight="1" x14ac:dyDescent="0.3">
      <c r="A40" s="80"/>
      <c r="B40" s="133" t="s">
        <v>101</v>
      </c>
      <c r="C40" s="134"/>
      <c r="D40" s="135" t="s">
        <v>221</v>
      </c>
      <c r="E40" s="136"/>
      <c r="F40" s="136"/>
      <c r="G40" s="137"/>
      <c r="H40" s="40"/>
      <c r="I40" s="12"/>
      <c r="J40" s="12"/>
      <c r="K40" s="74"/>
      <c r="L40" s="74"/>
      <c r="M40" s="75"/>
    </row>
    <row r="41" spans="1:13" s="2" customFormat="1" ht="14.1" customHeight="1" x14ac:dyDescent="0.3">
      <c r="A41" s="78">
        <v>20</v>
      </c>
      <c r="B41" s="23"/>
      <c r="C41" s="24"/>
      <c r="D41" s="44"/>
      <c r="E41" s="45"/>
      <c r="F41" s="45"/>
      <c r="G41" s="46"/>
      <c r="H41" s="39"/>
      <c r="I41" s="32"/>
      <c r="J41" s="32"/>
      <c r="K41" s="12"/>
      <c r="L41" s="12"/>
      <c r="M41" s="14"/>
    </row>
    <row r="42" spans="1:13" s="2" customFormat="1" ht="14.1" customHeight="1" thickBot="1" x14ac:dyDescent="0.35">
      <c r="A42" s="79"/>
      <c r="B42" s="138"/>
      <c r="C42" s="139"/>
      <c r="D42" s="140"/>
      <c r="E42" s="141"/>
      <c r="F42" s="141"/>
      <c r="G42" s="142"/>
      <c r="H42" s="29"/>
      <c r="I42" s="31"/>
      <c r="J42" s="31"/>
      <c r="K42" s="13"/>
      <c r="L42" s="13"/>
      <c r="M42" s="15"/>
    </row>
    <row r="43" spans="1:13" s="2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2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2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7:A18"/>
    <mergeCell ref="B17:C17"/>
    <mergeCell ref="D17:G17"/>
    <mergeCell ref="H17:H18"/>
    <mergeCell ref="I17:I18"/>
    <mergeCell ref="A13:A14"/>
    <mergeCell ref="B13:C13"/>
    <mergeCell ref="D13:G13"/>
    <mergeCell ref="H13:H14"/>
    <mergeCell ref="I13:I14"/>
    <mergeCell ref="A15:A16"/>
    <mergeCell ref="J17:J18"/>
    <mergeCell ref="K17:K18"/>
    <mergeCell ref="L17:L18"/>
    <mergeCell ref="M17:M18"/>
    <mergeCell ref="B18:C18"/>
    <mergeCell ref="D18:G18"/>
    <mergeCell ref="K13:K14"/>
    <mergeCell ref="L13:L14"/>
    <mergeCell ref="M13:M14"/>
    <mergeCell ref="B14:C14"/>
    <mergeCell ref="D14:G14"/>
    <mergeCell ref="J13:J14"/>
    <mergeCell ref="J15:J16"/>
    <mergeCell ref="K15:K16"/>
    <mergeCell ref="L15:L16"/>
    <mergeCell ref="M15:M16"/>
    <mergeCell ref="B16:C16"/>
    <mergeCell ref="D16:G16"/>
    <mergeCell ref="B15:C15"/>
    <mergeCell ref="D15:G15"/>
    <mergeCell ref="H15:H16"/>
    <mergeCell ref="I15:I16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A39:A40"/>
    <mergeCell ref="B39:C39"/>
    <mergeCell ref="D39:G39"/>
    <mergeCell ref="J21:J22"/>
    <mergeCell ref="K21:K22"/>
    <mergeCell ref="L21:L22"/>
    <mergeCell ref="M21:M22"/>
    <mergeCell ref="B22:C22"/>
    <mergeCell ref="D22:G22"/>
    <mergeCell ref="H39:H40"/>
    <mergeCell ref="I39:I40"/>
    <mergeCell ref="J39:J40"/>
    <mergeCell ref="J37:J38"/>
    <mergeCell ref="K37:K38"/>
    <mergeCell ref="L37:L38"/>
    <mergeCell ref="M37:M38"/>
    <mergeCell ref="B38:C38"/>
    <mergeCell ref="D38:G38"/>
    <mergeCell ref="K39:K40"/>
    <mergeCell ref="L39:L40"/>
    <mergeCell ref="M39:M40"/>
    <mergeCell ref="B40:C40"/>
    <mergeCell ref="D40:G40"/>
    <mergeCell ref="K35:K36"/>
    <mergeCell ref="K19:K20"/>
    <mergeCell ref="L19:L20"/>
    <mergeCell ref="A21:A22"/>
    <mergeCell ref="B21:C21"/>
    <mergeCell ref="D21:G21"/>
    <mergeCell ref="H21:H22"/>
    <mergeCell ref="I21:I22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EC8D-3900-46B0-8A31-BF3E2DF3B332}">
  <sheetPr>
    <tabColor theme="7"/>
  </sheetPr>
  <dimension ref="A1:P59"/>
  <sheetViews>
    <sheetView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49" t="s">
        <v>214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6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6" s="2" customFormat="1" ht="14.1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59">
        <v>50.9</v>
      </c>
      <c r="I3" s="60">
        <f>SUM(H3)+3</f>
        <v>53.9</v>
      </c>
      <c r="J3" s="60">
        <f>SUM(I3)+3</f>
        <v>56.9</v>
      </c>
      <c r="K3" s="61"/>
      <c r="L3" s="61"/>
      <c r="M3" s="62"/>
    </row>
    <row r="4" spans="1:16" s="2" customFormat="1" ht="14.1" customHeight="1" x14ac:dyDescent="0.3">
      <c r="A4" s="21"/>
      <c r="B4" s="41" t="s">
        <v>62</v>
      </c>
      <c r="C4" s="41"/>
      <c r="D4" s="36" t="s">
        <v>61</v>
      </c>
      <c r="E4" s="37"/>
      <c r="F4" s="37"/>
      <c r="G4" s="37"/>
      <c r="H4" s="39"/>
      <c r="I4" s="32"/>
      <c r="J4" s="32"/>
      <c r="K4" s="30"/>
      <c r="L4" s="30"/>
      <c r="M4" s="33"/>
    </row>
    <row r="5" spans="1:16" s="2" customFormat="1" ht="14.1" customHeight="1" x14ac:dyDescent="0.3">
      <c r="A5" s="21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56.6</v>
      </c>
      <c r="I5" s="12">
        <f>SUM(H5)+4.2</f>
        <v>60.800000000000004</v>
      </c>
      <c r="J5" s="12">
        <f>SUM(I5)+4.2</f>
        <v>65</v>
      </c>
      <c r="K5" s="32"/>
      <c r="L5" s="32"/>
      <c r="M5" s="42"/>
    </row>
    <row r="6" spans="1:16" s="2" customFormat="1" ht="14.1" customHeight="1" x14ac:dyDescent="0.3">
      <c r="A6" s="21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2"/>
      <c r="L6" s="32"/>
      <c r="M6" s="42"/>
    </row>
    <row r="7" spans="1:16" s="2" customFormat="1" ht="14.1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53</v>
      </c>
      <c r="I7" s="12">
        <f>SUM(H7)+4</f>
        <v>57</v>
      </c>
      <c r="J7" s="12">
        <f>SUM(I7)+4</f>
        <v>61</v>
      </c>
      <c r="K7" s="32"/>
      <c r="L7" s="32"/>
      <c r="M7" s="42"/>
    </row>
    <row r="8" spans="1:16" s="2" customFormat="1" ht="14.1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32"/>
      <c r="M8" s="42"/>
    </row>
    <row r="9" spans="1:16" s="2" customFormat="1" ht="14.1" customHeight="1" x14ac:dyDescent="0.3">
      <c r="A9" s="21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40</v>
      </c>
      <c r="I9" s="12">
        <f>SUM(H9)+3</f>
        <v>43</v>
      </c>
      <c r="J9" s="12">
        <f>SUM(I9)+3</f>
        <v>46</v>
      </c>
      <c r="K9" s="32"/>
      <c r="L9" s="32"/>
      <c r="M9" s="42"/>
      <c r="P9" s="2" t="s">
        <v>185</v>
      </c>
    </row>
    <row r="10" spans="1:16" s="2" customFormat="1" ht="14.1" customHeight="1" x14ac:dyDescent="0.3">
      <c r="A10" s="21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6" s="2" customFormat="1" ht="14.1" customHeight="1" x14ac:dyDescent="0.3">
      <c r="A11" s="21">
        <v>5</v>
      </c>
      <c r="B11" s="43" t="s">
        <v>10</v>
      </c>
      <c r="C11" s="43"/>
      <c r="D11" s="47" t="s">
        <v>0</v>
      </c>
      <c r="E11" s="47"/>
      <c r="F11" s="47"/>
      <c r="G11" s="47"/>
      <c r="H11" s="39">
        <v>20.100000000000001</v>
      </c>
      <c r="I11" s="32">
        <f>SUM(H11)+1</f>
        <v>21.1</v>
      </c>
      <c r="J11" s="32">
        <f>SUM(I11)+1</f>
        <v>22.1</v>
      </c>
      <c r="K11" s="32"/>
      <c r="L11" s="32"/>
      <c r="M11" s="42"/>
    </row>
    <row r="12" spans="1:16" s="2" customFormat="1" ht="14.1" customHeight="1" x14ac:dyDescent="0.3">
      <c r="A12" s="21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6" s="2" customFormat="1" ht="14.1" customHeight="1" x14ac:dyDescent="0.3">
      <c r="A13" s="21">
        <v>6</v>
      </c>
      <c r="B13" s="43" t="s">
        <v>1</v>
      </c>
      <c r="C13" s="43"/>
      <c r="D13" s="47" t="s">
        <v>134</v>
      </c>
      <c r="E13" s="47"/>
      <c r="F13" s="47"/>
      <c r="G13" s="47"/>
      <c r="H13" s="39">
        <v>17.8</v>
      </c>
      <c r="I13" s="32">
        <f>SUM(H13)+0.6</f>
        <v>18.400000000000002</v>
      </c>
      <c r="J13" s="32">
        <f>SUM(I13)+0.6</f>
        <v>19.000000000000004</v>
      </c>
      <c r="K13" s="32"/>
      <c r="L13" s="32"/>
      <c r="M13" s="42"/>
    </row>
    <row r="14" spans="1:16" s="2" customFormat="1" ht="14.1" customHeight="1" x14ac:dyDescent="0.3">
      <c r="A14" s="21"/>
      <c r="B14" s="41" t="s">
        <v>15</v>
      </c>
      <c r="C14" s="41"/>
      <c r="D14" s="36" t="s">
        <v>129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6" s="2" customFormat="1" ht="14.1" customHeight="1" x14ac:dyDescent="0.3">
      <c r="A15" s="21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7.9</v>
      </c>
      <c r="I15" s="32">
        <f>SUM(H15)+0.3</f>
        <v>8.2000000000000011</v>
      </c>
      <c r="J15" s="32">
        <f>SUM(I15)+0.3</f>
        <v>8.5000000000000018</v>
      </c>
      <c r="K15" s="32"/>
      <c r="L15" s="32"/>
      <c r="M15" s="42"/>
    </row>
    <row r="16" spans="1:16" s="2" customFormat="1" ht="14.1" customHeight="1" x14ac:dyDescent="0.3">
      <c r="A16" s="21"/>
      <c r="B16" s="41" t="s">
        <v>16</v>
      </c>
      <c r="C16" s="41"/>
      <c r="D16" s="36" t="s">
        <v>128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4.1" customHeight="1" x14ac:dyDescent="0.3">
      <c r="A17" s="21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47.4</v>
      </c>
      <c r="I17" s="32">
        <f>SUM(H17)+1.6</f>
        <v>49</v>
      </c>
      <c r="J17" s="32">
        <f>SUM(I17)+1.6</f>
        <v>50.6</v>
      </c>
      <c r="K17" s="32"/>
      <c r="L17" s="32"/>
      <c r="M17" s="42"/>
    </row>
    <row r="18" spans="1:13" s="2" customFormat="1" ht="14.1" customHeight="1" x14ac:dyDescent="0.3">
      <c r="A18" s="21"/>
      <c r="B18" s="41" t="s">
        <v>57</v>
      </c>
      <c r="C18" s="41"/>
      <c r="D18" s="36" t="s">
        <v>127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4.1" customHeight="1" x14ac:dyDescent="0.3">
      <c r="A19" s="21">
        <v>9</v>
      </c>
      <c r="B19" s="43" t="s">
        <v>5</v>
      </c>
      <c r="C19" s="43"/>
      <c r="D19" s="47" t="s">
        <v>6</v>
      </c>
      <c r="E19" s="47"/>
      <c r="F19" s="47"/>
      <c r="G19" s="47"/>
      <c r="H19" s="39">
        <v>45.4</v>
      </c>
      <c r="I19" s="32">
        <f>SUM(H19)+1.9</f>
        <v>47.3</v>
      </c>
      <c r="J19" s="32">
        <f>SUM(I19)+1.9</f>
        <v>49.199999999999996</v>
      </c>
      <c r="K19" s="32"/>
      <c r="L19" s="32"/>
      <c r="M19" s="42"/>
    </row>
    <row r="20" spans="1:13" s="2" customFormat="1" ht="14.1" customHeight="1" x14ac:dyDescent="0.3">
      <c r="A20" s="21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4.1" customHeight="1" x14ac:dyDescent="0.3">
      <c r="A21" s="21">
        <v>10</v>
      </c>
      <c r="B21" s="43" t="s">
        <v>7</v>
      </c>
      <c r="C21" s="43"/>
      <c r="D21" s="44" t="s">
        <v>8</v>
      </c>
      <c r="E21" s="45"/>
      <c r="F21" s="45"/>
      <c r="G21" s="46"/>
      <c r="H21" s="39">
        <v>38.6</v>
      </c>
      <c r="I21" s="32">
        <f>SUM(H21)+1.9</f>
        <v>40.5</v>
      </c>
      <c r="J21" s="32">
        <f>SUM(I21)+1.9</f>
        <v>42.4</v>
      </c>
      <c r="K21" s="32"/>
      <c r="L21" s="32"/>
      <c r="M21" s="42"/>
    </row>
    <row r="22" spans="1:13" s="2" customFormat="1" ht="14.1" customHeight="1" x14ac:dyDescent="0.3">
      <c r="A22" s="21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4.1" customHeight="1" x14ac:dyDescent="0.3">
      <c r="A23" s="21">
        <v>11</v>
      </c>
      <c r="B23" s="23" t="s">
        <v>59</v>
      </c>
      <c r="C23" s="24"/>
      <c r="D23" s="47" t="s">
        <v>37</v>
      </c>
      <c r="E23" s="47"/>
      <c r="F23" s="47"/>
      <c r="G23" s="47"/>
      <c r="H23" s="39">
        <v>18</v>
      </c>
      <c r="I23" s="32">
        <f>SUM(H23)+0.8</f>
        <v>18.8</v>
      </c>
      <c r="J23" s="32">
        <f>SUM(I23)+0.8</f>
        <v>19.600000000000001</v>
      </c>
      <c r="K23" s="32"/>
      <c r="L23" s="32"/>
      <c r="M23" s="42"/>
    </row>
    <row r="24" spans="1:13" s="2" customFormat="1" ht="14.1" customHeight="1" x14ac:dyDescent="0.3">
      <c r="A24" s="21"/>
      <c r="B24" s="41" t="s">
        <v>19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s="2" customFormat="1" ht="14.1" customHeight="1" x14ac:dyDescent="0.3">
      <c r="A25" s="21">
        <v>12</v>
      </c>
      <c r="B25" s="23" t="s">
        <v>133</v>
      </c>
      <c r="C25" s="24"/>
      <c r="D25" s="25" t="s">
        <v>89</v>
      </c>
      <c r="E25" s="26"/>
      <c r="F25" s="26"/>
      <c r="G25" s="27"/>
      <c r="H25" s="39">
        <v>4.5</v>
      </c>
      <c r="I25" s="32">
        <f>SUM(H25)+0.2</f>
        <v>4.7</v>
      </c>
      <c r="J25" s="32">
        <f>SUM(I25)+0.2</f>
        <v>4.9000000000000004</v>
      </c>
      <c r="K25" s="32"/>
      <c r="L25" s="32"/>
      <c r="M25" s="143"/>
    </row>
    <row r="26" spans="1:13" s="2" customFormat="1" ht="14.1" customHeight="1" x14ac:dyDescent="0.3">
      <c r="A26" s="21"/>
      <c r="B26" s="54" t="s">
        <v>132</v>
      </c>
      <c r="C26" s="55"/>
      <c r="D26" s="56" t="s">
        <v>88</v>
      </c>
      <c r="E26" s="57"/>
      <c r="F26" s="57"/>
      <c r="G26" s="58"/>
      <c r="H26" s="40"/>
      <c r="I26" s="32"/>
      <c r="J26" s="32"/>
      <c r="K26" s="32"/>
      <c r="L26" s="32"/>
      <c r="M26" s="143"/>
    </row>
    <row r="27" spans="1:13" s="2" customFormat="1" ht="14.1" customHeight="1" x14ac:dyDescent="0.3">
      <c r="A27" s="21">
        <v>13</v>
      </c>
      <c r="B27" s="43"/>
      <c r="C27" s="43"/>
      <c r="D27" s="44"/>
      <c r="E27" s="45"/>
      <c r="F27" s="45"/>
      <c r="G27" s="46"/>
      <c r="H27" s="39"/>
      <c r="I27" s="32"/>
      <c r="J27" s="32"/>
      <c r="K27" s="12"/>
      <c r="L27" s="12"/>
      <c r="M27" s="146"/>
    </row>
    <row r="28" spans="1:13" s="2" customFormat="1" ht="14.1" customHeight="1" x14ac:dyDescent="0.3">
      <c r="A28" s="21"/>
      <c r="B28" s="41"/>
      <c r="C28" s="41"/>
      <c r="D28" s="36"/>
      <c r="E28" s="37"/>
      <c r="F28" s="37"/>
      <c r="G28" s="38"/>
      <c r="H28" s="39"/>
      <c r="I28" s="32"/>
      <c r="J28" s="32"/>
      <c r="K28" s="30"/>
      <c r="L28" s="30"/>
      <c r="M28" s="147"/>
    </row>
    <row r="29" spans="1:13" s="2" customFormat="1" ht="14.1" customHeight="1" x14ac:dyDescent="0.3">
      <c r="A29" s="21">
        <v>14</v>
      </c>
      <c r="B29" s="23"/>
      <c r="C29" s="24"/>
      <c r="D29" s="25"/>
      <c r="E29" s="26"/>
      <c r="F29" s="26"/>
      <c r="G29" s="27"/>
      <c r="H29" s="39"/>
      <c r="I29" s="32"/>
      <c r="J29" s="32"/>
      <c r="K29" s="12"/>
      <c r="L29" s="12"/>
      <c r="M29" s="146"/>
    </row>
    <row r="30" spans="1:13" s="2" customFormat="1" ht="14.1" customHeight="1" x14ac:dyDescent="0.3">
      <c r="A30" s="21"/>
      <c r="B30" s="34"/>
      <c r="C30" s="35"/>
      <c r="D30" s="36"/>
      <c r="E30" s="37"/>
      <c r="F30" s="37"/>
      <c r="G30" s="38"/>
      <c r="H30" s="39"/>
      <c r="I30" s="32"/>
      <c r="J30" s="32"/>
      <c r="K30" s="30"/>
      <c r="L30" s="30"/>
      <c r="M30" s="147"/>
    </row>
    <row r="31" spans="1:13" ht="14.1" customHeight="1" x14ac:dyDescent="0.3">
      <c r="A31" s="64">
        <v>15</v>
      </c>
      <c r="B31" s="54"/>
      <c r="C31" s="55"/>
      <c r="D31" s="81"/>
      <c r="E31" s="82"/>
      <c r="F31" s="82"/>
      <c r="G31" s="83"/>
      <c r="H31" s="28"/>
      <c r="I31" s="113"/>
      <c r="J31" s="30"/>
      <c r="K31" s="74"/>
      <c r="L31" s="74"/>
      <c r="M31" s="144"/>
    </row>
    <row r="32" spans="1:13" ht="14.1" customHeight="1" thickBot="1" x14ac:dyDescent="0.35">
      <c r="A32" s="22"/>
      <c r="B32" s="16"/>
      <c r="C32" s="17"/>
      <c r="D32" s="18"/>
      <c r="E32" s="19"/>
      <c r="F32" s="19"/>
      <c r="G32" s="20"/>
      <c r="H32" s="29"/>
      <c r="I32" s="65"/>
      <c r="J32" s="31"/>
      <c r="K32" s="13"/>
      <c r="L32" s="13"/>
      <c r="M32" s="145"/>
    </row>
    <row r="33" spans="1:13" ht="14.1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4.1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s="2" customFormat="1" ht="14.1" customHeight="1" x14ac:dyDescent="0.3"/>
    <row r="40" spans="1:13" s="2" customFormat="1" ht="14.1" customHeight="1" x14ac:dyDescent="0.3"/>
    <row r="41" spans="1:13" s="2" customFormat="1" ht="14.1" customHeight="1" x14ac:dyDescent="0.3"/>
    <row r="42" spans="1:13" s="2" customFormat="1" ht="14.1" customHeight="1" x14ac:dyDescent="0.3"/>
    <row r="43" spans="1:13" s="2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2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s="2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2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2:7" ht="14.1" customHeight="1" x14ac:dyDescent="0.3"/>
    <row r="50" spans="2:7" ht="14.1" customHeight="1" x14ac:dyDescent="0.3"/>
    <row r="51" spans="2:7" ht="14.1" customHeight="1" x14ac:dyDescent="0.3">
      <c r="B51" s="1"/>
      <c r="C51" s="1"/>
      <c r="D51" s="1"/>
      <c r="E51" s="1"/>
      <c r="F51" s="1"/>
      <c r="G51" s="1"/>
    </row>
    <row r="52" spans="2:7" ht="14.1" customHeight="1" x14ac:dyDescent="0.3">
      <c r="B52" s="1"/>
      <c r="C52" s="1"/>
      <c r="D52" s="1"/>
      <c r="E52" s="1"/>
      <c r="F52" s="1"/>
      <c r="G52" s="1"/>
    </row>
    <row r="53" spans="2:7" ht="14.1" customHeight="1" x14ac:dyDescent="0.3">
      <c r="B53" s="1"/>
      <c r="C53" s="1"/>
      <c r="D53" s="1"/>
      <c r="E53" s="1"/>
      <c r="F53" s="1"/>
      <c r="G53" s="1"/>
    </row>
    <row r="54" spans="2:7" ht="14.1" customHeight="1" x14ac:dyDescent="0.3">
      <c r="B54" s="1"/>
      <c r="C54" s="1"/>
      <c r="D54" s="1"/>
      <c r="E54" s="1"/>
      <c r="F54" s="1"/>
      <c r="G54" s="1"/>
    </row>
    <row r="55" spans="2:7" ht="14.1" customHeight="1" x14ac:dyDescent="0.3"/>
    <row r="56" spans="2:7" ht="14.1" customHeight="1" x14ac:dyDescent="0.3"/>
    <row r="57" spans="2:7" ht="14.1" customHeight="1" x14ac:dyDescent="0.3"/>
    <row r="58" spans="2:7" ht="14.1" customHeight="1" x14ac:dyDescent="0.3"/>
    <row r="59" spans="2:7" ht="14.1" customHeight="1" x14ac:dyDescent="0.3"/>
  </sheetData>
  <mergeCells count="168"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B29:C29"/>
    <mergeCell ref="D29:G29"/>
    <mergeCell ref="H29:H30"/>
    <mergeCell ref="I29:I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A27:A28"/>
    <mergeCell ref="B27:C27"/>
    <mergeCell ref="D27:G27"/>
    <mergeCell ref="H27:H28"/>
    <mergeCell ref="I27:I28"/>
    <mergeCell ref="A29:A30"/>
    <mergeCell ref="J27:J28"/>
    <mergeCell ref="J25:J26"/>
    <mergeCell ref="K25:K26"/>
    <mergeCell ref="J29:J30"/>
    <mergeCell ref="K29:K30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5:J16"/>
    <mergeCell ref="B16:C16"/>
    <mergeCell ref="D16:G16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K13:K14"/>
    <mergeCell ref="L13:L14"/>
    <mergeCell ref="M13:M14"/>
    <mergeCell ref="K15:K16"/>
    <mergeCell ref="L15:L16"/>
    <mergeCell ref="M15:M16"/>
    <mergeCell ref="K17:K18"/>
    <mergeCell ref="L17:L18"/>
    <mergeCell ref="M17:M18"/>
  </mergeCells>
  <phoneticPr fontId="15" type="noConversion"/>
  <pageMargins left="0.46875" right="0.46875" top="0.75" bottom="0.75" header="0.3" footer="0.3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226C-5722-497E-B80A-1BA2F8DC0482}">
  <sheetPr>
    <tabColor theme="7"/>
  </sheetPr>
  <dimension ref="A1:P59"/>
  <sheetViews>
    <sheetView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49" t="s">
        <v>181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6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6" s="2" customFormat="1" ht="14.1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59">
        <v>49</v>
      </c>
      <c r="I3" s="60">
        <f>SUM(H3)+3</f>
        <v>52</v>
      </c>
      <c r="J3" s="60">
        <f>SUM(I3)+3</f>
        <v>55</v>
      </c>
      <c r="K3" s="61"/>
      <c r="L3" s="61"/>
      <c r="M3" s="62"/>
    </row>
    <row r="4" spans="1:16" s="2" customFormat="1" ht="14.1" customHeight="1" x14ac:dyDescent="0.3">
      <c r="A4" s="21"/>
      <c r="B4" s="41" t="s">
        <v>62</v>
      </c>
      <c r="C4" s="41"/>
      <c r="D4" s="36" t="s">
        <v>61</v>
      </c>
      <c r="E4" s="37"/>
      <c r="F4" s="37"/>
      <c r="G4" s="37"/>
      <c r="H4" s="39"/>
      <c r="I4" s="32"/>
      <c r="J4" s="32"/>
      <c r="K4" s="30"/>
      <c r="L4" s="30"/>
      <c r="M4" s="33"/>
    </row>
    <row r="5" spans="1:16" s="2" customFormat="1" ht="14.1" customHeight="1" x14ac:dyDescent="0.3">
      <c r="A5" s="21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33</v>
      </c>
      <c r="I5" s="12">
        <f>SUM(H5)+2.6</f>
        <v>35.6</v>
      </c>
      <c r="J5" s="12">
        <f>SUM(I5)+2.6</f>
        <v>38.200000000000003</v>
      </c>
      <c r="K5" s="32"/>
      <c r="L5" s="32"/>
      <c r="M5" s="42"/>
    </row>
    <row r="6" spans="1:16" s="2" customFormat="1" ht="14.1" customHeight="1" x14ac:dyDescent="0.3">
      <c r="A6" s="21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2"/>
      <c r="L6" s="32"/>
      <c r="M6" s="42"/>
    </row>
    <row r="7" spans="1:16" s="2" customFormat="1" ht="14.1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38</v>
      </c>
      <c r="I7" s="12">
        <f>SUM(H7)+3</f>
        <v>41</v>
      </c>
      <c r="J7" s="12">
        <f>SUM(I7)+3</f>
        <v>44</v>
      </c>
      <c r="K7" s="32"/>
      <c r="L7" s="32"/>
      <c r="M7" s="42"/>
    </row>
    <row r="8" spans="1:16" s="2" customFormat="1" ht="14.1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32"/>
      <c r="M8" s="42"/>
    </row>
    <row r="9" spans="1:16" s="2" customFormat="1" ht="14.1" customHeight="1" x14ac:dyDescent="0.3">
      <c r="A9" s="21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37</v>
      </c>
      <c r="I9" s="12">
        <f>SUM(H9)+2.9</f>
        <v>39.9</v>
      </c>
      <c r="J9" s="12">
        <f>SUM(I9)+2.9</f>
        <v>42.8</v>
      </c>
      <c r="K9" s="32"/>
      <c r="L9" s="32"/>
      <c r="M9" s="42"/>
      <c r="P9" s="2" t="s">
        <v>185</v>
      </c>
    </row>
    <row r="10" spans="1:16" s="2" customFormat="1" ht="14.1" customHeight="1" x14ac:dyDescent="0.3">
      <c r="A10" s="21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6" s="2" customFormat="1" ht="14.1" customHeight="1" x14ac:dyDescent="0.3">
      <c r="A11" s="21">
        <v>5</v>
      </c>
      <c r="B11" s="43" t="s">
        <v>10</v>
      </c>
      <c r="C11" s="43"/>
      <c r="D11" s="47" t="s">
        <v>0</v>
      </c>
      <c r="E11" s="47"/>
      <c r="F11" s="47"/>
      <c r="G11" s="47"/>
      <c r="H11" s="39">
        <v>18.600000000000001</v>
      </c>
      <c r="I11" s="32">
        <f>SUM(H11)+1</f>
        <v>19.600000000000001</v>
      </c>
      <c r="J11" s="32">
        <f>SUM(I11)+1</f>
        <v>20.6</v>
      </c>
      <c r="K11" s="32"/>
      <c r="L11" s="32"/>
      <c r="M11" s="42"/>
    </row>
    <row r="12" spans="1:16" s="2" customFormat="1" ht="14.1" customHeight="1" x14ac:dyDescent="0.3">
      <c r="A12" s="21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6" s="2" customFormat="1" ht="14.1" customHeight="1" x14ac:dyDescent="0.3">
      <c r="A13" s="21">
        <v>6</v>
      </c>
      <c r="B13" s="43" t="s">
        <v>1</v>
      </c>
      <c r="C13" s="43"/>
      <c r="D13" s="47" t="s">
        <v>134</v>
      </c>
      <c r="E13" s="47"/>
      <c r="F13" s="47"/>
      <c r="G13" s="47"/>
      <c r="H13" s="39">
        <v>14.2</v>
      </c>
      <c r="I13" s="32">
        <f>SUM(H13)+0.6</f>
        <v>14.799999999999999</v>
      </c>
      <c r="J13" s="32">
        <f>SUM(I13)+0.6</f>
        <v>15.399999999999999</v>
      </c>
      <c r="K13" s="32"/>
      <c r="L13" s="32"/>
      <c r="M13" s="42"/>
    </row>
    <row r="14" spans="1:16" s="2" customFormat="1" ht="14.1" customHeight="1" x14ac:dyDescent="0.3">
      <c r="A14" s="21"/>
      <c r="B14" s="41" t="s">
        <v>15</v>
      </c>
      <c r="C14" s="41"/>
      <c r="D14" s="36" t="s">
        <v>129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6" s="2" customFormat="1" ht="14.1" customHeight="1" x14ac:dyDescent="0.3">
      <c r="A15" s="21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7.8</v>
      </c>
      <c r="I15" s="32">
        <f>SUM(H15)+0.3</f>
        <v>8.1</v>
      </c>
      <c r="J15" s="32">
        <f>SUM(I15)+0.3</f>
        <v>8.4</v>
      </c>
      <c r="K15" s="32"/>
      <c r="L15" s="32"/>
      <c r="M15" s="42"/>
    </row>
    <row r="16" spans="1:16" s="2" customFormat="1" ht="14.1" customHeight="1" x14ac:dyDescent="0.3">
      <c r="A16" s="21"/>
      <c r="B16" s="41" t="s">
        <v>16</v>
      </c>
      <c r="C16" s="41"/>
      <c r="D16" s="36" t="s">
        <v>128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4.1" customHeight="1" x14ac:dyDescent="0.3">
      <c r="A17" s="21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44</v>
      </c>
      <c r="I17" s="32">
        <f>SUM(H17)+1.6</f>
        <v>45.6</v>
      </c>
      <c r="J17" s="32">
        <f>SUM(I17)+1.6</f>
        <v>47.2</v>
      </c>
      <c r="K17" s="32"/>
      <c r="L17" s="32"/>
      <c r="M17" s="42"/>
    </row>
    <row r="18" spans="1:13" s="2" customFormat="1" ht="14.1" customHeight="1" x14ac:dyDescent="0.3">
      <c r="A18" s="21"/>
      <c r="B18" s="41" t="s">
        <v>57</v>
      </c>
      <c r="C18" s="41"/>
      <c r="D18" s="36" t="s">
        <v>127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4.1" customHeight="1" x14ac:dyDescent="0.3">
      <c r="A19" s="21">
        <v>9</v>
      </c>
      <c r="B19" s="43" t="s">
        <v>5</v>
      </c>
      <c r="C19" s="43"/>
      <c r="D19" s="47" t="s">
        <v>6</v>
      </c>
      <c r="E19" s="47"/>
      <c r="F19" s="47"/>
      <c r="G19" s="47"/>
      <c r="H19" s="39">
        <v>54.5</v>
      </c>
      <c r="I19" s="32">
        <f>SUM(H19)+2.7</f>
        <v>57.2</v>
      </c>
      <c r="J19" s="32">
        <f>SUM(I19)+2.7</f>
        <v>59.900000000000006</v>
      </c>
      <c r="K19" s="32"/>
      <c r="L19" s="32"/>
      <c r="M19" s="42"/>
    </row>
    <row r="20" spans="1:13" s="2" customFormat="1" ht="14.1" customHeight="1" x14ac:dyDescent="0.3">
      <c r="A20" s="21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4.1" customHeight="1" x14ac:dyDescent="0.3">
      <c r="A21" s="21">
        <v>10</v>
      </c>
      <c r="B21" s="43" t="s">
        <v>7</v>
      </c>
      <c r="C21" s="43"/>
      <c r="D21" s="44" t="s">
        <v>8</v>
      </c>
      <c r="E21" s="45"/>
      <c r="F21" s="45"/>
      <c r="G21" s="46"/>
      <c r="H21" s="39">
        <v>32</v>
      </c>
      <c r="I21" s="32">
        <f>SUM(H21)+1.7</f>
        <v>33.700000000000003</v>
      </c>
      <c r="J21" s="32">
        <f>SUM(I21)+1.7</f>
        <v>35.400000000000006</v>
      </c>
      <c r="K21" s="32"/>
      <c r="L21" s="32"/>
      <c r="M21" s="42"/>
    </row>
    <row r="22" spans="1:13" s="2" customFormat="1" ht="14.1" customHeight="1" x14ac:dyDescent="0.3">
      <c r="A22" s="21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4.1" customHeight="1" x14ac:dyDescent="0.3">
      <c r="A23" s="21">
        <v>11</v>
      </c>
      <c r="B23" s="23" t="s">
        <v>59</v>
      </c>
      <c r="C23" s="24"/>
      <c r="D23" s="47" t="s">
        <v>37</v>
      </c>
      <c r="E23" s="47"/>
      <c r="F23" s="47"/>
      <c r="G23" s="47"/>
      <c r="H23" s="39">
        <v>18</v>
      </c>
      <c r="I23" s="32">
        <f>SUM(H23)+0.8</f>
        <v>18.8</v>
      </c>
      <c r="J23" s="32">
        <f>SUM(I23)+0.8</f>
        <v>19.600000000000001</v>
      </c>
      <c r="K23" s="32"/>
      <c r="L23" s="32"/>
      <c r="M23" s="42"/>
    </row>
    <row r="24" spans="1:13" s="2" customFormat="1" ht="14.1" customHeight="1" x14ac:dyDescent="0.3">
      <c r="A24" s="21"/>
      <c r="B24" s="41" t="s">
        <v>19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s="2" customFormat="1" ht="14.1" customHeight="1" x14ac:dyDescent="0.3">
      <c r="A25" s="21">
        <v>12</v>
      </c>
      <c r="B25" s="23" t="s">
        <v>237</v>
      </c>
      <c r="C25" s="24"/>
      <c r="D25" s="25"/>
      <c r="E25" s="26"/>
      <c r="F25" s="26"/>
      <c r="G25" s="27"/>
      <c r="H25" s="39">
        <v>7</v>
      </c>
      <c r="I25" s="32">
        <f>SUM(H25)+0.4</f>
        <v>7.4</v>
      </c>
      <c r="J25" s="32">
        <f>SUM(I25)+0.4</f>
        <v>7.8000000000000007</v>
      </c>
      <c r="K25" s="12"/>
      <c r="L25" s="12"/>
      <c r="M25" s="14"/>
    </row>
    <row r="26" spans="1:13" s="2" customFormat="1" ht="13.5" customHeight="1" x14ac:dyDescent="0.3">
      <c r="A26" s="63"/>
      <c r="B26" s="54" t="s">
        <v>238</v>
      </c>
      <c r="C26" s="55"/>
      <c r="D26" s="56" t="s">
        <v>245</v>
      </c>
      <c r="E26" s="57"/>
      <c r="F26" s="57"/>
      <c r="G26" s="58"/>
      <c r="H26" s="40"/>
      <c r="I26" s="12"/>
      <c r="J26" s="12"/>
      <c r="K26" s="74"/>
      <c r="L26" s="74"/>
      <c r="M26" s="75"/>
    </row>
    <row r="27" spans="1:13" s="2" customFormat="1" ht="14.1" customHeight="1" x14ac:dyDescent="0.3">
      <c r="A27" s="21">
        <v>13</v>
      </c>
      <c r="B27" s="23" t="s">
        <v>182</v>
      </c>
      <c r="C27" s="24"/>
      <c r="D27" s="25"/>
      <c r="E27" s="26"/>
      <c r="F27" s="26"/>
      <c r="G27" s="27"/>
      <c r="H27" s="39">
        <v>15</v>
      </c>
      <c r="I27" s="32">
        <f>SUM(H27)+0.7</f>
        <v>15.7</v>
      </c>
      <c r="J27" s="32">
        <f>SUM(I27)+0.7</f>
        <v>16.399999999999999</v>
      </c>
      <c r="K27" s="12"/>
      <c r="L27" s="12"/>
      <c r="M27" s="14"/>
    </row>
    <row r="28" spans="1:13" s="2" customFormat="1" ht="14.1" customHeight="1" x14ac:dyDescent="0.3">
      <c r="A28" s="63"/>
      <c r="B28" s="54" t="s">
        <v>183</v>
      </c>
      <c r="C28" s="55"/>
      <c r="D28" s="56" t="s">
        <v>184</v>
      </c>
      <c r="E28" s="57"/>
      <c r="F28" s="57"/>
      <c r="G28" s="58"/>
      <c r="H28" s="40"/>
      <c r="I28" s="12"/>
      <c r="J28" s="12"/>
      <c r="K28" s="74"/>
      <c r="L28" s="74"/>
      <c r="M28" s="75"/>
    </row>
    <row r="29" spans="1:13" s="2" customFormat="1" ht="14.1" customHeight="1" x14ac:dyDescent="0.3">
      <c r="A29" s="21">
        <v>14</v>
      </c>
      <c r="B29" s="23" t="s">
        <v>133</v>
      </c>
      <c r="C29" s="24"/>
      <c r="D29" s="25" t="s">
        <v>89</v>
      </c>
      <c r="E29" s="26"/>
      <c r="F29" s="26"/>
      <c r="G29" s="27"/>
      <c r="H29" s="39">
        <v>1.5</v>
      </c>
      <c r="I29" s="32">
        <f>SUM(H29)</f>
        <v>1.5</v>
      </c>
      <c r="J29" s="32">
        <f>SUM(I29)</f>
        <v>1.5</v>
      </c>
      <c r="K29" s="32"/>
      <c r="L29" s="32"/>
      <c r="M29" s="143"/>
    </row>
    <row r="30" spans="1:13" s="2" customFormat="1" ht="14.1" customHeight="1" x14ac:dyDescent="0.3">
      <c r="A30" s="21"/>
      <c r="B30" s="54" t="s">
        <v>132</v>
      </c>
      <c r="C30" s="55"/>
      <c r="D30" s="56" t="s">
        <v>88</v>
      </c>
      <c r="E30" s="57"/>
      <c r="F30" s="57"/>
      <c r="G30" s="58"/>
      <c r="H30" s="40"/>
      <c r="I30" s="12"/>
      <c r="J30" s="12"/>
      <c r="K30" s="32"/>
      <c r="L30" s="32"/>
      <c r="M30" s="143"/>
    </row>
    <row r="31" spans="1:13" ht="14.1" customHeight="1" x14ac:dyDescent="0.3">
      <c r="A31" s="21">
        <v>15</v>
      </c>
      <c r="B31" s="43"/>
      <c r="C31" s="43"/>
      <c r="D31" s="44"/>
      <c r="E31" s="45"/>
      <c r="F31" s="45"/>
      <c r="G31" s="46"/>
      <c r="H31" s="39"/>
      <c r="I31" s="32"/>
      <c r="J31" s="32"/>
      <c r="K31" s="12"/>
      <c r="L31" s="12"/>
      <c r="M31" s="146"/>
    </row>
    <row r="32" spans="1:13" ht="14.1" customHeight="1" x14ac:dyDescent="0.3">
      <c r="A32" s="21"/>
      <c r="B32" s="41"/>
      <c r="C32" s="41"/>
      <c r="D32" s="36"/>
      <c r="E32" s="37"/>
      <c r="F32" s="37"/>
      <c r="G32" s="38"/>
      <c r="H32" s="39"/>
      <c r="I32" s="32"/>
      <c r="J32" s="32"/>
      <c r="K32" s="30"/>
      <c r="L32" s="30"/>
      <c r="M32" s="147"/>
    </row>
    <row r="33" spans="1:13" ht="14.1" customHeight="1" x14ac:dyDescent="0.3">
      <c r="A33" s="21">
        <v>16</v>
      </c>
      <c r="B33" s="23"/>
      <c r="C33" s="24"/>
      <c r="D33" s="25"/>
      <c r="E33" s="26"/>
      <c r="F33" s="26"/>
      <c r="G33" s="27"/>
      <c r="H33" s="39"/>
      <c r="I33" s="32"/>
      <c r="J33" s="32"/>
      <c r="K33" s="12"/>
      <c r="L33" s="12"/>
      <c r="M33" s="146"/>
    </row>
    <row r="34" spans="1:13" ht="14.1" customHeight="1" x14ac:dyDescent="0.3">
      <c r="A34" s="21"/>
      <c r="B34" s="34"/>
      <c r="C34" s="35"/>
      <c r="D34" s="36"/>
      <c r="E34" s="37"/>
      <c r="F34" s="37"/>
      <c r="G34" s="38"/>
      <c r="H34" s="39"/>
      <c r="I34" s="32"/>
      <c r="J34" s="32"/>
      <c r="K34" s="30"/>
      <c r="L34" s="30"/>
      <c r="M34" s="147"/>
    </row>
    <row r="35" spans="1:13" s="2" customFormat="1" ht="14.1" customHeight="1" x14ac:dyDescent="0.3">
      <c r="A35" s="64">
        <v>17</v>
      </c>
      <c r="B35" s="54"/>
      <c r="C35" s="55"/>
      <c r="D35" s="81"/>
      <c r="E35" s="82"/>
      <c r="F35" s="82"/>
      <c r="G35" s="83"/>
      <c r="H35" s="28"/>
      <c r="I35" s="113"/>
      <c r="J35" s="30"/>
      <c r="K35" s="74"/>
      <c r="L35" s="74"/>
      <c r="M35" s="144"/>
    </row>
    <row r="36" spans="1:13" s="2" customFormat="1" ht="14.1" customHeight="1" thickBot="1" x14ac:dyDescent="0.35">
      <c r="A36" s="22"/>
      <c r="B36" s="16"/>
      <c r="C36" s="17"/>
      <c r="D36" s="18"/>
      <c r="E36" s="19"/>
      <c r="F36" s="19"/>
      <c r="G36" s="20"/>
      <c r="H36" s="29"/>
      <c r="I36" s="65"/>
      <c r="J36" s="31"/>
      <c r="K36" s="13"/>
      <c r="L36" s="13"/>
      <c r="M36" s="145"/>
    </row>
    <row r="37" spans="1:13" s="2" customFormat="1" ht="14.1" customHeight="1" x14ac:dyDescent="0.3"/>
    <row r="38" spans="1:13" s="2" customFormat="1" ht="14.1" customHeight="1" x14ac:dyDescent="0.3"/>
    <row r="39" spans="1:13" s="2" customFormat="1" ht="14.1" customHeight="1" x14ac:dyDescent="0.3"/>
    <row r="40" spans="1:13" s="2" customFormat="1" ht="14.1" customHeight="1" x14ac:dyDescent="0.3"/>
    <row r="41" spans="1:13" s="2" customFormat="1" ht="14.1" customHeight="1" x14ac:dyDescent="0.3"/>
    <row r="42" spans="1:13" s="2" customFormat="1" ht="14.1" customHeight="1" x14ac:dyDescent="0.3"/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/>
    <row r="46" spans="1:13" s="2" customFormat="1" ht="14.1" customHeight="1" x14ac:dyDescent="0.3"/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4" spans="2:7" ht="14.1" customHeight="1" x14ac:dyDescent="0.3"/>
    <row r="55" spans="2:7" ht="14.1" customHeight="1" x14ac:dyDescent="0.3">
      <c r="B55" s="1"/>
      <c r="C55" s="1"/>
      <c r="D55" s="1"/>
      <c r="E55" s="1"/>
      <c r="F55" s="1"/>
      <c r="G55" s="1"/>
    </row>
    <row r="56" spans="2:7" ht="14.1" customHeight="1" x14ac:dyDescent="0.3">
      <c r="B56" s="1"/>
      <c r="C56" s="1"/>
      <c r="D56" s="1"/>
      <c r="E56" s="1"/>
      <c r="F56" s="1"/>
      <c r="G56" s="1"/>
    </row>
    <row r="57" spans="2:7" ht="14.1" customHeight="1" x14ac:dyDescent="0.3">
      <c r="B57" s="1"/>
      <c r="C57" s="1"/>
      <c r="D57" s="1"/>
      <c r="E57" s="1"/>
      <c r="F57" s="1"/>
      <c r="G57" s="1"/>
    </row>
    <row r="58" spans="2:7" ht="14.1" customHeight="1" x14ac:dyDescent="0.3">
      <c r="B58" s="1"/>
      <c r="C58" s="1"/>
      <c r="D58" s="1"/>
      <c r="E58" s="1"/>
      <c r="F58" s="1"/>
      <c r="G58" s="1"/>
    </row>
    <row r="59" spans="2:7" ht="14.1" customHeight="1" x14ac:dyDescent="0.3"/>
  </sheetData>
  <mergeCells count="190">
    <mergeCell ref="I27:I28"/>
    <mergeCell ref="J27:J28"/>
    <mergeCell ref="K27:K28"/>
    <mergeCell ref="L27:L28"/>
    <mergeCell ref="M27:M28"/>
    <mergeCell ref="B28:C28"/>
    <mergeCell ref="D28:G28"/>
    <mergeCell ref="I35:I36"/>
    <mergeCell ref="I33:I34"/>
    <mergeCell ref="J33:J34"/>
    <mergeCell ref="B34:C34"/>
    <mergeCell ref="D34:G34"/>
    <mergeCell ref="I31:I32"/>
    <mergeCell ref="I29:I30"/>
    <mergeCell ref="B30:C30"/>
    <mergeCell ref="D30:G30"/>
    <mergeCell ref="B36:C36"/>
    <mergeCell ref="D36:G36"/>
    <mergeCell ref="B33:C33"/>
    <mergeCell ref="D33:G33"/>
    <mergeCell ref="H33:H34"/>
    <mergeCell ref="M35:M36"/>
    <mergeCell ref="M15:M16"/>
    <mergeCell ref="J29:J30"/>
    <mergeCell ref="K29:K30"/>
    <mergeCell ref="L29:L30"/>
    <mergeCell ref="J25:J26"/>
    <mergeCell ref="K25:K26"/>
    <mergeCell ref="M17:M18"/>
    <mergeCell ref="M19:M20"/>
    <mergeCell ref="M21:M22"/>
    <mergeCell ref="M23:M24"/>
    <mergeCell ref="M25:M26"/>
    <mergeCell ref="L25:L26"/>
    <mergeCell ref="J23:J24"/>
    <mergeCell ref="K23:K24"/>
    <mergeCell ref="L23:L24"/>
    <mergeCell ref="J21:J22"/>
    <mergeCell ref="K21:K22"/>
    <mergeCell ref="L21:L22"/>
    <mergeCell ref="J15:J16"/>
    <mergeCell ref="K15:K16"/>
    <mergeCell ref="L15:L16"/>
    <mergeCell ref="A35:A36"/>
    <mergeCell ref="B35:C35"/>
    <mergeCell ref="D35:G35"/>
    <mergeCell ref="H35:H36"/>
    <mergeCell ref="B32:C32"/>
    <mergeCell ref="D32:G32"/>
    <mergeCell ref="M5:M6"/>
    <mergeCell ref="M7:M8"/>
    <mergeCell ref="M9:M10"/>
    <mergeCell ref="M11:M12"/>
    <mergeCell ref="M13:M14"/>
    <mergeCell ref="J35:J36"/>
    <mergeCell ref="K35:K36"/>
    <mergeCell ref="L35:L36"/>
    <mergeCell ref="K33:K34"/>
    <mergeCell ref="L33:L34"/>
    <mergeCell ref="J31:J32"/>
    <mergeCell ref="K31:K32"/>
    <mergeCell ref="L31:L32"/>
    <mergeCell ref="M29:M30"/>
    <mergeCell ref="M31:M32"/>
    <mergeCell ref="M33:M34"/>
    <mergeCell ref="I25:I26"/>
    <mergeCell ref="A33:A34"/>
    <mergeCell ref="A31:A32"/>
    <mergeCell ref="B31:C31"/>
    <mergeCell ref="D31:G31"/>
    <mergeCell ref="H31:H32"/>
    <mergeCell ref="B26:C26"/>
    <mergeCell ref="D26:G26"/>
    <mergeCell ref="A23:A24"/>
    <mergeCell ref="B23:C23"/>
    <mergeCell ref="D23:G23"/>
    <mergeCell ref="H23:H24"/>
    <mergeCell ref="A27:A28"/>
    <mergeCell ref="B27:C27"/>
    <mergeCell ref="D27:G27"/>
    <mergeCell ref="H27:H28"/>
    <mergeCell ref="A21:A22"/>
    <mergeCell ref="B21:C21"/>
    <mergeCell ref="D21:G21"/>
    <mergeCell ref="H21:H22"/>
    <mergeCell ref="A29:A30"/>
    <mergeCell ref="B29:C29"/>
    <mergeCell ref="D29:G29"/>
    <mergeCell ref="H29:H30"/>
    <mergeCell ref="A25:A26"/>
    <mergeCell ref="B25:C25"/>
    <mergeCell ref="D25:G25"/>
    <mergeCell ref="H25:H26"/>
    <mergeCell ref="B24:C24"/>
    <mergeCell ref="D24:G24"/>
    <mergeCell ref="I21:I22"/>
    <mergeCell ref="I23:I24"/>
    <mergeCell ref="J19:J20"/>
    <mergeCell ref="K19:K20"/>
    <mergeCell ref="L19:L20"/>
    <mergeCell ref="B20:C20"/>
    <mergeCell ref="D20:G20"/>
    <mergeCell ref="J17:J18"/>
    <mergeCell ref="K17:K18"/>
    <mergeCell ref="L17:L18"/>
    <mergeCell ref="B18:C18"/>
    <mergeCell ref="D18:G18"/>
    <mergeCell ref="B22:C22"/>
    <mergeCell ref="D22:G22"/>
    <mergeCell ref="A19:A20"/>
    <mergeCell ref="B19:C19"/>
    <mergeCell ref="D19:G19"/>
    <mergeCell ref="H19:H20"/>
    <mergeCell ref="A17:A18"/>
    <mergeCell ref="B17:C17"/>
    <mergeCell ref="D17:G17"/>
    <mergeCell ref="H17:H18"/>
    <mergeCell ref="I17:I18"/>
    <mergeCell ref="I19:I20"/>
    <mergeCell ref="B16:C16"/>
    <mergeCell ref="D16:G16"/>
    <mergeCell ref="J13:J14"/>
    <mergeCell ref="K13:K14"/>
    <mergeCell ref="L13:L14"/>
    <mergeCell ref="B14:C14"/>
    <mergeCell ref="D14:G14"/>
    <mergeCell ref="A15:A16"/>
    <mergeCell ref="B15:C15"/>
    <mergeCell ref="D15:G15"/>
    <mergeCell ref="H15:H16"/>
    <mergeCell ref="A13:A14"/>
    <mergeCell ref="B13:C13"/>
    <mergeCell ref="D13:G13"/>
    <mergeCell ref="H13:H14"/>
    <mergeCell ref="I13:I14"/>
    <mergeCell ref="I15:I16"/>
    <mergeCell ref="J11:J12"/>
    <mergeCell ref="K11:K12"/>
    <mergeCell ref="L11:L12"/>
    <mergeCell ref="B12:C12"/>
    <mergeCell ref="D12:G12"/>
    <mergeCell ref="J9:J10"/>
    <mergeCell ref="K9:K10"/>
    <mergeCell ref="L9:L10"/>
    <mergeCell ref="B10:C10"/>
    <mergeCell ref="D10:G10"/>
    <mergeCell ref="A11:A12"/>
    <mergeCell ref="B11:C11"/>
    <mergeCell ref="D11:G11"/>
    <mergeCell ref="H11:H12"/>
    <mergeCell ref="A9:A10"/>
    <mergeCell ref="B9:C9"/>
    <mergeCell ref="D9:G9"/>
    <mergeCell ref="H9:H10"/>
    <mergeCell ref="I9:I10"/>
    <mergeCell ref="I11:I12"/>
    <mergeCell ref="A7:A8"/>
    <mergeCell ref="B7:C7"/>
    <mergeCell ref="D7:G7"/>
    <mergeCell ref="H7:H8"/>
    <mergeCell ref="K3:K4"/>
    <mergeCell ref="L3:L4"/>
    <mergeCell ref="B4:C4"/>
    <mergeCell ref="D4:G4"/>
    <mergeCell ref="A5:A6"/>
    <mergeCell ref="B5:C5"/>
    <mergeCell ref="D5:G5"/>
    <mergeCell ref="H5:H6"/>
    <mergeCell ref="I5:I6"/>
    <mergeCell ref="I7:I8"/>
    <mergeCell ref="J7:J8"/>
    <mergeCell ref="K7:K8"/>
    <mergeCell ref="L7:L8"/>
    <mergeCell ref="B8:C8"/>
    <mergeCell ref="D8:G8"/>
    <mergeCell ref="J5:J6"/>
    <mergeCell ref="K5:K6"/>
    <mergeCell ref="L5:L6"/>
    <mergeCell ref="B6:C6"/>
    <mergeCell ref="D6:G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M3:M4"/>
  </mergeCells>
  <phoneticPr fontId="15" type="noConversion"/>
  <pageMargins left="0.46875" right="0.46875" top="0.75" bottom="0.75" header="0.3" footer="0.3"/>
  <pageSetup paperSize="9" scale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AC77-F270-4DA5-94DA-EBD2B134028E}">
  <sheetPr>
    <tabColor theme="7"/>
  </sheetPr>
  <dimension ref="A1:Q59"/>
  <sheetViews>
    <sheetView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 x14ac:dyDescent="0.35">
      <c r="A1" s="49" t="s">
        <v>186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7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7" s="2" customFormat="1" ht="14.1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59">
        <v>50</v>
      </c>
      <c r="I3" s="60">
        <f>SUM(H3)+3</f>
        <v>53</v>
      </c>
      <c r="J3" s="60">
        <f>SUM(I3)+3</f>
        <v>56</v>
      </c>
      <c r="K3" s="61"/>
      <c r="L3" s="61"/>
      <c r="M3" s="62"/>
    </row>
    <row r="4" spans="1:17" s="2" customFormat="1" ht="14.1" customHeight="1" x14ac:dyDescent="0.3">
      <c r="A4" s="21"/>
      <c r="B4" s="41" t="s">
        <v>62</v>
      </c>
      <c r="C4" s="41"/>
      <c r="D4" s="36" t="s">
        <v>61</v>
      </c>
      <c r="E4" s="37"/>
      <c r="F4" s="37"/>
      <c r="G4" s="37"/>
      <c r="H4" s="39"/>
      <c r="I4" s="32"/>
      <c r="J4" s="32"/>
      <c r="K4" s="30"/>
      <c r="L4" s="30"/>
      <c r="M4" s="33"/>
    </row>
    <row r="5" spans="1:17" s="2" customFormat="1" ht="14.1" customHeight="1" x14ac:dyDescent="0.3">
      <c r="A5" s="21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35</v>
      </c>
      <c r="I5" s="12">
        <f>SUM(H5)+2.6</f>
        <v>37.6</v>
      </c>
      <c r="J5" s="12">
        <f>SUM(I5)+2.6</f>
        <v>40.200000000000003</v>
      </c>
      <c r="K5" s="32"/>
      <c r="L5" s="32"/>
      <c r="M5" s="42"/>
    </row>
    <row r="6" spans="1:17" s="2" customFormat="1" ht="14.1" customHeight="1" x14ac:dyDescent="0.3">
      <c r="A6" s="21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2"/>
      <c r="L6" s="32"/>
      <c r="M6" s="42"/>
    </row>
    <row r="7" spans="1:17" s="2" customFormat="1" ht="14.1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40</v>
      </c>
      <c r="I7" s="12">
        <f>SUM(H7)+3</f>
        <v>43</v>
      </c>
      <c r="J7" s="12">
        <f>SUM(I7)+3</f>
        <v>46</v>
      </c>
      <c r="K7" s="32"/>
      <c r="L7" s="32"/>
      <c r="M7" s="42"/>
    </row>
    <row r="8" spans="1:17" s="2" customFormat="1" ht="14.1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32"/>
      <c r="M8" s="42"/>
    </row>
    <row r="9" spans="1:17" s="2" customFormat="1" ht="14.1" customHeight="1" x14ac:dyDescent="0.3">
      <c r="A9" s="21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40</v>
      </c>
      <c r="I9" s="12">
        <f>SUM(H9)+3</f>
        <v>43</v>
      </c>
      <c r="J9" s="12">
        <f>SUM(I9)+3</f>
        <v>46</v>
      </c>
      <c r="K9" s="32"/>
      <c r="L9" s="32"/>
      <c r="M9" s="42"/>
    </row>
    <row r="10" spans="1:17" s="2" customFormat="1" ht="14.1" customHeight="1" x14ac:dyDescent="0.3">
      <c r="A10" s="21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7" s="2" customFormat="1" ht="14.1" customHeight="1" x14ac:dyDescent="0.3">
      <c r="A11" s="21">
        <v>5</v>
      </c>
      <c r="B11" s="43" t="s">
        <v>10</v>
      </c>
      <c r="C11" s="43"/>
      <c r="D11" s="47" t="s">
        <v>0</v>
      </c>
      <c r="E11" s="47"/>
      <c r="F11" s="47"/>
      <c r="G11" s="47"/>
      <c r="H11" s="39">
        <v>16.5</v>
      </c>
      <c r="I11" s="32">
        <f>SUM(H11)+1</f>
        <v>17.5</v>
      </c>
      <c r="J11" s="32">
        <f>SUM(I11)+1</f>
        <v>18.5</v>
      </c>
      <c r="K11" s="32"/>
      <c r="L11" s="32"/>
      <c r="M11" s="42"/>
    </row>
    <row r="12" spans="1:17" s="2" customFormat="1" ht="14.1" customHeight="1" thickBot="1" x14ac:dyDescent="0.35">
      <c r="A12" s="21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7" s="2" customFormat="1" ht="14.1" customHeight="1" thickTop="1" x14ac:dyDescent="0.3">
      <c r="A13" s="21">
        <v>6</v>
      </c>
      <c r="B13" s="43" t="s">
        <v>1</v>
      </c>
      <c r="C13" s="43"/>
      <c r="D13" s="47" t="s">
        <v>134</v>
      </c>
      <c r="E13" s="47"/>
      <c r="F13" s="47"/>
      <c r="G13" s="47"/>
      <c r="H13" s="39">
        <v>16.3</v>
      </c>
      <c r="I13" s="32">
        <f>SUM(H13)+0.6</f>
        <v>16.900000000000002</v>
      </c>
      <c r="J13" s="32">
        <f>SUM(I13)+0.6</f>
        <v>17.500000000000004</v>
      </c>
      <c r="K13" s="32"/>
      <c r="L13" s="32"/>
      <c r="M13" s="42"/>
      <c r="Q13" s="6" t="s">
        <v>187</v>
      </c>
    </row>
    <row r="14" spans="1:17" s="2" customFormat="1" ht="14.1" customHeight="1" x14ac:dyDescent="0.3">
      <c r="A14" s="21"/>
      <c r="B14" s="41" t="s">
        <v>15</v>
      </c>
      <c r="C14" s="41"/>
      <c r="D14" s="36" t="s">
        <v>129</v>
      </c>
      <c r="E14" s="37"/>
      <c r="F14" s="37"/>
      <c r="G14" s="38"/>
      <c r="H14" s="39"/>
      <c r="I14" s="32"/>
      <c r="J14" s="32"/>
      <c r="K14" s="32"/>
      <c r="L14" s="32"/>
      <c r="M14" s="42"/>
      <c r="Q14" s="7">
        <f>SUM(H31+H31+I31+I31+J31+J31)</f>
        <v>45.600000000000009</v>
      </c>
    </row>
    <row r="15" spans="1:17" s="2" customFormat="1" ht="14.1" customHeight="1" thickBot="1" x14ac:dyDescent="0.35">
      <c r="A15" s="21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7.7</v>
      </c>
      <c r="I15" s="32">
        <f>SUM(H15)+0.3</f>
        <v>8</v>
      </c>
      <c r="J15" s="32">
        <f>SUM(I15)+0.3</f>
        <v>8.3000000000000007</v>
      </c>
      <c r="K15" s="32"/>
      <c r="L15" s="32"/>
      <c r="M15" s="42"/>
      <c r="Q15" s="8">
        <f>SUM(Q14/91.44/3*1.08)</f>
        <v>0.17952755905511816</v>
      </c>
    </row>
    <row r="16" spans="1:17" s="2" customFormat="1" ht="14.1" customHeight="1" thickTop="1" x14ac:dyDescent="0.3">
      <c r="A16" s="21"/>
      <c r="B16" s="41" t="s">
        <v>16</v>
      </c>
      <c r="C16" s="41"/>
      <c r="D16" s="36" t="s">
        <v>188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4.1" customHeight="1" x14ac:dyDescent="0.3">
      <c r="A17" s="21">
        <v>8</v>
      </c>
      <c r="B17" s="43" t="s">
        <v>3</v>
      </c>
      <c r="C17" s="43"/>
      <c r="D17" s="47" t="s">
        <v>189</v>
      </c>
      <c r="E17" s="47"/>
      <c r="F17" s="47"/>
      <c r="G17" s="47"/>
      <c r="H17" s="39">
        <v>13.2</v>
      </c>
      <c r="I17" s="32">
        <f>SUM(H17)+0.4</f>
        <v>13.6</v>
      </c>
      <c r="J17" s="32">
        <f>SUM(I17)+0.4</f>
        <v>14</v>
      </c>
      <c r="K17" s="32"/>
      <c r="L17" s="32"/>
      <c r="M17" s="42"/>
    </row>
    <row r="18" spans="1:13" s="2" customFormat="1" ht="14.1" customHeight="1" x14ac:dyDescent="0.3">
      <c r="A18" s="21"/>
      <c r="B18" s="41" t="s">
        <v>16</v>
      </c>
      <c r="C18" s="41"/>
      <c r="D18" s="36" t="s">
        <v>190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4.1" customHeight="1" x14ac:dyDescent="0.3">
      <c r="A19" s="21">
        <v>9</v>
      </c>
      <c r="B19" s="23" t="s">
        <v>56</v>
      </c>
      <c r="C19" s="24"/>
      <c r="D19" s="44" t="s">
        <v>58</v>
      </c>
      <c r="E19" s="45"/>
      <c r="F19" s="45"/>
      <c r="G19" s="46"/>
      <c r="H19" s="39"/>
      <c r="I19" s="32"/>
      <c r="J19" s="32"/>
      <c r="K19" s="32"/>
      <c r="L19" s="32"/>
      <c r="M19" s="42"/>
    </row>
    <row r="20" spans="1:13" s="2" customFormat="1" ht="14.1" customHeight="1" x14ac:dyDescent="0.3">
      <c r="A20" s="21"/>
      <c r="B20" s="41" t="s">
        <v>57</v>
      </c>
      <c r="C20" s="41"/>
      <c r="D20" s="36" t="s">
        <v>127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4.1" customHeight="1" x14ac:dyDescent="0.3">
      <c r="A21" s="21">
        <v>10</v>
      </c>
      <c r="B21" s="43" t="s">
        <v>5</v>
      </c>
      <c r="C21" s="43"/>
      <c r="D21" s="47" t="s">
        <v>6</v>
      </c>
      <c r="E21" s="47"/>
      <c r="F21" s="47"/>
      <c r="G21" s="47"/>
      <c r="H21" s="39">
        <v>53.5</v>
      </c>
      <c r="I21" s="32">
        <f>SUM(H21)+2.7</f>
        <v>56.2</v>
      </c>
      <c r="J21" s="32">
        <f>SUM(I21)+2.7</f>
        <v>58.900000000000006</v>
      </c>
      <c r="K21" s="32"/>
      <c r="L21" s="32"/>
      <c r="M21" s="42"/>
    </row>
    <row r="22" spans="1:13" s="2" customFormat="1" ht="14.1" customHeight="1" x14ac:dyDescent="0.3">
      <c r="A22" s="21"/>
      <c r="B22" s="41" t="s">
        <v>17</v>
      </c>
      <c r="C22" s="41"/>
      <c r="D22" s="36" t="s">
        <v>29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4.1" customHeight="1" x14ac:dyDescent="0.3">
      <c r="A23" s="21">
        <v>11</v>
      </c>
      <c r="B23" s="43" t="s">
        <v>7</v>
      </c>
      <c r="C23" s="43"/>
      <c r="D23" s="44" t="s">
        <v>8</v>
      </c>
      <c r="E23" s="45"/>
      <c r="F23" s="45"/>
      <c r="G23" s="46"/>
      <c r="H23" s="39">
        <v>30</v>
      </c>
      <c r="I23" s="32">
        <f>SUM(H23)+1.8</f>
        <v>31.8</v>
      </c>
      <c r="J23" s="32">
        <f>SUM(I23)+1.8</f>
        <v>33.6</v>
      </c>
      <c r="K23" s="32"/>
      <c r="L23" s="32"/>
      <c r="M23" s="42"/>
    </row>
    <row r="24" spans="1:13" s="2" customFormat="1" ht="14.1" customHeight="1" x14ac:dyDescent="0.3">
      <c r="A24" s="21"/>
      <c r="B24" s="41" t="s">
        <v>18</v>
      </c>
      <c r="C24" s="41"/>
      <c r="D24" s="36" t="s">
        <v>36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s="2" customFormat="1" ht="14.1" customHeight="1" x14ac:dyDescent="0.3">
      <c r="A25" s="21">
        <v>12</v>
      </c>
      <c r="B25" s="23" t="s">
        <v>59</v>
      </c>
      <c r="C25" s="24"/>
      <c r="D25" s="47" t="s">
        <v>37</v>
      </c>
      <c r="E25" s="47"/>
      <c r="F25" s="47"/>
      <c r="G25" s="47"/>
      <c r="H25" s="39">
        <v>20</v>
      </c>
      <c r="I25" s="32">
        <f>SUM(H25)+1</f>
        <v>21</v>
      </c>
      <c r="J25" s="32">
        <f>SUM(I25)+1</f>
        <v>22</v>
      </c>
      <c r="K25" s="32"/>
      <c r="L25" s="32"/>
      <c r="M25" s="42"/>
    </row>
    <row r="26" spans="1:13" s="2" customFormat="1" ht="14.1" customHeight="1" x14ac:dyDescent="0.3">
      <c r="A26" s="21"/>
      <c r="B26" s="41" t="s">
        <v>19</v>
      </c>
      <c r="C26" s="41"/>
      <c r="D26" s="36" t="s">
        <v>38</v>
      </c>
      <c r="E26" s="37"/>
      <c r="F26" s="37"/>
      <c r="G26" s="38"/>
      <c r="H26" s="39"/>
      <c r="I26" s="32"/>
      <c r="J26" s="32"/>
      <c r="K26" s="32"/>
      <c r="L26" s="32"/>
      <c r="M26" s="42"/>
    </row>
    <row r="27" spans="1:13" s="2" customFormat="1" ht="14.1" customHeight="1" x14ac:dyDescent="0.3">
      <c r="A27" s="21">
        <v>13</v>
      </c>
      <c r="B27" s="23" t="s">
        <v>133</v>
      </c>
      <c r="C27" s="24"/>
      <c r="D27" s="25"/>
      <c r="E27" s="26"/>
      <c r="F27" s="26"/>
      <c r="G27" s="27"/>
      <c r="H27" s="39">
        <v>7.5</v>
      </c>
      <c r="I27" s="32">
        <f>SUM(H27)+0.6</f>
        <v>8.1</v>
      </c>
      <c r="J27" s="32">
        <f>SUM(I27)+0.6</f>
        <v>8.6999999999999993</v>
      </c>
      <c r="K27" s="12"/>
      <c r="L27" s="12"/>
      <c r="M27" s="14"/>
    </row>
    <row r="28" spans="1:13" s="2" customFormat="1" ht="14.1" customHeight="1" x14ac:dyDescent="0.3">
      <c r="A28" s="21"/>
      <c r="B28" s="54" t="s">
        <v>132</v>
      </c>
      <c r="C28" s="55"/>
      <c r="D28" s="56" t="s">
        <v>191</v>
      </c>
      <c r="E28" s="57"/>
      <c r="F28" s="57"/>
      <c r="G28" s="58"/>
      <c r="H28" s="40"/>
      <c r="I28" s="12"/>
      <c r="J28" s="12"/>
      <c r="K28" s="74"/>
      <c r="L28" s="74"/>
      <c r="M28" s="75"/>
    </row>
    <row r="29" spans="1:13" s="2" customFormat="1" ht="14.1" customHeight="1" x14ac:dyDescent="0.3">
      <c r="A29" s="21">
        <v>14</v>
      </c>
      <c r="B29" s="23" t="s">
        <v>192</v>
      </c>
      <c r="C29" s="24"/>
      <c r="D29" s="47"/>
      <c r="E29" s="47"/>
      <c r="F29" s="47"/>
      <c r="G29" s="47"/>
      <c r="H29" s="39">
        <v>13</v>
      </c>
      <c r="I29" s="32">
        <f>SUM(H29)+0.7</f>
        <v>13.7</v>
      </c>
      <c r="J29" s="32">
        <f>SUM(I29)+0.7</f>
        <v>14.399999999999999</v>
      </c>
      <c r="K29" s="32"/>
      <c r="L29" s="32"/>
      <c r="M29" s="143"/>
    </row>
    <row r="30" spans="1:13" s="2" customFormat="1" ht="14.1" customHeight="1" x14ac:dyDescent="0.3">
      <c r="A30" s="21"/>
      <c r="B30" s="54" t="s">
        <v>193</v>
      </c>
      <c r="C30" s="55"/>
      <c r="D30" s="36" t="s">
        <v>194</v>
      </c>
      <c r="E30" s="37"/>
      <c r="F30" s="37"/>
      <c r="G30" s="37"/>
      <c r="H30" s="40"/>
      <c r="I30" s="12"/>
      <c r="J30" s="12"/>
      <c r="K30" s="32"/>
      <c r="L30" s="32"/>
      <c r="M30" s="143"/>
    </row>
    <row r="31" spans="1:13" ht="14.1" customHeight="1" x14ac:dyDescent="0.3">
      <c r="A31" s="21">
        <v>15</v>
      </c>
      <c r="B31" s="23" t="s">
        <v>195</v>
      </c>
      <c r="C31" s="24"/>
      <c r="D31" s="44"/>
      <c r="E31" s="45"/>
      <c r="F31" s="45"/>
      <c r="G31" s="46"/>
      <c r="H31" s="39">
        <v>7</v>
      </c>
      <c r="I31" s="32">
        <f>SUM(H31)+0.6</f>
        <v>7.6</v>
      </c>
      <c r="J31" s="32">
        <f>SUM(I31)+0.6</f>
        <v>8.1999999999999993</v>
      </c>
      <c r="K31" s="12"/>
      <c r="L31" s="12"/>
      <c r="M31" s="146"/>
    </row>
    <row r="32" spans="1:13" ht="14.1" customHeight="1" x14ac:dyDescent="0.3">
      <c r="A32" s="21"/>
      <c r="B32" s="85" t="s">
        <v>196</v>
      </c>
      <c r="C32" s="86"/>
      <c r="D32" s="87" t="s">
        <v>197</v>
      </c>
      <c r="E32" s="88"/>
      <c r="F32" s="88"/>
      <c r="G32" s="89"/>
      <c r="H32" s="39"/>
      <c r="I32" s="32"/>
      <c r="J32" s="32"/>
      <c r="K32" s="30"/>
      <c r="L32" s="30"/>
      <c r="M32" s="147"/>
    </row>
    <row r="33" spans="1:13" ht="14.1" customHeight="1" x14ac:dyDescent="0.3">
      <c r="A33" s="21">
        <v>16</v>
      </c>
      <c r="B33" s="54"/>
      <c r="C33" s="55"/>
      <c r="D33" s="81"/>
      <c r="E33" s="82"/>
      <c r="F33" s="82"/>
      <c r="G33" s="83"/>
      <c r="H33" s="28"/>
      <c r="I33" s="30"/>
      <c r="J33" s="30"/>
      <c r="K33" s="74"/>
      <c r="L33" s="74"/>
      <c r="M33" s="144"/>
    </row>
    <row r="34" spans="1:13" ht="14.1" customHeight="1" x14ac:dyDescent="0.3">
      <c r="A34" s="21"/>
      <c r="B34" s="34"/>
      <c r="C34" s="35"/>
      <c r="D34" s="36"/>
      <c r="E34" s="37"/>
      <c r="F34" s="37"/>
      <c r="G34" s="38"/>
      <c r="H34" s="39"/>
      <c r="I34" s="32"/>
      <c r="J34" s="32"/>
      <c r="K34" s="30"/>
      <c r="L34" s="30"/>
      <c r="M34" s="147"/>
    </row>
    <row r="35" spans="1:13" s="2" customFormat="1" ht="14.1" customHeight="1" x14ac:dyDescent="0.3">
      <c r="A35" s="64">
        <v>17</v>
      </c>
      <c r="B35" s="54"/>
      <c r="C35" s="55"/>
      <c r="D35" s="81"/>
      <c r="E35" s="82"/>
      <c r="F35" s="82"/>
      <c r="G35" s="83"/>
      <c r="H35" s="28"/>
      <c r="I35" s="113"/>
      <c r="J35" s="30"/>
      <c r="K35" s="74"/>
      <c r="L35" s="74"/>
      <c r="M35" s="144"/>
    </row>
    <row r="36" spans="1:13" s="2" customFormat="1" ht="14.1" customHeight="1" thickBot="1" x14ac:dyDescent="0.35">
      <c r="A36" s="22"/>
      <c r="B36" s="16"/>
      <c r="C36" s="17"/>
      <c r="D36" s="18"/>
      <c r="E36" s="19"/>
      <c r="F36" s="19"/>
      <c r="G36" s="20"/>
      <c r="H36" s="29"/>
      <c r="I36" s="65"/>
      <c r="J36" s="31"/>
      <c r="K36" s="13"/>
      <c r="L36" s="13"/>
      <c r="M36" s="145"/>
    </row>
    <row r="37" spans="1:13" s="2" customFormat="1" ht="14.1" customHeight="1" x14ac:dyDescent="0.3"/>
    <row r="38" spans="1:13" s="2" customFormat="1" ht="14.1" customHeight="1" x14ac:dyDescent="0.3"/>
    <row r="39" spans="1:13" s="2" customFormat="1" ht="14.1" customHeight="1" x14ac:dyDescent="0.3"/>
    <row r="40" spans="1:13" s="2" customFormat="1" ht="14.1" customHeight="1" x14ac:dyDescent="0.3"/>
    <row r="41" spans="1:13" s="2" customFormat="1" ht="14.1" customHeight="1" x14ac:dyDescent="0.3"/>
    <row r="42" spans="1:13" s="2" customFormat="1" ht="14.1" customHeight="1" x14ac:dyDescent="0.3"/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/>
    <row r="46" spans="1:13" s="2" customFormat="1" ht="14.1" customHeight="1" x14ac:dyDescent="0.3"/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4" spans="2:7" ht="14.1" customHeight="1" x14ac:dyDescent="0.3"/>
    <row r="55" spans="2:7" ht="14.1" customHeight="1" x14ac:dyDescent="0.3">
      <c r="B55" s="1"/>
      <c r="C55" s="1"/>
      <c r="D55" s="1"/>
      <c r="E55" s="1"/>
      <c r="F55" s="1"/>
      <c r="G55" s="1"/>
    </row>
    <row r="56" spans="2:7" ht="14.1" customHeight="1" x14ac:dyDescent="0.3">
      <c r="B56" s="1"/>
      <c r="C56" s="1"/>
      <c r="D56" s="1"/>
      <c r="E56" s="1"/>
      <c r="F56" s="1"/>
      <c r="G56" s="1"/>
    </row>
    <row r="57" spans="2:7" ht="14.1" customHeight="1" x14ac:dyDescent="0.3">
      <c r="B57" s="1"/>
      <c r="C57" s="1"/>
      <c r="D57" s="1"/>
      <c r="E57" s="1"/>
      <c r="F57" s="1"/>
      <c r="G57" s="1"/>
    </row>
    <row r="58" spans="2:7" ht="14.1" customHeight="1" x14ac:dyDescent="0.3">
      <c r="B58" s="1"/>
      <c r="C58" s="1"/>
      <c r="D58" s="1"/>
      <c r="E58" s="1"/>
      <c r="F58" s="1"/>
      <c r="G58" s="1"/>
    </row>
    <row r="59" spans="2:7" ht="14.1" customHeight="1" x14ac:dyDescent="0.3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ageMargins left="0.46875" right="0.46875" top="0.75" bottom="0.75" header="0.3" footer="0.3"/>
  <pageSetup paperSize="9"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4666-BB74-4A23-8B15-45C0F0BDECF8}">
  <sheetPr>
    <tabColor theme="7"/>
  </sheetPr>
  <dimension ref="A1:M59"/>
  <sheetViews>
    <sheetView zoomScale="110" zoomScaleNormal="110" zoomScalePageLayoutView="110" workbookViewId="0">
      <selection activeCell="P17" sqref="P1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49" t="s">
        <v>294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59">
        <v>49</v>
      </c>
      <c r="I3" s="60">
        <f>SUM(H3)+3</f>
        <v>52</v>
      </c>
      <c r="J3" s="60">
        <f>SUM(I3)+3</f>
        <v>55</v>
      </c>
      <c r="K3" s="61"/>
      <c r="L3" s="61"/>
      <c r="M3" s="62"/>
    </row>
    <row r="4" spans="1:13" s="2" customFormat="1" ht="14.1" customHeight="1" x14ac:dyDescent="0.3">
      <c r="A4" s="21"/>
      <c r="B4" s="41" t="s">
        <v>62</v>
      </c>
      <c r="C4" s="41"/>
      <c r="D4" s="36" t="s">
        <v>61</v>
      </c>
      <c r="E4" s="37"/>
      <c r="F4" s="37"/>
      <c r="G4" s="37"/>
      <c r="H4" s="39"/>
      <c r="I4" s="32"/>
      <c r="J4" s="32"/>
      <c r="K4" s="30"/>
      <c r="L4" s="30"/>
      <c r="M4" s="33"/>
    </row>
    <row r="5" spans="1:13" s="2" customFormat="1" ht="14.1" customHeight="1" x14ac:dyDescent="0.3">
      <c r="A5" s="21">
        <v>2</v>
      </c>
      <c r="B5" s="72" t="s">
        <v>151</v>
      </c>
      <c r="C5" s="73"/>
      <c r="D5" s="56" t="s">
        <v>152</v>
      </c>
      <c r="E5" s="57"/>
      <c r="F5" s="57"/>
      <c r="G5" s="58"/>
      <c r="H5" s="40">
        <v>71.3</v>
      </c>
      <c r="I5" s="12">
        <f>SUM(H5)+4</f>
        <v>75.3</v>
      </c>
      <c r="J5" s="12">
        <f>SUM(I5)+4</f>
        <v>79.3</v>
      </c>
      <c r="K5" s="32"/>
      <c r="L5" s="32"/>
      <c r="M5" s="42"/>
    </row>
    <row r="6" spans="1:13" s="2" customFormat="1" ht="14.1" customHeight="1" x14ac:dyDescent="0.3">
      <c r="A6" s="21"/>
      <c r="B6" s="34" t="s">
        <v>153</v>
      </c>
      <c r="C6" s="35"/>
      <c r="D6" s="36" t="s">
        <v>154</v>
      </c>
      <c r="E6" s="37"/>
      <c r="F6" s="37"/>
      <c r="G6" s="38"/>
      <c r="H6" s="28"/>
      <c r="I6" s="30"/>
      <c r="J6" s="30"/>
      <c r="K6" s="32"/>
      <c r="L6" s="32"/>
      <c r="M6" s="42"/>
    </row>
    <row r="7" spans="1:13" s="2" customFormat="1" ht="14.1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40</v>
      </c>
      <c r="I7" s="12">
        <f>SUM(H7)+3</f>
        <v>43</v>
      </c>
      <c r="J7" s="12">
        <f>SUM(I7)+3</f>
        <v>46</v>
      </c>
      <c r="K7" s="32"/>
      <c r="L7" s="32"/>
      <c r="M7" s="42"/>
    </row>
    <row r="8" spans="1:13" s="2" customFormat="1" ht="14.1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32"/>
      <c r="M8" s="42"/>
    </row>
    <row r="9" spans="1:13" s="2" customFormat="1" ht="14.1" customHeight="1" x14ac:dyDescent="0.3">
      <c r="A9" s="21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39.6</v>
      </c>
      <c r="I9" s="12">
        <f>SUM(H9)+3</f>
        <v>42.6</v>
      </c>
      <c r="J9" s="12">
        <f>SUM(I9)+3</f>
        <v>45.6</v>
      </c>
      <c r="K9" s="32"/>
      <c r="L9" s="32"/>
      <c r="M9" s="42"/>
    </row>
    <row r="10" spans="1:13" s="2" customFormat="1" ht="14.1" customHeight="1" x14ac:dyDescent="0.3">
      <c r="A10" s="21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3" s="2" customFormat="1" ht="14.1" customHeight="1" x14ac:dyDescent="0.3">
      <c r="A11" s="21">
        <v>5</v>
      </c>
      <c r="B11" s="43" t="s">
        <v>10</v>
      </c>
      <c r="C11" s="43"/>
      <c r="D11" s="47" t="s">
        <v>0</v>
      </c>
      <c r="E11" s="47"/>
      <c r="F11" s="47"/>
      <c r="G11" s="47"/>
      <c r="H11" s="39"/>
      <c r="I11" s="32"/>
      <c r="J11" s="32"/>
      <c r="K11" s="32"/>
      <c r="L11" s="32"/>
      <c r="M11" s="42"/>
    </row>
    <row r="12" spans="1:13" s="2" customFormat="1" ht="14.1" customHeight="1" x14ac:dyDescent="0.3">
      <c r="A12" s="21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3" s="2" customFormat="1" ht="14.1" customHeight="1" x14ac:dyDescent="0.3">
      <c r="A13" s="21">
        <v>6</v>
      </c>
      <c r="B13" s="43" t="s">
        <v>1</v>
      </c>
      <c r="C13" s="43"/>
      <c r="D13" s="47" t="s">
        <v>134</v>
      </c>
      <c r="E13" s="47"/>
      <c r="F13" s="47"/>
      <c r="G13" s="47"/>
      <c r="H13" s="39">
        <v>17.7</v>
      </c>
      <c r="I13" s="32">
        <f>SUM(H13)+0.6</f>
        <v>18.3</v>
      </c>
      <c r="J13" s="32">
        <f>SUM(I13)+0.6</f>
        <v>18.900000000000002</v>
      </c>
      <c r="K13" s="32"/>
      <c r="L13" s="32"/>
      <c r="M13" s="42"/>
    </row>
    <row r="14" spans="1:13" s="2" customFormat="1" ht="14.1" customHeight="1" x14ac:dyDescent="0.3">
      <c r="A14" s="21"/>
      <c r="B14" s="41" t="s">
        <v>15</v>
      </c>
      <c r="C14" s="41"/>
      <c r="D14" s="36" t="s">
        <v>259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3" s="2" customFormat="1" ht="14.1" customHeight="1" x14ac:dyDescent="0.3">
      <c r="A15" s="21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8</v>
      </c>
      <c r="I15" s="32">
        <f>SUM(H15)+0.3</f>
        <v>8.3000000000000007</v>
      </c>
      <c r="J15" s="32">
        <f>SUM(I15)+0.3</f>
        <v>8.6000000000000014</v>
      </c>
      <c r="K15" s="32"/>
      <c r="L15" s="32"/>
      <c r="M15" s="42"/>
    </row>
    <row r="16" spans="1:13" s="2" customFormat="1" ht="14.1" customHeight="1" x14ac:dyDescent="0.3">
      <c r="A16" s="21"/>
      <c r="B16" s="41" t="s">
        <v>16</v>
      </c>
      <c r="C16" s="41"/>
      <c r="D16" s="36" t="s">
        <v>90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4.1" customHeight="1" x14ac:dyDescent="0.3">
      <c r="A17" s="21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45.2</v>
      </c>
      <c r="I17" s="32">
        <f>SUM(H17)+1.6</f>
        <v>46.800000000000004</v>
      </c>
      <c r="J17" s="32">
        <f>SUM(I17)+1.6</f>
        <v>48.400000000000006</v>
      </c>
      <c r="K17" s="32"/>
      <c r="L17" s="32"/>
      <c r="M17" s="42"/>
    </row>
    <row r="18" spans="1:13" s="2" customFormat="1" ht="14.1" customHeight="1" x14ac:dyDescent="0.3">
      <c r="A18" s="21"/>
      <c r="B18" s="41" t="s">
        <v>57</v>
      </c>
      <c r="C18" s="41"/>
      <c r="D18" s="36" t="s">
        <v>314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4.1" customHeight="1" x14ac:dyDescent="0.3">
      <c r="A19" s="21">
        <v>9</v>
      </c>
      <c r="B19" s="43" t="s">
        <v>5</v>
      </c>
      <c r="C19" s="43"/>
      <c r="D19" s="47" t="s">
        <v>6</v>
      </c>
      <c r="E19" s="47"/>
      <c r="F19" s="47"/>
      <c r="G19" s="47"/>
      <c r="H19" s="39"/>
      <c r="I19" s="32"/>
      <c r="J19" s="32"/>
      <c r="K19" s="32"/>
      <c r="L19" s="32"/>
      <c r="M19" s="42"/>
    </row>
    <row r="20" spans="1:13" s="2" customFormat="1" ht="14.1" customHeight="1" x14ac:dyDescent="0.3">
      <c r="A20" s="21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4.1" customHeight="1" x14ac:dyDescent="0.3">
      <c r="A21" s="21">
        <v>10</v>
      </c>
      <c r="B21" s="43" t="s">
        <v>7</v>
      </c>
      <c r="C21" s="43"/>
      <c r="D21" s="44" t="s">
        <v>8</v>
      </c>
      <c r="E21" s="45"/>
      <c r="F21" s="45"/>
      <c r="G21" s="46"/>
      <c r="H21" s="39">
        <v>30</v>
      </c>
      <c r="I21" s="32">
        <f>SUM(H21)+1.5</f>
        <v>31.5</v>
      </c>
      <c r="J21" s="32">
        <f>SUM(I21)+1.5</f>
        <v>33</v>
      </c>
      <c r="K21" s="32"/>
      <c r="L21" s="32"/>
      <c r="M21" s="42"/>
    </row>
    <row r="22" spans="1:13" s="2" customFormat="1" ht="14.1" customHeight="1" x14ac:dyDescent="0.3">
      <c r="A22" s="21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4.1" customHeight="1" x14ac:dyDescent="0.3">
      <c r="A23" s="21">
        <v>11</v>
      </c>
      <c r="B23" s="23" t="s">
        <v>59</v>
      </c>
      <c r="C23" s="24"/>
      <c r="D23" s="47" t="s">
        <v>37</v>
      </c>
      <c r="E23" s="47"/>
      <c r="F23" s="47"/>
      <c r="G23" s="47"/>
      <c r="H23" s="39">
        <v>20</v>
      </c>
      <c r="I23" s="32">
        <f>SUM(H23)+1</f>
        <v>21</v>
      </c>
      <c r="J23" s="32">
        <f>SUM(I23)+1</f>
        <v>22</v>
      </c>
      <c r="K23" s="32"/>
      <c r="L23" s="32"/>
      <c r="M23" s="42"/>
    </row>
    <row r="24" spans="1:13" s="2" customFormat="1" ht="14.1" customHeight="1" x14ac:dyDescent="0.3">
      <c r="A24" s="21"/>
      <c r="B24" s="41" t="s">
        <v>19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s="2" customFormat="1" ht="14.1" customHeight="1" x14ac:dyDescent="0.3">
      <c r="A25" s="21">
        <v>12</v>
      </c>
      <c r="B25" s="23" t="s">
        <v>133</v>
      </c>
      <c r="C25" s="24"/>
      <c r="D25" s="25"/>
      <c r="E25" s="26"/>
      <c r="F25" s="26"/>
      <c r="G25" s="27"/>
      <c r="H25" s="39">
        <v>4</v>
      </c>
      <c r="I25" s="32">
        <f>SUM(H25)+0.4</f>
        <v>4.4000000000000004</v>
      </c>
      <c r="J25" s="32">
        <f>SUM(I25)+0.4</f>
        <v>4.8000000000000007</v>
      </c>
      <c r="K25" s="12"/>
      <c r="L25" s="12"/>
      <c r="M25" s="14"/>
    </row>
    <row r="26" spans="1:13" s="2" customFormat="1" ht="14.1" customHeight="1" x14ac:dyDescent="0.3">
      <c r="A26" s="21"/>
      <c r="B26" s="54" t="s">
        <v>132</v>
      </c>
      <c r="C26" s="55"/>
      <c r="D26" s="56" t="s">
        <v>295</v>
      </c>
      <c r="E26" s="57"/>
      <c r="F26" s="57"/>
      <c r="G26" s="58"/>
      <c r="H26" s="40"/>
      <c r="I26" s="12"/>
      <c r="J26" s="12"/>
      <c r="K26" s="74"/>
      <c r="L26" s="74"/>
      <c r="M26" s="75"/>
    </row>
    <row r="27" spans="1:13" s="2" customFormat="1" ht="14.1" customHeight="1" x14ac:dyDescent="0.3">
      <c r="A27" s="21">
        <v>13</v>
      </c>
      <c r="B27" s="23" t="s">
        <v>192</v>
      </c>
      <c r="C27" s="24"/>
      <c r="D27" s="47"/>
      <c r="E27" s="47"/>
      <c r="F27" s="47"/>
      <c r="G27" s="47"/>
      <c r="H27" s="39">
        <v>3</v>
      </c>
      <c r="I27" s="32">
        <f>SUM(H27)+0.3</f>
        <v>3.3</v>
      </c>
      <c r="J27" s="32">
        <f>SUM(I27)+0.3</f>
        <v>3.5999999999999996</v>
      </c>
      <c r="K27" s="32"/>
      <c r="L27" s="32"/>
      <c r="M27" s="143"/>
    </row>
    <row r="28" spans="1:13" s="2" customFormat="1" ht="14.1" customHeight="1" x14ac:dyDescent="0.3">
      <c r="A28" s="21"/>
      <c r="B28" s="54" t="s">
        <v>193</v>
      </c>
      <c r="C28" s="55"/>
      <c r="D28" s="36" t="s">
        <v>296</v>
      </c>
      <c r="E28" s="37"/>
      <c r="F28" s="37"/>
      <c r="G28" s="37"/>
      <c r="H28" s="40"/>
      <c r="I28" s="12"/>
      <c r="J28" s="12"/>
      <c r="K28" s="32"/>
      <c r="L28" s="32"/>
      <c r="M28" s="143"/>
    </row>
    <row r="29" spans="1:13" s="2" customFormat="1" ht="14.1" customHeight="1" x14ac:dyDescent="0.3">
      <c r="A29" s="21">
        <v>14</v>
      </c>
      <c r="B29" s="23" t="s">
        <v>97</v>
      </c>
      <c r="C29" s="24"/>
      <c r="D29" s="25"/>
      <c r="E29" s="26"/>
      <c r="F29" s="26"/>
      <c r="G29" s="27"/>
      <c r="H29" s="39">
        <v>10.5</v>
      </c>
      <c r="I29" s="32">
        <v>11</v>
      </c>
      <c r="J29" s="32">
        <v>11.5</v>
      </c>
      <c r="K29" s="12"/>
      <c r="L29" s="12"/>
      <c r="M29" s="146"/>
    </row>
    <row r="30" spans="1:13" s="2" customFormat="1" ht="14.1" customHeight="1" x14ac:dyDescent="0.3">
      <c r="A30" s="21"/>
      <c r="B30" s="34" t="s">
        <v>96</v>
      </c>
      <c r="C30" s="35"/>
      <c r="D30" s="36" t="s">
        <v>162</v>
      </c>
      <c r="E30" s="37"/>
      <c r="F30" s="37"/>
      <c r="G30" s="38"/>
      <c r="H30" s="39"/>
      <c r="I30" s="32"/>
      <c r="J30" s="32"/>
      <c r="K30" s="30"/>
      <c r="L30" s="30"/>
      <c r="M30" s="147"/>
    </row>
    <row r="31" spans="1:13" ht="14.1" customHeight="1" x14ac:dyDescent="0.3">
      <c r="A31" s="21">
        <v>15</v>
      </c>
      <c r="B31" s="54"/>
      <c r="C31" s="55"/>
      <c r="D31" s="81"/>
      <c r="E31" s="82"/>
      <c r="F31" s="82"/>
      <c r="G31" s="83"/>
      <c r="H31" s="28"/>
      <c r="I31" s="30"/>
      <c r="J31" s="30"/>
      <c r="K31" s="74"/>
      <c r="L31" s="74"/>
      <c r="M31" s="144"/>
    </row>
    <row r="32" spans="1:13" ht="14.1" customHeight="1" x14ac:dyDescent="0.3">
      <c r="A32" s="21"/>
      <c r="B32" s="34"/>
      <c r="C32" s="35"/>
      <c r="D32" s="36"/>
      <c r="E32" s="37"/>
      <c r="F32" s="37"/>
      <c r="G32" s="38"/>
      <c r="H32" s="39"/>
      <c r="I32" s="32"/>
      <c r="J32" s="32"/>
      <c r="K32" s="30"/>
      <c r="L32" s="30"/>
      <c r="M32" s="147"/>
    </row>
    <row r="33" spans="1:13" ht="14.1" customHeight="1" x14ac:dyDescent="0.3">
      <c r="A33" s="64">
        <v>16</v>
      </c>
      <c r="B33" s="54"/>
      <c r="C33" s="55"/>
      <c r="D33" s="81"/>
      <c r="E33" s="82"/>
      <c r="F33" s="82"/>
      <c r="G33" s="83"/>
      <c r="H33" s="28"/>
      <c r="I33" s="113"/>
      <c r="J33" s="30"/>
      <c r="K33" s="74"/>
      <c r="L33" s="74"/>
      <c r="M33" s="144"/>
    </row>
    <row r="34" spans="1:13" ht="14.1" customHeight="1" thickBot="1" x14ac:dyDescent="0.35">
      <c r="A34" s="22"/>
      <c r="B34" s="16"/>
      <c r="C34" s="17"/>
      <c r="D34" s="18"/>
      <c r="E34" s="19"/>
      <c r="F34" s="19"/>
      <c r="G34" s="20"/>
      <c r="H34" s="29"/>
      <c r="I34" s="65"/>
      <c r="J34" s="31"/>
      <c r="K34" s="13"/>
      <c r="L34" s="13"/>
      <c r="M34" s="145"/>
    </row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s="2" customFormat="1" ht="14.1" customHeight="1" x14ac:dyDescent="0.3"/>
    <row r="40" spans="1:13" s="2" customFormat="1" ht="14.1" customHeight="1" x14ac:dyDescent="0.3"/>
    <row r="41" spans="1:13" s="2" customFormat="1" ht="14.1" customHeight="1" x14ac:dyDescent="0.3"/>
    <row r="42" spans="1:13" s="2" customFormat="1" ht="14.1" customHeight="1" x14ac:dyDescent="0.3"/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2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>
      <c r="B53" s="1"/>
      <c r="C53" s="1"/>
      <c r="D53" s="1"/>
      <c r="E53" s="1"/>
      <c r="F53" s="1"/>
      <c r="G53" s="1"/>
    </row>
    <row r="54" spans="2:7" ht="14.1" customHeight="1" x14ac:dyDescent="0.3">
      <c r="B54" s="1"/>
      <c r="C54" s="1"/>
      <c r="D54" s="1"/>
      <c r="E54" s="1"/>
      <c r="F54" s="1"/>
      <c r="G54" s="1"/>
    </row>
    <row r="55" spans="2:7" ht="14.1" customHeight="1" x14ac:dyDescent="0.3">
      <c r="B55" s="1"/>
      <c r="C55" s="1"/>
      <c r="D55" s="1"/>
      <c r="E55" s="1"/>
      <c r="F55" s="1"/>
      <c r="G55" s="1"/>
    </row>
    <row r="56" spans="2:7" ht="14.1" customHeight="1" x14ac:dyDescent="0.3">
      <c r="B56" s="1"/>
      <c r="C56" s="1"/>
      <c r="D56" s="1"/>
      <c r="E56" s="1"/>
      <c r="F56" s="1"/>
      <c r="G56" s="1"/>
    </row>
    <row r="57" spans="2:7" ht="14.1" customHeight="1" x14ac:dyDescent="0.3"/>
    <row r="58" spans="2:7" ht="14.1" customHeight="1" x14ac:dyDescent="0.3"/>
    <row r="59" spans="2:7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ageMargins left="0.46875" right="0.46875" top="0.75" bottom="0.75" header="0.3" footer="0.3"/>
  <pageSetup paperSize="9" scale="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83BC-8E4F-4E41-ACCC-874CC188D99B}">
  <sheetPr>
    <tabColor theme="7"/>
  </sheetPr>
  <dimension ref="A1:M59"/>
  <sheetViews>
    <sheetView zoomScale="110" zoomScaleNormal="110" zoomScalePageLayoutView="110" workbookViewId="0">
      <selection activeCell="J21" sqref="J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49" t="s">
        <v>256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59">
        <v>52</v>
      </c>
      <c r="I3" s="60">
        <f>SUM(H3)+3</f>
        <v>55</v>
      </c>
      <c r="J3" s="60">
        <f>SUM(I3)+3</f>
        <v>58</v>
      </c>
      <c r="K3" s="61"/>
      <c r="L3" s="61"/>
      <c r="M3" s="62"/>
    </row>
    <row r="4" spans="1:13" s="2" customFormat="1" ht="14.1" customHeight="1" x14ac:dyDescent="0.3">
      <c r="A4" s="21"/>
      <c r="B4" s="41" t="s">
        <v>62</v>
      </c>
      <c r="C4" s="41"/>
      <c r="D4" s="36" t="s">
        <v>61</v>
      </c>
      <c r="E4" s="37"/>
      <c r="F4" s="37"/>
      <c r="G4" s="37"/>
      <c r="H4" s="39"/>
      <c r="I4" s="32"/>
      <c r="J4" s="32"/>
      <c r="K4" s="30"/>
      <c r="L4" s="30"/>
      <c r="M4" s="33"/>
    </row>
    <row r="5" spans="1:13" s="2" customFormat="1" ht="14.1" customHeight="1" x14ac:dyDescent="0.3">
      <c r="A5" s="21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41</v>
      </c>
      <c r="I5" s="12">
        <f>SUM(H5)+2.8</f>
        <v>43.8</v>
      </c>
      <c r="J5" s="12">
        <f>SUM(I5)+2.8</f>
        <v>46.599999999999994</v>
      </c>
      <c r="K5" s="32"/>
      <c r="L5" s="32"/>
      <c r="M5" s="42"/>
    </row>
    <row r="6" spans="1:13" s="2" customFormat="1" ht="14.1" customHeight="1" x14ac:dyDescent="0.3">
      <c r="A6" s="21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2"/>
      <c r="L6" s="32"/>
      <c r="M6" s="42"/>
    </row>
    <row r="7" spans="1:13" s="2" customFormat="1" ht="14.1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44</v>
      </c>
      <c r="I7" s="12">
        <f>SUM(H7)+3</f>
        <v>47</v>
      </c>
      <c r="J7" s="12">
        <f>SUM(I7)+3</f>
        <v>50</v>
      </c>
      <c r="K7" s="32"/>
      <c r="L7" s="32"/>
      <c r="M7" s="42"/>
    </row>
    <row r="8" spans="1:13" s="2" customFormat="1" ht="14.1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32"/>
      <c r="M8" s="42"/>
    </row>
    <row r="9" spans="1:13" s="2" customFormat="1" ht="14.1" customHeight="1" x14ac:dyDescent="0.3">
      <c r="A9" s="21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43</v>
      </c>
      <c r="I9" s="12">
        <f>SUM(H9)+3</f>
        <v>46</v>
      </c>
      <c r="J9" s="12">
        <f>SUM(I9)+3</f>
        <v>49</v>
      </c>
      <c r="K9" s="32"/>
      <c r="L9" s="32"/>
      <c r="M9" s="42"/>
    </row>
    <row r="10" spans="1:13" s="2" customFormat="1" ht="14.1" customHeight="1" x14ac:dyDescent="0.3">
      <c r="A10" s="21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3" s="2" customFormat="1" ht="14.1" customHeight="1" x14ac:dyDescent="0.3">
      <c r="A11" s="21">
        <v>5</v>
      </c>
      <c r="B11" s="43" t="s">
        <v>10</v>
      </c>
      <c r="C11" s="43"/>
      <c r="D11" s="47" t="s">
        <v>0</v>
      </c>
      <c r="E11" s="47"/>
      <c r="F11" s="47"/>
      <c r="G11" s="47"/>
      <c r="H11" s="39">
        <v>19.3</v>
      </c>
      <c r="I11" s="32">
        <f>SUM(H11)+1</f>
        <v>20.3</v>
      </c>
      <c r="J11" s="32">
        <f>SUM(I11)+1</f>
        <v>21.3</v>
      </c>
      <c r="K11" s="32"/>
      <c r="L11" s="32"/>
      <c r="M11" s="42"/>
    </row>
    <row r="12" spans="1:13" s="2" customFormat="1" ht="14.1" customHeight="1" x14ac:dyDescent="0.3">
      <c r="A12" s="21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3" s="2" customFormat="1" ht="14.1" customHeight="1" x14ac:dyDescent="0.3">
      <c r="A13" s="21">
        <v>6</v>
      </c>
      <c r="B13" s="43" t="s">
        <v>1</v>
      </c>
      <c r="C13" s="43"/>
      <c r="D13" s="47" t="s">
        <v>134</v>
      </c>
      <c r="E13" s="47"/>
      <c r="F13" s="47"/>
      <c r="G13" s="47"/>
      <c r="H13" s="39">
        <v>17</v>
      </c>
      <c r="I13" s="32">
        <f>SUM(H13)+0.6</f>
        <v>17.600000000000001</v>
      </c>
      <c r="J13" s="32">
        <f>SUM(I13)+0.6</f>
        <v>18.200000000000003</v>
      </c>
      <c r="K13" s="32"/>
      <c r="L13" s="32"/>
      <c r="M13" s="42"/>
    </row>
    <row r="14" spans="1:13" s="2" customFormat="1" ht="14.1" customHeight="1" x14ac:dyDescent="0.3">
      <c r="A14" s="21"/>
      <c r="B14" s="41" t="s">
        <v>15</v>
      </c>
      <c r="C14" s="41"/>
      <c r="D14" s="36" t="s">
        <v>129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3" s="2" customFormat="1" ht="14.1" customHeight="1" x14ac:dyDescent="0.3">
      <c r="A15" s="21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8</v>
      </c>
      <c r="I15" s="32">
        <f>SUM(H15)+0.3</f>
        <v>8.3000000000000007</v>
      </c>
      <c r="J15" s="32">
        <f>SUM(I15)+0.3</f>
        <v>8.6000000000000014</v>
      </c>
      <c r="K15" s="32"/>
      <c r="L15" s="32"/>
      <c r="M15" s="42"/>
    </row>
    <row r="16" spans="1:13" s="2" customFormat="1" ht="14.1" customHeight="1" x14ac:dyDescent="0.3">
      <c r="A16" s="21"/>
      <c r="B16" s="41" t="s">
        <v>16</v>
      </c>
      <c r="C16" s="41"/>
      <c r="D16" s="36" t="s">
        <v>128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4.1" customHeight="1" x14ac:dyDescent="0.3">
      <c r="A17" s="21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45</v>
      </c>
      <c r="I17" s="32">
        <f>SUM(H17)+1.6</f>
        <v>46.6</v>
      </c>
      <c r="J17" s="32">
        <f>SUM(I17)+1.6</f>
        <v>48.2</v>
      </c>
      <c r="K17" s="32"/>
      <c r="L17" s="32"/>
      <c r="M17" s="42"/>
    </row>
    <row r="18" spans="1:13" s="2" customFormat="1" ht="14.1" customHeight="1" x14ac:dyDescent="0.3">
      <c r="A18" s="21"/>
      <c r="B18" s="41" t="s">
        <v>57</v>
      </c>
      <c r="C18" s="41"/>
      <c r="D18" s="36" t="s">
        <v>127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4.1" customHeight="1" x14ac:dyDescent="0.3">
      <c r="A19" s="21">
        <v>9</v>
      </c>
      <c r="B19" s="43" t="s">
        <v>5</v>
      </c>
      <c r="C19" s="43"/>
      <c r="D19" s="47" t="s">
        <v>6</v>
      </c>
      <c r="E19" s="47"/>
      <c r="F19" s="47"/>
      <c r="G19" s="47"/>
      <c r="H19" s="39">
        <v>50.6</v>
      </c>
      <c r="I19" s="32">
        <f>SUM(H19)+2.6</f>
        <v>53.2</v>
      </c>
      <c r="J19" s="32">
        <f>SUM(I19)+2.6</f>
        <v>55.800000000000004</v>
      </c>
      <c r="K19" s="32"/>
      <c r="L19" s="32"/>
      <c r="M19" s="42"/>
    </row>
    <row r="20" spans="1:13" s="2" customFormat="1" ht="14.1" customHeight="1" x14ac:dyDescent="0.3">
      <c r="A20" s="21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4.1" customHeight="1" x14ac:dyDescent="0.3">
      <c r="A21" s="21">
        <v>10</v>
      </c>
      <c r="B21" s="43" t="s">
        <v>7</v>
      </c>
      <c r="C21" s="43"/>
      <c r="D21" s="44" t="s">
        <v>8</v>
      </c>
      <c r="E21" s="45"/>
      <c r="F21" s="45"/>
      <c r="G21" s="46"/>
      <c r="H21" s="39">
        <v>34.5</v>
      </c>
      <c r="I21" s="32">
        <f>SUM(H21)+1.8</f>
        <v>36.299999999999997</v>
      </c>
      <c r="J21" s="32">
        <f>SUM(I21)+1.8</f>
        <v>38.099999999999994</v>
      </c>
      <c r="K21" s="32"/>
      <c r="L21" s="32"/>
      <c r="M21" s="42"/>
    </row>
    <row r="22" spans="1:13" s="2" customFormat="1" ht="14.1" customHeight="1" x14ac:dyDescent="0.3">
      <c r="A22" s="21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4.1" customHeight="1" x14ac:dyDescent="0.3">
      <c r="A23" s="21">
        <v>11</v>
      </c>
      <c r="B23" s="23" t="s">
        <v>59</v>
      </c>
      <c r="C23" s="24"/>
      <c r="D23" s="47" t="s">
        <v>37</v>
      </c>
      <c r="E23" s="47"/>
      <c r="F23" s="47"/>
      <c r="G23" s="47"/>
      <c r="H23" s="39">
        <v>17</v>
      </c>
      <c r="I23" s="32">
        <f>SUM(H23)+0.8</f>
        <v>17.8</v>
      </c>
      <c r="J23" s="32">
        <f>SUM(I23)+0.8</f>
        <v>18.600000000000001</v>
      </c>
      <c r="K23" s="32"/>
      <c r="L23" s="32"/>
      <c r="M23" s="42"/>
    </row>
    <row r="24" spans="1:13" s="2" customFormat="1" ht="14.1" customHeight="1" x14ac:dyDescent="0.3">
      <c r="A24" s="21"/>
      <c r="B24" s="41" t="s">
        <v>19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s="2" customFormat="1" ht="14.1" customHeight="1" x14ac:dyDescent="0.3">
      <c r="A25" s="21">
        <v>12</v>
      </c>
      <c r="B25" s="23" t="s">
        <v>133</v>
      </c>
      <c r="C25" s="24"/>
      <c r="D25" s="25"/>
      <c r="E25" s="26"/>
      <c r="F25" s="26"/>
      <c r="G25" s="27"/>
      <c r="H25" s="39">
        <v>13.9</v>
      </c>
      <c r="I25" s="32">
        <f>SUM(H25)+0.7</f>
        <v>14.6</v>
      </c>
      <c r="J25" s="32">
        <f>SUM(I25)+0.7</f>
        <v>15.299999999999999</v>
      </c>
      <c r="K25" s="12"/>
      <c r="L25" s="12"/>
      <c r="M25" s="14"/>
    </row>
    <row r="26" spans="1:13" s="2" customFormat="1" ht="14.1" customHeight="1" x14ac:dyDescent="0.3">
      <c r="A26" s="21"/>
      <c r="B26" s="54" t="s">
        <v>132</v>
      </c>
      <c r="C26" s="55"/>
      <c r="D26" s="56" t="s">
        <v>257</v>
      </c>
      <c r="E26" s="57"/>
      <c r="F26" s="57"/>
      <c r="G26" s="58"/>
      <c r="H26" s="40"/>
      <c r="I26" s="12"/>
      <c r="J26" s="12"/>
      <c r="K26" s="74"/>
      <c r="L26" s="74"/>
      <c r="M26" s="75"/>
    </row>
    <row r="27" spans="1:13" s="2" customFormat="1" ht="14.1" customHeight="1" x14ac:dyDescent="0.3">
      <c r="A27" s="21">
        <v>13</v>
      </c>
      <c r="B27" s="23" t="s">
        <v>192</v>
      </c>
      <c r="C27" s="24"/>
      <c r="D27" s="47"/>
      <c r="E27" s="47"/>
      <c r="F27" s="47"/>
      <c r="G27" s="47"/>
      <c r="H27" s="39">
        <v>4.7</v>
      </c>
      <c r="I27" s="32">
        <f>SUM(H27)+0.5</f>
        <v>5.2</v>
      </c>
      <c r="J27" s="32">
        <f>SUM(I27)+0.5</f>
        <v>5.7</v>
      </c>
      <c r="K27" s="32"/>
      <c r="L27" s="32"/>
      <c r="M27" s="143"/>
    </row>
    <row r="28" spans="1:13" s="2" customFormat="1" ht="14.1" customHeight="1" x14ac:dyDescent="0.3">
      <c r="A28" s="21"/>
      <c r="B28" s="54" t="s">
        <v>193</v>
      </c>
      <c r="C28" s="55"/>
      <c r="D28" s="36" t="s">
        <v>191</v>
      </c>
      <c r="E28" s="37"/>
      <c r="F28" s="37"/>
      <c r="G28" s="37"/>
      <c r="H28" s="40"/>
      <c r="I28" s="12"/>
      <c r="J28" s="12"/>
      <c r="K28" s="32"/>
      <c r="L28" s="32"/>
      <c r="M28" s="143"/>
    </row>
    <row r="29" spans="1:13" s="2" customFormat="1" ht="14.1" customHeight="1" x14ac:dyDescent="0.3">
      <c r="A29" s="21">
        <v>14</v>
      </c>
      <c r="B29" s="23"/>
      <c r="C29" s="24"/>
      <c r="D29" s="44"/>
      <c r="E29" s="45"/>
      <c r="F29" s="45"/>
      <c r="G29" s="46"/>
      <c r="H29" s="39"/>
      <c r="I29" s="32"/>
      <c r="J29" s="32"/>
      <c r="K29" s="12"/>
      <c r="L29" s="12"/>
      <c r="M29" s="146"/>
    </row>
    <row r="30" spans="1:13" s="2" customFormat="1" ht="14.1" customHeight="1" x14ac:dyDescent="0.3">
      <c r="A30" s="21"/>
      <c r="B30" s="85"/>
      <c r="C30" s="86"/>
      <c r="D30" s="87"/>
      <c r="E30" s="88"/>
      <c r="F30" s="88"/>
      <c r="G30" s="89"/>
      <c r="H30" s="39"/>
      <c r="I30" s="32"/>
      <c r="J30" s="32"/>
      <c r="K30" s="30"/>
      <c r="L30" s="30"/>
      <c r="M30" s="147"/>
    </row>
    <row r="31" spans="1:13" ht="14.1" customHeight="1" x14ac:dyDescent="0.3">
      <c r="A31" s="21">
        <v>15</v>
      </c>
      <c r="B31" s="54"/>
      <c r="C31" s="55"/>
      <c r="D31" s="81"/>
      <c r="E31" s="82"/>
      <c r="F31" s="82"/>
      <c r="G31" s="83"/>
      <c r="H31" s="28"/>
      <c r="I31" s="30"/>
      <c r="J31" s="30"/>
      <c r="K31" s="74"/>
      <c r="L31" s="74"/>
      <c r="M31" s="144"/>
    </row>
    <row r="32" spans="1:13" ht="14.1" customHeight="1" x14ac:dyDescent="0.3">
      <c r="A32" s="21"/>
      <c r="B32" s="34"/>
      <c r="C32" s="35"/>
      <c r="D32" s="36"/>
      <c r="E32" s="37"/>
      <c r="F32" s="37"/>
      <c r="G32" s="38"/>
      <c r="H32" s="39"/>
      <c r="I32" s="32"/>
      <c r="J32" s="32"/>
      <c r="K32" s="30"/>
      <c r="L32" s="30"/>
      <c r="M32" s="147"/>
    </row>
    <row r="33" spans="1:13" ht="14.1" customHeight="1" x14ac:dyDescent="0.3">
      <c r="A33" s="64">
        <v>16</v>
      </c>
      <c r="B33" s="54"/>
      <c r="C33" s="55"/>
      <c r="D33" s="81"/>
      <c r="E33" s="82"/>
      <c r="F33" s="82"/>
      <c r="G33" s="83"/>
      <c r="H33" s="28"/>
      <c r="I33" s="113"/>
      <c r="J33" s="30"/>
      <c r="K33" s="74"/>
      <c r="L33" s="74"/>
      <c r="M33" s="144"/>
    </row>
    <row r="34" spans="1:13" ht="14.1" customHeight="1" thickBot="1" x14ac:dyDescent="0.35">
      <c r="A34" s="22"/>
      <c r="B34" s="16"/>
      <c r="C34" s="17"/>
      <c r="D34" s="18"/>
      <c r="E34" s="19"/>
      <c r="F34" s="19"/>
      <c r="G34" s="20"/>
      <c r="H34" s="29"/>
      <c r="I34" s="65"/>
      <c r="J34" s="31"/>
      <c r="K34" s="13"/>
      <c r="L34" s="13"/>
      <c r="M34" s="145"/>
    </row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s="2" customFormat="1" ht="14.1" customHeight="1" x14ac:dyDescent="0.3"/>
    <row r="40" spans="1:13" s="2" customFormat="1" ht="14.1" customHeight="1" x14ac:dyDescent="0.3"/>
    <row r="41" spans="1:13" s="2" customFormat="1" ht="14.1" customHeight="1" x14ac:dyDescent="0.3"/>
    <row r="42" spans="1:13" s="2" customFormat="1" ht="14.1" customHeight="1" x14ac:dyDescent="0.3"/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2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>
      <c r="B53" s="1"/>
      <c r="C53" s="1"/>
      <c r="D53" s="1"/>
      <c r="E53" s="1"/>
      <c r="F53" s="1"/>
      <c r="G53" s="1"/>
    </row>
    <row r="54" spans="2:7" ht="14.1" customHeight="1" x14ac:dyDescent="0.3">
      <c r="B54" s="1"/>
      <c r="C54" s="1"/>
      <c r="D54" s="1"/>
      <c r="E54" s="1"/>
      <c r="F54" s="1"/>
      <c r="G54" s="1"/>
    </row>
    <row r="55" spans="2:7" ht="14.1" customHeight="1" x14ac:dyDescent="0.3">
      <c r="B55" s="1"/>
      <c r="C55" s="1"/>
      <c r="D55" s="1"/>
      <c r="E55" s="1"/>
      <c r="F55" s="1"/>
      <c r="G55" s="1"/>
    </row>
    <row r="56" spans="2:7" ht="14.1" customHeight="1" x14ac:dyDescent="0.3">
      <c r="B56" s="1"/>
      <c r="C56" s="1"/>
      <c r="D56" s="1"/>
      <c r="E56" s="1"/>
      <c r="F56" s="1"/>
      <c r="G56" s="1"/>
    </row>
    <row r="57" spans="2:7" ht="14.1" customHeight="1" x14ac:dyDescent="0.3"/>
    <row r="58" spans="2:7" ht="14.1" customHeight="1" x14ac:dyDescent="0.3"/>
    <row r="59" spans="2:7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ageMargins left="0.46875" right="0.46875" top="0.75" bottom="0.75" header="0.3" footer="0.3"/>
  <pageSetup paperSize="9" scale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0935-9852-4BBE-A119-C62679F1ABBA}">
  <sheetPr>
    <tabColor theme="7"/>
    <pageSetUpPr fitToPage="1"/>
  </sheetPr>
  <dimension ref="A1:M58"/>
  <sheetViews>
    <sheetView zoomScale="110" zoomScaleNormal="110" zoomScalePageLayoutView="30" workbookViewId="0">
      <selection activeCell="J21" sqref="J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9" t="s">
        <v>258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3.5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59">
        <v>60</v>
      </c>
      <c r="I3" s="60">
        <f>SUM(H3)+3</f>
        <v>63</v>
      </c>
      <c r="J3" s="60">
        <f>SUM(I3)+3</f>
        <v>66</v>
      </c>
      <c r="K3" s="60"/>
      <c r="L3" s="61"/>
      <c r="M3" s="62"/>
    </row>
    <row r="4" spans="1:13" s="2" customFormat="1" ht="13.5" customHeight="1" x14ac:dyDescent="0.3">
      <c r="A4" s="21"/>
      <c r="B4" s="68" t="s">
        <v>62</v>
      </c>
      <c r="C4" s="68"/>
      <c r="D4" s="56" t="s">
        <v>61</v>
      </c>
      <c r="E4" s="57"/>
      <c r="F4" s="57"/>
      <c r="G4" s="57"/>
      <c r="H4" s="39"/>
      <c r="I4" s="32"/>
      <c r="J4" s="32"/>
      <c r="K4" s="12"/>
      <c r="L4" s="30"/>
      <c r="M4" s="33"/>
    </row>
    <row r="5" spans="1:13" s="2" customFormat="1" ht="13.5" customHeight="1" x14ac:dyDescent="0.3">
      <c r="A5" s="21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53</v>
      </c>
      <c r="I5" s="12">
        <f>SUM(H5)+4</f>
        <v>57</v>
      </c>
      <c r="J5" s="12">
        <f>SUM(I5)+4</f>
        <v>61</v>
      </c>
      <c r="K5" s="32"/>
      <c r="L5" s="32"/>
      <c r="M5" s="42"/>
    </row>
    <row r="6" spans="1:13" s="2" customFormat="1" ht="13.5" customHeight="1" x14ac:dyDescent="0.3">
      <c r="A6" s="21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2"/>
      <c r="L6" s="32"/>
      <c r="M6" s="42"/>
    </row>
    <row r="7" spans="1:13" s="2" customFormat="1" ht="13.5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52</v>
      </c>
      <c r="I7" s="12">
        <f>SUM(H7)+4</f>
        <v>56</v>
      </c>
      <c r="J7" s="12">
        <f>SUM(I7)+4</f>
        <v>60</v>
      </c>
      <c r="K7" s="32"/>
      <c r="L7" s="48"/>
      <c r="M7" s="42"/>
    </row>
    <row r="8" spans="1:13" s="2" customFormat="1" ht="13.5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48"/>
      <c r="M8" s="42"/>
    </row>
    <row r="9" spans="1:13" s="2" customFormat="1" ht="13.5" customHeight="1" x14ac:dyDescent="0.3">
      <c r="A9" s="21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44</v>
      </c>
      <c r="I9" s="12">
        <f>SUM(H9)+3.4</f>
        <v>47.4</v>
      </c>
      <c r="J9" s="12">
        <f>SUM(I9)+3.4</f>
        <v>50.8</v>
      </c>
      <c r="K9" s="32"/>
      <c r="L9" s="32"/>
      <c r="M9" s="42"/>
    </row>
    <row r="10" spans="1:13" s="2" customFormat="1" ht="13.5" customHeight="1" x14ac:dyDescent="0.3">
      <c r="A10" s="21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3" s="2" customFormat="1" ht="13.5" customHeight="1" x14ac:dyDescent="0.3">
      <c r="A11" s="21">
        <v>5</v>
      </c>
      <c r="B11" s="43" t="s">
        <v>10</v>
      </c>
      <c r="C11" s="43"/>
      <c r="D11" s="47" t="s">
        <v>0</v>
      </c>
      <c r="E11" s="47"/>
      <c r="F11" s="47"/>
      <c r="G11" s="47"/>
      <c r="H11" s="39">
        <v>20</v>
      </c>
      <c r="I11" s="32">
        <f>SUM(H11)+1</f>
        <v>21</v>
      </c>
      <c r="J11" s="32">
        <f>SUM(I11)+1</f>
        <v>22</v>
      </c>
      <c r="K11" s="32"/>
      <c r="L11" s="32"/>
      <c r="M11" s="42"/>
    </row>
    <row r="12" spans="1:13" s="2" customFormat="1" ht="13.5" customHeight="1" x14ac:dyDescent="0.3">
      <c r="A12" s="21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3" s="2" customFormat="1" ht="13.5" customHeight="1" x14ac:dyDescent="0.3">
      <c r="A13" s="21">
        <v>6</v>
      </c>
      <c r="B13" s="43" t="s">
        <v>1</v>
      </c>
      <c r="C13" s="43"/>
      <c r="D13" s="47" t="s">
        <v>134</v>
      </c>
      <c r="E13" s="47"/>
      <c r="F13" s="47"/>
      <c r="G13" s="47"/>
      <c r="H13" s="39">
        <v>19.8</v>
      </c>
      <c r="I13" s="32">
        <f>SUM(H13)+0.6</f>
        <v>20.400000000000002</v>
      </c>
      <c r="J13" s="32">
        <f>SUM(I13)+0.6</f>
        <v>21.000000000000004</v>
      </c>
      <c r="K13" s="32"/>
      <c r="L13" s="32"/>
      <c r="M13" s="42"/>
    </row>
    <row r="14" spans="1:13" s="2" customFormat="1" ht="13.5" customHeight="1" x14ac:dyDescent="0.3">
      <c r="A14" s="21"/>
      <c r="B14" s="41" t="s">
        <v>15</v>
      </c>
      <c r="C14" s="41"/>
      <c r="D14" s="36" t="s">
        <v>259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3" s="2" customFormat="1" ht="13.5" customHeight="1" x14ac:dyDescent="0.3">
      <c r="A15" s="21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8.4</v>
      </c>
      <c r="I15" s="32">
        <f>SUM(H15)+0.3</f>
        <v>8.7000000000000011</v>
      </c>
      <c r="J15" s="32">
        <f>SUM(I15)+0.3</f>
        <v>9.0000000000000018</v>
      </c>
      <c r="K15" s="32"/>
      <c r="L15" s="32"/>
      <c r="M15" s="42"/>
    </row>
    <row r="16" spans="1:13" s="2" customFormat="1" ht="13.5" customHeight="1" x14ac:dyDescent="0.3">
      <c r="A16" s="21"/>
      <c r="B16" s="41" t="s">
        <v>16</v>
      </c>
      <c r="C16" s="41"/>
      <c r="D16" s="36" t="s">
        <v>260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3.5" customHeight="1" x14ac:dyDescent="0.3">
      <c r="A17" s="21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50.4</v>
      </c>
      <c r="I17" s="32">
        <f>SUM(H17)+1.6</f>
        <v>52</v>
      </c>
      <c r="J17" s="32">
        <f>SUM(I17)+1.6</f>
        <v>53.6</v>
      </c>
      <c r="K17" s="32"/>
      <c r="L17" s="32"/>
      <c r="M17" s="42"/>
    </row>
    <row r="18" spans="1:13" s="2" customFormat="1" ht="13.5" customHeight="1" x14ac:dyDescent="0.3">
      <c r="A18" s="21"/>
      <c r="B18" s="41" t="s">
        <v>57</v>
      </c>
      <c r="C18" s="41"/>
      <c r="D18" s="36" t="s">
        <v>135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3.5" customHeight="1" x14ac:dyDescent="0.3">
      <c r="A19" s="21">
        <v>9</v>
      </c>
      <c r="B19" s="43" t="s">
        <v>5</v>
      </c>
      <c r="C19" s="43"/>
      <c r="D19" s="47" t="s">
        <v>6</v>
      </c>
      <c r="E19" s="47"/>
      <c r="F19" s="47"/>
      <c r="G19" s="47"/>
      <c r="H19" s="39">
        <v>45.5</v>
      </c>
      <c r="I19" s="32">
        <f>SUM(H19)+2</f>
        <v>47.5</v>
      </c>
      <c r="J19" s="32">
        <f>SUM(I19)+2</f>
        <v>49.5</v>
      </c>
      <c r="K19" s="32"/>
      <c r="L19" s="32"/>
      <c r="M19" s="42"/>
    </row>
    <row r="20" spans="1:13" s="2" customFormat="1" ht="13.5" customHeight="1" x14ac:dyDescent="0.3">
      <c r="A20" s="21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3.5" customHeight="1" x14ac:dyDescent="0.3">
      <c r="A21" s="21">
        <v>10</v>
      </c>
      <c r="B21" s="43" t="s">
        <v>7</v>
      </c>
      <c r="C21" s="43"/>
      <c r="D21" s="44" t="s">
        <v>8</v>
      </c>
      <c r="E21" s="45"/>
      <c r="F21" s="45"/>
      <c r="G21" s="46"/>
      <c r="H21" s="39">
        <v>40</v>
      </c>
      <c r="I21" s="32">
        <f>SUM(H21)+2</f>
        <v>42</v>
      </c>
      <c r="J21" s="32">
        <f>SUM(I21)+2</f>
        <v>44</v>
      </c>
      <c r="K21" s="32"/>
      <c r="L21" s="32"/>
      <c r="M21" s="42"/>
    </row>
    <row r="22" spans="1:13" s="2" customFormat="1" ht="13.5" customHeight="1" x14ac:dyDescent="0.3">
      <c r="A22" s="21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3.5" customHeight="1" x14ac:dyDescent="0.3">
      <c r="A23" s="21">
        <v>11</v>
      </c>
      <c r="B23" s="23" t="s">
        <v>59</v>
      </c>
      <c r="C23" s="24"/>
      <c r="D23" s="47" t="s">
        <v>37</v>
      </c>
      <c r="E23" s="47"/>
      <c r="F23" s="47"/>
      <c r="G23" s="47"/>
      <c r="H23" s="39">
        <v>18</v>
      </c>
      <c r="I23" s="32">
        <f>SUM(H23)+0.8</f>
        <v>18.8</v>
      </c>
      <c r="J23" s="32">
        <f>SUM(I23)+0.8</f>
        <v>19.600000000000001</v>
      </c>
      <c r="K23" s="32"/>
      <c r="L23" s="32"/>
      <c r="M23" s="42"/>
    </row>
    <row r="24" spans="1:13" s="2" customFormat="1" ht="13.5" customHeight="1" x14ac:dyDescent="0.3">
      <c r="A24" s="21"/>
      <c r="B24" s="41" t="s">
        <v>19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ht="13.5" customHeight="1" x14ac:dyDescent="0.3">
      <c r="A25" s="21">
        <v>12</v>
      </c>
      <c r="B25" s="23" t="s">
        <v>139</v>
      </c>
      <c r="C25" s="24"/>
      <c r="D25" s="47"/>
      <c r="E25" s="47"/>
      <c r="F25" s="47"/>
      <c r="G25" s="47"/>
      <c r="H25" s="40">
        <v>32.9</v>
      </c>
      <c r="I25" s="12">
        <f>SUM(H25)+2.6</f>
        <v>35.5</v>
      </c>
      <c r="J25" s="12">
        <f>SUM(I25)+2.6</f>
        <v>38.1</v>
      </c>
      <c r="K25" s="12"/>
      <c r="L25" s="12"/>
      <c r="M25" s="14"/>
    </row>
    <row r="26" spans="1:13" ht="13.5" customHeight="1" x14ac:dyDescent="0.3">
      <c r="A26" s="21"/>
      <c r="B26" s="34" t="s">
        <v>138</v>
      </c>
      <c r="C26" s="35"/>
      <c r="D26" s="36" t="s">
        <v>161</v>
      </c>
      <c r="E26" s="37"/>
      <c r="F26" s="37"/>
      <c r="G26" s="38"/>
      <c r="H26" s="28"/>
      <c r="I26" s="30"/>
      <c r="J26" s="30"/>
      <c r="K26" s="30"/>
      <c r="L26" s="30"/>
      <c r="M26" s="33"/>
    </row>
    <row r="27" spans="1:13" ht="13.5" customHeight="1" x14ac:dyDescent="0.3">
      <c r="A27" s="21">
        <v>13</v>
      </c>
      <c r="B27" s="23" t="s">
        <v>137</v>
      </c>
      <c r="C27" s="24"/>
      <c r="D27" s="47"/>
      <c r="E27" s="47"/>
      <c r="F27" s="47"/>
      <c r="G27" s="47"/>
      <c r="H27" s="40">
        <v>19.5</v>
      </c>
      <c r="I27" s="12">
        <f>SUM(H27)+1.5</f>
        <v>21</v>
      </c>
      <c r="J27" s="12">
        <f>SUM(I27)+1.5</f>
        <v>22.5</v>
      </c>
      <c r="K27" s="12"/>
      <c r="L27" s="12"/>
      <c r="M27" s="14"/>
    </row>
    <row r="28" spans="1:13" ht="13.5" customHeight="1" x14ac:dyDescent="0.3">
      <c r="A28" s="21"/>
      <c r="B28" s="41" t="s">
        <v>136</v>
      </c>
      <c r="C28" s="41"/>
      <c r="D28" s="36"/>
      <c r="E28" s="37"/>
      <c r="F28" s="37"/>
      <c r="G28" s="38"/>
      <c r="H28" s="28"/>
      <c r="I28" s="30"/>
      <c r="J28" s="30"/>
      <c r="K28" s="30"/>
      <c r="L28" s="30"/>
      <c r="M28" s="33"/>
    </row>
    <row r="29" spans="1:13" s="2" customFormat="1" ht="13.5" customHeight="1" x14ac:dyDescent="0.3">
      <c r="A29" s="21">
        <v>14</v>
      </c>
      <c r="B29" s="43" t="s">
        <v>147</v>
      </c>
      <c r="C29" s="43"/>
      <c r="D29" s="44" t="s">
        <v>146</v>
      </c>
      <c r="E29" s="45"/>
      <c r="F29" s="45"/>
      <c r="G29" s="46"/>
      <c r="H29" s="40">
        <v>39</v>
      </c>
      <c r="I29" s="12">
        <f>SUM(H29)+1</f>
        <v>40</v>
      </c>
      <c r="J29" s="12">
        <f>SUM(I29)+1</f>
        <v>41</v>
      </c>
      <c r="K29" s="12"/>
      <c r="L29" s="32"/>
      <c r="M29" s="42"/>
    </row>
    <row r="30" spans="1:13" s="2" customFormat="1" ht="13.5" customHeight="1" x14ac:dyDescent="0.3">
      <c r="A30" s="21"/>
      <c r="B30" s="41" t="s">
        <v>145</v>
      </c>
      <c r="C30" s="41"/>
      <c r="D30" s="36" t="s">
        <v>144</v>
      </c>
      <c r="E30" s="37"/>
      <c r="F30" s="37"/>
      <c r="G30" s="38"/>
      <c r="H30" s="28"/>
      <c r="I30" s="30"/>
      <c r="J30" s="30"/>
      <c r="K30" s="30"/>
      <c r="L30" s="32"/>
      <c r="M30" s="42"/>
    </row>
    <row r="31" spans="1:13" s="2" customFormat="1" ht="13.5" customHeight="1" x14ac:dyDescent="0.3">
      <c r="A31" s="21">
        <v>15</v>
      </c>
      <c r="B31" s="43" t="s">
        <v>143</v>
      </c>
      <c r="C31" s="43"/>
      <c r="D31" s="44" t="s">
        <v>142</v>
      </c>
      <c r="E31" s="45"/>
      <c r="F31" s="45"/>
      <c r="G31" s="46"/>
      <c r="H31" s="40">
        <v>27</v>
      </c>
      <c r="I31" s="12">
        <f>SUM(H31)+0.8</f>
        <v>27.8</v>
      </c>
      <c r="J31" s="12">
        <f>SUM(I31)+0.8</f>
        <v>28.6</v>
      </c>
      <c r="K31" s="12"/>
      <c r="L31" s="12"/>
      <c r="M31" s="14"/>
    </row>
    <row r="32" spans="1:13" s="2" customFormat="1" ht="13.5" customHeight="1" x14ac:dyDescent="0.3">
      <c r="A32" s="21"/>
      <c r="B32" s="41" t="s">
        <v>141</v>
      </c>
      <c r="C32" s="41"/>
      <c r="D32" s="36" t="s">
        <v>140</v>
      </c>
      <c r="E32" s="37"/>
      <c r="F32" s="37"/>
      <c r="G32" s="38"/>
      <c r="H32" s="28"/>
      <c r="I32" s="30"/>
      <c r="J32" s="30"/>
      <c r="K32" s="30"/>
      <c r="L32" s="30"/>
      <c r="M32" s="33"/>
    </row>
    <row r="33" spans="1:13" s="2" customFormat="1" ht="13.5" customHeight="1" x14ac:dyDescent="0.3">
      <c r="A33" s="21">
        <v>16</v>
      </c>
      <c r="B33" s="23" t="s">
        <v>133</v>
      </c>
      <c r="C33" s="24"/>
      <c r="D33" s="25"/>
      <c r="E33" s="26"/>
      <c r="F33" s="26"/>
      <c r="G33" s="27"/>
      <c r="H33" s="39">
        <v>9.6</v>
      </c>
      <c r="I33" s="32">
        <f>SUM(H33)+0.9</f>
        <v>10.5</v>
      </c>
      <c r="J33" s="32">
        <f>SUM(I33)+0.9</f>
        <v>11.4</v>
      </c>
      <c r="K33" s="32"/>
      <c r="L33" s="12"/>
      <c r="M33" s="14"/>
    </row>
    <row r="34" spans="1:13" s="2" customFormat="1" ht="13.5" customHeight="1" x14ac:dyDescent="0.3">
      <c r="A34" s="21"/>
      <c r="B34" s="54" t="s">
        <v>132</v>
      </c>
      <c r="C34" s="55"/>
      <c r="D34" s="56" t="s">
        <v>261</v>
      </c>
      <c r="E34" s="57"/>
      <c r="F34" s="57"/>
      <c r="G34" s="58"/>
      <c r="H34" s="39"/>
      <c r="I34" s="32"/>
      <c r="J34" s="32"/>
      <c r="K34" s="32"/>
      <c r="L34" s="30"/>
      <c r="M34" s="33"/>
    </row>
    <row r="35" spans="1:13" s="2" customFormat="1" ht="13.5" customHeight="1" x14ac:dyDescent="0.3">
      <c r="A35" s="21">
        <v>17</v>
      </c>
      <c r="B35" s="23" t="s">
        <v>192</v>
      </c>
      <c r="C35" s="24"/>
      <c r="D35" s="47"/>
      <c r="E35" s="47"/>
      <c r="F35" s="47"/>
      <c r="G35" s="47"/>
      <c r="H35" s="28">
        <v>14.4</v>
      </c>
      <c r="I35" s="32">
        <f>SUM(H35)+0.7</f>
        <v>15.1</v>
      </c>
      <c r="J35" s="32">
        <f>SUM(I35)+0.7</f>
        <v>15.799999999999999</v>
      </c>
      <c r="K35" s="32"/>
      <c r="L35" s="12"/>
      <c r="M35" s="14"/>
    </row>
    <row r="36" spans="1:13" s="2" customFormat="1" ht="13.5" customHeight="1" thickBot="1" x14ac:dyDescent="0.35">
      <c r="A36" s="22"/>
      <c r="B36" s="16" t="s">
        <v>193</v>
      </c>
      <c r="C36" s="17"/>
      <c r="D36" s="18" t="s">
        <v>257</v>
      </c>
      <c r="E36" s="19"/>
      <c r="F36" s="19"/>
      <c r="G36" s="19"/>
      <c r="H36" s="29"/>
      <c r="I36" s="31"/>
      <c r="J36" s="31"/>
      <c r="K36" s="31"/>
      <c r="L36" s="13"/>
      <c r="M36" s="15"/>
    </row>
    <row r="37" spans="1:13" s="2" customFormat="1" ht="13.5" customHeight="1" x14ac:dyDescent="0.3"/>
    <row r="38" spans="1:13" s="2" customFormat="1" ht="13.5" customHeight="1" x14ac:dyDescent="0.3"/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/>
    <row r="48" spans="1:13" ht="14.1" customHeight="1" x14ac:dyDescent="0.3"/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72FA-2FB8-479A-8D6D-FA1C14912A27}">
  <sheetPr>
    <tabColor theme="7"/>
  </sheetPr>
  <dimension ref="A1:P59"/>
  <sheetViews>
    <sheetView zoomScale="110" zoomScaleNormal="110" zoomScalePageLayoutView="110" workbookViewId="0">
      <selection activeCell="J21" sqref="J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49" t="s">
        <v>236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6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6" s="2" customFormat="1" ht="14.1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59">
        <v>55</v>
      </c>
      <c r="I3" s="60">
        <f>SUM(H3)+3</f>
        <v>58</v>
      </c>
      <c r="J3" s="60">
        <f>SUM(I3)+3</f>
        <v>61</v>
      </c>
      <c r="K3" s="61"/>
      <c r="L3" s="61"/>
      <c r="M3" s="62"/>
    </row>
    <row r="4" spans="1:16" s="2" customFormat="1" ht="14.1" customHeight="1" x14ac:dyDescent="0.3">
      <c r="A4" s="21"/>
      <c r="B4" s="41" t="s">
        <v>62</v>
      </c>
      <c r="C4" s="41"/>
      <c r="D4" s="36" t="s">
        <v>61</v>
      </c>
      <c r="E4" s="37"/>
      <c r="F4" s="37"/>
      <c r="G4" s="37"/>
      <c r="H4" s="39"/>
      <c r="I4" s="32"/>
      <c r="J4" s="32"/>
      <c r="K4" s="30"/>
      <c r="L4" s="30"/>
      <c r="M4" s="33"/>
    </row>
    <row r="5" spans="1:16" s="2" customFormat="1" ht="14.1" customHeight="1" x14ac:dyDescent="0.3">
      <c r="A5" s="21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57</v>
      </c>
      <c r="I5" s="12">
        <f>SUM(H5)+4</f>
        <v>61</v>
      </c>
      <c r="J5" s="12">
        <f>SUM(I5)+4</f>
        <v>65</v>
      </c>
      <c r="K5" s="32"/>
      <c r="L5" s="32"/>
      <c r="M5" s="42"/>
    </row>
    <row r="6" spans="1:16" s="2" customFormat="1" ht="14.1" customHeight="1" x14ac:dyDescent="0.3">
      <c r="A6" s="21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2"/>
      <c r="L6" s="32"/>
      <c r="M6" s="42"/>
    </row>
    <row r="7" spans="1:16" s="2" customFormat="1" ht="14.1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55</v>
      </c>
      <c r="I7" s="12">
        <f>SUM(H7)+4</f>
        <v>59</v>
      </c>
      <c r="J7" s="12">
        <f>SUM(I7)+4</f>
        <v>63</v>
      </c>
      <c r="K7" s="32"/>
      <c r="L7" s="32"/>
      <c r="M7" s="42"/>
    </row>
    <row r="8" spans="1:16" s="2" customFormat="1" ht="14.1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32"/>
      <c r="M8" s="42"/>
    </row>
    <row r="9" spans="1:16" s="2" customFormat="1" ht="14.1" customHeight="1" x14ac:dyDescent="0.3">
      <c r="A9" s="21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42</v>
      </c>
      <c r="I9" s="12">
        <f>SUM(H9)+3</f>
        <v>45</v>
      </c>
      <c r="J9" s="12">
        <f>SUM(I9)+3</f>
        <v>48</v>
      </c>
      <c r="K9" s="32"/>
      <c r="L9" s="32"/>
      <c r="M9" s="42"/>
      <c r="P9" s="2" t="s">
        <v>185</v>
      </c>
    </row>
    <row r="10" spans="1:16" s="2" customFormat="1" ht="14.1" customHeight="1" x14ac:dyDescent="0.3">
      <c r="A10" s="21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6" s="2" customFormat="1" ht="14.1" customHeight="1" x14ac:dyDescent="0.3">
      <c r="A11" s="21">
        <v>5</v>
      </c>
      <c r="B11" s="43" t="s">
        <v>10</v>
      </c>
      <c r="C11" s="43"/>
      <c r="D11" s="47" t="s">
        <v>0</v>
      </c>
      <c r="E11" s="47"/>
      <c r="F11" s="47"/>
      <c r="G11" s="47"/>
      <c r="H11" s="39">
        <v>20.7</v>
      </c>
      <c r="I11" s="32">
        <f>SUM(H11)+1</f>
        <v>21.7</v>
      </c>
      <c r="J11" s="32">
        <f>SUM(I11)+1</f>
        <v>22.7</v>
      </c>
      <c r="K11" s="32"/>
      <c r="L11" s="32"/>
      <c r="M11" s="42"/>
    </row>
    <row r="12" spans="1:16" s="2" customFormat="1" ht="14.1" customHeight="1" x14ac:dyDescent="0.3">
      <c r="A12" s="21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6" s="2" customFormat="1" ht="14.1" customHeight="1" x14ac:dyDescent="0.3">
      <c r="A13" s="21">
        <v>6</v>
      </c>
      <c r="B13" s="43" t="s">
        <v>1</v>
      </c>
      <c r="C13" s="43"/>
      <c r="D13" s="47" t="s">
        <v>134</v>
      </c>
      <c r="E13" s="47"/>
      <c r="F13" s="47"/>
      <c r="G13" s="47"/>
      <c r="H13" s="39">
        <v>19</v>
      </c>
      <c r="I13" s="32">
        <f>SUM(H13)+0.6</f>
        <v>19.600000000000001</v>
      </c>
      <c r="J13" s="32">
        <f>SUM(I13)+0.6</f>
        <v>20.200000000000003</v>
      </c>
      <c r="K13" s="32"/>
      <c r="L13" s="32"/>
      <c r="M13" s="42"/>
    </row>
    <row r="14" spans="1:16" s="2" customFormat="1" ht="14.1" customHeight="1" x14ac:dyDescent="0.3">
      <c r="A14" s="21"/>
      <c r="B14" s="41" t="s">
        <v>15</v>
      </c>
      <c r="C14" s="41"/>
      <c r="D14" s="36" t="s">
        <v>129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6" s="2" customFormat="1" ht="14.1" customHeight="1" x14ac:dyDescent="0.3">
      <c r="A15" s="21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9.3000000000000007</v>
      </c>
      <c r="I15" s="32">
        <f>SUM(H15)+0.3</f>
        <v>9.6000000000000014</v>
      </c>
      <c r="J15" s="32">
        <f>SUM(I15)+0.3</f>
        <v>9.9000000000000021</v>
      </c>
      <c r="K15" s="32"/>
      <c r="L15" s="32"/>
      <c r="M15" s="42"/>
    </row>
    <row r="16" spans="1:16" s="2" customFormat="1" ht="14.1" customHeight="1" x14ac:dyDescent="0.3">
      <c r="A16" s="21"/>
      <c r="B16" s="41" t="s">
        <v>16</v>
      </c>
      <c r="C16" s="41"/>
      <c r="D16" s="36" t="s">
        <v>128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4.1" customHeight="1" x14ac:dyDescent="0.3">
      <c r="A17" s="21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49</v>
      </c>
      <c r="I17" s="32">
        <f>SUM(H17)+1.6</f>
        <v>50.6</v>
      </c>
      <c r="J17" s="32">
        <f>SUM(I17)+1.6</f>
        <v>52.2</v>
      </c>
      <c r="K17" s="32"/>
      <c r="L17" s="32"/>
      <c r="M17" s="42"/>
    </row>
    <row r="18" spans="1:13" s="2" customFormat="1" ht="14.1" customHeight="1" x14ac:dyDescent="0.3">
      <c r="A18" s="21"/>
      <c r="B18" s="41" t="s">
        <v>57</v>
      </c>
      <c r="C18" s="41"/>
      <c r="D18" s="36" t="s">
        <v>127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4.1" customHeight="1" x14ac:dyDescent="0.3">
      <c r="A19" s="21">
        <v>9</v>
      </c>
      <c r="B19" s="43" t="s">
        <v>5</v>
      </c>
      <c r="C19" s="43"/>
      <c r="D19" s="47" t="s">
        <v>6</v>
      </c>
      <c r="E19" s="47"/>
      <c r="F19" s="47"/>
      <c r="G19" s="47"/>
      <c r="H19" s="39">
        <v>43.5</v>
      </c>
      <c r="I19" s="32">
        <f>SUM(H19)+2</f>
        <v>45.5</v>
      </c>
      <c r="J19" s="32">
        <f>SUM(I19)+2</f>
        <v>47.5</v>
      </c>
      <c r="K19" s="32"/>
      <c r="L19" s="32"/>
      <c r="M19" s="42"/>
    </row>
    <row r="20" spans="1:13" s="2" customFormat="1" ht="14.1" customHeight="1" x14ac:dyDescent="0.3">
      <c r="A20" s="21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4.1" customHeight="1" x14ac:dyDescent="0.3">
      <c r="A21" s="21">
        <v>10</v>
      </c>
      <c r="B21" s="43" t="s">
        <v>7</v>
      </c>
      <c r="C21" s="43"/>
      <c r="D21" s="44" t="s">
        <v>8</v>
      </c>
      <c r="E21" s="45"/>
      <c r="F21" s="45"/>
      <c r="G21" s="46"/>
      <c r="H21" s="39">
        <v>41.2</v>
      </c>
      <c r="I21" s="32">
        <f>SUM(H21)+2</f>
        <v>43.2</v>
      </c>
      <c r="J21" s="32">
        <f>SUM(I21)+2</f>
        <v>45.2</v>
      </c>
      <c r="K21" s="32"/>
      <c r="L21" s="32"/>
      <c r="M21" s="42"/>
    </row>
    <row r="22" spans="1:13" s="2" customFormat="1" ht="14.1" customHeight="1" x14ac:dyDescent="0.3">
      <c r="A22" s="21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4.1" customHeight="1" x14ac:dyDescent="0.3">
      <c r="A23" s="21">
        <v>11</v>
      </c>
      <c r="B23" s="23" t="s">
        <v>59</v>
      </c>
      <c r="C23" s="24"/>
      <c r="D23" s="47" t="s">
        <v>37</v>
      </c>
      <c r="E23" s="47"/>
      <c r="F23" s="47"/>
      <c r="G23" s="47"/>
      <c r="H23" s="39">
        <v>18</v>
      </c>
      <c r="I23" s="32">
        <f>SUM(H23)+0.8</f>
        <v>18.8</v>
      </c>
      <c r="J23" s="32">
        <f>SUM(I23)+0.8</f>
        <v>19.600000000000001</v>
      </c>
      <c r="K23" s="32"/>
      <c r="L23" s="32"/>
      <c r="M23" s="42"/>
    </row>
    <row r="24" spans="1:13" s="2" customFormat="1" ht="14.1" customHeight="1" x14ac:dyDescent="0.3">
      <c r="A24" s="21"/>
      <c r="B24" s="41" t="s">
        <v>19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s="2" customFormat="1" ht="14.1" customHeight="1" x14ac:dyDescent="0.3">
      <c r="A25" s="21">
        <v>12</v>
      </c>
      <c r="B25" s="23" t="s">
        <v>237</v>
      </c>
      <c r="C25" s="24"/>
      <c r="D25" s="25"/>
      <c r="E25" s="26"/>
      <c r="F25" s="26"/>
      <c r="G25" s="27"/>
      <c r="H25" s="39">
        <v>4.5999999999999996</v>
      </c>
      <c r="I25" s="32">
        <f>SUM(H25)+0.2</f>
        <v>4.8</v>
      </c>
      <c r="J25" s="32">
        <f>SUM(I25)+0.2</f>
        <v>5</v>
      </c>
      <c r="K25" s="12"/>
      <c r="L25" s="12"/>
      <c r="M25" s="14"/>
    </row>
    <row r="26" spans="1:13" s="2" customFormat="1" ht="14.1" customHeight="1" x14ac:dyDescent="0.3">
      <c r="A26" s="63"/>
      <c r="B26" s="54" t="s">
        <v>238</v>
      </c>
      <c r="C26" s="55"/>
      <c r="D26" s="56" t="s">
        <v>239</v>
      </c>
      <c r="E26" s="57"/>
      <c r="F26" s="57"/>
      <c r="G26" s="58"/>
      <c r="H26" s="40"/>
      <c r="I26" s="12"/>
      <c r="J26" s="12"/>
      <c r="K26" s="74"/>
      <c r="L26" s="74"/>
      <c r="M26" s="75"/>
    </row>
    <row r="27" spans="1:13" s="2" customFormat="1" ht="14.1" customHeight="1" x14ac:dyDescent="0.3">
      <c r="A27" s="21">
        <v>13</v>
      </c>
      <c r="B27" s="23" t="s">
        <v>182</v>
      </c>
      <c r="C27" s="24"/>
      <c r="D27" s="25"/>
      <c r="E27" s="26"/>
      <c r="F27" s="26"/>
      <c r="G27" s="27"/>
      <c r="H27" s="39">
        <v>7.8</v>
      </c>
      <c r="I27" s="32">
        <f>SUM(H27)+0.3</f>
        <v>8.1</v>
      </c>
      <c r="J27" s="32">
        <f>SUM(I27)+0.3</f>
        <v>8.4</v>
      </c>
      <c r="K27" s="32"/>
      <c r="L27" s="32"/>
      <c r="M27" s="143"/>
    </row>
    <row r="28" spans="1:13" s="2" customFormat="1" ht="14.1" customHeight="1" x14ac:dyDescent="0.3">
      <c r="A28" s="21"/>
      <c r="B28" s="54" t="s">
        <v>183</v>
      </c>
      <c r="C28" s="55"/>
      <c r="D28" s="56" t="s">
        <v>240</v>
      </c>
      <c r="E28" s="57"/>
      <c r="F28" s="57"/>
      <c r="G28" s="58"/>
      <c r="H28" s="40"/>
      <c r="I28" s="12"/>
      <c r="J28" s="12"/>
      <c r="K28" s="32"/>
      <c r="L28" s="32"/>
      <c r="M28" s="143"/>
    </row>
    <row r="29" spans="1:13" s="2" customFormat="1" ht="14.1" customHeight="1" x14ac:dyDescent="0.3">
      <c r="A29" s="21">
        <v>14</v>
      </c>
      <c r="B29" s="23" t="s">
        <v>243</v>
      </c>
      <c r="C29" s="24"/>
      <c r="D29" s="25"/>
      <c r="E29" s="26"/>
      <c r="F29" s="26"/>
      <c r="G29" s="27"/>
      <c r="H29" s="39">
        <v>21</v>
      </c>
      <c r="I29" s="32">
        <f>SUM(H29)+0.7</f>
        <v>21.7</v>
      </c>
      <c r="J29" s="32">
        <f>SUM(I29)+0.7</f>
        <v>22.4</v>
      </c>
      <c r="K29" s="32"/>
      <c r="L29" s="32"/>
      <c r="M29" s="143"/>
    </row>
    <row r="30" spans="1:13" s="2" customFormat="1" ht="14.1" customHeight="1" x14ac:dyDescent="0.3">
      <c r="A30" s="21"/>
      <c r="B30" s="54" t="s">
        <v>244</v>
      </c>
      <c r="C30" s="55"/>
      <c r="D30" s="56"/>
      <c r="E30" s="57"/>
      <c r="F30" s="57"/>
      <c r="G30" s="58"/>
      <c r="H30" s="40"/>
      <c r="I30" s="12"/>
      <c r="J30" s="12"/>
      <c r="K30" s="32"/>
      <c r="L30" s="32"/>
      <c r="M30" s="143"/>
    </row>
    <row r="31" spans="1:13" ht="14.1" customHeight="1" x14ac:dyDescent="0.3">
      <c r="A31" s="21">
        <v>15</v>
      </c>
      <c r="B31" s="23" t="s">
        <v>133</v>
      </c>
      <c r="C31" s="24"/>
      <c r="D31" s="25"/>
      <c r="E31" s="26"/>
      <c r="F31" s="26"/>
      <c r="G31" s="27"/>
      <c r="H31" s="39">
        <v>14</v>
      </c>
      <c r="I31" s="32">
        <f>SUM(H31)+0.6</f>
        <v>14.6</v>
      </c>
      <c r="J31" s="32">
        <f>SUM(I31)+0.6</f>
        <v>15.2</v>
      </c>
      <c r="K31" s="12"/>
      <c r="L31" s="12"/>
      <c r="M31" s="146"/>
    </row>
    <row r="32" spans="1:13" ht="14.1" customHeight="1" x14ac:dyDescent="0.3">
      <c r="A32" s="21"/>
      <c r="B32" s="54" t="s">
        <v>132</v>
      </c>
      <c r="C32" s="55"/>
      <c r="D32" s="56" t="s">
        <v>241</v>
      </c>
      <c r="E32" s="57"/>
      <c r="F32" s="57"/>
      <c r="G32" s="58"/>
      <c r="H32" s="40"/>
      <c r="I32" s="12"/>
      <c r="J32" s="12"/>
      <c r="K32" s="30"/>
      <c r="L32" s="30"/>
      <c r="M32" s="147"/>
    </row>
    <row r="33" spans="1:13" ht="14.1" customHeight="1" x14ac:dyDescent="0.3">
      <c r="A33" s="21">
        <v>16</v>
      </c>
      <c r="B33" s="23" t="s">
        <v>192</v>
      </c>
      <c r="C33" s="24"/>
      <c r="D33" s="25"/>
      <c r="E33" s="26"/>
      <c r="F33" s="26"/>
      <c r="G33" s="27"/>
      <c r="H33" s="39">
        <v>7</v>
      </c>
      <c r="I33" s="32">
        <f>SUM(H33)+0.8</f>
        <v>7.8</v>
      </c>
      <c r="J33" s="32">
        <f>SUM(I33)+0.8</f>
        <v>8.6</v>
      </c>
      <c r="K33" s="12"/>
      <c r="L33" s="12"/>
      <c r="M33" s="146"/>
    </row>
    <row r="34" spans="1:13" ht="14.1" customHeight="1" x14ac:dyDescent="0.3">
      <c r="A34" s="21"/>
      <c r="B34" s="34" t="s">
        <v>193</v>
      </c>
      <c r="C34" s="35"/>
      <c r="D34" s="36" t="s">
        <v>242</v>
      </c>
      <c r="E34" s="37"/>
      <c r="F34" s="37"/>
      <c r="G34" s="38"/>
      <c r="H34" s="39"/>
      <c r="I34" s="32"/>
      <c r="J34" s="32"/>
      <c r="K34" s="30"/>
      <c r="L34" s="30"/>
      <c r="M34" s="147"/>
    </row>
    <row r="35" spans="1:13" s="2" customFormat="1" ht="14.1" customHeight="1" x14ac:dyDescent="0.3">
      <c r="A35" s="64">
        <v>17</v>
      </c>
      <c r="B35" s="54"/>
      <c r="C35" s="55"/>
      <c r="D35" s="81"/>
      <c r="E35" s="82"/>
      <c r="F35" s="82"/>
      <c r="G35" s="83"/>
      <c r="H35" s="28"/>
      <c r="I35" s="113"/>
      <c r="J35" s="30"/>
      <c r="K35" s="74"/>
      <c r="L35" s="74"/>
      <c r="M35" s="144"/>
    </row>
    <row r="36" spans="1:13" s="2" customFormat="1" ht="14.1" customHeight="1" thickBot="1" x14ac:dyDescent="0.35">
      <c r="A36" s="22"/>
      <c r="B36" s="16"/>
      <c r="C36" s="17"/>
      <c r="D36" s="18"/>
      <c r="E36" s="19"/>
      <c r="F36" s="19"/>
      <c r="G36" s="20"/>
      <c r="H36" s="29"/>
      <c r="I36" s="65"/>
      <c r="J36" s="31"/>
      <c r="K36" s="13"/>
      <c r="L36" s="13"/>
      <c r="M36" s="145"/>
    </row>
    <row r="37" spans="1:13" s="2" customFormat="1" ht="14.1" customHeight="1" x14ac:dyDescent="0.3"/>
    <row r="38" spans="1:13" s="2" customFormat="1" ht="14.1" customHeight="1" x14ac:dyDescent="0.3"/>
    <row r="39" spans="1:13" s="2" customFormat="1" ht="14.1" customHeight="1" x14ac:dyDescent="0.3"/>
    <row r="40" spans="1:13" s="2" customFormat="1" ht="14.1" customHeight="1" x14ac:dyDescent="0.3"/>
    <row r="41" spans="1:13" s="2" customFormat="1" ht="14.1" customHeight="1" x14ac:dyDescent="0.3"/>
    <row r="42" spans="1:13" s="2" customFormat="1" ht="14.1" customHeight="1" x14ac:dyDescent="0.3"/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/>
    <row r="46" spans="1:13" s="2" customFormat="1" ht="14.1" customHeight="1" x14ac:dyDescent="0.3"/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4" spans="2:7" ht="14.1" customHeight="1" x14ac:dyDescent="0.3"/>
    <row r="55" spans="2:7" ht="14.1" customHeight="1" x14ac:dyDescent="0.3">
      <c r="B55" s="1"/>
      <c r="C55" s="1"/>
      <c r="D55" s="1"/>
      <c r="E55" s="1"/>
      <c r="F55" s="1"/>
      <c r="G55" s="1"/>
    </row>
    <row r="56" spans="2:7" ht="14.1" customHeight="1" x14ac:dyDescent="0.3">
      <c r="B56" s="1"/>
      <c r="C56" s="1"/>
      <c r="D56" s="1"/>
      <c r="E56" s="1"/>
      <c r="F56" s="1"/>
      <c r="G56" s="1"/>
    </row>
    <row r="57" spans="2:7" ht="14.1" customHeight="1" x14ac:dyDescent="0.3">
      <c r="B57" s="1"/>
      <c r="C57" s="1"/>
      <c r="D57" s="1"/>
      <c r="E57" s="1"/>
      <c r="F57" s="1"/>
      <c r="G57" s="1"/>
    </row>
    <row r="58" spans="2:7" ht="14.1" customHeight="1" x14ac:dyDescent="0.3">
      <c r="B58" s="1"/>
      <c r="C58" s="1"/>
      <c r="D58" s="1"/>
      <c r="E58" s="1"/>
      <c r="F58" s="1"/>
      <c r="G58" s="1"/>
    </row>
    <row r="59" spans="2:7" ht="14.1" customHeight="1" x14ac:dyDescent="0.3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9:A30"/>
    <mergeCell ref="B29:C29"/>
    <mergeCell ref="D29:G29"/>
    <mergeCell ref="H29:H30"/>
    <mergeCell ref="I29:I30"/>
    <mergeCell ref="A35:A36"/>
    <mergeCell ref="B35:C35"/>
    <mergeCell ref="D35:G35"/>
    <mergeCell ref="H35:H36"/>
    <mergeCell ref="I35:I36"/>
    <mergeCell ref="B34:C34"/>
    <mergeCell ref="D34:G34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35:K36"/>
    <mergeCell ref="L35:L36"/>
    <mergeCell ref="M35:M36"/>
    <mergeCell ref="B36:C36"/>
    <mergeCell ref="D36:G36"/>
    <mergeCell ref="J35:J36"/>
    <mergeCell ref="J33:J34"/>
    <mergeCell ref="K33:K34"/>
    <mergeCell ref="L33:L34"/>
    <mergeCell ref="M33:M34"/>
    <mergeCell ref="K31:K32"/>
    <mergeCell ref="L31:L32"/>
    <mergeCell ref="M31:M32"/>
    <mergeCell ref="J31:J32"/>
  </mergeCells>
  <phoneticPr fontId="15" type="noConversion"/>
  <pageMargins left="0.46875" right="0.46875" top="0.75" bottom="0.75" header="0.3" footer="0.3"/>
  <pageSetup paperSize="9" scale="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48E2-90E7-423F-BCAD-A15AD0DADA4E}">
  <sheetPr>
    <tabColor theme="7"/>
  </sheetPr>
  <dimension ref="A1:P68"/>
  <sheetViews>
    <sheetView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49" t="s">
        <v>262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6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6" s="2" customFormat="1" ht="14.1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59">
        <v>58.4</v>
      </c>
      <c r="I3" s="60">
        <f>SUM(H3)+3</f>
        <v>61.4</v>
      </c>
      <c r="J3" s="60">
        <f>SUM(I3)+3</f>
        <v>64.400000000000006</v>
      </c>
      <c r="K3" s="61"/>
      <c r="L3" s="61"/>
      <c r="M3" s="62"/>
    </row>
    <row r="4" spans="1:16" s="2" customFormat="1" ht="14.1" customHeight="1" x14ac:dyDescent="0.3">
      <c r="A4" s="63"/>
      <c r="B4" s="68" t="s">
        <v>62</v>
      </c>
      <c r="C4" s="68"/>
      <c r="D4" s="56" t="s">
        <v>61</v>
      </c>
      <c r="E4" s="57"/>
      <c r="F4" s="57"/>
      <c r="G4" s="57"/>
      <c r="H4" s="40"/>
      <c r="I4" s="12"/>
      <c r="J4" s="12"/>
      <c r="K4" s="74"/>
      <c r="L4" s="74"/>
      <c r="M4" s="75"/>
    </row>
    <row r="5" spans="1:16" s="2" customFormat="1" ht="14.1" customHeight="1" x14ac:dyDescent="0.3">
      <c r="A5" s="21">
        <v>2</v>
      </c>
      <c r="B5" s="43" t="s">
        <v>263</v>
      </c>
      <c r="C5" s="43"/>
      <c r="D5" s="47"/>
      <c r="E5" s="47"/>
      <c r="F5" s="47"/>
      <c r="G5" s="44"/>
      <c r="H5" s="39">
        <v>48.6</v>
      </c>
      <c r="I5" s="32">
        <f>SUM(H5)+2.7</f>
        <v>51.300000000000004</v>
      </c>
      <c r="J5" s="32">
        <f>SUM(I5)+2.7</f>
        <v>54.000000000000007</v>
      </c>
      <c r="K5" s="12"/>
      <c r="L5" s="12"/>
      <c r="M5" s="14"/>
    </row>
    <row r="6" spans="1:16" s="2" customFormat="1" ht="14.1" customHeight="1" x14ac:dyDescent="0.3">
      <c r="A6" s="21"/>
      <c r="B6" s="41" t="s">
        <v>264</v>
      </c>
      <c r="C6" s="41"/>
      <c r="D6" s="93" t="s">
        <v>265</v>
      </c>
      <c r="E6" s="94"/>
      <c r="F6" s="94"/>
      <c r="G6" s="94"/>
      <c r="H6" s="39"/>
      <c r="I6" s="32"/>
      <c r="J6" s="32"/>
      <c r="K6" s="30"/>
      <c r="L6" s="30"/>
      <c r="M6" s="33"/>
    </row>
    <row r="7" spans="1:16" s="2" customFormat="1" ht="14.1" customHeight="1" x14ac:dyDescent="0.3">
      <c r="A7" s="21">
        <v>3</v>
      </c>
      <c r="B7" s="23" t="s">
        <v>21</v>
      </c>
      <c r="C7" s="24"/>
      <c r="D7" s="44" t="s">
        <v>22</v>
      </c>
      <c r="E7" s="45"/>
      <c r="F7" s="45"/>
      <c r="G7" s="46"/>
      <c r="H7" s="40">
        <v>55.2</v>
      </c>
      <c r="I7" s="12">
        <f>SUM(H7)+4</f>
        <v>59.2</v>
      </c>
      <c r="J7" s="12">
        <f>SUM(I7)+4</f>
        <v>63.2</v>
      </c>
      <c r="K7" s="32"/>
      <c r="L7" s="32"/>
      <c r="M7" s="42"/>
    </row>
    <row r="8" spans="1:16" s="2" customFormat="1" ht="14.1" customHeight="1" x14ac:dyDescent="0.3">
      <c r="A8" s="21"/>
      <c r="B8" s="34" t="s">
        <v>12</v>
      </c>
      <c r="C8" s="35"/>
      <c r="D8" s="36" t="s">
        <v>25</v>
      </c>
      <c r="E8" s="37"/>
      <c r="F8" s="37"/>
      <c r="G8" s="38"/>
      <c r="H8" s="28"/>
      <c r="I8" s="30"/>
      <c r="J8" s="30"/>
      <c r="K8" s="32"/>
      <c r="L8" s="32"/>
      <c r="M8" s="42"/>
    </row>
    <row r="9" spans="1:16" s="2" customFormat="1" ht="14.1" customHeight="1" x14ac:dyDescent="0.3">
      <c r="A9" s="21">
        <v>4</v>
      </c>
      <c r="B9" s="43" t="s">
        <v>20</v>
      </c>
      <c r="C9" s="43"/>
      <c r="D9" s="47" t="s">
        <v>11</v>
      </c>
      <c r="E9" s="47"/>
      <c r="F9" s="47"/>
      <c r="G9" s="47"/>
      <c r="H9" s="40">
        <v>55</v>
      </c>
      <c r="I9" s="12">
        <f>SUM(H9)+4</f>
        <v>59</v>
      </c>
      <c r="J9" s="12">
        <f>SUM(I9)+4</f>
        <v>63</v>
      </c>
      <c r="K9" s="32"/>
      <c r="L9" s="32"/>
      <c r="M9" s="42"/>
      <c r="P9" s="2" t="s">
        <v>185</v>
      </c>
    </row>
    <row r="10" spans="1:16" s="2" customFormat="1" ht="14.1" customHeight="1" x14ac:dyDescent="0.3">
      <c r="A10" s="21"/>
      <c r="B10" s="41" t="s">
        <v>23</v>
      </c>
      <c r="C10" s="41"/>
      <c r="D10" s="36" t="s">
        <v>26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6" s="2" customFormat="1" ht="14.1" customHeight="1" x14ac:dyDescent="0.3">
      <c r="A11" s="21">
        <v>5</v>
      </c>
      <c r="B11" s="43" t="s">
        <v>24</v>
      </c>
      <c r="C11" s="43"/>
      <c r="D11" s="47" t="s">
        <v>9</v>
      </c>
      <c r="E11" s="47"/>
      <c r="F11" s="47"/>
      <c r="G11" s="47"/>
      <c r="H11" s="40">
        <v>55</v>
      </c>
      <c r="I11" s="12">
        <f>SUM(H11)+4</f>
        <v>59</v>
      </c>
      <c r="J11" s="12">
        <f>SUM(I11)+4</f>
        <v>63</v>
      </c>
      <c r="K11" s="32"/>
      <c r="L11" s="32"/>
      <c r="M11" s="42"/>
    </row>
    <row r="12" spans="1:16" s="2" customFormat="1" ht="14.1" customHeight="1" x14ac:dyDescent="0.3">
      <c r="A12" s="21"/>
      <c r="B12" s="41" t="s">
        <v>13</v>
      </c>
      <c r="C12" s="41"/>
      <c r="D12" s="36" t="s">
        <v>27</v>
      </c>
      <c r="E12" s="37"/>
      <c r="F12" s="37"/>
      <c r="G12" s="38"/>
      <c r="H12" s="28"/>
      <c r="I12" s="30"/>
      <c r="J12" s="30"/>
      <c r="K12" s="32"/>
      <c r="L12" s="32"/>
      <c r="M12" s="42"/>
    </row>
    <row r="13" spans="1:16" s="2" customFormat="1" ht="14.1" customHeight="1" x14ac:dyDescent="0.3">
      <c r="A13" s="21">
        <v>6</v>
      </c>
      <c r="B13" s="43" t="s">
        <v>10</v>
      </c>
      <c r="C13" s="43"/>
      <c r="D13" s="47" t="s">
        <v>0</v>
      </c>
      <c r="E13" s="47"/>
      <c r="F13" s="47"/>
      <c r="G13" s="47"/>
      <c r="H13" s="39">
        <v>21.5</v>
      </c>
      <c r="I13" s="32">
        <f>SUM(H13)+1</f>
        <v>22.5</v>
      </c>
      <c r="J13" s="32">
        <f>SUM(I13)+1</f>
        <v>23.5</v>
      </c>
      <c r="K13" s="32"/>
      <c r="L13" s="32"/>
      <c r="M13" s="42"/>
    </row>
    <row r="14" spans="1:16" s="2" customFormat="1" ht="14.1" customHeight="1" x14ac:dyDescent="0.3">
      <c r="A14" s="21"/>
      <c r="B14" s="41" t="s">
        <v>14</v>
      </c>
      <c r="C14" s="41"/>
      <c r="D14" s="36" t="s">
        <v>28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6" s="2" customFormat="1" ht="14.1" customHeight="1" x14ac:dyDescent="0.3">
      <c r="A15" s="21">
        <v>7</v>
      </c>
      <c r="B15" s="43" t="s">
        <v>1</v>
      </c>
      <c r="C15" s="43"/>
      <c r="D15" s="47" t="s">
        <v>134</v>
      </c>
      <c r="E15" s="47"/>
      <c r="F15" s="47"/>
      <c r="G15" s="47"/>
      <c r="H15" s="39">
        <v>18</v>
      </c>
      <c r="I15" s="32">
        <f>SUM(H15)+0.6</f>
        <v>18.600000000000001</v>
      </c>
      <c r="J15" s="32">
        <f>SUM(I15)+0.6</f>
        <v>19.200000000000003</v>
      </c>
      <c r="K15" s="32"/>
      <c r="L15" s="32"/>
      <c r="M15" s="42"/>
    </row>
    <row r="16" spans="1:16" s="2" customFormat="1" ht="14.1" customHeight="1" x14ac:dyDescent="0.3">
      <c r="A16" s="21"/>
      <c r="B16" s="41" t="s">
        <v>15</v>
      </c>
      <c r="C16" s="41"/>
      <c r="D16" s="36" t="s">
        <v>129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4.1" customHeight="1" x14ac:dyDescent="0.3">
      <c r="A17" s="21">
        <v>8</v>
      </c>
      <c r="B17" s="43" t="s">
        <v>3</v>
      </c>
      <c r="C17" s="43"/>
      <c r="D17" s="47" t="s">
        <v>4</v>
      </c>
      <c r="E17" s="47"/>
      <c r="F17" s="47"/>
      <c r="G17" s="47"/>
      <c r="H17" s="39">
        <v>8</v>
      </c>
      <c r="I17" s="32">
        <f>SUM(H17)+0.3</f>
        <v>8.3000000000000007</v>
      </c>
      <c r="J17" s="32">
        <f>SUM(I17)+0.3</f>
        <v>8.6000000000000014</v>
      </c>
      <c r="K17" s="32"/>
      <c r="L17" s="32"/>
      <c r="M17" s="42"/>
    </row>
    <row r="18" spans="1:13" s="2" customFormat="1" ht="14.1" customHeight="1" x14ac:dyDescent="0.3">
      <c r="A18" s="21"/>
      <c r="B18" s="41" t="s">
        <v>16</v>
      </c>
      <c r="C18" s="41"/>
      <c r="D18" s="36" t="s">
        <v>128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4.1" customHeight="1" x14ac:dyDescent="0.3">
      <c r="A19" s="21">
        <v>9</v>
      </c>
      <c r="B19" s="23" t="s">
        <v>56</v>
      </c>
      <c r="C19" s="24"/>
      <c r="D19" s="44" t="s">
        <v>58</v>
      </c>
      <c r="E19" s="45"/>
      <c r="F19" s="45"/>
      <c r="G19" s="46"/>
      <c r="H19" s="39">
        <v>47</v>
      </c>
      <c r="I19" s="32">
        <f>SUM(H19)+1.6</f>
        <v>48.6</v>
      </c>
      <c r="J19" s="32">
        <f>SUM(I19)+1.6</f>
        <v>50.2</v>
      </c>
      <c r="K19" s="32"/>
      <c r="L19" s="32"/>
      <c r="M19" s="42"/>
    </row>
    <row r="20" spans="1:13" s="2" customFormat="1" ht="14.1" customHeight="1" x14ac:dyDescent="0.3">
      <c r="A20" s="21"/>
      <c r="B20" s="41" t="s">
        <v>57</v>
      </c>
      <c r="C20" s="41"/>
      <c r="D20" s="36" t="s">
        <v>127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4.1" customHeight="1" x14ac:dyDescent="0.3">
      <c r="A21" s="21">
        <v>10</v>
      </c>
      <c r="B21" s="23" t="s">
        <v>266</v>
      </c>
      <c r="C21" s="24"/>
      <c r="D21" s="44" t="s">
        <v>65</v>
      </c>
      <c r="E21" s="45"/>
      <c r="F21" s="45"/>
      <c r="G21" s="46"/>
      <c r="H21" s="39">
        <v>81.5</v>
      </c>
      <c r="I21" s="32">
        <f>SUM(H21)+3</f>
        <v>84.5</v>
      </c>
      <c r="J21" s="32">
        <f>SUM(I21)+3</f>
        <v>87.5</v>
      </c>
      <c r="K21" s="32"/>
      <c r="L21" s="32"/>
      <c r="M21" s="42"/>
    </row>
    <row r="22" spans="1:13" s="2" customFormat="1" ht="14.1" customHeight="1" x14ac:dyDescent="0.3">
      <c r="A22" s="21"/>
      <c r="B22" s="41" t="s">
        <v>267</v>
      </c>
      <c r="C22" s="41"/>
      <c r="D22" s="36" t="s">
        <v>268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4.1" customHeight="1" x14ac:dyDescent="0.3">
      <c r="A23" s="21">
        <v>11</v>
      </c>
      <c r="B23" s="23" t="s">
        <v>269</v>
      </c>
      <c r="C23" s="24"/>
      <c r="D23" s="57" t="s">
        <v>270</v>
      </c>
      <c r="E23" s="57"/>
      <c r="F23" s="57"/>
      <c r="G23" s="57"/>
      <c r="H23" s="40">
        <v>2</v>
      </c>
      <c r="I23" s="12">
        <f>SUM(H23)+0.1</f>
        <v>2.1</v>
      </c>
      <c r="J23" s="12">
        <f>SUM(I23)+0.1</f>
        <v>2.2000000000000002</v>
      </c>
      <c r="K23" s="148"/>
      <c r="L23" s="148"/>
      <c r="M23" s="150"/>
    </row>
    <row r="24" spans="1:13" s="2" customFormat="1" ht="14.1" customHeight="1" x14ac:dyDescent="0.3">
      <c r="A24" s="21"/>
      <c r="B24" s="41" t="s">
        <v>271</v>
      </c>
      <c r="C24" s="41"/>
      <c r="D24" s="36" t="s">
        <v>272</v>
      </c>
      <c r="E24" s="37"/>
      <c r="F24" s="37"/>
      <c r="G24" s="38"/>
      <c r="H24" s="28"/>
      <c r="I24" s="30"/>
      <c r="J24" s="30"/>
      <c r="K24" s="149"/>
      <c r="L24" s="149"/>
      <c r="M24" s="151"/>
    </row>
    <row r="25" spans="1:13" s="2" customFormat="1" ht="14.1" customHeight="1" x14ac:dyDescent="0.3">
      <c r="A25" s="21">
        <v>12</v>
      </c>
      <c r="B25" s="152" t="s">
        <v>273</v>
      </c>
      <c r="C25" s="24"/>
      <c r="D25" s="44"/>
      <c r="E25" s="45"/>
      <c r="F25" s="45"/>
      <c r="G25" s="46"/>
      <c r="H25" s="40">
        <v>6.5</v>
      </c>
      <c r="I25" s="12">
        <f>SUM(H25)+0.2</f>
        <v>6.7</v>
      </c>
      <c r="J25" s="12">
        <f t="shared" ref="J25" si="0">SUM(I25)+0.2</f>
        <v>6.9</v>
      </c>
      <c r="K25" s="148"/>
      <c r="L25" s="148"/>
      <c r="M25" s="150"/>
    </row>
    <row r="26" spans="1:13" s="2" customFormat="1" ht="14.1" customHeight="1" x14ac:dyDescent="0.3">
      <c r="A26" s="21"/>
      <c r="B26" s="153" t="s">
        <v>274</v>
      </c>
      <c r="C26" s="35"/>
      <c r="D26" s="36" t="s">
        <v>275</v>
      </c>
      <c r="E26" s="37"/>
      <c r="F26" s="37"/>
      <c r="G26" s="38"/>
      <c r="H26" s="28"/>
      <c r="I26" s="30"/>
      <c r="J26" s="30"/>
      <c r="K26" s="149"/>
      <c r="L26" s="149"/>
      <c r="M26" s="151"/>
    </row>
    <row r="27" spans="1:13" s="2" customFormat="1" ht="14.1" customHeight="1" x14ac:dyDescent="0.3">
      <c r="A27" s="21">
        <v>13</v>
      </c>
      <c r="B27" s="23" t="s">
        <v>276</v>
      </c>
      <c r="C27" s="24"/>
      <c r="D27" s="44" t="s">
        <v>277</v>
      </c>
      <c r="E27" s="45"/>
      <c r="F27" s="45"/>
      <c r="G27" s="46"/>
      <c r="H27" s="39">
        <v>6.5</v>
      </c>
      <c r="I27" s="48">
        <f>SUM(H27)+0.2</f>
        <v>6.7</v>
      </c>
      <c r="J27" s="48">
        <f>SUM(I27)+0.2</f>
        <v>6.9</v>
      </c>
      <c r="K27" s="32"/>
      <c r="L27" s="32"/>
      <c r="M27" s="42"/>
    </row>
    <row r="28" spans="1:13" s="2" customFormat="1" ht="14.1" customHeight="1" x14ac:dyDescent="0.3">
      <c r="A28" s="21"/>
      <c r="B28" s="34" t="s">
        <v>278</v>
      </c>
      <c r="C28" s="35"/>
      <c r="D28" s="36" t="s">
        <v>279</v>
      </c>
      <c r="E28" s="37"/>
      <c r="F28" s="37"/>
      <c r="G28" s="38"/>
      <c r="H28" s="39"/>
      <c r="I28" s="48"/>
      <c r="J28" s="48"/>
      <c r="K28" s="32"/>
      <c r="L28" s="32"/>
      <c r="M28" s="42"/>
    </row>
    <row r="29" spans="1:13" s="2" customFormat="1" ht="14.1" customHeight="1" x14ac:dyDescent="0.3">
      <c r="A29" s="21">
        <v>14</v>
      </c>
      <c r="B29" s="43" t="s">
        <v>5</v>
      </c>
      <c r="C29" s="43"/>
      <c r="D29" s="47" t="s">
        <v>6</v>
      </c>
      <c r="E29" s="47"/>
      <c r="F29" s="47"/>
      <c r="G29" s="47"/>
      <c r="H29" s="39">
        <v>45</v>
      </c>
      <c r="I29" s="32">
        <f>SUM(H29)+2</f>
        <v>47</v>
      </c>
      <c r="J29" s="32">
        <f>SUM(I29)+2</f>
        <v>49</v>
      </c>
      <c r="K29" s="32"/>
      <c r="L29" s="32"/>
      <c r="M29" s="42"/>
    </row>
    <row r="30" spans="1:13" s="2" customFormat="1" ht="14.1" customHeight="1" x14ac:dyDescent="0.3">
      <c r="A30" s="21"/>
      <c r="B30" s="41" t="s">
        <v>17</v>
      </c>
      <c r="C30" s="41"/>
      <c r="D30" s="36" t="s">
        <v>29</v>
      </c>
      <c r="E30" s="37"/>
      <c r="F30" s="37"/>
      <c r="G30" s="38"/>
      <c r="H30" s="39"/>
      <c r="I30" s="32"/>
      <c r="J30" s="32"/>
      <c r="K30" s="32"/>
      <c r="L30" s="32"/>
      <c r="M30" s="42"/>
    </row>
    <row r="31" spans="1:13" ht="14.1" customHeight="1" x14ac:dyDescent="0.3">
      <c r="A31" s="21">
        <v>15</v>
      </c>
      <c r="B31" s="43" t="s">
        <v>7</v>
      </c>
      <c r="C31" s="43"/>
      <c r="D31" s="44" t="s">
        <v>8</v>
      </c>
      <c r="E31" s="45"/>
      <c r="F31" s="45"/>
      <c r="G31" s="46"/>
      <c r="H31" s="39">
        <v>43.2</v>
      </c>
      <c r="I31" s="32">
        <f>SUM(H31)+2</f>
        <v>45.2</v>
      </c>
      <c r="J31" s="32">
        <f>SUM(I31)+2</f>
        <v>47.2</v>
      </c>
      <c r="K31" s="32"/>
      <c r="L31" s="32"/>
      <c r="M31" s="42"/>
    </row>
    <row r="32" spans="1:13" ht="14.1" customHeight="1" x14ac:dyDescent="0.3">
      <c r="A32" s="21"/>
      <c r="B32" s="41" t="s">
        <v>18</v>
      </c>
      <c r="C32" s="41"/>
      <c r="D32" s="36" t="s">
        <v>36</v>
      </c>
      <c r="E32" s="37"/>
      <c r="F32" s="37"/>
      <c r="G32" s="38"/>
      <c r="H32" s="39"/>
      <c r="I32" s="32"/>
      <c r="J32" s="32"/>
      <c r="K32" s="32"/>
      <c r="L32" s="32"/>
      <c r="M32" s="42"/>
    </row>
    <row r="33" spans="1:13" ht="14.1" customHeight="1" x14ac:dyDescent="0.3">
      <c r="A33" s="21">
        <v>16</v>
      </c>
      <c r="B33" s="23" t="s">
        <v>280</v>
      </c>
      <c r="C33" s="24"/>
      <c r="D33" s="47" t="s">
        <v>37</v>
      </c>
      <c r="E33" s="47"/>
      <c r="F33" s="47"/>
      <c r="G33" s="47"/>
      <c r="H33" s="39">
        <v>22.9</v>
      </c>
      <c r="I33" s="32">
        <f>SUM(H33)+1</f>
        <v>23.9</v>
      </c>
      <c r="J33" s="32">
        <f>SUM(I33)+1</f>
        <v>24.9</v>
      </c>
      <c r="K33" s="32"/>
      <c r="L33" s="32"/>
      <c r="M33" s="42"/>
    </row>
    <row r="34" spans="1:13" ht="14.1" customHeight="1" x14ac:dyDescent="0.3">
      <c r="A34" s="21"/>
      <c r="B34" s="41" t="s">
        <v>281</v>
      </c>
      <c r="C34" s="41"/>
      <c r="D34" s="36" t="s">
        <v>38</v>
      </c>
      <c r="E34" s="37"/>
      <c r="F34" s="37"/>
      <c r="G34" s="38"/>
      <c r="H34" s="39"/>
      <c r="I34" s="32"/>
      <c r="J34" s="32"/>
      <c r="K34" s="32"/>
      <c r="L34" s="32"/>
      <c r="M34" s="42"/>
    </row>
    <row r="35" spans="1:13" s="2" customFormat="1" ht="14.1" customHeight="1" x14ac:dyDescent="0.3">
      <c r="A35" s="21">
        <v>17</v>
      </c>
      <c r="B35" s="54" t="s">
        <v>139</v>
      </c>
      <c r="C35" s="55"/>
      <c r="D35" s="25"/>
      <c r="E35" s="26"/>
      <c r="F35" s="26"/>
      <c r="G35" s="27"/>
      <c r="H35" s="39">
        <v>10</v>
      </c>
      <c r="I35" s="32">
        <f>SUM(H35)+0.7</f>
        <v>10.7</v>
      </c>
      <c r="J35" s="32">
        <f>SUM(I35)+0.7</f>
        <v>11.399999999999999</v>
      </c>
      <c r="K35" s="12"/>
      <c r="L35" s="12"/>
      <c r="M35" s="146"/>
    </row>
    <row r="36" spans="1:13" s="2" customFormat="1" ht="14.1" customHeight="1" x14ac:dyDescent="0.3">
      <c r="A36" s="21"/>
      <c r="B36" s="34" t="s">
        <v>138</v>
      </c>
      <c r="C36" s="35"/>
      <c r="D36" s="36"/>
      <c r="E36" s="37"/>
      <c r="F36" s="37"/>
      <c r="G36" s="38"/>
      <c r="H36" s="39"/>
      <c r="I36" s="32"/>
      <c r="J36" s="32"/>
      <c r="K36" s="30"/>
      <c r="L36" s="30"/>
      <c r="M36" s="147"/>
    </row>
    <row r="37" spans="1:13" s="2" customFormat="1" ht="14.1" customHeight="1" x14ac:dyDescent="0.3">
      <c r="A37" s="21">
        <v>18</v>
      </c>
      <c r="B37" s="23" t="s">
        <v>137</v>
      </c>
      <c r="C37" s="24"/>
      <c r="D37" s="25"/>
      <c r="E37" s="26"/>
      <c r="F37" s="26"/>
      <c r="G37" s="27"/>
      <c r="H37" s="39">
        <v>11</v>
      </c>
      <c r="I37" s="32">
        <f>SUM(H37)+0.7</f>
        <v>11.7</v>
      </c>
      <c r="J37" s="32">
        <f>SUM(I37)+0.7</f>
        <v>12.399999999999999</v>
      </c>
      <c r="K37" s="12"/>
      <c r="L37" s="12"/>
      <c r="M37" s="146"/>
    </row>
    <row r="38" spans="1:13" s="2" customFormat="1" ht="14.1" customHeight="1" x14ac:dyDescent="0.3">
      <c r="A38" s="21"/>
      <c r="B38" s="41" t="s">
        <v>136</v>
      </c>
      <c r="C38" s="41"/>
      <c r="D38" s="36"/>
      <c r="E38" s="37"/>
      <c r="F38" s="37"/>
      <c r="G38" s="38"/>
      <c r="H38" s="39"/>
      <c r="I38" s="32"/>
      <c r="J38" s="32"/>
      <c r="K38" s="30"/>
      <c r="L38" s="30"/>
      <c r="M38" s="147"/>
    </row>
    <row r="39" spans="1:13" s="2" customFormat="1" ht="14.1" customHeight="1" x14ac:dyDescent="0.3">
      <c r="A39" s="21">
        <v>19</v>
      </c>
      <c r="B39" s="54" t="s">
        <v>133</v>
      </c>
      <c r="C39" s="55"/>
      <c r="D39" s="81"/>
      <c r="E39" s="82"/>
      <c r="F39" s="82"/>
      <c r="G39" s="83"/>
      <c r="H39" s="28">
        <v>1.1000000000000001</v>
      </c>
      <c r="I39" s="30">
        <f>SUM(H39)+0.1</f>
        <v>1.2000000000000002</v>
      </c>
      <c r="J39" s="30">
        <f>SUM(I39)+0.1</f>
        <v>1.3000000000000003</v>
      </c>
      <c r="K39" s="30"/>
      <c r="L39" s="30"/>
      <c r="M39" s="147"/>
    </row>
    <row r="40" spans="1:13" s="2" customFormat="1" ht="14.1" customHeight="1" x14ac:dyDescent="0.3">
      <c r="A40" s="21"/>
      <c r="B40" s="54" t="s">
        <v>132</v>
      </c>
      <c r="C40" s="55"/>
      <c r="D40" s="56" t="s">
        <v>282</v>
      </c>
      <c r="E40" s="57"/>
      <c r="F40" s="57"/>
      <c r="G40" s="58"/>
      <c r="H40" s="40"/>
      <c r="I40" s="12"/>
      <c r="J40" s="12"/>
      <c r="K40" s="32"/>
      <c r="L40" s="32"/>
      <c r="M40" s="143"/>
    </row>
    <row r="41" spans="1:13" s="2" customFormat="1" ht="14.1" customHeight="1" x14ac:dyDescent="0.3">
      <c r="A41" s="21">
        <v>20</v>
      </c>
      <c r="B41" s="23"/>
      <c r="C41" s="24"/>
      <c r="D41" s="44"/>
      <c r="E41" s="45"/>
      <c r="F41" s="45"/>
      <c r="G41" s="46"/>
      <c r="H41" s="39"/>
      <c r="I41" s="32"/>
      <c r="J41" s="32"/>
      <c r="K41" s="12"/>
      <c r="L41" s="12"/>
      <c r="M41" s="146"/>
    </row>
    <row r="42" spans="1:13" s="2" customFormat="1" ht="14.1" customHeight="1" thickBot="1" x14ac:dyDescent="0.35">
      <c r="A42" s="22"/>
      <c r="B42" s="16"/>
      <c r="C42" s="17"/>
      <c r="D42" s="18"/>
      <c r="E42" s="19"/>
      <c r="F42" s="19"/>
      <c r="G42" s="20"/>
      <c r="H42" s="29"/>
      <c r="I42" s="31"/>
      <c r="J42" s="31"/>
      <c r="K42" s="13"/>
      <c r="L42" s="13"/>
      <c r="M42" s="145"/>
    </row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/>
    <row r="46" spans="1:13" s="2" customFormat="1" ht="14.1" customHeight="1" x14ac:dyDescent="0.3"/>
    <row r="47" spans="1:13" s="2" customFormat="1" ht="14.1" customHeight="1" x14ac:dyDescent="0.3"/>
    <row r="48" spans="1:13" s="2" customFormat="1" ht="14.1" customHeight="1" x14ac:dyDescent="0.3"/>
    <row r="49" spans="1:13" ht="14.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.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.1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4.1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4.1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4.1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4.1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4.1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4.1" customHeight="1" x14ac:dyDescent="0.3"/>
    <row r="58" spans="1:13" ht="14.1" customHeight="1" x14ac:dyDescent="0.3"/>
    <row r="59" spans="1:13" ht="14.1" customHeight="1" x14ac:dyDescent="0.3"/>
    <row r="65" spans="2:7" x14ac:dyDescent="0.3">
      <c r="B65" s="1"/>
      <c r="C65" s="1"/>
      <c r="D65" s="1"/>
      <c r="E65" s="1"/>
      <c r="F65" s="1"/>
      <c r="G65" s="1"/>
    </row>
    <row r="66" spans="2:7" x14ac:dyDescent="0.3">
      <c r="B66" s="1"/>
      <c r="C66" s="1"/>
      <c r="D66" s="1"/>
      <c r="E66" s="1"/>
      <c r="F66" s="1"/>
      <c r="G66" s="1"/>
    </row>
    <row r="67" spans="2:7" x14ac:dyDescent="0.3">
      <c r="B67" s="1"/>
      <c r="C67" s="1"/>
      <c r="D67" s="1"/>
      <c r="E67" s="1"/>
      <c r="F67" s="1"/>
      <c r="G67" s="1"/>
    </row>
    <row r="68" spans="2:7" x14ac:dyDescent="0.3">
      <c r="B68" s="1"/>
      <c r="C68" s="1"/>
      <c r="D68" s="1"/>
      <c r="E68" s="1"/>
      <c r="F68" s="1"/>
      <c r="G68" s="1"/>
    </row>
  </sheetData>
  <mergeCells count="223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ageMargins left="0.46875" right="0.46875" top="0.75" bottom="0.75" header="0.3" footer="0.3"/>
  <pageSetup paperSize="9" scale="9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1825-3279-4714-90B0-7D3C38B9A838}">
  <sheetPr>
    <tabColor theme="7"/>
  </sheetPr>
  <dimension ref="A1:P59"/>
  <sheetViews>
    <sheetView zoomScale="110" zoomScaleNormal="110" zoomScalePageLayoutView="110" workbookViewId="0">
      <selection activeCell="J25" sqref="J25:K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49" t="s">
        <v>283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6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5" t="s">
        <v>211</v>
      </c>
      <c r="I2" s="4" t="s">
        <v>33</v>
      </c>
      <c r="J2" s="5" t="s">
        <v>34</v>
      </c>
      <c r="K2" s="5" t="s">
        <v>35</v>
      </c>
      <c r="L2" s="5"/>
      <c r="M2" s="5"/>
    </row>
    <row r="3" spans="1:16" s="2" customFormat="1" ht="14.1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60">
        <f>SUM(I3)-3</f>
        <v>55</v>
      </c>
      <c r="I3" s="59">
        <v>58</v>
      </c>
      <c r="J3" s="60">
        <f>SUM(I3)+3</f>
        <v>61</v>
      </c>
      <c r="K3" s="61"/>
      <c r="L3" s="61"/>
      <c r="M3" s="62"/>
    </row>
    <row r="4" spans="1:16" s="2" customFormat="1" ht="14.1" customHeight="1" x14ac:dyDescent="0.3">
      <c r="A4" s="63"/>
      <c r="B4" s="68" t="s">
        <v>62</v>
      </c>
      <c r="C4" s="68"/>
      <c r="D4" s="56" t="s">
        <v>61</v>
      </c>
      <c r="E4" s="57"/>
      <c r="F4" s="57"/>
      <c r="G4" s="57"/>
      <c r="H4" s="12"/>
      <c r="I4" s="40"/>
      <c r="J4" s="12"/>
      <c r="K4" s="74"/>
      <c r="L4" s="74"/>
      <c r="M4" s="75"/>
    </row>
    <row r="5" spans="1:16" s="2" customFormat="1" ht="14.1" customHeight="1" x14ac:dyDescent="0.3">
      <c r="A5" s="21">
        <v>2</v>
      </c>
      <c r="B5" s="43" t="s">
        <v>284</v>
      </c>
      <c r="C5" s="43"/>
      <c r="D5" s="47"/>
      <c r="E5" s="47"/>
      <c r="F5" s="47"/>
      <c r="G5" s="44"/>
      <c r="H5" s="32">
        <f>SUM(I5)-2.1</f>
        <v>36.4</v>
      </c>
      <c r="I5" s="39">
        <v>38.5</v>
      </c>
      <c r="J5" s="32">
        <f>SUM(I5)+2.1</f>
        <v>40.6</v>
      </c>
      <c r="K5" s="32"/>
      <c r="L5" s="12"/>
      <c r="M5" s="14"/>
    </row>
    <row r="6" spans="1:16" s="2" customFormat="1" ht="14.1" customHeight="1" x14ac:dyDescent="0.3">
      <c r="A6" s="21"/>
      <c r="B6" s="41" t="s">
        <v>285</v>
      </c>
      <c r="C6" s="41"/>
      <c r="D6" s="36" t="s">
        <v>286</v>
      </c>
      <c r="E6" s="37"/>
      <c r="F6" s="37"/>
      <c r="G6" s="37"/>
      <c r="H6" s="32"/>
      <c r="I6" s="39"/>
      <c r="J6" s="32"/>
      <c r="K6" s="32"/>
      <c r="L6" s="30"/>
      <c r="M6" s="33"/>
    </row>
    <row r="7" spans="1:16" s="2" customFormat="1" ht="14.1" customHeight="1" x14ac:dyDescent="0.3">
      <c r="A7" s="21">
        <v>3</v>
      </c>
      <c r="B7" s="23" t="s">
        <v>21</v>
      </c>
      <c r="C7" s="24"/>
      <c r="D7" s="44" t="s">
        <v>22</v>
      </c>
      <c r="E7" s="45"/>
      <c r="F7" s="45"/>
      <c r="G7" s="46"/>
      <c r="H7" s="12">
        <f>SUM(I7)-4.4</f>
        <v>47.6</v>
      </c>
      <c r="I7" s="40">
        <v>52</v>
      </c>
      <c r="J7" s="12">
        <f>SUM(I7)+4.4</f>
        <v>56.4</v>
      </c>
      <c r="K7" s="12"/>
      <c r="L7" s="32"/>
      <c r="M7" s="42"/>
    </row>
    <row r="8" spans="1:16" s="2" customFormat="1" ht="14.1" customHeight="1" x14ac:dyDescent="0.3">
      <c r="A8" s="21"/>
      <c r="B8" s="34" t="s">
        <v>12</v>
      </c>
      <c r="C8" s="35"/>
      <c r="D8" s="36" t="s">
        <v>25</v>
      </c>
      <c r="E8" s="37"/>
      <c r="F8" s="37"/>
      <c r="G8" s="38"/>
      <c r="H8" s="30"/>
      <c r="I8" s="28"/>
      <c r="J8" s="30"/>
      <c r="K8" s="30"/>
      <c r="L8" s="32"/>
      <c r="M8" s="42"/>
    </row>
    <row r="9" spans="1:16" s="2" customFormat="1" ht="14.1" customHeight="1" x14ac:dyDescent="0.3">
      <c r="A9" s="21">
        <v>4</v>
      </c>
      <c r="B9" s="43" t="s">
        <v>20</v>
      </c>
      <c r="C9" s="43"/>
      <c r="D9" s="47" t="s">
        <v>11</v>
      </c>
      <c r="E9" s="47"/>
      <c r="F9" s="47"/>
      <c r="G9" s="47"/>
      <c r="H9" s="12">
        <f>SUM(I9)-4</f>
        <v>43.5</v>
      </c>
      <c r="I9" s="40">
        <v>47.5</v>
      </c>
      <c r="J9" s="12">
        <f>SUM(I9)+4</f>
        <v>51.5</v>
      </c>
      <c r="K9" s="12"/>
      <c r="L9" s="32"/>
      <c r="M9" s="42"/>
      <c r="P9" s="2" t="s">
        <v>185</v>
      </c>
    </row>
    <row r="10" spans="1:16" s="2" customFormat="1" ht="14.1" customHeight="1" x14ac:dyDescent="0.3">
      <c r="A10" s="21"/>
      <c r="B10" s="41" t="s">
        <v>23</v>
      </c>
      <c r="C10" s="41"/>
      <c r="D10" s="36" t="s">
        <v>26</v>
      </c>
      <c r="E10" s="37"/>
      <c r="F10" s="37"/>
      <c r="G10" s="38"/>
      <c r="H10" s="30"/>
      <c r="I10" s="28"/>
      <c r="J10" s="30"/>
      <c r="K10" s="30"/>
      <c r="L10" s="32"/>
      <c r="M10" s="42"/>
    </row>
    <row r="11" spans="1:16" s="2" customFormat="1" ht="14.1" customHeight="1" x14ac:dyDescent="0.3">
      <c r="A11" s="21">
        <v>5</v>
      </c>
      <c r="B11" s="43" t="s">
        <v>287</v>
      </c>
      <c r="C11" s="43"/>
      <c r="D11" s="47" t="s">
        <v>9</v>
      </c>
      <c r="E11" s="47"/>
      <c r="F11" s="47"/>
      <c r="G11" s="47"/>
      <c r="H11" s="12">
        <f>SUM(I11)-3.8</f>
        <v>40.800000000000004</v>
      </c>
      <c r="I11" s="40">
        <v>44.6</v>
      </c>
      <c r="J11" s="12">
        <f>SUM(I11)+3.8</f>
        <v>48.4</v>
      </c>
      <c r="K11" s="12"/>
      <c r="L11" s="32"/>
      <c r="M11" s="42"/>
    </row>
    <row r="12" spans="1:16" s="2" customFormat="1" ht="14.1" customHeight="1" x14ac:dyDescent="0.3">
      <c r="A12" s="21"/>
      <c r="B12" s="41" t="s">
        <v>288</v>
      </c>
      <c r="C12" s="41"/>
      <c r="D12" s="36" t="s">
        <v>289</v>
      </c>
      <c r="E12" s="37"/>
      <c r="F12" s="37"/>
      <c r="G12" s="38"/>
      <c r="H12" s="30"/>
      <c r="I12" s="28"/>
      <c r="J12" s="30"/>
      <c r="K12" s="30"/>
      <c r="L12" s="32"/>
      <c r="M12" s="42"/>
    </row>
    <row r="13" spans="1:16" s="2" customFormat="1" ht="14.1" customHeight="1" x14ac:dyDescent="0.3">
      <c r="A13" s="21">
        <v>6</v>
      </c>
      <c r="B13" s="43" t="s">
        <v>24</v>
      </c>
      <c r="C13" s="43"/>
      <c r="D13" s="47" t="s">
        <v>9</v>
      </c>
      <c r="E13" s="47"/>
      <c r="F13" s="47"/>
      <c r="G13" s="47"/>
      <c r="H13" s="12">
        <f>SUM(I13)-3.2</f>
        <v>34.799999999999997</v>
      </c>
      <c r="I13" s="40">
        <v>38</v>
      </c>
      <c r="J13" s="12">
        <f>SUM(I13)+3.2</f>
        <v>41.2</v>
      </c>
      <c r="K13" s="12"/>
      <c r="L13" s="32"/>
      <c r="M13" s="42"/>
    </row>
    <row r="14" spans="1:16" s="2" customFormat="1" ht="14.1" customHeight="1" x14ac:dyDescent="0.3">
      <c r="A14" s="21"/>
      <c r="B14" s="41" t="s">
        <v>13</v>
      </c>
      <c r="C14" s="41"/>
      <c r="D14" s="36" t="s">
        <v>290</v>
      </c>
      <c r="E14" s="37"/>
      <c r="F14" s="37"/>
      <c r="G14" s="38"/>
      <c r="H14" s="30"/>
      <c r="I14" s="28"/>
      <c r="J14" s="30"/>
      <c r="K14" s="30"/>
      <c r="L14" s="32"/>
      <c r="M14" s="42"/>
    </row>
    <row r="15" spans="1:16" s="2" customFormat="1" ht="14.1" customHeight="1" x14ac:dyDescent="0.3">
      <c r="A15" s="21">
        <v>7</v>
      </c>
      <c r="B15" s="43" t="s">
        <v>10</v>
      </c>
      <c r="C15" s="43"/>
      <c r="D15" s="47" t="s">
        <v>0</v>
      </c>
      <c r="E15" s="47"/>
      <c r="F15" s="47"/>
      <c r="G15" s="47"/>
      <c r="H15" s="32">
        <f>SUM(I15)-1</f>
        <v>19.899999999999999</v>
      </c>
      <c r="I15" s="39">
        <v>20.9</v>
      </c>
      <c r="J15" s="32">
        <f>SUM(I15)+1</f>
        <v>21.9</v>
      </c>
      <c r="K15" s="32"/>
      <c r="L15" s="32"/>
      <c r="M15" s="42"/>
    </row>
    <row r="16" spans="1:16" s="2" customFormat="1" ht="14.1" customHeight="1" x14ac:dyDescent="0.3">
      <c r="A16" s="21"/>
      <c r="B16" s="41" t="s">
        <v>14</v>
      </c>
      <c r="C16" s="41"/>
      <c r="D16" s="36" t="s">
        <v>28</v>
      </c>
      <c r="E16" s="37"/>
      <c r="F16" s="37"/>
      <c r="G16" s="38"/>
      <c r="H16" s="32"/>
      <c r="I16" s="39"/>
      <c r="J16" s="32"/>
      <c r="K16" s="32"/>
      <c r="L16" s="32"/>
      <c r="M16" s="42"/>
    </row>
    <row r="17" spans="1:13" s="2" customFormat="1" ht="14.1" customHeight="1" x14ac:dyDescent="0.3">
      <c r="A17" s="21">
        <v>8</v>
      </c>
      <c r="B17" s="43" t="s">
        <v>1</v>
      </c>
      <c r="C17" s="43"/>
      <c r="D17" s="47" t="s">
        <v>134</v>
      </c>
      <c r="E17" s="47"/>
      <c r="F17" s="47"/>
      <c r="G17" s="47"/>
      <c r="H17" s="32">
        <f>SUM(I17)-0.6</f>
        <v>19.2</v>
      </c>
      <c r="I17" s="39">
        <v>19.8</v>
      </c>
      <c r="J17" s="32">
        <f>SUM(I17)+0.6</f>
        <v>20.400000000000002</v>
      </c>
      <c r="K17" s="32"/>
      <c r="L17" s="32"/>
      <c r="M17" s="42"/>
    </row>
    <row r="18" spans="1:13" s="2" customFormat="1" ht="14.1" customHeight="1" x14ac:dyDescent="0.3">
      <c r="A18" s="21"/>
      <c r="B18" s="41" t="s">
        <v>15</v>
      </c>
      <c r="C18" s="41"/>
      <c r="D18" s="36" t="s">
        <v>259</v>
      </c>
      <c r="E18" s="37"/>
      <c r="F18" s="37"/>
      <c r="G18" s="38"/>
      <c r="H18" s="32"/>
      <c r="I18" s="39"/>
      <c r="J18" s="32"/>
      <c r="K18" s="32"/>
      <c r="L18" s="32"/>
      <c r="M18" s="42"/>
    </row>
    <row r="19" spans="1:13" s="2" customFormat="1" ht="14.1" customHeight="1" x14ac:dyDescent="0.3">
      <c r="A19" s="21">
        <v>9</v>
      </c>
      <c r="B19" s="43" t="s">
        <v>3</v>
      </c>
      <c r="C19" s="43"/>
      <c r="D19" s="47" t="s">
        <v>4</v>
      </c>
      <c r="E19" s="47"/>
      <c r="F19" s="47"/>
      <c r="G19" s="47"/>
      <c r="H19" s="32">
        <f>SUM(I19)-0.3</f>
        <v>8.1</v>
      </c>
      <c r="I19" s="39">
        <v>8.4</v>
      </c>
      <c r="J19" s="32">
        <f>SUM(I19)+0.3</f>
        <v>8.7000000000000011</v>
      </c>
      <c r="K19" s="32"/>
      <c r="L19" s="32"/>
      <c r="M19" s="42"/>
    </row>
    <row r="20" spans="1:13" s="2" customFormat="1" ht="14.1" customHeight="1" x14ac:dyDescent="0.3">
      <c r="A20" s="21"/>
      <c r="B20" s="41" t="s">
        <v>16</v>
      </c>
      <c r="C20" s="41"/>
      <c r="D20" s="36" t="s">
        <v>260</v>
      </c>
      <c r="E20" s="37"/>
      <c r="F20" s="37"/>
      <c r="G20" s="38"/>
      <c r="H20" s="32"/>
      <c r="I20" s="39"/>
      <c r="J20" s="32"/>
      <c r="K20" s="32"/>
      <c r="L20" s="32"/>
      <c r="M20" s="42"/>
    </row>
    <row r="21" spans="1:13" s="2" customFormat="1" ht="14.1" customHeight="1" x14ac:dyDescent="0.3">
      <c r="A21" s="21">
        <v>10</v>
      </c>
      <c r="B21" s="23" t="s">
        <v>56</v>
      </c>
      <c r="C21" s="24"/>
      <c r="D21" s="44" t="s">
        <v>58</v>
      </c>
      <c r="E21" s="45"/>
      <c r="F21" s="45"/>
      <c r="G21" s="46"/>
      <c r="H21" s="32">
        <f>SUM(I21)-1.6</f>
        <v>48.8</v>
      </c>
      <c r="I21" s="39">
        <v>50.4</v>
      </c>
      <c r="J21" s="32">
        <f>SUM(I21)+1.6</f>
        <v>52</v>
      </c>
      <c r="K21" s="32"/>
      <c r="L21" s="32"/>
      <c r="M21" s="42"/>
    </row>
    <row r="22" spans="1:13" s="2" customFormat="1" ht="14.1" customHeight="1" x14ac:dyDescent="0.3">
      <c r="A22" s="21"/>
      <c r="B22" s="41" t="s">
        <v>57</v>
      </c>
      <c r="C22" s="41"/>
      <c r="D22" s="36" t="s">
        <v>135</v>
      </c>
      <c r="E22" s="37"/>
      <c r="F22" s="37"/>
      <c r="G22" s="38"/>
      <c r="H22" s="32"/>
      <c r="I22" s="39"/>
      <c r="J22" s="32"/>
      <c r="K22" s="32"/>
      <c r="L22" s="32"/>
      <c r="M22" s="42"/>
    </row>
    <row r="23" spans="1:13" s="2" customFormat="1" ht="14.1" customHeight="1" x14ac:dyDescent="0.3">
      <c r="A23" s="21">
        <v>11</v>
      </c>
      <c r="B23" s="43" t="s">
        <v>5</v>
      </c>
      <c r="C23" s="43"/>
      <c r="D23" s="47" t="s">
        <v>6</v>
      </c>
      <c r="E23" s="47"/>
      <c r="F23" s="47"/>
      <c r="G23" s="47"/>
      <c r="H23" s="32">
        <f>SUM(I23)-1.8</f>
        <v>44.2</v>
      </c>
      <c r="I23" s="39">
        <v>46</v>
      </c>
      <c r="J23" s="32">
        <f>SUM(I23)+1.8</f>
        <v>47.8</v>
      </c>
      <c r="K23" s="32"/>
      <c r="L23" s="32"/>
      <c r="M23" s="42"/>
    </row>
    <row r="24" spans="1:13" s="2" customFormat="1" ht="14.1" customHeight="1" x14ac:dyDescent="0.3">
      <c r="A24" s="21"/>
      <c r="B24" s="41" t="s">
        <v>17</v>
      </c>
      <c r="C24" s="41"/>
      <c r="D24" s="36" t="s">
        <v>29</v>
      </c>
      <c r="E24" s="37"/>
      <c r="F24" s="37"/>
      <c r="G24" s="38"/>
      <c r="H24" s="32"/>
      <c r="I24" s="39"/>
      <c r="J24" s="32"/>
      <c r="K24" s="32"/>
      <c r="L24" s="32"/>
      <c r="M24" s="42"/>
    </row>
    <row r="25" spans="1:13" s="2" customFormat="1" ht="14.1" customHeight="1" x14ac:dyDescent="0.3">
      <c r="A25" s="21">
        <v>12</v>
      </c>
      <c r="B25" s="43" t="s">
        <v>7</v>
      </c>
      <c r="C25" s="43"/>
      <c r="D25" s="44" t="s">
        <v>8</v>
      </c>
      <c r="E25" s="45"/>
      <c r="F25" s="45"/>
      <c r="G25" s="46"/>
      <c r="H25" s="32">
        <f>SUM(I25)-2</f>
        <v>40</v>
      </c>
      <c r="I25" s="39">
        <v>42</v>
      </c>
      <c r="J25" s="32">
        <f>SUM(I25)+2</f>
        <v>44</v>
      </c>
      <c r="K25" s="32"/>
      <c r="L25" s="32"/>
      <c r="M25" s="42"/>
    </row>
    <row r="26" spans="1:13" s="2" customFormat="1" ht="14.1" customHeight="1" x14ac:dyDescent="0.3">
      <c r="A26" s="21"/>
      <c r="B26" s="41" t="s">
        <v>18</v>
      </c>
      <c r="C26" s="41"/>
      <c r="D26" s="36" t="s">
        <v>36</v>
      </c>
      <c r="E26" s="37"/>
      <c r="F26" s="37"/>
      <c r="G26" s="38"/>
      <c r="H26" s="32"/>
      <c r="I26" s="39"/>
      <c r="J26" s="32"/>
      <c r="K26" s="32"/>
      <c r="L26" s="32"/>
      <c r="M26" s="42"/>
    </row>
    <row r="27" spans="1:13" s="2" customFormat="1" ht="14.1" customHeight="1" x14ac:dyDescent="0.3">
      <c r="A27" s="21">
        <v>13</v>
      </c>
      <c r="B27" s="23" t="s">
        <v>59</v>
      </c>
      <c r="C27" s="24"/>
      <c r="D27" s="47" t="s">
        <v>37</v>
      </c>
      <c r="E27" s="47"/>
      <c r="F27" s="47"/>
      <c r="G27" s="47"/>
      <c r="H27" s="32">
        <f>SUM(I27)-0.8</f>
        <v>17.2</v>
      </c>
      <c r="I27" s="39">
        <v>18</v>
      </c>
      <c r="J27" s="32">
        <f>SUM(I27)+0.8</f>
        <v>18.8</v>
      </c>
      <c r="K27" s="32"/>
      <c r="L27" s="32"/>
      <c r="M27" s="42"/>
    </row>
    <row r="28" spans="1:13" s="2" customFormat="1" ht="14.1" customHeight="1" x14ac:dyDescent="0.3">
      <c r="A28" s="21"/>
      <c r="B28" s="41" t="s">
        <v>19</v>
      </c>
      <c r="C28" s="41"/>
      <c r="D28" s="36" t="s">
        <v>38</v>
      </c>
      <c r="E28" s="37"/>
      <c r="F28" s="37"/>
      <c r="G28" s="38"/>
      <c r="H28" s="32"/>
      <c r="I28" s="39"/>
      <c r="J28" s="32"/>
      <c r="K28" s="32"/>
      <c r="L28" s="32"/>
      <c r="M28" s="42"/>
    </row>
    <row r="29" spans="1:13" s="2" customFormat="1" ht="14.1" customHeight="1" x14ac:dyDescent="0.3">
      <c r="A29" s="21">
        <v>14</v>
      </c>
      <c r="B29" s="43" t="s">
        <v>147</v>
      </c>
      <c r="C29" s="43"/>
      <c r="D29" s="44" t="s">
        <v>146</v>
      </c>
      <c r="E29" s="45"/>
      <c r="F29" s="45"/>
      <c r="G29" s="46"/>
      <c r="H29" s="32">
        <f>SUM(I29)-1</f>
        <v>37</v>
      </c>
      <c r="I29" s="39">
        <v>38</v>
      </c>
      <c r="J29" s="32">
        <f>SUM(I29)+1</f>
        <v>39</v>
      </c>
      <c r="K29" s="32"/>
      <c r="L29" s="32"/>
      <c r="M29" s="42"/>
    </row>
    <row r="30" spans="1:13" s="2" customFormat="1" ht="14.1" customHeight="1" x14ac:dyDescent="0.3">
      <c r="A30" s="21"/>
      <c r="B30" s="41" t="s">
        <v>145</v>
      </c>
      <c r="C30" s="41"/>
      <c r="D30" s="36" t="s">
        <v>144</v>
      </c>
      <c r="E30" s="37"/>
      <c r="F30" s="37"/>
      <c r="G30" s="38"/>
      <c r="H30" s="12"/>
      <c r="I30" s="40"/>
      <c r="J30" s="12"/>
      <c r="K30" s="12"/>
      <c r="L30" s="32"/>
      <c r="M30" s="42"/>
    </row>
    <row r="31" spans="1:13" ht="14.1" customHeight="1" x14ac:dyDescent="0.3">
      <c r="A31" s="21">
        <v>15</v>
      </c>
      <c r="B31" s="43" t="s">
        <v>143</v>
      </c>
      <c r="C31" s="43"/>
      <c r="D31" s="44" t="s">
        <v>142</v>
      </c>
      <c r="E31" s="45"/>
      <c r="F31" s="45"/>
      <c r="G31" s="46"/>
      <c r="H31" s="32">
        <f>SUM(I31)+0.8</f>
        <v>27.8</v>
      </c>
      <c r="I31" s="39">
        <v>27</v>
      </c>
      <c r="J31" s="32">
        <f>SUM(I31)+0.8</f>
        <v>27.8</v>
      </c>
      <c r="K31" s="32"/>
      <c r="L31" s="12"/>
      <c r="M31" s="14"/>
    </row>
    <row r="32" spans="1:13" ht="14.1" customHeight="1" x14ac:dyDescent="0.3">
      <c r="A32" s="21"/>
      <c r="B32" s="41" t="s">
        <v>141</v>
      </c>
      <c r="C32" s="41"/>
      <c r="D32" s="36" t="s">
        <v>140</v>
      </c>
      <c r="E32" s="37"/>
      <c r="F32" s="37"/>
      <c r="G32" s="38"/>
      <c r="H32" s="12"/>
      <c r="I32" s="40"/>
      <c r="J32" s="12"/>
      <c r="K32" s="12"/>
      <c r="L32" s="30"/>
      <c r="M32" s="33"/>
    </row>
    <row r="33" spans="1:13" ht="14.1" customHeight="1" x14ac:dyDescent="0.3">
      <c r="A33" s="21">
        <v>16</v>
      </c>
      <c r="B33" s="23" t="s">
        <v>130</v>
      </c>
      <c r="C33" s="24"/>
      <c r="D33" s="25"/>
      <c r="E33" s="26"/>
      <c r="F33" s="26"/>
      <c r="G33" s="27"/>
      <c r="H33" s="32">
        <f>SUM(I33)-2</f>
        <v>110</v>
      </c>
      <c r="I33" s="39">
        <v>112</v>
      </c>
      <c r="J33" s="32">
        <f>SUM(I33)+2</f>
        <v>114</v>
      </c>
      <c r="K33" s="32"/>
      <c r="L33" s="12"/>
      <c r="M33" s="14"/>
    </row>
    <row r="34" spans="1:13" ht="14.1" customHeight="1" x14ac:dyDescent="0.3">
      <c r="A34" s="21"/>
      <c r="B34" s="34" t="s">
        <v>131</v>
      </c>
      <c r="C34" s="35"/>
      <c r="D34" s="36" t="s">
        <v>203</v>
      </c>
      <c r="E34" s="37"/>
      <c r="F34" s="37"/>
      <c r="G34" s="38"/>
      <c r="H34" s="12"/>
      <c r="I34" s="40"/>
      <c r="J34" s="12"/>
      <c r="K34" s="12"/>
      <c r="L34" s="30"/>
      <c r="M34" s="33"/>
    </row>
    <row r="35" spans="1:13" s="2" customFormat="1" ht="14.1" customHeight="1" x14ac:dyDescent="0.3">
      <c r="A35" s="21">
        <v>17</v>
      </c>
      <c r="B35" s="23" t="s">
        <v>133</v>
      </c>
      <c r="C35" s="24"/>
      <c r="D35" s="25"/>
      <c r="E35" s="26"/>
      <c r="F35" s="26"/>
      <c r="G35" s="27"/>
      <c r="H35" s="32">
        <f>SUM(I35)-1</f>
        <v>6.5</v>
      </c>
      <c r="I35" s="39">
        <v>7.5</v>
      </c>
      <c r="J35" s="32">
        <f>SUM(I35)+1</f>
        <v>8.5</v>
      </c>
      <c r="K35" s="32"/>
      <c r="L35" s="12"/>
      <c r="M35" s="14"/>
    </row>
    <row r="36" spans="1:13" s="2" customFormat="1" ht="14.1" customHeight="1" x14ac:dyDescent="0.3">
      <c r="A36" s="21"/>
      <c r="B36" s="54" t="s">
        <v>132</v>
      </c>
      <c r="C36" s="55"/>
      <c r="D36" s="56" t="s">
        <v>291</v>
      </c>
      <c r="E36" s="57"/>
      <c r="F36" s="57"/>
      <c r="G36" s="58"/>
      <c r="H36" s="12"/>
      <c r="I36" s="40"/>
      <c r="J36" s="12"/>
      <c r="K36" s="12"/>
      <c r="L36" s="30"/>
      <c r="M36" s="33"/>
    </row>
    <row r="37" spans="1:13" s="2" customFormat="1" ht="14.1" customHeight="1" x14ac:dyDescent="0.3">
      <c r="A37" s="21">
        <v>18</v>
      </c>
      <c r="B37" s="23" t="s">
        <v>192</v>
      </c>
      <c r="C37" s="24"/>
      <c r="D37" s="47"/>
      <c r="E37" s="47"/>
      <c r="F37" s="47"/>
      <c r="G37" s="47"/>
      <c r="H37" s="32">
        <f>SUM(I37)-0.6</f>
        <v>11.8</v>
      </c>
      <c r="I37" s="39">
        <v>12.4</v>
      </c>
      <c r="J37" s="32">
        <f>SUM(I37)+0.6</f>
        <v>13</v>
      </c>
      <c r="K37" s="32"/>
      <c r="L37" s="12"/>
      <c r="M37" s="14"/>
    </row>
    <row r="38" spans="1:13" s="2" customFormat="1" ht="14.1" customHeight="1" x14ac:dyDescent="0.3">
      <c r="A38" s="21"/>
      <c r="B38" s="54" t="s">
        <v>193</v>
      </c>
      <c r="C38" s="55"/>
      <c r="D38" s="36" t="s">
        <v>292</v>
      </c>
      <c r="E38" s="37"/>
      <c r="F38" s="37"/>
      <c r="G38" s="37"/>
      <c r="H38" s="12"/>
      <c r="I38" s="40"/>
      <c r="J38" s="12"/>
      <c r="K38" s="12"/>
      <c r="L38" s="30"/>
      <c r="M38" s="33"/>
    </row>
    <row r="39" spans="1:13" s="2" customFormat="1" ht="14.1" customHeight="1" x14ac:dyDescent="0.3">
      <c r="A39" s="21">
        <v>19</v>
      </c>
      <c r="B39" s="23"/>
      <c r="C39" s="24"/>
      <c r="D39" s="25"/>
      <c r="E39" s="26"/>
      <c r="F39" s="26"/>
      <c r="G39" s="27"/>
      <c r="H39" s="32"/>
      <c r="I39" s="39"/>
      <c r="J39" s="32"/>
      <c r="K39" s="32"/>
      <c r="L39" s="12"/>
      <c r="M39" s="14"/>
    </row>
    <row r="40" spans="1:13" s="2" customFormat="1" ht="14.1" customHeight="1" x14ac:dyDescent="0.3">
      <c r="A40" s="21"/>
      <c r="B40" s="54"/>
      <c r="C40" s="55"/>
      <c r="D40" s="56"/>
      <c r="E40" s="57"/>
      <c r="F40" s="57"/>
      <c r="G40" s="58"/>
      <c r="H40" s="12"/>
      <c r="I40" s="40"/>
      <c r="J40" s="12"/>
      <c r="K40" s="12"/>
      <c r="L40" s="30"/>
      <c r="M40" s="33"/>
    </row>
    <row r="41" spans="1:13" s="2" customFormat="1" ht="14.1" customHeight="1" x14ac:dyDescent="0.3">
      <c r="A41" s="21">
        <v>20</v>
      </c>
      <c r="B41" s="23"/>
      <c r="C41" s="24"/>
      <c r="D41" s="47"/>
      <c r="E41" s="47"/>
      <c r="F41" s="47"/>
      <c r="G41" s="47"/>
      <c r="H41" s="32"/>
      <c r="I41" s="39"/>
      <c r="J41" s="32"/>
      <c r="K41" s="32"/>
      <c r="L41" s="12"/>
      <c r="M41" s="14"/>
    </row>
    <row r="42" spans="1:13" s="2" customFormat="1" ht="14.1" customHeight="1" thickBot="1" x14ac:dyDescent="0.35">
      <c r="A42" s="22"/>
      <c r="B42" s="16"/>
      <c r="C42" s="17"/>
      <c r="D42" s="18"/>
      <c r="E42" s="19"/>
      <c r="F42" s="19"/>
      <c r="G42" s="19"/>
      <c r="H42" s="31"/>
      <c r="I42" s="29"/>
      <c r="J42" s="31"/>
      <c r="K42" s="31"/>
      <c r="L42" s="13"/>
      <c r="M42" s="15"/>
    </row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/>
    <row r="46" spans="1:13" s="2" customFormat="1" ht="14.1" customHeight="1" x14ac:dyDescent="0.3"/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2:14" ht="14.1" customHeight="1" x14ac:dyDescent="0.3">
      <c r="N49" s="2"/>
    </row>
    <row r="50" spans="2:14" ht="14.1" customHeight="1" x14ac:dyDescent="0.3">
      <c r="N50" s="2"/>
    </row>
    <row r="51" spans="2:14" ht="14.1" customHeight="1" x14ac:dyDescent="0.3"/>
    <row r="52" spans="2:14" ht="14.1" customHeight="1" x14ac:dyDescent="0.3"/>
    <row r="53" spans="2:14" ht="14.1" customHeight="1" x14ac:dyDescent="0.3"/>
    <row r="54" spans="2:14" ht="14.1" customHeight="1" x14ac:dyDescent="0.3"/>
    <row r="55" spans="2:14" ht="14.1" customHeight="1" x14ac:dyDescent="0.3">
      <c r="B55" s="1"/>
      <c r="C55" s="1"/>
      <c r="D55" s="1"/>
      <c r="E55" s="1"/>
      <c r="F55" s="1"/>
      <c r="G55" s="1"/>
    </row>
    <row r="56" spans="2:14" ht="14.1" customHeight="1" x14ac:dyDescent="0.3">
      <c r="B56" s="1"/>
      <c r="C56" s="1"/>
      <c r="D56" s="1"/>
      <c r="E56" s="1"/>
      <c r="F56" s="1"/>
      <c r="G56" s="1"/>
    </row>
    <row r="57" spans="2:14" ht="14.1" customHeight="1" x14ac:dyDescent="0.3">
      <c r="B57" s="1"/>
      <c r="C57" s="1"/>
      <c r="D57" s="1"/>
      <c r="E57" s="1"/>
      <c r="F57" s="1"/>
      <c r="G57" s="1"/>
    </row>
    <row r="58" spans="2:14" ht="14.1" customHeight="1" x14ac:dyDescent="0.3">
      <c r="B58" s="1"/>
      <c r="C58" s="1"/>
      <c r="D58" s="1"/>
      <c r="E58" s="1"/>
      <c r="F58" s="1"/>
      <c r="G58" s="1"/>
    </row>
    <row r="59" spans="2:14" ht="14.1" customHeight="1" x14ac:dyDescent="0.3"/>
  </sheetData>
  <mergeCells count="223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ageMargins left="0.46875" right="0.46875" top="0.75" bottom="0.75" header="0.3" footer="0.3"/>
  <pageSetup paperSize="9" scale="9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9699-3CC7-4A5B-A6B0-A84D2DA0735C}">
  <sheetPr>
    <tabColor theme="7"/>
  </sheetPr>
  <dimension ref="A1:M59"/>
  <sheetViews>
    <sheetView tabSelected="1" zoomScale="110" zoomScaleNormal="110" zoomScalePageLayoutView="110" workbookViewId="0">
      <selection activeCell="J21" sqref="J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49" t="s">
        <v>293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3" t="s">
        <v>30</v>
      </c>
      <c r="B2" s="52" t="s">
        <v>31</v>
      </c>
      <c r="C2" s="52"/>
      <c r="D2" s="52" t="s">
        <v>32</v>
      </c>
      <c r="E2" s="52"/>
      <c r="F2" s="52"/>
      <c r="G2" s="52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3">
        <v>1</v>
      </c>
      <c r="B3" s="69" t="s">
        <v>64</v>
      </c>
      <c r="C3" s="69"/>
      <c r="D3" s="70" t="s">
        <v>63</v>
      </c>
      <c r="E3" s="70"/>
      <c r="F3" s="70"/>
      <c r="G3" s="71"/>
      <c r="H3" s="59">
        <v>48</v>
      </c>
      <c r="I3" s="60">
        <f>SUM(H3)+3</f>
        <v>51</v>
      </c>
      <c r="J3" s="60">
        <f>SUM(I3)+3</f>
        <v>54</v>
      </c>
      <c r="K3" s="61"/>
      <c r="L3" s="61"/>
      <c r="M3" s="62"/>
    </row>
    <row r="4" spans="1:13" s="2" customFormat="1" ht="14.1" customHeight="1" x14ac:dyDescent="0.3">
      <c r="A4" s="21"/>
      <c r="B4" s="41" t="s">
        <v>62</v>
      </c>
      <c r="C4" s="41"/>
      <c r="D4" s="36" t="s">
        <v>61</v>
      </c>
      <c r="E4" s="37"/>
      <c r="F4" s="37"/>
      <c r="G4" s="37"/>
      <c r="H4" s="39"/>
      <c r="I4" s="32"/>
      <c r="J4" s="32"/>
      <c r="K4" s="30"/>
      <c r="L4" s="30"/>
      <c r="M4" s="33"/>
    </row>
    <row r="5" spans="1:13" s="2" customFormat="1" ht="14.1" customHeight="1" x14ac:dyDescent="0.3">
      <c r="A5" s="21">
        <v>2</v>
      </c>
      <c r="B5" s="23" t="s">
        <v>21</v>
      </c>
      <c r="C5" s="24"/>
      <c r="D5" s="44" t="s">
        <v>22</v>
      </c>
      <c r="E5" s="45"/>
      <c r="F5" s="45"/>
      <c r="G5" s="46"/>
      <c r="H5" s="40">
        <v>35</v>
      </c>
      <c r="I5" s="12">
        <f>SUM(H5)+2.6</f>
        <v>37.6</v>
      </c>
      <c r="J5" s="12">
        <f>SUM(I5)+2.6</f>
        <v>40.200000000000003</v>
      </c>
      <c r="K5" s="32"/>
      <c r="L5" s="32"/>
      <c r="M5" s="42"/>
    </row>
    <row r="6" spans="1:13" s="2" customFormat="1" ht="14.1" customHeight="1" x14ac:dyDescent="0.3">
      <c r="A6" s="21"/>
      <c r="B6" s="34" t="s">
        <v>12</v>
      </c>
      <c r="C6" s="35"/>
      <c r="D6" s="36" t="s">
        <v>25</v>
      </c>
      <c r="E6" s="37"/>
      <c r="F6" s="37"/>
      <c r="G6" s="38"/>
      <c r="H6" s="28"/>
      <c r="I6" s="30"/>
      <c r="J6" s="30"/>
      <c r="K6" s="32"/>
      <c r="L6" s="32"/>
      <c r="M6" s="42"/>
    </row>
    <row r="7" spans="1:13" s="2" customFormat="1" ht="14.1" customHeight="1" x14ac:dyDescent="0.3">
      <c r="A7" s="21">
        <v>3</v>
      </c>
      <c r="B7" s="43" t="s">
        <v>20</v>
      </c>
      <c r="C7" s="43"/>
      <c r="D7" s="47" t="s">
        <v>11</v>
      </c>
      <c r="E7" s="47"/>
      <c r="F7" s="47"/>
      <c r="G7" s="47"/>
      <c r="H7" s="40">
        <v>41.5</v>
      </c>
      <c r="I7" s="12">
        <f>SUM(H7)+3</f>
        <v>44.5</v>
      </c>
      <c r="J7" s="12">
        <f>SUM(I7)+3</f>
        <v>47.5</v>
      </c>
      <c r="K7" s="32"/>
      <c r="L7" s="32"/>
      <c r="M7" s="42"/>
    </row>
    <row r="8" spans="1:13" s="2" customFormat="1" ht="14.1" customHeight="1" x14ac:dyDescent="0.3">
      <c r="A8" s="21"/>
      <c r="B8" s="41" t="s">
        <v>23</v>
      </c>
      <c r="C8" s="41"/>
      <c r="D8" s="36" t="s">
        <v>26</v>
      </c>
      <c r="E8" s="37"/>
      <c r="F8" s="37"/>
      <c r="G8" s="38"/>
      <c r="H8" s="28"/>
      <c r="I8" s="30"/>
      <c r="J8" s="30"/>
      <c r="K8" s="32"/>
      <c r="L8" s="32"/>
      <c r="M8" s="42"/>
    </row>
    <row r="9" spans="1:13" s="2" customFormat="1" ht="14.1" customHeight="1" x14ac:dyDescent="0.3">
      <c r="A9" s="21">
        <v>4</v>
      </c>
      <c r="B9" s="43" t="s">
        <v>24</v>
      </c>
      <c r="C9" s="43"/>
      <c r="D9" s="47" t="s">
        <v>9</v>
      </c>
      <c r="E9" s="47"/>
      <c r="F9" s="47"/>
      <c r="G9" s="47"/>
      <c r="H9" s="40">
        <v>41.5</v>
      </c>
      <c r="I9" s="12">
        <f>SUM(H9)+3</f>
        <v>44.5</v>
      </c>
      <c r="J9" s="12">
        <f>SUM(I9)+3</f>
        <v>47.5</v>
      </c>
      <c r="K9" s="32"/>
      <c r="L9" s="32"/>
      <c r="M9" s="42"/>
    </row>
    <row r="10" spans="1:13" s="2" customFormat="1" ht="14.1" customHeight="1" x14ac:dyDescent="0.3">
      <c r="A10" s="21"/>
      <c r="B10" s="41" t="s">
        <v>13</v>
      </c>
      <c r="C10" s="41"/>
      <c r="D10" s="36" t="s">
        <v>27</v>
      </c>
      <c r="E10" s="37"/>
      <c r="F10" s="37"/>
      <c r="G10" s="38"/>
      <c r="H10" s="28"/>
      <c r="I10" s="30"/>
      <c r="J10" s="30"/>
      <c r="K10" s="32"/>
      <c r="L10" s="32"/>
      <c r="M10" s="42"/>
    </row>
    <row r="11" spans="1:13" s="2" customFormat="1" ht="14.1" customHeight="1" x14ac:dyDescent="0.3">
      <c r="A11" s="21">
        <v>5</v>
      </c>
      <c r="B11" s="43" t="s">
        <v>10</v>
      </c>
      <c r="C11" s="43"/>
      <c r="D11" s="47" t="s">
        <v>0</v>
      </c>
      <c r="E11" s="47"/>
      <c r="F11" s="47"/>
      <c r="G11" s="47"/>
      <c r="H11" s="39">
        <v>17.5</v>
      </c>
      <c r="I11" s="32">
        <f>SUM(H11)+1</f>
        <v>18.5</v>
      </c>
      <c r="J11" s="32">
        <f>SUM(I11)+1</f>
        <v>19.5</v>
      </c>
      <c r="K11" s="32"/>
      <c r="L11" s="32"/>
      <c r="M11" s="42"/>
    </row>
    <row r="12" spans="1:13" s="2" customFormat="1" ht="14.1" customHeight="1" x14ac:dyDescent="0.3">
      <c r="A12" s="21"/>
      <c r="B12" s="41" t="s">
        <v>14</v>
      </c>
      <c r="C12" s="41"/>
      <c r="D12" s="36" t="s">
        <v>28</v>
      </c>
      <c r="E12" s="37"/>
      <c r="F12" s="37"/>
      <c r="G12" s="38"/>
      <c r="H12" s="39"/>
      <c r="I12" s="32"/>
      <c r="J12" s="32"/>
      <c r="K12" s="32"/>
      <c r="L12" s="32"/>
      <c r="M12" s="42"/>
    </row>
    <row r="13" spans="1:13" s="2" customFormat="1" ht="14.1" customHeight="1" x14ac:dyDescent="0.3">
      <c r="A13" s="21">
        <v>6</v>
      </c>
      <c r="B13" s="43" t="s">
        <v>1</v>
      </c>
      <c r="C13" s="43"/>
      <c r="D13" s="47" t="s">
        <v>134</v>
      </c>
      <c r="E13" s="47"/>
      <c r="F13" s="47"/>
      <c r="G13" s="47"/>
      <c r="H13" s="39">
        <v>18.600000000000001</v>
      </c>
      <c r="I13" s="32">
        <f>SUM(H13)+0.6</f>
        <v>19.200000000000003</v>
      </c>
      <c r="J13" s="32">
        <f>SUM(I13)+0.6</f>
        <v>19.800000000000004</v>
      </c>
      <c r="K13" s="32"/>
      <c r="L13" s="32"/>
      <c r="M13" s="42"/>
    </row>
    <row r="14" spans="1:13" s="2" customFormat="1" ht="14.1" customHeight="1" x14ac:dyDescent="0.3">
      <c r="A14" s="21"/>
      <c r="B14" s="41" t="s">
        <v>15</v>
      </c>
      <c r="C14" s="41"/>
      <c r="D14" s="36" t="s">
        <v>129</v>
      </c>
      <c r="E14" s="37"/>
      <c r="F14" s="37"/>
      <c r="G14" s="38"/>
      <c r="H14" s="39"/>
      <c r="I14" s="32"/>
      <c r="J14" s="32"/>
      <c r="K14" s="32"/>
      <c r="L14" s="32"/>
      <c r="M14" s="42"/>
    </row>
    <row r="15" spans="1:13" s="2" customFormat="1" ht="14.1" customHeight="1" x14ac:dyDescent="0.3">
      <c r="A15" s="21">
        <v>7</v>
      </c>
      <c r="B15" s="43" t="s">
        <v>3</v>
      </c>
      <c r="C15" s="43"/>
      <c r="D15" s="47" t="s">
        <v>4</v>
      </c>
      <c r="E15" s="47"/>
      <c r="F15" s="47"/>
      <c r="G15" s="47"/>
      <c r="H15" s="39">
        <v>8.6</v>
      </c>
      <c r="I15" s="32">
        <f>SUM(H15)+0.3</f>
        <v>8.9</v>
      </c>
      <c r="J15" s="32">
        <f>SUM(I15)+0.3</f>
        <v>9.2000000000000011</v>
      </c>
      <c r="K15" s="32"/>
      <c r="L15" s="32"/>
      <c r="M15" s="42"/>
    </row>
    <row r="16" spans="1:13" s="2" customFormat="1" ht="14.1" customHeight="1" x14ac:dyDescent="0.3">
      <c r="A16" s="21"/>
      <c r="B16" s="41" t="s">
        <v>16</v>
      </c>
      <c r="C16" s="41"/>
      <c r="D16" s="36" t="s">
        <v>128</v>
      </c>
      <c r="E16" s="37"/>
      <c r="F16" s="37"/>
      <c r="G16" s="38"/>
      <c r="H16" s="39"/>
      <c r="I16" s="32"/>
      <c r="J16" s="32"/>
      <c r="K16" s="32"/>
      <c r="L16" s="32"/>
      <c r="M16" s="42"/>
    </row>
    <row r="17" spans="1:13" s="2" customFormat="1" ht="14.1" customHeight="1" x14ac:dyDescent="0.3">
      <c r="A17" s="21">
        <v>8</v>
      </c>
      <c r="B17" s="23" t="s">
        <v>56</v>
      </c>
      <c r="C17" s="24"/>
      <c r="D17" s="44" t="s">
        <v>58</v>
      </c>
      <c r="E17" s="45"/>
      <c r="F17" s="45"/>
      <c r="G17" s="46"/>
      <c r="H17" s="39">
        <v>48</v>
      </c>
      <c r="I17" s="32">
        <f>SUM(H17)+1.6</f>
        <v>49.6</v>
      </c>
      <c r="J17" s="32">
        <f>SUM(I17)+1.6</f>
        <v>51.2</v>
      </c>
      <c r="K17" s="32"/>
      <c r="L17" s="32"/>
      <c r="M17" s="42"/>
    </row>
    <row r="18" spans="1:13" s="2" customFormat="1" ht="14.1" customHeight="1" x14ac:dyDescent="0.3">
      <c r="A18" s="21"/>
      <c r="B18" s="41" t="s">
        <v>57</v>
      </c>
      <c r="C18" s="41"/>
      <c r="D18" s="36" t="s">
        <v>127</v>
      </c>
      <c r="E18" s="37"/>
      <c r="F18" s="37"/>
      <c r="G18" s="38"/>
      <c r="H18" s="39"/>
      <c r="I18" s="32"/>
      <c r="J18" s="32"/>
      <c r="K18" s="32"/>
      <c r="L18" s="32"/>
      <c r="M18" s="42"/>
    </row>
    <row r="19" spans="1:13" s="2" customFormat="1" ht="14.1" customHeight="1" x14ac:dyDescent="0.3">
      <c r="A19" s="21">
        <v>9</v>
      </c>
      <c r="B19" s="43" t="s">
        <v>5</v>
      </c>
      <c r="C19" s="43"/>
      <c r="D19" s="47" t="s">
        <v>6</v>
      </c>
      <c r="E19" s="47"/>
      <c r="F19" s="47"/>
      <c r="G19" s="47"/>
      <c r="H19" s="39">
        <v>53.5</v>
      </c>
      <c r="I19" s="32">
        <f>SUM(H19)+2.7</f>
        <v>56.2</v>
      </c>
      <c r="J19" s="32">
        <f>SUM(I19)+2.7</f>
        <v>58.900000000000006</v>
      </c>
      <c r="K19" s="32"/>
      <c r="L19" s="32"/>
      <c r="M19" s="42"/>
    </row>
    <row r="20" spans="1:13" s="2" customFormat="1" ht="14.1" customHeight="1" x14ac:dyDescent="0.3">
      <c r="A20" s="21"/>
      <c r="B20" s="41" t="s">
        <v>17</v>
      </c>
      <c r="C20" s="41"/>
      <c r="D20" s="36" t="s">
        <v>29</v>
      </c>
      <c r="E20" s="37"/>
      <c r="F20" s="37"/>
      <c r="G20" s="38"/>
      <c r="H20" s="39"/>
      <c r="I20" s="32"/>
      <c r="J20" s="32"/>
      <c r="K20" s="32"/>
      <c r="L20" s="32"/>
      <c r="M20" s="42"/>
    </row>
    <row r="21" spans="1:13" s="2" customFormat="1" ht="14.1" customHeight="1" x14ac:dyDescent="0.3">
      <c r="A21" s="21">
        <v>10</v>
      </c>
      <c r="B21" s="43" t="s">
        <v>7</v>
      </c>
      <c r="C21" s="43"/>
      <c r="D21" s="44" t="s">
        <v>8</v>
      </c>
      <c r="E21" s="45"/>
      <c r="F21" s="45"/>
      <c r="G21" s="46"/>
      <c r="H21" s="39">
        <v>32</v>
      </c>
      <c r="I21" s="32">
        <f>SUM(H21)+1.8</f>
        <v>33.799999999999997</v>
      </c>
      <c r="J21" s="32">
        <f>SUM(I21)+1.8</f>
        <v>35.599999999999994</v>
      </c>
      <c r="K21" s="32"/>
      <c r="L21" s="32"/>
      <c r="M21" s="42"/>
    </row>
    <row r="22" spans="1:13" s="2" customFormat="1" ht="14.1" customHeight="1" x14ac:dyDescent="0.3">
      <c r="A22" s="21"/>
      <c r="B22" s="41" t="s">
        <v>18</v>
      </c>
      <c r="C22" s="41"/>
      <c r="D22" s="36" t="s">
        <v>36</v>
      </c>
      <c r="E22" s="37"/>
      <c r="F22" s="37"/>
      <c r="G22" s="38"/>
      <c r="H22" s="39"/>
      <c r="I22" s="32"/>
      <c r="J22" s="32"/>
      <c r="K22" s="32"/>
      <c r="L22" s="32"/>
      <c r="M22" s="42"/>
    </row>
    <row r="23" spans="1:13" s="2" customFormat="1" ht="14.1" customHeight="1" x14ac:dyDescent="0.3">
      <c r="A23" s="21">
        <v>11</v>
      </c>
      <c r="B23" s="23" t="s">
        <v>59</v>
      </c>
      <c r="C23" s="24"/>
      <c r="D23" s="47" t="s">
        <v>37</v>
      </c>
      <c r="E23" s="47"/>
      <c r="F23" s="47"/>
      <c r="G23" s="47"/>
      <c r="H23" s="39">
        <v>21</v>
      </c>
      <c r="I23" s="32">
        <f>SUM(H23)+1</f>
        <v>22</v>
      </c>
      <c r="J23" s="32">
        <f>SUM(I23)+1</f>
        <v>23</v>
      </c>
      <c r="K23" s="32"/>
      <c r="L23" s="32"/>
      <c r="M23" s="42"/>
    </row>
    <row r="24" spans="1:13" s="2" customFormat="1" ht="14.1" customHeight="1" x14ac:dyDescent="0.3">
      <c r="A24" s="21"/>
      <c r="B24" s="41" t="s">
        <v>19</v>
      </c>
      <c r="C24" s="41"/>
      <c r="D24" s="36" t="s">
        <v>38</v>
      </c>
      <c r="E24" s="37"/>
      <c r="F24" s="37"/>
      <c r="G24" s="38"/>
      <c r="H24" s="39"/>
      <c r="I24" s="32"/>
      <c r="J24" s="32"/>
      <c r="K24" s="32"/>
      <c r="L24" s="32"/>
      <c r="M24" s="42"/>
    </row>
    <row r="25" spans="1:13" s="2" customFormat="1" ht="14.1" customHeight="1" x14ac:dyDescent="0.3">
      <c r="A25" s="21">
        <v>12</v>
      </c>
      <c r="B25" s="23" t="s">
        <v>133</v>
      </c>
      <c r="C25" s="24"/>
      <c r="D25" s="47"/>
      <c r="E25" s="47"/>
      <c r="F25" s="47"/>
      <c r="G25" s="47"/>
      <c r="H25" s="39">
        <v>5</v>
      </c>
      <c r="I25" s="32">
        <f>SUM(H25)+0.3</f>
        <v>5.3</v>
      </c>
      <c r="J25" s="32">
        <f>SUM(I25)+0.3</f>
        <v>5.6</v>
      </c>
      <c r="K25" s="12"/>
      <c r="L25" s="12"/>
      <c r="M25" s="14"/>
    </row>
    <row r="26" spans="1:13" s="2" customFormat="1" ht="14.1" customHeight="1" x14ac:dyDescent="0.3">
      <c r="A26" s="21"/>
      <c r="B26" s="54" t="s">
        <v>132</v>
      </c>
      <c r="C26" s="55"/>
      <c r="D26" s="36" t="s">
        <v>312</v>
      </c>
      <c r="E26" s="37"/>
      <c r="F26" s="37"/>
      <c r="G26" s="37"/>
      <c r="H26" s="40"/>
      <c r="I26" s="12"/>
      <c r="J26" s="12"/>
      <c r="K26" s="74"/>
      <c r="L26" s="74"/>
      <c r="M26" s="75"/>
    </row>
    <row r="27" spans="1:13" s="2" customFormat="1" ht="14.1" customHeight="1" x14ac:dyDescent="0.3">
      <c r="A27" s="21">
        <v>13</v>
      </c>
      <c r="B27" s="23"/>
      <c r="C27" s="24"/>
      <c r="D27" s="47"/>
      <c r="E27" s="47"/>
      <c r="F27" s="47"/>
      <c r="G27" s="47"/>
      <c r="H27" s="39"/>
      <c r="I27" s="32"/>
      <c r="J27" s="32"/>
      <c r="K27" s="32"/>
      <c r="L27" s="32"/>
      <c r="M27" s="143"/>
    </row>
    <row r="28" spans="1:13" s="2" customFormat="1" ht="14.1" customHeight="1" x14ac:dyDescent="0.3">
      <c r="A28" s="21"/>
      <c r="B28" s="54"/>
      <c r="C28" s="55"/>
      <c r="D28" s="36"/>
      <c r="E28" s="37"/>
      <c r="F28" s="37"/>
      <c r="G28" s="37"/>
      <c r="H28" s="40"/>
      <c r="I28" s="12"/>
      <c r="J28" s="12"/>
      <c r="K28" s="32"/>
      <c r="L28" s="32"/>
      <c r="M28" s="143"/>
    </row>
    <row r="29" spans="1:13" s="2" customFormat="1" ht="14.1" customHeight="1" x14ac:dyDescent="0.3">
      <c r="A29" s="21">
        <v>14</v>
      </c>
      <c r="B29" s="23"/>
      <c r="C29" s="24"/>
      <c r="D29" s="44"/>
      <c r="E29" s="45"/>
      <c r="F29" s="45"/>
      <c r="G29" s="46"/>
      <c r="H29" s="39"/>
      <c r="I29" s="32"/>
      <c r="J29" s="32"/>
      <c r="K29" s="12"/>
      <c r="L29" s="12"/>
      <c r="M29" s="146"/>
    </row>
    <row r="30" spans="1:13" s="2" customFormat="1" ht="14.1" customHeight="1" x14ac:dyDescent="0.3">
      <c r="A30" s="21"/>
      <c r="B30" s="85"/>
      <c r="C30" s="86"/>
      <c r="D30" s="87"/>
      <c r="E30" s="88"/>
      <c r="F30" s="88"/>
      <c r="G30" s="89"/>
      <c r="H30" s="39"/>
      <c r="I30" s="32"/>
      <c r="J30" s="32"/>
      <c r="K30" s="30"/>
      <c r="L30" s="30"/>
      <c r="M30" s="147"/>
    </row>
    <row r="31" spans="1:13" ht="14.1" customHeight="1" x14ac:dyDescent="0.3">
      <c r="A31" s="21">
        <v>15</v>
      </c>
      <c r="B31" s="54"/>
      <c r="C31" s="55"/>
      <c r="D31" s="81"/>
      <c r="E31" s="82"/>
      <c r="F31" s="82"/>
      <c r="G31" s="83"/>
      <c r="H31" s="28"/>
      <c r="I31" s="30"/>
      <c r="J31" s="30"/>
      <c r="K31" s="74"/>
      <c r="L31" s="74"/>
      <c r="M31" s="144"/>
    </row>
    <row r="32" spans="1:13" ht="14.1" customHeight="1" x14ac:dyDescent="0.3">
      <c r="A32" s="21"/>
      <c r="B32" s="34"/>
      <c r="C32" s="35"/>
      <c r="D32" s="36"/>
      <c r="E32" s="37"/>
      <c r="F32" s="37"/>
      <c r="G32" s="38"/>
      <c r="H32" s="39"/>
      <c r="I32" s="32"/>
      <c r="J32" s="32"/>
      <c r="K32" s="30"/>
      <c r="L32" s="30"/>
      <c r="M32" s="147"/>
    </row>
    <row r="33" spans="1:13" ht="14.1" customHeight="1" x14ac:dyDescent="0.3">
      <c r="A33" s="64">
        <v>16</v>
      </c>
      <c r="B33" s="54"/>
      <c r="C33" s="55"/>
      <c r="D33" s="81"/>
      <c r="E33" s="82"/>
      <c r="F33" s="82"/>
      <c r="G33" s="83"/>
      <c r="H33" s="28"/>
      <c r="I33" s="113"/>
      <c r="J33" s="30"/>
      <c r="K33" s="74"/>
      <c r="L33" s="74"/>
      <c r="M33" s="144"/>
    </row>
    <row r="34" spans="1:13" ht="14.1" customHeight="1" thickBot="1" x14ac:dyDescent="0.35">
      <c r="A34" s="22"/>
      <c r="B34" s="16"/>
      <c r="C34" s="17"/>
      <c r="D34" s="18"/>
      <c r="E34" s="19"/>
      <c r="F34" s="19"/>
      <c r="G34" s="20"/>
      <c r="H34" s="29"/>
      <c r="I34" s="65"/>
      <c r="J34" s="31"/>
      <c r="K34" s="13"/>
      <c r="L34" s="13"/>
      <c r="M34" s="145"/>
    </row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s="2" customFormat="1" ht="14.1" customHeight="1" x14ac:dyDescent="0.3"/>
    <row r="40" spans="1:13" s="2" customFormat="1" ht="14.1" customHeight="1" x14ac:dyDescent="0.3"/>
    <row r="41" spans="1:13" s="2" customFormat="1" ht="14.1" customHeight="1" x14ac:dyDescent="0.3"/>
    <row r="42" spans="1:13" s="2" customFormat="1" ht="14.1" customHeight="1" x14ac:dyDescent="0.3"/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2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>
      <c r="B53" s="1"/>
      <c r="C53" s="1"/>
      <c r="D53" s="1"/>
      <c r="E53" s="1"/>
      <c r="F53" s="1"/>
      <c r="G53" s="1"/>
    </row>
    <row r="54" spans="2:7" ht="14.1" customHeight="1" x14ac:dyDescent="0.3">
      <c r="B54" s="1"/>
      <c r="C54" s="1"/>
      <c r="D54" s="1"/>
      <c r="E54" s="1"/>
      <c r="F54" s="1"/>
      <c r="G54" s="1"/>
    </row>
    <row r="55" spans="2:7" ht="14.1" customHeight="1" x14ac:dyDescent="0.3">
      <c r="B55" s="1"/>
      <c r="C55" s="1"/>
      <c r="D55" s="1"/>
      <c r="E55" s="1"/>
      <c r="F55" s="1"/>
      <c r="G55" s="1"/>
    </row>
    <row r="56" spans="2:7" ht="14.1" customHeight="1" x14ac:dyDescent="0.3">
      <c r="B56" s="1"/>
      <c r="C56" s="1"/>
      <c r="D56" s="1"/>
      <c r="E56" s="1"/>
      <c r="F56" s="1"/>
      <c r="G56" s="1"/>
    </row>
    <row r="57" spans="2:7" ht="14.1" customHeight="1" x14ac:dyDescent="0.3"/>
    <row r="58" spans="2:7" ht="14.1" customHeight="1" x14ac:dyDescent="0.3"/>
    <row r="59" spans="2:7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ageMargins left="0.46875" right="0.46875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 지정된 범위</vt:lpstr>
      </vt:variant>
      <vt:variant>
        <vt:i4>23</vt:i4>
      </vt:variant>
    </vt:vector>
  </HeadingPairs>
  <TitlesOfParts>
    <vt:vector size="46" baseType="lpstr">
      <vt:lpstr>OU01</vt:lpstr>
      <vt:lpstr>OU02(니트)</vt:lpstr>
      <vt:lpstr>OU03</vt:lpstr>
      <vt:lpstr>OU04(심양)패턴</vt:lpstr>
      <vt:lpstr>OU04(심양)제품</vt:lpstr>
      <vt:lpstr>PT01 </vt:lpstr>
      <vt:lpstr>PT02</vt:lpstr>
      <vt:lpstr>PT03(완사입)</vt:lpstr>
      <vt:lpstr>PT04</vt:lpstr>
      <vt:lpstr>PT05</vt:lpstr>
      <vt:lpstr>PT06(완사입)</vt:lpstr>
      <vt:lpstr>PT07(완사입) </vt:lpstr>
      <vt:lpstr>SK01</vt:lpstr>
      <vt:lpstr>TO01</vt:lpstr>
      <vt:lpstr>TO02</vt:lpstr>
      <vt:lpstr>TO03</vt:lpstr>
      <vt:lpstr>TO04</vt:lpstr>
      <vt:lpstr>TO05</vt:lpstr>
      <vt:lpstr>TO06</vt:lpstr>
      <vt:lpstr>TO07</vt:lpstr>
      <vt:lpstr>TO08</vt:lpstr>
      <vt:lpstr>TO09</vt:lpstr>
      <vt:lpstr>TO10</vt:lpstr>
      <vt:lpstr>'OU01'!Print_Area</vt:lpstr>
      <vt:lpstr>'OU02(니트)'!Print_Area</vt:lpstr>
      <vt:lpstr>'OU03'!Print_Area</vt:lpstr>
      <vt:lpstr>'OU04(심양)제품'!Print_Area</vt:lpstr>
      <vt:lpstr>'OU04(심양)패턴'!Print_Area</vt:lpstr>
      <vt:lpstr>'PT01 '!Print_Area</vt:lpstr>
      <vt:lpstr>'PT02'!Print_Area</vt:lpstr>
      <vt:lpstr>'PT03(완사입)'!Print_Area</vt:lpstr>
      <vt:lpstr>'PT04'!Print_Area</vt:lpstr>
      <vt:lpstr>'PT05'!Print_Area</vt:lpstr>
      <vt:lpstr>'PT06(완사입)'!Print_Area</vt:lpstr>
      <vt:lpstr>'PT07(완사입) '!Print_Area</vt:lpstr>
      <vt:lpstr>'SK01'!Print_Area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  <vt:lpstr>'TO08'!Print_Area</vt:lpstr>
      <vt:lpstr>'TO09'!Print_Area</vt:lpstr>
      <vt:lpstr>'TO10'!Print_Area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2026-06-16T03:12:51Z</cp:lastPrinted>
  <dcterms:created xsi:type="dcterms:W3CDTF">2018-05-14T06:17:18Z</dcterms:created>
  <dcterms:modified xsi:type="dcterms:W3CDTF">2026-06-19T02:20:39Z</dcterms:modified>
</cp:coreProperties>
</file>