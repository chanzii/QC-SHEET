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21212\Documents\EZMessenger 받은 파일\"/>
    </mc:Choice>
  </mc:AlternateContent>
  <xr:revisionPtr revIDLastSave="0" documentId="8_{36860053-EA0C-4742-8C82-44BA7E0E0070}" xr6:coauthVersionLast="47" xr6:coauthVersionMax="47" xr10:uidLastSave="{00000000-0000-0000-0000-000000000000}"/>
  <bookViews>
    <workbookView xWindow="-21390" yWindow="345" windowWidth="18000" windowHeight="15135" tabRatio="772" xr2:uid="{248B8E69-6C34-46C8-9649-87D2B01A7065}"/>
  </bookViews>
  <sheets>
    <sheet name="MYUSE03" sheetId="2583" r:id="rId1"/>
    <sheet name="GUTO16" sheetId="2584" r:id="rId2"/>
  </sheets>
  <definedNames>
    <definedName name="_xlnm.Print_Area" localSheetId="1">GUTO16!$A$1:$M$32</definedName>
    <definedName name="_xlnm.Print_Area" localSheetId="0">MYUSE03!$A$1:$M$48</definedName>
  </definedNames>
  <calcPr calcId="191029"/>
</workbook>
</file>

<file path=xl/calcChain.xml><?xml version="1.0" encoding="utf-8"?>
<calcChain xmlns="http://schemas.openxmlformats.org/spreadsheetml/2006/main">
  <c r="I25" i="2584" l="1"/>
  <c r="J25" i="2584" s="1"/>
  <c r="I23" i="2584"/>
  <c r="J23" i="2584" s="1"/>
  <c r="I19" i="2584"/>
  <c r="J19" i="2584" s="1"/>
  <c r="I17" i="2584"/>
  <c r="J17" i="2584" s="1"/>
  <c r="I15" i="2584"/>
  <c r="J15" i="2584" s="1"/>
  <c r="I13" i="2584"/>
  <c r="J13" i="2584" s="1"/>
  <c r="I11" i="2584"/>
  <c r="J11" i="2584" s="1"/>
  <c r="I9" i="2584"/>
  <c r="J9" i="2584" s="1"/>
  <c r="I7" i="2584"/>
  <c r="J7" i="2584" s="1"/>
  <c r="I5" i="2584"/>
  <c r="J5" i="2584" s="1"/>
  <c r="I3" i="2584"/>
  <c r="J3" i="2584" s="1"/>
  <c r="K45" i="2583"/>
  <c r="J45" i="2583"/>
  <c r="H45" i="2583"/>
  <c r="J43" i="2583"/>
  <c r="K43" i="2583" s="1"/>
  <c r="H43" i="2583"/>
  <c r="J41" i="2583"/>
  <c r="K41" i="2583" s="1"/>
  <c r="H41" i="2583"/>
  <c r="J39" i="2583"/>
  <c r="K39" i="2583" s="1"/>
  <c r="H39" i="2583"/>
  <c r="J37" i="2583"/>
  <c r="K37" i="2583" s="1"/>
  <c r="H37" i="2583"/>
  <c r="J35" i="2583"/>
  <c r="K35" i="2583" s="1"/>
  <c r="H35" i="2583"/>
  <c r="J31" i="2583"/>
  <c r="K31" i="2583" s="1"/>
  <c r="H31" i="2583"/>
  <c r="J29" i="2583"/>
  <c r="K29" i="2583" s="1"/>
  <c r="H29" i="2583"/>
  <c r="J27" i="2583"/>
  <c r="K27" i="2583" s="1"/>
  <c r="H27" i="2583"/>
  <c r="J25" i="2583"/>
  <c r="K25" i="2583" s="1"/>
  <c r="H25" i="2583"/>
  <c r="J21" i="2583"/>
  <c r="K21" i="2583" s="1"/>
  <c r="H21" i="2583"/>
  <c r="J19" i="2583"/>
  <c r="K19" i="2583" s="1"/>
  <c r="H19" i="2583"/>
  <c r="K17" i="2583"/>
  <c r="J17" i="2583"/>
  <c r="H17" i="2583"/>
  <c r="J15" i="2583"/>
  <c r="K15" i="2583" s="1"/>
  <c r="H15" i="2583"/>
  <c r="J13" i="2583"/>
  <c r="K13" i="2583" s="1"/>
  <c r="H13" i="2583"/>
  <c r="J11" i="2583"/>
  <c r="K11" i="2583" s="1"/>
  <c r="H11" i="2583"/>
  <c r="K9" i="2583"/>
  <c r="J9" i="2583"/>
  <c r="H9" i="2583"/>
  <c r="J7" i="2583"/>
  <c r="K7" i="2583" s="1"/>
  <c r="H7" i="2583"/>
  <c r="J5" i="2583"/>
  <c r="K5" i="2583" s="1"/>
  <c r="H5" i="2583"/>
  <c r="J3" i="2583"/>
  <c r="K3" i="2583" s="1"/>
  <c r="H3" i="2583"/>
</calcChain>
</file>

<file path=xl/sharedStrings.xml><?xml version="1.0" encoding="utf-8"?>
<sst xmlns="http://schemas.openxmlformats.org/spreadsheetml/2006/main" count="129" uniqueCount="108">
  <si>
    <t xml:space="preserve">STRIGHT </t>
    <phoneticPr fontId="2" type="noConversion"/>
  </si>
  <si>
    <t>STRIGHT (1/2)</t>
    <phoneticPr fontId="2" type="noConversion"/>
  </si>
  <si>
    <t xml:space="preserve">ARMHOLE </t>
  </si>
  <si>
    <t>암홀길이(직선)</t>
  </si>
  <si>
    <t>TOTAL LENGTH</t>
    <phoneticPr fontId="2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</si>
  <si>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</si>
  <si>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</si>
  <si>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</si>
  <si>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</si>
  <si>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</si>
  <si>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</si>
  <si>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</si>
  <si>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</si>
  <si>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</si>
  <si>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 xml:space="preserve">INCLUDE WAIST BAND TO EDGE </t>
    <phoneticPr fontId="1" type="noConversion"/>
  </si>
  <si>
    <t>STYLE NO: MYUSE03-K#G33</t>
    <phoneticPr fontId="1" type="noConversion"/>
  </si>
  <si>
    <t>12M</t>
    <phoneticPr fontId="1" type="noConversion"/>
  </si>
  <si>
    <t>18M</t>
    <phoneticPr fontId="1" type="noConversion"/>
  </si>
  <si>
    <t>24M</t>
    <phoneticPr fontId="1" type="noConversion"/>
  </si>
  <si>
    <t>3Y</t>
    <phoneticPr fontId="1" type="noConversion"/>
  </si>
  <si>
    <t>총기장(앞중심)</t>
    <phoneticPr fontId="2" type="noConversion"/>
  </si>
  <si>
    <t>랍빠끝에서 밑단까지 수직으로 잰 길이</t>
    <phoneticPr fontId="9" type="noConversion"/>
  </si>
  <si>
    <t>총기장(뒤중심)</t>
    <phoneticPr fontId="2" type="noConversion"/>
  </si>
  <si>
    <t>SHOULDER STRAP LENGTH</t>
    <phoneticPr fontId="2" type="noConversion"/>
  </si>
  <si>
    <t>어깨끈길이</t>
    <phoneticPr fontId="9" type="noConversion"/>
  </si>
  <si>
    <t>넥쪽선을 수직으로 잰 길이</t>
    <phoneticPr fontId="9" type="noConversion"/>
  </si>
  <si>
    <t>소매쪽선을 직선으로 잰 길이</t>
    <phoneticPr fontId="9" type="noConversion"/>
  </si>
  <si>
    <t>SHOULDER STRAP CHEST</t>
    <phoneticPr fontId="2" type="noConversion"/>
  </si>
  <si>
    <t>어깨끈 폭</t>
    <phoneticPr fontId="9" type="noConversion"/>
  </si>
  <si>
    <t>FRONT UPPER CHEST</t>
    <phoneticPr fontId="2" type="noConversion"/>
  </si>
  <si>
    <t>앞 바대 폭</t>
    <phoneticPr fontId="1" type="noConversion"/>
  </si>
  <si>
    <t>끈에서 끈 직선길이</t>
    <phoneticPr fontId="1" type="noConversion"/>
  </si>
  <si>
    <t>BACK UPPER CHEST</t>
    <phoneticPr fontId="2" type="noConversion"/>
  </si>
  <si>
    <t>뒤 바대 폭</t>
    <phoneticPr fontId="1" type="noConversion"/>
  </si>
  <si>
    <t>CHEST (1/2)</t>
    <phoneticPr fontId="2" type="noConversion"/>
  </si>
  <si>
    <t>가슴(상동)</t>
    <phoneticPr fontId="1" type="noConversion"/>
  </si>
  <si>
    <t>BOTTOM SWEEP (1/2)</t>
    <phoneticPr fontId="2" type="noConversion"/>
  </si>
  <si>
    <t>밑단둘레(반품)</t>
  </si>
  <si>
    <t>POINT A</t>
    <phoneticPr fontId="1" type="noConversion"/>
  </si>
  <si>
    <t>FROM FRONT NECK CENTER TO VERTICAL</t>
    <phoneticPr fontId="1" type="noConversion"/>
  </si>
  <si>
    <t>위치 A</t>
    <phoneticPr fontId="1" type="noConversion"/>
  </si>
  <si>
    <t xml:space="preserve">앞목중심에서 수직으로 </t>
    <phoneticPr fontId="1" type="noConversion"/>
  </si>
  <si>
    <t>TOTAL WAIST</t>
    <phoneticPr fontId="1" type="noConversion"/>
  </si>
  <si>
    <t xml:space="preserve">FLAT,FRONT AND BACK WAIST LINE MATCH STRIGHT </t>
    <phoneticPr fontId="1" type="noConversion"/>
  </si>
  <si>
    <t>허리완성사이즈</t>
    <phoneticPr fontId="1" type="noConversion"/>
  </si>
  <si>
    <t>오비를 일자 상태로 만든 후 수평으로 잰 길이</t>
    <phoneticPr fontId="1" type="noConversion"/>
  </si>
  <si>
    <t>WAIST SIZE</t>
    <phoneticPr fontId="1" type="noConversion"/>
  </si>
  <si>
    <t>몸판 허리 둘레</t>
    <phoneticPr fontId="1" type="noConversion"/>
  </si>
  <si>
    <t xml:space="preserve">HIP </t>
  </si>
  <si>
    <t xml:space="preserve">BASED ON ZIPPER FLY OUT LINE ,STRIGHT </t>
    <phoneticPr fontId="1" type="noConversion"/>
  </si>
  <si>
    <t>엉덩이둘레</t>
  </si>
  <si>
    <t>앞 댕고 스테치를 기준점으로 하여 양쪽 수평선의 길이</t>
    <phoneticPr fontId="1" type="noConversion"/>
  </si>
  <si>
    <t>HIP POINT</t>
    <phoneticPr fontId="1" type="noConversion"/>
  </si>
  <si>
    <t>엉덩이 위치</t>
    <phoneticPr fontId="1" type="noConversion"/>
  </si>
  <si>
    <t>오비포함 와끼 기준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</si>
  <si>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</si>
  <si>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</si>
  <si>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</si>
  <si>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 xml:space="preserve">TOTAL LENGTH </t>
  </si>
  <si>
    <t>바지기장</t>
  </si>
  <si>
    <t>와끼선을 기준으로 오비끝에서 바지 밑단 끝까지의 길이</t>
    <phoneticPr fontId="1" type="noConversion"/>
  </si>
  <si>
    <t xml:space="preserve">BOTTOM OPENING </t>
  </si>
  <si>
    <t xml:space="preserve">CIRCLE ROUND </t>
  </si>
  <si>
    <t>바지부리</t>
  </si>
  <si>
    <t>바지 밑단의 둘레길이</t>
    <phoneticPr fontId="2" type="noConversion"/>
  </si>
  <si>
    <t xml:space="preserve">FRONT RISE </t>
  </si>
  <si>
    <t xml:space="preserve">INCLUDE WAIST BAND TO EDGE </t>
  </si>
  <si>
    <t>앞밑위</t>
  </si>
  <si>
    <t>오비끝에서 인심 시작점까지의 길이(오비 포함)</t>
    <phoneticPr fontId="1" type="noConversion"/>
  </si>
  <si>
    <t>BACK RISE</t>
  </si>
  <si>
    <t>뒤밑위</t>
  </si>
  <si>
    <t xml:space="preserve">BACK POCKET WIDE </t>
    <phoneticPr fontId="1" type="noConversion"/>
  </si>
  <si>
    <t>뒤주머니가로</t>
    <phoneticPr fontId="9" type="noConversion"/>
  </si>
  <si>
    <t xml:space="preserve">BACK POCKET VERTICAL </t>
    <phoneticPr fontId="1" type="noConversion"/>
  </si>
  <si>
    <t>뒤주머니세로</t>
    <phoneticPr fontId="9" type="noConversion"/>
  </si>
  <si>
    <t>STYLE NO: GYUTO16-K#G20</t>
    <phoneticPr fontId="1" type="noConversion"/>
  </si>
  <si>
    <t>HPS TO BOTTOM EDGE</t>
    <phoneticPr fontId="2" type="noConversion"/>
  </si>
  <si>
    <t>총기장(옆목)</t>
    <phoneticPr fontId="2" type="noConversion"/>
  </si>
  <si>
    <t>옆목점에서 밑단까지의 직선길이</t>
    <phoneticPr fontId="1" type="noConversion"/>
  </si>
  <si>
    <t xml:space="preserve">ACROSS SHOULDER </t>
    <phoneticPr fontId="2" type="noConversion"/>
  </si>
  <si>
    <t xml:space="preserve">POINT TO POINT </t>
    <phoneticPr fontId="2" type="noConversion"/>
  </si>
  <si>
    <t>어깨너비</t>
  </si>
  <si>
    <t>어깨 양끝점을 수평으로 잰 길이</t>
    <phoneticPr fontId="1" type="noConversion"/>
  </si>
  <si>
    <t>START ARM HOLE JOINING POINT TO POINT(1/2)</t>
    <phoneticPr fontId="1" type="noConversion"/>
  </si>
  <si>
    <t>NECK WIDTH</t>
    <phoneticPr fontId="2" type="noConversion"/>
  </si>
  <si>
    <t>WITHOUT NECK BAND</t>
    <phoneticPr fontId="2" type="noConversion"/>
  </si>
  <si>
    <t>옆목너비</t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</si>
  <si>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</si>
  <si>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</si>
  <si>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</si>
  <si>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앞목깊이</t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</si>
  <si>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</si>
  <si>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NECK</t>
    <phoneticPr fontId="2" type="noConversion"/>
  </si>
  <si>
    <t xml:space="preserve">ROUND ,@ NECK SEWING  LINE </t>
    <phoneticPr fontId="1" type="noConversion"/>
  </si>
  <si>
    <t>목둘레</t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</si>
  <si>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</si>
  <si>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SLEEVE LENGTH</t>
    <phoneticPr fontId="2" type="noConversion"/>
  </si>
  <si>
    <t xml:space="preserve">FROM SHOULDER POINT TO EDGE </t>
    <phoneticPr fontId="2" type="noConversion"/>
  </si>
  <si>
    <t>소매기장</t>
  </si>
  <si>
    <t>어깨 끝점에서 소매 부리(밑단) 끝까지의 직선 길이</t>
    <phoneticPr fontId="1" type="noConversion"/>
  </si>
  <si>
    <t>BICEP</t>
    <phoneticPr fontId="2" type="noConversion"/>
  </si>
  <si>
    <t>FROM ARMHOLE JOINING POINT ,CIRCLE ROUND</t>
    <phoneticPr fontId="2" type="noConversion"/>
  </si>
  <si>
    <t>소매통</t>
  </si>
  <si>
    <t>암홀 겨드랑이 지점에서 소매중심의 수직 길이(둘레)</t>
    <phoneticPr fontId="1" type="noConversion"/>
  </si>
  <si>
    <t xml:space="preserve">CUFFS OPENING </t>
    <phoneticPr fontId="2" type="noConversion"/>
  </si>
  <si>
    <t xml:space="preserve">CIRCLE ROUND </t>
    <phoneticPr fontId="2" type="noConversion"/>
  </si>
  <si>
    <t>소매부리</t>
  </si>
  <si>
    <t>소매 밑단(시보리 밑단)의 둘레 길이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</si>
</sst>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indexed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10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7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5" fillId="3" borderId="40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5" fillId="3" borderId="28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D590-553A-442C-8FE5-8C707F59BE2C}">
  <sheetPr>
    <tabColor rgb="FFFF0000"/>
    <pageSetUpPr fitToPage="1"/>
  </sheetPr>
  <dimension ref="A1:M51"/>
  <sheetViews>
    <sheetView tabSelected="1" zoomScale="110" zoomScaleNormal="110" workbookViewId="0">
      <selection activeCell="P13" sqref="P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ht="16.5" customHeight="1" thickBot="1" x14ac:dyDescent="0.35">
      <c r="A2" s="4" t="s">
        <v>8</v>
      </c>
      <c r="B2" s="48" t="s">
        <v>9</v>
      </c>
      <c r="C2" s="48"/>
      <c r="D2" s="48" t="s">
        <v>10</v>
      </c>
      <c r="E2" s="48"/>
      <c r="F2" s="48"/>
      <c r="G2" s="48"/>
      <c r="H2" s="5" t="s">
        <v>16</v>
      </c>
      <c r="I2" s="2" t="s">
        <v>17</v>
      </c>
      <c r="J2" s="3" t="s">
        <v>18</v>
      </c>
      <c r="K2" s="3" t="s">
        <v>19</v>
      </c>
      <c r="L2" s="6"/>
      <c r="M2" s="3"/>
    </row>
    <row r="3" spans="1:13" s="1" customFormat="1" ht="14.1" customHeight="1" x14ac:dyDescent="0.3">
      <c r="A3" s="49">
        <v>1</v>
      </c>
      <c r="B3" s="50" t="s">
        <v>4</v>
      </c>
      <c r="C3" s="50"/>
      <c r="D3" s="51"/>
      <c r="E3" s="51"/>
      <c r="F3" s="51"/>
      <c r="G3" s="52"/>
      <c r="H3" s="92">
        <f>SUM(I3)-2.5</f>
        <v>24.8</v>
      </c>
      <c r="I3" s="93">
        <v>27.3</v>
      </c>
      <c r="J3" s="94">
        <f>SUM(I3)+2.5</f>
        <v>29.8</v>
      </c>
      <c r="K3" s="94">
        <f>SUM(J3)+2.5</f>
        <v>32.299999999999997</v>
      </c>
      <c r="L3" s="95"/>
      <c r="M3" s="96"/>
    </row>
    <row r="4" spans="1:13" s="1" customFormat="1" ht="14.1" customHeight="1" x14ac:dyDescent="0.3">
      <c r="A4" s="32"/>
      <c r="B4" s="88" t="s">
        <v>20</v>
      </c>
      <c r="C4" s="88"/>
      <c r="D4" s="20" t="s">
        <v>21</v>
      </c>
      <c r="E4" s="21"/>
      <c r="F4" s="21"/>
      <c r="G4" s="21"/>
      <c r="H4" s="64"/>
      <c r="I4" s="23"/>
      <c r="J4" s="17"/>
      <c r="K4" s="17"/>
      <c r="L4" s="40"/>
      <c r="M4" s="75"/>
    </row>
    <row r="5" spans="1:13" s="1" customFormat="1" ht="14.1" customHeight="1" x14ac:dyDescent="0.3">
      <c r="A5" s="24">
        <v>2</v>
      </c>
      <c r="B5" s="40" t="s">
        <v>4</v>
      </c>
      <c r="C5" s="40"/>
      <c r="D5" s="38"/>
      <c r="E5" s="38"/>
      <c r="F5" s="38"/>
      <c r="G5" s="41"/>
      <c r="H5" s="91">
        <f>SUM(I5)-2.5</f>
        <v>26</v>
      </c>
      <c r="I5" s="7">
        <v>28.5</v>
      </c>
      <c r="J5" s="8">
        <f>SUM(I5)+2.5</f>
        <v>31</v>
      </c>
      <c r="K5" s="8">
        <f>SUM(J5)+2.5</f>
        <v>33.5</v>
      </c>
      <c r="L5" s="86"/>
      <c r="M5" s="53"/>
    </row>
    <row r="6" spans="1:13" s="1" customFormat="1" ht="14.1" customHeight="1" x14ac:dyDescent="0.3">
      <c r="A6" s="24"/>
      <c r="B6" s="34" t="s">
        <v>22</v>
      </c>
      <c r="C6" s="34"/>
      <c r="D6" s="35" t="s">
        <v>21</v>
      </c>
      <c r="E6" s="36"/>
      <c r="F6" s="36"/>
      <c r="G6" s="36"/>
      <c r="H6" s="91"/>
      <c r="I6" s="7"/>
      <c r="J6" s="8"/>
      <c r="K6" s="8"/>
      <c r="L6" s="86"/>
      <c r="M6" s="58"/>
    </row>
    <row r="7" spans="1:13" s="1" customFormat="1" ht="14.1" customHeight="1" x14ac:dyDescent="0.3">
      <c r="A7" s="49">
        <v>3</v>
      </c>
      <c r="B7" s="40" t="s">
        <v>23</v>
      </c>
      <c r="C7" s="40"/>
      <c r="D7" s="38"/>
      <c r="E7" s="38"/>
      <c r="F7" s="38"/>
      <c r="G7" s="38"/>
      <c r="H7" s="68">
        <f>SUM(I7)-1</f>
        <v>13.5</v>
      </c>
      <c r="I7" s="74">
        <v>14.5</v>
      </c>
      <c r="J7" s="39">
        <f>SUM(I7)+1</f>
        <v>15.5</v>
      </c>
      <c r="K7" s="8">
        <f>SUM(J7)+1</f>
        <v>16.5</v>
      </c>
      <c r="L7" s="17"/>
      <c r="M7" s="53"/>
    </row>
    <row r="8" spans="1:13" s="1" customFormat="1" ht="14.1" customHeight="1" x14ac:dyDescent="0.3">
      <c r="A8" s="24"/>
      <c r="B8" s="34" t="s">
        <v>24</v>
      </c>
      <c r="C8" s="34"/>
      <c r="D8" s="35" t="s">
        <v>25</v>
      </c>
      <c r="E8" s="36"/>
      <c r="F8" s="36"/>
      <c r="G8" s="37"/>
      <c r="H8" s="64"/>
      <c r="I8" s="74"/>
      <c r="J8" s="17"/>
      <c r="K8" s="17"/>
      <c r="L8" s="39"/>
      <c r="M8" s="58"/>
    </row>
    <row r="9" spans="1:13" s="1" customFormat="1" ht="14.1" customHeight="1" x14ac:dyDescent="0.3">
      <c r="A9" s="49">
        <v>4</v>
      </c>
      <c r="B9" s="40" t="s">
        <v>23</v>
      </c>
      <c r="C9" s="40"/>
      <c r="D9" s="38"/>
      <c r="E9" s="38"/>
      <c r="F9" s="38"/>
      <c r="G9" s="38"/>
      <c r="H9" s="91">
        <f>SUM(I9)-1</f>
        <v>12.7</v>
      </c>
      <c r="I9" s="23">
        <v>13.7</v>
      </c>
      <c r="J9" s="8">
        <f>SUM(I9)+1</f>
        <v>14.7</v>
      </c>
      <c r="K9" s="8">
        <f>SUM(J9)+1</f>
        <v>15.7</v>
      </c>
      <c r="L9" s="17"/>
      <c r="M9" s="53"/>
    </row>
    <row r="10" spans="1:13" s="1" customFormat="1" ht="14.1" customHeight="1" x14ac:dyDescent="0.3">
      <c r="A10" s="24"/>
      <c r="B10" s="34" t="s">
        <v>24</v>
      </c>
      <c r="C10" s="34"/>
      <c r="D10" s="35" t="s">
        <v>26</v>
      </c>
      <c r="E10" s="36"/>
      <c r="F10" s="36"/>
      <c r="G10" s="37"/>
      <c r="H10" s="64"/>
      <c r="I10" s="74"/>
      <c r="J10" s="17"/>
      <c r="K10" s="17"/>
      <c r="L10" s="39"/>
      <c r="M10" s="58"/>
    </row>
    <row r="11" spans="1:13" s="1" customFormat="1" ht="14.1" customHeight="1" x14ac:dyDescent="0.3">
      <c r="A11" s="49">
        <v>5</v>
      </c>
      <c r="B11" s="40" t="s">
        <v>27</v>
      </c>
      <c r="C11" s="40"/>
      <c r="D11" s="38"/>
      <c r="E11" s="38"/>
      <c r="F11" s="38"/>
      <c r="G11" s="38"/>
      <c r="H11" s="91">
        <f>SUM(I11)</f>
        <v>2</v>
      </c>
      <c r="I11" s="23">
        <v>2</v>
      </c>
      <c r="J11" s="17">
        <f>SUM(I11)</f>
        <v>2</v>
      </c>
      <c r="K11" s="17">
        <f>SUM(J11)</f>
        <v>2</v>
      </c>
      <c r="L11" s="17"/>
      <c r="M11" s="53"/>
    </row>
    <row r="12" spans="1:13" s="1" customFormat="1" ht="14.1" customHeight="1" x14ac:dyDescent="0.3">
      <c r="A12" s="24"/>
      <c r="B12" s="34" t="s">
        <v>28</v>
      </c>
      <c r="C12" s="34"/>
      <c r="D12" s="35"/>
      <c r="E12" s="36"/>
      <c r="F12" s="36"/>
      <c r="G12" s="37"/>
      <c r="H12" s="91"/>
      <c r="I12" s="44"/>
      <c r="J12" s="39"/>
      <c r="K12" s="39"/>
      <c r="L12" s="39"/>
      <c r="M12" s="58"/>
    </row>
    <row r="13" spans="1:13" s="1" customFormat="1" ht="14.1" customHeight="1" x14ac:dyDescent="0.3">
      <c r="A13" s="49">
        <v>6</v>
      </c>
      <c r="B13" s="26" t="s">
        <v>29</v>
      </c>
      <c r="C13" s="27"/>
      <c r="D13" s="41"/>
      <c r="E13" s="42"/>
      <c r="F13" s="42"/>
      <c r="G13" s="43"/>
      <c r="H13" s="64">
        <f>SUM(I13)-0.8</f>
        <v>14.2</v>
      </c>
      <c r="I13" s="23">
        <v>15</v>
      </c>
      <c r="J13" s="17">
        <f>SUM(I13)+0.8</f>
        <v>15.8</v>
      </c>
      <c r="K13" s="17">
        <f>SUM(J13)+0.8</f>
        <v>16.600000000000001</v>
      </c>
      <c r="L13" s="17"/>
      <c r="M13" s="87"/>
    </row>
    <row r="14" spans="1:13" s="1" customFormat="1" ht="14.1" customHeight="1" x14ac:dyDescent="0.3">
      <c r="A14" s="24"/>
      <c r="B14" s="34" t="s">
        <v>30</v>
      </c>
      <c r="C14" s="34"/>
      <c r="D14" s="35" t="s">
        <v>31</v>
      </c>
      <c r="E14" s="36"/>
      <c r="F14" s="36"/>
      <c r="G14" s="37"/>
      <c r="H14" s="68"/>
      <c r="I14" s="44"/>
      <c r="J14" s="39"/>
      <c r="K14" s="39"/>
      <c r="L14" s="39"/>
      <c r="M14" s="87"/>
    </row>
    <row r="15" spans="1:13" s="1" customFormat="1" ht="14.1" customHeight="1" x14ac:dyDescent="0.3">
      <c r="A15" s="49">
        <v>7</v>
      </c>
      <c r="B15" s="26" t="s">
        <v>32</v>
      </c>
      <c r="C15" s="27"/>
      <c r="D15" s="41"/>
      <c r="E15" s="42"/>
      <c r="F15" s="42"/>
      <c r="G15" s="43"/>
      <c r="H15" s="64">
        <f>SUM(I15)-0.8</f>
        <v>14.799999999999999</v>
      </c>
      <c r="I15" s="23">
        <v>15.6</v>
      </c>
      <c r="J15" s="17">
        <f>SUM(I15)+0.8</f>
        <v>16.399999999999999</v>
      </c>
      <c r="K15" s="17">
        <f>SUM(J15)+0.8</f>
        <v>17.2</v>
      </c>
      <c r="L15" s="17"/>
      <c r="M15" s="87"/>
    </row>
    <row r="16" spans="1:13" s="1" customFormat="1" ht="14.1" customHeight="1" x14ac:dyDescent="0.3">
      <c r="A16" s="24"/>
      <c r="B16" s="34" t="s">
        <v>33</v>
      </c>
      <c r="C16" s="34"/>
      <c r="D16" s="35" t="s">
        <v>31</v>
      </c>
      <c r="E16" s="36"/>
      <c r="F16" s="36"/>
      <c r="G16" s="37"/>
      <c r="H16" s="68"/>
      <c r="I16" s="44"/>
      <c r="J16" s="39"/>
      <c r="K16" s="39"/>
      <c r="L16" s="39"/>
      <c r="M16" s="87"/>
    </row>
    <row r="17" spans="1:13" s="1" customFormat="1" ht="14.1" customHeight="1" x14ac:dyDescent="0.3">
      <c r="A17" s="49">
        <v>8</v>
      </c>
      <c r="B17" s="40" t="s">
        <v>34</v>
      </c>
      <c r="C17" s="40"/>
      <c r="D17" s="38" t="s">
        <v>14</v>
      </c>
      <c r="E17" s="38"/>
      <c r="F17" s="38"/>
      <c r="G17" s="38"/>
      <c r="H17" s="64">
        <f>SUM(I17)-1.5</f>
        <v>27.5</v>
      </c>
      <c r="I17" s="23">
        <v>29</v>
      </c>
      <c r="J17" s="17">
        <f>SUM(I17)+1.5</f>
        <v>30.5</v>
      </c>
      <c r="K17" s="17">
        <f>SUM(J17)+1.5</f>
        <v>32</v>
      </c>
      <c r="L17" s="17"/>
      <c r="M17" s="87"/>
    </row>
    <row r="18" spans="1:13" s="1" customFormat="1" ht="14.1" customHeight="1" x14ac:dyDescent="0.3">
      <c r="A18" s="24"/>
      <c r="B18" s="34" t="s">
        <v>35</v>
      </c>
      <c r="C18" s="34"/>
      <c r="D18" s="35" t="s">
        <v>5</v>
      </c>
      <c r="E18" s="36"/>
      <c r="F18" s="36"/>
      <c r="G18" s="37"/>
      <c r="H18" s="68"/>
      <c r="I18" s="44"/>
      <c r="J18" s="39"/>
      <c r="K18" s="39"/>
      <c r="L18" s="39"/>
      <c r="M18" s="87"/>
    </row>
    <row r="19" spans="1:13" s="1" customFormat="1" ht="14.1" customHeight="1" x14ac:dyDescent="0.3">
      <c r="A19" s="49">
        <v>9</v>
      </c>
      <c r="B19" s="40" t="s">
        <v>36</v>
      </c>
      <c r="C19" s="40"/>
      <c r="D19" s="38" t="s">
        <v>1</v>
      </c>
      <c r="E19" s="38"/>
      <c r="F19" s="38"/>
      <c r="G19" s="38"/>
      <c r="H19" s="64">
        <f>SUM(I19)-1.5</f>
        <v>27.5</v>
      </c>
      <c r="I19" s="23">
        <v>29</v>
      </c>
      <c r="J19" s="17">
        <f>SUM(I19)+1.5</f>
        <v>30.5</v>
      </c>
      <c r="K19" s="17">
        <f>SUM(J19)+1.5</f>
        <v>32</v>
      </c>
      <c r="L19" s="17"/>
      <c r="M19" s="87"/>
    </row>
    <row r="20" spans="1:13" s="1" customFormat="1" ht="14.1" customHeight="1" x14ac:dyDescent="0.3">
      <c r="A20" s="24"/>
      <c r="B20" s="34" t="s">
        <v>37</v>
      </c>
      <c r="C20" s="34"/>
      <c r="D20" s="35" t="s">
        <v>6</v>
      </c>
      <c r="E20" s="36"/>
      <c r="F20" s="36"/>
      <c r="G20" s="37"/>
      <c r="H20" s="68"/>
      <c r="I20" s="44"/>
      <c r="J20" s="39"/>
      <c r="K20" s="39"/>
      <c r="L20" s="39"/>
      <c r="M20" s="87"/>
    </row>
    <row r="21" spans="1:13" s="1" customFormat="1" ht="14.1" customHeight="1" x14ac:dyDescent="0.3">
      <c r="A21" s="49">
        <v>10</v>
      </c>
      <c r="B21" s="26" t="s">
        <v>38</v>
      </c>
      <c r="C21" s="27"/>
      <c r="D21" s="28" t="s">
        <v>39</v>
      </c>
      <c r="E21" s="29"/>
      <c r="F21" s="29"/>
      <c r="G21" s="30"/>
      <c r="H21" s="64">
        <f>SUM(I21)-0.4</f>
        <v>4.5999999999999996</v>
      </c>
      <c r="I21" s="7">
        <v>5</v>
      </c>
      <c r="J21" s="8">
        <f>SUM(I21)+0.4</f>
        <v>5.4</v>
      </c>
      <c r="K21" s="8">
        <f>SUM(J21)+0.4</f>
        <v>5.8000000000000007</v>
      </c>
      <c r="L21" s="86"/>
      <c r="M21" s="87"/>
    </row>
    <row r="22" spans="1:13" s="1" customFormat="1" ht="14.1" customHeight="1" x14ac:dyDescent="0.3">
      <c r="A22" s="24"/>
      <c r="B22" s="89" t="s">
        <v>40</v>
      </c>
      <c r="C22" s="90"/>
      <c r="D22" s="35" t="s">
        <v>41</v>
      </c>
      <c r="E22" s="36"/>
      <c r="F22" s="36"/>
      <c r="G22" s="37"/>
      <c r="H22" s="68"/>
      <c r="I22" s="7"/>
      <c r="J22" s="8"/>
      <c r="K22" s="8"/>
      <c r="L22" s="40"/>
      <c r="M22" s="53"/>
    </row>
    <row r="23" spans="1:13" s="1" customFormat="1" ht="14.1" customHeight="1" x14ac:dyDescent="0.3">
      <c r="A23" s="24">
        <v>11</v>
      </c>
      <c r="B23" s="26"/>
      <c r="C23" s="27"/>
      <c r="D23" s="38"/>
      <c r="E23" s="38"/>
      <c r="F23" s="38"/>
      <c r="G23" s="38"/>
      <c r="H23" s="64"/>
      <c r="I23" s="7"/>
      <c r="J23" s="8"/>
      <c r="K23" s="8"/>
      <c r="L23" s="86"/>
      <c r="M23" s="87"/>
    </row>
    <row r="24" spans="1:13" s="1" customFormat="1" ht="14.1" customHeight="1" thickBot="1" x14ac:dyDescent="0.35">
      <c r="A24" s="32"/>
      <c r="B24" s="88"/>
      <c r="C24" s="88"/>
      <c r="D24" s="20"/>
      <c r="E24" s="21"/>
      <c r="F24" s="21"/>
      <c r="G24" s="22"/>
      <c r="H24" s="67"/>
      <c r="I24" s="23"/>
      <c r="J24" s="17"/>
      <c r="K24" s="17"/>
      <c r="L24" s="40"/>
      <c r="M24" s="53"/>
    </row>
    <row r="25" spans="1:13" s="1" customFormat="1" ht="14.1" customHeight="1" thickTop="1" x14ac:dyDescent="0.3">
      <c r="A25" s="78">
        <v>12</v>
      </c>
      <c r="B25" s="79" t="s">
        <v>42</v>
      </c>
      <c r="C25" s="80"/>
      <c r="D25" s="81" t="s">
        <v>43</v>
      </c>
      <c r="E25" s="82"/>
      <c r="F25" s="82"/>
      <c r="G25" s="83"/>
      <c r="H25" s="84">
        <f>SUM(I25)-2</f>
        <v>40</v>
      </c>
      <c r="I25" s="85">
        <v>42</v>
      </c>
      <c r="J25" s="76">
        <f>SUM(I25)+2</f>
        <v>44</v>
      </c>
      <c r="K25" s="76">
        <f>SUM(J25)+2</f>
        <v>46</v>
      </c>
      <c r="L25" s="76"/>
      <c r="M25" s="77"/>
    </row>
    <row r="26" spans="1:13" s="1" customFormat="1" ht="14.1" customHeight="1" x14ac:dyDescent="0.3">
      <c r="A26" s="24"/>
      <c r="B26" s="59" t="s">
        <v>44</v>
      </c>
      <c r="C26" s="60"/>
      <c r="D26" s="61" t="s">
        <v>45</v>
      </c>
      <c r="E26" s="62"/>
      <c r="F26" s="62"/>
      <c r="G26" s="63"/>
      <c r="H26" s="68"/>
      <c r="I26" s="44"/>
      <c r="J26" s="39"/>
      <c r="K26" s="39"/>
      <c r="L26" s="39"/>
      <c r="M26" s="58"/>
    </row>
    <row r="27" spans="1:13" ht="14.1" customHeight="1" x14ac:dyDescent="0.3">
      <c r="A27" s="24">
        <v>13</v>
      </c>
      <c r="B27" s="26" t="s">
        <v>46</v>
      </c>
      <c r="C27" s="27"/>
      <c r="D27" s="20"/>
      <c r="E27" s="21"/>
      <c r="F27" s="21"/>
      <c r="G27" s="22"/>
      <c r="H27" s="67">
        <f>SUM(I27)-2.8</f>
        <v>60.2</v>
      </c>
      <c r="I27" s="74">
        <v>63</v>
      </c>
      <c r="J27" s="33">
        <f>SUM(I27)+2.8</f>
        <v>65.8</v>
      </c>
      <c r="K27" s="33">
        <f>SUM(J27)+2.8</f>
        <v>68.599999999999994</v>
      </c>
      <c r="L27" s="33"/>
      <c r="M27" s="75"/>
    </row>
    <row r="28" spans="1:13" ht="14.1" customHeight="1" x14ac:dyDescent="0.3">
      <c r="A28" s="24"/>
      <c r="B28" s="59" t="s">
        <v>47</v>
      </c>
      <c r="C28" s="60"/>
      <c r="D28" s="61"/>
      <c r="E28" s="62"/>
      <c r="F28" s="62"/>
      <c r="G28" s="63"/>
      <c r="H28" s="68"/>
      <c r="I28" s="44"/>
      <c r="J28" s="39"/>
      <c r="K28" s="39"/>
      <c r="L28" s="39"/>
      <c r="M28" s="58"/>
    </row>
    <row r="29" spans="1:13" ht="14.1" customHeight="1" x14ac:dyDescent="0.3">
      <c r="A29" s="24">
        <v>14</v>
      </c>
      <c r="B29" s="26" t="s">
        <v>48</v>
      </c>
      <c r="C29" s="27"/>
      <c r="D29" s="41" t="s">
        <v>49</v>
      </c>
      <c r="E29" s="42"/>
      <c r="F29" s="42"/>
      <c r="G29" s="43"/>
      <c r="H29" s="67">
        <f>SUM(I29)-3</f>
        <v>63.599999999999994</v>
      </c>
      <c r="I29" s="74">
        <v>66.599999999999994</v>
      </c>
      <c r="J29" s="33">
        <f>SUM(I29)+3</f>
        <v>69.599999999999994</v>
      </c>
      <c r="K29" s="33">
        <f>SUM(J29)+3</f>
        <v>72.599999999999994</v>
      </c>
      <c r="L29" s="17"/>
      <c r="M29" s="53"/>
    </row>
    <row r="30" spans="1:13" ht="14.1" customHeight="1" x14ac:dyDescent="0.3">
      <c r="A30" s="24"/>
      <c r="B30" s="59" t="s">
        <v>50</v>
      </c>
      <c r="C30" s="60"/>
      <c r="D30" s="61" t="s">
        <v>51</v>
      </c>
      <c r="E30" s="62"/>
      <c r="F30" s="62"/>
      <c r="G30" s="63"/>
      <c r="H30" s="68"/>
      <c r="I30" s="44"/>
      <c r="J30" s="39"/>
      <c r="K30" s="39"/>
      <c r="L30" s="39"/>
      <c r="M30" s="58"/>
    </row>
    <row r="31" spans="1:13" ht="14.1" customHeight="1" x14ac:dyDescent="0.3">
      <c r="A31" s="24">
        <v>15</v>
      </c>
      <c r="B31" s="26" t="s">
        <v>52</v>
      </c>
      <c r="C31" s="27"/>
      <c r="D31" s="41"/>
      <c r="E31" s="42"/>
      <c r="F31" s="42"/>
      <c r="G31" s="43"/>
      <c r="H31" s="67">
        <f>SUM(I31)-0.5</f>
        <v>10.3</v>
      </c>
      <c r="I31" s="23">
        <v>10.8</v>
      </c>
      <c r="J31" s="17">
        <f>SUM(I31)+0.5</f>
        <v>11.3</v>
      </c>
      <c r="K31" s="17">
        <f>SUM(J31)+0.5</f>
        <v>11.8</v>
      </c>
      <c r="L31" s="40"/>
      <c r="M31" s="69"/>
    </row>
    <row r="32" spans="1:13" ht="14.1" customHeight="1" x14ac:dyDescent="0.3">
      <c r="A32" s="24"/>
      <c r="B32" s="59" t="s">
        <v>53</v>
      </c>
      <c r="C32" s="60"/>
      <c r="D32" s="71" t="s">
        <v>54</v>
      </c>
      <c r="E32" s="72"/>
      <c r="F32" s="72"/>
      <c r="G32" s="73"/>
      <c r="H32" s="68"/>
      <c r="I32" s="44"/>
      <c r="J32" s="39"/>
      <c r="K32" s="39"/>
      <c r="L32" s="34"/>
      <c r="M32" s="70"/>
    </row>
    <row r="33" spans="1:13" ht="14.1" customHeight="1" x14ac:dyDescent="0.3">
      <c r="A33" s="24">
        <v>16</v>
      </c>
      <c r="B33" s="26" t="s">
        <v>55</v>
      </c>
      <c r="C33" s="27"/>
      <c r="D33" s="41"/>
      <c r="E33" s="42"/>
      <c r="F33" s="42"/>
      <c r="G33" s="43"/>
      <c r="H33" s="64"/>
      <c r="I33" s="23"/>
      <c r="J33" s="17"/>
      <c r="K33" s="17"/>
      <c r="L33" s="40"/>
      <c r="M33" s="69"/>
    </row>
    <row r="34" spans="1:13" ht="14.1" customHeight="1" x14ac:dyDescent="0.3">
      <c r="A34" s="24"/>
      <c r="B34" s="59" t="s">
        <v>56</v>
      </c>
      <c r="C34" s="60"/>
      <c r="D34" s="71" t="s">
        <v>57</v>
      </c>
      <c r="E34" s="72"/>
      <c r="F34" s="72"/>
      <c r="G34" s="73"/>
      <c r="H34" s="68"/>
      <c r="I34" s="44"/>
      <c r="J34" s="39"/>
      <c r="K34" s="39"/>
      <c r="L34" s="34"/>
      <c r="M34" s="70"/>
    </row>
    <row r="35" spans="1:13" ht="14.1" customHeight="1" x14ac:dyDescent="0.3">
      <c r="A35" s="24">
        <v>17</v>
      </c>
      <c r="B35" s="26" t="s">
        <v>58</v>
      </c>
      <c r="C35" s="27"/>
      <c r="D35" s="41" t="s">
        <v>14</v>
      </c>
      <c r="E35" s="42"/>
      <c r="F35" s="42"/>
      <c r="G35" s="43"/>
      <c r="H35" s="67">
        <f>SUM(I35)-0.8</f>
        <v>21.4</v>
      </c>
      <c r="I35" s="23">
        <v>22.2</v>
      </c>
      <c r="J35" s="17">
        <f>SUM(I35)+1.2</f>
        <v>23.4</v>
      </c>
      <c r="K35" s="17">
        <f>SUM(J35)+1.2</f>
        <v>24.599999999999998</v>
      </c>
      <c r="L35" s="17"/>
      <c r="M35" s="53"/>
    </row>
    <row r="36" spans="1:13" ht="14.1" customHeight="1" x14ac:dyDescent="0.3">
      <c r="A36" s="24"/>
      <c r="B36" s="59" t="s">
        <v>59</v>
      </c>
      <c r="C36" s="60"/>
      <c r="D36" s="61" t="s">
        <v>60</v>
      </c>
      <c r="E36" s="62"/>
      <c r="F36" s="62"/>
      <c r="G36" s="63"/>
      <c r="H36" s="68"/>
      <c r="I36" s="44"/>
      <c r="J36" s="39"/>
      <c r="K36" s="39"/>
      <c r="L36" s="39"/>
      <c r="M36" s="58"/>
    </row>
    <row r="37" spans="1:13" ht="14.1" customHeight="1" x14ac:dyDescent="0.3">
      <c r="A37" s="24">
        <v>18</v>
      </c>
      <c r="B37" s="26" t="s">
        <v>61</v>
      </c>
      <c r="C37" s="27"/>
      <c r="D37" s="41" t="s">
        <v>62</v>
      </c>
      <c r="E37" s="42"/>
      <c r="F37" s="42"/>
      <c r="G37" s="43"/>
      <c r="H37" s="67">
        <f>SUM(I37)-1.7</f>
        <v>38.799999999999997</v>
      </c>
      <c r="I37" s="23">
        <v>40.5</v>
      </c>
      <c r="J37" s="17">
        <f>SUM(I37)+1.7</f>
        <v>42.2</v>
      </c>
      <c r="K37" s="17">
        <f>SUM(J37)+1.7</f>
        <v>43.900000000000006</v>
      </c>
      <c r="L37" s="17"/>
      <c r="M37" s="53"/>
    </row>
    <row r="38" spans="1:13" ht="14.1" customHeight="1" x14ac:dyDescent="0.3">
      <c r="A38" s="24"/>
      <c r="B38" s="59" t="s">
        <v>63</v>
      </c>
      <c r="C38" s="60"/>
      <c r="D38" s="35" t="s">
        <v>64</v>
      </c>
      <c r="E38" s="36"/>
      <c r="F38" s="36"/>
      <c r="G38" s="37"/>
      <c r="H38" s="68"/>
      <c r="I38" s="44"/>
      <c r="J38" s="39"/>
      <c r="K38" s="39"/>
      <c r="L38" s="39"/>
      <c r="M38" s="58"/>
    </row>
    <row r="39" spans="1:13" ht="14.1" customHeight="1" x14ac:dyDescent="0.3">
      <c r="A39" s="24">
        <v>19</v>
      </c>
      <c r="B39" s="26" t="s">
        <v>65</v>
      </c>
      <c r="C39" s="27"/>
      <c r="D39" s="41" t="s">
        <v>66</v>
      </c>
      <c r="E39" s="42"/>
      <c r="F39" s="42"/>
      <c r="G39" s="43"/>
      <c r="H39" s="67">
        <f>SUM(I39)-0.8</f>
        <v>18.3</v>
      </c>
      <c r="I39" s="23">
        <v>19.100000000000001</v>
      </c>
      <c r="J39" s="17">
        <f>SUM(I39)+0.8</f>
        <v>19.900000000000002</v>
      </c>
      <c r="K39" s="17">
        <f>SUM(J39)+0.8</f>
        <v>20.700000000000003</v>
      </c>
      <c r="L39" s="17"/>
      <c r="M39" s="69"/>
    </row>
    <row r="40" spans="1:13" ht="14.1" customHeight="1" x14ac:dyDescent="0.3">
      <c r="A40" s="24"/>
      <c r="B40" s="59" t="s">
        <v>67</v>
      </c>
      <c r="C40" s="60"/>
      <c r="D40" s="61" t="s">
        <v>68</v>
      </c>
      <c r="E40" s="62"/>
      <c r="F40" s="62"/>
      <c r="G40" s="63"/>
      <c r="H40" s="68"/>
      <c r="I40" s="44"/>
      <c r="J40" s="39"/>
      <c r="K40" s="39"/>
      <c r="L40" s="39"/>
      <c r="M40" s="70"/>
    </row>
    <row r="41" spans="1:13" ht="14.1" customHeight="1" x14ac:dyDescent="0.3">
      <c r="A41" s="24">
        <v>20</v>
      </c>
      <c r="B41" s="26" t="s">
        <v>69</v>
      </c>
      <c r="C41" s="27"/>
      <c r="D41" s="41" t="s">
        <v>66</v>
      </c>
      <c r="E41" s="42"/>
      <c r="F41" s="42"/>
      <c r="G41" s="43"/>
      <c r="H41" s="67">
        <f>SUM(I41)-1</f>
        <v>24</v>
      </c>
      <c r="I41" s="23">
        <v>25</v>
      </c>
      <c r="J41" s="17">
        <f>SUM(I41)+1</f>
        <v>26</v>
      </c>
      <c r="K41" s="17">
        <f>SUM(J41)+1</f>
        <v>27</v>
      </c>
      <c r="L41" s="17"/>
      <c r="M41" s="69"/>
    </row>
    <row r="42" spans="1:13" ht="14.1" customHeight="1" x14ac:dyDescent="0.3">
      <c r="A42" s="24"/>
      <c r="B42" s="59" t="s">
        <v>70</v>
      </c>
      <c r="C42" s="60"/>
      <c r="D42" s="61" t="s">
        <v>68</v>
      </c>
      <c r="E42" s="62"/>
      <c r="F42" s="62"/>
      <c r="G42" s="63"/>
      <c r="H42" s="68"/>
      <c r="I42" s="44"/>
      <c r="J42" s="39"/>
      <c r="K42" s="39"/>
      <c r="L42" s="39"/>
      <c r="M42" s="70"/>
    </row>
    <row r="43" spans="1:13" ht="14.1" customHeight="1" x14ac:dyDescent="0.3">
      <c r="A43" s="24">
        <v>21</v>
      </c>
      <c r="B43" s="26" t="s">
        <v>71</v>
      </c>
      <c r="C43" s="27"/>
      <c r="D43" s="41"/>
      <c r="E43" s="42"/>
      <c r="F43" s="42"/>
      <c r="G43" s="43"/>
      <c r="H43" s="67">
        <f>SUM(I43)-0.4</f>
        <v>9.1</v>
      </c>
      <c r="I43" s="23">
        <v>9.5</v>
      </c>
      <c r="J43" s="17">
        <f>SUM(I43)+0.4</f>
        <v>9.9</v>
      </c>
      <c r="K43" s="17">
        <f>SUM(J43)+0.4</f>
        <v>10.3</v>
      </c>
      <c r="L43" s="17"/>
      <c r="M43" s="53"/>
    </row>
    <row r="44" spans="1:13" ht="14.1" customHeight="1" x14ac:dyDescent="0.3">
      <c r="A44" s="24"/>
      <c r="B44" s="59" t="s">
        <v>72</v>
      </c>
      <c r="C44" s="60"/>
      <c r="D44" s="61"/>
      <c r="E44" s="62"/>
      <c r="F44" s="62"/>
      <c r="G44" s="63"/>
      <c r="H44" s="68"/>
      <c r="I44" s="44"/>
      <c r="J44" s="39"/>
      <c r="K44" s="39"/>
      <c r="L44" s="39"/>
      <c r="M44" s="58"/>
    </row>
    <row r="45" spans="1:13" ht="14.1" customHeight="1" x14ac:dyDescent="0.3">
      <c r="A45" s="24">
        <v>22</v>
      </c>
      <c r="B45" s="26" t="s">
        <v>73</v>
      </c>
      <c r="C45" s="27"/>
      <c r="D45" s="41"/>
      <c r="E45" s="42"/>
      <c r="F45" s="42"/>
      <c r="G45" s="43"/>
      <c r="H45" s="67">
        <f>SUM(I45)-0.4</f>
        <v>9.1</v>
      </c>
      <c r="I45" s="23">
        <v>9.5</v>
      </c>
      <c r="J45" s="17">
        <f>SUM(I45)+0.4</f>
        <v>9.9</v>
      </c>
      <c r="K45" s="17">
        <f>SUM(J45)+0.4</f>
        <v>10.3</v>
      </c>
      <c r="L45" s="17"/>
      <c r="M45" s="53"/>
    </row>
    <row r="46" spans="1:13" ht="14.1" customHeight="1" x14ac:dyDescent="0.3">
      <c r="A46" s="24"/>
      <c r="B46" s="59" t="s">
        <v>74</v>
      </c>
      <c r="C46" s="60"/>
      <c r="D46" s="61"/>
      <c r="E46" s="62"/>
      <c r="F46" s="62"/>
      <c r="G46" s="63"/>
      <c r="H46" s="68"/>
      <c r="I46" s="44"/>
      <c r="J46" s="39"/>
      <c r="K46" s="39"/>
      <c r="L46" s="39"/>
      <c r="M46" s="58"/>
    </row>
    <row r="47" spans="1:13" ht="14.1" customHeight="1" x14ac:dyDescent="0.3">
      <c r="A47" s="24">
        <v>23</v>
      </c>
      <c r="B47" s="26"/>
      <c r="C47" s="27"/>
      <c r="D47" s="41"/>
      <c r="E47" s="42"/>
      <c r="F47" s="42"/>
      <c r="G47" s="43"/>
      <c r="H47" s="64"/>
      <c r="I47" s="23"/>
      <c r="J47" s="17"/>
      <c r="K47" s="17"/>
      <c r="L47" s="17"/>
      <c r="M47" s="53"/>
    </row>
    <row r="48" spans="1:13" ht="14.1" customHeight="1" thickBot="1" x14ac:dyDescent="0.35">
      <c r="A48" s="25"/>
      <c r="B48" s="12"/>
      <c r="C48" s="13"/>
      <c r="D48" s="55"/>
      <c r="E48" s="56"/>
      <c r="F48" s="56"/>
      <c r="G48" s="57"/>
      <c r="H48" s="65"/>
      <c r="I48" s="66"/>
      <c r="J48" s="31"/>
      <c r="K48" s="31"/>
      <c r="L48" s="31"/>
      <c r="M48" s="54"/>
    </row>
    <row r="49" ht="14.1" customHeight="1" x14ac:dyDescent="0.3"/>
    <row r="50" ht="14.1" customHeight="1" x14ac:dyDescent="0.3"/>
    <row r="51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</mergeCells>
  <phoneticPr fontId="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60C0-A13B-48BD-AF25-A4B609BA1490}">
  <sheetPr>
    <tabColor rgb="FFFF0000"/>
    <pageSetUpPr fitToPage="1"/>
  </sheetPr>
  <dimension ref="A1:M51"/>
  <sheetViews>
    <sheetView zoomScale="110" zoomScaleNormal="110" workbookViewId="0">
      <selection activeCell="P18" sqref="P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45" t="s">
        <v>75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ht="16.5" customHeight="1" thickBot="1" x14ac:dyDescent="0.35">
      <c r="A2" s="4" t="s">
        <v>8</v>
      </c>
      <c r="B2" s="48" t="s">
        <v>9</v>
      </c>
      <c r="C2" s="48"/>
      <c r="D2" s="48" t="s">
        <v>10</v>
      </c>
      <c r="E2" s="48"/>
      <c r="F2" s="48"/>
      <c r="G2" s="48"/>
      <c r="H2" s="2" t="s">
        <v>11</v>
      </c>
      <c r="I2" s="3" t="s">
        <v>12</v>
      </c>
      <c r="J2" s="3" t="s">
        <v>13</v>
      </c>
      <c r="K2" s="3"/>
      <c r="L2" s="3"/>
      <c r="M2" s="3"/>
    </row>
    <row r="3" spans="1:13" s="1" customFormat="1" ht="14.1" customHeight="1" x14ac:dyDescent="0.3">
      <c r="A3" s="97">
        <v>1</v>
      </c>
      <c r="B3" s="50" t="s">
        <v>4</v>
      </c>
      <c r="C3" s="50"/>
      <c r="D3" s="51" t="s">
        <v>76</v>
      </c>
      <c r="E3" s="51"/>
      <c r="F3" s="51"/>
      <c r="G3" s="52"/>
      <c r="H3" s="93">
        <v>55.6</v>
      </c>
      <c r="I3" s="94">
        <f>SUM(H3)+3</f>
        <v>58.6</v>
      </c>
      <c r="J3" s="94">
        <f>SUM(I3)+3</f>
        <v>61.6</v>
      </c>
      <c r="K3" s="94"/>
      <c r="L3" s="98"/>
      <c r="M3" s="96"/>
    </row>
    <row r="4" spans="1:13" s="1" customFormat="1" ht="14.1" customHeight="1" x14ac:dyDescent="0.3">
      <c r="A4" s="24"/>
      <c r="B4" s="34" t="s">
        <v>77</v>
      </c>
      <c r="C4" s="34"/>
      <c r="D4" s="35" t="s">
        <v>78</v>
      </c>
      <c r="E4" s="36"/>
      <c r="F4" s="36"/>
      <c r="G4" s="36"/>
      <c r="H4" s="7"/>
      <c r="I4" s="8"/>
      <c r="J4" s="8"/>
      <c r="K4" s="17"/>
      <c r="L4" s="39"/>
      <c r="M4" s="58"/>
    </row>
    <row r="5" spans="1:13" s="1" customFormat="1" ht="14.1" customHeight="1" x14ac:dyDescent="0.3">
      <c r="A5" s="24">
        <v>2</v>
      </c>
      <c r="B5" s="26" t="s">
        <v>79</v>
      </c>
      <c r="C5" s="27"/>
      <c r="D5" s="41" t="s">
        <v>80</v>
      </c>
      <c r="E5" s="42"/>
      <c r="F5" s="42"/>
      <c r="G5" s="43"/>
      <c r="H5" s="23">
        <v>31.7</v>
      </c>
      <c r="I5" s="17">
        <f>SUM(H5)+2.2</f>
        <v>33.9</v>
      </c>
      <c r="J5" s="17">
        <f>SUM(I5)+2.2</f>
        <v>36.1</v>
      </c>
      <c r="K5" s="8"/>
      <c r="L5" s="8"/>
      <c r="M5" s="87"/>
    </row>
    <row r="6" spans="1:13" s="1" customFormat="1" ht="14.1" customHeight="1" x14ac:dyDescent="0.3">
      <c r="A6" s="24"/>
      <c r="B6" s="89" t="s">
        <v>81</v>
      </c>
      <c r="C6" s="90"/>
      <c r="D6" s="35" t="s">
        <v>82</v>
      </c>
      <c r="E6" s="36"/>
      <c r="F6" s="36"/>
      <c r="G6" s="37"/>
      <c r="H6" s="44"/>
      <c r="I6" s="39"/>
      <c r="J6" s="39"/>
      <c r="K6" s="8"/>
      <c r="L6" s="8"/>
      <c r="M6" s="87"/>
    </row>
    <row r="7" spans="1:13" s="1" customFormat="1" ht="14.1" customHeight="1" x14ac:dyDescent="0.3">
      <c r="A7" s="24">
        <v>3</v>
      </c>
      <c r="B7" s="40" t="s">
        <v>34</v>
      </c>
      <c r="C7" s="40"/>
      <c r="D7" s="38" t="s">
        <v>83</v>
      </c>
      <c r="E7" s="38"/>
      <c r="F7" s="38"/>
      <c r="G7" s="38"/>
      <c r="H7" s="23">
        <v>43</v>
      </c>
      <c r="I7" s="17">
        <f>SUM(H7)+3</f>
        <v>46</v>
      </c>
      <c r="J7" s="17">
        <f>SUM(I7)+3</f>
        <v>49</v>
      </c>
      <c r="K7" s="8"/>
      <c r="L7" s="8"/>
      <c r="M7" s="87"/>
    </row>
    <row r="8" spans="1:13" s="1" customFormat="1" ht="14.1" customHeight="1" x14ac:dyDescent="0.3">
      <c r="A8" s="24"/>
      <c r="B8" s="34" t="s">
        <v>35</v>
      </c>
      <c r="C8" s="34"/>
      <c r="D8" s="35" t="s">
        <v>5</v>
      </c>
      <c r="E8" s="36"/>
      <c r="F8" s="36"/>
      <c r="G8" s="37"/>
      <c r="H8" s="44"/>
      <c r="I8" s="39"/>
      <c r="J8" s="39"/>
      <c r="K8" s="8"/>
      <c r="L8" s="8"/>
      <c r="M8" s="87"/>
    </row>
    <row r="9" spans="1:13" s="1" customFormat="1" ht="14.1" customHeight="1" x14ac:dyDescent="0.3">
      <c r="A9" s="24">
        <v>4</v>
      </c>
      <c r="B9" s="40" t="s">
        <v>36</v>
      </c>
      <c r="C9" s="40"/>
      <c r="D9" s="38" t="s">
        <v>1</v>
      </c>
      <c r="E9" s="38"/>
      <c r="F9" s="38"/>
      <c r="G9" s="38"/>
      <c r="H9" s="23">
        <v>43</v>
      </c>
      <c r="I9" s="17">
        <f>SUM(H9)+3</f>
        <v>46</v>
      </c>
      <c r="J9" s="17">
        <f>SUM(I9)+3</f>
        <v>49</v>
      </c>
      <c r="K9" s="8"/>
      <c r="L9" s="8"/>
      <c r="M9" s="87"/>
    </row>
    <row r="10" spans="1:13" s="1" customFormat="1" ht="14.1" customHeight="1" x14ac:dyDescent="0.3">
      <c r="A10" s="24"/>
      <c r="B10" s="34" t="s">
        <v>37</v>
      </c>
      <c r="C10" s="34"/>
      <c r="D10" s="35" t="s">
        <v>6</v>
      </c>
      <c r="E10" s="36"/>
      <c r="F10" s="36"/>
      <c r="G10" s="37"/>
      <c r="H10" s="44"/>
      <c r="I10" s="39"/>
      <c r="J10" s="39"/>
      <c r="K10" s="8"/>
      <c r="L10" s="8"/>
      <c r="M10" s="87"/>
    </row>
    <row r="11" spans="1:13" s="1" customFormat="1" ht="14.1" customHeight="1" x14ac:dyDescent="0.3">
      <c r="A11" s="24">
        <v>5</v>
      </c>
      <c r="B11" s="40" t="s">
        <v>2</v>
      </c>
      <c r="C11" s="40"/>
      <c r="D11" s="38" t="s">
        <v>0</v>
      </c>
      <c r="E11" s="38"/>
      <c r="F11" s="38"/>
      <c r="G11" s="38"/>
      <c r="H11" s="7">
        <v>19.3</v>
      </c>
      <c r="I11" s="8">
        <f>SUM(H11)+1</f>
        <v>20.3</v>
      </c>
      <c r="J11" s="8">
        <f>SUM(I11)+1</f>
        <v>21.3</v>
      </c>
      <c r="K11" s="8"/>
      <c r="L11" s="8"/>
      <c r="M11" s="87"/>
    </row>
    <row r="12" spans="1:13" s="1" customFormat="1" ht="14.1" customHeight="1" x14ac:dyDescent="0.3">
      <c r="A12" s="24"/>
      <c r="B12" s="34" t="s">
        <v>3</v>
      </c>
      <c r="C12" s="34"/>
      <c r="D12" s="35" t="s">
        <v>7</v>
      </c>
      <c r="E12" s="36"/>
      <c r="F12" s="36"/>
      <c r="G12" s="37"/>
      <c r="H12" s="7"/>
      <c r="I12" s="8"/>
      <c r="J12" s="8"/>
      <c r="K12" s="8"/>
      <c r="L12" s="8"/>
      <c r="M12" s="87"/>
    </row>
    <row r="13" spans="1:13" s="1" customFormat="1" ht="14.1" customHeight="1" x14ac:dyDescent="0.3">
      <c r="A13" s="24">
        <v>6</v>
      </c>
      <c r="B13" s="40" t="s">
        <v>84</v>
      </c>
      <c r="C13" s="40"/>
      <c r="D13" s="41" t="s">
        <v>85</v>
      </c>
      <c r="E13" s="42"/>
      <c r="F13" s="42"/>
      <c r="G13" s="43"/>
      <c r="H13" s="7">
        <v>18.600000000000001</v>
      </c>
      <c r="I13" s="8">
        <f>SUM(H13)+0.6</f>
        <v>19.200000000000003</v>
      </c>
      <c r="J13" s="8">
        <f>SUM(I13)+0.6</f>
        <v>19.800000000000004</v>
      </c>
      <c r="K13" s="8"/>
      <c r="L13" s="8"/>
      <c r="M13" s="87"/>
    </row>
    <row r="14" spans="1:13" s="1" customFormat="1" ht="14.1" customHeight="1" x14ac:dyDescent="0.3">
      <c r="A14" s="24"/>
      <c r="B14" s="34" t="s">
        <v>86</v>
      </c>
      <c r="C14" s="34"/>
      <c r="D14" s="35" t="s">
        <v>87</v>
      </c>
      <c r="E14" s="36"/>
      <c r="F14" s="36"/>
      <c r="G14" s="37"/>
      <c r="H14" s="7"/>
      <c r="I14" s="8"/>
      <c r="J14" s="8"/>
      <c r="K14" s="8"/>
      <c r="L14" s="8"/>
      <c r="M14" s="87"/>
    </row>
    <row r="15" spans="1:13" s="1" customFormat="1" ht="14.1" customHeight="1" x14ac:dyDescent="0.3">
      <c r="A15" s="24">
        <v>7</v>
      </c>
      <c r="B15" s="40" t="s">
        <v>88</v>
      </c>
      <c r="C15" s="40"/>
      <c r="D15" s="38" t="s">
        <v>89</v>
      </c>
      <c r="E15" s="38"/>
      <c r="F15" s="38"/>
      <c r="G15" s="38"/>
      <c r="H15" s="7">
        <v>8.1999999999999993</v>
      </c>
      <c r="I15" s="8">
        <f>SUM(H15)+0.3</f>
        <v>8.5</v>
      </c>
      <c r="J15" s="8">
        <f>SUM(I15)+0.3</f>
        <v>8.8000000000000007</v>
      </c>
      <c r="K15" s="8"/>
      <c r="L15" s="8"/>
      <c r="M15" s="87"/>
    </row>
    <row r="16" spans="1:13" s="1" customFormat="1" ht="14.1" customHeight="1" x14ac:dyDescent="0.3">
      <c r="A16" s="24"/>
      <c r="B16" s="34" t="s">
        <v>90</v>
      </c>
      <c r="C16" s="34"/>
      <c r="D16" s="35" t="s">
        <v>91</v>
      </c>
      <c r="E16" s="36"/>
      <c r="F16" s="36"/>
      <c r="G16" s="37"/>
      <c r="H16" s="7"/>
      <c r="I16" s="8"/>
      <c r="J16" s="8"/>
      <c r="K16" s="8"/>
      <c r="L16" s="8"/>
      <c r="M16" s="87"/>
    </row>
    <row r="17" spans="1:13" s="1" customFormat="1" ht="14.1" customHeight="1" x14ac:dyDescent="0.3">
      <c r="A17" s="24">
        <v>8</v>
      </c>
      <c r="B17" s="26" t="s">
        <v>92</v>
      </c>
      <c r="C17" s="27"/>
      <c r="D17" s="41" t="s">
        <v>93</v>
      </c>
      <c r="E17" s="42"/>
      <c r="F17" s="42"/>
      <c r="G17" s="43"/>
      <c r="H17" s="7">
        <v>48.9</v>
      </c>
      <c r="I17" s="8">
        <f>SUM(H17)+1.6</f>
        <v>50.5</v>
      </c>
      <c r="J17" s="8">
        <f>SUM(I17)+1.6</f>
        <v>52.1</v>
      </c>
      <c r="K17" s="8"/>
      <c r="L17" s="8"/>
      <c r="M17" s="87"/>
    </row>
    <row r="18" spans="1:13" s="1" customFormat="1" ht="14.1" customHeight="1" x14ac:dyDescent="0.3">
      <c r="A18" s="24"/>
      <c r="B18" s="34" t="s">
        <v>94</v>
      </c>
      <c r="C18" s="34"/>
      <c r="D18" s="35" t="s">
        <v>95</v>
      </c>
      <c r="E18" s="36"/>
      <c r="F18" s="36"/>
      <c r="G18" s="37"/>
      <c r="H18" s="7"/>
      <c r="I18" s="8"/>
      <c r="J18" s="8"/>
      <c r="K18" s="8"/>
      <c r="L18" s="8"/>
      <c r="M18" s="87"/>
    </row>
    <row r="19" spans="1:13" s="1" customFormat="1" ht="14.1" customHeight="1" x14ac:dyDescent="0.3">
      <c r="A19" s="24">
        <v>9</v>
      </c>
      <c r="B19" s="40" t="s">
        <v>96</v>
      </c>
      <c r="C19" s="40"/>
      <c r="D19" s="38" t="s">
        <v>97</v>
      </c>
      <c r="E19" s="38"/>
      <c r="F19" s="38"/>
      <c r="G19" s="38"/>
      <c r="H19" s="7">
        <v>18.5</v>
      </c>
      <c r="I19" s="8">
        <f>SUM(H19)+1.4</f>
        <v>19.899999999999999</v>
      </c>
      <c r="J19" s="8">
        <f>SUM(I19)+1.4</f>
        <v>21.299999999999997</v>
      </c>
      <c r="K19" s="8"/>
      <c r="L19" s="8"/>
      <c r="M19" s="87"/>
    </row>
    <row r="20" spans="1:13" s="1" customFormat="1" ht="14.1" customHeight="1" x14ac:dyDescent="0.3">
      <c r="A20" s="24"/>
      <c r="B20" s="34" t="s">
        <v>98</v>
      </c>
      <c r="C20" s="34"/>
      <c r="D20" s="35" t="s">
        <v>99</v>
      </c>
      <c r="E20" s="36"/>
      <c r="F20" s="36"/>
      <c r="G20" s="37"/>
      <c r="H20" s="7"/>
      <c r="I20" s="8"/>
      <c r="J20" s="8"/>
      <c r="K20" s="8"/>
      <c r="L20" s="8"/>
      <c r="M20" s="87"/>
    </row>
    <row r="21" spans="1:13" s="1" customFormat="1" ht="14.1" customHeight="1" x14ac:dyDescent="0.3">
      <c r="A21" s="24">
        <v>10</v>
      </c>
      <c r="B21" s="40" t="s">
        <v>100</v>
      </c>
      <c r="C21" s="40"/>
      <c r="D21" s="41" t="s">
        <v>101</v>
      </c>
      <c r="E21" s="42"/>
      <c r="F21" s="42"/>
      <c r="G21" s="43"/>
      <c r="H21" s="7"/>
      <c r="I21" s="8"/>
      <c r="J21" s="8"/>
      <c r="K21" s="8"/>
      <c r="L21" s="8"/>
      <c r="M21" s="87"/>
    </row>
    <row r="22" spans="1:13" s="1" customFormat="1" ht="14.1" customHeight="1" x14ac:dyDescent="0.3">
      <c r="A22" s="24"/>
      <c r="B22" s="34" t="s">
        <v>102</v>
      </c>
      <c r="C22" s="34"/>
      <c r="D22" s="35" t="s">
        <v>103</v>
      </c>
      <c r="E22" s="36"/>
      <c r="F22" s="36"/>
      <c r="G22" s="37"/>
      <c r="H22" s="7"/>
      <c r="I22" s="8"/>
      <c r="J22" s="8"/>
      <c r="K22" s="8"/>
      <c r="L22" s="8"/>
      <c r="M22" s="87"/>
    </row>
    <row r="23" spans="1:13" s="1" customFormat="1" ht="14.1" customHeight="1" x14ac:dyDescent="0.3">
      <c r="A23" s="24">
        <v>11</v>
      </c>
      <c r="B23" s="26" t="s">
        <v>104</v>
      </c>
      <c r="C23" s="27"/>
      <c r="D23" s="38" t="s">
        <v>105</v>
      </c>
      <c r="E23" s="38"/>
      <c r="F23" s="38"/>
      <c r="G23" s="38"/>
      <c r="H23" s="7">
        <v>32</v>
      </c>
      <c r="I23" s="8">
        <f>SUM(H23)+1.6</f>
        <v>33.6</v>
      </c>
      <c r="J23" s="8">
        <f>SUM(I23)+1.6</f>
        <v>35.200000000000003</v>
      </c>
      <c r="K23" s="8"/>
      <c r="L23" s="8"/>
      <c r="M23" s="87"/>
    </row>
    <row r="24" spans="1:13" s="1" customFormat="1" ht="14.1" customHeight="1" x14ac:dyDescent="0.3">
      <c r="A24" s="24"/>
      <c r="B24" s="34" t="s">
        <v>106</v>
      </c>
      <c r="C24" s="34"/>
      <c r="D24" s="35" t="s">
        <v>107</v>
      </c>
      <c r="E24" s="36"/>
      <c r="F24" s="36"/>
      <c r="G24" s="37"/>
      <c r="H24" s="7"/>
      <c r="I24" s="8"/>
      <c r="J24" s="8"/>
      <c r="K24" s="8"/>
      <c r="L24" s="8"/>
      <c r="M24" s="87"/>
    </row>
    <row r="25" spans="1:13" s="1" customFormat="1" ht="14.1" customHeight="1" x14ac:dyDescent="0.3">
      <c r="A25" s="24">
        <v>12</v>
      </c>
      <c r="B25" s="26" t="s">
        <v>38</v>
      </c>
      <c r="C25" s="27"/>
      <c r="D25" s="28"/>
      <c r="E25" s="29"/>
      <c r="F25" s="29"/>
      <c r="G25" s="30"/>
      <c r="H25" s="7">
        <v>2.5</v>
      </c>
      <c r="I25" s="8">
        <f>SUM(H25)+0.2</f>
        <v>2.7</v>
      </c>
      <c r="J25" s="8">
        <f>SUM(I25)+0.2</f>
        <v>2.9000000000000004</v>
      </c>
      <c r="K25" s="17"/>
      <c r="L25" s="17"/>
      <c r="M25" s="53"/>
    </row>
    <row r="26" spans="1:13" s="1" customFormat="1" ht="14.1" customHeight="1" x14ac:dyDescent="0.3">
      <c r="A26" s="32"/>
      <c r="B26" s="18" t="s">
        <v>40</v>
      </c>
      <c r="C26" s="19"/>
      <c r="D26" s="20"/>
      <c r="E26" s="21"/>
      <c r="F26" s="21"/>
      <c r="G26" s="22"/>
      <c r="H26" s="23"/>
      <c r="I26" s="17"/>
      <c r="J26" s="17"/>
      <c r="K26" s="33"/>
      <c r="L26" s="33"/>
      <c r="M26" s="75"/>
    </row>
    <row r="27" spans="1:13" ht="14.1" customHeight="1" x14ac:dyDescent="0.3">
      <c r="A27" s="24">
        <v>13</v>
      </c>
      <c r="B27" s="26"/>
      <c r="C27" s="27"/>
      <c r="D27" s="28"/>
      <c r="E27" s="29"/>
      <c r="F27" s="29"/>
      <c r="G27" s="30"/>
      <c r="H27" s="7"/>
      <c r="I27" s="8"/>
      <c r="J27" s="8"/>
      <c r="K27" s="17"/>
      <c r="L27" s="17"/>
      <c r="M27" s="53"/>
    </row>
    <row r="28" spans="1:13" ht="14.1" customHeight="1" x14ac:dyDescent="0.3">
      <c r="A28" s="24"/>
      <c r="B28" s="89"/>
      <c r="C28" s="90"/>
      <c r="D28" s="35"/>
      <c r="E28" s="36"/>
      <c r="F28" s="36"/>
      <c r="G28" s="37"/>
      <c r="H28" s="7"/>
      <c r="I28" s="8"/>
      <c r="J28" s="8"/>
      <c r="K28" s="39"/>
      <c r="L28" s="39"/>
      <c r="M28" s="58"/>
    </row>
    <row r="29" spans="1:13" ht="14.1" customHeight="1" x14ac:dyDescent="0.3">
      <c r="A29" s="49">
        <v>14</v>
      </c>
      <c r="B29" s="18"/>
      <c r="C29" s="19"/>
      <c r="D29" s="99"/>
      <c r="E29" s="100"/>
      <c r="F29" s="100"/>
      <c r="G29" s="101"/>
      <c r="H29" s="44"/>
      <c r="I29" s="39"/>
      <c r="J29" s="39"/>
      <c r="K29" s="33"/>
      <c r="L29" s="33"/>
      <c r="M29" s="75"/>
    </row>
    <row r="30" spans="1:13" ht="14.1" customHeight="1" x14ac:dyDescent="0.3">
      <c r="A30" s="32"/>
      <c r="B30" s="18"/>
      <c r="C30" s="19"/>
      <c r="D30" s="20"/>
      <c r="E30" s="21"/>
      <c r="F30" s="21"/>
      <c r="G30" s="22"/>
      <c r="H30" s="23"/>
      <c r="I30" s="17"/>
      <c r="J30" s="17"/>
      <c r="K30" s="33"/>
      <c r="L30" s="33"/>
      <c r="M30" s="75"/>
    </row>
    <row r="31" spans="1:13" ht="14.1" customHeight="1" x14ac:dyDescent="0.3">
      <c r="A31" s="24">
        <v>15</v>
      </c>
      <c r="B31" s="26"/>
      <c r="C31" s="27"/>
      <c r="D31" s="28"/>
      <c r="E31" s="29"/>
      <c r="F31" s="29"/>
      <c r="G31" s="30"/>
      <c r="H31" s="23"/>
      <c r="I31" s="17"/>
      <c r="J31" s="91"/>
      <c r="K31" s="8"/>
      <c r="L31" s="8"/>
      <c r="M31" s="10"/>
    </row>
    <row r="32" spans="1:13" ht="14.1" customHeight="1" thickBot="1" x14ac:dyDescent="0.35">
      <c r="A32" s="25"/>
      <c r="B32" s="12"/>
      <c r="C32" s="13"/>
      <c r="D32" s="14"/>
      <c r="E32" s="15"/>
      <c r="F32" s="15"/>
      <c r="G32" s="16"/>
      <c r="H32" s="66"/>
      <c r="I32" s="31"/>
      <c r="J32" s="102"/>
      <c r="K32" s="9"/>
      <c r="L32" s="9"/>
      <c r="M32" s="11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MYUSE03</vt:lpstr>
      <vt:lpstr>GUTO16</vt:lpstr>
      <vt:lpstr>GUTO16!Print_Area</vt:lpstr>
      <vt:lpstr>MYUSE03!Print_Area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DAHEE KIM</cp:lastModifiedBy>
  <cp:lastPrinted>2026-03-24T08:34:59Z</cp:lastPrinted>
  <dcterms:created xsi:type="dcterms:W3CDTF">2018-05-14T06:17:18Z</dcterms:created>
  <dcterms:modified xsi:type="dcterms:W3CDTF">2026-04-01T01:28:07Z</dcterms:modified>
</cp:coreProperties>
</file>