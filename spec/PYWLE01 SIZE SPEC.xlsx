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2.199\000000022_이봄이\"/>
    </mc:Choice>
  </mc:AlternateContent>
  <xr:revisionPtr revIDLastSave="0" documentId="8_{4B97FFF8-9738-40EE-9878-040841443F9B}" xr6:coauthVersionLast="47" xr6:coauthVersionMax="47" xr10:uidLastSave="{00000000-0000-0000-0000-000000000000}"/>
  <bookViews>
    <workbookView xWindow="28680" yWindow="-120" windowWidth="29040" windowHeight="15720" xr2:uid="{464735B7-302D-4536-B601-9CA32AF2438C}"/>
  </bookViews>
  <sheets>
    <sheet name="PWLE01" sheetId="1" r:id="rId1"/>
  </sheets>
  <definedNames>
    <definedName name="_xlnm.Print_Area" localSheetId="0">PWLE01!$A$1:$M$22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1" l="1"/>
  <c r="K21" i="1" s="1"/>
  <c r="L21" i="1" s="1"/>
  <c r="M21" i="1" s="1"/>
  <c r="I21" i="1"/>
  <c r="I19" i="1"/>
  <c r="J19" i="1" s="1"/>
  <c r="K19" i="1" s="1"/>
  <c r="L19" i="1" s="1"/>
  <c r="M19" i="1" s="1"/>
  <c r="I17" i="1"/>
  <c r="J17" i="1" s="1"/>
  <c r="K17" i="1" s="1"/>
  <c r="L17" i="1" s="1"/>
  <c r="M17" i="1" s="1"/>
  <c r="I15" i="1"/>
  <c r="J15" i="1" s="1"/>
  <c r="K15" i="1" s="1"/>
  <c r="L15" i="1" s="1"/>
  <c r="M15" i="1" s="1"/>
  <c r="I13" i="1"/>
  <c r="J13" i="1" s="1"/>
  <c r="K13" i="1" s="1"/>
  <c r="L13" i="1" s="1"/>
  <c r="M13" i="1" s="1"/>
  <c r="I11" i="1"/>
  <c r="J11" i="1" s="1"/>
  <c r="K11" i="1" s="1"/>
  <c r="L11" i="1" s="1"/>
  <c r="M11" i="1" s="1"/>
  <c r="J9" i="1"/>
  <c r="K9" i="1" s="1"/>
  <c r="L9" i="1" s="1"/>
  <c r="M9" i="1" s="1"/>
  <c r="I9" i="1"/>
  <c r="I7" i="1"/>
  <c r="J7" i="1" s="1"/>
  <c r="K7" i="1" s="1"/>
  <c r="L7" i="1" s="1"/>
  <c r="M7" i="1" s="1"/>
  <c r="I5" i="1"/>
  <c r="J5" i="1" s="1"/>
  <c r="K5" i="1" s="1"/>
  <c r="L5" i="1" s="1"/>
  <c r="M5" i="1" s="1"/>
  <c r="I3" i="1"/>
  <c r="J3" i="1" s="1"/>
  <c r="K3" i="1" s="1"/>
  <c r="L3" i="1" s="1"/>
  <c r="M3" i="1" s="1"/>
</calcChain>
</file>

<file path=xl/sharedStrings.xml><?xml version="1.0" encoding="utf-8"?>
<sst xmlns="http://schemas.openxmlformats.org/spreadsheetml/2006/main" count="50" uniqueCount="47">
  <si>
    <t>STYLE NO : PYWLE01-K#N01</t>
    <phoneticPr fontId="3" type="noConversion"/>
  </si>
  <si>
    <t>NO.</t>
    <phoneticPr fontId="3" type="noConversion"/>
  </si>
  <si>
    <t xml:space="preserve">LIST </t>
    <phoneticPr fontId="5" type="noConversion"/>
  </si>
  <si>
    <t xml:space="preserve">MEASURMENT METHOD </t>
    <phoneticPr fontId="5" type="noConversion"/>
  </si>
  <si>
    <t>S</t>
    <phoneticPr fontId="3" type="noConversion"/>
  </si>
  <si>
    <t>M</t>
    <phoneticPr fontId="3" type="noConversion"/>
  </si>
  <si>
    <t>L</t>
    <phoneticPr fontId="3" type="noConversion"/>
  </si>
  <si>
    <t>XL</t>
    <phoneticPr fontId="3" type="noConversion"/>
  </si>
  <si>
    <t>2XL</t>
    <phoneticPr fontId="3" type="noConversion"/>
  </si>
  <si>
    <t>3XL</t>
    <phoneticPr fontId="3" type="noConversion"/>
  </si>
  <si>
    <t xml:space="preserve">WAIST </t>
  </si>
  <si>
    <t xml:space="preserve">FLAT,FRONT AND BACK WAIST LINE MATCH STRIGHT </t>
    <phoneticPr fontId="3" type="noConversion"/>
  </si>
  <si>
    <t>허리둘레</t>
    <phoneticPr fontId="3" type="noConversion"/>
  </si>
  <si>
    <t>오비를 일자 상태로 만든 후 수평으로 잰 길이</t>
    <phoneticPr fontId="3" type="noConversion"/>
  </si>
  <si>
    <t xml:space="preserve">HIP </t>
  </si>
  <si>
    <t xml:space="preserve">BASED ON ZIPPER FLY OUT LINE ,STRIGHT </t>
  </si>
  <si>
    <t>엉덩이둘레</t>
  </si>
  <si>
    <t>앞 댕고 스테치를 기준점으로 하여 양쪽 수평선의 길이</t>
    <phoneticPr fontId="3" type="noConversion"/>
  </si>
  <si>
    <t xml:space="preserve">TOTAL LENGTH </t>
  </si>
  <si>
    <t xml:space="preserve">INCLUDE WAIST BAND TO EDGE </t>
    <phoneticPr fontId="3" type="noConversion"/>
  </si>
  <si>
    <t>레깅스기장</t>
    <phoneticPr fontId="3" type="noConversion"/>
  </si>
  <si>
    <t>와끼선을 기준으로 오비끝에서 바지 밑단 끝까지의 길이</t>
    <phoneticPr fontId="3" type="noConversion"/>
  </si>
  <si>
    <t xml:space="preserve">BOTTOM OPENING </t>
  </si>
  <si>
    <t xml:space="preserve">CIRCLE ROUND </t>
  </si>
  <si>
    <t>바지부리</t>
  </si>
  <si>
    <t>바지 밑단의 둘레길이</t>
    <phoneticPr fontId="5" type="noConversion"/>
  </si>
  <si>
    <t xml:space="preserve">FRONT RISE </t>
  </si>
  <si>
    <t xml:space="preserve">INCLUDE WAIST BAND TO EDGE </t>
  </si>
  <si>
    <t>앞밑위</t>
  </si>
  <si>
    <t>오비끝에서 인심 시작점까지의 길이(오비 포함)</t>
    <phoneticPr fontId="3" type="noConversion"/>
  </si>
  <si>
    <t>BACK RISE</t>
  </si>
  <si>
    <t>뒤밑위</t>
  </si>
  <si>
    <t xml:space="preserve">TIGHT </t>
  </si>
  <si>
    <t xml:space="preserve">FROM CROCH  3cm BELOW . WIDE STRIGHT </t>
  </si>
  <si>
    <t>허벅지둘레</t>
  </si>
  <si>
    <t>인심 시작점에서 3cm 밑을 기준점으로 양쪽 수평 길이</t>
    <phoneticPr fontId="3" type="noConversion"/>
  </si>
  <si>
    <t>KNEE</t>
    <phoneticPr fontId="3" type="noConversion"/>
  </si>
  <si>
    <t xml:space="preserve"> </t>
    <phoneticPr fontId="3" type="noConversion"/>
  </si>
  <si>
    <t>무릎둘레</t>
    <phoneticPr fontId="3" type="noConversion"/>
  </si>
  <si>
    <t xml:space="preserve">SKIRT LENGTH </t>
    <phoneticPr fontId="3" type="noConversion"/>
  </si>
  <si>
    <t xml:space="preserve">FROM WAIST POINT TO EDGE STRIGHT </t>
    <phoneticPr fontId="3" type="noConversion"/>
  </si>
  <si>
    <t>치마기장</t>
    <phoneticPr fontId="2" type="noConversion"/>
  </si>
  <si>
    <t>허리와끼에서 밑단까지의 직선길이(오비포함)</t>
    <phoneticPr fontId="3" type="noConversion"/>
  </si>
  <si>
    <t>BOTTOM SWEEP (1/2)</t>
    <phoneticPr fontId="5" type="noConversion"/>
  </si>
  <si>
    <t>ROUND (1/2)</t>
    <phoneticPr fontId="5" type="noConversion"/>
  </si>
  <si>
    <t>밑단둘레(반품)</t>
  </si>
  <si>
    <t>밑단모양을 따라서 잰길이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</si>
</sst>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8"/>
      <color theme="1"/>
      <name val="맑은 고딕"/>
      <family val="3"/>
      <charset val="129"/>
      <scheme val="major"/>
    </font>
    <font>
      <sz val="8"/>
      <name val="돋움"/>
      <family val="3"/>
      <charset val="129"/>
    </font>
    <font>
      <sz val="7.5"/>
      <color theme="1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7.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4" xfId="0" applyFont="1" applyBorder="1" applyAlignment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/>
    </xf>
    <xf numFmtId="0" fontId="6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6D00-6CB6-4C75-9B4C-8D0700287FB5}">
  <sheetPr>
    <tabColor rgb="FF00B050"/>
    <pageSetUpPr fitToPage="1"/>
  </sheetPr>
  <dimension ref="A1:M74"/>
  <sheetViews>
    <sheetView tabSelected="1" zoomScale="110" zoomScaleNormal="110" workbookViewId="0">
      <selection activeCell="P9" sqref="P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6.5" customHeight="1" thickBot="1" x14ac:dyDescent="0.25">
      <c r="A2" s="4" t="s">
        <v>1</v>
      </c>
      <c r="B2" s="5" t="s">
        <v>2</v>
      </c>
      <c r="C2" s="5"/>
      <c r="D2" s="5" t="s">
        <v>3</v>
      </c>
      <c r="E2" s="5"/>
      <c r="F2" s="5"/>
      <c r="G2" s="5"/>
      <c r="H2" s="6" t="s">
        <v>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</row>
    <row r="3" spans="1:13" s="16" customFormat="1" ht="14.1" customHeight="1" x14ac:dyDescent="0.3">
      <c r="A3" s="7">
        <v>1</v>
      </c>
      <c r="B3" s="8" t="s">
        <v>10</v>
      </c>
      <c r="C3" s="9"/>
      <c r="D3" s="10" t="s">
        <v>11</v>
      </c>
      <c r="E3" s="11"/>
      <c r="F3" s="11"/>
      <c r="G3" s="12"/>
      <c r="H3" s="13">
        <v>45</v>
      </c>
      <c r="I3" s="14">
        <f>SUM(H3)+3</f>
        <v>48</v>
      </c>
      <c r="J3" s="14">
        <f>SUM(I3)+3</f>
        <v>51</v>
      </c>
      <c r="K3" s="14">
        <f>SUM(J3)+3</f>
        <v>54</v>
      </c>
      <c r="L3" s="14">
        <f>SUM(K3)+3</f>
        <v>57</v>
      </c>
      <c r="M3" s="15">
        <f>SUM(L3)+3</f>
        <v>60</v>
      </c>
    </row>
    <row r="4" spans="1:13" s="16" customFormat="1" ht="14.1" customHeight="1" x14ac:dyDescent="0.3">
      <c r="A4" s="17"/>
      <c r="B4" s="18" t="s">
        <v>12</v>
      </c>
      <c r="C4" s="19"/>
      <c r="D4" s="20" t="s">
        <v>13</v>
      </c>
      <c r="E4" s="21"/>
      <c r="F4" s="21"/>
      <c r="G4" s="22"/>
      <c r="H4" s="23"/>
      <c r="I4" s="24"/>
      <c r="J4" s="24"/>
      <c r="K4" s="24"/>
      <c r="L4" s="24"/>
      <c r="M4" s="25"/>
    </row>
    <row r="5" spans="1:13" s="16" customFormat="1" ht="14.1" customHeight="1" x14ac:dyDescent="0.3">
      <c r="A5" s="26">
        <v>2</v>
      </c>
      <c r="B5" s="27" t="s">
        <v>14</v>
      </c>
      <c r="C5" s="28"/>
      <c r="D5" s="29" t="s">
        <v>15</v>
      </c>
      <c r="E5" s="30"/>
      <c r="F5" s="30"/>
      <c r="G5" s="31"/>
      <c r="H5" s="32">
        <v>52.5</v>
      </c>
      <c r="I5" s="32">
        <f>SUM(H5)+3.2</f>
        <v>55.7</v>
      </c>
      <c r="J5" s="32">
        <f>SUM(I5)+3.2</f>
        <v>58.900000000000006</v>
      </c>
      <c r="K5" s="32">
        <f>SUM(J5)+3.2</f>
        <v>62.100000000000009</v>
      </c>
      <c r="L5" s="32">
        <f>SUM(K5)+3.2</f>
        <v>65.300000000000011</v>
      </c>
      <c r="M5" s="33">
        <f>SUM(L5)+3.2</f>
        <v>68.500000000000014</v>
      </c>
    </row>
    <row r="6" spans="1:13" s="16" customFormat="1" ht="14.1" customHeight="1" x14ac:dyDescent="0.3">
      <c r="A6" s="17"/>
      <c r="B6" s="18" t="s">
        <v>16</v>
      </c>
      <c r="C6" s="19"/>
      <c r="D6" s="20" t="s">
        <v>17</v>
      </c>
      <c r="E6" s="21"/>
      <c r="F6" s="21"/>
      <c r="G6" s="22"/>
      <c r="H6" s="24"/>
      <c r="I6" s="24"/>
      <c r="J6" s="24"/>
      <c r="K6" s="24"/>
      <c r="L6" s="24"/>
      <c r="M6" s="25"/>
    </row>
    <row r="7" spans="1:13" s="16" customFormat="1" ht="14.1" customHeight="1" x14ac:dyDescent="0.3">
      <c r="A7" s="26">
        <v>3</v>
      </c>
      <c r="B7" s="27" t="s">
        <v>18</v>
      </c>
      <c r="C7" s="28"/>
      <c r="D7" s="29" t="s">
        <v>19</v>
      </c>
      <c r="E7" s="30"/>
      <c r="F7" s="30"/>
      <c r="G7" s="31"/>
      <c r="H7" s="32">
        <v>52</v>
      </c>
      <c r="I7" s="32">
        <f>SUM(H7)+7</f>
        <v>59</v>
      </c>
      <c r="J7" s="32">
        <f>SUM(I7)+7</f>
        <v>66</v>
      </c>
      <c r="K7" s="32">
        <f>SUM(J7)+6</f>
        <v>72</v>
      </c>
      <c r="L7" s="32">
        <f>SUM(K7)+6</f>
        <v>78</v>
      </c>
      <c r="M7" s="33">
        <f>SUM(L7)+6</f>
        <v>84</v>
      </c>
    </row>
    <row r="8" spans="1:13" s="16" customFormat="1" ht="14.1" customHeight="1" x14ac:dyDescent="0.3">
      <c r="A8" s="17"/>
      <c r="B8" s="18" t="s">
        <v>20</v>
      </c>
      <c r="C8" s="19"/>
      <c r="D8" s="20" t="s">
        <v>21</v>
      </c>
      <c r="E8" s="21"/>
      <c r="F8" s="21"/>
      <c r="G8" s="22"/>
      <c r="H8" s="24"/>
      <c r="I8" s="24"/>
      <c r="J8" s="24"/>
      <c r="K8" s="24"/>
      <c r="L8" s="24"/>
      <c r="M8" s="25"/>
    </row>
    <row r="9" spans="1:13" s="16" customFormat="1" ht="14.1" customHeight="1" x14ac:dyDescent="0.3">
      <c r="A9" s="26">
        <v>4</v>
      </c>
      <c r="B9" s="27" t="s">
        <v>22</v>
      </c>
      <c r="C9" s="28"/>
      <c r="D9" s="29" t="s">
        <v>23</v>
      </c>
      <c r="E9" s="30"/>
      <c r="F9" s="30"/>
      <c r="G9" s="31"/>
      <c r="H9" s="32">
        <v>18</v>
      </c>
      <c r="I9" s="32">
        <f>SUM(H9)+0.8</f>
        <v>18.8</v>
      </c>
      <c r="J9" s="32">
        <f>SUM(I9)+0.8</f>
        <v>19.600000000000001</v>
      </c>
      <c r="K9" s="32">
        <f>SUM(J9)+0.8</f>
        <v>20.400000000000002</v>
      </c>
      <c r="L9" s="32">
        <f>SUM(K9)+0.8</f>
        <v>21.200000000000003</v>
      </c>
      <c r="M9" s="33">
        <f>SUM(L9)+0.8</f>
        <v>22.000000000000004</v>
      </c>
    </row>
    <row r="10" spans="1:13" s="16" customFormat="1" ht="14.1" customHeight="1" x14ac:dyDescent="0.3">
      <c r="A10" s="17"/>
      <c r="B10" s="18" t="s">
        <v>24</v>
      </c>
      <c r="C10" s="19"/>
      <c r="D10" s="34" t="s">
        <v>25</v>
      </c>
      <c r="E10" s="35"/>
      <c r="F10" s="35"/>
      <c r="G10" s="36"/>
      <c r="H10" s="24"/>
      <c r="I10" s="24"/>
      <c r="J10" s="24"/>
      <c r="K10" s="24"/>
      <c r="L10" s="24"/>
      <c r="M10" s="25"/>
    </row>
    <row r="11" spans="1:13" s="16" customFormat="1" ht="14.1" customHeight="1" x14ac:dyDescent="0.3">
      <c r="A11" s="26">
        <v>5</v>
      </c>
      <c r="B11" s="27" t="s">
        <v>26</v>
      </c>
      <c r="C11" s="28"/>
      <c r="D11" s="29" t="s">
        <v>27</v>
      </c>
      <c r="E11" s="30"/>
      <c r="F11" s="30"/>
      <c r="G11" s="31"/>
      <c r="H11" s="32">
        <v>20</v>
      </c>
      <c r="I11" s="32">
        <f>SUM(H11)+1</f>
        <v>21</v>
      </c>
      <c r="J11" s="32">
        <f>SUM(I11)+1</f>
        <v>22</v>
      </c>
      <c r="K11" s="32">
        <f>SUM(J11)+1.5</f>
        <v>23.5</v>
      </c>
      <c r="L11" s="32">
        <f>SUM(K11)+1</f>
        <v>24.5</v>
      </c>
      <c r="M11" s="33">
        <f>SUM(L11)+1</f>
        <v>25.5</v>
      </c>
    </row>
    <row r="12" spans="1:13" s="16" customFormat="1" ht="14.1" customHeight="1" x14ac:dyDescent="0.3">
      <c r="A12" s="17"/>
      <c r="B12" s="18" t="s">
        <v>28</v>
      </c>
      <c r="C12" s="19"/>
      <c r="D12" s="20" t="s">
        <v>29</v>
      </c>
      <c r="E12" s="21"/>
      <c r="F12" s="21"/>
      <c r="G12" s="22"/>
      <c r="H12" s="24"/>
      <c r="I12" s="24"/>
      <c r="J12" s="24"/>
      <c r="K12" s="24"/>
      <c r="L12" s="24"/>
      <c r="M12" s="25"/>
    </row>
    <row r="13" spans="1:13" s="16" customFormat="1" ht="14.1" customHeight="1" x14ac:dyDescent="0.3">
      <c r="A13" s="26">
        <v>6</v>
      </c>
      <c r="B13" s="27" t="s">
        <v>30</v>
      </c>
      <c r="C13" s="28"/>
      <c r="D13" s="29" t="s">
        <v>27</v>
      </c>
      <c r="E13" s="30"/>
      <c r="F13" s="30"/>
      <c r="G13" s="31"/>
      <c r="H13" s="32">
        <v>22.5</v>
      </c>
      <c r="I13" s="32">
        <f>SUM(H13)+1.2</f>
        <v>23.7</v>
      </c>
      <c r="J13" s="32">
        <f>SUM(I13)+1.2</f>
        <v>24.9</v>
      </c>
      <c r="K13" s="32">
        <f>SUM(J13)+1.7</f>
        <v>26.599999999999998</v>
      </c>
      <c r="L13" s="32">
        <f>SUM(K13)+1.2</f>
        <v>27.799999999999997</v>
      </c>
      <c r="M13" s="33">
        <f>SUM(L13)+1.2</f>
        <v>28.999999999999996</v>
      </c>
    </row>
    <row r="14" spans="1:13" s="16" customFormat="1" ht="14.1" customHeight="1" x14ac:dyDescent="0.3">
      <c r="A14" s="17"/>
      <c r="B14" s="18" t="s">
        <v>31</v>
      </c>
      <c r="C14" s="19"/>
      <c r="D14" s="20" t="s">
        <v>29</v>
      </c>
      <c r="E14" s="21"/>
      <c r="F14" s="21"/>
      <c r="G14" s="22"/>
      <c r="H14" s="24"/>
      <c r="I14" s="24"/>
      <c r="J14" s="24"/>
      <c r="K14" s="24"/>
      <c r="L14" s="24"/>
      <c r="M14" s="25"/>
    </row>
    <row r="15" spans="1:13" s="16" customFormat="1" ht="14.1" customHeight="1" x14ac:dyDescent="0.3">
      <c r="A15" s="26">
        <v>7</v>
      </c>
      <c r="B15" s="27" t="s">
        <v>32</v>
      </c>
      <c r="C15" s="28"/>
      <c r="D15" s="29" t="s">
        <v>33</v>
      </c>
      <c r="E15" s="30"/>
      <c r="F15" s="30"/>
      <c r="G15" s="31"/>
      <c r="H15" s="37">
        <v>28.8</v>
      </c>
      <c r="I15" s="37">
        <f>SUM(H15)+2.2</f>
        <v>31</v>
      </c>
      <c r="J15" s="37">
        <f>SUM(I15)+2.2</f>
        <v>33.200000000000003</v>
      </c>
      <c r="K15" s="37">
        <f>SUM(J15)+2.1</f>
        <v>35.300000000000004</v>
      </c>
      <c r="L15" s="37">
        <f>SUM(K15)+2.1</f>
        <v>37.400000000000006</v>
      </c>
      <c r="M15" s="38">
        <f>SUM(L15)+2.1</f>
        <v>39.500000000000007</v>
      </c>
    </row>
    <row r="16" spans="1:13" s="16" customFormat="1" ht="14.1" customHeight="1" x14ac:dyDescent="0.3">
      <c r="A16" s="17"/>
      <c r="B16" s="18" t="s">
        <v>34</v>
      </c>
      <c r="C16" s="19"/>
      <c r="D16" s="20" t="s">
        <v>35</v>
      </c>
      <c r="E16" s="21"/>
      <c r="F16" s="21"/>
      <c r="G16" s="22"/>
      <c r="H16" s="37"/>
      <c r="I16" s="37"/>
      <c r="J16" s="37"/>
      <c r="K16" s="37"/>
      <c r="L16" s="37"/>
      <c r="M16" s="38"/>
    </row>
    <row r="17" spans="1:13" s="16" customFormat="1" ht="14.1" customHeight="1" x14ac:dyDescent="0.3">
      <c r="A17" s="26">
        <v>8</v>
      </c>
      <c r="B17" s="27" t="s">
        <v>36</v>
      </c>
      <c r="C17" s="28"/>
      <c r="D17" s="29" t="s">
        <v>37</v>
      </c>
      <c r="E17" s="30"/>
      <c r="F17" s="30"/>
      <c r="G17" s="31"/>
      <c r="H17" s="39">
        <v>23</v>
      </c>
      <c r="I17" s="39">
        <f>SUM(H17)+1</f>
        <v>24</v>
      </c>
      <c r="J17" s="39">
        <f>SUM(I17)+1</f>
        <v>25</v>
      </c>
      <c r="K17" s="39">
        <f>SUM(J17)+1</f>
        <v>26</v>
      </c>
      <c r="L17" s="39">
        <f>SUM(K17)+1</f>
        <v>27</v>
      </c>
      <c r="M17" s="40">
        <f>SUM(L17)+1</f>
        <v>28</v>
      </c>
    </row>
    <row r="18" spans="1:13" s="16" customFormat="1" ht="14.1" customHeight="1" thickBot="1" x14ac:dyDescent="0.35">
      <c r="A18" s="26"/>
      <c r="B18" s="41" t="s">
        <v>38</v>
      </c>
      <c r="C18" s="42"/>
      <c r="D18" s="43" t="s">
        <v>37</v>
      </c>
      <c r="E18" s="44"/>
      <c r="F18" s="44"/>
      <c r="G18" s="45"/>
      <c r="H18" s="46"/>
      <c r="I18" s="46"/>
      <c r="J18" s="46"/>
      <c r="K18" s="46"/>
      <c r="L18" s="46"/>
      <c r="M18" s="47"/>
    </row>
    <row r="19" spans="1:13" s="16" customFormat="1" ht="13.5" customHeight="1" thickTop="1" x14ac:dyDescent="0.3">
      <c r="A19" s="48">
        <v>9</v>
      </c>
      <c r="B19" s="49" t="s">
        <v>39</v>
      </c>
      <c r="C19" s="50"/>
      <c r="D19" s="51" t="s">
        <v>40</v>
      </c>
      <c r="E19" s="52"/>
      <c r="F19" s="52"/>
      <c r="G19" s="53"/>
      <c r="H19" s="54">
        <v>24.5</v>
      </c>
      <c r="I19" s="54">
        <f>SUM(H19)+2.5</f>
        <v>27</v>
      </c>
      <c r="J19" s="54">
        <f>SUM(I19)+2.5</f>
        <v>29.5</v>
      </c>
      <c r="K19" s="54">
        <f>SUM(J19)+3</f>
        <v>32.5</v>
      </c>
      <c r="L19" s="54">
        <f>SUM(K19)+2.5</f>
        <v>35</v>
      </c>
      <c r="M19" s="55">
        <f>SUM(L19)+2.5</f>
        <v>37.5</v>
      </c>
    </row>
    <row r="20" spans="1:13" s="16" customFormat="1" ht="14.1" customHeight="1" x14ac:dyDescent="0.3">
      <c r="A20" s="56"/>
      <c r="B20" s="24" t="s">
        <v>41</v>
      </c>
      <c r="C20" s="24"/>
      <c r="D20" s="34" t="s">
        <v>42</v>
      </c>
      <c r="E20" s="35"/>
      <c r="F20" s="35"/>
      <c r="G20" s="36"/>
      <c r="H20" s="24"/>
      <c r="I20" s="24"/>
      <c r="J20" s="24"/>
      <c r="K20" s="24"/>
      <c r="L20" s="24"/>
      <c r="M20" s="25"/>
    </row>
    <row r="21" spans="1:13" s="16" customFormat="1" ht="14.1" customHeight="1" x14ac:dyDescent="0.3">
      <c r="A21" s="57">
        <v>10</v>
      </c>
      <c r="B21" s="58" t="s">
        <v>43</v>
      </c>
      <c r="C21" s="58"/>
      <c r="D21" s="59" t="s">
        <v>44</v>
      </c>
      <c r="E21" s="59"/>
      <c r="F21" s="59"/>
      <c r="G21" s="59"/>
      <c r="H21" s="24">
        <v>85.8</v>
      </c>
      <c r="I21" s="24">
        <f>SUM(H21)+5.4</f>
        <v>91.2</v>
      </c>
      <c r="J21" s="24">
        <f>SUM(I21)+5.4</f>
        <v>96.600000000000009</v>
      </c>
      <c r="K21" s="24">
        <f>SUM(J21)+5.4</f>
        <v>102.00000000000001</v>
      </c>
      <c r="L21" s="24">
        <f>SUM(K21)+5.4</f>
        <v>107.40000000000002</v>
      </c>
      <c r="M21" s="25">
        <f>SUM(L21)+5.4</f>
        <v>112.80000000000003</v>
      </c>
    </row>
    <row r="22" spans="1:13" s="16" customFormat="1" ht="14.1" customHeight="1" thickBot="1" x14ac:dyDescent="0.35">
      <c r="A22" s="60"/>
      <c r="B22" s="61" t="s">
        <v>45</v>
      </c>
      <c r="C22" s="61"/>
      <c r="D22" s="62" t="s">
        <v>46</v>
      </c>
      <c r="E22" s="63"/>
      <c r="F22" s="63"/>
      <c r="G22" s="64"/>
      <c r="H22" s="65"/>
      <c r="I22" s="65"/>
      <c r="J22" s="65"/>
      <c r="K22" s="65"/>
      <c r="L22" s="65"/>
      <c r="M22" s="66"/>
    </row>
    <row r="23" spans="1:13" s="16" customFormat="1" ht="14.1" customHeigh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 s="16" customFormat="1" ht="14.1" customHeigh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s="16" customFormat="1" ht="14.1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s="16" customFormat="1" ht="14.1" customHeigh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s="16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s="16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16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6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  <row r="58" ht="14.1" customHeight="1" x14ac:dyDescent="0.3"/>
    <row r="59" ht="14.1" customHeight="1" x14ac:dyDescent="0.3"/>
    <row r="60" ht="14.1" customHeight="1" x14ac:dyDescent="0.3"/>
    <row r="61" ht="14.1" customHeight="1" x14ac:dyDescent="0.3"/>
    <row r="62" ht="14.1" customHeight="1" x14ac:dyDescent="0.3"/>
    <row r="63" ht="14.1" customHeight="1" x14ac:dyDescent="0.3"/>
    <row r="64" ht="14.1" customHeight="1" x14ac:dyDescent="0.3"/>
    <row r="65" spans="1:13" ht="14.1" customHeight="1" x14ac:dyDescent="0.3"/>
    <row r="66" spans="1:13" ht="14.1" customHeight="1" x14ac:dyDescent="0.3"/>
    <row r="67" spans="1:13" ht="14.1" customHeight="1" x14ac:dyDescent="0.3"/>
    <row r="68" spans="1:13" ht="14.1" customHeight="1" x14ac:dyDescent="0.3"/>
    <row r="69" spans="1:13" ht="14.1" customHeight="1" x14ac:dyDescent="0.3"/>
    <row r="70" spans="1:13" ht="14.1" customHeight="1" x14ac:dyDescent="0.3"/>
    <row r="71" spans="1:13" ht="14.1" customHeight="1" x14ac:dyDescent="0.3"/>
    <row r="72" spans="1:13" ht="14.1" customHeight="1" x14ac:dyDescent="0.3"/>
    <row r="73" spans="1:13" s="16" customFormat="1" ht="14.1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6" customFormat="1" ht="14.1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113"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7:J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3:J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9:J10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2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PWLE01</vt:lpstr>
      <vt:lpstr>PWLE01!Print_Area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2026-10-08T07:34:33Z</dcterms:created>
  <dcterms:modified xsi:type="dcterms:W3CDTF">2026-10-08T07:35:16Z</dcterms:modified>
</cp:coreProperties>
</file>