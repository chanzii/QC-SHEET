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c240905\Desktop\JYWOP05\"/>
    </mc:Choice>
  </mc:AlternateContent>
  <xr:revisionPtr revIDLastSave="0" documentId="8_{43637DB6-1545-4F8C-BBF3-E8E7BD1561E6}" xr6:coauthVersionLast="47" xr6:coauthVersionMax="47" xr10:uidLastSave="{00000000-0000-0000-0000-000000000000}"/>
  <bookViews>
    <workbookView xWindow="28680" yWindow="-120" windowWidth="29040" windowHeight="15840" tabRatio="772" xr2:uid="{248B8E69-6C34-46C8-9649-87D2B01A7065}"/>
  </bookViews>
  <sheets>
    <sheet name="OP05" sheetId="2724" r:id="rId1"/>
  </sheets>
  <definedNames>
    <definedName name="_xlnm.Print_Area" localSheetId="0">'OP05'!$A$1:$M$38</definedName>
  </definedNames>
  <calcPr calcId="191029"/>
</workbook>
</file>

<file path=xl/calcChain.xml><?xml version="1.0" encoding="utf-8"?>
<calcChain xmlns="http://schemas.openxmlformats.org/spreadsheetml/2006/main">
  <c r="H31" i="2724" l="1"/>
  <c r="I31" i="2724"/>
  <c r="M31" i="2724"/>
  <c r="L31" i="2724"/>
  <c r="K31" i="2724"/>
  <c r="M33" i="2724"/>
  <c r="L33" i="2724"/>
  <c r="K33" i="2724"/>
  <c r="I33" i="2724"/>
  <c r="H33" i="2724" s="1"/>
  <c r="P25" i="2724" l="1"/>
  <c r="P24" i="2724"/>
  <c r="M29" i="2724" l="1"/>
  <c r="L29" i="2724"/>
  <c r="K29" i="2724"/>
  <c r="H29" i="2724"/>
  <c r="I29" i="2724"/>
  <c r="M19" i="2724"/>
  <c r="L19" i="2724"/>
  <c r="K19" i="2724"/>
  <c r="H19" i="2724"/>
  <c r="I19" i="2724"/>
  <c r="L11" i="2724"/>
  <c r="M11" i="2724" s="1"/>
  <c r="K11" i="2724"/>
  <c r="H11" i="2724"/>
  <c r="M9" i="2724"/>
  <c r="L9" i="2724"/>
  <c r="K9" i="2724"/>
  <c r="H9" i="2724"/>
  <c r="I9" i="2724"/>
  <c r="M37" i="2724"/>
  <c r="K27" i="2724"/>
  <c r="L27" i="2724" s="1"/>
  <c r="M27" i="2724" s="1"/>
  <c r="I27" i="2724"/>
  <c r="H27" i="2724" s="1"/>
  <c r="K25" i="2724"/>
  <c r="L25" i="2724" s="1"/>
  <c r="M25" i="2724" s="1"/>
  <c r="I25" i="2724"/>
  <c r="H25" i="2724"/>
  <c r="K21" i="2724"/>
  <c r="L21" i="2724" s="1"/>
  <c r="M21" i="2724" s="1"/>
  <c r="I21" i="2724"/>
  <c r="H21" i="2724"/>
  <c r="K17" i="2724"/>
  <c r="L17" i="2724" s="1"/>
  <c r="M17" i="2724" s="1"/>
  <c r="I17" i="2724"/>
  <c r="H17" i="2724" s="1"/>
  <c r="K15" i="2724"/>
  <c r="L15" i="2724" s="1"/>
  <c r="M15" i="2724" s="1"/>
  <c r="I15" i="2724"/>
  <c r="H15" i="2724" s="1"/>
  <c r="K13" i="2724"/>
  <c r="L13" i="2724" s="1"/>
  <c r="M13" i="2724" s="1"/>
  <c r="I13" i="2724"/>
  <c r="H13" i="2724" s="1"/>
  <c r="I11" i="2724"/>
  <c r="K7" i="2724"/>
  <c r="L7" i="2724" s="1"/>
  <c r="M7" i="2724" s="1"/>
  <c r="I7" i="2724"/>
  <c r="H7" i="2724" s="1"/>
  <c r="L5" i="2724"/>
  <c r="M5" i="2724" s="1"/>
  <c r="K5" i="2724"/>
  <c r="I5" i="2724"/>
  <c r="H5" i="2724" s="1"/>
  <c r="K3" i="2724"/>
  <c r="L3" i="2724" s="1"/>
  <c r="M3" i="2724" s="1"/>
  <c r="I3" i="2724"/>
  <c r="H3" i="2724" s="1"/>
</calcChain>
</file>

<file path=xl/sharedStrings.xml><?xml version="1.0" encoding="utf-8"?>
<sst xmlns="http://schemas.openxmlformats.org/spreadsheetml/2006/main" count="67" uniqueCount="67">
  <si>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</si>
  <si>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</si>
  <si>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</si>
  <si>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</si>
  <si>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</si>
  <si>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</si>
  <si>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</si>
  <si>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</si>
  <si>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</si>
  <si>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</si>
  <si>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어깨너비</t>
  </si>
  <si>
    <t>암홀길이(직선)</t>
  </si>
  <si>
    <t>옆목너비</t>
  </si>
  <si>
    <t>앞목깊이</t>
  </si>
  <si>
    <t>소매통</t>
  </si>
  <si>
    <t>총기장(뒷목)</t>
  </si>
  <si>
    <t>목둘레</t>
  </si>
  <si>
    <t>CHEST (1/2)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</si>
  <si>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</si>
  <si>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</si>
  <si>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가슴(상동)</t>
    <phoneticPr fontId="1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</si>
  <si>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</si>
  <si>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</si>
  <si>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</si>
  <si>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</si>
  <si>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</si>
  <si>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</si>
  <si>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</si>
  <si>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</si>
  <si>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</si>
  <si>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</si>
  <si>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</si>
  <si>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</si>
  <si>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</si>
  <si>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</si>
  <si>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</si>
  <si>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</si>
  <si>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</si>
  <si>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</si>
  <si>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>목라인(NECK LINE)을 따라 잰 곡선의 둘레길이</t>
    <phoneticPr fontId="1" type="noConversion"/>
  </si>
  <si>
    <t>뒷목 중심에서 밑단끝까지 직선길이</t>
    <phoneticPr fontId="1" type="noConversion"/>
  </si>
  <si>
    <t>FROM CENTER BACK TO BOTTOM STRIGHT</t>
    <phoneticPr fontId="2" type="noConversion"/>
  </si>
  <si>
    <t>TOTAL LENGTH (C/B)</t>
    <phoneticPr fontId="2" type="noConversion"/>
  </si>
  <si>
    <t>3XL</t>
    <phoneticPr fontId="1" type="noConversion"/>
  </si>
  <si>
    <t>2XL</t>
    <phoneticPr fontId="1" type="noConversion"/>
  </si>
  <si>
    <t>SLEEVE 4G BAND</t>
    <phoneticPr fontId="2" type="noConversion"/>
  </si>
  <si>
    <t>WITHOUT NECK BAND</t>
    <phoneticPr fontId="2" type="noConversion"/>
  </si>
  <si>
    <t xml:space="preserve">옆목점을 수평으로 잰 길이 </t>
    <phoneticPr fontId="1" type="noConversion"/>
  </si>
  <si>
    <t xml:space="preserve">옆목점에서 앞목중심의 수직 길이 </t>
    <phoneticPr fontId="1" type="noConversion"/>
  </si>
  <si>
    <t>WAIST SWEEP (1/2)</t>
    <phoneticPr fontId="2" type="noConversion"/>
  </si>
  <si>
    <t>허리둘레(반품)</t>
    <phoneticPr fontId="10" type="noConversion"/>
  </si>
  <si>
    <t>BACK ZIPPER LENGTH</t>
    <phoneticPr fontId="1" type="noConversion"/>
  </si>
  <si>
    <t>뒤지퍼길이</t>
    <phoneticPr fontId="1" type="noConversion"/>
  </si>
  <si>
    <t>소매기장</t>
    <phoneticPr fontId="10" type="noConversion"/>
  </si>
  <si>
    <t>치마기장</t>
    <phoneticPr fontId="1" type="noConversion"/>
  </si>
  <si>
    <t>소매4골 고무줄</t>
    <phoneticPr fontId="10" type="noConversion"/>
  </si>
  <si>
    <t>4골고무줄</t>
    <phoneticPr fontId="10" type="noConversion"/>
  </si>
  <si>
    <t>WAIST FRILL LENGTH</t>
    <phoneticPr fontId="2" type="noConversion"/>
  </si>
  <si>
    <t>와끼 기준</t>
    <phoneticPr fontId="10" type="noConversion"/>
  </si>
  <si>
    <t>허리 프릴 기장</t>
    <phoneticPr fontId="10" type="noConversion"/>
  </si>
  <si>
    <t xml:space="preserve"> SKIRT LENGTH</t>
    <phoneticPr fontId="1" type="noConversion"/>
  </si>
  <si>
    <t xml:space="preserve">SLEEVE, A/H SHIRRING </t>
    <phoneticPr fontId="10" type="noConversion"/>
  </si>
  <si>
    <t>소매,암홀 셔링완성</t>
    <phoneticPr fontId="10" type="noConversion"/>
  </si>
  <si>
    <t>리본쪽</t>
    <phoneticPr fontId="10" type="noConversion"/>
  </si>
  <si>
    <t>STYLE NO: JYWOP05-W#G23</t>
    <phoneticPr fontId="1" type="noConversion"/>
  </si>
  <si>
    <t xml:space="preserve">SLEEVE CENTER SHIRRING </t>
    <phoneticPr fontId="10" type="noConversion"/>
  </si>
  <si>
    <t>소매중심 셔링완성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</si>
</sst>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4" fillId="0" borderId="0">
      <alignment vertical="center"/>
    </xf>
  </cellStyleXfs>
  <cellXfs count="57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5" fillId="2" borderId="2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0FA4-7D4A-4DDD-9972-A9C256F747DB}">
  <sheetPr codeName="Sheet39">
    <tabColor theme="5"/>
    <pageSetUpPr fitToPage="1"/>
  </sheetPr>
  <dimension ref="A1:P57"/>
  <sheetViews>
    <sheetView tabSelected="1" zoomScale="110" zoomScaleNormal="110" workbookViewId="0">
      <selection sqref="A1:M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" t="s">
        <v>64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13" ht="16.5" customHeight="1" thickBot="1" x14ac:dyDescent="0.35">
      <c r="A2" s="2" t="s">
        <v>26</v>
      </c>
      <c r="B2" s="8" t="s">
        <v>27</v>
      </c>
      <c r="C2" s="8"/>
      <c r="D2" s="8" t="s">
        <v>28</v>
      </c>
      <c r="E2" s="8"/>
      <c r="F2" s="8"/>
      <c r="G2" s="8"/>
      <c r="H2" s="4" t="s">
        <v>29</v>
      </c>
      <c r="I2" s="4" t="s">
        <v>30</v>
      </c>
      <c r="J2" s="3" t="s">
        <v>31</v>
      </c>
      <c r="K2" s="4" t="s">
        <v>32</v>
      </c>
      <c r="L2" s="4" t="s">
        <v>44</v>
      </c>
      <c r="M2" s="4" t="s">
        <v>43</v>
      </c>
    </row>
    <row r="3" spans="1:13" s="1" customFormat="1" ht="14.1" customHeight="1" x14ac:dyDescent="0.3">
      <c r="A3" s="9">
        <v>1</v>
      </c>
      <c r="B3" s="11" t="s">
        <v>42</v>
      </c>
      <c r="C3" s="12"/>
      <c r="D3" s="13" t="s">
        <v>41</v>
      </c>
      <c r="E3" s="14"/>
      <c r="F3" s="14"/>
      <c r="G3" s="15"/>
      <c r="H3" s="16">
        <f>SUM(I3)-4.9</f>
        <v>55.2</v>
      </c>
      <c r="I3" s="16">
        <f>SUM(J3)-4.9</f>
        <v>60.1</v>
      </c>
      <c r="J3" s="18">
        <v>65</v>
      </c>
      <c r="K3" s="20">
        <f>SUM(J3)+4.9</f>
        <v>69.900000000000006</v>
      </c>
      <c r="L3" s="20">
        <f>SUM(K3)+4.9</f>
        <v>74.800000000000011</v>
      </c>
      <c r="M3" s="21">
        <f>SUM(L3)+4.9</f>
        <v>79.700000000000017</v>
      </c>
    </row>
    <row r="4" spans="1:13" s="1" customFormat="1" ht="14.1" customHeight="1" x14ac:dyDescent="0.3">
      <c r="A4" s="10"/>
      <c r="B4" s="23" t="s">
        <v>15</v>
      </c>
      <c r="C4" s="23"/>
      <c r="D4" s="24" t="s">
        <v>40</v>
      </c>
      <c r="E4" s="25"/>
      <c r="F4" s="25"/>
      <c r="G4" s="25"/>
      <c r="H4" s="17"/>
      <c r="I4" s="17"/>
      <c r="J4" s="19"/>
      <c r="K4" s="16"/>
      <c r="L4" s="16"/>
      <c r="M4" s="22"/>
    </row>
    <row r="5" spans="1:13" s="1" customFormat="1" ht="14.1" customHeight="1" x14ac:dyDescent="0.3">
      <c r="A5" s="10">
        <v>2</v>
      </c>
      <c r="B5" s="29" t="s">
        <v>18</v>
      </c>
      <c r="C5" s="29"/>
      <c r="D5" s="30" t="s">
        <v>19</v>
      </c>
      <c r="E5" s="30"/>
      <c r="F5" s="30"/>
      <c r="G5" s="30"/>
      <c r="H5" s="16">
        <f>SUM(I5)-1.8</f>
        <v>21.4</v>
      </c>
      <c r="I5" s="16">
        <f>SUM(J5)-1.8</f>
        <v>23.2</v>
      </c>
      <c r="J5" s="19">
        <v>25</v>
      </c>
      <c r="K5" s="16">
        <f>SUM(J5)+1.6</f>
        <v>26.6</v>
      </c>
      <c r="L5" s="16">
        <f>SUM(K5)+1.6</f>
        <v>28.200000000000003</v>
      </c>
      <c r="M5" s="22">
        <f>SUM(L5)+1.6</f>
        <v>29.800000000000004</v>
      </c>
    </row>
    <row r="6" spans="1:13" s="1" customFormat="1" ht="14.1" customHeight="1" x14ac:dyDescent="0.3">
      <c r="A6" s="10"/>
      <c r="B6" s="23" t="s">
        <v>10</v>
      </c>
      <c r="C6" s="23"/>
      <c r="D6" s="24" t="s">
        <v>21</v>
      </c>
      <c r="E6" s="25"/>
      <c r="F6" s="25"/>
      <c r="G6" s="28"/>
      <c r="H6" s="17"/>
      <c r="I6" s="17"/>
      <c r="J6" s="26"/>
      <c r="K6" s="17"/>
      <c r="L6" s="17"/>
      <c r="M6" s="27"/>
    </row>
    <row r="7" spans="1:13" s="1" customFormat="1" ht="14.1" customHeight="1" x14ac:dyDescent="0.3">
      <c r="A7" s="10">
        <v>3</v>
      </c>
      <c r="B7" s="29" t="s">
        <v>17</v>
      </c>
      <c r="C7" s="29"/>
      <c r="D7" s="30" t="s">
        <v>36</v>
      </c>
      <c r="E7" s="30"/>
      <c r="F7" s="30"/>
      <c r="G7" s="30"/>
      <c r="H7" s="16">
        <f>SUM(I7)-2.25</f>
        <v>27.5</v>
      </c>
      <c r="I7" s="16">
        <f>SUM(J7)-2.25</f>
        <v>29.75</v>
      </c>
      <c r="J7" s="19">
        <v>32</v>
      </c>
      <c r="K7" s="16">
        <f>SUM(J7)+2</f>
        <v>34</v>
      </c>
      <c r="L7" s="16">
        <f>SUM(K7)+2</f>
        <v>36</v>
      </c>
      <c r="M7" s="22">
        <f>SUM(L7)+2</f>
        <v>38</v>
      </c>
    </row>
    <row r="8" spans="1:13" s="1" customFormat="1" ht="14.1" customHeight="1" x14ac:dyDescent="0.3">
      <c r="A8" s="10"/>
      <c r="B8" s="23" t="s">
        <v>20</v>
      </c>
      <c r="C8" s="23"/>
      <c r="D8" s="24" t="s">
        <v>22</v>
      </c>
      <c r="E8" s="25"/>
      <c r="F8" s="25"/>
      <c r="G8" s="28"/>
      <c r="H8" s="17"/>
      <c r="I8" s="17"/>
      <c r="J8" s="26"/>
      <c r="K8" s="17"/>
      <c r="L8" s="17"/>
      <c r="M8" s="27"/>
    </row>
    <row r="9" spans="1:13" s="1" customFormat="1" ht="14.1" customHeight="1" x14ac:dyDescent="0.3">
      <c r="A9" s="10">
        <v>4</v>
      </c>
      <c r="B9" s="29" t="s">
        <v>49</v>
      </c>
      <c r="C9" s="29"/>
      <c r="D9" s="30" t="s">
        <v>8</v>
      </c>
      <c r="E9" s="30"/>
      <c r="F9" s="30"/>
      <c r="G9" s="30"/>
      <c r="H9" s="16">
        <f>SUM(I9)-2.1</f>
        <v>25.799999999999997</v>
      </c>
      <c r="I9" s="16">
        <f>SUM(J9)-2.1</f>
        <v>27.9</v>
      </c>
      <c r="J9" s="19">
        <v>30</v>
      </c>
      <c r="K9" s="16">
        <f>SUM(J9)+1.9</f>
        <v>31.9</v>
      </c>
      <c r="L9" s="16">
        <f>SUM(K9)+1.9</f>
        <v>33.799999999999997</v>
      </c>
      <c r="M9" s="22">
        <f>SUM(L9)+1.9</f>
        <v>35.699999999999996</v>
      </c>
    </row>
    <row r="10" spans="1:13" s="1" customFormat="1" ht="14.1" customHeight="1" x14ac:dyDescent="0.3">
      <c r="A10" s="10"/>
      <c r="B10" s="23" t="s">
        <v>50</v>
      </c>
      <c r="C10" s="23"/>
      <c r="D10" s="24" t="s">
        <v>23</v>
      </c>
      <c r="E10" s="25"/>
      <c r="F10" s="25"/>
      <c r="G10" s="28"/>
      <c r="H10" s="17"/>
      <c r="I10" s="17"/>
      <c r="J10" s="26"/>
      <c r="K10" s="17"/>
      <c r="L10" s="17"/>
      <c r="M10" s="27"/>
    </row>
    <row r="11" spans="1:13" s="1" customFormat="1" ht="14.1" customHeight="1" x14ac:dyDescent="0.3">
      <c r="A11" s="10">
        <v>5</v>
      </c>
      <c r="B11" s="29" t="s">
        <v>9</v>
      </c>
      <c r="C11" s="29"/>
      <c r="D11" s="30" t="s">
        <v>0</v>
      </c>
      <c r="E11" s="30"/>
      <c r="F11" s="30"/>
      <c r="G11" s="30"/>
      <c r="H11" s="16">
        <f>SUM(I11)-0.9</f>
        <v>13.899999999999999</v>
      </c>
      <c r="I11" s="16">
        <f>SUM(J11)-0.8</f>
        <v>14.799999999999999</v>
      </c>
      <c r="J11" s="31">
        <v>15.6</v>
      </c>
      <c r="K11" s="32">
        <f>SUM(J11)+0.9</f>
        <v>16.5</v>
      </c>
      <c r="L11" s="32">
        <f>SUM(K11)+0.9</f>
        <v>17.399999999999999</v>
      </c>
      <c r="M11" s="33">
        <f>SUM(L11)+0.9</f>
        <v>18.299999999999997</v>
      </c>
    </row>
    <row r="12" spans="1:13" s="1" customFormat="1" ht="14.1" customHeight="1" x14ac:dyDescent="0.3">
      <c r="A12" s="10"/>
      <c r="B12" s="23" t="s">
        <v>11</v>
      </c>
      <c r="C12" s="23"/>
      <c r="D12" s="24" t="s">
        <v>24</v>
      </c>
      <c r="E12" s="25"/>
      <c r="F12" s="25"/>
      <c r="G12" s="28"/>
      <c r="H12" s="17"/>
      <c r="I12" s="17"/>
      <c r="J12" s="31"/>
      <c r="K12" s="32"/>
      <c r="L12" s="32"/>
      <c r="M12" s="33"/>
    </row>
    <row r="13" spans="1:13" s="1" customFormat="1" ht="14.1" customHeight="1" x14ac:dyDescent="0.3">
      <c r="A13" s="10">
        <v>6</v>
      </c>
      <c r="B13" s="29" t="s">
        <v>1</v>
      </c>
      <c r="C13" s="29"/>
      <c r="D13" s="30" t="s">
        <v>46</v>
      </c>
      <c r="E13" s="30"/>
      <c r="F13" s="30"/>
      <c r="G13" s="30"/>
      <c r="H13" s="16">
        <f>SUM(I13)-0.6</f>
        <v>13</v>
      </c>
      <c r="I13" s="16">
        <f>SUM(J13)-0.6</f>
        <v>13.6</v>
      </c>
      <c r="J13" s="31">
        <v>14.2</v>
      </c>
      <c r="K13" s="32">
        <f>SUM(J13)+0.6</f>
        <v>14.799999999999999</v>
      </c>
      <c r="L13" s="32">
        <f>SUM(K13)+0.6</f>
        <v>15.399999999999999</v>
      </c>
      <c r="M13" s="33">
        <f>SUM(L13)+0.6</f>
        <v>15.999999999999998</v>
      </c>
    </row>
    <row r="14" spans="1:13" s="1" customFormat="1" ht="14.1" customHeight="1" x14ac:dyDescent="0.3">
      <c r="A14" s="10"/>
      <c r="B14" s="23" t="s">
        <v>12</v>
      </c>
      <c r="C14" s="23"/>
      <c r="D14" s="24" t="s">
        <v>47</v>
      </c>
      <c r="E14" s="25"/>
      <c r="F14" s="25"/>
      <c r="G14" s="28"/>
      <c r="H14" s="17"/>
      <c r="I14" s="17"/>
      <c r="J14" s="31"/>
      <c r="K14" s="32"/>
      <c r="L14" s="32"/>
      <c r="M14" s="33"/>
    </row>
    <row r="15" spans="1:13" s="1" customFormat="1" ht="14.1" customHeight="1" x14ac:dyDescent="0.3">
      <c r="A15" s="10">
        <v>7</v>
      </c>
      <c r="B15" s="29" t="s">
        <v>2</v>
      </c>
      <c r="C15" s="29"/>
      <c r="D15" s="30" t="s">
        <v>3</v>
      </c>
      <c r="E15" s="30"/>
      <c r="F15" s="30"/>
      <c r="G15" s="30"/>
      <c r="H15" s="16">
        <f>SUM(I15)-0.3</f>
        <v>6</v>
      </c>
      <c r="I15" s="16">
        <f>SUM(J15)-0.3</f>
        <v>6.3</v>
      </c>
      <c r="J15" s="31">
        <v>6.6</v>
      </c>
      <c r="K15" s="32">
        <f>SUM(J15)+0.3</f>
        <v>6.8999999999999995</v>
      </c>
      <c r="L15" s="32">
        <f>SUM(K15)+0.3</f>
        <v>7.1999999999999993</v>
      </c>
      <c r="M15" s="33">
        <f>SUM(L15)+0.3</f>
        <v>7.4999999999999991</v>
      </c>
    </row>
    <row r="16" spans="1:13" s="1" customFormat="1" ht="14.1" customHeight="1" x14ac:dyDescent="0.3">
      <c r="A16" s="10"/>
      <c r="B16" s="23" t="s">
        <v>13</v>
      </c>
      <c r="C16" s="23"/>
      <c r="D16" s="24" t="s">
        <v>48</v>
      </c>
      <c r="E16" s="25"/>
      <c r="F16" s="25"/>
      <c r="G16" s="28"/>
      <c r="H16" s="17"/>
      <c r="I16" s="17"/>
      <c r="J16" s="31"/>
      <c r="K16" s="32"/>
      <c r="L16" s="32"/>
      <c r="M16" s="33"/>
    </row>
    <row r="17" spans="1:16" s="1" customFormat="1" ht="14.1" customHeight="1" x14ac:dyDescent="0.3">
      <c r="A17" s="10">
        <v>8</v>
      </c>
      <c r="B17" s="34" t="s">
        <v>37</v>
      </c>
      <c r="C17" s="35"/>
      <c r="D17" s="36" t="s">
        <v>38</v>
      </c>
      <c r="E17" s="37"/>
      <c r="F17" s="37"/>
      <c r="G17" s="38"/>
      <c r="H17" s="16">
        <f>SUM(I17)-1.6</f>
        <v>34.299999999999997</v>
      </c>
      <c r="I17" s="16">
        <f>SUM(J17)-1.6</f>
        <v>35.9</v>
      </c>
      <c r="J17" s="31">
        <v>37.5</v>
      </c>
      <c r="K17" s="32">
        <f>SUM(J17)+1.6</f>
        <v>39.1</v>
      </c>
      <c r="L17" s="32">
        <f>SUM(K17)+1.6</f>
        <v>40.700000000000003</v>
      </c>
      <c r="M17" s="33">
        <f>SUM(L17)+1.6</f>
        <v>42.300000000000004</v>
      </c>
    </row>
    <row r="18" spans="1:16" s="1" customFormat="1" ht="14.1" customHeight="1" x14ac:dyDescent="0.3">
      <c r="A18" s="10"/>
      <c r="B18" s="23" t="s">
        <v>16</v>
      </c>
      <c r="C18" s="23"/>
      <c r="D18" s="24" t="s">
        <v>39</v>
      </c>
      <c r="E18" s="25"/>
      <c r="F18" s="25"/>
      <c r="G18" s="28"/>
      <c r="H18" s="17"/>
      <c r="I18" s="17"/>
      <c r="J18" s="31"/>
      <c r="K18" s="32"/>
      <c r="L18" s="32"/>
      <c r="M18" s="33"/>
    </row>
    <row r="19" spans="1:16" s="1" customFormat="1" ht="14.1" customHeight="1" x14ac:dyDescent="0.3">
      <c r="A19" s="10">
        <v>9</v>
      </c>
      <c r="B19" s="34" t="s">
        <v>57</v>
      </c>
      <c r="C19" s="35"/>
      <c r="D19" s="36"/>
      <c r="E19" s="37"/>
      <c r="F19" s="37"/>
      <c r="G19" s="38"/>
      <c r="H19" s="16">
        <f>SUM(I19)-1.2</f>
        <v>15.600000000000001</v>
      </c>
      <c r="I19" s="16">
        <f>SUM(J19)-1.2</f>
        <v>16.8</v>
      </c>
      <c r="J19" s="31">
        <v>18</v>
      </c>
      <c r="K19" s="32">
        <f>SUM(J19)+1.2</f>
        <v>19.2</v>
      </c>
      <c r="L19" s="32">
        <f>SUM(K19)+1.2</f>
        <v>20.399999999999999</v>
      </c>
      <c r="M19" s="33">
        <f>SUM(L19)+1.2</f>
        <v>21.599999999999998</v>
      </c>
    </row>
    <row r="20" spans="1:16" s="1" customFormat="1" ht="14.1" customHeight="1" x14ac:dyDescent="0.3">
      <c r="A20" s="10"/>
      <c r="B20" s="23" t="s">
        <v>59</v>
      </c>
      <c r="C20" s="23"/>
      <c r="D20" s="24" t="s">
        <v>58</v>
      </c>
      <c r="E20" s="25"/>
      <c r="F20" s="25"/>
      <c r="G20" s="28"/>
      <c r="H20" s="17"/>
      <c r="I20" s="17"/>
      <c r="J20" s="31"/>
      <c r="K20" s="32"/>
      <c r="L20" s="32"/>
      <c r="M20" s="33"/>
    </row>
    <row r="21" spans="1:16" s="1" customFormat="1" ht="14.1" customHeight="1" x14ac:dyDescent="0.3">
      <c r="A21" s="10">
        <v>10</v>
      </c>
      <c r="B21" s="29" t="s">
        <v>4</v>
      </c>
      <c r="C21" s="29"/>
      <c r="D21" s="30" t="s">
        <v>5</v>
      </c>
      <c r="E21" s="30"/>
      <c r="F21" s="30"/>
      <c r="G21" s="30"/>
      <c r="H21" s="16">
        <f>SUM(I21)-3.6</f>
        <v>34.299999999999997</v>
      </c>
      <c r="I21" s="16">
        <f>SUM(J21)-3.6</f>
        <v>37.9</v>
      </c>
      <c r="J21" s="31">
        <v>41.5</v>
      </c>
      <c r="K21" s="32">
        <f>SUM(J21)+3.7</f>
        <v>45.2</v>
      </c>
      <c r="L21" s="32">
        <f>SUM(K21)+3.7</f>
        <v>48.900000000000006</v>
      </c>
      <c r="M21" s="33">
        <f>SUM(L21)+3.7</f>
        <v>52.600000000000009</v>
      </c>
    </row>
    <row r="22" spans="1:16" s="1" customFormat="1" ht="14.1" customHeight="1" x14ac:dyDescent="0.3">
      <c r="A22" s="10"/>
      <c r="B22" s="23" t="s">
        <v>53</v>
      </c>
      <c r="C22" s="23"/>
      <c r="D22" s="24" t="s">
        <v>25</v>
      </c>
      <c r="E22" s="25"/>
      <c r="F22" s="25"/>
      <c r="G22" s="28"/>
      <c r="H22" s="17"/>
      <c r="I22" s="17"/>
      <c r="J22" s="31"/>
      <c r="K22" s="32"/>
      <c r="L22" s="32"/>
      <c r="M22" s="33"/>
    </row>
    <row r="23" spans="1:16" s="1" customFormat="1" ht="14.1" customHeight="1" x14ac:dyDescent="0.3">
      <c r="A23" s="10">
        <v>11</v>
      </c>
      <c r="B23" s="29" t="s">
        <v>6</v>
      </c>
      <c r="C23" s="29"/>
      <c r="D23" s="36" t="s">
        <v>7</v>
      </c>
      <c r="E23" s="37"/>
      <c r="F23" s="37"/>
      <c r="G23" s="38"/>
      <c r="H23" s="16"/>
      <c r="I23" s="16"/>
      <c r="J23" s="31"/>
      <c r="K23" s="32"/>
      <c r="L23" s="32"/>
      <c r="M23" s="33"/>
      <c r="P23" s="1" t="s">
        <v>56</v>
      </c>
    </row>
    <row r="24" spans="1:16" s="1" customFormat="1" ht="14.1" customHeight="1" x14ac:dyDescent="0.3">
      <c r="A24" s="10"/>
      <c r="B24" s="23" t="s">
        <v>14</v>
      </c>
      <c r="C24" s="23"/>
      <c r="D24" s="24" t="s">
        <v>33</v>
      </c>
      <c r="E24" s="25"/>
      <c r="F24" s="25"/>
      <c r="G24" s="28"/>
      <c r="H24" s="17"/>
      <c r="I24" s="17"/>
      <c r="J24" s="31"/>
      <c r="K24" s="32"/>
      <c r="L24" s="32"/>
      <c r="M24" s="33"/>
      <c r="P24" s="1">
        <f>SUM(H25+H25+I25+I25+J25+J25+K25+K25+L25+L25)</f>
        <v>160</v>
      </c>
    </row>
    <row r="25" spans="1:16" s="1" customFormat="1" ht="14.1" customHeight="1" x14ac:dyDescent="0.3">
      <c r="A25" s="10">
        <v>12</v>
      </c>
      <c r="B25" s="34" t="s">
        <v>45</v>
      </c>
      <c r="C25" s="35"/>
      <c r="D25" s="30" t="s">
        <v>34</v>
      </c>
      <c r="E25" s="30"/>
      <c r="F25" s="30"/>
      <c r="G25" s="30"/>
      <c r="H25" s="16">
        <f>SUM(I25)-0.6</f>
        <v>14.8</v>
      </c>
      <c r="I25" s="16">
        <f>SUM(J25)-0.6</f>
        <v>15.4</v>
      </c>
      <c r="J25" s="31">
        <v>16</v>
      </c>
      <c r="K25" s="32">
        <f>SUM(J25)+0.6</f>
        <v>16.600000000000001</v>
      </c>
      <c r="L25" s="32">
        <f>SUM(K25)+0.6</f>
        <v>17.200000000000003</v>
      </c>
      <c r="M25" s="33">
        <f>SUM(L25)+0.6</f>
        <v>17.800000000000004</v>
      </c>
      <c r="P25" s="1">
        <f>SUM(P24/91.44/5*1.08)</f>
        <v>0.37795275590551186</v>
      </c>
    </row>
    <row r="26" spans="1:16" s="1" customFormat="1" ht="14.1" customHeight="1" x14ac:dyDescent="0.3">
      <c r="A26" s="10"/>
      <c r="B26" s="23" t="s">
        <v>55</v>
      </c>
      <c r="C26" s="23"/>
      <c r="D26" s="24" t="s">
        <v>35</v>
      </c>
      <c r="E26" s="25"/>
      <c r="F26" s="25"/>
      <c r="G26" s="28"/>
      <c r="H26" s="17"/>
      <c r="I26" s="17"/>
      <c r="J26" s="31"/>
      <c r="K26" s="32"/>
      <c r="L26" s="32"/>
      <c r="M26" s="33"/>
    </row>
    <row r="27" spans="1:16" s="1" customFormat="1" ht="14.1" customHeight="1" x14ac:dyDescent="0.3">
      <c r="A27" s="10">
        <v>13</v>
      </c>
      <c r="B27" s="11" t="s">
        <v>60</v>
      </c>
      <c r="C27" s="12"/>
      <c r="D27" s="39"/>
      <c r="E27" s="40"/>
      <c r="F27" s="40"/>
      <c r="G27" s="41"/>
      <c r="H27" s="42">
        <f>SUM(I27)-3</f>
        <v>36.4</v>
      </c>
      <c r="I27" s="42">
        <f>SUM(J27)-3</f>
        <v>39.4</v>
      </c>
      <c r="J27" s="26">
        <v>42.4</v>
      </c>
      <c r="K27" s="17">
        <f>SUM(J27)+3</f>
        <v>45.4</v>
      </c>
      <c r="L27" s="17">
        <f>SUM(K27)+3</f>
        <v>48.4</v>
      </c>
      <c r="M27" s="27">
        <f>SUM(L27)+3</f>
        <v>51.4</v>
      </c>
    </row>
    <row r="28" spans="1:16" s="1" customFormat="1" ht="14.1" customHeight="1" x14ac:dyDescent="0.3">
      <c r="A28" s="10"/>
      <c r="B28" s="43" t="s">
        <v>54</v>
      </c>
      <c r="C28" s="44"/>
      <c r="D28" s="24"/>
      <c r="E28" s="25"/>
      <c r="F28" s="25"/>
      <c r="G28" s="28"/>
      <c r="H28" s="17"/>
      <c r="I28" s="17"/>
      <c r="J28" s="31"/>
      <c r="K28" s="32"/>
      <c r="L28" s="32"/>
      <c r="M28" s="33"/>
    </row>
    <row r="29" spans="1:16" s="1" customFormat="1" ht="14.1" customHeight="1" x14ac:dyDescent="0.3">
      <c r="A29" s="10">
        <v>14</v>
      </c>
      <c r="B29" s="11" t="s">
        <v>61</v>
      </c>
      <c r="C29" s="12"/>
      <c r="D29" s="39"/>
      <c r="E29" s="40"/>
      <c r="F29" s="40"/>
      <c r="G29" s="41"/>
      <c r="H29" s="16">
        <f>SUM(I29)-0.4</f>
        <v>6.4999999999999991</v>
      </c>
      <c r="I29" s="16">
        <f>SUM(J29)-0.4</f>
        <v>6.8999999999999995</v>
      </c>
      <c r="J29" s="31">
        <v>7.3</v>
      </c>
      <c r="K29" s="32">
        <f>SUM(J29)+0.4</f>
        <v>7.7</v>
      </c>
      <c r="L29" s="32">
        <f>SUM(K29)+0.4</f>
        <v>8.1</v>
      </c>
      <c r="M29" s="33">
        <f>SUM(L29)+0.4</f>
        <v>8.5</v>
      </c>
    </row>
    <row r="30" spans="1:16" s="1" customFormat="1" ht="14.1" customHeight="1" x14ac:dyDescent="0.3">
      <c r="A30" s="10"/>
      <c r="B30" s="43" t="s">
        <v>62</v>
      </c>
      <c r="C30" s="44"/>
      <c r="D30" s="24" t="s">
        <v>63</v>
      </c>
      <c r="E30" s="25"/>
      <c r="F30" s="25"/>
      <c r="G30" s="28"/>
      <c r="H30" s="17"/>
      <c r="I30" s="17"/>
      <c r="J30" s="31"/>
      <c r="K30" s="32"/>
      <c r="L30" s="32"/>
      <c r="M30" s="33"/>
    </row>
    <row r="31" spans="1:16" s="1" customFormat="1" ht="14.1" customHeight="1" x14ac:dyDescent="0.3">
      <c r="A31" s="10">
        <v>15</v>
      </c>
      <c r="B31" s="11" t="s">
        <v>65</v>
      </c>
      <c r="C31" s="12"/>
      <c r="D31" s="39"/>
      <c r="E31" s="40"/>
      <c r="F31" s="40"/>
      <c r="G31" s="41"/>
      <c r="H31" s="16">
        <f>SUM(I31)-0.2</f>
        <v>3.5999999999999996</v>
      </c>
      <c r="I31" s="16">
        <f>SUM(J31)-0.2</f>
        <v>3.8</v>
      </c>
      <c r="J31" s="31">
        <v>4</v>
      </c>
      <c r="K31" s="32">
        <f>SUM(J31)+0.2</f>
        <v>4.2</v>
      </c>
      <c r="L31" s="32">
        <f>SUM(K31)+0.2</f>
        <v>4.4000000000000004</v>
      </c>
      <c r="M31" s="33">
        <f>SUM(L31)+0.2</f>
        <v>4.6000000000000005</v>
      </c>
    </row>
    <row r="32" spans="1:16" s="1" customFormat="1" ht="14.1" customHeight="1" x14ac:dyDescent="0.3">
      <c r="A32" s="10"/>
      <c r="B32" s="43" t="s">
        <v>66</v>
      </c>
      <c r="C32" s="44"/>
      <c r="D32" s="24"/>
      <c r="E32" s="25"/>
      <c r="F32" s="25"/>
      <c r="G32" s="28"/>
      <c r="H32" s="17"/>
      <c r="I32" s="17"/>
      <c r="J32" s="31"/>
      <c r="K32" s="32"/>
      <c r="L32" s="32"/>
      <c r="M32" s="33"/>
    </row>
    <row r="33" spans="1:13" s="1" customFormat="1" ht="14.1" customHeight="1" x14ac:dyDescent="0.3">
      <c r="A33" s="10">
        <v>16</v>
      </c>
      <c r="B33" s="34" t="s">
        <v>51</v>
      </c>
      <c r="C33" s="35"/>
      <c r="D33" s="45"/>
      <c r="E33" s="46"/>
      <c r="F33" s="46"/>
      <c r="G33" s="47"/>
      <c r="H33" s="16">
        <f>SUM(I33)-2.4</f>
        <v>29.700000000000003</v>
      </c>
      <c r="I33" s="16">
        <f>SUM(J33)-2.4</f>
        <v>32.1</v>
      </c>
      <c r="J33" s="31">
        <v>34.5</v>
      </c>
      <c r="K33" s="32">
        <f>SUM(J33)+2.4</f>
        <v>36.9</v>
      </c>
      <c r="L33" s="32">
        <f>SUM(K33)+2.4</f>
        <v>39.299999999999997</v>
      </c>
      <c r="M33" s="33">
        <f>SUM(L33)+2.4</f>
        <v>41.699999999999996</v>
      </c>
    </row>
    <row r="34" spans="1:13" s="1" customFormat="1" ht="14.1" customHeight="1" x14ac:dyDescent="0.3">
      <c r="A34" s="10"/>
      <c r="B34" s="43" t="s">
        <v>52</v>
      </c>
      <c r="C34" s="44"/>
      <c r="D34" s="24"/>
      <c r="E34" s="25"/>
      <c r="F34" s="25"/>
      <c r="G34" s="28"/>
      <c r="H34" s="17"/>
      <c r="I34" s="17"/>
      <c r="J34" s="31"/>
      <c r="K34" s="32"/>
      <c r="L34" s="32"/>
      <c r="M34" s="33"/>
    </row>
    <row r="35" spans="1:13" s="1" customFormat="1" ht="14.1" customHeight="1" x14ac:dyDescent="0.3">
      <c r="A35" s="10">
        <v>17</v>
      </c>
      <c r="B35" s="34"/>
      <c r="C35" s="35"/>
      <c r="D35" s="45"/>
      <c r="E35" s="46"/>
      <c r="F35" s="46"/>
      <c r="G35" s="47"/>
      <c r="H35" s="16"/>
      <c r="I35" s="16"/>
      <c r="J35" s="31"/>
      <c r="K35" s="32"/>
      <c r="L35" s="32"/>
      <c r="M35" s="33"/>
    </row>
    <row r="36" spans="1:13" s="1" customFormat="1" ht="14.1" customHeight="1" x14ac:dyDescent="0.3">
      <c r="A36" s="10"/>
      <c r="B36" s="43"/>
      <c r="C36" s="44"/>
      <c r="D36" s="24"/>
      <c r="E36" s="25"/>
      <c r="F36" s="25"/>
      <c r="G36" s="28"/>
      <c r="H36" s="17"/>
      <c r="I36" s="17"/>
      <c r="J36" s="31"/>
      <c r="K36" s="32"/>
      <c r="L36" s="32"/>
      <c r="M36" s="33"/>
    </row>
    <row r="37" spans="1:13" s="1" customFormat="1" ht="14.1" customHeight="1" x14ac:dyDescent="0.3">
      <c r="A37" s="10">
        <v>18</v>
      </c>
      <c r="B37" s="29"/>
      <c r="C37" s="29"/>
      <c r="D37" s="30"/>
      <c r="E37" s="30"/>
      <c r="F37" s="30"/>
      <c r="G37" s="30"/>
      <c r="H37" s="16"/>
      <c r="I37" s="16"/>
      <c r="J37" s="31"/>
      <c r="K37" s="32"/>
      <c r="L37" s="32"/>
      <c r="M37" s="33">
        <f>SUM(L37)+2.4</f>
        <v>2.4</v>
      </c>
    </row>
    <row r="38" spans="1:13" s="1" customFormat="1" ht="14.1" customHeight="1" thickBot="1" x14ac:dyDescent="0.35">
      <c r="A38" s="54"/>
      <c r="B38" s="50"/>
      <c r="C38" s="50"/>
      <c r="D38" s="51"/>
      <c r="E38" s="52"/>
      <c r="F38" s="52"/>
      <c r="G38" s="53"/>
      <c r="H38" s="55"/>
      <c r="I38" s="55"/>
      <c r="J38" s="56"/>
      <c r="K38" s="48"/>
      <c r="L38" s="48"/>
      <c r="M38" s="49"/>
    </row>
    <row r="39" spans="1:13" s="1" customFormat="1" ht="14.1" customHeigh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OP05</vt:lpstr>
      <vt:lpstr>'OP05'!Print_Area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sc240905</cp:lastModifiedBy>
  <cp:lastPrinted>2026-09-03T02:52:12Z</cp:lastPrinted>
  <dcterms:created xsi:type="dcterms:W3CDTF">2018-05-14T06:17:18Z</dcterms:created>
  <dcterms:modified xsi:type="dcterms:W3CDTF">2026-09-03T07:25:01Z</dcterms:modified>
</cp:coreProperties>
</file>