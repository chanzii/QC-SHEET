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본공장풀패턴\2026\여름잠옷풀패턴\"/>
    </mc:Choice>
  </mc:AlternateContent>
  <xr:revisionPtr revIDLastSave="0" documentId="13_ncr:1_{A1E31993-AF10-4CD8-BF9C-625B99EC6A98}" xr6:coauthVersionLast="47" xr6:coauthVersionMax="47" xr10:uidLastSave="{00000000-0000-0000-0000-000000000000}"/>
  <bookViews>
    <workbookView xWindow="33840" yWindow="810" windowWidth="19650" windowHeight="13935" tabRatio="778" xr2:uid="{00000000-000D-0000-FFFF-FFFF00000000}"/>
  </bookViews>
  <sheets>
    <sheet name="USL01" sheetId="1171" r:id="rId1"/>
    <sheet name="USL02" sheetId="1170" r:id="rId2"/>
    <sheet name="USL03" sheetId="1172" r:id="rId3"/>
    <sheet name="USL04" sheetId="1173" r:id="rId4"/>
    <sheet name="USL05" sheetId="1175" r:id="rId5"/>
    <sheet name="USL06" sheetId="1174" r:id="rId6"/>
  </sheets>
  <definedNames>
    <definedName name="_xlnm.Print_Area" localSheetId="0">'USL01'!$A$1:$M$36</definedName>
    <definedName name="_xlnm.Print_Area" localSheetId="1">'USL02'!$A$1:$M$36</definedName>
    <definedName name="_xlnm.Print_Area" localSheetId="2">'USL03'!$A$1:$M$60</definedName>
    <definedName name="_xlnm.Print_Area" localSheetId="3">'USL04'!$A$1:$M$54</definedName>
    <definedName name="_xlnm.Print_Area" localSheetId="4">'USL05'!$A$1:$M$36</definedName>
    <definedName name="_xlnm.Print_Area" localSheetId="5">'USL06'!$A$1:$M$50</definedName>
  </definedNames>
  <calcPr calcId="191029"/>
</workbook>
</file>

<file path=xl/calcChain.xml><?xml version="1.0" encoding="utf-8"?>
<calcChain xmlns="http://schemas.openxmlformats.org/spreadsheetml/2006/main">
  <c r="H17" i="1175" l="1"/>
  <c r="I17" i="1175"/>
  <c r="I15" i="1175"/>
  <c r="H15" i="1175" s="1"/>
  <c r="K9" i="1175"/>
  <c r="H9" i="1175"/>
  <c r="I9" i="1175"/>
  <c r="L7" i="1175"/>
  <c r="M7" i="1175" s="1"/>
  <c r="K7" i="1175"/>
  <c r="H7" i="1175"/>
  <c r="I7" i="1175"/>
  <c r="K29" i="1175"/>
  <c r="L29" i="1175" s="1"/>
  <c r="M29" i="1175" s="1"/>
  <c r="I29" i="1175"/>
  <c r="H29" i="1175" s="1"/>
  <c r="K27" i="1175"/>
  <c r="L27" i="1175" s="1"/>
  <c r="M27" i="1175" s="1"/>
  <c r="I27" i="1175"/>
  <c r="H27" i="1175" s="1"/>
  <c r="K23" i="1175"/>
  <c r="L23" i="1175" s="1"/>
  <c r="M23" i="1175" s="1"/>
  <c r="I23" i="1175"/>
  <c r="H23" i="1175" s="1"/>
  <c r="K21" i="1175"/>
  <c r="L21" i="1175" s="1"/>
  <c r="M21" i="1175" s="1"/>
  <c r="I21" i="1175"/>
  <c r="H21" i="1175" s="1"/>
  <c r="K17" i="1175"/>
  <c r="L17" i="1175" s="1"/>
  <c r="M17" i="1175" s="1"/>
  <c r="I13" i="1175"/>
  <c r="H13" i="1175" s="1"/>
  <c r="I11" i="1175"/>
  <c r="H11" i="1175" s="1"/>
  <c r="L9" i="1175"/>
  <c r="M9" i="1175" s="1"/>
  <c r="I5" i="1175"/>
  <c r="H5" i="1175" s="1"/>
  <c r="K5" i="1175"/>
  <c r="L5" i="1175" s="1"/>
  <c r="M5" i="1175" s="1"/>
  <c r="K15" i="1175"/>
  <c r="L15" i="1175" s="1"/>
  <c r="M15" i="1175" s="1"/>
  <c r="K13" i="1175"/>
  <c r="L13" i="1175" s="1"/>
  <c r="M13" i="1175" s="1"/>
  <c r="K11" i="1175"/>
  <c r="L11" i="1175" s="1"/>
  <c r="M11" i="1175" s="1"/>
  <c r="K3" i="1175"/>
  <c r="L3" i="1175" s="1"/>
  <c r="M3" i="1175" s="1"/>
  <c r="I3" i="1175"/>
  <c r="H3" i="1175" s="1"/>
  <c r="P20" i="1174"/>
  <c r="P19" i="1174"/>
  <c r="K45" i="1174"/>
  <c r="L45" i="1174" s="1"/>
  <c r="M45" i="1174" s="1"/>
  <c r="I45" i="1174"/>
  <c r="H45" i="1174" s="1"/>
  <c r="K43" i="1174"/>
  <c r="L43" i="1174" s="1"/>
  <c r="M43" i="1174" s="1"/>
  <c r="I43" i="1174"/>
  <c r="H43" i="1174" s="1"/>
  <c r="K25" i="1174"/>
  <c r="L25" i="1174" s="1"/>
  <c r="M25" i="1174" s="1"/>
  <c r="I25" i="1174"/>
  <c r="H25" i="1174" s="1"/>
  <c r="K19" i="1174"/>
  <c r="L19" i="1174" s="1"/>
  <c r="M19" i="1174" s="1"/>
  <c r="I19" i="1174"/>
  <c r="H19" i="1174" s="1"/>
  <c r="K15" i="1174"/>
  <c r="L15" i="1174" s="1"/>
  <c r="M15" i="1174" s="1"/>
  <c r="I15" i="1174"/>
  <c r="H15" i="1174" s="1"/>
  <c r="K9" i="1174"/>
  <c r="L9" i="1174" s="1"/>
  <c r="M9" i="1174" s="1"/>
  <c r="I9" i="1174"/>
  <c r="H9" i="1174" s="1"/>
  <c r="K7" i="1174"/>
  <c r="L7" i="1174" s="1"/>
  <c r="M7" i="1174" s="1"/>
  <c r="I7" i="1174"/>
  <c r="H7" i="1174" s="1"/>
  <c r="K5" i="1174"/>
  <c r="L5" i="1174" s="1"/>
  <c r="M5" i="1174" s="1"/>
  <c r="I5" i="1174"/>
  <c r="H5" i="1174" s="1"/>
  <c r="K41" i="1174"/>
  <c r="L41" i="1174" s="1"/>
  <c r="M41" i="1174" s="1"/>
  <c r="I41" i="1174"/>
  <c r="H41" i="1174" s="1"/>
  <c r="K39" i="1174"/>
  <c r="L39" i="1174" s="1"/>
  <c r="M39" i="1174" s="1"/>
  <c r="I39" i="1174"/>
  <c r="H39" i="1174" s="1"/>
  <c r="K37" i="1174"/>
  <c r="L37" i="1174" s="1"/>
  <c r="M37" i="1174" s="1"/>
  <c r="I37" i="1174"/>
  <c r="H37" i="1174" s="1"/>
  <c r="K35" i="1174"/>
  <c r="L35" i="1174" s="1"/>
  <c r="M35" i="1174" s="1"/>
  <c r="I35" i="1174"/>
  <c r="H35" i="1174" s="1"/>
  <c r="K33" i="1174"/>
  <c r="L33" i="1174" s="1"/>
  <c r="M33" i="1174" s="1"/>
  <c r="I33" i="1174"/>
  <c r="H33" i="1174" s="1"/>
  <c r="K31" i="1174"/>
  <c r="L31" i="1174" s="1"/>
  <c r="M31" i="1174" s="1"/>
  <c r="I31" i="1174"/>
  <c r="H31" i="1174" s="1"/>
  <c r="K29" i="1174"/>
  <c r="L29" i="1174" s="1"/>
  <c r="M29" i="1174" s="1"/>
  <c r="I29" i="1174"/>
  <c r="H29" i="1174" s="1"/>
  <c r="K27" i="1174"/>
  <c r="L27" i="1174" s="1"/>
  <c r="M27" i="1174" s="1"/>
  <c r="I27" i="1174"/>
  <c r="H27" i="1174" s="1"/>
  <c r="K13" i="1174"/>
  <c r="L13" i="1174" s="1"/>
  <c r="M13" i="1174" s="1"/>
  <c r="I13" i="1174"/>
  <c r="H13" i="1174"/>
  <c r="K11" i="1174"/>
  <c r="L11" i="1174" s="1"/>
  <c r="M11" i="1174" s="1"/>
  <c r="I11" i="1174"/>
  <c r="H11" i="1174" s="1"/>
  <c r="K3" i="1174"/>
  <c r="L3" i="1174" s="1"/>
  <c r="M3" i="1174" s="1"/>
  <c r="I3" i="1174"/>
  <c r="H3" i="1174" s="1"/>
  <c r="M19" i="1173"/>
  <c r="H31" i="1173"/>
  <c r="L23" i="1173"/>
  <c r="M23" i="1173"/>
  <c r="K23" i="1173"/>
  <c r="H23" i="1173"/>
  <c r="I23" i="1173"/>
  <c r="K53" i="1173"/>
  <c r="L53" i="1173" s="1"/>
  <c r="M53" i="1173" s="1"/>
  <c r="H53" i="1173"/>
  <c r="I53" i="1173"/>
  <c r="K51" i="1173"/>
  <c r="L51" i="1173" s="1"/>
  <c r="M51" i="1173" s="1"/>
  <c r="I51" i="1173"/>
  <c r="H51" i="1173" s="1"/>
  <c r="K41" i="1173"/>
  <c r="L41" i="1173" s="1"/>
  <c r="M41" i="1173" s="1"/>
  <c r="I41" i="1173"/>
  <c r="H41" i="1173" s="1"/>
  <c r="K31" i="1173"/>
  <c r="L31" i="1173" s="1"/>
  <c r="M31" i="1173" s="1"/>
  <c r="I31" i="1173"/>
  <c r="K29" i="1173"/>
  <c r="L29" i="1173" s="1"/>
  <c r="M29" i="1173" s="1"/>
  <c r="I29" i="1173"/>
  <c r="H29" i="1173" s="1"/>
  <c r="K19" i="1173"/>
  <c r="L19" i="1173" s="1"/>
  <c r="I19" i="1173"/>
  <c r="H19" i="1173" s="1"/>
  <c r="K15" i="1173"/>
  <c r="L15" i="1173" s="1"/>
  <c r="M15" i="1173" s="1"/>
  <c r="I15" i="1173"/>
  <c r="H15" i="1173" s="1"/>
  <c r="K9" i="1173" l="1"/>
  <c r="L9" i="1173" s="1"/>
  <c r="M9" i="1173" s="1"/>
  <c r="I9" i="1173"/>
  <c r="H9" i="1173" s="1"/>
  <c r="K5" i="1173"/>
  <c r="L5" i="1173" s="1"/>
  <c r="M5" i="1173" s="1"/>
  <c r="I5" i="1173"/>
  <c r="H5" i="1173" s="1"/>
  <c r="K45" i="1173"/>
  <c r="L45" i="1173" s="1"/>
  <c r="M45" i="1173" s="1"/>
  <c r="I45" i="1173"/>
  <c r="H45" i="1173" s="1"/>
  <c r="K43" i="1173"/>
  <c r="L43" i="1173" s="1"/>
  <c r="M43" i="1173" s="1"/>
  <c r="I43" i="1173"/>
  <c r="H43" i="1173" s="1"/>
  <c r="K39" i="1173"/>
  <c r="L39" i="1173" s="1"/>
  <c r="M39" i="1173" s="1"/>
  <c r="I39" i="1173"/>
  <c r="H39" i="1173" s="1"/>
  <c r="K37" i="1173"/>
  <c r="L37" i="1173" s="1"/>
  <c r="M37" i="1173" s="1"/>
  <c r="I37" i="1173"/>
  <c r="H37" i="1173" s="1"/>
  <c r="K35" i="1173"/>
  <c r="L35" i="1173" s="1"/>
  <c r="M35" i="1173" s="1"/>
  <c r="I35" i="1173"/>
  <c r="H35" i="1173" s="1"/>
  <c r="K33" i="1173"/>
  <c r="L33" i="1173" s="1"/>
  <c r="M33" i="1173" s="1"/>
  <c r="I33" i="1173"/>
  <c r="H33" i="1173" s="1"/>
  <c r="K27" i="1173"/>
  <c r="L27" i="1173" s="1"/>
  <c r="M27" i="1173" s="1"/>
  <c r="I27" i="1173"/>
  <c r="H27" i="1173" s="1"/>
  <c r="K25" i="1173"/>
  <c r="L25" i="1173" s="1"/>
  <c r="M25" i="1173" s="1"/>
  <c r="I25" i="1173"/>
  <c r="H25" i="1173" s="1"/>
  <c r="K13" i="1173"/>
  <c r="L13" i="1173" s="1"/>
  <c r="M13" i="1173" s="1"/>
  <c r="I13" i="1173"/>
  <c r="H13" i="1173" s="1"/>
  <c r="K11" i="1173"/>
  <c r="L11" i="1173" s="1"/>
  <c r="M11" i="1173" s="1"/>
  <c r="I11" i="1173"/>
  <c r="H11" i="1173"/>
  <c r="K7" i="1173"/>
  <c r="L7" i="1173" s="1"/>
  <c r="M7" i="1173" s="1"/>
  <c r="I7" i="1173"/>
  <c r="H7" i="1173"/>
  <c r="K3" i="1173"/>
  <c r="L3" i="1173" s="1"/>
  <c r="M3" i="1173" s="1"/>
  <c r="I3" i="1173"/>
  <c r="H3" i="1173" s="1"/>
  <c r="K47" i="1172"/>
  <c r="M45" i="1172"/>
  <c r="L45" i="1172"/>
  <c r="K57" i="1172"/>
  <c r="L57" i="1172" s="1"/>
  <c r="M57" i="1172" s="1"/>
  <c r="I57" i="1172"/>
  <c r="H57" i="1172" s="1"/>
  <c r="L47" i="1172"/>
  <c r="M47" i="1172" s="1"/>
  <c r="I47" i="1172"/>
  <c r="H47" i="1172" s="1"/>
  <c r="K45" i="1172"/>
  <c r="I45" i="1172"/>
  <c r="H45" i="1172"/>
  <c r="K43" i="1172"/>
  <c r="L43" i="1172" s="1"/>
  <c r="M43" i="1172" s="1"/>
  <c r="I43" i="1172"/>
  <c r="H43" i="1172" s="1"/>
  <c r="K41" i="1172"/>
  <c r="L41" i="1172" s="1"/>
  <c r="M41" i="1172" s="1"/>
  <c r="I41" i="1172"/>
  <c r="H41" i="1172" s="1"/>
  <c r="K35" i="1172"/>
  <c r="L35" i="1172" s="1"/>
  <c r="M35" i="1172" s="1"/>
  <c r="I35" i="1172"/>
  <c r="H35" i="1172" s="1"/>
  <c r="K39" i="1172"/>
  <c r="L39" i="1172" s="1"/>
  <c r="M39" i="1172" s="1"/>
  <c r="I39" i="1172"/>
  <c r="H39" i="1172" s="1"/>
  <c r="K37" i="1172"/>
  <c r="L37" i="1172" s="1"/>
  <c r="M37" i="1172" s="1"/>
  <c r="I37" i="1172"/>
  <c r="H37" i="1172" s="1"/>
  <c r="K31" i="1172" l="1"/>
  <c r="L31" i="1172" s="1"/>
  <c r="M31" i="1172" s="1"/>
  <c r="I31" i="1172"/>
  <c r="H31" i="1172" s="1"/>
  <c r="K21" i="1172"/>
  <c r="L21" i="1172" s="1"/>
  <c r="M21" i="1172" s="1"/>
  <c r="H21" i="1172"/>
  <c r="I21" i="1172"/>
  <c r="L19" i="1172"/>
  <c r="M19" i="1172" s="1"/>
  <c r="K19" i="1172"/>
  <c r="I19" i="1172"/>
  <c r="H19" i="1172" s="1"/>
  <c r="K17" i="1172" l="1"/>
  <c r="L17" i="1172" s="1"/>
  <c r="M17" i="1172" s="1"/>
  <c r="I17" i="1172"/>
  <c r="H17" i="1172" s="1"/>
  <c r="I11" i="1172"/>
  <c r="H11" i="1172" s="1"/>
  <c r="K11" i="1172"/>
  <c r="L11" i="1172" s="1"/>
  <c r="M11" i="1172" s="1"/>
  <c r="K5" i="1172"/>
  <c r="L5" i="1172" s="1"/>
  <c r="M5" i="1172" s="1"/>
  <c r="I5" i="1172"/>
  <c r="H5" i="1172" s="1"/>
  <c r="I9" i="1172"/>
  <c r="H9" i="1172" s="1"/>
  <c r="K9" i="1172"/>
  <c r="L9" i="1172" s="1"/>
  <c r="M9" i="1172" s="1"/>
  <c r="K3" i="1172"/>
  <c r="L3" i="1172" s="1"/>
  <c r="M3" i="1172" s="1"/>
  <c r="I3" i="1172"/>
  <c r="H3" i="1172" s="1"/>
  <c r="K15" i="1172"/>
  <c r="L15" i="1172" s="1"/>
  <c r="M15" i="1172" s="1"/>
  <c r="I15" i="1172"/>
  <c r="H15" i="1172" s="1"/>
  <c r="H13" i="1171"/>
  <c r="I13" i="1171"/>
  <c r="M29" i="1171"/>
  <c r="L29" i="1171"/>
  <c r="K29" i="1171"/>
  <c r="H29" i="1171"/>
  <c r="I29" i="1171"/>
  <c r="K27" i="1171"/>
  <c r="L27" i="1171" s="1"/>
  <c r="M27" i="1171" s="1"/>
  <c r="I27" i="1171"/>
  <c r="H27" i="1171" s="1"/>
  <c r="K21" i="1171"/>
  <c r="L21" i="1171" s="1"/>
  <c r="M21" i="1171" s="1"/>
  <c r="I21" i="1171"/>
  <c r="H21" i="1171" s="1"/>
  <c r="K17" i="1171"/>
  <c r="L17" i="1171" s="1"/>
  <c r="M17" i="1171" s="1"/>
  <c r="I17" i="1171"/>
  <c r="H17" i="1171" s="1"/>
  <c r="H15" i="1171"/>
  <c r="I15" i="1171"/>
  <c r="I11" i="1171"/>
  <c r="H11" i="1171" s="1"/>
  <c r="K9" i="1171"/>
  <c r="L9" i="1171" s="1"/>
  <c r="M9" i="1171" s="1"/>
  <c r="I9" i="1171"/>
  <c r="H9" i="1171" s="1"/>
  <c r="K7" i="1171"/>
  <c r="L7" i="1171" s="1"/>
  <c r="M7" i="1171" s="1"/>
  <c r="I7" i="1171"/>
  <c r="H7" i="1171" s="1"/>
  <c r="M3" i="1171"/>
  <c r="L3" i="1171"/>
  <c r="K3" i="1171"/>
  <c r="H3" i="1171"/>
  <c r="I3" i="1171"/>
  <c r="K15" i="1171" l="1"/>
  <c r="L15" i="1171" s="1"/>
  <c r="M15" i="1171" s="1"/>
  <c r="K13" i="1171"/>
  <c r="L13" i="1171" s="1"/>
  <c r="M13" i="1171" s="1"/>
  <c r="K11" i="1171"/>
  <c r="L11" i="1171" s="1"/>
  <c r="M11" i="1171" s="1"/>
  <c r="K5" i="1171"/>
  <c r="L5" i="1171" s="1"/>
  <c r="M5" i="1171" s="1"/>
  <c r="I5" i="1171"/>
  <c r="H5" i="1171" s="1"/>
  <c r="L27" i="1170"/>
  <c r="M27" i="1170" s="1"/>
  <c r="K27" i="1170"/>
  <c r="M31" i="1170"/>
  <c r="L31" i="1170"/>
  <c r="K31" i="1170"/>
  <c r="H31" i="1170"/>
  <c r="I31" i="1170"/>
  <c r="I27" i="1170"/>
  <c r="H27" i="1170" s="1"/>
  <c r="K29" i="1170"/>
  <c r="L29" i="1170" s="1"/>
  <c r="M29" i="1170" s="1"/>
  <c r="I29" i="1170"/>
  <c r="H29" i="1170"/>
  <c r="L19" i="1170"/>
  <c r="M19" i="1170" s="1"/>
  <c r="K19" i="1170"/>
  <c r="I19" i="1170"/>
  <c r="H19" i="1170" s="1"/>
  <c r="K15" i="1170"/>
  <c r="L15" i="1170" s="1"/>
  <c r="M15" i="1170" s="1"/>
  <c r="I15" i="1170"/>
  <c r="H15" i="1170" s="1"/>
  <c r="K17" i="1170"/>
  <c r="L17" i="1170" s="1"/>
  <c r="M17" i="1170" s="1"/>
  <c r="I17" i="1170"/>
  <c r="H17" i="1170" s="1"/>
  <c r="K9" i="1170"/>
  <c r="L9" i="1170" s="1"/>
  <c r="M9" i="1170" s="1"/>
  <c r="I9" i="1170"/>
  <c r="H9" i="1170" s="1"/>
  <c r="K7" i="1170"/>
  <c r="L7" i="1170" s="1"/>
  <c r="M7" i="1170" s="1"/>
  <c r="I7" i="1170"/>
  <c r="H7" i="1170" s="1"/>
  <c r="K3" i="1170"/>
  <c r="L3" i="1170" s="1"/>
  <c r="M3" i="1170" s="1"/>
  <c r="I3" i="1170"/>
  <c r="H3" i="1170" s="1"/>
  <c r="K13" i="1170"/>
  <c r="L13" i="1170" s="1"/>
  <c r="M13" i="1170" s="1"/>
  <c r="I13" i="1170"/>
  <c r="H13" i="1170" s="1"/>
  <c r="K11" i="1170"/>
  <c r="L11" i="1170" s="1"/>
  <c r="M11" i="1170" s="1"/>
  <c r="I11" i="1170"/>
  <c r="H11" i="1170" s="1"/>
  <c r="K5" i="1170"/>
  <c r="L5" i="1170" s="1"/>
  <c r="M5" i="1170" s="1"/>
  <c r="I5" i="1170"/>
  <c r="H5" i="1170" s="1"/>
</calcChain>
</file>

<file path=xl/sharedStrings.xml><?xml version="1.0" encoding="utf-8"?>
<sst xmlns="http://schemas.openxmlformats.org/spreadsheetml/2006/main" count="500" uniqueCount="177">
  <si>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</si>
  <si>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</si>
  <si>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</si>
  <si>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</si>
  <si>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</si>
  <si>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</si>
  <si>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</si>
  <si>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</si>
  <si>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어깨너비</t>
  </si>
  <si>
    <t>밑단둘레(반품)</t>
  </si>
  <si>
    <t>암홀길이(직선)</t>
  </si>
  <si>
    <t>옆목너비</t>
  </si>
  <si>
    <t>앞목깊이</t>
  </si>
  <si>
    <t>소매통</t>
  </si>
  <si>
    <t>총기장(뒷목)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</si>
  <si>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</si>
  <si>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</si>
  <si>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</si>
  <si>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</si>
  <si>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</si>
  <si>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</si>
  <si>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</si>
  <si>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</si>
  <si>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</si>
  <si>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</si>
  <si>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</si>
  <si>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</si>
  <si>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</si>
  <si>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</si>
  <si>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</si>
  <si>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</si>
  <si>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</si>
  <si>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</si>
  <si>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뒤요크 기장</t>
  </si>
  <si>
    <t>암홀 겨드랑이 지점에서 소매중심의 수직 길이(둘레)</t>
    <phoneticPr fontId="1" type="noConversion"/>
  </si>
  <si>
    <t>옆목점에서 앞목중심의 수직 길이</t>
    <phoneticPr fontId="1" type="noConversion"/>
  </si>
  <si>
    <t>뒷목점에서 절개까지 직선으로 잰 길이</t>
    <phoneticPr fontId="1" type="noConversion"/>
  </si>
  <si>
    <t xml:space="preserve">FROM BACK NECK TO CUTTING LINE </t>
    <phoneticPr fontId="1" type="noConversion"/>
  </si>
  <si>
    <t>BACK YOKE LENGTH</t>
    <phoneticPr fontId="2" type="noConversion"/>
  </si>
  <si>
    <t>NECK</t>
    <phoneticPr fontId="2" type="noConversion"/>
  </si>
  <si>
    <t>앞단작길이</t>
    <phoneticPr fontId="2" type="noConversion"/>
  </si>
  <si>
    <t>FRONT PLACKET</t>
    <phoneticPr fontId="2" type="noConversion"/>
  </si>
  <si>
    <t>TOTAL LENGTH (C/B)</t>
    <phoneticPr fontId="2" type="noConversion"/>
  </si>
  <si>
    <t>FROM CENTER BACK TO BOTTOM STRIGHT</t>
    <phoneticPr fontId="2" type="noConversion"/>
  </si>
  <si>
    <t>뒷목 중심에서 밑단끝까지 직선길이</t>
    <phoneticPr fontId="1" type="noConversion"/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</si>
  <si>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</si>
  <si>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</si>
  <si>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FRONT YOKE LENGTH</t>
    <phoneticPr fontId="2" type="noConversion"/>
  </si>
  <si>
    <t>앞목점에서 절개까지 직선으로 잰 길이</t>
    <phoneticPr fontId="1" type="noConversion"/>
  </si>
  <si>
    <t>BOTTOM FRILL LENGTH</t>
    <phoneticPr fontId="2" type="noConversion"/>
  </si>
  <si>
    <t>밑단프릴기장</t>
    <phoneticPr fontId="8" type="noConversion"/>
  </si>
  <si>
    <t xml:space="preserve">CIRCLE ROUND </t>
    <phoneticPr fontId="2" type="noConversion"/>
  </si>
  <si>
    <t>소매부리</t>
  </si>
  <si>
    <t>소매 밑단(시보리 밑단)의 둘레 길이</t>
    <phoneticPr fontId="1" type="noConversion"/>
  </si>
  <si>
    <t>바지 안 쪽에서 봉제선을 따라 바지밑단 끝까지의 길이</t>
    <phoneticPr fontId="1" type="noConversion"/>
  </si>
  <si>
    <t>인심길이</t>
  </si>
  <si>
    <t xml:space="preserve">CROCH TO EDGE </t>
  </si>
  <si>
    <t>INSEAM</t>
  </si>
  <si>
    <t>인심 시작점에서 3cm 밑을 기준점으로 양쪽 수평 길이</t>
    <phoneticPr fontId="1" type="noConversion"/>
  </si>
  <si>
    <t>허벅지둘레</t>
  </si>
  <si>
    <t xml:space="preserve">FROM CROCH  3cm BELOW . WIDE STRIGHT </t>
  </si>
  <si>
    <t xml:space="preserve">TIGHT </t>
  </si>
  <si>
    <t>오비끝에서 인심 시작점까지의 길이(오비 포함)</t>
    <phoneticPr fontId="1" type="noConversion"/>
  </si>
  <si>
    <t>뒤밑위</t>
  </si>
  <si>
    <t xml:space="preserve">INCLUDE WAIST BAND TO EDGE </t>
  </si>
  <si>
    <t>BACK RISE</t>
  </si>
  <si>
    <t>앞밑위</t>
  </si>
  <si>
    <t xml:space="preserve">FRONT RISE </t>
  </si>
  <si>
    <t>바지 밑단의 둘레길이(직선길이)</t>
    <phoneticPr fontId="2" type="noConversion"/>
  </si>
  <si>
    <t>바지부리</t>
  </si>
  <si>
    <t xml:space="preserve">CIRCLE ROUND </t>
  </si>
  <si>
    <t xml:space="preserve">BOTTOM OPENING </t>
  </si>
  <si>
    <t>와끼선을 기준으로 오비끝에서 바지 밑단 끝까지의 길이</t>
    <phoneticPr fontId="1" type="noConversion"/>
  </si>
  <si>
    <t>바지기장</t>
  </si>
  <si>
    <t xml:space="preserve">INCLUDE WAIST BAND TO EDGE </t>
    <phoneticPr fontId="1" type="noConversion"/>
  </si>
  <si>
    <t xml:space="preserve">TOTAL LENGTH </t>
  </si>
  <si>
    <t>엉덩이 위치</t>
    <phoneticPr fontId="1" type="noConversion"/>
  </si>
  <si>
    <t>HIP POINT</t>
    <phoneticPr fontId="1" type="noConversion"/>
  </si>
  <si>
    <t>앞 댕고 스테치를 기준점으로 하여 양쪽 수평선의 길이</t>
    <phoneticPr fontId="1" type="noConversion"/>
  </si>
  <si>
    <t>엉덩이둘레</t>
  </si>
  <si>
    <t xml:space="preserve">BASED ON ZIPPER FLY OUT LINE ,STRIGHT </t>
  </si>
  <si>
    <t xml:space="preserve">HIP </t>
  </si>
  <si>
    <t>오비를 일자 상태로 만든 후 수평으로 잰 길이</t>
    <phoneticPr fontId="1" type="noConversion"/>
  </si>
  <si>
    <t>허리완성사이즈</t>
    <phoneticPr fontId="1" type="noConversion"/>
  </si>
  <si>
    <t xml:space="preserve">FLAT,FRONT AND BACK WAIST LINE MATCH STRIGHT </t>
    <phoneticPr fontId="1" type="noConversion"/>
  </si>
  <si>
    <t>TOTAL WAIST</t>
    <phoneticPr fontId="1" type="noConversion"/>
  </si>
  <si>
    <t xml:space="preserve">CUFFS OPENING </t>
    <phoneticPr fontId="2" type="noConversion"/>
  </si>
  <si>
    <t>소매기장</t>
  </si>
  <si>
    <t xml:space="preserve">ARMHOLE </t>
  </si>
  <si>
    <t>와끼선의 밑단 양끝점을 수평으로 잰 길이</t>
    <phoneticPr fontId="1" type="noConversion"/>
  </si>
  <si>
    <t>STRIGHT (1/2)</t>
    <phoneticPr fontId="2" type="noConversion"/>
  </si>
  <si>
    <t>옆목에서 앞목 첫단추까지 수직길이</t>
    <phoneticPr fontId="8" type="noConversion"/>
  </si>
  <si>
    <t>몸판 허리 둘레</t>
  </si>
  <si>
    <t>WAIST SIZE</t>
    <phoneticPr fontId="1" type="noConversion"/>
  </si>
  <si>
    <t xml:space="preserve">FROM FRONT NECT TO CUTTING LINE </t>
    <phoneticPr fontId="1" type="noConversion"/>
  </si>
  <si>
    <t>앞요크 기장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</si>
  <si>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</si>
  <si>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</si>
  <si>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</si>
  <si>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3XL</t>
    <phoneticPr fontId="1" type="noConversion"/>
  </si>
  <si>
    <t>2XL</t>
    <phoneticPr fontId="1" type="noConversion"/>
  </si>
  <si>
    <t>WITHOUT NECK BAND (INSIDE)</t>
    <phoneticPr fontId="2" type="noConversion"/>
  </si>
  <si>
    <t xml:space="preserve">CUFF OPENING </t>
    <phoneticPr fontId="2" type="noConversion"/>
  </si>
  <si>
    <t xml:space="preserve">WAIST </t>
  </si>
  <si>
    <t>허리둘레</t>
    <phoneticPr fontId="1" type="noConversion"/>
  </si>
  <si>
    <r>
      <t xml:space="preserve">암홀 겨드랑이 지점에서 수평으로 잰 길이 </t>
    </r>
    <r>
      <rPr>
        <sz val="7.5"/>
        <color indexed="10"/>
        <rFont val="맑은 고딕"/>
        <family val="3"/>
        <charset val="129"/>
      </rPr>
      <t>(셔링펼쳐서)</t>
    </r>
    <phoneticPr fontId="1" type="noConversion"/>
  </si>
  <si>
    <r>
      <t>바지 밑단 둘레길이</t>
    </r>
    <r>
      <rPr>
        <sz val="7.5"/>
        <color indexed="10"/>
        <rFont val="맑은 고딕"/>
        <family val="3"/>
        <charset val="129"/>
      </rPr>
      <t xml:space="preserve"> (프릴 위 절개선둘레)</t>
    </r>
    <phoneticPr fontId="2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</si>
  <si>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</si>
  <si>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</si>
  <si>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</si>
  <si>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 xml:space="preserve">오비끝에서 밑으로 </t>
    <phoneticPr fontId="1" type="noConversion"/>
  </si>
  <si>
    <t>BOTTOM FRILL</t>
    <phoneticPr fontId="1" type="noConversion"/>
  </si>
  <si>
    <t>밑단 프릴 폭</t>
    <phoneticPr fontId="1" type="noConversion"/>
  </si>
  <si>
    <t>와끼</t>
    <phoneticPr fontId="1" type="noConversion"/>
  </si>
  <si>
    <t>프릴절개선 라인을 따라서 잰 길이</t>
    <phoneticPr fontId="1" type="noConversion"/>
  </si>
  <si>
    <t>ROUND (1/2)</t>
    <phoneticPr fontId="8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</si>
  <si>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(셔링폈을때)</t>
    </r>
    <phoneticPr fontId="1" type="noConversion"/>
  </si>
  <si>
    <t>FRONT PLACKET LENGTH</t>
    <phoneticPr fontId="2" type="noConversion"/>
  </si>
  <si>
    <t>앞단작길이</t>
    <phoneticPr fontId="1" type="noConversion"/>
  </si>
  <si>
    <t>BOTTOM FRILL LENGTH</t>
    <phoneticPr fontId="8" type="noConversion"/>
  </si>
  <si>
    <t>STYLE NO: HYUSL02-W#H51</t>
    <phoneticPr fontId="1" type="noConversion"/>
  </si>
  <si>
    <t xml:space="preserve">BACK NECK DROP </t>
    <phoneticPr fontId="2" type="noConversion"/>
  </si>
  <si>
    <t>MAKE IMAGE LINE TO CENTER NECK BACK</t>
    <phoneticPr fontId="2" type="noConversion"/>
  </si>
  <si>
    <t>옆목점에서 뒷목중심의 수직 길이</t>
    <phoneticPr fontId="1" type="noConversion"/>
  </si>
  <si>
    <t>뒷목깊이</t>
    <phoneticPr fontId="8" type="noConversion"/>
  </si>
  <si>
    <t>앞요크길이</t>
    <phoneticPr fontId="1" type="noConversion"/>
  </si>
  <si>
    <t>앞중심</t>
    <phoneticPr fontId="8" type="noConversion"/>
  </si>
  <si>
    <t>STYLE NO: HYUSL01-W#Y43</t>
    <phoneticPr fontId="1" type="noConversion"/>
  </si>
  <si>
    <t>TOTAL LENGTH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</si>
  <si>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</si>
  <si>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총기장(옆목)</t>
    <phoneticPr fontId="2" type="noConversion"/>
  </si>
  <si>
    <t>옆목점에서 밑단까지의 직선길이</t>
    <phoneticPr fontId="1" type="noConversion"/>
  </si>
  <si>
    <t>SLEEVE FRILL LENGTH</t>
    <phoneticPr fontId="2" type="noConversion"/>
  </si>
  <si>
    <t>FRONT SKIRT LENGTH</t>
    <phoneticPr fontId="2" type="noConversion"/>
  </si>
  <si>
    <t>앞치마기장</t>
    <phoneticPr fontId="1" type="noConversion"/>
  </si>
  <si>
    <t>요크빼고,앞중심</t>
    <phoneticPr fontId="8" type="noConversion"/>
  </si>
  <si>
    <t>소매프릴 기장(레이스제외)</t>
    <phoneticPr fontId="8" type="noConversion"/>
  </si>
  <si>
    <t>STYLE NO: HYUSL03-W#G40</t>
    <phoneticPr fontId="1" type="noConversion"/>
  </si>
  <si>
    <t>밑단 프릴 기장</t>
    <phoneticPr fontId="8" type="noConversion"/>
  </si>
  <si>
    <t>절개선에서 밑단끝점을 수직으로 잰 길이</t>
    <phoneticPr fontId="1" type="noConversion"/>
  </si>
  <si>
    <t>1ST SLEEVE LENGTH</t>
    <phoneticPr fontId="2" type="noConversion"/>
  </si>
  <si>
    <t>1단 소매기장</t>
    <phoneticPr fontId="8" type="noConversion"/>
  </si>
  <si>
    <t>2ND SLEEVE LENGTH</t>
    <phoneticPr fontId="2" type="noConversion"/>
  </si>
  <si>
    <t>2단 소매기장</t>
    <phoneticPr fontId="8" type="noConversion"/>
  </si>
  <si>
    <t>넥랍빠끝점에서 1단프릴까지의 직선으로 잰 길이</t>
    <phoneticPr fontId="8" type="noConversion"/>
  </si>
  <si>
    <r>
      <t>1단프릴끝선에서 2단까지 직선으로 잰 길이</t>
    </r>
    <r>
      <rPr>
        <sz val="7.5"/>
        <color rgb="FFFF0000"/>
        <rFont val="맑은 고딕"/>
        <family val="3"/>
        <charset val="129"/>
        <scheme val="minor"/>
      </rPr>
      <t>(보이는 부분)</t>
    </r>
    <phoneticPr fontId="8" type="noConversion"/>
  </si>
  <si>
    <t>프릴 위 절개선을 수펼으로 잰 길이</t>
    <phoneticPr fontId="1" type="noConversion"/>
  </si>
  <si>
    <t>WITHOUT NECK BAND</t>
    <phoneticPr fontId="2" type="noConversion"/>
  </si>
  <si>
    <t>POCKET WIDTH</t>
    <phoneticPr fontId="2" type="noConversion"/>
  </si>
  <si>
    <t>주머니너비</t>
    <phoneticPr fontId="1" type="noConversion"/>
  </si>
  <si>
    <t>POCKET HEIGHT</t>
    <phoneticPr fontId="2" type="noConversion"/>
  </si>
  <si>
    <t>주머니높이</t>
    <phoneticPr fontId="1" type="noConversion"/>
  </si>
  <si>
    <t>COLLAR WIDTH</t>
    <phoneticPr fontId="2" type="noConversion"/>
  </si>
  <si>
    <t xml:space="preserve">AT CENTER BACK HIGHT </t>
    <phoneticPr fontId="1" type="noConversion"/>
  </si>
  <si>
    <t>카라폭</t>
  </si>
  <si>
    <t>몸판 허리 둘레</t>
    <phoneticPr fontId="1" type="noConversion"/>
  </si>
  <si>
    <t xml:space="preserve">BASED ON ZIPPER FLY OUT LINE ,STRIGHT </t>
    <phoneticPr fontId="1" type="noConversion"/>
  </si>
  <si>
    <t>오비포함 와끼 기준</t>
    <phoneticPr fontId="1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</si>
  <si>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</si>
  <si>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</si>
  <si>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</si>
  <si>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</si>
  <si>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</si>
  <si>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</si>
  <si>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</si>
  <si>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</si>
  <si>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r>
      <t xml:space="preserve">뒷목 중심에서 수직으로 잰 길이 </t>
    </r>
    <r>
      <rPr>
        <sz val="7.5"/>
        <color rgb="FFFF0000"/>
        <rFont val="맑은 고딕"/>
        <family val="3"/>
        <charset val="129"/>
        <scheme val="minor"/>
      </rPr>
      <t>(파이핑제외)</t>
    </r>
    <phoneticPr fontId="1" type="noConversion"/>
  </si>
  <si>
    <t>STYLE NO: HUSL04-W#H52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</si>
  <si>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(앞-셔링펼쳐서)</t>
    </r>
    <phoneticPr fontId="1" type="noConversion"/>
  </si>
  <si>
    <r>
      <t>밑단선 라인에 따라 잰 길이</t>
    </r>
    <r>
      <rPr>
        <sz val="7.5"/>
        <color rgb="FFFF0000"/>
        <rFont val="맑은 고딕"/>
        <family val="3"/>
        <charset val="129"/>
        <scheme val="minor"/>
      </rPr>
      <t>(앞)</t>
    </r>
    <phoneticPr fontId="1" type="noConversion"/>
  </si>
  <si>
    <t>FRONT NECK 4G-BAND</t>
    <phoneticPr fontId="2" type="noConversion"/>
  </si>
  <si>
    <t>앞넥 4골밴드</t>
    <phoneticPr fontId="8" type="noConversion"/>
  </si>
  <si>
    <r>
      <t>바지 밑단의 둘레길이</t>
    </r>
    <r>
      <rPr>
        <sz val="7.5"/>
        <color rgb="FFFF0000"/>
        <rFont val="맑은 고딕"/>
        <family val="3"/>
        <charset val="129"/>
        <scheme val="minor"/>
      </rPr>
      <t>(프릴 위 절개선둘레)</t>
    </r>
    <phoneticPr fontId="2" type="noConversion"/>
  </si>
  <si>
    <t>STYLE NO: HUSL06-W#R49</t>
    <phoneticPr fontId="1" type="noConversion"/>
  </si>
  <si>
    <t>4G</t>
    <phoneticPr fontId="8" type="noConversion"/>
  </si>
  <si>
    <t>STYLE NO: HYUSL05-W#A37</t>
    <phoneticPr fontId="1" type="noConversion"/>
  </si>
  <si>
    <t>소매 밑단 라인을 따라 잰 둘레길이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</si>
</sst>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31">
    <xf numFmtId="0" fontId="0" fillId="0" borderId="0" xfId="0">
      <alignment vertical="center"/>
    </xf>
    <xf numFmtId="0" fontId="6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1" xfId="3" applyFont="1" applyBorder="1" applyAlignment="1">
      <alignment horizontal="left" vertical="center"/>
    </xf>
    <xf numFmtId="0" fontId="4" fillId="0" borderId="13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6" xfId="3" applyFont="1" applyBorder="1" applyAlignment="1">
      <alignment horizontal="left" vertical="center"/>
    </xf>
    <xf numFmtId="0" fontId="4" fillId="0" borderId="17" xfId="3" applyFont="1" applyBorder="1" applyAlignment="1">
      <alignment horizontal="left" vertical="center"/>
    </xf>
    <xf numFmtId="0" fontId="4" fillId="0" borderId="18" xfId="3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6" xfId="3" applyFont="1" applyBorder="1" applyAlignment="1">
      <alignment horizontal="left" vertical="center"/>
    </xf>
    <xf numFmtId="0" fontId="4" fillId="0" borderId="8" xfId="3" applyFont="1" applyBorder="1" applyAlignment="1">
      <alignment horizontal="left" vertical="center"/>
    </xf>
    <xf numFmtId="0" fontId="4" fillId="0" borderId="7" xfId="3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4" fillId="0" borderId="14" xfId="3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6" fillId="0" borderId="27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/>
    </xf>
    <xf numFmtId="0" fontId="7" fillId="0" borderId="13" xfId="2" applyFont="1" applyBorder="1" applyAlignment="1">
      <alignment horizontal="left" vertical="center"/>
    </xf>
    <xf numFmtId="0" fontId="7" fillId="0" borderId="12" xfId="2" applyFont="1" applyBorder="1" applyAlignment="1">
      <alignment horizontal="left" vertical="center"/>
    </xf>
    <xf numFmtId="0" fontId="6" fillId="0" borderId="16" xfId="2" applyFont="1" applyBorder="1" applyAlignment="1">
      <alignment horizontal="left" vertical="center"/>
    </xf>
    <xf numFmtId="0" fontId="6" fillId="0" borderId="17" xfId="2" applyFont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7" fillId="0" borderId="16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0" fontId="6" fillId="0" borderId="2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31CE-A48F-4259-88B8-3183BB846596}">
  <sheetPr>
    <tabColor rgb="FF00B0F0"/>
  </sheetPr>
  <dimension ref="A1:M70"/>
  <sheetViews>
    <sheetView tabSelected="1" zoomScale="110" zoomScaleNormal="110" workbookViewId="0">
      <selection activeCell="M29" sqref="M29:M30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55" t="s">
        <v>127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4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37">
        <v>1</v>
      </c>
      <c r="B3" s="68" t="s">
        <v>128</v>
      </c>
      <c r="C3" s="68"/>
      <c r="D3" s="69" t="s">
        <v>129</v>
      </c>
      <c r="E3" s="69"/>
      <c r="F3" s="69"/>
      <c r="G3" s="70"/>
      <c r="H3" s="10">
        <f>SUM(I3)-6</f>
        <v>60</v>
      </c>
      <c r="I3" s="10">
        <f>SUM(J3)-6</f>
        <v>66</v>
      </c>
      <c r="J3" s="28">
        <v>72</v>
      </c>
      <c r="K3" s="10">
        <f>SUM(J3)+6</f>
        <v>78</v>
      </c>
      <c r="L3" s="10">
        <f>SUM(K3)+6</f>
        <v>84</v>
      </c>
      <c r="M3" s="12">
        <f>SUM(L3)+6</f>
        <v>90</v>
      </c>
    </row>
    <row r="4" spans="1:13" s="1" customFormat="1" ht="14.1" customHeight="1">
      <c r="A4" s="14"/>
      <c r="B4" s="50" t="s">
        <v>130</v>
      </c>
      <c r="C4" s="50"/>
      <c r="D4" s="41" t="s">
        <v>131</v>
      </c>
      <c r="E4" s="42"/>
      <c r="F4" s="42"/>
      <c r="G4" s="42"/>
      <c r="H4" s="11"/>
      <c r="I4" s="11"/>
      <c r="J4" s="38"/>
      <c r="K4" s="11"/>
      <c r="L4" s="11"/>
      <c r="M4" s="13"/>
    </row>
    <row r="5" spans="1:13" s="1" customFormat="1" ht="14.1" customHeight="1">
      <c r="A5" s="14">
        <v>2</v>
      </c>
      <c r="B5" s="51" t="s">
        <v>17</v>
      </c>
      <c r="C5" s="51"/>
      <c r="D5" s="52" t="s">
        <v>18</v>
      </c>
      <c r="E5" s="52"/>
      <c r="F5" s="52"/>
      <c r="G5" s="52"/>
      <c r="H5" s="10">
        <f>SUM(I5)-1.8</f>
        <v>20.9</v>
      </c>
      <c r="I5" s="10">
        <f>SUM(J5)-1.8</f>
        <v>22.7</v>
      </c>
      <c r="J5" s="28">
        <v>24.5</v>
      </c>
      <c r="K5" s="10">
        <f>SUM(J5)+1.6</f>
        <v>26.1</v>
      </c>
      <c r="L5" s="10">
        <f t="shared" ref="L5:M5" si="0">SUM(K5)+1.6</f>
        <v>27.700000000000003</v>
      </c>
      <c r="M5" s="12">
        <f t="shared" si="0"/>
        <v>29.300000000000004</v>
      </c>
    </row>
    <row r="6" spans="1:13" s="1" customFormat="1" ht="14.1" customHeight="1">
      <c r="A6" s="14"/>
      <c r="B6" s="50" t="s">
        <v>8</v>
      </c>
      <c r="C6" s="50"/>
      <c r="D6" s="41" t="s">
        <v>21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16</v>
      </c>
      <c r="C7" s="51"/>
      <c r="D7" s="52" t="s">
        <v>116</v>
      </c>
      <c r="E7" s="52"/>
      <c r="F7" s="52"/>
      <c r="G7" s="52"/>
      <c r="H7" s="10">
        <f>SUM(I7)-3.4</f>
        <v>40.800000000000004</v>
      </c>
      <c r="I7" s="10">
        <f>SUM(J7)-3.4</f>
        <v>44.2</v>
      </c>
      <c r="J7" s="28">
        <v>47.6</v>
      </c>
      <c r="K7" s="10">
        <f>SUM(J7)+3</f>
        <v>50.6</v>
      </c>
      <c r="L7" s="10">
        <f>SUM(K7)+3</f>
        <v>53.6</v>
      </c>
      <c r="M7" s="12">
        <f>SUM(L7)+3</f>
        <v>56.6</v>
      </c>
    </row>
    <row r="8" spans="1:13" s="1" customFormat="1" ht="14.1" customHeight="1">
      <c r="A8" s="14"/>
      <c r="B8" s="50" t="s">
        <v>19</v>
      </c>
      <c r="C8" s="50"/>
      <c r="D8" s="41" t="s">
        <v>22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20</v>
      </c>
      <c r="C9" s="51"/>
      <c r="D9" s="52" t="s">
        <v>115</v>
      </c>
      <c r="E9" s="52"/>
      <c r="F9" s="52"/>
      <c r="G9" s="52"/>
      <c r="H9" s="10">
        <f>SUM(I9)-4.4</f>
        <v>54.2</v>
      </c>
      <c r="I9" s="10">
        <f>SUM(J9)-4.4</f>
        <v>58.6</v>
      </c>
      <c r="J9" s="28">
        <v>63</v>
      </c>
      <c r="K9" s="10">
        <f>SUM(J9)+4</f>
        <v>67</v>
      </c>
      <c r="L9" s="10">
        <f>SUM(K9)+4</f>
        <v>71</v>
      </c>
      <c r="M9" s="12">
        <f>SUM(L9)+4</f>
        <v>75</v>
      </c>
    </row>
    <row r="10" spans="1:13" s="1" customFormat="1" ht="14.1" customHeight="1">
      <c r="A10" s="14"/>
      <c r="B10" s="50" t="s">
        <v>9</v>
      </c>
      <c r="C10" s="50"/>
      <c r="D10" s="41" t="s">
        <v>114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88</v>
      </c>
      <c r="C11" s="51"/>
      <c r="D11" s="52" t="s">
        <v>0</v>
      </c>
      <c r="E11" s="52"/>
      <c r="F11" s="52"/>
      <c r="G11" s="52"/>
      <c r="H11" s="10">
        <f>SUM(I11)-1</f>
        <v>15.5</v>
      </c>
      <c r="I11" s="10">
        <f>SUM(J11)-1</f>
        <v>16.5</v>
      </c>
      <c r="J11" s="28">
        <v>17.5</v>
      </c>
      <c r="K11" s="10">
        <f>SUM(J11)+0.8</f>
        <v>18.3</v>
      </c>
      <c r="L11" s="51">
        <f>SUM(K11)+0.8</f>
        <v>19.100000000000001</v>
      </c>
      <c r="M11" s="12">
        <f>SUM(L11)+0.9</f>
        <v>20</v>
      </c>
    </row>
    <row r="12" spans="1:13" s="1" customFormat="1" ht="14.1" customHeight="1">
      <c r="A12" s="14"/>
      <c r="B12" s="50" t="s">
        <v>10</v>
      </c>
      <c r="C12" s="50"/>
      <c r="D12" s="41" t="s">
        <v>23</v>
      </c>
      <c r="E12" s="42"/>
      <c r="F12" s="42"/>
      <c r="G12" s="43"/>
      <c r="H12" s="11"/>
      <c r="I12" s="11"/>
      <c r="J12" s="38"/>
      <c r="K12" s="11"/>
      <c r="L12" s="50"/>
      <c r="M12" s="13"/>
    </row>
    <row r="13" spans="1:13" s="1" customFormat="1" ht="14.1" customHeight="1">
      <c r="A13" s="14">
        <v>6</v>
      </c>
      <c r="B13" s="51" t="s">
        <v>1</v>
      </c>
      <c r="C13" s="51"/>
      <c r="D13" s="52" t="s">
        <v>101</v>
      </c>
      <c r="E13" s="52"/>
      <c r="F13" s="52"/>
      <c r="G13" s="52"/>
      <c r="H13" s="10">
        <f>SUM(I13)-1.8</f>
        <v>13.2</v>
      </c>
      <c r="I13" s="10">
        <f>SUM(J13)-1.8</f>
        <v>15</v>
      </c>
      <c r="J13" s="28">
        <v>16.8</v>
      </c>
      <c r="K13" s="10">
        <f>SUM(J13)+0.6</f>
        <v>17.400000000000002</v>
      </c>
      <c r="L13" s="51">
        <f>SUM(K13)+0.6</f>
        <v>18.000000000000004</v>
      </c>
      <c r="M13" s="12">
        <f>SUM(L13)+0.6</f>
        <v>18.600000000000005</v>
      </c>
    </row>
    <row r="14" spans="1:13" s="1" customFormat="1" ht="14.1" customHeight="1">
      <c r="A14" s="14"/>
      <c r="B14" s="50" t="s">
        <v>11</v>
      </c>
      <c r="C14" s="50"/>
      <c r="D14" s="41" t="s">
        <v>24</v>
      </c>
      <c r="E14" s="42"/>
      <c r="F14" s="42"/>
      <c r="G14" s="43"/>
      <c r="H14" s="11"/>
      <c r="I14" s="11"/>
      <c r="J14" s="38"/>
      <c r="K14" s="11"/>
      <c r="L14" s="50"/>
      <c r="M14" s="13"/>
    </row>
    <row r="15" spans="1:13" s="1" customFormat="1" ht="14.1" customHeight="1">
      <c r="A15" s="14">
        <v>7</v>
      </c>
      <c r="B15" s="51" t="s">
        <v>121</v>
      </c>
      <c r="C15" s="51"/>
      <c r="D15" s="52" t="s">
        <v>122</v>
      </c>
      <c r="E15" s="52"/>
      <c r="F15" s="52"/>
      <c r="G15" s="52"/>
      <c r="H15" s="10">
        <f>SUM(I15)+0.3</f>
        <v>7.6</v>
      </c>
      <c r="I15" s="10">
        <f>SUM(J15)+0.3</f>
        <v>7.3</v>
      </c>
      <c r="J15" s="28">
        <v>7</v>
      </c>
      <c r="K15" s="10">
        <f>SUM(J15)+0.2</f>
        <v>7.2</v>
      </c>
      <c r="L15" s="10">
        <f>SUM(K15)+0.2</f>
        <v>7.4</v>
      </c>
      <c r="M15" s="12">
        <f>SUM(L15)+0.2</f>
        <v>7.6000000000000005</v>
      </c>
    </row>
    <row r="16" spans="1:13" s="1" customFormat="1" ht="14.1" customHeight="1">
      <c r="A16" s="14"/>
      <c r="B16" s="50" t="s">
        <v>124</v>
      </c>
      <c r="C16" s="50"/>
      <c r="D16" s="41" t="s">
        <v>123</v>
      </c>
      <c r="E16" s="42"/>
      <c r="F16" s="42"/>
      <c r="G16" s="43"/>
      <c r="H16" s="11"/>
      <c r="I16" s="11"/>
      <c r="J16" s="38"/>
      <c r="K16" s="11"/>
      <c r="L16" s="11"/>
      <c r="M16" s="13"/>
    </row>
    <row r="17" spans="1:13" s="1" customFormat="1" ht="14.1" customHeight="1">
      <c r="A17" s="14">
        <v>8</v>
      </c>
      <c r="B17" s="51" t="s">
        <v>2</v>
      </c>
      <c r="C17" s="51"/>
      <c r="D17" s="52" t="s">
        <v>3</v>
      </c>
      <c r="E17" s="52"/>
      <c r="F17" s="52"/>
      <c r="G17" s="52"/>
      <c r="H17" s="10">
        <f>SUM(I17)+0.3</f>
        <v>7.1</v>
      </c>
      <c r="I17" s="10">
        <f>SUM(J17)+0.3</f>
        <v>6.8</v>
      </c>
      <c r="J17" s="28">
        <v>6.5</v>
      </c>
      <c r="K17" s="10">
        <f>SUM(J17)+0.2</f>
        <v>6.7</v>
      </c>
      <c r="L17" s="10">
        <f>SUM(K17)+0.2</f>
        <v>6.9</v>
      </c>
      <c r="M17" s="12">
        <f>SUM(L17)+0.2</f>
        <v>7.1000000000000005</v>
      </c>
    </row>
    <row r="18" spans="1:13" s="1" customFormat="1" ht="14.1" customHeight="1">
      <c r="A18" s="14"/>
      <c r="B18" s="50" t="s">
        <v>12</v>
      </c>
      <c r="C18" s="50"/>
      <c r="D18" s="41" t="s">
        <v>35</v>
      </c>
      <c r="E18" s="42"/>
      <c r="F18" s="42"/>
      <c r="G18" s="43"/>
      <c r="H18" s="11"/>
      <c r="I18" s="11"/>
      <c r="J18" s="38"/>
      <c r="K18" s="11"/>
      <c r="L18" s="11"/>
      <c r="M18" s="13"/>
    </row>
    <row r="19" spans="1:13" s="1" customFormat="1" ht="14.1" customHeight="1">
      <c r="A19" s="14">
        <v>9</v>
      </c>
      <c r="B19" s="45" t="s">
        <v>39</v>
      </c>
      <c r="C19" s="46"/>
      <c r="D19" s="47" t="s">
        <v>45</v>
      </c>
      <c r="E19" s="48"/>
      <c r="F19" s="48"/>
      <c r="G19" s="49"/>
      <c r="H19" s="10"/>
      <c r="I19" s="10"/>
      <c r="J19" s="28"/>
      <c r="K19" s="10"/>
      <c r="L19" s="10"/>
      <c r="M19" s="12"/>
    </row>
    <row r="20" spans="1:13" s="1" customFormat="1" ht="14.1" customHeight="1">
      <c r="A20" s="14"/>
      <c r="B20" s="50" t="s">
        <v>15</v>
      </c>
      <c r="C20" s="50"/>
      <c r="D20" s="41" t="s">
        <v>46</v>
      </c>
      <c r="E20" s="42"/>
      <c r="F20" s="42"/>
      <c r="G20" s="43"/>
      <c r="H20" s="11"/>
      <c r="I20" s="11"/>
      <c r="J20" s="38"/>
      <c r="K20" s="11"/>
      <c r="L20" s="11"/>
      <c r="M20" s="13"/>
    </row>
    <row r="21" spans="1:13" s="1" customFormat="1" ht="14.1" customHeight="1">
      <c r="A21" s="14">
        <v>10</v>
      </c>
      <c r="B21" s="51" t="s">
        <v>132</v>
      </c>
      <c r="C21" s="51"/>
      <c r="D21" s="52" t="s">
        <v>5</v>
      </c>
      <c r="E21" s="52"/>
      <c r="F21" s="52"/>
      <c r="G21" s="52"/>
      <c r="H21" s="10">
        <f>SUM(I21)-0.5</f>
        <v>8</v>
      </c>
      <c r="I21" s="10">
        <f>SUM(J21)-0.5</f>
        <v>8.5</v>
      </c>
      <c r="J21" s="28">
        <v>9</v>
      </c>
      <c r="K21" s="10">
        <f>SUM(J21)+0.5</f>
        <v>9.5</v>
      </c>
      <c r="L21" s="10">
        <f>SUM(K21)+0.5</f>
        <v>10</v>
      </c>
      <c r="M21" s="12">
        <f>SUM(L21)+0.5</f>
        <v>10.5</v>
      </c>
    </row>
    <row r="22" spans="1:13" s="1" customFormat="1" ht="14.1" customHeight="1">
      <c r="A22" s="14"/>
      <c r="B22" s="50" t="s">
        <v>136</v>
      </c>
      <c r="C22" s="50"/>
      <c r="D22" s="41" t="s">
        <v>25</v>
      </c>
      <c r="E22" s="42"/>
      <c r="F22" s="42"/>
      <c r="G22" s="43"/>
      <c r="H22" s="11"/>
      <c r="I22" s="11"/>
      <c r="J22" s="38"/>
      <c r="K22" s="11"/>
      <c r="L22" s="11"/>
      <c r="M22" s="13"/>
    </row>
    <row r="23" spans="1:13" s="1" customFormat="1" ht="14.1" customHeight="1">
      <c r="A23" s="14">
        <v>11</v>
      </c>
      <c r="B23" s="51" t="s">
        <v>6</v>
      </c>
      <c r="C23" s="51"/>
      <c r="D23" s="47" t="s">
        <v>7</v>
      </c>
      <c r="E23" s="48"/>
      <c r="F23" s="48"/>
      <c r="G23" s="49"/>
      <c r="H23" s="10"/>
      <c r="I23" s="10"/>
      <c r="J23" s="28"/>
      <c r="K23" s="10"/>
      <c r="L23" s="10"/>
      <c r="M23" s="12"/>
    </row>
    <row r="24" spans="1:13" s="1" customFormat="1" ht="14.1" customHeight="1">
      <c r="A24" s="14"/>
      <c r="B24" s="50" t="s">
        <v>13</v>
      </c>
      <c r="C24" s="50"/>
      <c r="D24" s="41" t="s">
        <v>34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3" s="1" customFormat="1" ht="14.1" customHeight="1">
      <c r="A25" s="14">
        <v>12</v>
      </c>
      <c r="B25" s="45" t="s">
        <v>102</v>
      </c>
      <c r="C25" s="46"/>
      <c r="D25" s="52" t="s">
        <v>51</v>
      </c>
      <c r="E25" s="52"/>
      <c r="F25" s="52"/>
      <c r="G25" s="52"/>
      <c r="H25" s="10"/>
      <c r="I25" s="10"/>
      <c r="J25" s="28"/>
      <c r="K25" s="10"/>
      <c r="L25" s="10"/>
      <c r="M25" s="12"/>
    </row>
    <row r="26" spans="1:13" s="1" customFormat="1" ht="14.1" customHeight="1">
      <c r="A26" s="14"/>
      <c r="B26" s="50" t="s">
        <v>52</v>
      </c>
      <c r="C26" s="50"/>
      <c r="D26" s="41" t="s">
        <v>53</v>
      </c>
      <c r="E26" s="42"/>
      <c r="F26" s="42"/>
      <c r="G26" s="43"/>
      <c r="H26" s="11"/>
      <c r="I26" s="11"/>
      <c r="J26" s="38"/>
      <c r="K26" s="11"/>
      <c r="L26" s="11"/>
      <c r="M26" s="13"/>
    </row>
    <row r="27" spans="1:13" ht="14.1" customHeight="1">
      <c r="A27" s="14">
        <v>13</v>
      </c>
      <c r="B27" s="45" t="s">
        <v>133</v>
      </c>
      <c r="C27" s="46"/>
      <c r="D27" s="47"/>
      <c r="E27" s="48"/>
      <c r="F27" s="48"/>
      <c r="G27" s="49"/>
      <c r="H27" s="10">
        <f>SUM(I27)-4.8</f>
        <v>34.400000000000006</v>
      </c>
      <c r="I27" s="10">
        <f>SUM(J27)-4.8</f>
        <v>39.200000000000003</v>
      </c>
      <c r="J27" s="28">
        <v>44</v>
      </c>
      <c r="K27" s="10">
        <f>SUM(J27)+4.3</f>
        <v>48.3</v>
      </c>
      <c r="L27" s="10">
        <f>SUM(K27)+4.3</f>
        <v>52.599999999999994</v>
      </c>
      <c r="M27" s="12">
        <f>SUM(L27)+4.3</f>
        <v>56.899999999999991</v>
      </c>
    </row>
    <row r="28" spans="1:13" ht="14.1" customHeight="1">
      <c r="A28" s="14"/>
      <c r="B28" s="39" t="s">
        <v>134</v>
      </c>
      <c r="C28" s="40"/>
      <c r="D28" s="41" t="s">
        <v>135</v>
      </c>
      <c r="E28" s="42"/>
      <c r="F28" s="42"/>
      <c r="G28" s="43"/>
      <c r="H28" s="11"/>
      <c r="I28" s="11"/>
      <c r="J28" s="38"/>
      <c r="K28" s="11"/>
      <c r="L28" s="11"/>
      <c r="M28" s="13"/>
    </row>
    <row r="29" spans="1:13" ht="14.1" customHeight="1">
      <c r="A29" s="14">
        <v>14</v>
      </c>
      <c r="B29" s="45" t="s">
        <v>119</v>
      </c>
      <c r="C29" s="46"/>
      <c r="D29" s="47"/>
      <c r="E29" s="48"/>
      <c r="F29" s="48"/>
      <c r="G29" s="49"/>
      <c r="H29" s="10">
        <f>SUM(I29)-1.5</f>
        <v>14.5</v>
      </c>
      <c r="I29" s="10">
        <f>SUM(J29)-1.5</f>
        <v>16</v>
      </c>
      <c r="J29" s="28">
        <v>17.5</v>
      </c>
      <c r="K29" s="10">
        <f>SUM(J29)+1.5</f>
        <v>19</v>
      </c>
      <c r="L29" s="10">
        <f>SUM(K29)+1.5</f>
        <v>20.5</v>
      </c>
      <c r="M29" s="12">
        <f>SUM(L29)+1.5</f>
        <v>22</v>
      </c>
    </row>
    <row r="30" spans="1:13" ht="14.1" customHeight="1">
      <c r="A30" s="14"/>
      <c r="B30" s="39" t="s">
        <v>50</v>
      </c>
      <c r="C30" s="40"/>
      <c r="D30" s="41"/>
      <c r="E30" s="42"/>
      <c r="F30" s="42"/>
      <c r="G30" s="43"/>
      <c r="H30" s="11"/>
      <c r="I30" s="11"/>
      <c r="J30" s="38"/>
      <c r="K30" s="11"/>
      <c r="L30" s="11"/>
      <c r="M30" s="13"/>
    </row>
    <row r="31" spans="1:13" ht="14.1" customHeight="1">
      <c r="A31" s="36">
        <v>15</v>
      </c>
      <c r="B31" s="45"/>
      <c r="C31" s="46"/>
      <c r="D31" s="47"/>
      <c r="E31" s="48"/>
      <c r="F31" s="48"/>
      <c r="G31" s="49"/>
      <c r="H31" s="10"/>
      <c r="I31" s="10"/>
      <c r="J31" s="28"/>
      <c r="K31" s="10"/>
      <c r="L31" s="10"/>
      <c r="M31" s="12"/>
    </row>
    <row r="32" spans="1:13" ht="14.1" customHeight="1">
      <c r="A32" s="37"/>
      <c r="B32" s="39"/>
      <c r="C32" s="40"/>
      <c r="D32" s="41"/>
      <c r="E32" s="42"/>
      <c r="F32" s="42"/>
      <c r="G32" s="43"/>
      <c r="H32" s="11"/>
      <c r="I32" s="11"/>
      <c r="J32" s="38"/>
      <c r="K32" s="11"/>
      <c r="L32" s="11"/>
      <c r="M32" s="13"/>
    </row>
    <row r="33" spans="1:13" ht="14.1" customHeight="1">
      <c r="A33" s="14">
        <v>16</v>
      </c>
      <c r="B33" s="16"/>
      <c r="C33" s="17"/>
      <c r="D33" s="18"/>
      <c r="E33" s="19"/>
      <c r="F33" s="19"/>
      <c r="G33" s="20"/>
      <c r="H33" s="10"/>
      <c r="I33" s="10"/>
      <c r="J33" s="22"/>
      <c r="K33" s="10"/>
      <c r="L33" s="10"/>
      <c r="M33" s="12"/>
    </row>
    <row r="34" spans="1:13" ht="14.1" customHeight="1">
      <c r="A34" s="14"/>
      <c r="B34" s="23"/>
      <c r="C34" s="24"/>
      <c r="D34" s="25"/>
      <c r="E34" s="26"/>
      <c r="F34" s="26"/>
      <c r="G34" s="27"/>
      <c r="H34" s="11"/>
      <c r="I34" s="11"/>
      <c r="J34" s="22"/>
      <c r="K34" s="11"/>
      <c r="L34" s="11"/>
      <c r="M34" s="13"/>
    </row>
    <row r="35" spans="1:13" ht="14.1" customHeight="1">
      <c r="A35" s="14">
        <v>17</v>
      </c>
      <c r="B35" s="16"/>
      <c r="C35" s="17"/>
      <c r="D35" s="18"/>
      <c r="E35" s="19"/>
      <c r="F35" s="19"/>
      <c r="G35" s="20"/>
      <c r="H35" s="10"/>
      <c r="I35" s="10"/>
      <c r="J35" s="28"/>
      <c r="K35" s="10"/>
      <c r="L35" s="10"/>
      <c r="M35" s="12"/>
    </row>
    <row r="36" spans="1:13" ht="14.1" customHeight="1" thickBot="1">
      <c r="A36" s="15"/>
      <c r="B36" s="31"/>
      <c r="C36" s="32"/>
      <c r="D36" s="33"/>
      <c r="E36" s="34"/>
      <c r="F36" s="34"/>
      <c r="G36" s="35"/>
      <c r="H36" s="21"/>
      <c r="I36" s="21"/>
      <c r="J36" s="29"/>
      <c r="K36" s="21"/>
      <c r="L36" s="21"/>
      <c r="M36" s="3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8" type="noConversion"/>
  <printOptions horizontalCentered="1"/>
  <pageMargins left="0" right="1.0416666666666666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227E-5A90-4B21-9AD7-7542567ABCC0}">
  <sheetPr>
    <tabColor rgb="FF00B0F0"/>
  </sheetPr>
  <dimension ref="A1:M70"/>
  <sheetViews>
    <sheetView zoomScale="110" zoomScaleNormal="110" workbookViewId="0">
      <selection activeCell="B5" sqref="B5:G5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55" t="s">
        <v>120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4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37">
        <v>1</v>
      </c>
      <c r="B3" s="59" t="s">
        <v>42</v>
      </c>
      <c r="C3" s="60"/>
      <c r="D3" s="61" t="s">
        <v>43</v>
      </c>
      <c r="E3" s="62"/>
      <c r="F3" s="62"/>
      <c r="G3" s="63"/>
      <c r="H3" s="10">
        <f>SUM(I3)-5.8</f>
        <v>65.400000000000006</v>
      </c>
      <c r="I3" s="10">
        <f>SUM(J3)-5.8</f>
        <v>71.2</v>
      </c>
      <c r="J3" s="28">
        <v>77</v>
      </c>
      <c r="K3" s="10">
        <f>SUM(J3)+5.8</f>
        <v>82.8</v>
      </c>
      <c r="L3" s="10">
        <f>SUM(K3)+5.8</f>
        <v>88.6</v>
      </c>
      <c r="M3" s="12">
        <f>SUM(L3)+5.8</f>
        <v>94.399999999999991</v>
      </c>
    </row>
    <row r="4" spans="1:13" s="1" customFormat="1" ht="14.1" customHeight="1">
      <c r="A4" s="14"/>
      <c r="B4" s="50" t="s">
        <v>14</v>
      </c>
      <c r="C4" s="50"/>
      <c r="D4" s="41" t="s">
        <v>44</v>
      </c>
      <c r="E4" s="42"/>
      <c r="F4" s="42"/>
      <c r="G4" s="42"/>
      <c r="H4" s="11"/>
      <c r="I4" s="11"/>
      <c r="J4" s="38"/>
      <c r="K4" s="11"/>
      <c r="L4" s="11"/>
      <c r="M4" s="13"/>
    </row>
    <row r="5" spans="1:13" s="1" customFormat="1" ht="14.1" customHeight="1">
      <c r="A5" s="14">
        <v>2</v>
      </c>
      <c r="B5" s="51" t="s">
        <v>17</v>
      </c>
      <c r="C5" s="51"/>
      <c r="D5" s="52" t="s">
        <v>18</v>
      </c>
      <c r="E5" s="52"/>
      <c r="F5" s="52"/>
      <c r="G5" s="52"/>
      <c r="H5" s="10">
        <f>SUM(I5)-1.8</f>
        <v>23.2</v>
      </c>
      <c r="I5" s="10">
        <f>SUM(J5)-1.8</f>
        <v>25</v>
      </c>
      <c r="J5" s="28">
        <v>26.8</v>
      </c>
      <c r="K5" s="10">
        <f>SUM(J5)+1.6</f>
        <v>28.400000000000002</v>
      </c>
      <c r="L5" s="10">
        <f t="shared" ref="L5:M5" si="0">SUM(K5)+1.6</f>
        <v>30.000000000000004</v>
      </c>
      <c r="M5" s="12">
        <f t="shared" si="0"/>
        <v>31.600000000000005</v>
      </c>
    </row>
    <row r="6" spans="1:13" s="1" customFormat="1" ht="14.1" customHeight="1">
      <c r="A6" s="14"/>
      <c r="B6" s="50" t="s">
        <v>8</v>
      </c>
      <c r="C6" s="50"/>
      <c r="D6" s="41" t="s">
        <v>21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16</v>
      </c>
      <c r="C7" s="51"/>
      <c r="D7" s="52" t="s">
        <v>116</v>
      </c>
      <c r="E7" s="52"/>
      <c r="F7" s="52"/>
      <c r="G7" s="52"/>
      <c r="H7" s="10">
        <f>SUM(I7)-2.8</f>
        <v>35.700000000000003</v>
      </c>
      <c r="I7" s="10">
        <f>SUM(J7)-2.8</f>
        <v>38.5</v>
      </c>
      <c r="J7" s="28">
        <v>41.3</v>
      </c>
      <c r="K7" s="10">
        <f>SUM(J7)+2.4</f>
        <v>43.699999999999996</v>
      </c>
      <c r="L7" s="10">
        <f>SUM(K7)+2.4</f>
        <v>46.099999999999994</v>
      </c>
      <c r="M7" s="12">
        <f>SUM(L7)+2.4</f>
        <v>48.499999999999993</v>
      </c>
    </row>
    <row r="8" spans="1:13" s="1" customFormat="1" ht="14.1" customHeight="1">
      <c r="A8" s="14"/>
      <c r="B8" s="50" t="s">
        <v>19</v>
      </c>
      <c r="C8" s="50"/>
      <c r="D8" s="41" t="s">
        <v>22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20</v>
      </c>
      <c r="C9" s="51"/>
      <c r="D9" s="52" t="s">
        <v>115</v>
      </c>
      <c r="E9" s="52"/>
      <c r="F9" s="52"/>
      <c r="G9" s="52"/>
      <c r="H9" s="10">
        <f>SUM(I9)-4.2</f>
        <v>52.599999999999994</v>
      </c>
      <c r="I9" s="10">
        <f>SUM(J9)-4.2</f>
        <v>56.8</v>
      </c>
      <c r="J9" s="28">
        <v>61</v>
      </c>
      <c r="K9" s="10">
        <f>SUM(J9)+3.6</f>
        <v>64.599999999999994</v>
      </c>
      <c r="L9" s="10">
        <f>SUM(K9)+3.6</f>
        <v>68.199999999999989</v>
      </c>
      <c r="M9" s="12">
        <f>SUM(L9)+3.6</f>
        <v>71.799999999999983</v>
      </c>
    </row>
    <row r="10" spans="1:13" s="1" customFormat="1" ht="14.1" customHeight="1">
      <c r="A10" s="14"/>
      <c r="B10" s="50" t="s">
        <v>9</v>
      </c>
      <c r="C10" s="50"/>
      <c r="D10" s="41" t="s">
        <v>114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88</v>
      </c>
      <c r="C11" s="51"/>
      <c r="D11" s="52" t="s">
        <v>0</v>
      </c>
      <c r="E11" s="52"/>
      <c r="F11" s="52"/>
      <c r="G11" s="52"/>
      <c r="H11" s="10">
        <f>SUM(I11)-0.8</f>
        <v>14.599999999999998</v>
      </c>
      <c r="I11" s="10">
        <f>SUM(J11)-0.8</f>
        <v>15.399999999999999</v>
      </c>
      <c r="J11" s="28">
        <v>16.2</v>
      </c>
      <c r="K11" s="10">
        <f>SUM(J11)+0.8</f>
        <v>17</v>
      </c>
      <c r="L11" s="51">
        <f>SUM(K11)+0.8</f>
        <v>17.8</v>
      </c>
      <c r="M11" s="12">
        <f>SUM(L11)+0.8</f>
        <v>18.600000000000001</v>
      </c>
    </row>
    <row r="12" spans="1:13" s="1" customFormat="1" ht="14.1" customHeight="1">
      <c r="A12" s="14"/>
      <c r="B12" s="50" t="s">
        <v>10</v>
      </c>
      <c r="C12" s="50"/>
      <c r="D12" s="41" t="s">
        <v>23</v>
      </c>
      <c r="E12" s="42"/>
      <c r="F12" s="42"/>
      <c r="G12" s="43"/>
      <c r="H12" s="11"/>
      <c r="I12" s="11"/>
      <c r="J12" s="38"/>
      <c r="K12" s="11"/>
      <c r="L12" s="50"/>
      <c r="M12" s="13"/>
    </row>
    <row r="13" spans="1:13" s="1" customFormat="1" ht="14.1" customHeight="1">
      <c r="A13" s="14">
        <v>6</v>
      </c>
      <c r="B13" s="51" t="s">
        <v>1</v>
      </c>
      <c r="C13" s="51"/>
      <c r="D13" s="52" t="s">
        <v>101</v>
      </c>
      <c r="E13" s="52"/>
      <c r="F13" s="52"/>
      <c r="G13" s="52"/>
      <c r="H13" s="10">
        <f>SUM(I13)-0.6</f>
        <v>18.199999999999996</v>
      </c>
      <c r="I13" s="10">
        <f>SUM(J13)-0.6</f>
        <v>18.799999999999997</v>
      </c>
      <c r="J13" s="28">
        <v>19.399999999999999</v>
      </c>
      <c r="K13" s="10">
        <f>SUM(J13)+0.6</f>
        <v>20</v>
      </c>
      <c r="L13" s="51">
        <f>SUM(K13)+0.6</f>
        <v>20.6</v>
      </c>
      <c r="M13" s="12">
        <f>SUM(L13)+0.6</f>
        <v>21.200000000000003</v>
      </c>
    </row>
    <row r="14" spans="1:13" s="1" customFormat="1" ht="14.1" customHeight="1">
      <c r="A14" s="14"/>
      <c r="B14" s="50" t="s">
        <v>11</v>
      </c>
      <c r="C14" s="50"/>
      <c r="D14" s="41" t="s">
        <v>24</v>
      </c>
      <c r="E14" s="42"/>
      <c r="F14" s="42"/>
      <c r="G14" s="43"/>
      <c r="H14" s="11"/>
      <c r="I14" s="11"/>
      <c r="J14" s="38"/>
      <c r="K14" s="11"/>
      <c r="L14" s="50"/>
      <c r="M14" s="13"/>
    </row>
    <row r="15" spans="1:13" s="1" customFormat="1" ht="14.1" customHeight="1">
      <c r="A15" s="14">
        <v>7</v>
      </c>
      <c r="B15" s="51" t="s">
        <v>121</v>
      </c>
      <c r="C15" s="51"/>
      <c r="D15" s="52" t="s">
        <v>122</v>
      </c>
      <c r="E15" s="52"/>
      <c r="F15" s="52"/>
      <c r="G15" s="52"/>
      <c r="H15" s="10">
        <f>SUM(I15)-0.2</f>
        <v>4.3999999999999995</v>
      </c>
      <c r="I15" s="10">
        <f>SUM(J15)-0.2</f>
        <v>4.5999999999999996</v>
      </c>
      <c r="J15" s="28">
        <v>4.8</v>
      </c>
      <c r="K15" s="10">
        <f>SUM(J15)+0.2</f>
        <v>5</v>
      </c>
      <c r="L15" s="10">
        <f>SUM(K15)+0.2</f>
        <v>5.2</v>
      </c>
      <c r="M15" s="12">
        <f>SUM(L15)+0.2</f>
        <v>5.4</v>
      </c>
    </row>
    <row r="16" spans="1:13" s="1" customFormat="1" ht="14.1" customHeight="1">
      <c r="A16" s="14"/>
      <c r="B16" s="50" t="s">
        <v>124</v>
      </c>
      <c r="C16" s="50"/>
      <c r="D16" s="41" t="s">
        <v>123</v>
      </c>
      <c r="E16" s="42"/>
      <c r="F16" s="42"/>
      <c r="G16" s="43"/>
      <c r="H16" s="11"/>
      <c r="I16" s="11"/>
      <c r="J16" s="38"/>
      <c r="K16" s="11"/>
      <c r="L16" s="11"/>
      <c r="M16" s="13"/>
    </row>
    <row r="17" spans="1:13" s="1" customFormat="1" ht="14.1" customHeight="1">
      <c r="A17" s="14">
        <v>8</v>
      </c>
      <c r="B17" s="51" t="s">
        <v>2</v>
      </c>
      <c r="C17" s="51"/>
      <c r="D17" s="52" t="s">
        <v>3</v>
      </c>
      <c r="E17" s="52"/>
      <c r="F17" s="52"/>
      <c r="G17" s="52"/>
      <c r="H17" s="10">
        <f>SUM(I17)-0.3</f>
        <v>8.6999999999999993</v>
      </c>
      <c r="I17" s="10">
        <f>SUM(J17)-0.3</f>
        <v>9</v>
      </c>
      <c r="J17" s="28">
        <v>9.3000000000000007</v>
      </c>
      <c r="K17" s="10">
        <f>SUM(J17)+0.3</f>
        <v>9.6000000000000014</v>
      </c>
      <c r="L17" s="10">
        <f t="shared" ref="L17" si="1">SUM(K17)+0.3</f>
        <v>9.9000000000000021</v>
      </c>
      <c r="M17" s="12">
        <f t="shared" ref="M17" si="2">SUM(L17)+0.3</f>
        <v>10.200000000000003</v>
      </c>
    </row>
    <row r="18" spans="1:13" s="1" customFormat="1" ht="14.1" customHeight="1">
      <c r="A18" s="14"/>
      <c r="B18" s="50" t="s">
        <v>12</v>
      </c>
      <c r="C18" s="50"/>
      <c r="D18" s="41" t="s">
        <v>35</v>
      </c>
      <c r="E18" s="42"/>
      <c r="F18" s="42"/>
      <c r="G18" s="43"/>
      <c r="H18" s="11"/>
      <c r="I18" s="11"/>
      <c r="J18" s="38"/>
      <c r="K18" s="11"/>
      <c r="L18" s="11"/>
      <c r="M18" s="13"/>
    </row>
    <row r="19" spans="1:13" s="1" customFormat="1" ht="14.1" customHeight="1">
      <c r="A19" s="14">
        <v>9</v>
      </c>
      <c r="B19" s="45" t="s">
        <v>39</v>
      </c>
      <c r="C19" s="46"/>
      <c r="D19" s="47" t="s">
        <v>45</v>
      </c>
      <c r="E19" s="48"/>
      <c r="F19" s="48"/>
      <c r="G19" s="49"/>
      <c r="H19" s="10">
        <f>SUM(I19)-1.7</f>
        <v>49.099999999999994</v>
      </c>
      <c r="I19" s="10">
        <f>SUM(J19)-1.7</f>
        <v>50.8</v>
      </c>
      <c r="J19" s="28">
        <v>52.5</v>
      </c>
      <c r="K19" s="10">
        <f>SUM(J19)+1.7</f>
        <v>54.2</v>
      </c>
      <c r="L19" s="10">
        <f>SUM(K19)+1.7</f>
        <v>55.900000000000006</v>
      </c>
      <c r="M19" s="12">
        <f>SUM(L19)+1.7</f>
        <v>57.600000000000009</v>
      </c>
    </row>
    <row r="20" spans="1:13" s="1" customFormat="1" ht="14.1" customHeight="1">
      <c r="A20" s="14"/>
      <c r="B20" s="50" t="s">
        <v>15</v>
      </c>
      <c r="C20" s="50"/>
      <c r="D20" s="41" t="s">
        <v>46</v>
      </c>
      <c r="E20" s="42"/>
      <c r="F20" s="42"/>
      <c r="G20" s="43"/>
      <c r="H20" s="11"/>
      <c r="I20" s="11"/>
      <c r="J20" s="38"/>
      <c r="K20" s="11"/>
      <c r="L20" s="11"/>
      <c r="M20" s="13"/>
    </row>
    <row r="21" spans="1:13" s="1" customFormat="1" ht="14.1" customHeight="1">
      <c r="A21" s="14">
        <v>10</v>
      </c>
      <c r="B21" s="51" t="s">
        <v>4</v>
      </c>
      <c r="C21" s="51"/>
      <c r="D21" s="52" t="s">
        <v>5</v>
      </c>
      <c r="E21" s="52"/>
      <c r="F21" s="52"/>
      <c r="G21" s="52"/>
      <c r="H21" s="10"/>
      <c r="I21" s="10"/>
      <c r="J21" s="28"/>
      <c r="K21" s="10"/>
      <c r="L21" s="10"/>
      <c r="M21" s="12"/>
    </row>
    <row r="22" spans="1:13" s="1" customFormat="1" ht="14.1" customHeight="1">
      <c r="A22" s="14"/>
      <c r="B22" s="50" t="s">
        <v>87</v>
      </c>
      <c r="C22" s="50"/>
      <c r="D22" s="41" t="s">
        <v>25</v>
      </c>
      <c r="E22" s="42"/>
      <c r="F22" s="42"/>
      <c r="G22" s="43"/>
      <c r="H22" s="11"/>
      <c r="I22" s="11"/>
      <c r="J22" s="38"/>
      <c r="K22" s="11"/>
      <c r="L22" s="11"/>
      <c r="M22" s="13"/>
    </row>
    <row r="23" spans="1:13" s="1" customFormat="1" ht="14.1" customHeight="1">
      <c r="A23" s="14">
        <v>11</v>
      </c>
      <c r="B23" s="51" t="s">
        <v>6</v>
      </c>
      <c r="C23" s="51"/>
      <c r="D23" s="47" t="s">
        <v>7</v>
      </c>
      <c r="E23" s="48"/>
      <c r="F23" s="48"/>
      <c r="G23" s="49"/>
      <c r="H23" s="10"/>
      <c r="I23" s="10"/>
      <c r="J23" s="28"/>
      <c r="K23" s="10"/>
      <c r="L23" s="10"/>
      <c r="M23" s="12"/>
    </row>
    <row r="24" spans="1:13" s="1" customFormat="1" ht="14.1" customHeight="1">
      <c r="A24" s="14"/>
      <c r="B24" s="50" t="s">
        <v>13</v>
      </c>
      <c r="C24" s="50"/>
      <c r="D24" s="41" t="s">
        <v>34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3" s="1" customFormat="1" ht="14.1" customHeight="1">
      <c r="A25" s="14">
        <v>12</v>
      </c>
      <c r="B25" s="45" t="s">
        <v>102</v>
      </c>
      <c r="C25" s="46"/>
      <c r="D25" s="52" t="s">
        <v>51</v>
      </c>
      <c r="E25" s="52"/>
      <c r="F25" s="52"/>
      <c r="G25" s="52"/>
      <c r="H25" s="10"/>
      <c r="I25" s="10"/>
      <c r="J25" s="28"/>
      <c r="K25" s="10"/>
      <c r="L25" s="10"/>
      <c r="M25" s="12"/>
    </row>
    <row r="26" spans="1:13" s="1" customFormat="1" ht="14.1" customHeight="1">
      <c r="A26" s="14"/>
      <c r="B26" s="50" t="s">
        <v>52</v>
      </c>
      <c r="C26" s="50"/>
      <c r="D26" s="41" t="s">
        <v>53</v>
      </c>
      <c r="E26" s="42"/>
      <c r="F26" s="42"/>
      <c r="G26" s="43"/>
      <c r="H26" s="11"/>
      <c r="I26" s="11"/>
      <c r="J26" s="38"/>
      <c r="K26" s="11"/>
      <c r="L26" s="11"/>
      <c r="M26" s="13"/>
    </row>
    <row r="27" spans="1:13" ht="14.1" customHeight="1">
      <c r="A27" s="14">
        <v>13</v>
      </c>
      <c r="B27" s="45" t="s">
        <v>47</v>
      </c>
      <c r="C27" s="46"/>
      <c r="D27" s="47"/>
      <c r="E27" s="48"/>
      <c r="F27" s="48"/>
      <c r="G27" s="49"/>
      <c r="H27" s="10">
        <f>SUM(I27)-0.5</f>
        <v>7</v>
      </c>
      <c r="I27" s="10">
        <f>SUM(J27)-0.5</f>
        <v>7.5</v>
      </c>
      <c r="J27" s="28">
        <v>8</v>
      </c>
      <c r="K27" s="10">
        <f>SUM(J27)+0.6</f>
        <v>8.6</v>
      </c>
      <c r="L27" s="10">
        <f>SUM(K27)+0.6</f>
        <v>9.1999999999999993</v>
      </c>
      <c r="M27" s="12">
        <f>SUM(L27)+0.5</f>
        <v>9.6999999999999993</v>
      </c>
    </row>
    <row r="28" spans="1:13" ht="14.1" customHeight="1">
      <c r="A28" s="14"/>
      <c r="B28" s="39" t="s">
        <v>125</v>
      </c>
      <c r="C28" s="40"/>
      <c r="D28" s="41" t="s">
        <v>126</v>
      </c>
      <c r="E28" s="42"/>
      <c r="F28" s="42"/>
      <c r="G28" s="43"/>
      <c r="H28" s="11"/>
      <c r="I28" s="11"/>
      <c r="J28" s="38"/>
      <c r="K28" s="11"/>
      <c r="L28" s="11"/>
      <c r="M28" s="13"/>
    </row>
    <row r="29" spans="1:13" ht="14.1" customHeight="1">
      <c r="A29" s="14">
        <v>14</v>
      </c>
      <c r="B29" s="45" t="s">
        <v>117</v>
      </c>
      <c r="C29" s="46"/>
      <c r="D29" s="47"/>
      <c r="E29" s="48"/>
      <c r="F29" s="48"/>
      <c r="G29" s="49"/>
      <c r="H29" s="10">
        <f>SUM(I29)-2</f>
        <v>22.5</v>
      </c>
      <c r="I29" s="10">
        <f>SUM(J29)-2</f>
        <v>24.5</v>
      </c>
      <c r="J29" s="28">
        <v>26.5</v>
      </c>
      <c r="K29" s="10">
        <f>SUM(J29)+2</f>
        <v>28.5</v>
      </c>
      <c r="L29" s="10">
        <f>SUM(K29)+2</f>
        <v>30.5</v>
      </c>
      <c r="M29" s="12">
        <f>SUM(L29)+2</f>
        <v>32.5</v>
      </c>
    </row>
    <row r="30" spans="1:13" ht="14.1" customHeight="1">
      <c r="A30" s="14"/>
      <c r="B30" s="39" t="s">
        <v>118</v>
      </c>
      <c r="C30" s="40"/>
      <c r="D30" s="41"/>
      <c r="E30" s="42"/>
      <c r="F30" s="42"/>
      <c r="G30" s="43"/>
      <c r="H30" s="11"/>
      <c r="I30" s="11"/>
      <c r="J30" s="38"/>
      <c r="K30" s="11"/>
      <c r="L30" s="11"/>
      <c r="M30" s="13"/>
    </row>
    <row r="31" spans="1:13" ht="14.1" customHeight="1">
      <c r="A31" s="36">
        <v>15</v>
      </c>
      <c r="B31" s="45" t="s">
        <v>119</v>
      </c>
      <c r="C31" s="46"/>
      <c r="D31" s="47"/>
      <c r="E31" s="48"/>
      <c r="F31" s="48"/>
      <c r="G31" s="49"/>
      <c r="H31" s="10">
        <f>SUM(I31)-1.3</f>
        <v>14.899999999999999</v>
      </c>
      <c r="I31" s="10">
        <f>SUM(J31)-1.3</f>
        <v>16.2</v>
      </c>
      <c r="J31" s="28">
        <v>17.5</v>
      </c>
      <c r="K31" s="10">
        <f>SUM(J31)+1.3</f>
        <v>18.8</v>
      </c>
      <c r="L31" s="10">
        <f>SUM(K31)+1.3</f>
        <v>20.100000000000001</v>
      </c>
      <c r="M31" s="12">
        <f>SUM(L31)+1.3</f>
        <v>21.400000000000002</v>
      </c>
    </row>
    <row r="32" spans="1:13" ht="14.1" customHeight="1">
      <c r="A32" s="37"/>
      <c r="B32" s="39" t="s">
        <v>50</v>
      </c>
      <c r="C32" s="40"/>
      <c r="D32" s="41"/>
      <c r="E32" s="42"/>
      <c r="F32" s="42"/>
      <c r="G32" s="43"/>
      <c r="H32" s="11"/>
      <c r="I32" s="11"/>
      <c r="J32" s="38"/>
      <c r="K32" s="11"/>
      <c r="L32" s="11"/>
      <c r="M32" s="13"/>
    </row>
    <row r="33" spans="1:13" ht="14.1" customHeight="1">
      <c r="A33" s="14">
        <v>16</v>
      </c>
      <c r="B33" s="16"/>
      <c r="C33" s="17"/>
      <c r="D33" s="18"/>
      <c r="E33" s="19"/>
      <c r="F33" s="19"/>
      <c r="G33" s="20"/>
      <c r="H33" s="10"/>
      <c r="I33" s="10"/>
      <c r="J33" s="22"/>
      <c r="K33" s="10"/>
      <c r="L33" s="10"/>
      <c r="M33" s="12"/>
    </row>
    <row r="34" spans="1:13" ht="14.1" customHeight="1">
      <c r="A34" s="14"/>
      <c r="B34" s="23"/>
      <c r="C34" s="24"/>
      <c r="D34" s="25"/>
      <c r="E34" s="26"/>
      <c r="F34" s="26"/>
      <c r="G34" s="27"/>
      <c r="H34" s="11"/>
      <c r="I34" s="11"/>
      <c r="J34" s="22"/>
      <c r="K34" s="11"/>
      <c r="L34" s="11"/>
      <c r="M34" s="13"/>
    </row>
    <row r="35" spans="1:13" ht="14.1" customHeight="1">
      <c r="A35" s="14">
        <v>17</v>
      </c>
      <c r="B35" s="16"/>
      <c r="C35" s="17"/>
      <c r="D35" s="18"/>
      <c r="E35" s="19"/>
      <c r="F35" s="19"/>
      <c r="G35" s="20"/>
      <c r="H35" s="10"/>
      <c r="I35" s="10"/>
      <c r="J35" s="28"/>
      <c r="K35" s="10"/>
      <c r="L35" s="10"/>
      <c r="M35" s="12"/>
    </row>
    <row r="36" spans="1:13" ht="14.1" customHeight="1" thickBot="1">
      <c r="A36" s="15"/>
      <c r="B36" s="31"/>
      <c r="C36" s="32"/>
      <c r="D36" s="33"/>
      <c r="E36" s="34"/>
      <c r="F36" s="34"/>
      <c r="G36" s="35"/>
      <c r="H36" s="21"/>
      <c r="I36" s="21"/>
      <c r="J36" s="29"/>
      <c r="K36" s="21"/>
      <c r="L36" s="21"/>
      <c r="M36" s="3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190">
    <mergeCell ref="J17:J18"/>
    <mergeCell ref="K17:K18"/>
    <mergeCell ref="L17:L18"/>
    <mergeCell ref="M17:M18"/>
    <mergeCell ref="B18:C18"/>
    <mergeCell ref="D18:G18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  <mergeCell ref="J29:J30"/>
    <mergeCell ref="K29:K30"/>
    <mergeCell ref="L29:L30"/>
    <mergeCell ref="M29:M30"/>
    <mergeCell ref="A17:A18"/>
    <mergeCell ref="B17:C17"/>
    <mergeCell ref="D17:G17"/>
    <mergeCell ref="H17:H18"/>
    <mergeCell ref="I17:I18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8" type="noConversion"/>
  <printOptions horizontalCentered="1"/>
  <pageMargins left="0" right="1.0416666666666666E-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3B80-178B-41D8-8C42-DDB577EDA07A}">
  <sheetPr>
    <tabColor rgb="FF00B0F0"/>
    <pageSetUpPr fitToPage="1"/>
  </sheetPr>
  <dimension ref="A1:M70"/>
  <sheetViews>
    <sheetView zoomScale="110" zoomScaleNormal="110" workbookViewId="0">
      <selection activeCell="Q23" sqref="Q23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2" width="5.5" customWidth="1"/>
    <col min="13" max="13" width="5.5" style="5" customWidth="1"/>
  </cols>
  <sheetData>
    <row r="1" spans="1:13" ht="16.5" customHeight="1" thickBot="1">
      <c r="A1" s="55" t="s">
        <v>137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4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71">
        <v>1</v>
      </c>
      <c r="B3" s="59" t="s">
        <v>42</v>
      </c>
      <c r="C3" s="60"/>
      <c r="D3" s="61" t="s">
        <v>43</v>
      </c>
      <c r="E3" s="62"/>
      <c r="F3" s="62"/>
      <c r="G3" s="63"/>
      <c r="H3" s="10">
        <f>SUM(I3)-3.4</f>
        <v>33.200000000000003</v>
      </c>
      <c r="I3" s="10">
        <f>SUM(J3)-3.4</f>
        <v>36.6</v>
      </c>
      <c r="J3" s="28">
        <v>40</v>
      </c>
      <c r="K3" s="10">
        <f>SUM(J3)+2.9</f>
        <v>42.9</v>
      </c>
      <c r="L3" s="10">
        <f t="shared" ref="L3:M3" si="0">SUM(K3)+2.9</f>
        <v>45.8</v>
      </c>
      <c r="M3" s="12">
        <f t="shared" si="0"/>
        <v>48.699999999999996</v>
      </c>
    </row>
    <row r="4" spans="1:13" s="1" customFormat="1" ht="14.1" customHeight="1">
      <c r="A4" s="72"/>
      <c r="B4" s="50" t="s">
        <v>14</v>
      </c>
      <c r="C4" s="50"/>
      <c r="D4" s="41" t="s">
        <v>44</v>
      </c>
      <c r="E4" s="42"/>
      <c r="F4" s="42"/>
      <c r="G4" s="42"/>
      <c r="H4" s="11"/>
      <c r="I4" s="11"/>
      <c r="J4" s="38"/>
      <c r="K4" s="11"/>
      <c r="L4" s="11"/>
      <c r="M4" s="13"/>
    </row>
    <row r="5" spans="1:13" s="1" customFormat="1" ht="14.1" customHeight="1">
      <c r="A5" s="14">
        <v>2</v>
      </c>
      <c r="B5" s="51" t="s">
        <v>49</v>
      </c>
      <c r="C5" s="51"/>
      <c r="D5" s="52"/>
      <c r="E5" s="52"/>
      <c r="F5" s="52"/>
      <c r="G5" s="52"/>
      <c r="H5" s="10">
        <f>SUM(I5)-0.7</f>
        <v>6.6</v>
      </c>
      <c r="I5" s="10">
        <f>SUM(J5)-0.7</f>
        <v>7.3</v>
      </c>
      <c r="J5" s="28">
        <v>8</v>
      </c>
      <c r="K5" s="10">
        <f>SUM(J5)+0.6</f>
        <v>8.6</v>
      </c>
      <c r="L5" s="10">
        <f t="shared" ref="L5:M5" si="1">SUM(K5)+0.6</f>
        <v>9.1999999999999993</v>
      </c>
      <c r="M5" s="12">
        <f t="shared" si="1"/>
        <v>9.7999999999999989</v>
      </c>
    </row>
    <row r="6" spans="1:13" s="1" customFormat="1" ht="14.1" customHeight="1">
      <c r="A6" s="14"/>
      <c r="B6" s="50" t="s">
        <v>138</v>
      </c>
      <c r="C6" s="50"/>
      <c r="D6" s="41" t="s">
        <v>139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17</v>
      </c>
      <c r="C7" s="51"/>
      <c r="D7" s="52" t="s">
        <v>18</v>
      </c>
      <c r="E7" s="52"/>
      <c r="F7" s="52"/>
      <c r="G7" s="52"/>
      <c r="H7" s="10"/>
      <c r="I7" s="10"/>
      <c r="J7" s="28"/>
      <c r="K7" s="10"/>
      <c r="L7" s="10"/>
      <c r="M7" s="12"/>
    </row>
    <row r="8" spans="1:13" s="1" customFormat="1" ht="14.1" customHeight="1">
      <c r="A8" s="14"/>
      <c r="B8" s="50" t="s">
        <v>8</v>
      </c>
      <c r="C8" s="50"/>
      <c r="D8" s="41" t="s">
        <v>21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16</v>
      </c>
      <c r="C9" s="51"/>
      <c r="D9" s="52" t="s">
        <v>74</v>
      </c>
      <c r="E9" s="52"/>
      <c r="F9" s="52"/>
      <c r="G9" s="52"/>
      <c r="H9" s="10">
        <f>SUM(I9)-2.4</f>
        <v>37.200000000000003</v>
      </c>
      <c r="I9" s="10">
        <f>SUM(J9)-2.4</f>
        <v>39.6</v>
      </c>
      <c r="J9" s="28">
        <v>42</v>
      </c>
      <c r="K9" s="10">
        <f>SUM(J9)+2.2</f>
        <v>44.2</v>
      </c>
      <c r="L9" s="10">
        <f t="shared" ref="L9:M9" si="2">SUM(K9)+2.2</f>
        <v>46.400000000000006</v>
      </c>
      <c r="M9" s="12">
        <f t="shared" si="2"/>
        <v>48.600000000000009</v>
      </c>
    </row>
    <row r="10" spans="1:13" s="1" customFormat="1" ht="14.1" customHeight="1">
      <c r="A10" s="14"/>
      <c r="B10" s="50" t="s">
        <v>19</v>
      </c>
      <c r="C10" s="50"/>
      <c r="D10" s="41" t="s">
        <v>105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20</v>
      </c>
      <c r="C11" s="51"/>
      <c r="D11" s="52" t="s">
        <v>90</v>
      </c>
      <c r="E11" s="52"/>
      <c r="F11" s="52"/>
      <c r="G11" s="52"/>
      <c r="H11" s="10">
        <f>SUM(I11)-2.4</f>
        <v>39.200000000000003</v>
      </c>
      <c r="I11" s="10">
        <f>SUM(J11)-2.4</f>
        <v>41.6</v>
      </c>
      <c r="J11" s="28">
        <v>44</v>
      </c>
      <c r="K11" s="10">
        <f>SUM(J11)+2.2</f>
        <v>46.2</v>
      </c>
      <c r="L11" s="10">
        <f t="shared" ref="L11:M11" si="3">SUM(K11)+2.2</f>
        <v>48.400000000000006</v>
      </c>
      <c r="M11" s="12">
        <f t="shared" si="3"/>
        <v>50.600000000000009</v>
      </c>
    </row>
    <row r="12" spans="1:13" s="1" customFormat="1" ht="14.1" customHeight="1">
      <c r="A12" s="14"/>
      <c r="B12" s="50" t="s">
        <v>9</v>
      </c>
      <c r="C12" s="50"/>
      <c r="D12" s="41" t="s">
        <v>146</v>
      </c>
      <c r="E12" s="42"/>
      <c r="F12" s="42"/>
      <c r="G12" s="43"/>
      <c r="H12" s="11"/>
      <c r="I12" s="11"/>
      <c r="J12" s="38"/>
      <c r="K12" s="11"/>
      <c r="L12" s="11"/>
      <c r="M12" s="13"/>
    </row>
    <row r="13" spans="1:13" s="1" customFormat="1" ht="14.1" customHeight="1">
      <c r="A13" s="14">
        <v>6</v>
      </c>
      <c r="B13" s="51" t="s">
        <v>88</v>
      </c>
      <c r="C13" s="51"/>
      <c r="D13" s="52" t="s">
        <v>0</v>
      </c>
      <c r="E13" s="52"/>
      <c r="F13" s="52"/>
      <c r="G13" s="52"/>
      <c r="H13" s="10"/>
      <c r="I13" s="10"/>
      <c r="J13" s="28"/>
      <c r="K13" s="10"/>
      <c r="L13" s="51"/>
      <c r="M13" s="12"/>
    </row>
    <row r="14" spans="1:13" s="1" customFormat="1" ht="14.1" customHeight="1">
      <c r="A14" s="14"/>
      <c r="B14" s="50" t="s">
        <v>10</v>
      </c>
      <c r="C14" s="50"/>
      <c r="D14" s="41" t="s">
        <v>23</v>
      </c>
      <c r="E14" s="42"/>
      <c r="F14" s="42"/>
      <c r="G14" s="43"/>
      <c r="H14" s="11"/>
      <c r="I14" s="11"/>
      <c r="J14" s="38"/>
      <c r="K14" s="11"/>
      <c r="L14" s="50"/>
      <c r="M14" s="13"/>
    </row>
    <row r="15" spans="1:13" s="1" customFormat="1" ht="14.1" customHeight="1">
      <c r="A15" s="14">
        <v>7</v>
      </c>
      <c r="B15" s="51" t="s">
        <v>1</v>
      </c>
      <c r="C15" s="51"/>
      <c r="D15" s="52" t="s">
        <v>101</v>
      </c>
      <c r="E15" s="52"/>
      <c r="F15" s="52"/>
      <c r="G15" s="52"/>
      <c r="H15" s="10">
        <f>SUM(I15)-0.6</f>
        <v>15.9</v>
      </c>
      <c r="I15" s="10">
        <f>SUM(J15)-0.6</f>
        <v>16.5</v>
      </c>
      <c r="J15" s="28">
        <v>17.100000000000001</v>
      </c>
      <c r="K15" s="10">
        <f>SUM(J15)+0.6</f>
        <v>17.700000000000003</v>
      </c>
      <c r="L15" s="51">
        <f>SUM(K15)+0.6</f>
        <v>18.300000000000004</v>
      </c>
      <c r="M15" s="12">
        <f>SUM(L15)+0.6</f>
        <v>18.900000000000006</v>
      </c>
    </row>
    <row r="16" spans="1:13" s="1" customFormat="1" ht="14.1" customHeight="1">
      <c r="A16" s="14"/>
      <c r="B16" s="50" t="s">
        <v>11</v>
      </c>
      <c r="C16" s="50"/>
      <c r="D16" s="41" t="s">
        <v>24</v>
      </c>
      <c r="E16" s="42"/>
      <c r="F16" s="42"/>
      <c r="G16" s="43"/>
      <c r="H16" s="11"/>
      <c r="I16" s="11"/>
      <c r="J16" s="38"/>
      <c r="K16" s="11"/>
      <c r="L16" s="50"/>
      <c r="M16" s="13"/>
    </row>
    <row r="17" spans="1:13" s="1" customFormat="1" ht="14.1" customHeight="1">
      <c r="A17" s="14">
        <v>8</v>
      </c>
      <c r="B17" s="51" t="s">
        <v>2</v>
      </c>
      <c r="C17" s="51"/>
      <c r="D17" s="52" t="s">
        <v>3</v>
      </c>
      <c r="E17" s="52"/>
      <c r="F17" s="52"/>
      <c r="G17" s="52"/>
      <c r="H17" s="10">
        <f>SUM(I17)-0.3</f>
        <v>6.9</v>
      </c>
      <c r="I17" s="10">
        <f>SUM(J17)-0.3</f>
        <v>7.2</v>
      </c>
      <c r="J17" s="28">
        <v>7.5</v>
      </c>
      <c r="K17" s="10">
        <f>SUM(J17)+0.3</f>
        <v>7.8</v>
      </c>
      <c r="L17" s="10">
        <f t="shared" ref="L17:M17" si="4">SUM(K17)+0.3</f>
        <v>8.1</v>
      </c>
      <c r="M17" s="12">
        <f t="shared" si="4"/>
        <v>8.4</v>
      </c>
    </row>
    <row r="18" spans="1:13" s="1" customFormat="1" ht="14.1" customHeight="1">
      <c r="A18" s="14"/>
      <c r="B18" s="50" t="s">
        <v>12</v>
      </c>
      <c r="C18" s="50"/>
      <c r="D18" s="41" t="s">
        <v>35</v>
      </c>
      <c r="E18" s="42"/>
      <c r="F18" s="42"/>
      <c r="G18" s="43"/>
      <c r="H18" s="11"/>
      <c r="I18" s="11"/>
      <c r="J18" s="38"/>
      <c r="K18" s="11"/>
      <c r="L18" s="11"/>
      <c r="M18" s="13"/>
    </row>
    <row r="19" spans="1:13" s="1" customFormat="1" ht="14.1" customHeight="1">
      <c r="A19" s="14">
        <v>9</v>
      </c>
      <c r="B19" s="45" t="s">
        <v>140</v>
      </c>
      <c r="C19" s="46"/>
      <c r="D19" s="47"/>
      <c r="E19" s="48"/>
      <c r="F19" s="48"/>
      <c r="G19" s="49"/>
      <c r="H19" s="10">
        <f>SUM(I19)-0.4</f>
        <v>3.6999999999999997</v>
      </c>
      <c r="I19" s="10">
        <f>SUM(J19)-0.4</f>
        <v>4.0999999999999996</v>
      </c>
      <c r="J19" s="28">
        <v>4.5</v>
      </c>
      <c r="K19" s="10">
        <f>SUM(J19)+0.3</f>
        <v>4.8</v>
      </c>
      <c r="L19" s="10">
        <f t="shared" ref="L19:M19" si="5">SUM(K19)+0.3</f>
        <v>5.0999999999999996</v>
      </c>
      <c r="M19" s="12">
        <f t="shared" si="5"/>
        <v>5.3999999999999995</v>
      </c>
    </row>
    <row r="20" spans="1:13" s="1" customFormat="1" ht="14.1" customHeight="1">
      <c r="A20" s="14"/>
      <c r="B20" s="39" t="s">
        <v>141</v>
      </c>
      <c r="C20" s="40"/>
      <c r="D20" s="41" t="s">
        <v>144</v>
      </c>
      <c r="E20" s="42"/>
      <c r="F20" s="42"/>
      <c r="G20" s="43"/>
      <c r="H20" s="11"/>
      <c r="I20" s="11"/>
      <c r="J20" s="38"/>
      <c r="K20" s="11"/>
      <c r="L20" s="11"/>
      <c r="M20" s="13"/>
    </row>
    <row r="21" spans="1:13" s="1" customFormat="1" ht="14.1" customHeight="1">
      <c r="A21" s="14">
        <v>10</v>
      </c>
      <c r="B21" s="45" t="s">
        <v>142</v>
      </c>
      <c r="C21" s="46"/>
      <c r="D21" s="47"/>
      <c r="E21" s="48"/>
      <c r="F21" s="48"/>
      <c r="G21" s="49"/>
      <c r="H21" s="10">
        <f>SUM(I21)-0.3</f>
        <v>3.4000000000000004</v>
      </c>
      <c r="I21" s="10">
        <f>SUM(J21)-0.3</f>
        <v>3.7</v>
      </c>
      <c r="J21" s="28">
        <v>4</v>
      </c>
      <c r="K21" s="10">
        <f>SUM(J21)+0.3</f>
        <v>4.3</v>
      </c>
      <c r="L21" s="10">
        <f t="shared" ref="L21:M21" si="6">SUM(K21)+0.3</f>
        <v>4.5999999999999996</v>
      </c>
      <c r="M21" s="12">
        <f t="shared" si="6"/>
        <v>4.8999999999999995</v>
      </c>
    </row>
    <row r="22" spans="1:13" s="1" customFormat="1" ht="14.1" customHeight="1">
      <c r="A22" s="14"/>
      <c r="B22" s="39" t="s">
        <v>143</v>
      </c>
      <c r="C22" s="40"/>
      <c r="D22" s="41" t="s">
        <v>145</v>
      </c>
      <c r="E22" s="42"/>
      <c r="F22" s="42"/>
      <c r="G22" s="43"/>
      <c r="H22" s="11"/>
      <c r="I22" s="11"/>
      <c r="J22" s="38"/>
      <c r="K22" s="11"/>
      <c r="L22" s="11"/>
      <c r="M22" s="13"/>
    </row>
    <row r="23" spans="1:13" s="1" customFormat="1" ht="14.1" customHeight="1">
      <c r="A23" s="14">
        <v>11</v>
      </c>
      <c r="B23" s="45" t="s">
        <v>6</v>
      </c>
      <c r="C23" s="46"/>
      <c r="D23" s="47" t="s">
        <v>7</v>
      </c>
      <c r="E23" s="48"/>
      <c r="F23" s="48"/>
      <c r="G23" s="49"/>
      <c r="H23" s="10"/>
      <c r="I23" s="10"/>
      <c r="J23" s="28"/>
      <c r="K23" s="10"/>
      <c r="L23" s="10"/>
      <c r="M23" s="12"/>
    </row>
    <row r="24" spans="1:13" s="1" customFormat="1" ht="14.1" customHeight="1">
      <c r="A24" s="14"/>
      <c r="B24" s="39" t="s">
        <v>13</v>
      </c>
      <c r="C24" s="40"/>
      <c r="D24" s="41" t="s">
        <v>34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3" s="1" customFormat="1" ht="14.1" customHeight="1">
      <c r="A25" s="14">
        <v>12</v>
      </c>
      <c r="B25" s="45" t="s">
        <v>102</v>
      </c>
      <c r="C25" s="46"/>
      <c r="D25" s="52" t="s">
        <v>51</v>
      </c>
      <c r="E25" s="52"/>
      <c r="F25" s="52"/>
      <c r="G25" s="52"/>
      <c r="H25" s="10"/>
      <c r="I25" s="10"/>
      <c r="J25" s="28"/>
      <c r="K25" s="10"/>
      <c r="L25" s="10"/>
      <c r="M25" s="12"/>
    </row>
    <row r="26" spans="1:13" s="1" customFormat="1" ht="14.1" customHeight="1">
      <c r="A26" s="14"/>
      <c r="B26" s="50" t="s">
        <v>52</v>
      </c>
      <c r="C26" s="50"/>
      <c r="D26" s="41" t="s">
        <v>53</v>
      </c>
      <c r="E26" s="42"/>
      <c r="F26" s="42"/>
      <c r="G26" s="43"/>
      <c r="H26" s="11"/>
      <c r="I26" s="11"/>
      <c r="J26" s="38"/>
      <c r="K26" s="11"/>
      <c r="L26" s="11"/>
      <c r="M26" s="13"/>
    </row>
    <row r="27" spans="1:13" ht="14.1" customHeight="1">
      <c r="A27" s="14">
        <v>13</v>
      </c>
      <c r="B27" s="16" t="s">
        <v>47</v>
      </c>
      <c r="C27" s="17"/>
      <c r="D27" s="66" t="s">
        <v>94</v>
      </c>
      <c r="E27" s="66"/>
      <c r="F27" s="66"/>
      <c r="G27" s="66"/>
      <c r="H27" s="10"/>
      <c r="I27" s="10"/>
      <c r="J27" s="28"/>
      <c r="K27" s="10"/>
      <c r="L27" s="10"/>
      <c r="M27" s="12"/>
    </row>
    <row r="28" spans="1:13" ht="14.1" customHeight="1">
      <c r="A28" s="14"/>
      <c r="B28" s="44" t="s">
        <v>95</v>
      </c>
      <c r="C28" s="44"/>
      <c r="D28" s="25" t="s">
        <v>48</v>
      </c>
      <c r="E28" s="26"/>
      <c r="F28" s="26"/>
      <c r="G28" s="27"/>
      <c r="H28" s="11"/>
      <c r="I28" s="11"/>
      <c r="J28" s="38"/>
      <c r="K28" s="11"/>
      <c r="L28" s="11"/>
      <c r="M28" s="13"/>
    </row>
    <row r="29" spans="1:13" ht="14.1" customHeight="1">
      <c r="A29" s="14">
        <v>14</v>
      </c>
      <c r="B29" s="16" t="s">
        <v>38</v>
      </c>
      <c r="C29" s="17"/>
      <c r="D29" s="66" t="s">
        <v>37</v>
      </c>
      <c r="E29" s="66"/>
      <c r="F29" s="66"/>
      <c r="G29" s="66"/>
      <c r="H29" s="10"/>
      <c r="I29" s="10"/>
      <c r="J29" s="28"/>
      <c r="K29" s="10"/>
      <c r="L29" s="10"/>
      <c r="M29" s="12"/>
    </row>
    <row r="30" spans="1:13" ht="14.1" customHeight="1">
      <c r="A30" s="14"/>
      <c r="B30" s="44" t="s">
        <v>33</v>
      </c>
      <c r="C30" s="44"/>
      <c r="D30" s="25" t="s">
        <v>36</v>
      </c>
      <c r="E30" s="26"/>
      <c r="F30" s="26"/>
      <c r="G30" s="27"/>
      <c r="H30" s="11"/>
      <c r="I30" s="11"/>
      <c r="J30" s="38"/>
      <c r="K30" s="11"/>
      <c r="L30" s="11"/>
      <c r="M30" s="13"/>
    </row>
    <row r="31" spans="1:13" ht="14.1" customHeight="1">
      <c r="A31" s="14">
        <v>15</v>
      </c>
      <c r="B31" s="16" t="s">
        <v>41</v>
      </c>
      <c r="C31" s="17"/>
      <c r="D31" s="18"/>
      <c r="E31" s="19"/>
      <c r="F31" s="19"/>
      <c r="G31" s="20"/>
      <c r="H31" s="10">
        <f>SUM(I31)-0.7</f>
        <v>11.100000000000001</v>
      </c>
      <c r="I31" s="10">
        <f>SUM(J31)-0.7</f>
        <v>11.8</v>
      </c>
      <c r="J31" s="28">
        <v>12.5</v>
      </c>
      <c r="K31" s="10">
        <f>SUM(J31)+0.7</f>
        <v>13.2</v>
      </c>
      <c r="L31" s="10">
        <f t="shared" ref="L31:M31" si="7">SUM(K31)+0.7</f>
        <v>13.899999999999999</v>
      </c>
      <c r="M31" s="12">
        <f t="shared" si="7"/>
        <v>14.599999999999998</v>
      </c>
    </row>
    <row r="32" spans="1:13" ht="14.1" customHeight="1">
      <c r="A32" s="14"/>
      <c r="B32" s="23" t="s">
        <v>40</v>
      </c>
      <c r="C32" s="24"/>
      <c r="D32" s="25"/>
      <c r="E32" s="26"/>
      <c r="F32" s="26"/>
      <c r="G32" s="27"/>
      <c r="H32" s="11"/>
      <c r="I32" s="11"/>
      <c r="J32" s="38"/>
      <c r="K32" s="11"/>
      <c r="L32" s="11"/>
      <c r="M32" s="13"/>
    </row>
    <row r="33" spans="1:13" ht="14.1" customHeight="1">
      <c r="A33" s="14">
        <v>16</v>
      </c>
      <c r="B33" s="45"/>
      <c r="C33" s="46"/>
      <c r="D33" s="52"/>
      <c r="E33" s="52"/>
      <c r="F33" s="52"/>
      <c r="G33" s="52"/>
      <c r="H33" s="10"/>
      <c r="I33" s="10"/>
      <c r="J33" s="28"/>
      <c r="K33" s="10"/>
      <c r="L33" s="10"/>
      <c r="M33" s="12"/>
    </row>
    <row r="34" spans="1:13" ht="14.1" customHeight="1" thickBot="1">
      <c r="A34" s="77"/>
      <c r="B34" s="85"/>
      <c r="C34" s="85"/>
      <c r="D34" s="86"/>
      <c r="E34" s="87"/>
      <c r="F34" s="87"/>
      <c r="G34" s="88"/>
      <c r="H34" s="64"/>
      <c r="I34" s="64"/>
      <c r="J34" s="67"/>
      <c r="K34" s="64"/>
      <c r="L34" s="64"/>
      <c r="M34" s="65"/>
    </row>
    <row r="35" spans="1:13" ht="14.1" customHeight="1" thickTop="1">
      <c r="A35" s="37">
        <v>17</v>
      </c>
      <c r="B35" s="59" t="s">
        <v>103</v>
      </c>
      <c r="C35" s="60"/>
      <c r="D35" s="73" t="s">
        <v>84</v>
      </c>
      <c r="E35" s="74"/>
      <c r="F35" s="74"/>
      <c r="G35" s="75"/>
      <c r="H35" s="76">
        <f>SUM(I35)-3</f>
        <v>41</v>
      </c>
      <c r="I35" s="76">
        <f>SUM(J35)-3</f>
        <v>44</v>
      </c>
      <c r="J35" s="78">
        <v>47</v>
      </c>
      <c r="K35" s="76">
        <f>SUM(J35)+3</f>
        <v>50</v>
      </c>
      <c r="L35" s="76">
        <f t="shared" ref="L35:M35" si="8">SUM(K35)+3</f>
        <v>53</v>
      </c>
      <c r="M35" s="79">
        <f t="shared" si="8"/>
        <v>56</v>
      </c>
    </row>
    <row r="36" spans="1:13" ht="14.1" customHeight="1">
      <c r="A36" s="14"/>
      <c r="B36" s="80" t="s">
        <v>104</v>
      </c>
      <c r="C36" s="81"/>
      <c r="D36" s="82" t="s">
        <v>82</v>
      </c>
      <c r="E36" s="83"/>
      <c r="F36" s="83"/>
      <c r="G36" s="84"/>
      <c r="H36" s="11"/>
      <c r="I36" s="11"/>
      <c r="J36" s="38"/>
      <c r="K36" s="11"/>
      <c r="L36" s="11"/>
      <c r="M36" s="13"/>
    </row>
    <row r="37" spans="1:13" ht="14.1" customHeight="1">
      <c r="A37" s="14">
        <v>18</v>
      </c>
      <c r="B37" s="45" t="s">
        <v>93</v>
      </c>
      <c r="C37" s="46"/>
      <c r="D37" s="89"/>
      <c r="E37" s="90"/>
      <c r="F37" s="90"/>
      <c r="G37" s="91"/>
      <c r="H37" s="10">
        <f>SUM(I37)-4.5</f>
        <v>63</v>
      </c>
      <c r="I37" s="10">
        <f>SUM(J37)-4.5</f>
        <v>67.5</v>
      </c>
      <c r="J37" s="67">
        <v>72</v>
      </c>
      <c r="K37" s="64">
        <f>SUM(J37)+4.5</f>
        <v>76.5</v>
      </c>
      <c r="L37" s="64">
        <f t="shared" ref="L37:M37" si="9">SUM(K37)+4.5</f>
        <v>81</v>
      </c>
      <c r="M37" s="65">
        <f t="shared" si="9"/>
        <v>85.5</v>
      </c>
    </row>
    <row r="38" spans="1:13" ht="14.1" customHeight="1">
      <c r="A38" s="14"/>
      <c r="B38" s="80" t="s">
        <v>92</v>
      </c>
      <c r="C38" s="81"/>
      <c r="D38" s="92"/>
      <c r="E38" s="93"/>
      <c r="F38" s="93"/>
      <c r="G38" s="94"/>
      <c r="H38" s="11"/>
      <c r="I38" s="11"/>
      <c r="J38" s="38"/>
      <c r="K38" s="11"/>
      <c r="L38" s="11"/>
      <c r="M38" s="13"/>
    </row>
    <row r="39" spans="1:13" ht="14.1" customHeight="1">
      <c r="A39" s="14">
        <v>19</v>
      </c>
      <c r="B39" s="45" t="s">
        <v>81</v>
      </c>
      <c r="C39" s="46"/>
      <c r="D39" s="47" t="s">
        <v>80</v>
      </c>
      <c r="E39" s="48"/>
      <c r="F39" s="48"/>
      <c r="G39" s="49"/>
      <c r="H39" s="10">
        <f>SUM(I39)-5</f>
        <v>69.5</v>
      </c>
      <c r="I39" s="10">
        <f>SUM(J39)-5</f>
        <v>74.5</v>
      </c>
      <c r="J39" s="28">
        <v>79.5</v>
      </c>
      <c r="K39" s="10">
        <f>SUM(J39)+5</f>
        <v>84.5</v>
      </c>
      <c r="L39" s="10">
        <f t="shared" ref="L39:M39" si="10">SUM(K39)+5</f>
        <v>89.5</v>
      </c>
      <c r="M39" s="12">
        <f t="shared" si="10"/>
        <v>94.5</v>
      </c>
    </row>
    <row r="40" spans="1:13" ht="14.1" customHeight="1">
      <c r="A40" s="14"/>
      <c r="B40" s="80" t="s">
        <v>79</v>
      </c>
      <c r="C40" s="81"/>
      <c r="D40" s="82" t="s">
        <v>78</v>
      </c>
      <c r="E40" s="83"/>
      <c r="F40" s="83"/>
      <c r="G40" s="84"/>
      <c r="H40" s="11"/>
      <c r="I40" s="11"/>
      <c r="J40" s="38"/>
      <c r="K40" s="11"/>
      <c r="L40" s="11"/>
      <c r="M40" s="13"/>
    </row>
    <row r="41" spans="1:13" ht="14.1" customHeight="1">
      <c r="A41" s="14">
        <v>20</v>
      </c>
      <c r="B41" s="45" t="s">
        <v>75</v>
      </c>
      <c r="C41" s="46"/>
      <c r="D41" s="47" t="s">
        <v>74</v>
      </c>
      <c r="E41" s="48"/>
      <c r="F41" s="48"/>
      <c r="G41" s="49"/>
      <c r="H41" s="10">
        <f>SUM(I41)-2.5</f>
        <v>25.8</v>
      </c>
      <c r="I41" s="10">
        <f>SUM(J41)-2.5</f>
        <v>28.3</v>
      </c>
      <c r="J41" s="102">
        <v>30.8</v>
      </c>
      <c r="K41" s="98">
        <f>SUM(J41)+2</f>
        <v>32.799999999999997</v>
      </c>
      <c r="L41" s="98">
        <f t="shared" ref="L41:M41" si="11">SUM(K41)+2</f>
        <v>34.799999999999997</v>
      </c>
      <c r="M41" s="100">
        <f t="shared" si="11"/>
        <v>36.799999999999997</v>
      </c>
    </row>
    <row r="42" spans="1:13" ht="14.1" customHeight="1">
      <c r="A42" s="14"/>
      <c r="B42" s="80" t="s">
        <v>73</v>
      </c>
      <c r="C42" s="81"/>
      <c r="D42" s="82" t="s">
        <v>72</v>
      </c>
      <c r="E42" s="83"/>
      <c r="F42" s="83"/>
      <c r="G42" s="84"/>
      <c r="H42" s="11"/>
      <c r="I42" s="11"/>
      <c r="J42" s="103"/>
      <c r="K42" s="99"/>
      <c r="L42" s="99"/>
      <c r="M42" s="101"/>
    </row>
    <row r="43" spans="1:13" ht="14.1" customHeight="1">
      <c r="A43" s="14">
        <v>21</v>
      </c>
      <c r="B43" s="45" t="s">
        <v>71</v>
      </c>
      <c r="C43" s="46"/>
      <c r="D43" s="89" t="s">
        <v>70</v>
      </c>
      <c r="E43" s="90"/>
      <c r="F43" s="90"/>
      <c r="G43" s="91"/>
      <c r="H43" s="10">
        <f>SUM(I43)-2.6</f>
        <v>47</v>
      </c>
      <c r="I43" s="10">
        <f>SUM(J43)-2.6</f>
        <v>49.6</v>
      </c>
      <c r="J43" s="28">
        <v>52.2</v>
      </c>
      <c r="K43" s="10">
        <f>SUM(J43)+2.6</f>
        <v>54.800000000000004</v>
      </c>
      <c r="L43" s="10">
        <f t="shared" ref="L43:M43" si="12">SUM(K43)+2.6</f>
        <v>57.400000000000006</v>
      </c>
      <c r="M43" s="12">
        <f t="shared" si="12"/>
        <v>60.000000000000007</v>
      </c>
    </row>
    <row r="44" spans="1:13" ht="14.1" customHeight="1">
      <c r="A44" s="14"/>
      <c r="B44" s="80" t="s">
        <v>69</v>
      </c>
      <c r="C44" s="81"/>
      <c r="D44" s="95" t="s">
        <v>106</v>
      </c>
      <c r="E44" s="96"/>
      <c r="F44" s="96"/>
      <c r="G44" s="97"/>
      <c r="H44" s="11"/>
      <c r="I44" s="11"/>
      <c r="J44" s="38"/>
      <c r="K44" s="11"/>
      <c r="L44" s="11"/>
      <c r="M44" s="13"/>
    </row>
    <row r="45" spans="1:13" ht="14.1" customHeight="1">
      <c r="A45" s="14">
        <v>22</v>
      </c>
      <c r="B45" s="45" t="s">
        <v>67</v>
      </c>
      <c r="C45" s="46"/>
      <c r="D45" s="47" t="s">
        <v>64</v>
      </c>
      <c r="E45" s="48"/>
      <c r="F45" s="48"/>
      <c r="G45" s="49"/>
      <c r="H45" s="10">
        <f>SUM(I45)-1.1</f>
        <v>20.099999999999998</v>
      </c>
      <c r="I45" s="10">
        <f>SUM(J45)-1.1</f>
        <v>21.2</v>
      </c>
      <c r="J45" s="28">
        <v>22.3</v>
      </c>
      <c r="K45" s="10">
        <f>SUM(J45)+1.6</f>
        <v>23.900000000000002</v>
      </c>
      <c r="L45" s="10">
        <f>SUM(K45)+1.1</f>
        <v>25.000000000000004</v>
      </c>
      <c r="M45" s="12">
        <f>SUM(L45)+1.1</f>
        <v>26.100000000000005</v>
      </c>
    </row>
    <row r="46" spans="1:13" ht="14.1" customHeight="1">
      <c r="A46" s="14"/>
      <c r="B46" s="80" t="s">
        <v>66</v>
      </c>
      <c r="C46" s="81"/>
      <c r="D46" s="82" t="s">
        <v>62</v>
      </c>
      <c r="E46" s="83"/>
      <c r="F46" s="83"/>
      <c r="G46" s="84"/>
      <c r="H46" s="11"/>
      <c r="I46" s="11"/>
      <c r="J46" s="38"/>
      <c r="K46" s="11"/>
      <c r="L46" s="11"/>
      <c r="M46" s="13"/>
    </row>
    <row r="47" spans="1:13" ht="14.1" customHeight="1">
      <c r="A47" s="14">
        <v>23</v>
      </c>
      <c r="B47" s="45" t="s">
        <v>65</v>
      </c>
      <c r="C47" s="46"/>
      <c r="D47" s="47" t="s">
        <v>64</v>
      </c>
      <c r="E47" s="48"/>
      <c r="F47" s="48"/>
      <c r="G47" s="49"/>
      <c r="H47" s="10">
        <f>SUM(I47)-1.3</f>
        <v>25.7</v>
      </c>
      <c r="I47" s="10">
        <f>SUM(J47)-1.3</f>
        <v>27</v>
      </c>
      <c r="J47" s="28">
        <v>28.3</v>
      </c>
      <c r="K47" s="10">
        <f>SUM(J47)+1.8</f>
        <v>30.1</v>
      </c>
      <c r="L47" s="10">
        <f>SUM(K47)+1.3</f>
        <v>31.400000000000002</v>
      </c>
      <c r="M47" s="12">
        <f>SUM(L47)+1.3</f>
        <v>32.700000000000003</v>
      </c>
    </row>
    <row r="48" spans="1:13" ht="14.1" customHeight="1">
      <c r="A48" s="14"/>
      <c r="B48" s="80" t="s">
        <v>63</v>
      </c>
      <c r="C48" s="81"/>
      <c r="D48" s="82" t="s">
        <v>62</v>
      </c>
      <c r="E48" s="83"/>
      <c r="F48" s="83"/>
      <c r="G48" s="84"/>
      <c r="H48" s="11"/>
      <c r="I48" s="11"/>
      <c r="J48" s="38"/>
      <c r="K48" s="11"/>
      <c r="L48" s="11"/>
      <c r="M48" s="13"/>
    </row>
    <row r="49" spans="1:13" ht="14.1" customHeight="1">
      <c r="A49" s="14">
        <v>24</v>
      </c>
      <c r="B49" s="45" t="s">
        <v>61</v>
      </c>
      <c r="C49" s="46"/>
      <c r="D49" s="47" t="s">
        <v>60</v>
      </c>
      <c r="E49" s="48"/>
      <c r="F49" s="48"/>
      <c r="G49" s="49"/>
      <c r="H49" s="10"/>
      <c r="I49" s="10"/>
      <c r="J49" s="28"/>
      <c r="K49" s="10"/>
      <c r="L49" s="10"/>
      <c r="M49" s="12"/>
    </row>
    <row r="50" spans="1:13" ht="14.1" customHeight="1">
      <c r="A50" s="14"/>
      <c r="B50" s="80" t="s">
        <v>59</v>
      </c>
      <c r="C50" s="81"/>
      <c r="D50" s="82" t="s">
        <v>58</v>
      </c>
      <c r="E50" s="83"/>
      <c r="F50" s="83"/>
      <c r="G50" s="84"/>
      <c r="H50" s="11"/>
      <c r="I50" s="11"/>
      <c r="J50" s="38"/>
      <c r="K50" s="11"/>
      <c r="L50" s="11"/>
      <c r="M50" s="13"/>
    </row>
    <row r="51" spans="1:13" ht="14.1" customHeight="1">
      <c r="A51" s="14">
        <v>25</v>
      </c>
      <c r="B51" s="45" t="s">
        <v>57</v>
      </c>
      <c r="C51" s="46"/>
      <c r="D51" s="47" t="s">
        <v>56</v>
      </c>
      <c r="E51" s="48"/>
      <c r="F51" s="48"/>
      <c r="G51" s="49"/>
      <c r="H51" s="10"/>
      <c r="I51" s="10"/>
      <c r="J51" s="28"/>
      <c r="K51" s="10"/>
      <c r="L51" s="10"/>
      <c r="M51" s="12"/>
    </row>
    <row r="52" spans="1:13" ht="13.5" customHeight="1">
      <c r="A52" s="14"/>
      <c r="B52" s="80" t="s">
        <v>55</v>
      </c>
      <c r="C52" s="81"/>
      <c r="D52" s="82" t="s">
        <v>54</v>
      </c>
      <c r="E52" s="83"/>
      <c r="F52" s="83"/>
      <c r="G52" s="84"/>
      <c r="H52" s="11"/>
      <c r="I52" s="11"/>
      <c r="J52" s="38"/>
      <c r="K52" s="11"/>
      <c r="L52" s="11"/>
      <c r="M52" s="13"/>
    </row>
    <row r="53" spans="1:13" ht="13.5" customHeight="1">
      <c r="A53" s="14">
        <v>26</v>
      </c>
      <c r="B53" s="45" t="s">
        <v>98</v>
      </c>
      <c r="C53" s="46"/>
      <c r="D53" s="47" t="s">
        <v>96</v>
      </c>
      <c r="E53" s="48"/>
      <c r="F53" s="48"/>
      <c r="G53" s="49"/>
      <c r="H53" s="10"/>
      <c r="I53" s="10"/>
      <c r="J53" s="28"/>
      <c r="K53" s="10"/>
      <c r="L53" s="10"/>
      <c r="M53" s="12"/>
    </row>
    <row r="54" spans="1:13" ht="13.5" customHeight="1">
      <c r="A54" s="14"/>
      <c r="B54" s="80" t="s">
        <v>97</v>
      </c>
      <c r="C54" s="81"/>
      <c r="D54" s="82" t="s">
        <v>96</v>
      </c>
      <c r="E54" s="83"/>
      <c r="F54" s="83"/>
      <c r="G54" s="84"/>
      <c r="H54" s="11"/>
      <c r="I54" s="11"/>
      <c r="J54" s="38"/>
      <c r="K54" s="11"/>
      <c r="L54" s="11"/>
      <c r="M54" s="13"/>
    </row>
    <row r="55" spans="1:13" ht="13.5" customHeight="1">
      <c r="A55" s="14">
        <v>27</v>
      </c>
      <c r="B55" s="45" t="s">
        <v>107</v>
      </c>
      <c r="C55" s="46"/>
      <c r="D55" s="47" t="s">
        <v>108</v>
      </c>
      <c r="E55" s="48"/>
      <c r="F55" s="48"/>
      <c r="G55" s="49"/>
      <c r="H55" s="10"/>
      <c r="I55" s="10"/>
      <c r="J55" s="28"/>
      <c r="K55" s="10"/>
      <c r="L55" s="10"/>
      <c r="M55" s="12"/>
    </row>
    <row r="56" spans="1:13" ht="13.5" customHeight="1">
      <c r="A56" s="14"/>
      <c r="B56" s="80" t="s">
        <v>109</v>
      </c>
      <c r="C56" s="81"/>
      <c r="D56" s="82" t="s">
        <v>110</v>
      </c>
      <c r="E56" s="83"/>
      <c r="F56" s="83"/>
      <c r="G56" s="84"/>
      <c r="H56" s="11"/>
      <c r="I56" s="11"/>
      <c r="J56" s="38"/>
      <c r="K56" s="11"/>
      <c r="L56" s="11"/>
      <c r="M56" s="13"/>
    </row>
    <row r="57" spans="1:13" ht="13.5" customHeight="1">
      <c r="A57" s="14">
        <v>28</v>
      </c>
      <c r="B57" s="59" t="s">
        <v>111</v>
      </c>
      <c r="C57" s="60"/>
      <c r="D57" s="61"/>
      <c r="E57" s="62"/>
      <c r="F57" s="62"/>
      <c r="G57" s="63"/>
      <c r="H57" s="10">
        <f>SUM(I57)</f>
        <v>3</v>
      </c>
      <c r="I57" s="10">
        <f>SUM(J57)</f>
        <v>3</v>
      </c>
      <c r="J57" s="28">
        <v>3</v>
      </c>
      <c r="K57" s="10">
        <f>SUM(J57)</f>
        <v>3</v>
      </c>
      <c r="L57" s="10">
        <f t="shared" ref="L57:M57" si="13">SUM(K57)</f>
        <v>3</v>
      </c>
      <c r="M57" s="12">
        <f t="shared" si="13"/>
        <v>3</v>
      </c>
    </row>
    <row r="58" spans="1:13" ht="13.5" customHeight="1">
      <c r="A58" s="14"/>
      <c r="B58" s="109" t="s">
        <v>112</v>
      </c>
      <c r="C58" s="110"/>
      <c r="D58" s="111" t="s">
        <v>113</v>
      </c>
      <c r="E58" s="112"/>
      <c r="F58" s="112"/>
      <c r="G58" s="113"/>
      <c r="H58" s="11"/>
      <c r="I58" s="11"/>
      <c r="J58" s="38"/>
      <c r="K58" s="11"/>
      <c r="L58" s="11"/>
      <c r="M58" s="13"/>
    </row>
    <row r="59" spans="1:13" ht="13.5" customHeight="1">
      <c r="A59" s="14">
        <v>29</v>
      </c>
      <c r="B59" s="45"/>
      <c r="C59" s="46"/>
      <c r="D59" s="47"/>
      <c r="E59" s="48"/>
      <c r="F59" s="48"/>
      <c r="G59" s="49"/>
      <c r="H59" s="10"/>
      <c r="I59" s="10"/>
      <c r="J59" s="28"/>
      <c r="K59" s="10"/>
      <c r="L59" s="10"/>
      <c r="M59" s="12"/>
    </row>
    <row r="60" spans="1:13" ht="13.5" customHeight="1" thickBot="1">
      <c r="A60" s="15"/>
      <c r="B60" s="104"/>
      <c r="C60" s="105"/>
      <c r="D60" s="106"/>
      <c r="E60" s="107"/>
      <c r="F60" s="107"/>
      <c r="G60" s="108"/>
      <c r="H60" s="21"/>
      <c r="I60" s="21"/>
      <c r="J60" s="29"/>
      <c r="K60" s="21"/>
      <c r="L60" s="21"/>
      <c r="M60" s="30"/>
    </row>
    <row r="61" spans="1:13" ht="13.5" customHeight="1"/>
    <row r="62" spans="1:13" ht="13.5" customHeight="1"/>
    <row r="63" spans="1:13" ht="13.5" customHeight="1"/>
    <row r="64" spans="1:1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322"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J5:J6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J55:J56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M9:M10"/>
    <mergeCell ref="B10:C10"/>
    <mergeCell ref="D10:G10"/>
    <mergeCell ref="K7:K8"/>
    <mergeCell ref="L7:L8"/>
    <mergeCell ref="M7:M8"/>
    <mergeCell ref="B8:C8"/>
    <mergeCell ref="D8:G8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7:J8"/>
    <mergeCell ref="J9:J10"/>
    <mergeCell ref="K9:K10"/>
    <mergeCell ref="L9:L10"/>
    <mergeCell ref="A9:A10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8" type="noConversion"/>
  <printOptions horizontalCentered="1"/>
  <pageMargins left="0" right="0" top="0.74803149606299213" bottom="0.74803149606299213" header="0.31496062992125984" footer="0.31496062992125984"/>
  <pageSetup paperSize="9"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B020-9328-4385-92EF-504304C6A334}">
  <sheetPr>
    <tabColor rgb="FF00B0F0"/>
    <pageSetUpPr fitToPage="1"/>
  </sheetPr>
  <dimension ref="A1:M54"/>
  <sheetViews>
    <sheetView zoomScale="110" zoomScaleNormal="110" workbookViewId="0">
      <selection activeCell="O24" sqref="O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55" t="s">
        <v>167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6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126">
        <v>1</v>
      </c>
      <c r="B3" s="59" t="s">
        <v>42</v>
      </c>
      <c r="C3" s="60"/>
      <c r="D3" s="61" t="s">
        <v>43</v>
      </c>
      <c r="E3" s="62"/>
      <c r="F3" s="62"/>
      <c r="G3" s="63"/>
      <c r="H3" s="10">
        <f>SUM(I3)-3.4</f>
        <v>37.6</v>
      </c>
      <c r="I3" s="10">
        <f>SUM(J3)-3.4</f>
        <v>41</v>
      </c>
      <c r="J3" s="127">
        <v>44.4</v>
      </c>
      <c r="K3" s="128">
        <f>SUM(J3)+2.9</f>
        <v>47.3</v>
      </c>
      <c r="L3" s="128">
        <f>SUM(K3)+2.9</f>
        <v>50.199999999999996</v>
      </c>
      <c r="M3" s="129">
        <f>SUM(L3)+2.9</f>
        <v>53.099999999999994</v>
      </c>
    </row>
    <row r="4" spans="1:13" s="1" customFormat="1" ht="14.1" customHeight="1">
      <c r="A4" s="37"/>
      <c r="B4" s="50" t="s">
        <v>14</v>
      </c>
      <c r="C4" s="50"/>
      <c r="D4" s="41" t="s">
        <v>44</v>
      </c>
      <c r="E4" s="42"/>
      <c r="F4" s="42"/>
      <c r="G4" s="42"/>
      <c r="H4" s="11"/>
      <c r="I4" s="11"/>
      <c r="J4" s="28"/>
      <c r="K4" s="10"/>
      <c r="L4" s="10"/>
      <c r="M4" s="12"/>
    </row>
    <row r="5" spans="1:13" s="1" customFormat="1" ht="14.1" customHeight="1">
      <c r="A5" s="14">
        <v>2</v>
      </c>
      <c r="B5" s="51" t="s">
        <v>17</v>
      </c>
      <c r="C5" s="51"/>
      <c r="D5" s="52" t="s">
        <v>18</v>
      </c>
      <c r="E5" s="52"/>
      <c r="F5" s="52"/>
      <c r="G5" s="52"/>
      <c r="H5" s="10">
        <f>SUM(I5)-1.8</f>
        <v>30.400000000000002</v>
      </c>
      <c r="I5" s="10">
        <f>SUM(J5)-1.8</f>
        <v>32.200000000000003</v>
      </c>
      <c r="J5" s="28">
        <v>34</v>
      </c>
      <c r="K5" s="10">
        <f>SUM(J5)+1.6</f>
        <v>35.6</v>
      </c>
      <c r="L5" s="10">
        <f t="shared" ref="L5:M5" si="0">SUM(K5)+1.6</f>
        <v>37.200000000000003</v>
      </c>
      <c r="M5" s="12">
        <f t="shared" si="0"/>
        <v>38.800000000000004</v>
      </c>
    </row>
    <row r="6" spans="1:13" s="1" customFormat="1" ht="14.1" customHeight="1">
      <c r="A6" s="14"/>
      <c r="B6" s="50" t="s">
        <v>8</v>
      </c>
      <c r="C6" s="50"/>
      <c r="D6" s="41" t="s">
        <v>21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16</v>
      </c>
      <c r="C7" s="51"/>
      <c r="D7" s="52" t="s">
        <v>74</v>
      </c>
      <c r="E7" s="52"/>
      <c r="F7" s="52"/>
      <c r="G7" s="52"/>
      <c r="H7" s="10">
        <f>SUM(I7)-2.25</f>
        <v>36.299999999999997</v>
      </c>
      <c r="I7" s="10">
        <f>SUM(J7)-2.25</f>
        <v>38.549999999999997</v>
      </c>
      <c r="J7" s="28">
        <v>40.799999999999997</v>
      </c>
      <c r="K7" s="10">
        <f>SUM(J7)+2</f>
        <v>42.8</v>
      </c>
      <c r="L7" s="10">
        <f>SUM(K7)+2</f>
        <v>44.8</v>
      </c>
      <c r="M7" s="12">
        <f>SUM(L7)+2</f>
        <v>46.8</v>
      </c>
    </row>
    <row r="8" spans="1:13" s="1" customFormat="1" ht="14.1" customHeight="1">
      <c r="A8" s="14"/>
      <c r="B8" s="50" t="s">
        <v>19</v>
      </c>
      <c r="C8" s="50"/>
      <c r="D8" s="41" t="s">
        <v>22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20</v>
      </c>
      <c r="C9" s="51"/>
      <c r="D9" s="52" t="s">
        <v>90</v>
      </c>
      <c r="E9" s="52"/>
      <c r="F9" s="52"/>
      <c r="G9" s="52"/>
      <c r="H9" s="10">
        <f>SUM(I9)-2.25</f>
        <v>38.299999999999997</v>
      </c>
      <c r="I9" s="10">
        <f>SUM(J9)-2.25</f>
        <v>40.549999999999997</v>
      </c>
      <c r="J9" s="28">
        <v>42.8</v>
      </c>
      <c r="K9" s="10">
        <f>SUM(J9)+2</f>
        <v>44.8</v>
      </c>
      <c r="L9" s="10">
        <f t="shared" ref="L9:M9" si="1">SUM(K9)+2</f>
        <v>46.8</v>
      </c>
      <c r="M9" s="12">
        <f t="shared" si="1"/>
        <v>48.8</v>
      </c>
    </row>
    <row r="10" spans="1:13" s="1" customFormat="1" ht="14.1" customHeight="1">
      <c r="A10" s="14"/>
      <c r="B10" s="50" t="s">
        <v>9</v>
      </c>
      <c r="C10" s="50"/>
      <c r="D10" s="41" t="s">
        <v>89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88</v>
      </c>
      <c r="C11" s="51"/>
      <c r="D11" s="52" t="s">
        <v>0</v>
      </c>
      <c r="E11" s="52"/>
      <c r="F11" s="52"/>
      <c r="G11" s="52"/>
      <c r="H11" s="51">
        <f>SUM(I11)-0.8</f>
        <v>15.399999999999999</v>
      </c>
      <c r="I11" s="51">
        <f>SUM(J11)-0.8</f>
        <v>16.2</v>
      </c>
      <c r="J11" s="125">
        <v>17</v>
      </c>
      <c r="K11" s="123">
        <f>SUM(J11)+0.8</f>
        <v>17.8</v>
      </c>
      <c r="L11" s="123">
        <f>SUM(K11)+0.8</f>
        <v>18.600000000000001</v>
      </c>
      <c r="M11" s="124">
        <f>SUM(L11)+0.8</f>
        <v>19.400000000000002</v>
      </c>
    </row>
    <row r="12" spans="1:13" s="1" customFormat="1" ht="14.1" customHeight="1">
      <c r="A12" s="14"/>
      <c r="B12" s="50" t="s">
        <v>10</v>
      </c>
      <c r="C12" s="50"/>
      <c r="D12" s="41" t="s">
        <v>23</v>
      </c>
      <c r="E12" s="42"/>
      <c r="F12" s="42"/>
      <c r="G12" s="43"/>
      <c r="H12" s="50"/>
      <c r="I12" s="50"/>
      <c r="J12" s="125"/>
      <c r="K12" s="123"/>
      <c r="L12" s="123"/>
      <c r="M12" s="124"/>
    </row>
    <row r="13" spans="1:13" s="1" customFormat="1" ht="14.1" customHeight="1">
      <c r="A13" s="14">
        <v>6</v>
      </c>
      <c r="B13" s="51" t="s">
        <v>1</v>
      </c>
      <c r="C13" s="51"/>
      <c r="D13" s="52" t="s">
        <v>147</v>
      </c>
      <c r="E13" s="52"/>
      <c r="F13" s="52"/>
      <c r="G13" s="52"/>
      <c r="H13" s="10">
        <f>SUM(I13)-0.6</f>
        <v>15.6</v>
      </c>
      <c r="I13" s="10">
        <f>SUM(J13)-0.6</f>
        <v>16.2</v>
      </c>
      <c r="J13" s="22">
        <v>16.8</v>
      </c>
      <c r="K13" s="117">
        <f>SUM(J13)+0.6</f>
        <v>17.400000000000002</v>
      </c>
      <c r="L13" s="117">
        <f>SUM(K13)+0.6</f>
        <v>18.000000000000004</v>
      </c>
      <c r="M13" s="119">
        <f>SUM(L13)+0.6</f>
        <v>18.600000000000005</v>
      </c>
    </row>
    <row r="14" spans="1:13" s="1" customFormat="1" ht="14.1" customHeight="1">
      <c r="A14" s="14"/>
      <c r="B14" s="50" t="s">
        <v>11</v>
      </c>
      <c r="C14" s="50"/>
      <c r="D14" s="41" t="s">
        <v>24</v>
      </c>
      <c r="E14" s="42"/>
      <c r="F14" s="42"/>
      <c r="G14" s="43"/>
      <c r="H14" s="11"/>
      <c r="I14" s="11"/>
      <c r="J14" s="22"/>
      <c r="K14" s="117"/>
      <c r="L14" s="117"/>
      <c r="M14" s="119"/>
    </row>
    <row r="15" spans="1:13" s="1" customFormat="1" ht="14.1" customHeight="1">
      <c r="A15" s="14">
        <v>7</v>
      </c>
      <c r="B15" s="51" t="s">
        <v>2</v>
      </c>
      <c r="C15" s="51"/>
      <c r="D15" s="52"/>
      <c r="E15" s="52"/>
      <c r="F15" s="52"/>
      <c r="G15" s="52"/>
      <c r="H15" s="10">
        <f>SUM(I15)-0.6</f>
        <v>11.700000000000001</v>
      </c>
      <c r="I15" s="10">
        <f>SUM(J15)-0.6</f>
        <v>12.3</v>
      </c>
      <c r="J15" s="22">
        <v>12.9</v>
      </c>
      <c r="K15" s="117">
        <f>SUM(J15)+0.6</f>
        <v>13.5</v>
      </c>
      <c r="L15" s="117">
        <f>SUM(K15)+0.6</f>
        <v>14.1</v>
      </c>
      <c r="M15" s="119">
        <f>SUM(L15)+0.6</f>
        <v>14.7</v>
      </c>
    </row>
    <row r="16" spans="1:13" s="1" customFormat="1" ht="14.1" customHeight="1">
      <c r="A16" s="14"/>
      <c r="B16" s="50" t="s">
        <v>12</v>
      </c>
      <c r="C16" s="50"/>
      <c r="D16" s="41" t="s">
        <v>91</v>
      </c>
      <c r="E16" s="42"/>
      <c r="F16" s="42"/>
      <c r="G16" s="43"/>
      <c r="H16" s="11"/>
      <c r="I16" s="11"/>
      <c r="J16" s="22"/>
      <c r="K16" s="117"/>
      <c r="L16" s="117"/>
      <c r="M16" s="119"/>
    </row>
    <row r="17" spans="1:13" s="1" customFormat="1" ht="14.1" customHeight="1">
      <c r="A17" s="14">
        <v>8</v>
      </c>
      <c r="B17" s="45" t="s">
        <v>39</v>
      </c>
      <c r="C17" s="46"/>
      <c r="D17" s="47" t="s">
        <v>45</v>
      </c>
      <c r="E17" s="48"/>
      <c r="F17" s="48"/>
      <c r="G17" s="49"/>
      <c r="H17" s="10"/>
      <c r="I17" s="10"/>
      <c r="J17" s="22"/>
      <c r="K17" s="117"/>
      <c r="L17" s="117"/>
      <c r="M17" s="119"/>
    </row>
    <row r="18" spans="1:13" s="1" customFormat="1" ht="14.1" customHeight="1">
      <c r="A18" s="14"/>
      <c r="B18" s="50" t="s">
        <v>15</v>
      </c>
      <c r="C18" s="50"/>
      <c r="D18" s="41" t="s">
        <v>46</v>
      </c>
      <c r="E18" s="42"/>
      <c r="F18" s="42"/>
      <c r="G18" s="43"/>
      <c r="H18" s="11"/>
      <c r="I18" s="11"/>
      <c r="J18" s="22"/>
      <c r="K18" s="117"/>
      <c r="L18" s="117"/>
      <c r="M18" s="119"/>
    </row>
    <row r="19" spans="1:13" s="1" customFormat="1" ht="14.1" customHeight="1">
      <c r="A19" s="14">
        <v>9</v>
      </c>
      <c r="B19" s="51" t="s">
        <v>4</v>
      </c>
      <c r="C19" s="51"/>
      <c r="D19" s="52" t="s">
        <v>5</v>
      </c>
      <c r="E19" s="52"/>
      <c r="F19" s="52"/>
      <c r="G19" s="52"/>
      <c r="H19" s="10">
        <f>SUM(I19)-1.1</f>
        <v>11.3</v>
      </c>
      <c r="I19" s="10">
        <f>SUM(J19)-1.1</f>
        <v>12.4</v>
      </c>
      <c r="J19" s="28">
        <v>13.5</v>
      </c>
      <c r="K19" s="10">
        <f>SUM(J19)+1.2</f>
        <v>14.7</v>
      </c>
      <c r="L19" s="10">
        <f t="shared" ref="L19" si="2">SUM(K19)+1.2</f>
        <v>15.899999999999999</v>
      </c>
      <c r="M19" s="12">
        <f>SUM(L19)+1.2</f>
        <v>17.099999999999998</v>
      </c>
    </row>
    <row r="20" spans="1:13" s="1" customFormat="1" ht="14.1" customHeight="1">
      <c r="A20" s="14"/>
      <c r="B20" s="50" t="s">
        <v>87</v>
      </c>
      <c r="C20" s="50"/>
      <c r="D20" s="41" t="s">
        <v>25</v>
      </c>
      <c r="E20" s="42"/>
      <c r="F20" s="42"/>
      <c r="G20" s="43"/>
      <c r="H20" s="11"/>
      <c r="I20" s="11"/>
      <c r="J20" s="38"/>
      <c r="K20" s="11"/>
      <c r="L20" s="11"/>
      <c r="M20" s="13"/>
    </row>
    <row r="21" spans="1:13" s="1" customFormat="1" ht="14.1" customHeight="1">
      <c r="A21" s="14">
        <v>10</v>
      </c>
      <c r="B21" s="51" t="s">
        <v>6</v>
      </c>
      <c r="C21" s="51"/>
      <c r="D21" s="47" t="s">
        <v>7</v>
      </c>
      <c r="E21" s="48"/>
      <c r="F21" s="48"/>
      <c r="G21" s="49"/>
      <c r="H21" s="10"/>
      <c r="I21" s="10"/>
      <c r="J21" s="28"/>
      <c r="K21" s="10"/>
      <c r="L21" s="10"/>
      <c r="M21" s="12"/>
    </row>
    <row r="22" spans="1:13" s="1" customFormat="1" ht="14.1" customHeight="1">
      <c r="A22" s="14"/>
      <c r="B22" s="50" t="s">
        <v>13</v>
      </c>
      <c r="C22" s="50"/>
      <c r="D22" s="41" t="s">
        <v>34</v>
      </c>
      <c r="E22" s="42"/>
      <c r="F22" s="42"/>
      <c r="G22" s="43"/>
      <c r="H22" s="11"/>
      <c r="I22" s="11"/>
      <c r="J22" s="38"/>
      <c r="K22" s="11"/>
      <c r="L22" s="11"/>
      <c r="M22" s="13"/>
    </row>
    <row r="23" spans="1:13" s="1" customFormat="1" ht="14.1" customHeight="1">
      <c r="A23" s="14">
        <v>11</v>
      </c>
      <c r="B23" s="45" t="s">
        <v>86</v>
      </c>
      <c r="C23" s="46"/>
      <c r="D23" s="52" t="s">
        <v>51</v>
      </c>
      <c r="E23" s="52"/>
      <c r="F23" s="52"/>
      <c r="G23" s="52"/>
      <c r="H23" s="10">
        <f>SUM(I23)-1.3</f>
        <v>26.799999999999997</v>
      </c>
      <c r="I23" s="10">
        <f>SUM(J23)-1.3</f>
        <v>28.099999999999998</v>
      </c>
      <c r="J23" s="28">
        <v>29.4</v>
      </c>
      <c r="K23" s="10">
        <f>SUM(J23)+1.3</f>
        <v>30.7</v>
      </c>
      <c r="L23" s="10">
        <f t="shared" ref="L23:M23" si="3">SUM(K23)+1.3</f>
        <v>32</v>
      </c>
      <c r="M23" s="12">
        <f t="shared" si="3"/>
        <v>33.299999999999997</v>
      </c>
    </row>
    <row r="24" spans="1:13" s="1" customFormat="1" ht="14.1" customHeight="1">
      <c r="A24" s="14"/>
      <c r="B24" s="50" t="s">
        <v>52</v>
      </c>
      <c r="C24" s="50"/>
      <c r="D24" s="41" t="s">
        <v>53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3" s="1" customFormat="1" ht="14.1" customHeight="1">
      <c r="A25" s="14">
        <v>12</v>
      </c>
      <c r="B25" s="45" t="s">
        <v>148</v>
      </c>
      <c r="C25" s="46"/>
      <c r="D25" s="52"/>
      <c r="E25" s="52"/>
      <c r="F25" s="52"/>
      <c r="G25" s="52"/>
      <c r="H25" s="10">
        <f>SUM(I25)-0.5</f>
        <v>7.5</v>
      </c>
      <c r="I25" s="10">
        <f>SUM(J25)-0.5</f>
        <v>8</v>
      </c>
      <c r="J25" s="28">
        <v>8.5</v>
      </c>
      <c r="K25" s="10">
        <f>SUM(J25)+0.5</f>
        <v>9</v>
      </c>
      <c r="L25" s="10">
        <f t="shared" ref="L25:M25" si="4">SUM(K25)+0.5</f>
        <v>9.5</v>
      </c>
      <c r="M25" s="12">
        <f t="shared" si="4"/>
        <v>10</v>
      </c>
    </row>
    <row r="26" spans="1:13" s="1" customFormat="1" ht="14.1" customHeight="1">
      <c r="A26" s="14"/>
      <c r="B26" s="39" t="s">
        <v>149</v>
      </c>
      <c r="C26" s="40"/>
      <c r="D26" s="41"/>
      <c r="E26" s="42"/>
      <c r="F26" s="42"/>
      <c r="G26" s="43"/>
      <c r="H26" s="11"/>
      <c r="I26" s="11"/>
      <c r="J26" s="38"/>
      <c r="K26" s="11"/>
      <c r="L26" s="11"/>
      <c r="M26" s="13"/>
    </row>
    <row r="27" spans="1:13" s="1" customFormat="1" ht="14.1" customHeight="1">
      <c r="A27" s="14">
        <v>13</v>
      </c>
      <c r="B27" s="45" t="s">
        <v>150</v>
      </c>
      <c r="C27" s="46"/>
      <c r="D27" s="52"/>
      <c r="E27" s="52"/>
      <c r="F27" s="52"/>
      <c r="G27" s="52"/>
      <c r="H27" s="10">
        <f>SUM(I27)-0.5</f>
        <v>8</v>
      </c>
      <c r="I27" s="10">
        <f>SUM(J27)-0.5</f>
        <v>8.5</v>
      </c>
      <c r="J27" s="28">
        <v>9</v>
      </c>
      <c r="K27" s="10">
        <f>SUM(J27)+0.5</f>
        <v>9.5</v>
      </c>
      <c r="L27" s="10">
        <f t="shared" ref="L27:M27" si="5">SUM(K27)+0.5</f>
        <v>10</v>
      </c>
      <c r="M27" s="12">
        <f t="shared" si="5"/>
        <v>10.5</v>
      </c>
    </row>
    <row r="28" spans="1:13" s="1" customFormat="1" ht="14.1" customHeight="1">
      <c r="A28" s="14"/>
      <c r="B28" s="50" t="s">
        <v>151</v>
      </c>
      <c r="C28" s="50"/>
      <c r="D28" s="41"/>
      <c r="E28" s="42"/>
      <c r="F28" s="42"/>
      <c r="G28" s="43"/>
      <c r="H28" s="11"/>
      <c r="I28" s="11"/>
      <c r="J28" s="38"/>
      <c r="K28" s="11"/>
      <c r="L28" s="11"/>
      <c r="M28" s="13"/>
    </row>
    <row r="29" spans="1:13" s="1" customFormat="1" ht="14.1" customHeight="1">
      <c r="A29" s="14">
        <v>14</v>
      </c>
      <c r="B29" s="45" t="s">
        <v>152</v>
      </c>
      <c r="C29" s="46"/>
      <c r="D29" s="48" t="s">
        <v>153</v>
      </c>
      <c r="E29" s="48"/>
      <c r="F29" s="48"/>
      <c r="G29" s="48"/>
      <c r="H29" s="10">
        <f>SUM(I29)-0.3</f>
        <v>5</v>
      </c>
      <c r="I29" s="10">
        <f>SUM(J29)-0.3</f>
        <v>5.3</v>
      </c>
      <c r="J29" s="22">
        <v>5.6</v>
      </c>
      <c r="K29" s="117">
        <f>SUM(J29)+0.3</f>
        <v>5.8999999999999995</v>
      </c>
      <c r="L29" s="117">
        <f t="shared" ref="L29:M29" si="6">SUM(K29)+0.3</f>
        <v>6.1999999999999993</v>
      </c>
      <c r="M29" s="119">
        <f t="shared" si="6"/>
        <v>6.4999999999999991</v>
      </c>
    </row>
    <row r="30" spans="1:13" s="1" customFormat="1" ht="14.1" customHeight="1" thickBot="1">
      <c r="A30" s="77"/>
      <c r="B30" s="85" t="s">
        <v>154</v>
      </c>
      <c r="C30" s="85"/>
      <c r="D30" s="86" t="s">
        <v>166</v>
      </c>
      <c r="E30" s="87"/>
      <c r="F30" s="87"/>
      <c r="G30" s="88"/>
      <c r="H30" s="122"/>
      <c r="I30" s="122"/>
      <c r="J30" s="121"/>
      <c r="K30" s="118"/>
      <c r="L30" s="118"/>
      <c r="M30" s="120"/>
    </row>
    <row r="31" spans="1:13" s="1" customFormat="1" ht="14.1" customHeight="1" thickTop="1">
      <c r="A31" s="37">
        <v>15</v>
      </c>
      <c r="B31" s="59" t="s">
        <v>85</v>
      </c>
      <c r="C31" s="60"/>
      <c r="D31" s="61" t="s">
        <v>84</v>
      </c>
      <c r="E31" s="62"/>
      <c r="F31" s="62"/>
      <c r="G31" s="63"/>
      <c r="H31" s="64">
        <f>SUM(I31)-3</f>
        <v>43</v>
      </c>
      <c r="I31" s="64">
        <f>SUM(J31)-3</f>
        <v>46</v>
      </c>
      <c r="J31" s="67">
        <v>49</v>
      </c>
      <c r="K31" s="64">
        <f>SUM(J31)+3</f>
        <v>52</v>
      </c>
      <c r="L31" s="64">
        <f t="shared" ref="L31:M31" si="7">SUM(K31)+3</f>
        <v>55</v>
      </c>
      <c r="M31" s="65">
        <f t="shared" si="7"/>
        <v>58</v>
      </c>
    </row>
    <row r="32" spans="1:13" s="1" customFormat="1" ht="14.1" customHeight="1">
      <c r="A32" s="14"/>
      <c r="B32" s="80" t="s">
        <v>83</v>
      </c>
      <c r="C32" s="81"/>
      <c r="D32" s="82" t="s">
        <v>82</v>
      </c>
      <c r="E32" s="83"/>
      <c r="F32" s="83"/>
      <c r="G32" s="84"/>
      <c r="H32" s="11"/>
      <c r="I32" s="11"/>
      <c r="J32" s="38"/>
      <c r="K32" s="11"/>
      <c r="L32" s="11"/>
      <c r="M32" s="13"/>
    </row>
    <row r="33" spans="1:13" s="1" customFormat="1" ht="14.1" customHeight="1">
      <c r="A33" s="14">
        <v>16</v>
      </c>
      <c r="B33" s="45" t="s">
        <v>93</v>
      </c>
      <c r="C33" s="46"/>
      <c r="D33" s="61"/>
      <c r="E33" s="62"/>
      <c r="F33" s="62"/>
      <c r="G33" s="63"/>
      <c r="H33" s="10">
        <f>SUM(I33)-4.5</f>
        <v>65</v>
      </c>
      <c r="I33" s="10">
        <f>SUM(J33)-4.5</f>
        <v>69.5</v>
      </c>
      <c r="J33" s="67">
        <v>74</v>
      </c>
      <c r="K33" s="64">
        <f>SUM(J33)+4.5</f>
        <v>78.5</v>
      </c>
      <c r="L33" s="64">
        <f t="shared" ref="L33:M33" si="8">SUM(K33)+4.5</f>
        <v>83</v>
      </c>
      <c r="M33" s="65">
        <f t="shared" si="8"/>
        <v>87.5</v>
      </c>
    </row>
    <row r="34" spans="1:13" s="1" customFormat="1" ht="14.1" customHeight="1">
      <c r="A34" s="14"/>
      <c r="B34" s="80" t="s">
        <v>155</v>
      </c>
      <c r="C34" s="81"/>
      <c r="D34" s="82"/>
      <c r="E34" s="83"/>
      <c r="F34" s="83"/>
      <c r="G34" s="84"/>
      <c r="H34" s="11"/>
      <c r="I34" s="11"/>
      <c r="J34" s="38"/>
      <c r="K34" s="11"/>
      <c r="L34" s="11"/>
      <c r="M34" s="13"/>
    </row>
    <row r="35" spans="1:13" s="1" customFormat="1" ht="14.1" customHeight="1">
      <c r="A35" s="14">
        <v>17</v>
      </c>
      <c r="B35" s="45" t="s">
        <v>81</v>
      </c>
      <c r="C35" s="46"/>
      <c r="D35" s="47" t="s">
        <v>156</v>
      </c>
      <c r="E35" s="48"/>
      <c r="F35" s="48"/>
      <c r="G35" s="49"/>
      <c r="H35" s="10">
        <f>SUM(I35)-5</f>
        <v>69.599999999999994</v>
      </c>
      <c r="I35" s="10">
        <f>SUM(J35)-5</f>
        <v>74.599999999999994</v>
      </c>
      <c r="J35" s="28">
        <v>79.599999999999994</v>
      </c>
      <c r="K35" s="10">
        <f>SUM(J35)+5</f>
        <v>84.6</v>
      </c>
      <c r="L35" s="10">
        <f t="shared" ref="L35:M35" si="9">SUM(K35)+5</f>
        <v>89.6</v>
      </c>
      <c r="M35" s="12">
        <f t="shared" si="9"/>
        <v>94.6</v>
      </c>
    </row>
    <row r="36" spans="1:13" s="1" customFormat="1" ht="14.1" customHeight="1">
      <c r="A36" s="14"/>
      <c r="B36" s="80" t="s">
        <v>79</v>
      </c>
      <c r="C36" s="81"/>
      <c r="D36" s="82" t="s">
        <v>78</v>
      </c>
      <c r="E36" s="83"/>
      <c r="F36" s="83"/>
      <c r="G36" s="84"/>
      <c r="H36" s="11"/>
      <c r="I36" s="11"/>
      <c r="J36" s="38"/>
      <c r="K36" s="11"/>
      <c r="L36" s="11"/>
      <c r="M36" s="13"/>
    </row>
    <row r="37" spans="1:13" s="1" customFormat="1" ht="14.1" customHeight="1">
      <c r="A37" s="14">
        <v>18</v>
      </c>
      <c r="B37" s="45" t="s">
        <v>77</v>
      </c>
      <c r="C37" s="46"/>
      <c r="D37" s="47"/>
      <c r="E37" s="48"/>
      <c r="F37" s="48"/>
      <c r="G37" s="49"/>
      <c r="H37" s="51">
        <f>SUM(I37)-0.7</f>
        <v>13.3</v>
      </c>
      <c r="I37" s="10">
        <f>SUM(J37)-0.7</f>
        <v>14</v>
      </c>
      <c r="J37" s="28">
        <v>14.7</v>
      </c>
      <c r="K37" s="10">
        <f>SUM(J37)+1.2</f>
        <v>15.899999999999999</v>
      </c>
      <c r="L37" s="10">
        <f>SUM(K37)+0.7</f>
        <v>16.599999999999998</v>
      </c>
      <c r="M37" s="53">
        <f>SUM(L37)+0.7</f>
        <v>17.299999999999997</v>
      </c>
    </row>
    <row r="38" spans="1:13" s="1" customFormat="1" ht="14.1" customHeight="1">
      <c r="A38" s="14"/>
      <c r="B38" s="80" t="s">
        <v>76</v>
      </c>
      <c r="C38" s="81"/>
      <c r="D38" s="114" t="s">
        <v>157</v>
      </c>
      <c r="E38" s="115"/>
      <c r="F38" s="115"/>
      <c r="G38" s="116"/>
      <c r="H38" s="50"/>
      <c r="I38" s="11"/>
      <c r="J38" s="38"/>
      <c r="K38" s="11"/>
      <c r="L38" s="11"/>
      <c r="M38" s="54"/>
    </row>
    <row r="39" spans="1:13" s="1" customFormat="1" ht="14.1" customHeight="1">
      <c r="A39" s="14">
        <v>19</v>
      </c>
      <c r="B39" s="45" t="s">
        <v>75</v>
      </c>
      <c r="C39" s="46"/>
      <c r="D39" s="47" t="s">
        <v>74</v>
      </c>
      <c r="E39" s="48"/>
      <c r="F39" s="48"/>
      <c r="G39" s="49"/>
      <c r="H39" s="10">
        <f>SUM(I39)-3.5</f>
        <v>29.6</v>
      </c>
      <c r="I39" s="10">
        <f>SUM(J39)-3.5</f>
        <v>33.1</v>
      </c>
      <c r="J39" s="28">
        <v>36.6</v>
      </c>
      <c r="K39" s="10">
        <f>SUM(J39)+3</f>
        <v>39.6</v>
      </c>
      <c r="L39" s="10">
        <f t="shared" ref="L39:M39" si="10">SUM(K39)+3</f>
        <v>42.6</v>
      </c>
      <c r="M39" s="12">
        <f t="shared" si="10"/>
        <v>45.6</v>
      </c>
    </row>
    <row r="40" spans="1:13" s="1" customFormat="1" ht="14.1" customHeight="1">
      <c r="A40" s="14"/>
      <c r="B40" s="80" t="s">
        <v>73</v>
      </c>
      <c r="C40" s="81"/>
      <c r="D40" s="82" t="s">
        <v>72</v>
      </c>
      <c r="E40" s="83"/>
      <c r="F40" s="83"/>
      <c r="G40" s="84"/>
      <c r="H40" s="11"/>
      <c r="I40" s="11"/>
      <c r="J40" s="38"/>
      <c r="K40" s="11"/>
      <c r="L40" s="11"/>
      <c r="M40" s="13"/>
    </row>
    <row r="41" spans="1:13" s="1" customFormat="1" ht="14.1" customHeight="1">
      <c r="A41" s="14">
        <v>20</v>
      </c>
      <c r="B41" s="45" t="s">
        <v>71</v>
      </c>
      <c r="C41" s="46"/>
      <c r="D41" s="47" t="s">
        <v>70</v>
      </c>
      <c r="E41" s="48"/>
      <c r="F41" s="48"/>
      <c r="G41" s="49"/>
      <c r="H41" s="10">
        <f>SUM(I41)-2.6</f>
        <v>44</v>
      </c>
      <c r="I41" s="10">
        <f>SUM(J41)-2.6</f>
        <v>46.6</v>
      </c>
      <c r="J41" s="28">
        <v>49.2</v>
      </c>
      <c r="K41" s="10">
        <f>SUM(J41)+2.6</f>
        <v>51.800000000000004</v>
      </c>
      <c r="L41" s="10">
        <f t="shared" ref="L41:M41" si="11">SUM(K41)+2.6</f>
        <v>54.400000000000006</v>
      </c>
      <c r="M41" s="12">
        <f t="shared" si="11"/>
        <v>57.000000000000007</v>
      </c>
    </row>
    <row r="42" spans="1:13" s="1" customFormat="1" ht="14.1" customHeight="1">
      <c r="A42" s="14"/>
      <c r="B42" s="80" t="s">
        <v>69</v>
      </c>
      <c r="C42" s="81"/>
      <c r="D42" s="41" t="s">
        <v>68</v>
      </c>
      <c r="E42" s="42"/>
      <c r="F42" s="42"/>
      <c r="G42" s="43"/>
      <c r="H42" s="11"/>
      <c r="I42" s="11"/>
      <c r="J42" s="38"/>
      <c r="K42" s="11"/>
      <c r="L42" s="11"/>
      <c r="M42" s="13"/>
    </row>
    <row r="43" spans="1:13" s="1" customFormat="1" ht="14.1" customHeight="1">
      <c r="A43" s="14">
        <v>21</v>
      </c>
      <c r="B43" s="45" t="s">
        <v>67</v>
      </c>
      <c r="C43" s="46"/>
      <c r="D43" s="47" t="s">
        <v>64</v>
      </c>
      <c r="E43" s="48"/>
      <c r="F43" s="48"/>
      <c r="G43" s="49"/>
      <c r="H43" s="51">
        <f>SUM(I43)-1.1</f>
        <v>22.299999999999997</v>
      </c>
      <c r="I43" s="10">
        <f>SUM(J43)-1.1</f>
        <v>23.4</v>
      </c>
      <c r="J43" s="28">
        <v>24.5</v>
      </c>
      <c r="K43" s="10">
        <f>SUM(J43)+1.6</f>
        <v>26.1</v>
      </c>
      <c r="L43" s="10">
        <f>SUM(K43)+1.1</f>
        <v>27.200000000000003</v>
      </c>
      <c r="M43" s="53">
        <f>SUM(L43)+1.1</f>
        <v>28.300000000000004</v>
      </c>
    </row>
    <row r="44" spans="1:13" s="1" customFormat="1" ht="14.1" customHeight="1">
      <c r="A44" s="14"/>
      <c r="B44" s="80" t="s">
        <v>66</v>
      </c>
      <c r="C44" s="81"/>
      <c r="D44" s="82" t="s">
        <v>62</v>
      </c>
      <c r="E44" s="83"/>
      <c r="F44" s="83"/>
      <c r="G44" s="84"/>
      <c r="H44" s="50"/>
      <c r="I44" s="11"/>
      <c r="J44" s="38"/>
      <c r="K44" s="11"/>
      <c r="L44" s="11"/>
      <c r="M44" s="54"/>
    </row>
    <row r="45" spans="1:13" s="1" customFormat="1" ht="14.1" customHeight="1">
      <c r="A45" s="14">
        <v>22</v>
      </c>
      <c r="B45" s="45" t="s">
        <v>65</v>
      </c>
      <c r="C45" s="46"/>
      <c r="D45" s="47" t="s">
        <v>64</v>
      </c>
      <c r="E45" s="48"/>
      <c r="F45" s="48"/>
      <c r="G45" s="49"/>
      <c r="H45" s="51">
        <f>SUM(I45)-1.3</f>
        <v>28.799999999999997</v>
      </c>
      <c r="I45" s="10">
        <f>SUM(J45)-1.3</f>
        <v>30.099999999999998</v>
      </c>
      <c r="J45" s="28">
        <v>31.4</v>
      </c>
      <c r="K45" s="10">
        <f>SUM(J45)+1.8</f>
        <v>33.199999999999996</v>
      </c>
      <c r="L45" s="10">
        <f>SUM(K45)+1.3</f>
        <v>34.499999999999993</v>
      </c>
      <c r="M45" s="53">
        <f>SUM(L45)+1.3</f>
        <v>35.79999999999999</v>
      </c>
    </row>
    <row r="46" spans="1:13" s="1" customFormat="1" ht="14.1" customHeight="1">
      <c r="A46" s="14"/>
      <c r="B46" s="80" t="s">
        <v>63</v>
      </c>
      <c r="C46" s="81"/>
      <c r="D46" s="82" t="s">
        <v>62</v>
      </c>
      <c r="E46" s="83"/>
      <c r="F46" s="83"/>
      <c r="G46" s="84"/>
      <c r="H46" s="50"/>
      <c r="I46" s="11"/>
      <c r="J46" s="38"/>
      <c r="K46" s="11"/>
      <c r="L46" s="11"/>
      <c r="M46" s="54"/>
    </row>
    <row r="47" spans="1:13" s="1" customFormat="1" ht="14.1" customHeight="1">
      <c r="A47" s="14">
        <v>23</v>
      </c>
      <c r="B47" s="45" t="s">
        <v>61</v>
      </c>
      <c r="C47" s="46"/>
      <c r="D47" s="47" t="s">
        <v>60</v>
      </c>
      <c r="E47" s="48"/>
      <c r="F47" s="48"/>
      <c r="G47" s="49"/>
      <c r="H47" s="10"/>
      <c r="I47" s="10"/>
      <c r="J47" s="28"/>
      <c r="K47" s="10"/>
      <c r="L47" s="10"/>
      <c r="M47" s="12"/>
    </row>
    <row r="48" spans="1:13" s="1" customFormat="1" ht="14.1" customHeight="1">
      <c r="A48" s="14"/>
      <c r="B48" s="80" t="s">
        <v>59</v>
      </c>
      <c r="C48" s="81"/>
      <c r="D48" s="82" t="s">
        <v>58</v>
      </c>
      <c r="E48" s="83"/>
      <c r="F48" s="83"/>
      <c r="G48" s="84"/>
      <c r="H48" s="11"/>
      <c r="I48" s="11"/>
      <c r="J48" s="38"/>
      <c r="K48" s="11"/>
      <c r="L48" s="11"/>
      <c r="M48" s="13"/>
    </row>
    <row r="49" spans="1:13" s="1" customFormat="1" ht="14.1" customHeight="1">
      <c r="A49" s="14">
        <v>24</v>
      </c>
      <c r="B49" s="45" t="s">
        <v>57</v>
      </c>
      <c r="C49" s="46"/>
      <c r="D49" s="47" t="s">
        <v>56</v>
      </c>
      <c r="E49" s="48"/>
      <c r="F49" s="48"/>
      <c r="G49" s="49"/>
      <c r="H49" s="10"/>
      <c r="I49" s="10"/>
      <c r="J49" s="28"/>
      <c r="K49" s="10"/>
      <c r="L49" s="10"/>
      <c r="M49" s="12"/>
    </row>
    <row r="50" spans="1:13" s="1" customFormat="1" ht="14.1" customHeight="1">
      <c r="A50" s="14"/>
      <c r="B50" s="80" t="s">
        <v>55</v>
      </c>
      <c r="C50" s="81"/>
      <c r="D50" s="82" t="s">
        <v>54</v>
      </c>
      <c r="E50" s="83"/>
      <c r="F50" s="83"/>
      <c r="G50" s="84"/>
      <c r="H50" s="11"/>
      <c r="I50" s="11"/>
      <c r="J50" s="38"/>
      <c r="K50" s="11"/>
      <c r="L50" s="11"/>
      <c r="M50" s="13"/>
    </row>
    <row r="51" spans="1:13" s="1" customFormat="1" ht="14.1" customHeight="1">
      <c r="A51" s="14">
        <v>25</v>
      </c>
      <c r="B51" s="45" t="s">
        <v>158</v>
      </c>
      <c r="C51" s="46"/>
      <c r="D51" s="47" t="s">
        <v>159</v>
      </c>
      <c r="E51" s="48"/>
      <c r="F51" s="48"/>
      <c r="G51" s="49"/>
      <c r="H51" s="10">
        <f>SUM(I51)-0.2</f>
        <v>4.0999999999999996</v>
      </c>
      <c r="I51" s="10">
        <f>SUM(J51)-0.2</f>
        <v>4.3</v>
      </c>
      <c r="J51" s="28">
        <v>4.5</v>
      </c>
      <c r="K51" s="10">
        <f>SUM(J51)+0.2</f>
        <v>4.7</v>
      </c>
      <c r="L51" s="10">
        <f t="shared" ref="L51:M51" si="12">SUM(K51)+0.2</f>
        <v>4.9000000000000004</v>
      </c>
      <c r="M51" s="12">
        <f t="shared" si="12"/>
        <v>5.1000000000000005</v>
      </c>
    </row>
    <row r="52" spans="1:13" s="1" customFormat="1" ht="14.1" customHeight="1">
      <c r="A52" s="14"/>
      <c r="B52" s="80" t="s">
        <v>160</v>
      </c>
      <c r="C52" s="81"/>
      <c r="D52" s="82" t="s">
        <v>161</v>
      </c>
      <c r="E52" s="83"/>
      <c r="F52" s="83"/>
      <c r="G52" s="84"/>
      <c r="H52" s="11"/>
      <c r="I52" s="11"/>
      <c r="J52" s="38"/>
      <c r="K52" s="11"/>
      <c r="L52" s="11"/>
      <c r="M52" s="13"/>
    </row>
    <row r="53" spans="1:13" s="1" customFormat="1" ht="14.1" customHeight="1">
      <c r="A53" s="14">
        <v>26</v>
      </c>
      <c r="B53" s="45" t="s">
        <v>162</v>
      </c>
      <c r="C53" s="46"/>
      <c r="D53" s="47" t="s">
        <v>163</v>
      </c>
      <c r="E53" s="48"/>
      <c r="F53" s="48"/>
      <c r="G53" s="49"/>
      <c r="H53" s="10">
        <f>SUM(I53)-0.6</f>
        <v>9.4</v>
      </c>
      <c r="I53" s="10">
        <f>SUM(J53)-0.6</f>
        <v>10</v>
      </c>
      <c r="J53" s="28">
        <v>10.6</v>
      </c>
      <c r="K53" s="10">
        <f>SUM(J53)+0.6</f>
        <v>11.2</v>
      </c>
      <c r="L53" s="10">
        <f t="shared" ref="L53:M53" si="13">SUM(K53)+0.6</f>
        <v>11.799999999999999</v>
      </c>
      <c r="M53" s="12">
        <f t="shared" si="13"/>
        <v>12.399999999999999</v>
      </c>
    </row>
    <row r="54" spans="1:13" s="1" customFormat="1" ht="14.1" customHeight="1" thickBot="1">
      <c r="A54" s="15"/>
      <c r="B54" s="104" t="s">
        <v>164</v>
      </c>
      <c r="C54" s="105"/>
      <c r="D54" s="106" t="s">
        <v>165</v>
      </c>
      <c r="E54" s="107"/>
      <c r="F54" s="107"/>
      <c r="G54" s="108"/>
      <c r="H54" s="21"/>
      <c r="I54" s="21"/>
      <c r="J54" s="29"/>
      <c r="K54" s="21"/>
      <c r="L54" s="21"/>
      <c r="M54" s="30"/>
    </row>
  </sheetData>
  <mergeCells count="28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</mergeCells>
  <phoneticPr fontId="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B576-E747-41A4-9F4A-E3E1E3931017}">
  <sheetPr>
    <tabColor rgb="FF00B0F0"/>
  </sheetPr>
  <dimension ref="A1:M70"/>
  <sheetViews>
    <sheetView zoomScale="110" zoomScaleNormal="110" workbookViewId="0">
      <selection activeCell="P21" sqref="P21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55" t="s">
        <v>175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4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37">
        <v>1</v>
      </c>
      <c r="B3" s="68" t="s">
        <v>128</v>
      </c>
      <c r="C3" s="68"/>
      <c r="D3" s="69" t="s">
        <v>129</v>
      </c>
      <c r="E3" s="69"/>
      <c r="F3" s="69"/>
      <c r="G3" s="70"/>
      <c r="H3" s="10">
        <f>SUM(I3)-6</f>
        <v>68.8</v>
      </c>
      <c r="I3" s="10">
        <f>SUM(J3)-6</f>
        <v>74.8</v>
      </c>
      <c r="J3" s="28">
        <v>80.8</v>
      </c>
      <c r="K3" s="10">
        <f>SUM(J3)+6</f>
        <v>86.8</v>
      </c>
      <c r="L3" s="10">
        <f>SUM(K3)+6</f>
        <v>92.8</v>
      </c>
      <c r="M3" s="12">
        <f>SUM(L3)+6</f>
        <v>98.8</v>
      </c>
    </row>
    <row r="4" spans="1:13" s="1" customFormat="1" ht="14.1" customHeight="1">
      <c r="A4" s="14"/>
      <c r="B4" s="50" t="s">
        <v>130</v>
      </c>
      <c r="C4" s="50"/>
      <c r="D4" s="41" t="s">
        <v>131</v>
      </c>
      <c r="E4" s="42"/>
      <c r="F4" s="42"/>
      <c r="G4" s="42"/>
      <c r="H4" s="11"/>
      <c r="I4" s="11"/>
      <c r="J4" s="38"/>
      <c r="K4" s="11"/>
      <c r="L4" s="11"/>
      <c r="M4" s="13"/>
    </row>
    <row r="5" spans="1:13" s="1" customFormat="1" ht="14.1" customHeight="1">
      <c r="A5" s="14">
        <v>2</v>
      </c>
      <c r="B5" s="51" t="s">
        <v>17</v>
      </c>
      <c r="C5" s="51"/>
      <c r="D5" s="52" t="s">
        <v>18</v>
      </c>
      <c r="E5" s="52"/>
      <c r="F5" s="52"/>
      <c r="G5" s="52"/>
      <c r="H5" s="10">
        <f>SUM(I5)-1.4</f>
        <v>23.200000000000003</v>
      </c>
      <c r="I5" s="10">
        <f>SUM(J5)-1.4</f>
        <v>24.6</v>
      </c>
      <c r="J5" s="28">
        <v>26</v>
      </c>
      <c r="K5" s="10">
        <f>SUM(J5)+1.2</f>
        <v>27.2</v>
      </c>
      <c r="L5" s="10">
        <f t="shared" ref="L5:M5" si="0">SUM(K5)+1.2</f>
        <v>28.4</v>
      </c>
      <c r="M5" s="12">
        <f t="shared" si="0"/>
        <v>29.599999999999998</v>
      </c>
    </row>
    <row r="6" spans="1:13" s="1" customFormat="1" ht="14.1" customHeight="1">
      <c r="A6" s="14"/>
      <c r="B6" s="50" t="s">
        <v>8</v>
      </c>
      <c r="C6" s="50"/>
      <c r="D6" s="41" t="s">
        <v>21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16</v>
      </c>
      <c r="C7" s="51"/>
      <c r="D7" s="52" t="s">
        <v>116</v>
      </c>
      <c r="E7" s="52"/>
      <c r="F7" s="52"/>
      <c r="G7" s="52"/>
      <c r="H7" s="10">
        <f>SUM(I7)-2.6</f>
        <v>36.9</v>
      </c>
      <c r="I7" s="10">
        <f>SUM(J7)-2.6</f>
        <v>39.5</v>
      </c>
      <c r="J7" s="28">
        <v>42.1</v>
      </c>
      <c r="K7" s="10">
        <f>SUM(J7)+2.4</f>
        <v>44.5</v>
      </c>
      <c r="L7" s="10">
        <f t="shared" ref="L7:M7" si="1">SUM(K7)+2.4</f>
        <v>46.9</v>
      </c>
      <c r="M7" s="12">
        <f t="shared" si="1"/>
        <v>49.3</v>
      </c>
    </row>
    <row r="8" spans="1:13" s="1" customFormat="1" ht="14.1" customHeight="1">
      <c r="A8" s="14"/>
      <c r="B8" s="50" t="s">
        <v>19</v>
      </c>
      <c r="C8" s="50"/>
      <c r="D8" s="41" t="s">
        <v>22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20</v>
      </c>
      <c r="C9" s="51"/>
      <c r="D9" s="52" t="s">
        <v>115</v>
      </c>
      <c r="E9" s="52"/>
      <c r="F9" s="52"/>
      <c r="G9" s="52"/>
      <c r="H9" s="10">
        <f>SUM(I9)-3.9</f>
        <v>49.900000000000006</v>
      </c>
      <c r="I9" s="10">
        <f>SUM(J9)-3.9</f>
        <v>53.800000000000004</v>
      </c>
      <c r="J9" s="28">
        <v>57.7</v>
      </c>
      <c r="K9" s="10">
        <f>SUM(J9)+3.7</f>
        <v>61.400000000000006</v>
      </c>
      <c r="L9" s="10">
        <f t="shared" ref="L9:M9" si="2">SUM(K9)+3.7</f>
        <v>65.100000000000009</v>
      </c>
      <c r="M9" s="12">
        <f t="shared" si="2"/>
        <v>68.800000000000011</v>
      </c>
    </row>
    <row r="10" spans="1:13" s="1" customFormat="1" ht="14.1" customHeight="1">
      <c r="A10" s="14"/>
      <c r="B10" s="50" t="s">
        <v>9</v>
      </c>
      <c r="C10" s="50"/>
      <c r="D10" s="41" t="s">
        <v>114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88</v>
      </c>
      <c r="C11" s="51"/>
      <c r="D11" s="52" t="s">
        <v>0</v>
      </c>
      <c r="E11" s="52"/>
      <c r="F11" s="52"/>
      <c r="G11" s="52"/>
      <c r="H11" s="10">
        <f>SUM(I11)-0.8</f>
        <v>15.899999999999999</v>
      </c>
      <c r="I11" s="10">
        <f>SUM(J11)-0.8</f>
        <v>16.7</v>
      </c>
      <c r="J11" s="28">
        <v>17.5</v>
      </c>
      <c r="K11" s="10">
        <f>SUM(J11)+0.8</f>
        <v>18.3</v>
      </c>
      <c r="L11" s="10">
        <f t="shared" ref="L11:M11" si="3">SUM(K11)+0.8</f>
        <v>19.100000000000001</v>
      </c>
      <c r="M11" s="12">
        <f t="shared" si="3"/>
        <v>19.900000000000002</v>
      </c>
    </row>
    <row r="12" spans="1:13" s="1" customFormat="1" ht="14.1" customHeight="1">
      <c r="A12" s="14"/>
      <c r="B12" s="50" t="s">
        <v>10</v>
      </c>
      <c r="C12" s="50"/>
      <c r="D12" s="41" t="s">
        <v>23</v>
      </c>
      <c r="E12" s="42"/>
      <c r="F12" s="42"/>
      <c r="G12" s="43"/>
      <c r="H12" s="11"/>
      <c r="I12" s="11"/>
      <c r="J12" s="38"/>
      <c r="K12" s="11"/>
      <c r="L12" s="11"/>
      <c r="M12" s="13"/>
    </row>
    <row r="13" spans="1:13" s="1" customFormat="1" ht="14.1" customHeight="1">
      <c r="A13" s="14">
        <v>6</v>
      </c>
      <c r="B13" s="51" t="s">
        <v>1</v>
      </c>
      <c r="C13" s="51"/>
      <c r="D13" s="52" t="s">
        <v>101</v>
      </c>
      <c r="E13" s="52"/>
      <c r="F13" s="52"/>
      <c r="G13" s="52"/>
      <c r="H13" s="10">
        <f>SUM(I13)-0.6</f>
        <v>17.399999999999999</v>
      </c>
      <c r="I13" s="10">
        <f>SUM(J13)-0.6</f>
        <v>18</v>
      </c>
      <c r="J13" s="28">
        <v>18.600000000000001</v>
      </c>
      <c r="K13" s="10">
        <f>SUM(J13)+0.6</f>
        <v>19.200000000000003</v>
      </c>
      <c r="L13" s="51">
        <f>SUM(K13)+0.6</f>
        <v>19.800000000000004</v>
      </c>
      <c r="M13" s="12">
        <f>SUM(L13)+0.6</f>
        <v>20.400000000000006</v>
      </c>
    </row>
    <row r="14" spans="1:13" s="1" customFormat="1" ht="14.1" customHeight="1">
      <c r="A14" s="14"/>
      <c r="B14" s="50" t="s">
        <v>11</v>
      </c>
      <c r="C14" s="50"/>
      <c r="D14" s="41" t="s">
        <v>24</v>
      </c>
      <c r="E14" s="42"/>
      <c r="F14" s="42"/>
      <c r="G14" s="43"/>
      <c r="H14" s="11"/>
      <c r="I14" s="11"/>
      <c r="J14" s="38"/>
      <c r="K14" s="11"/>
      <c r="L14" s="50"/>
      <c r="M14" s="13"/>
    </row>
    <row r="15" spans="1:13" s="1" customFormat="1" ht="14.1" customHeight="1">
      <c r="A15" s="14">
        <v>7</v>
      </c>
      <c r="B15" s="51" t="s">
        <v>121</v>
      </c>
      <c r="C15" s="51"/>
      <c r="D15" s="52" t="s">
        <v>122</v>
      </c>
      <c r="E15" s="52"/>
      <c r="F15" s="52"/>
      <c r="G15" s="52"/>
      <c r="H15" s="10">
        <f>SUM(I15)-0.2</f>
        <v>4.3</v>
      </c>
      <c r="I15" s="10">
        <f>SUM(J15)-0.2</f>
        <v>4.5</v>
      </c>
      <c r="J15" s="28">
        <v>4.7</v>
      </c>
      <c r="K15" s="10">
        <f>SUM(J15)+0.2</f>
        <v>4.9000000000000004</v>
      </c>
      <c r="L15" s="10">
        <f>SUM(K15)+0.2</f>
        <v>5.1000000000000005</v>
      </c>
      <c r="M15" s="12">
        <f>SUM(L15)+0.2</f>
        <v>5.3000000000000007</v>
      </c>
    </row>
    <row r="16" spans="1:13" s="1" customFormat="1" ht="14.1" customHeight="1">
      <c r="A16" s="14"/>
      <c r="B16" s="50" t="s">
        <v>124</v>
      </c>
      <c r="C16" s="50"/>
      <c r="D16" s="41" t="s">
        <v>123</v>
      </c>
      <c r="E16" s="42"/>
      <c r="F16" s="42"/>
      <c r="G16" s="43"/>
      <c r="H16" s="11"/>
      <c r="I16" s="11"/>
      <c r="J16" s="38"/>
      <c r="K16" s="11"/>
      <c r="L16" s="11"/>
      <c r="M16" s="13"/>
    </row>
    <row r="17" spans="1:13" s="1" customFormat="1" ht="14.1" customHeight="1">
      <c r="A17" s="14">
        <v>8</v>
      </c>
      <c r="B17" s="51" t="s">
        <v>2</v>
      </c>
      <c r="C17" s="51"/>
      <c r="D17" s="52" t="s">
        <v>3</v>
      </c>
      <c r="E17" s="52"/>
      <c r="F17" s="52"/>
      <c r="G17" s="52"/>
      <c r="H17" s="10">
        <f>SUM(I17)-0.4</f>
        <v>6.9999999999999991</v>
      </c>
      <c r="I17" s="10">
        <f>SUM(J17)-0.4</f>
        <v>7.3999999999999995</v>
      </c>
      <c r="J17" s="28">
        <v>7.8</v>
      </c>
      <c r="K17" s="10">
        <f>SUM(J17)+0.4</f>
        <v>8.1999999999999993</v>
      </c>
      <c r="L17" s="10">
        <f t="shared" ref="L17:M17" si="4">SUM(K17)+0.4</f>
        <v>8.6</v>
      </c>
      <c r="M17" s="12">
        <f t="shared" si="4"/>
        <v>9</v>
      </c>
    </row>
    <row r="18" spans="1:13" s="1" customFormat="1" ht="14.1" customHeight="1">
      <c r="A18" s="14"/>
      <c r="B18" s="50" t="s">
        <v>12</v>
      </c>
      <c r="C18" s="50"/>
      <c r="D18" s="41" t="s">
        <v>35</v>
      </c>
      <c r="E18" s="42"/>
      <c r="F18" s="42"/>
      <c r="G18" s="43"/>
      <c r="H18" s="11"/>
      <c r="I18" s="11"/>
      <c r="J18" s="38"/>
      <c r="K18" s="11"/>
      <c r="L18" s="11"/>
      <c r="M18" s="13"/>
    </row>
    <row r="19" spans="1:13" s="1" customFormat="1" ht="14.1" customHeight="1">
      <c r="A19" s="14">
        <v>9</v>
      </c>
      <c r="B19" s="45" t="s">
        <v>39</v>
      </c>
      <c r="C19" s="46"/>
      <c r="D19" s="47" t="s">
        <v>45</v>
      </c>
      <c r="E19" s="48"/>
      <c r="F19" s="48"/>
      <c r="G19" s="49"/>
      <c r="H19" s="10"/>
      <c r="I19" s="10"/>
      <c r="J19" s="28"/>
      <c r="K19" s="10"/>
      <c r="L19" s="10"/>
      <c r="M19" s="12"/>
    </row>
    <row r="20" spans="1:13" s="1" customFormat="1" ht="14.1" customHeight="1">
      <c r="A20" s="14"/>
      <c r="B20" s="50" t="s">
        <v>15</v>
      </c>
      <c r="C20" s="50"/>
      <c r="D20" s="41" t="s">
        <v>46</v>
      </c>
      <c r="E20" s="42"/>
      <c r="F20" s="42"/>
      <c r="G20" s="43"/>
      <c r="H20" s="11"/>
      <c r="I20" s="11"/>
      <c r="J20" s="38"/>
      <c r="K20" s="11"/>
      <c r="L20" s="11"/>
      <c r="M20" s="13"/>
    </row>
    <row r="21" spans="1:13" s="1" customFormat="1" ht="14.1" customHeight="1">
      <c r="A21" s="14">
        <v>10</v>
      </c>
      <c r="B21" s="45" t="s">
        <v>170</v>
      </c>
      <c r="C21" s="46"/>
      <c r="D21" s="48"/>
      <c r="E21" s="48"/>
      <c r="F21" s="48"/>
      <c r="G21" s="48"/>
      <c r="H21" s="10">
        <f>SUM(I21)-0.7</f>
        <v>12.100000000000001</v>
      </c>
      <c r="I21" s="10">
        <f>SUM(J21)-0.7</f>
        <v>12.8</v>
      </c>
      <c r="J21" s="22">
        <v>13.5</v>
      </c>
      <c r="K21" s="117">
        <f>SUM(J21)+0.7</f>
        <v>14.2</v>
      </c>
      <c r="L21" s="117">
        <f t="shared" ref="L21:M21" si="5">SUM(K21)+0.7</f>
        <v>14.899999999999999</v>
      </c>
      <c r="M21" s="119">
        <f t="shared" si="5"/>
        <v>15.599999999999998</v>
      </c>
    </row>
    <row r="22" spans="1:13" s="1" customFormat="1" ht="14.1" customHeight="1">
      <c r="A22" s="14"/>
      <c r="B22" s="130" t="s">
        <v>171</v>
      </c>
      <c r="C22" s="130"/>
      <c r="D22" s="61"/>
      <c r="E22" s="62"/>
      <c r="F22" s="62"/>
      <c r="G22" s="63"/>
      <c r="H22" s="64"/>
      <c r="I22" s="64"/>
      <c r="J22" s="28"/>
      <c r="K22" s="10"/>
      <c r="L22" s="10"/>
      <c r="M22" s="12"/>
    </row>
    <row r="23" spans="1:13" s="1" customFormat="1" ht="14.1" customHeight="1">
      <c r="A23" s="14">
        <v>11</v>
      </c>
      <c r="B23" s="51" t="s">
        <v>4</v>
      </c>
      <c r="C23" s="51"/>
      <c r="D23" s="52" t="s">
        <v>5</v>
      </c>
      <c r="E23" s="52"/>
      <c r="F23" s="52"/>
      <c r="G23" s="52"/>
      <c r="H23" s="10">
        <f>SUM(I23)-1.2</f>
        <v>10.600000000000001</v>
      </c>
      <c r="I23" s="10">
        <f>SUM(J23)-1.2</f>
        <v>11.8</v>
      </c>
      <c r="J23" s="28">
        <v>13</v>
      </c>
      <c r="K23" s="10">
        <f>SUM(J23)+1.3</f>
        <v>14.3</v>
      </c>
      <c r="L23" s="10">
        <f t="shared" ref="L23:M23" si="6">SUM(K23)+1.3</f>
        <v>15.600000000000001</v>
      </c>
      <c r="M23" s="12">
        <f t="shared" si="6"/>
        <v>16.900000000000002</v>
      </c>
    </row>
    <row r="24" spans="1:13" s="1" customFormat="1" ht="14.1" customHeight="1">
      <c r="A24" s="14"/>
      <c r="B24" s="50" t="s">
        <v>87</v>
      </c>
      <c r="C24" s="50"/>
      <c r="D24" s="41" t="s">
        <v>25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3" s="1" customFormat="1" ht="14.1" customHeight="1">
      <c r="A25" s="14">
        <v>12</v>
      </c>
      <c r="B25" s="51" t="s">
        <v>6</v>
      </c>
      <c r="C25" s="51"/>
      <c r="D25" s="47" t="s">
        <v>7</v>
      </c>
      <c r="E25" s="48"/>
      <c r="F25" s="48"/>
      <c r="G25" s="49"/>
      <c r="H25" s="10"/>
      <c r="I25" s="10"/>
      <c r="J25" s="28"/>
      <c r="K25" s="10"/>
      <c r="L25" s="10"/>
      <c r="M25" s="12"/>
    </row>
    <row r="26" spans="1:13" s="1" customFormat="1" ht="14.1" customHeight="1">
      <c r="A26" s="14"/>
      <c r="B26" s="50" t="s">
        <v>13</v>
      </c>
      <c r="C26" s="50"/>
      <c r="D26" s="41" t="s">
        <v>34</v>
      </c>
      <c r="E26" s="42"/>
      <c r="F26" s="42"/>
      <c r="G26" s="43"/>
      <c r="H26" s="11"/>
      <c r="I26" s="11"/>
      <c r="J26" s="38"/>
      <c r="K26" s="11"/>
      <c r="L26" s="11"/>
      <c r="M26" s="13"/>
    </row>
    <row r="27" spans="1:13" ht="14.1" customHeight="1">
      <c r="A27" s="14">
        <v>13</v>
      </c>
      <c r="B27" s="45" t="s">
        <v>102</v>
      </c>
      <c r="C27" s="46"/>
      <c r="D27" s="52" t="s">
        <v>51</v>
      </c>
      <c r="E27" s="52"/>
      <c r="F27" s="52"/>
      <c r="G27" s="52"/>
      <c r="H27" s="10">
        <f>SUM(I27)-2.8</f>
        <v>44.000000000000007</v>
      </c>
      <c r="I27" s="10">
        <f>SUM(J27)-2.8</f>
        <v>46.800000000000004</v>
      </c>
      <c r="J27" s="28">
        <v>49.6</v>
      </c>
      <c r="K27" s="10">
        <f>SUM(J27)+2.8</f>
        <v>52.4</v>
      </c>
      <c r="L27" s="10">
        <f t="shared" ref="L27:M27" si="7">SUM(K27)+2.8</f>
        <v>55.199999999999996</v>
      </c>
      <c r="M27" s="12">
        <f t="shared" si="7"/>
        <v>57.999999999999993</v>
      </c>
    </row>
    <row r="28" spans="1:13" ht="14.1" customHeight="1">
      <c r="A28" s="14"/>
      <c r="B28" s="50" t="s">
        <v>52</v>
      </c>
      <c r="C28" s="50"/>
      <c r="D28" s="41" t="s">
        <v>176</v>
      </c>
      <c r="E28" s="42"/>
      <c r="F28" s="42"/>
      <c r="G28" s="43"/>
      <c r="H28" s="11"/>
      <c r="I28" s="11"/>
      <c r="J28" s="38"/>
      <c r="K28" s="11"/>
      <c r="L28" s="11"/>
      <c r="M28" s="13"/>
    </row>
    <row r="29" spans="1:13" ht="14.1" customHeight="1">
      <c r="A29" s="14">
        <v>14</v>
      </c>
      <c r="B29" s="45" t="s">
        <v>119</v>
      </c>
      <c r="C29" s="46"/>
      <c r="D29" s="47"/>
      <c r="E29" s="48"/>
      <c r="F29" s="48"/>
      <c r="G29" s="49"/>
      <c r="H29" s="10">
        <f>SUM(I29)-1.4</f>
        <v>14.2</v>
      </c>
      <c r="I29" s="10">
        <f>SUM(J29)-1.4</f>
        <v>15.6</v>
      </c>
      <c r="J29" s="28">
        <v>17</v>
      </c>
      <c r="K29" s="10">
        <f>SUM(J29)+1.4</f>
        <v>18.399999999999999</v>
      </c>
      <c r="L29" s="10">
        <f t="shared" ref="L29:M29" si="8">SUM(K29)+1.4</f>
        <v>19.799999999999997</v>
      </c>
      <c r="M29" s="12">
        <f t="shared" si="8"/>
        <v>21.199999999999996</v>
      </c>
    </row>
    <row r="30" spans="1:13" ht="14.1" customHeight="1">
      <c r="A30" s="14"/>
      <c r="B30" s="39" t="s">
        <v>50</v>
      </c>
      <c r="C30" s="40"/>
      <c r="D30" s="41"/>
      <c r="E30" s="42"/>
      <c r="F30" s="42"/>
      <c r="G30" s="43"/>
      <c r="H30" s="11"/>
      <c r="I30" s="11"/>
      <c r="J30" s="38"/>
      <c r="K30" s="11"/>
      <c r="L30" s="11"/>
      <c r="M30" s="13"/>
    </row>
    <row r="31" spans="1:13" ht="14.1" customHeight="1">
      <c r="A31" s="36">
        <v>15</v>
      </c>
      <c r="B31" s="45"/>
      <c r="C31" s="46"/>
      <c r="D31" s="47"/>
      <c r="E31" s="48"/>
      <c r="F31" s="48"/>
      <c r="G31" s="49"/>
      <c r="H31" s="10"/>
      <c r="I31" s="10"/>
      <c r="J31" s="28"/>
      <c r="K31" s="10"/>
      <c r="L31" s="10"/>
      <c r="M31" s="12"/>
    </row>
    <row r="32" spans="1:13" ht="14.1" customHeight="1">
      <c r="A32" s="37"/>
      <c r="B32" s="39"/>
      <c r="C32" s="40"/>
      <c r="D32" s="41"/>
      <c r="E32" s="42"/>
      <c r="F32" s="42"/>
      <c r="G32" s="43"/>
      <c r="H32" s="11"/>
      <c r="I32" s="11"/>
      <c r="J32" s="38"/>
      <c r="K32" s="11"/>
      <c r="L32" s="11"/>
      <c r="M32" s="13"/>
    </row>
    <row r="33" spans="1:13" ht="14.1" customHeight="1">
      <c r="A33" s="14">
        <v>16</v>
      </c>
      <c r="B33" s="16"/>
      <c r="C33" s="17"/>
      <c r="D33" s="18"/>
      <c r="E33" s="19"/>
      <c r="F33" s="19"/>
      <c r="G33" s="20"/>
      <c r="H33" s="10"/>
      <c r="I33" s="10"/>
      <c r="J33" s="22"/>
      <c r="K33" s="10"/>
      <c r="L33" s="10"/>
      <c r="M33" s="12"/>
    </row>
    <row r="34" spans="1:13" ht="14.1" customHeight="1">
      <c r="A34" s="14"/>
      <c r="B34" s="23"/>
      <c r="C34" s="24"/>
      <c r="D34" s="25"/>
      <c r="E34" s="26"/>
      <c r="F34" s="26"/>
      <c r="G34" s="27"/>
      <c r="H34" s="11"/>
      <c r="I34" s="11"/>
      <c r="J34" s="22"/>
      <c r="K34" s="11"/>
      <c r="L34" s="11"/>
      <c r="M34" s="13"/>
    </row>
    <row r="35" spans="1:13" ht="14.1" customHeight="1">
      <c r="A35" s="14">
        <v>17</v>
      </c>
      <c r="B35" s="16"/>
      <c r="C35" s="17"/>
      <c r="D35" s="18"/>
      <c r="E35" s="19"/>
      <c r="F35" s="19"/>
      <c r="G35" s="20"/>
      <c r="H35" s="10"/>
      <c r="I35" s="10"/>
      <c r="J35" s="28"/>
      <c r="K35" s="10"/>
      <c r="L35" s="10"/>
      <c r="M35" s="12"/>
    </row>
    <row r="36" spans="1:13" ht="14.1" customHeight="1" thickBot="1">
      <c r="A36" s="15"/>
      <c r="B36" s="31"/>
      <c r="C36" s="32"/>
      <c r="D36" s="33"/>
      <c r="E36" s="34"/>
      <c r="F36" s="34"/>
      <c r="G36" s="35"/>
      <c r="H36" s="21"/>
      <c r="I36" s="21"/>
      <c r="J36" s="29"/>
      <c r="K36" s="21"/>
      <c r="L36" s="21"/>
      <c r="M36" s="3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</mergeCells>
  <phoneticPr fontId="8" type="noConversion"/>
  <printOptions horizontalCentered="1"/>
  <pageMargins left="0" right="1.0416666666666666E-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450B-E53C-4D1A-AEC4-24818779986B}">
  <sheetPr>
    <tabColor rgb="FF00B0F0"/>
    <pageSetUpPr fitToPage="1"/>
  </sheetPr>
  <dimension ref="A1:P54"/>
  <sheetViews>
    <sheetView topLeftCell="A10" zoomScale="110" zoomScaleNormal="110" workbookViewId="0">
      <selection activeCell="O29" sqref="O2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55" t="s">
        <v>173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ht="16.5" customHeight="1" thickBot="1">
      <c r="A2" s="6" t="s">
        <v>26</v>
      </c>
      <c r="B2" s="58" t="s">
        <v>27</v>
      </c>
      <c r="C2" s="58"/>
      <c r="D2" s="58" t="s">
        <v>28</v>
      </c>
      <c r="E2" s="58"/>
      <c r="F2" s="58"/>
      <c r="G2" s="58"/>
      <c r="H2" s="2" t="s">
        <v>29</v>
      </c>
      <c r="I2" s="2" t="s">
        <v>30</v>
      </c>
      <c r="J2" s="3" t="s">
        <v>31</v>
      </c>
      <c r="K2" s="2" t="s">
        <v>32</v>
      </c>
      <c r="L2" s="2" t="s">
        <v>100</v>
      </c>
      <c r="M2" s="2" t="s">
        <v>99</v>
      </c>
    </row>
    <row r="3" spans="1:13" s="1" customFormat="1" ht="14.1" customHeight="1">
      <c r="A3" s="126">
        <v>1</v>
      </c>
      <c r="B3" s="59" t="s">
        <v>42</v>
      </c>
      <c r="C3" s="60"/>
      <c r="D3" s="61" t="s">
        <v>43</v>
      </c>
      <c r="E3" s="62"/>
      <c r="F3" s="62"/>
      <c r="G3" s="63"/>
      <c r="H3" s="10">
        <f>SUM(I3)-3.4</f>
        <v>34.800000000000004</v>
      </c>
      <c r="I3" s="10">
        <f>SUM(J3)-3.4</f>
        <v>38.200000000000003</v>
      </c>
      <c r="J3" s="127">
        <v>41.6</v>
      </c>
      <c r="K3" s="128">
        <f>SUM(J3)+2.9</f>
        <v>44.5</v>
      </c>
      <c r="L3" s="128">
        <f>SUM(K3)+2.9</f>
        <v>47.4</v>
      </c>
      <c r="M3" s="129">
        <f>SUM(L3)+2.9</f>
        <v>50.3</v>
      </c>
    </row>
    <row r="4" spans="1:13" s="1" customFormat="1" ht="14.1" customHeight="1">
      <c r="A4" s="37"/>
      <c r="B4" s="50" t="s">
        <v>14</v>
      </c>
      <c r="C4" s="50"/>
      <c r="D4" s="41" t="s">
        <v>44</v>
      </c>
      <c r="E4" s="42"/>
      <c r="F4" s="42"/>
      <c r="G4" s="42"/>
      <c r="H4" s="11"/>
      <c r="I4" s="11"/>
      <c r="J4" s="28"/>
      <c r="K4" s="10"/>
      <c r="L4" s="10"/>
      <c r="M4" s="12"/>
    </row>
    <row r="5" spans="1:13" s="1" customFormat="1" ht="14.1" customHeight="1">
      <c r="A5" s="14">
        <v>2</v>
      </c>
      <c r="B5" s="51" t="s">
        <v>17</v>
      </c>
      <c r="C5" s="51"/>
      <c r="D5" s="52" t="s">
        <v>18</v>
      </c>
      <c r="E5" s="52"/>
      <c r="F5" s="52"/>
      <c r="G5" s="52"/>
      <c r="H5" s="10">
        <f>SUM(I5)-1.6</f>
        <v>21.999999999999996</v>
      </c>
      <c r="I5" s="10">
        <f>SUM(J5)-1.6</f>
        <v>23.599999999999998</v>
      </c>
      <c r="J5" s="28">
        <v>25.2</v>
      </c>
      <c r="K5" s="10">
        <f>SUM(J5)+1.4</f>
        <v>26.599999999999998</v>
      </c>
      <c r="L5" s="10">
        <f t="shared" ref="L5:M5" si="0">SUM(K5)+1.4</f>
        <v>27.999999999999996</v>
      </c>
      <c r="M5" s="12">
        <f t="shared" si="0"/>
        <v>29.399999999999995</v>
      </c>
    </row>
    <row r="6" spans="1:13" s="1" customFormat="1" ht="14.1" customHeight="1">
      <c r="A6" s="14"/>
      <c r="B6" s="50" t="s">
        <v>8</v>
      </c>
      <c r="C6" s="50"/>
      <c r="D6" s="41" t="s">
        <v>21</v>
      </c>
      <c r="E6" s="42"/>
      <c r="F6" s="42"/>
      <c r="G6" s="43"/>
      <c r="H6" s="11"/>
      <c r="I6" s="11"/>
      <c r="J6" s="38"/>
      <c r="K6" s="11"/>
      <c r="L6" s="11"/>
      <c r="M6" s="13"/>
    </row>
    <row r="7" spans="1:13" s="1" customFormat="1" ht="14.1" customHeight="1">
      <c r="A7" s="14">
        <v>3</v>
      </c>
      <c r="B7" s="51" t="s">
        <v>16</v>
      </c>
      <c r="C7" s="51"/>
      <c r="D7" s="52" t="s">
        <v>74</v>
      </c>
      <c r="E7" s="52"/>
      <c r="F7" s="52"/>
      <c r="G7" s="52"/>
      <c r="H7" s="10">
        <f>SUM(I7)-2.6</f>
        <v>39.5</v>
      </c>
      <c r="I7" s="10">
        <f>SUM(J7)-2.6</f>
        <v>42.1</v>
      </c>
      <c r="J7" s="28">
        <v>44.7</v>
      </c>
      <c r="K7" s="10">
        <f>SUM(J7)+2.4</f>
        <v>47.1</v>
      </c>
      <c r="L7" s="10">
        <f t="shared" ref="L7:M7" si="1">SUM(K7)+2.4</f>
        <v>49.5</v>
      </c>
      <c r="M7" s="12">
        <f t="shared" si="1"/>
        <v>51.9</v>
      </c>
    </row>
    <row r="8" spans="1:13" s="1" customFormat="1" ht="14.1" customHeight="1">
      <c r="A8" s="14"/>
      <c r="B8" s="50" t="s">
        <v>19</v>
      </c>
      <c r="C8" s="50"/>
      <c r="D8" s="41" t="s">
        <v>168</v>
      </c>
      <c r="E8" s="42"/>
      <c r="F8" s="42"/>
      <c r="G8" s="43"/>
      <c r="H8" s="11"/>
      <c r="I8" s="11"/>
      <c r="J8" s="38"/>
      <c r="K8" s="11"/>
      <c r="L8" s="11"/>
      <c r="M8" s="13"/>
    </row>
    <row r="9" spans="1:13" s="1" customFormat="1" ht="14.1" customHeight="1">
      <c r="A9" s="14">
        <v>4</v>
      </c>
      <c r="B9" s="51" t="s">
        <v>20</v>
      </c>
      <c r="C9" s="51"/>
      <c r="D9" s="52" t="s">
        <v>90</v>
      </c>
      <c r="E9" s="52"/>
      <c r="F9" s="52"/>
      <c r="G9" s="52"/>
      <c r="H9" s="10">
        <f>SUM(I9)-2.6</f>
        <v>43.9</v>
      </c>
      <c r="I9" s="10">
        <f>SUM(J9)-2.6</f>
        <v>46.5</v>
      </c>
      <c r="J9" s="28">
        <v>49.1</v>
      </c>
      <c r="K9" s="10">
        <f>SUM(J9)+2.4</f>
        <v>51.5</v>
      </c>
      <c r="L9" s="10">
        <f t="shared" ref="L9:M9" si="2">SUM(K9)+2.4</f>
        <v>53.9</v>
      </c>
      <c r="M9" s="12">
        <f t="shared" si="2"/>
        <v>56.3</v>
      </c>
    </row>
    <row r="10" spans="1:13" s="1" customFormat="1" ht="14.1" customHeight="1">
      <c r="A10" s="14"/>
      <c r="B10" s="50" t="s">
        <v>9</v>
      </c>
      <c r="C10" s="50"/>
      <c r="D10" s="41" t="s">
        <v>169</v>
      </c>
      <c r="E10" s="42"/>
      <c r="F10" s="42"/>
      <c r="G10" s="43"/>
      <c r="H10" s="11"/>
      <c r="I10" s="11"/>
      <c r="J10" s="38"/>
      <c r="K10" s="11"/>
      <c r="L10" s="11"/>
      <c r="M10" s="13"/>
    </row>
    <row r="11" spans="1:13" s="1" customFormat="1" ht="14.1" customHeight="1">
      <c r="A11" s="14">
        <v>5</v>
      </c>
      <c r="B11" s="51" t="s">
        <v>88</v>
      </c>
      <c r="C11" s="51"/>
      <c r="D11" s="52" t="s">
        <v>0</v>
      </c>
      <c r="E11" s="52"/>
      <c r="F11" s="52"/>
      <c r="G11" s="52"/>
      <c r="H11" s="51">
        <f>SUM(I11)-0.9</f>
        <v>15.199999999999998</v>
      </c>
      <c r="I11" s="51">
        <f>SUM(J11)-0.8</f>
        <v>16.099999999999998</v>
      </c>
      <c r="J11" s="125">
        <v>16.899999999999999</v>
      </c>
      <c r="K11" s="123">
        <f>SUM(J11)+0.8</f>
        <v>17.7</v>
      </c>
      <c r="L11" s="123">
        <f>SUM(K11)+0.9</f>
        <v>18.599999999999998</v>
      </c>
      <c r="M11" s="124">
        <f>SUM(L11)+0.9</f>
        <v>19.499999999999996</v>
      </c>
    </row>
    <row r="12" spans="1:13" s="1" customFormat="1" ht="14.1" customHeight="1">
      <c r="A12" s="14"/>
      <c r="B12" s="50" t="s">
        <v>10</v>
      </c>
      <c r="C12" s="50"/>
      <c r="D12" s="41" t="s">
        <v>23</v>
      </c>
      <c r="E12" s="42"/>
      <c r="F12" s="42"/>
      <c r="G12" s="43"/>
      <c r="H12" s="50"/>
      <c r="I12" s="50"/>
      <c r="J12" s="125"/>
      <c r="K12" s="123"/>
      <c r="L12" s="123"/>
      <c r="M12" s="124"/>
    </row>
    <row r="13" spans="1:13" s="1" customFormat="1" ht="14.1" customHeight="1">
      <c r="A13" s="14">
        <v>6</v>
      </c>
      <c r="B13" s="51" t="s">
        <v>1</v>
      </c>
      <c r="C13" s="51"/>
      <c r="D13" s="52" t="s">
        <v>147</v>
      </c>
      <c r="E13" s="52"/>
      <c r="F13" s="52"/>
      <c r="G13" s="52"/>
      <c r="H13" s="10">
        <f>SUM(I13)-0.6</f>
        <v>15</v>
      </c>
      <c r="I13" s="10">
        <f>SUM(J13)-0.6</f>
        <v>15.6</v>
      </c>
      <c r="J13" s="22">
        <v>16.2</v>
      </c>
      <c r="K13" s="117">
        <f>SUM(J13)+0.6</f>
        <v>16.8</v>
      </c>
      <c r="L13" s="117">
        <f>SUM(K13)+0.6</f>
        <v>17.400000000000002</v>
      </c>
      <c r="M13" s="119">
        <f>SUM(L13)+0.6</f>
        <v>18.000000000000004</v>
      </c>
    </row>
    <row r="14" spans="1:13" s="1" customFormat="1" ht="14.1" customHeight="1">
      <c r="A14" s="14"/>
      <c r="B14" s="50" t="s">
        <v>11</v>
      </c>
      <c r="C14" s="50"/>
      <c r="D14" s="41" t="s">
        <v>24</v>
      </c>
      <c r="E14" s="42"/>
      <c r="F14" s="42"/>
      <c r="G14" s="43"/>
      <c r="H14" s="11"/>
      <c r="I14" s="11"/>
      <c r="J14" s="22"/>
      <c r="K14" s="117"/>
      <c r="L14" s="117"/>
      <c r="M14" s="119"/>
    </row>
    <row r="15" spans="1:13" s="1" customFormat="1" ht="14.1" customHeight="1">
      <c r="A15" s="14">
        <v>7</v>
      </c>
      <c r="B15" s="51" t="s">
        <v>2</v>
      </c>
      <c r="C15" s="51"/>
      <c r="D15" s="52" t="s">
        <v>3</v>
      </c>
      <c r="E15" s="52"/>
      <c r="F15" s="52"/>
      <c r="G15" s="52"/>
      <c r="H15" s="10">
        <f>SUM(I15)-0.4</f>
        <v>6.7999999999999989</v>
      </c>
      <c r="I15" s="10">
        <f>SUM(J15)-0.4</f>
        <v>7.1999999999999993</v>
      </c>
      <c r="J15" s="22">
        <v>7.6</v>
      </c>
      <c r="K15" s="117">
        <f>SUM(J15)+0.4</f>
        <v>8</v>
      </c>
      <c r="L15" s="117">
        <f t="shared" ref="L15:M15" si="3">SUM(K15)+0.4</f>
        <v>8.4</v>
      </c>
      <c r="M15" s="119">
        <f t="shared" si="3"/>
        <v>8.8000000000000007</v>
      </c>
    </row>
    <row r="16" spans="1:13" s="1" customFormat="1" ht="14.1" customHeight="1">
      <c r="A16" s="14"/>
      <c r="B16" s="50" t="s">
        <v>12</v>
      </c>
      <c r="C16" s="50"/>
      <c r="D16" s="41" t="s">
        <v>35</v>
      </c>
      <c r="E16" s="42"/>
      <c r="F16" s="42"/>
      <c r="G16" s="43"/>
      <c r="H16" s="11"/>
      <c r="I16" s="11"/>
      <c r="J16" s="22"/>
      <c r="K16" s="117"/>
      <c r="L16" s="117"/>
      <c r="M16" s="119"/>
    </row>
    <row r="17" spans="1:16" s="1" customFormat="1" ht="14.1" customHeight="1" thickBot="1">
      <c r="A17" s="14">
        <v>8</v>
      </c>
      <c r="B17" s="45" t="s">
        <v>39</v>
      </c>
      <c r="C17" s="46"/>
      <c r="D17" s="47" t="s">
        <v>45</v>
      </c>
      <c r="E17" s="48"/>
      <c r="F17" s="48"/>
      <c r="G17" s="49"/>
      <c r="H17" s="10"/>
      <c r="I17" s="10"/>
      <c r="J17" s="22"/>
      <c r="K17" s="117"/>
      <c r="L17" s="117"/>
      <c r="M17" s="119"/>
    </row>
    <row r="18" spans="1:16" s="1" customFormat="1" ht="14.1" customHeight="1">
      <c r="A18" s="14"/>
      <c r="B18" s="50" t="s">
        <v>15</v>
      </c>
      <c r="C18" s="50"/>
      <c r="D18" s="41" t="s">
        <v>46</v>
      </c>
      <c r="E18" s="42"/>
      <c r="F18" s="42"/>
      <c r="G18" s="43"/>
      <c r="H18" s="11"/>
      <c r="I18" s="11"/>
      <c r="J18" s="22"/>
      <c r="K18" s="117"/>
      <c r="L18" s="117"/>
      <c r="M18" s="119"/>
      <c r="P18" s="7" t="s">
        <v>174</v>
      </c>
    </row>
    <row r="19" spans="1:16" s="1" customFormat="1" ht="14.1" customHeight="1">
      <c r="A19" s="14">
        <v>9</v>
      </c>
      <c r="B19" s="51" t="s">
        <v>4</v>
      </c>
      <c r="C19" s="51"/>
      <c r="D19" s="52" t="s">
        <v>5</v>
      </c>
      <c r="E19" s="52"/>
      <c r="F19" s="52"/>
      <c r="G19" s="52"/>
      <c r="H19" s="10">
        <f>SUM(I19)-0.2</f>
        <v>3.0999999999999996</v>
      </c>
      <c r="I19" s="10">
        <f>SUM(J19)-0.2</f>
        <v>3.3</v>
      </c>
      <c r="J19" s="28">
        <v>3.5</v>
      </c>
      <c r="K19" s="10">
        <f>SUM(J19)+0.2</f>
        <v>3.7</v>
      </c>
      <c r="L19" s="10">
        <f t="shared" ref="L19:M19" si="4">SUM(K19)+0.2</f>
        <v>3.9000000000000004</v>
      </c>
      <c r="M19" s="12">
        <f t="shared" si="4"/>
        <v>4.1000000000000005</v>
      </c>
      <c r="P19" s="8">
        <f>SUM(H25+I25+J25+K25+L25+M25)</f>
        <v>70.8</v>
      </c>
    </row>
    <row r="20" spans="1:16" s="1" customFormat="1" ht="14.1" customHeight="1" thickBot="1">
      <c r="A20" s="14"/>
      <c r="B20" s="50" t="s">
        <v>87</v>
      </c>
      <c r="C20" s="50"/>
      <c r="D20" s="41" t="s">
        <v>25</v>
      </c>
      <c r="E20" s="42"/>
      <c r="F20" s="42"/>
      <c r="G20" s="43"/>
      <c r="H20" s="11"/>
      <c r="I20" s="11"/>
      <c r="J20" s="38"/>
      <c r="K20" s="11"/>
      <c r="L20" s="11"/>
      <c r="M20" s="13"/>
      <c r="P20" s="9">
        <f>SUM(P19/91.44/6*1.08)</f>
        <v>0.13937007874015747</v>
      </c>
    </row>
    <row r="21" spans="1:16" s="1" customFormat="1" ht="14.1" customHeight="1">
      <c r="A21" s="14">
        <v>10</v>
      </c>
      <c r="B21" s="51" t="s">
        <v>6</v>
      </c>
      <c r="C21" s="51"/>
      <c r="D21" s="47" t="s">
        <v>7</v>
      </c>
      <c r="E21" s="48"/>
      <c r="F21" s="48"/>
      <c r="G21" s="49"/>
      <c r="H21" s="10"/>
      <c r="I21" s="10"/>
      <c r="J21" s="28"/>
      <c r="K21" s="10"/>
      <c r="L21" s="10"/>
      <c r="M21" s="12"/>
    </row>
    <row r="22" spans="1:16" s="1" customFormat="1" ht="14.1" customHeight="1">
      <c r="A22" s="14"/>
      <c r="B22" s="50" t="s">
        <v>13</v>
      </c>
      <c r="C22" s="50"/>
      <c r="D22" s="41" t="s">
        <v>34</v>
      </c>
      <c r="E22" s="42"/>
      <c r="F22" s="42"/>
      <c r="G22" s="43"/>
      <c r="H22" s="11"/>
      <c r="I22" s="11"/>
      <c r="J22" s="38"/>
      <c r="K22" s="11"/>
      <c r="L22" s="11"/>
      <c r="M22" s="13"/>
    </row>
    <row r="23" spans="1:16" s="1" customFormat="1" ht="14.1" customHeight="1">
      <c r="A23" s="14">
        <v>11</v>
      </c>
      <c r="B23" s="45" t="s">
        <v>86</v>
      </c>
      <c r="C23" s="46"/>
      <c r="D23" s="52" t="s">
        <v>51</v>
      </c>
      <c r="E23" s="52"/>
      <c r="F23" s="52"/>
      <c r="G23" s="52"/>
      <c r="H23" s="10"/>
      <c r="I23" s="10"/>
      <c r="J23" s="28"/>
      <c r="K23" s="10"/>
      <c r="L23" s="10"/>
      <c r="M23" s="12"/>
    </row>
    <row r="24" spans="1:16" s="1" customFormat="1" ht="14.1" customHeight="1">
      <c r="A24" s="14"/>
      <c r="B24" s="50" t="s">
        <v>52</v>
      </c>
      <c r="C24" s="50"/>
      <c r="D24" s="41" t="s">
        <v>53</v>
      </c>
      <c r="E24" s="42"/>
      <c r="F24" s="42"/>
      <c r="G24" s="43"/>
      <c r="H24" s="11"/>
      <c r="I24" s="11"/>
      <c r="J24" s="38"/>
      <c r="K24" s="11"/>
      <c r="L24" s="11"/>
      <c r="M24" s="13"/>
    </row>
    <row r="25" spans="1:16" s="1" customFormat="1" ht="14.1" customHeight="1">
      <c r="A25" s="14">
        <v>12</v>
      </c>
      <c r="B25" s="45" t="s">
        <v>170</v>
      </c>
      <c r="C25" s="46"/>
      <c r="D25" s="48"/>
      <c r="E25" s="48"/>
      <c r="F25" s="48"/>
      <c r="G25" s="48"/>
      <c r="H25" s="10">
        <f>SUM(I25)-0.6</f>
        <v>10.3</v>
      </c>
      <c r="I25" s="10">
        <f>SUM(J25)-0.6</f>
        <v>10.9</v>
      </c>
      <c r="J25" s="22">
        <v>11.5</v>
      </c>
      <c r="K25" s="117">
        <f>SUM(J25)+0.6</f>
        <v>12.1</v>
      </c>
      <c r="L25" s="117">
        <f t="shared" ref="L25:M25" si="5">SUM(K25)+0.6</f>
        <v>12.7</v>
      </c>
      <c r="M25" s="119">
        <f t="shared" si="5"/>
        <v>13.299999999999999</v>
      </c>
    </row>
    <row r="26" spans="1:16" s="1" customFormat="1" ht="14.1" customHeight="1" thickBot="1">
      <c r="A26" s="77"/>
      <c r="B26" s="85" t="s">
        <v>171</v>
      </c>
      <c r="C26" s="85"/>
      <c r="D26" s="86"/>
      <c r="E26" s="87"/>
      <c r="F26" s="87"/>
      <c r="G26" s="88"/>
      <c r="H26" s="122"/>
      <c r="I26" s="122"/>
      <c r="J26" s="121"/>
      <c r="K26" s="118"/>
      <c r="L26" s="118"/>
      <c r="M26" s="120"/>
    </row>
    <row r="27" spans="1:16" s="1" customFormat="1" ht="14.1" customHeight="1" thickTop="1">
      <c r="A27" s="37">
        <v>13</v>
      </c>
      <c r="B27" s="59" t="s">
        <v>85</v>
      </c>
      <c r="C27" s="60"/>
      <c r="D27" s="61" t="s">
        <v>84</v>
      </c>
      <c r="E27" s="62"/>
      <c r="F27" s="62"/>
      <c r="G27" s="63"/>
      <c r="H27" s="64">
        <f>SUM(I27)-3</f>
        <v>43</v>
      </c>
      <c r="I27" s="64">
        <f>SUM(J27)-3</f>
        <v>46</v>
      </c>
      <c r="J27" s="67">
        <v>49</v>
      </c>
      <c r="K27" s="64">
        <f>SUM(J27)+3</f>
        <v>52</v>
      </c>
      <c r="L27" s="64">
        <f t="shared" ref="L27:M27" si="6">SUM(K27)+3</f>
        <v>55</v>
      </c>
      <c r="M27" s="65">
        <f t="shared" si="6"/>
        <v>58</v>
      </c>
    </row>
    <row r="28" spans="1:16" s="1" customFormat="1" ht="14.1" customHeight="1">
      <c r="A28" s="14"/>
      <c r="B28" s="80" t="s">
        <v>83</v>
      </c>
      <c r="C28" s="81"/>
      <c r="D28" s="82" t="s">
        <v>82</v>
      </c>
      <c r="E28" s="83"/>
      <c r="F28" s="83"/>
      <c r="G28" s="84"/>
      <c r="H28" s="11"/>
      <c r="I28" s="11"/>
      <c r="J28" s="38"/>
      <c r="K28" s="11"/>
      <c r="L28" s="11"/>
      <c r="M28" s="13"/>
    </row>
    <row r="29" spans="1:16" s="1" customFormat="1" ht="14.1" customHeight="1">
      <c r="A29" s="14">
        <v>14</v>
      </c>
      <c r="B29" s="45" t="s">
        <v>93</v>
      </c>
      <c r="C29" s="46"/>
      <c r="D29" s="61"/>
      <c r="E29" s="62"/>
      <c r="F29" s="62"/>
      <c r="G29" s="63"/>
      <c r="H29" s="10">
        <f>SUM(I29)-4.5</f>
        <v>63</v>
      </c>
      <c r="I29" s="10">
        <f>SUM(J29)-4.5</f>
        <v>67.5</v>
      </c>
      <c r="J29" s="67">
        <v>72</v>
      </c>
      <c r="K29" s="64">
        <f>SUM(J29)+4.5</f>
        <v>76.5</v>
      </c>
      <c r="L29" s="64">
        <f t="shared" ref="L29:M29" si="7">SUM(K29)+4.5</f>
        <v>81</v>
      </c>
      <c r="M29" s="65">
        <f t="shared" si="7"/>
        <v>85.5</v>
      </c>
    </row>
    <row r="30" spans="1:16" s="1" customFormat="1" ht="14.1" customHeight="1">
      <c r="A30" s="14"/>
      <c r="B30" s="80" t="s">
        <v>155</v>
      </c>
      <c r="C30" s="81"/>
      <c r="D30" s="82"/>
      <c r="E30" s="83"/>
      <c r="F30" s="83"/>
      <c r="G30" s="84"/>
      <c r="H30" s="11"/>
      <c r="I30" s="11"/>
      <c r="J30" s="38"/>
      <c r="K30" s="11"/>
      <c r="L30" s="11"/>
      <c r="M30" s="13"/>
    </row>
    <row r="31" spans="1:16" s="1" customFormat="1" ht="14.1" customHeight="1">
      <c r="A31" s="14">
        <v>15</v>
      </c>
      <c r="B31" s="45" t="s">
        <v>81</v>
      </c>
      <c r="C31" s="46"/>
      <c r="D31" s="47" t="s">
        <v>156</v>
      </c>
      <c r="E31" s="48"/>
      <c r="F31" s="48"/>
      <c r="G31" s="49"/>
      <c r="H31" s="10">
        <f>SUM(I31)-5</f>
        <v>69.5</v>
      </c>
      <c r="I31" s="10">
        <f>SUM(J31)-5</f>
        <v>74.5</v>
      </c>
      <c r="J31" s="28">
        <v>79.5</v>
      </c>
      <c r="K31" s="10">
        <f>SUM(J31)+5</f>
        <v>84.5</v>
      </c>
      <c r="L31" s="10">
        <f t="shared" ref="L31:M31" si="8">SUM(K31)+5</f>
        <v>89.5</v>
      </c>
      <c r="M31" s="12">
        <f t="shared" si="8"/>
        <v>94.5</v>
      </c>
    </row>
    <row r="32" spans="1:16" s="1" customFormat="1" ht="14.1" customHeight="1">
      <c r="A32" s="14"/>
      <c r="B32" s="80" t="s">
        <v>79</v>
      </c>
      <c r="C32" s="81"/>
      <c r="D32" s="82" t="s">
        <v>78</v>
      </c>
      <c r="E32" s="83"/>
      <c r="F32" s="83"/>
      <c r="G32" s="84"/>
      <c r="H32" s="11"/>
      <c r="I32" s="11"/>
      <c r="J32" s="38"/>
      <c r="K32" s="11"/>
      <c r="L32" s="11"/>
      <c r="M32" s="13"/>
    </row>
    <row r="33" spans="1:13" s="1" customFormat="1" ht="14.1" customHeight="1">
      <c r="A33" s="14">
        <v>16</v>
      </c>
      <c r="B33" s="45" t="s">
        <v>77</v>
      </c>
      <c r="C33" s="46"/>
      <c r="D33" s="47"/>
      <c r="E33" s="48"/>
      <c r="F33" s="48"/>
      <c r="G33" s="49"/>
      <c r="H33" s="51">
        <f>SUM(I33)-0.7</f>
        <v>11.100000000000001</v>
      </c>
      <c r="I33" s="10">
        <f>SUM(J33)-0.7</f>
        <v>11.8</v>
      </c>
      <c r="J33" s="28">
        <v>12.5</v>
      </c>
      <c r="K33" s="10">
        <f>SUM(J33)+1.2</f>
        <v>13.7</v>
      </c>
      <c r="L33" s="10">
        <f>SUM(K33)+0.7</f>
        <v>14.399999999999999</v>
      </c>
      <c r="M33" s="53">
        <f>SUM(L33)+0.7</f>
        <v>15.099999999999998</v>
      </c>
    </row>
    <row r="34" spans="1:13" s="1" customFormat="1" ht="14.1" customHeight="1">
      <c r="A34" s="14"/>
      <c r="B34" s="80" t="s">
        <v>76</v>
      </c>
      <c r="C34" s="81"/>
      <c r="D34" s="114" t="s">
        <v>157</v>
      </c>
      <c r="E34" s="115"/>
      <c r="F34" s="115"/>
      <c r="G34" s="116"/>
      <c r="H34" s="50"/>
      <c r="I34" s="11"/>
      <c r="J34" s="38"/>
      <c r="K34" s="11"/>
      <c r="L34" s="11"/>
      <c r="M34" s="54"/>
    </row>
    <row r="35" spans="1:13" s="1" customFormat="1" ht="14.1" customHeight="1">
      <c r="A35" s="14">
        <v>17</v>
      </c>
      <c r="B35" s="45" t="s">
        <v>75</v>
      </c>
      <c r="C35" s="46"/>
      <c r="D35" s="47" t="s">
        <v>74</v>
      </c>
      <c r="E35" s="48"/>
      <c r="F35" s="48"/>
      <c r="G35" s="49"/>
      <c r="H35" s="10">
        <f>SUM(I35)-3.5</f>
        <v>29.700000000000003</v>
      </c>
      <c r="I35" s="10">
        <f>SUM(J35)-3.5</f>
        <v>33.200000000000003</v>
      </c>
      <c r="J35" s="28">
        <v>36.700000000000003</v>
      </c>
      <c r="K35" s="10">
        <f>SUM(J35)+3</f>
        <v>39.700000000000003</v>
      </c>
      <c r="L35" s="10">
        <f t="shared" ref="L35:M35" si="9">SUM(K35)+3</f>
        <v>42.7</v>
      </c>
      <c r="M35" s="12">
        <f t="shared" si="9"/>
        <v>45.7</v>
      </c>
    </row>
    <row r="36" spans="1:13" s="1" customFormat="1" ht="14.1" customHeight="1">
      <c r="A36" s="14"/>
      <c r="B36" s="80" t="s">
        <v>73</v>
      </c>
      <c r="C36" s="81"/>
      <c r="D36" s="82" t="s">
        <v>72</v>
      </c>
      <c r="E36" s="83"/>
      <c r="F36" s="83"/>
      <c r="G36" s="84"/>
      <c r="H36" s="11"/>
      <c r="I36" s="11"/>
      <c r="J36" s="38"/>
      <c r="K36" s="11"/>
      <c r="L36" s="11"/>
      <c r="M36" s="13"/>
    </row>
    <row r="37" spans="1:13" s="1" customFormat="1" ht="14.1" customHeight="1">
      <c r="A37" s="14">
        <v>18</v>
      </c>
      <c r="B37" s="45" t="s">
        <v>71</v>
      </c>
      <c r="C37" s="46"/>
      <c r="D37" s="47" t="s">
        <v>70</v>
      </c>
      <c r="E37" s="48"/>
      <c r="F37" s="48"/>
      <c r="G37" s="49"/>
      <c r="H37" s="10">
        <f>SUM(I37)-2.6</f>
        <v>46.199999999999996</v>
      </c>
      <c r="I37" s="10">
        <f>SUM(J37)-2.6</f>
        <v>48.8</v>
      </c>
      <c r="J37" s="28">
        <v>51.4</v>
      </c>
      <c r="K37" s="10">
        <f>SUM(J37)+2.6</f>
        <v>54</v>
      </c>
      <c r="L37" s="10">
        <f t="shared" ref="L37:M37" si="10">SUM(K37)+2.6</f>
        <v>56.6</v>
      </c>
      <c r="M37" s="12">
        <f t="shared" si="10"/>
        <v>59.2</v>
      </c>
    </row>
    <row r="38" spans="1:13" s="1" customFormat="1" ht="14.1" customHeight="1">
      <c r="A38" s="14"/>
      <c r="B38" s="80" t="s">
        <v>69</v>
      </c>
      <c r="C38" s="81"/>
      <c r="D38" s="41" t="s">
        <v>172</v>
      </c>
      <c r="E38" s="42"/>
      <c r="F38" s="42"/>
      <c r="G38" s="43"/>
      <c r="H38" s="11"/>
      <c r="I38" s="11"/>
      <c r="J38" s="38"/>
      <c r="K38" s="11"/>
      <c r="L38" s="11"/>
      <c r="M38" s="13"/>
    </row>
    <row r="39" spans="1:13" s="1" customFormat="1" ht="14.1" customHeight="1">
      <c r="A39" s="14">
        <v>19</v>
      </c>
      <c r="B39" s="45" t="s">
        <v>67</v>
      </c>
      <c r="C39" s="46"/>
      <c r="D39" s="47" t="s">
        <v>64</v>
      </c>
      <c r="E39" s="48"/>
      <c r="F39" s="48"/>
      <c r="G39" s="49"/>
      <c r="H39" s="51">
        <f>SUM(I39)-1.1</f>
        <v>20.099999999999998</v>
      </c>
      <c r="I39" s="10">
        <f>SUM(J39)-1.1</f>
        <v>21.2</v>
      </c>
      <c r="J39" s="28">
        <v>22.3</v>
      </c>
      <c r="K39" s="10">
        <f>SUM(J39)+1.6</f>
        <v>23.900000000000002</v>
      </c>
      <c r="L39" s="10">
        <f>SUM(K39)+1.1</f>
        <v>25.000000000000004</v>
      </c>
      <c r="M39" s="53">
        <f>SUM(L39)+1.1</f>
        <v>26.100000000000005</v>
      </c>
    </row>
    <row r="40" spans="1:13" s="1" customFormat="1" ht="14.1" customHeight="1">
      <c r="A40" s="14"/>
      <c r="B40" s="80" t="s">
        <v>66</v>
      </c>
      <c r="C40" s="81"/>
      <c r="D40" s="82" t="s">
        <v>62</v>
      </c>
      <c r="E40" s="83"/>
      <c r="F40" s="83"/>
      <c r="G40" s="84"/>
      <c r="H40" s="50"/>
      <c r="I40" s="11"/>
      <c r="J40" s="38"/>
      <c r="K40" s="11"/>
      <c r="L40" s="11"/>
      <c r="M40" s="54"/>
    </row>
    <row r="41" spans="1:13" s="1" customFormat="1" ht="14.1" customHeight="1">
      <c r="A41" s="14">
        <v>20</v>
      </c>
      <c r="B41" s="45" t="s">
        <v>65</v>
      </c>
      <c r="C41" s="46"/>
      <c r="D41" s="47" t="s">
        <v>64</v>
      </c>
      <c r="E41" s="48"/>
      <c r="F41" s="48"/>
      <c r="G41" s="49"/>
      <c r="H41" s="51">
        <f>SUM(I41)-1.3</f>
        <v>25.7</v>
      </c>
      <c r="I41" s="10">
        <f>SUM(J41)-1.3</f>
        <v>27</v>
      </c>
      <c r="J41" s="28">
        <v>28.3</v>
      </c>
      <c r="K41" s="10">
        <f>SUM(J41)+1.8</f>
        <v>30.1</v>
      </c>
      <c r="L41" s="10">
        <f>SUM(K41)+1.3</f>
        <v>31.400000000000002</v>
      </c>
      <c r="M41" s="53">
        <f>SUM(L41)+1.3</f>
        <v>32.700000000000003</v>
      </c>
    </row>
    <row r="42" spans="1:13" s="1" customFormat="1" ht="14.1" customHeight="1">
      <c r="A42" s="14"/>
      <c r="B42" s="80" t="s">
        <v>63</v>
      </c>
      <c r="C42" s="81"/>
      <c r="D42" s="82" t="s">
        <v>62</v>
      </c>
      <c r="E42" s="83"/>
      <c r="F42" s="83"/>
      <c r="G42" s="84"/>
      <c r="H42" s="50"/>
      <c r="I42" s="11"/>
      <c r="J42" s="38"/>
      <c r="K42" s="11"/>
      <c r="L42" s="11"/>
      <c r="M42" s="54"/>
    </row>
    <row r="43" spans="1:13" s="1" customFormat="1" ht="14.1" customHeight="1">
      <c r="A43" s="14">
        <v>21</v>
      </c>
      <c r="B43" s="45" t="s">
        <v>61</v>
      </c>
      <c r="C43" s="46"/>
      <c r="D43" s="47" t="s">
        <v>60</v>
      </c>
      <c r="E43" s="48"/>
      <c r="F43" s="48"/>
      <c r="G43" s="49"/>
      <c r="H43" s="10">
        <f>SUM(I43)-3</f>
        <v>46.7</v>
      </c>
      <c r="I43" s="10">
        <f>SUM(J43)-3</f>
        <v>49.7</v>
      </c>
      <c r="J43" s="28">
        <v>52.7</v>
      </c>
      <c r="K43" s="10">
        <f>SUM(J43)+3</f>
        <v>55.7</v>
      </c>
      <c r="L43" s="10">
        <f t="shared" ref="L43:M43" si="11">SUM(K43)+3</f>
        <v>58.7</v>
      </c>
      <c r="M43" s="12">
        <f t="shared" si="11"/>
        <v>61.7</v>
      </c>
    </row>
    <row r="44" spans="1:13" s="1" customFormat="1" ht="14.1" customHeight="1">
      <c r="A44" s="14"/>
      <c r="B44" s="80" t="s">
        <v>59</v>
      </c>
      <c r="C44" s="81"/>
      <c r="D44" s="82" t="s">
        <v>58</v>
      </c>
      <c r="E44" s="83"/>
      <c r="F44" s="83"/>
      <c r="G44" s="84"/>
      <c r="H44" s="11"/>
      <c r="I44" s="11"/>
      <c r="J44" s="38"/>
      <c r="K44" s="11"/>
      <c r="L44" s="11"/>
      <c r="M44" s="13"/>
    </row>
    <row r="45" spans="1:13" s="1" customFormat="1" ht="14.1" customHeight="1">
      <c r="A45" s="14">
        <v>22</v>
      </c>
      <c r="B45" s="45" t="s">
        <v>57</v>
      </c>
      <c r="C45" s="46"/>
      <c r="D45" s="47" t="s">
        <v>56</v>
      </c>
      <c r="E45" s="48"/>
      <c r="F45" s="48"/>
      <c r="G45" s="49"/>
      <c r="H45" s="10">
        <f>SUM(I45)-2.5</f>
        <v>10.5</v>
      </c>
      <c r="I45" s="10">
        <f>SUM(J45)-2.5</f>
        <v>13</v>
      </c>
      <c r="J45" s="28">
        <v>15.5</v>
      </c>
      <c r="K45" s="10">
        <f>SUM(J45)+1.5</f>
        <v>17</v>
      </c>
      <c r="L45" s="10">
        <f>SUM(K45)+2</f>
        <v>19</v>
      </c>
      <c r="M45" s="12">
        <f>SUM(L45)+2</f>
        <v>21</v>
      </c>
    </row>
    <row r="46" spans="1:13" s="1" customFormat="1" ht="14.1" customHeight="1">
      <c r="A46" s="14"/>
      <c r="B46" s="80" t="s">
        <v>55</v>
      </c>
      <c r="C46" s="81"/>
      <c r="D46" s="82" t="s">
        <v>54</v>
      </c>
      <c r="E46" s="83"/>
      <c r="F46" s="83"/>
      <c r="G46" s="84"/>
      <c r="H46" s="11"/>
      <c r="I46" s="11"/>
      <c r="J46" s="38"/>
      <c r="K46" s="11"/>
      <c r="L46" s="11"/>
      <c r="M46" s="13"/>
    </row>
    <row r="47" spans="1:13" s="1" customFormat="1" ht="14.1" customHeight="1">
      <c r="A47" s="14">
        <v>23</v>
      </c>
      <c r="B47" s="45"/>
      <c r="C47" s="46"/>
      <c r="D47" s="47"/>
      <c r="E47" s="48"/>
      <c r="F47" s="48"/>
      <c r="G47" s="49"/>
      <c r="H47" s="10"/>
      <c r="I47" s="10"/>
      <c r="J47" s="28"/>
      <c r="K47" s="10"/>
      <c r="L47" s="10"/>
      <c r="M47" s="12"/>
    </row>
    <row r="48" spans="1:13" s="1" customFormat="1" ht="14.1" customHeight="1">
      <c r="A48" s="14"/>
      <c r="B48" s="80"/>
      <c r="C48" s="81"/>
      <c r="D48" s="82"/>
      <c r="E48" s="83"/>
      <c r="F48" s="83"/>
      <c r="G48" s="84"/>
      <c r="H48" s="11"/>
      <c r="I48" s="11"/>
      <c r="J48" s="38"/>
      <c r="K48" s="11"/>
      <c r="L48" s="11"/>
      <c r="M48" s="13"/>
    </row>
    <row r="49" spans="1:13" s="1" customFormat="1" ht="14.1" customHeight="1">
      <c r="A49" s="14">
        <v>24</v>
      </c>
      <c r="B49" s="45"/>
      <c r="C49" s="46"/>
      <c r="D49" s="47"/>
      <c r="E49" s="48"/>
      <c r="F49" s="48"/>
      <c r="G49" s="49"/>
      <c r="H49" s="10"/>
      <c r="I49" s="10"/>
      <c r="J49" s="28"/>
      <c r="K49" s="10"/>
      <c r="L49" s="10"/>
      <c r="M49" s="12"/>
    </row>
    <row r="50" spans="1:13" s="1" customFormat="1" ht="14.1" customHeight="1" thickBot="1">
      <c r="A50" s="15"/>
      <c r="B50" s="104"/>
      <c r="C50" s="105"/>
      <c r="D50" s="106"/>
      <c r="E50" s="107"/>
      <c r="F50" s="107"/>
      <c r="G50" s="108"/>
      <c r="H50" s="21"/>
      <c r="I50" s="21"/>
      <c r="J50" s="29"/>
      <c r="K50" s="21"/>
      <c r="L50" s="21"/>
      <c r="M50" s="30"/>
    </row>
    <row r="51" spans="1:13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s="1" customFormat="1" ht="14.1" customHeight="1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1" customFormat="1" ht="14.1" customHeight="1">
      <c r="A54"/>
      <c r="B54"/>
      <c r="C54"/>
      <c r="D54"/>
      <c r="E54"/>
      <c r="F54"/>
      <c r="G54"/>
      <c r="H54"/>
      <c r="I54"/>
      <c r="J54"/>
      <c r="K54"/>
      <c r="L54"/>
      <c r="M54"/>
    </row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USL01</vt:lpstr>
      <vt:lpstr>USL02</vt:lpstr>
      <vt:lpstr>USL03</vt:lpstr>
      <vt:lpstr>USL04</vt:lpstr>
      <vt:lpstr>USL05</vt:lpstr>
      <vt:lpstr>USL06</vt:lpstr>
      <vt:lpstr>'USL01'!Print_Area</vt:lpstr>
      <vt:lpstr>'USL02'!Print_Area</vt:lpstr>
      <vt:lpstr>'USL03'!Print_Area</vt:lpstr>
      <vt:lpstr>'USL04'!Print_Area</vt:lpstr>
      <vt:lpstr>'USL05'!Print_Area</vt:lpstr>
      <vt:lpstr>'USL06'!Print_Area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2026-01-27T07:10:49Z</cp:lastPrinted>
  <dcterms:created xsi:type="dcterms:W3CDTF">2018-05-14T06:17:18Z</dcterms:created>
  <dcterms:modified xsi:type="dcterms:W3CDTF">2026-02-04T01:59:15Z</dcterms:modified>
</cp:coreProperties>
</file>