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6\"/>
    </mc:Choice>
  </mc:AlternateContent>
  <xr:revisionPtr revIDLastSave="0" documentId="13_ncr:1_{15C81A16-405C-46B1-9F2D-C53AC8004240}" xr6:coauthVersionLast="47" xr6:coauthVersionMax="47" xr10:uidLastSave="{00000000-0000-0000-0000-000000000000}"/>
  <bookViews>
    <workbookView xWindow="28680" yWindow="-120" windowWidth="29040" windowHeight="15720" tabRatio="776" xr2:uid="{3359282B-7569-4BC7-A037-9A98D8DF6EA5}"/>
  </bookViews>
  <sheets>
    <sheet name="OU01" sheetId="1035" r:id="rId1"/>
    <sheet name="OU02" sheetId="1036" r:id="rId2"/>
    <sheet name="OU03(니트)" sheetId="1029" r:id="rId3"/>
    <sheet name="OU04" sheetId="1031" r:id="rId4"/>
    <sheet name="OU05" sheetId="1032" r:id="rId5"/>
    <sheet name="OU06(니트)" sheetId="1045" r:id="rId6"/>
    <sheet name="PT01" sheetId="1030" r:id="rId7"/>
    <sheet name="PT02" sheetId="1034" r:id="rId8"/>
    <sheet name="PT03" sheetId="1041" r:id="rId9"/>
    <sheet name="PT04" sheetId="1047" r:id="rId10"/>
    <sheet name="PT05(완사입)" sheetId="1046" r:id="rId11"/>
    <sheet name="SK01" sheetId="1037" r:id="rId12"/>
    <sheet name="TO01" sheetId="1033" r:id="rId13"/>
    <sheet name="TO02" sheetId="1038" r:id="rId14"/>
    <sheet name="TO03" sheetId="1042" r:id="rId15"/>
    <sheet name="TO04" sheetId="1040" r:id="rId16"/>
    <sheet name="TO05" sheetId="1048" r:id="rId17"/>
    <sheet name="TO06" sheetId="1043" r:id="rId18"/>
    <sheet name="TO07" sheetId="1044" r:id="rId19"/>
  </sheets>
  <definedNames>
    <definedName name="_xlnm.Print_Area" localSheetId="0">'OU01'!$A$1:$M$40</definedName>
    <definedName name="_xlnm.Print_Area" localSheetId="1">'OU02'!$A$1:$M$40</definedName>
    <definedName name="_xlnm.Print_Area" localSheetId="2">'OU03(니트)'!$A$1:$M$40</definedName>
    <definedName name="_xlnm.Print_Area" localSheetId="3">'OU04'!$A$1:$M$38</definedName>
    <definedName name="_xlnm.Print_Area" localSheetId="4">'OU05'!$A$1:$M$44</definedName>
    <definedName name="_xlnm.Print_Area" localSheetId="5">'OU06(니트)'!$A$1:$M$42</definedName>
    <definedName name="_xlnm.Print_Area" localSheetId="6">'PT01'!$A$1:$M$48</definedName>
    <definedName name="_xlnm.Print_Area" localSheetId="7">'PT02'!$A$1:$M$48</definedName>
    <definedName name="_xlnm.Print_Area" localSheetId="8">'PT03'!$A$1:$M$46</definedName>
    <definedName name="_xlnm.Print_Area" localSheetId="9">'PT04'!$A$1:$M$46</definedName>
    <definedName name="_xlnm.Print_Area" localSheetId="10">'PT05(완사입)'!$A$1:$M$46</definedName>
    <definedName name="_xlnm.Print_Area" localSheetId="11">'SK01'!$A$1:$M$20</definedName>
    <definedName name="_xlnm.Print_Area" localSheetId="12">'TO01'!$A$1:$M$34</definedName>
    <definedName name="_xlnm.Print_Area" localSheetId="13">'TO02'!$A$1:$M$38</definedName>
    <definedName name="_xlnm.Print_Area" localSheetId="14">'TO03'!$A$1:$M$36</definedName>
    <definedName name="_xlnm.Print_Area" localSheetId="15">'TO04'!$A$1:$M$36</definedName>
    <definedName name="_xlnm.Print_Area" localSheetId="16">'TO05'!$A$1:$M$34</definedName>
    <definedName name="_xlnm.Print_Area" localSheetId="17">'TO06'!$A$1:$M$40</definedName>
    <definedName name="_xlnm.Print_Area" localSheetId="18">'TO07'!$A$1:$M$36</definedName>
  </definedNames>
  <calcPr calcId="191029"/>
</workbook>
</file>

<file path=xl/calcChain.xml><?xml version="1.0" encoding="utf-8"?>
<calcChain xmlns="http://schemas.openxmlformats.org/spreadsheetml/2006/main">
  <c r="J35" i="1035" l="1"/>
  <c r="I35" i="1035"/>
  <c r="J9" i="1048"/>
  <c r="I9" i="1048"/>
  <c r="I33" i="1048"/>
  <c r="J33" i="1048" s="1"/>
  <c r="I31" i="1048"/>
  <c r="J31" i="1048" s="1"/>
  <c r="I29" i="1048"/>
  <c r="J29" i="1048" s="1"/>
  <c r="I27" i="1048"/>
  <c r="J27" i="1048" s="1"/>
  <c r="I21" i="1048"/>
  <c r="J21" i="1048" s="1"/>
  <c r="I5" i="1048"/>
  <c r="J5" i="1048" s="1"/>
  <c r="I25" i="1048"/>
  <c r="J25" i="1048" s="1"/>
  <c r="I23" i="1048"/>
  <c r="J23" i="1048" s="1"/>
  <c r="I19" i="1048"/>
  <c r="J19" i="1048" s="1"/>
  <c r="I17" i="1048"/>
  <c r="J17" i="1048" s="1"/>
  <c r="I15" i="1048"/>
  <c r="J15" i="1048" s="1"/>
  <c r="I13" i="1048"/>
  <c r="J13" i="1048" s="1"/>
  <c r="I11" i="1048"/>
  <c r="J11" i="1048" s="1"/>
  <c r="I7" i="1048"/>
  <c r="J7" i="1048" s="1"/>
  <c r="I3" i="1048"/>
  <c r="J3" i="1048" s="1"/>
  <c r="J25" i="1047" l="1"/>
  <c r="I43" i="1047"/>
  <c r="J43" i="1047" s="1"/>
  <c r="I33" i="1047"/>
  <c r="J33" i="1047" s="1"/>
  <c r="I31" i="1047"/>
  <c r="J31" i="1047" s="1"/>
  <c r="I27" i="1047"/>
  <c r="J27" i="1047" s="1"/>
  <c r="I21" i="1047"/>
  <c r="J21" i="1047" s="1"/>
  <c r="I41" i="1047"/>
  <c r="J41" i="1047" s="1"/>
  <c r="I39" i="1047"/>
  <c r="J39" i="1047" s="1"/>
  <c r="I37" i="1047"/>
  <c r="J37" i="1047" s="1"/>
  <c r="I35" i="1047"/>
  <c r="J35" i="1047" s="1"/>
  <c r="I29" i="1047"/>
  <c r="J29" i="1047" s="1"/>
  <c r="I25" i="1047"/>
  <c r="I23" i="1047"/>
  <c r="J23" i="1047" s="1"/>
  <c r="I19" i="1047"/>
  <c r="J19" i="1047" s="1"/>
  <c r="I15" i="1047"/>
  <c r="J15" i="1047" s="1"/>
  <c r="I13" i="1047"/>
  <c r="J13" i="1047" s="1"/>
  <c r="I11" i="1047"/>
  <c r="J11" i="1047" s="1"/>
  <c r="I3" i="1047"/>
  <c r="J3" i="1047" s="1"/>
  <c r="J39" i="1046"/>
  <c r="I39" i="1046"/>
  <c r="J37" i="1046"/>
  <c r="I37" i="1046"/>
  <c r="I23" i="1046"/>
  <c r="J23" i="1046" s="1"/>
  <c r="I43" i="1046" l="1"/>
  <c r="J43" i="1046" s="1"/>
  <c r="I41" i="1046"/>
  <c r="J41" i="1046" s="1"/>
  <c r="I27" i="1046"/>
  <c r="J27" i="1046" s="1"/>
  <c r="I25" i="1046"/>
  <c r="J25" i="1046" s="1"/>
  <c r="I21" i="1046"/>
  <c r="J21" i="1046" s="1"/>
  <c r="I19" i="1046"/>
  <c r="J19" i="1046" s="1"/>
  <c r="I17" i="1046"/>
  <c r="J17" i="1046" s="1"/>
  <c r="I15" i="1046"/>
  <c r="J15" i="1046" s="1"/>
  <c r="I13" i="1046"/>
  <c r="J13" i="1046" s="1"/>
  <c r="I11" i="1046"/>
  <c r="J11" i="1046" s="1"/>
  <c r="I9" i="1046"/>
  <c r="J9" i="1046" s="1"/>
  <c r="J7" i="1046"/>
  <c r="I7" i="1046"/>
  <c r="I5" i="1046"/>
  <c r="J5" i="1046" s="1"/>
  <c r="I3" i="1046"/>
  <c r="J3" i="1046" s="1"/>
  <c r="J9" i="1045"/>
  <c r="I9" i="1045"/>
  <c r="I25" i="1045"/>
  <c r="J25" i="1045" s="1"/>
  <c r="I29" i="1045" l="1"/>
  <c r="J29" i="1045" s="1"/>
  <c r="I27" i="1045"/>
  <c r="J27" i="1045" s="1"/>
  <c r="I31" i="1045"/>
  <c r="J31" i="1045" s="1"/>
  <c r="I23" i="1045"/>
  <c r="J23" i="1045" s="1"/>
  <c r="J23" i="1029"/>
  <c r="I23" i="1029"/>
  <c r="I5" i="1045"/>
  <c r="J5" i="1045" s="1"/>
  <c r="I33" i="1045"/>
  <c r="J33" i="1045" s="1"/>
  <c r="I21" i="1045"/>
  <c r="J21" i="1045" s="1"/>
  <c r="I19" i="1045"/>
  <c r="J19" i="1045" s="1"/>
  <c r="I17" i="1045"/>
  <c r="J17" i="1045" s="1"/>
  <c r="I15" i="1045"/>
  <c r="J15" i="1045" s="1"/>
  <c r="I13" i="1045"/>
  <c r="J13" i="1045" s="1"/>
  <c r="I11" i="1045"/>
  <c r="J11" i="1045" s="1"/>
  <c r="I7" i="1045"/>
  <c r="J7" i="1045" s="1"/>
  <c r="I3" i="1045"/>
  <c r="J3" i="1045" s="1"/>
  <c r="J41" i="1032"/>
  <c r="I41" i="1032"/>
  <c r="P25" i="1044"/>
  <c r="P24" i="1044"/>
  <c r="J27" i="1044"/>
  <c r="I27" i="1044"/>
  <c r="I29" i="1044"/>
  <c r="J29" i="1044" s="1"/>
  <c r="I31" i="1044"/>
  <c r="J31" i="1044" s="1"/>
  <c r="J21" i="1044"/>
  <c r="I21" i="1044"/>
  <c r="J5" i="1044"/>
  <c r="I5" i="1044"/>
  <c r="I23" i="1044"/>
  <c r="J23" i="1044" s="1"/>
  <c r="I11" i="1044"/>
  <c r="J11" i="1044" s="1"/>
  <c r="I9" i="1044"/>
  <c r="J9" i="1044" s="1"/>
  <c r="J7" i="1044"/>
  <c r="I7" i="1044"/>
  <c r="I25" i="1044"/>
  <c r="J25" i="1044" s="1"/>
  <c r="I19" i="1044"/>
  <c r="J19" i="1044" s="1"/>
  <c r="J17" i="1044"/>
  <c r="I17" i="1044"/>
  <c r="I15" i="1044"/>
  <c r="J15" i="1044" s="1"/>
  <c r="I13" i="1044"/>
  <c r="J13" i="1044" s="1"/>
  <c r="I3" i="1044"/>
  <c r="J3" i="1044" s="1"/>
  <c r="I25" i="1043"/>
  <c r="J25" i="1043" s="1"/>
  <c r="J33" i="1043"/>
  <c r="I33" i="1043"/>
  <c r="I35" i="1043"/>
  <c r="J35" i="1043" s="1"/>
  <c r="I37" i="1043"/>
  <c r="J37" i="1043" s="1"/>
  <c r="I39" i="1043"/>
  <c r="J39" i="1043" s="1"/>
  <c r="I31" i="1043"/>
  <c r="J31" i="1043" s="1"/>
  <c r="I29" i="1043"/>
  <c r="J29" i="1043" s="1"/>
  <c r="I23" i="1043"/>
  <c r="J23" i="1043" s="1"/>
  <c r="I19" i="1043"/>
  <c r="J19" i="1043" s="1"/>
  <c r="I5" i="1043"/>
  <c r="J5" i="1043" s="1"/>
  <c r="I21" i="1043" l="1"/>
  <c r="J21" i="1043" s="1"/>
  <c r="I17" i="1043"/>
  <c r="J17" i="1043" s="1"/>
  <c r="I15" i="1043"/>
  <c r="J15" i="1043" s="1"/>
  <c r="I13" i="1043"/>
  <c r="J13" i="1043" s="1"/>
  <c r="I11" i="1043"/>
  <c r="J11" i="1043" s="1"/>
  <c r="I9" i="1043"/>
  <c r="J9" i="1043" s="1"/>
  <c r="I7" i="1043"/>
  <c r="J7" i="1043" s="1"/>
  <c r="I3" i="1043"/>
  <c r="J3" i="1043" s="1"/>
  <c r="H31" i="1040"/>
  <c r="H29" i="1040"/>
  <c r="H27" i="1040"/>
  <c r="H25" i="1040"/>
  <c r="H23" i="1040"/>
  <c r="H21" i="1040"/>
  <c r="H19" i="1040"/>
  <c r="H17" i="1040"/>
  <c r="H15" i="1040"/>
  <c r="H13" i="1040"/>
  <c r="H9" i="1040"/>
  <c r="H7" i="1040"/>
  <c r="H5" i="1040"/>
  <c r="H3" i="1040"/>
  <c r="J27" i="1042"/>
  <c r="I27" i="1042"/>
  <c r="I17" i="1042"/>
  <c r="J17" i="1042" s="1"/>
  <c r="I15" i="1042"/>
  <c r="J15" i="1042" s="1"/>
  <c r="I25" i="1042"/>
  <c r="J25" i="1042" s="1"/>
  <c r="I23" i="1042"/>
  <c r="J23" i="1042" s="1"/>
  <c r="I21" i="1042"/>
  <c r="J21" i="1042" s="1"/>
  <c r="I11" i="1042"/>
  <c r="J11" i="1042" s="1"/>
  <c r="I9" i="1042"/>
  <c r="J9" i="1042" s="1"/>
  <c r="I7" i="1042"/>
  <c r="J7" i="1042" s="1"/>
  <c r="I5" i="1042"/>
  <c r="J5" i="1042" s="1"/>
  <c r="I19" i="1042" l="1"/>
  <c r="J19" i="1042" s="1"/>
  <c r="I13" i="1042"/>
  <c r="J13" i="1042" s="1"/>
  <c r="I3" i="1042"/>
  <c r="J3" i="1042" s="1"/>
  <c r="I45" i="1041"/>
  <c r="J45" i="1041" s="1"/>
  <c r="J33" i="1041"/>
  <c r="I33" i="1041"/>
  <c r="I31" i="1041"/>
  <c r="J31" i="1041" s="1"/>
  <c r="J27" i="1041"/>
  <c r="I27" i="1041"/>
  <c r="I21" i="1041"/>
  <c r="J21" i="1041" s="1"/>
  <c r="I43" i="1041"/>
  <c r="J43" i="1041" s="1"/>
  <c r="I41" i="1041"/>
  <c r="J41" i="1041" s="1"/>
  <c r="I39" i="1041"/>
  <c r="J39" i="1041" s="1"/>
  <c r="I37" i="1041"/>
  <c r="J37" i="1041" s="1"/>
  <c r="I35" i="1041"/>
  <c r="J35" i="1041" s="1"/>
  <c r="I29" i="1041"/>
  <c r="J29" i="1041" s="1"/>
  <c r="I25" i="1041"/>
  <c r="J25" i="1041" s="1"/>
  <c r="I23" i="1041"/>
  <c r="J23" i="1041" s="1"/>
  <c r="I19" i="1041"/>
  <c r="J19" i="1041" s="1"/>
  <c r="I15" i="1041"/>
  <c r="J15" i="1041" s="1"/>
  <c r="I13" i="1041"/>
  <c r="J13" i="1041" s="1"/>
  <c r="I11" i="1041"/>
  <c r="J11" i="1041" s="1"/>
  <c r="I3" i="1041"/>
  <c r="J3" i="1041" s="1"/>
  <c r="J31" i="1040"/>
  <c r="K31" i="1040" s="1"/>
  <c r="J29" i="1040"/>
  <c r="K29" i="1040" s="1"/>
  <c r="J27" i="1040"/>
  <c r="K27" i="1040" s="1"/>
  <c r="J25" i="1040"/>
  <c r="K25" i="1040" s="1"/>
  <c r="J21" i="1040"/>
  <c r="K21" i="1040" s="1"/>
  <c r="J19" i="1040"/>
  <c r="K19" i="1040" s="1"/>
  <c r="J9" i="1040"/>
  <c r="K9" i="1040" s="1"/>
  <c r="J5" i="1040"/>
  <c r="K5" i="1040" s="1"/>
  <c r="J23" i="1040"/>
  <c r="K23" i="1040" s="1"/>
  <c r="J17" i="1040"/>
  <c r="K17" i="1040" s="1"/>
  <c r="J15" i="1040"/>
  <c r="K15" i="1040" s="1"/>
  <c r="J13" i="1040"/>
  <c r="K13" i="1040" s="1"/>
  <c r="J7" i="1040"/>
  <c r="K7" i="1040" s="1"/>
  <c r="J3" i="1040"/>
  <c r="K3" i="1040" s="1"/>
  <c r="I37" i="1038"/>
  <c r="J37" i="1038" s="1"/>
  <c r="I35" i="1038" l="1"/>
  <c r="J35" i="1038" s="1"/>
  <c r="I33" i="1038"/>
  <c r="J33" i="1038" s="1"/>
  <c r="I9" i="1038"/>
  <c r="J9" i="1038" s="1"/>
  <c r="I5" i="1038" l="1"/>
  <c r="J5" i="1038" s="1"/>
  <c r="I31" i="1038"/>
  <c r="J31" i="1038" s="1"/>
  <c r="I29" i="1038"/>
  <c r="J29" i="1038" s="1"/>
  <c r="I27" i="1038"/>
  <c r="J27" i="1038" s="1"/>
  <c r="I25" i="1038"/>
  <c r="J25" i="1038" s="1"/>
  <c r="I23" i="1038"/>
  <c r="J23" i="1038" s="1"/>
  <c r="I21" i="1038"/>
  <c r="J21" i="1038" s="1"/>
  <c r="I17" i="1038"/>
  <c r="J17" i="1038" s="1"/>
  <c r="I15" i="1038"/>
  <c r="J15" i="1038" s="1"/>
  <c r="I13" i="1038"/>
  <c r="J13" i="1038" s="1"/>
  <c r="I7" i="1038"/>
  <c r="J7" i="1038" s="1"/>
  <c r="I3" i="1038"/>
  <c r="J3" i="1038" s="1"/>
  <c r="J7" i="1037" l="1"/>
  <c r="I7" i="1037"/>
  <c r="I5" i="1037"/>
  <c r="J5" i="1037" s="1"/>
  <c r="I13" i="1037"/>
  <c r="J13" i="1037" s="1"/>
  <c r="I11" i="1037"/>
  <c r="J11" i="1037" s="1"/>
  <c r="I3" i="1037"/>
  <c r="J3" i="1037" s="1"/>
  <c r="J9" i="1036"/>
  <c r="I9" i="1036"/>
  <c r="J35" i="1036"/>
  <c r="I35" i="1036"/>
  <c r="J33" i="1036"/>
  <c r="I33" i="1036"/>
  <c r="I31" i="1036"/>
  <c r="J31" i="1036" s="1"/>
  <c r="I29" i="1036"/>
  <c r="J29" i="1036" s="1"/>
  <c r="I27" i="1036"/>
  <c r="J27" i="1036" s="1"/>
  <c r="I25" i="1036"/>
  <c r="J25" i="1036" s="1"/>
  <c r="I21" i="1036"/>
  <c r="J21" i="1036" s="1"/>
  <c r="J19" i="1036"/>
  <c r="I19" i="1036"/>
  <c r="J5" i="1036"/>
  <c r="I5" i="1036"/>
  <c r="I23" i="1036"/>
  <c r="J23" i="1036" s="1"/>
  <c r="I17" i="1036"/>
  <c r="J17" i="1036" s="1"/>
  <c r="I15" i="1036"/>
  <c r="J15" i="1036" s="1"/>
  <c r="I13" i="1036"/>
  <c r="J13" i="1036" s="1"/>
  <c r="I11" i="1036"/>
  <c r="J11" i="1036" s="1"/>
  <c r="I7" i="1036"/>
  <c r="J7" i="1036" s="1"/>
  <c r="I3" i="1036"/>
  <c r="J3" i="1036" s="1"/>
  <c r="I31" i="1035"/>
  <c r="J31" i="1035" s="1"/>
  <c r="I33" i="1035"/>
  <c r="J33" i="1035" s="1"/>
  <c r="J27" i="1035"/>
  <c r="I27" i="1035"/>
  <c r="I25" i="1035"/>
  <c r="J25" i="1035" s="1"/>
  <c r="I21" i="1035"/>
  <c r="J21" i="1035" s="1"/>
  <c r="I19" i="1035"/>
  <c r="J19" i="1035" s="1"/>
  <c r="I9" i="1035"/>
  <c r="J9" i="1035" s="1"/>
  <c r="I5" i="1035"/>
  <c r="J5" i="1035" s="1"/>
  <c r="I29" i="1035"/>
  <c r="J29" i="1035" s="1"/>
  <c r="I23" i="1035"/>
  <c r="J23" i="1035" s="1"/>
  <c r="I17" i="1035"/>
  <c r="J17" i="1035" s="1"/>
  <c r="I15" i="1035"/>
  <c r="J15" i="1035" s="1"/>
  <c r="I13" i="1035"/>
  <c r="J13" i="1035" s="1"/>
  <c r="I11" i="1035"/>
  <c r="J11" i="1035" s="1"/>
  <c r="I7" i="1035"/>
  <c r="J7" i="1035" s="1"/>
  <c r="I3" i="1035"/>
  <c r="J3" i="1035" s="1"/>
  <c r="P25" i="1034" l="1"/>
  <c r="P24" i="1034"/>
  <c r="J35" i="1034"/>
  <c r="I35" i="1034"/>
  <c r="J33" i="1034"/>
  <c r="I33" i="1034"/>
  <c r="I29" i="1034"/>
  <c r="J29" i="1034" s="1"/>
  <c r="J21" i="1034"/>
  <c r="I21" i="1034"/>
  <c r="I43" i="1034"/>
  <c r="J43" i="1034" s="1"/>
  <c r="I41" i="1034"/>
  <c r="J41" i="1034" s="1"/>
  <c r="I39" i="1034"/>
  <c r="J39" i="1034" s="1"/>
  <c r="I37" i="1034"/>
  <c r="J37" i="1034" s="1"/>
  <c r="I31" i="1034"/>
  <c r="J31" i="1034" s="1"/>
  <c r="I27" i="1034"/>
  <c r="J27" i="1034" s="1"/>
  <c r="I25" i="1034"/>
  <c r="J25" i="1034" s="1"/>
  <c r="I23" i="1034"/>
  <c r="J23" i="1034" s="1"/>
  <c r="I19" i="1034"/>
  <c r="J19" i="1034" s="1"/>
  <c r="I15" i="1034"/>
  <c r="J15" i="1034" s="1"/>
  <c r="I13" i="1034"/>
  <c r="J13" i="1034" s="1"/>
  <c r="I11" i="1034"/>
  <c r="J11" i="1034" s="1"/>
  <c r="J3" i="1034"/>
  <c r="I3" i="1034"/>
  <c r="I33" i="1033"/>
  <c r="J33" i="1033" s="1"/>
  <c r="I31" i="1033"/>
  <c r="J31" i="1033" s="1"/>
  <c r="I27" i="1033"/>
  <c r="J27" i="1033" s="1"/>
  <c r="I23" i="1033"/>
  <c r="J23" i="1033" s="1"/>
  <c r="I21" i="1033"/>
  <c r="J21" i="1033" s="1"/>
  <c r="I19" i="1033"/>
  <c r="J19" i="1033" s="1"/>
  <c r="I5" i="1033"/>
  <c r="J5" i="1033" s="1"/>
  <c r="I29" i="1033"/>
  <c r="J29" i="1033" s="1"/>
  <c r="I17" i="1033"/>
  <c r="J17" i="1033" s="1"/>
  <c r="I15" i="1033"/>
  <c r="J15" i="1033" s="1"/>
  <c r="I13" i="1033"/>
  <c r="J13" i="1033" s="1"/>
  <c r="I11" i="1033"/>
  <c r="J11" i="1033" s="1"/>
  <c r="I9" i="1033"/>
  <c r="J9" i="1033" s="1"/>
  <c r="I7" i="1033"/>
  <c r="J7" i="1033" s="1"/>
  <c r="I3" i="1033"/>
  <c r="J3" i="1033" s="1"/>
  <c r="R18" i="1032" l="1"/>
  <c r="R19" i="1032" s="1"/>
  <c r="R14" i="1032"/>
  <c r="R15" i="1032" s="1"/>
  <c r="I29" i="1032"/>
  <c r="J29" i="1032" s="1"/>
  <c r="I39" i="1032" l="1"/>
  <c r="J39" i="1032" s="1"/>
  <c r="I37" i="1032"/>
  <c r="J37" i="1032" s="1"/>
  <c r="I35" i="1032"/>
  <c r="J35" i="1032" s="1"/>
  <c r="I33" i="1032"/>
  <c r="J33" i="1032" s="1"/>
  <c r="I21" i="1032"/>
  <c r="J21" i="1032" s="1"/>
  <c r="I19" i="1032"/>
  <c r="J19" i="1032" s="1"/>
  <c r="I23" i="1032"/>
  <c r="J23" i="1032" s="1"/>
  <c r="I9" i="1032"/>
  <c r="J9" i="1032" s="1"/>
  <c r="I31" i="1032"/>
  <c r="J31" i="1032" s="1"/>
  <c r="I25" i="1032"/>
  <c r="J25" i="1032" s="1"/>
  <c r="I17" i="1032"/>
  <c r="J17" i="1032" s="1"/>
  <c r="I15" i="1032"/>
  <c r="J15" i="1032" s="1"/>
  <c r="I13" i="1032"/>
  <c r="J13" i="1032" s="1"/>
  <c r="I11" i="1032"/>
  <c r="J11" i="1032" s="1"/>
  <c r="I7" i="1032"/>
  <c r="J7" i="1032" s="1"/>
  <c r="I5" i="1032"/>
  <c r="J5" i="1032" s="1"/>
  <c r="I3" i="1032"/>
  <c r="J3" i="1032" s="1"/>
  <c r="I31" i="1031"/>
  <c r="J31" i="1031" s="1"/>
  <c r="I23" i="1031"/>
  <c r="J23" i="1031" s="1"/>
  <c r="I21" i="1031"/>
  <c r="J21" i="1031" s="1"/>
  <c r="I19" i="1031"/>
  <c r="J19" i="1031" s="1"/>
  <c r="I9" i="1031"/>
  <c r="J9" i="1031" s="1"/>
  <c r="I5" i="1031"/>
  <c r="J5" i="1031" s="1"/>
  <c r="I29" i="1031"/>
  <c r="J29" i="1031" s="1"/>
  <c r="I27" i="1031"/>
  <c r="J27" i="1031" s="1"/>
  <c r="I25" i="1031"/>
  <c r="J25" i="1031" s="1"/>
  <c r="I17" i="1031"/>
  <c r="J17" i="1031" s="1"/>
  <c r="I15" i="1031"/>
  <c r="J15" i="1031" s="1"/>
  <c r="I13" i="1031"/>
  <c r="J13" i="1031" s="1"/>
  <c r="I11" i="1031"/>
  <c r="J11" i="1031" s="1"/>
  <c r="I7" i="1031"/>
  <c r="J7" i="1031" s="1"/>
  <c r="I3" i="1031"/>
  <c r="J3" i="1031" s="1"/>
  <c r="I45" i="1030" l="1"/>
  <c r="J45" i="1030" s="1"/>
  <c r="I37" i="1030"/>
  <c r="J37" i="1030" s="1"/>
  <c r="I35" i="1030" l="1"/>
  <c r="J35" i="1030" s="1"/>
  <c r="I33" i="1030"/>
  <c r="J33" i="1030" s="1"/>
  <c r="I21" i="1030"/>
  <c r="J21" i="1030" s="1"/>
  <c r="I43" i="1030"/>
  <c r="J43" i="1030" s="1"/>
  <c r="I41" i="1030"/>
  <c r="J41" i="1030" s="1"/>
  <c r="I39" i="1030"/>
  <c r="J39" i="1030" s="1"/>
  <c r="I31" i="1030"/>
  <c r="J31" i="1030" s="1"/>
  <c r="I29" i="1030"/>
  <c r="J29" i="1030" s="1"/>
  <c r="I27" i="1030"/>
  <c r="J27" i="1030" s="1"/>
  <c r="I25" i="1030"/>
  <c r="J25" i="1030" s="1"/>
  <c r="I23" i="1030"/>
  <c r="J23" i="1030" s="1"/>
  <c r="I19" i="1030"/>
  <c r="J19" i="1030" s="1"/>
  <c r="I15" i="1030"/>
  <c r="J15" i="1030" s="1"/>
  <c r="I13" i="1030"/>
  <c r="J13" i="1030" s="1"/>
  <c r="I11" i="1030"/>
  <c r="J11" i="1030" s="1"/>
  <c r="I3" i="1030"/>
  <c r="J3" i="1030" s="1"/>
  <c r="J31" i="1029" l="1"/>
  <c r="I31" i="1029"/>
  <c r="I11" i="1029"/>
  <c r="J11" i="1029" s="1"/>
  <c r="I9" i="1029"/>
  <c r="J9" i="1029" s="1"/>
  <c r="I5" i="1029"/>
  <c r="J5" i="1029" s="1"/>
  <c r="I7" i="1029"/>
  <c r="J7" i="1029" s="1"/>
  <c r="I21" i="1029" l="1"/>
  <c r="J21" i="1029" s="1"/>
  <c r="I19" i="1029"/>
  <c r="J19" i="1029" s="1"/>
  <c r="I17" i="1029"/>
  <c r="J17" i="1029" s="1"/>
  <c r="I15" i="1029"/>
  <c r="J15" i="1029" s="1"/>
  <c r="I13" i="1029"/>
  <c r="J13" i="1029" s="1"/>
  <c r="I3" i="1029"/>
  <c r="J3" i="1029" s="1"/>
</calcChain>
</file>

<file path=xl/sharedStrings.xml><?xml version="1.0" encoding="utf-8"?>
<sst xmlns="http://schemas.openxmlformats.org/spreadsheetml/2006/main" count="1294" uniqueCount="311">
  <si>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</si>
  <si>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</si>
  <si>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</si>
  <si>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</si>
  <si>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</si>
  <si>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</si>
  <si>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</si>
  <si>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</si>
  <si>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</si>
  <si>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</si>
  <si>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</si>
  <si>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</si>
  <si>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</si>
  <si>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</si>
  <si>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</si>
  <si>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</si>
  <si>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</si>
  <si>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</si>
  <si>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</si>
  <si>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</si>
  <si>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</si>
  <si>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</si>
  <si>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</si>
  <si>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</si>
  <si>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</si>
  <si>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</si>
  <si>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</si>
  <si>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</si>
  <si>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</si>
  <si>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</si>
  <si>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</si>
  <si>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</si>
  <si>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</si>
  <si>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</si>
  <si>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</si>
  <si>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</si>
  <si>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</si>
  <si>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</si>
  <si>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</si>
  <si>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</si>
  <si>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</si>
  <si>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</si>
  <si>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</si>
  <si>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</si>
  <si>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</si>
  <si>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</si>
  <si>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</si>
  <si>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</si>
  <si>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</si>
  <si>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</si>
  <si>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</si>
  <si>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</si>
  <si>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</si>
  <si>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</si>
  <si>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</si>
  <si>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</si>
  <si>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</si>
  <si>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</si>
  <si>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</si>
  <si>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</si>
  <si>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</si>
  <si>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</si>
  <si>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</si>
  <si>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</si>
  <si>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</si>
  <si>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</si>
  <si>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</si>
  <si>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</si>
  <si>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</si>
  <si>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</si>
  <si>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</si>
  <si>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</si>
  <si>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</si>
  <si>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</si>
  <si>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</si>
  <si>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</si>
  <si>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</si>
  <si>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</si>
  <si>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</si>
  <si>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</si>
  <si>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</si>
  <si>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</si>
  <si>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</si>
  <si>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</si>
  <si>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</si>
  <si>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</si>
  <si>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</si>
  <si>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</si>
  <si>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</si>
  <si>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</si>
  <si>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</si>
  <si>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</si>
  <si>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</si>
  <si>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</si>
  <si>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</si>
  <si>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</si>
  <si>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허리스트링</t>
    <phoneticPr fontId="1" type="noConversion"/>
  </si>
  <si>
    <t>WAIST STRING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</si>
  <si>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</si>
  <si>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</si>
  <si>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</si>
  <si>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</si>
  <si>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</si>
  <si>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</si>
  <si>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</si>
  <si>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오비포함 와끼기준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</si>
  <si>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</si>
  <si>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</si>
  <si>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</si>
  <si>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</si>
  <si>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</si>
  <si>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</si>
  <si>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</si>
  <si>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</si>
  <si>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</si>
  <si>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</si>
  <si>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</si>
  <si>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</si>
  <si>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</si>
  <si>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</si>
  <si>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</si>
  <si>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</si>
  <si>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</si>
  <si>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</si>
  <si>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</si>
  <si>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</si>
  <si>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</si>
  <si>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</si>
  <si>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HOOD STRING</t>
    <phoneticPr fontId="1" type="noConversion"/>
  </si>
  <si>
    <t>후드스트링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</si>
  <si>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</si>
  <si>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</si>
  <si>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</si>
  <si>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</si>
  <si>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</si>
  <si>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</si>
  <si>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</si>
  <si>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</si>
  <si>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</si>
  <si>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</si>
  <si>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</si>
  <si>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</si>
  <si>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</si>
  <si>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</si>
  <si>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</si>
  <si>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>노출길이=20cm</t>
    <phoneticPr fontId="5" type="noConversion"/>
  </si>
  <si>
    <t>BOTTOM STRING LENGTH</t>
    <phoneticPr fontId="1" type="noConversion"/>
  </si>
  <si>
    <t>밑단스트링길이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</si>
  <si>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</si>
  <si>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</si>
  <si>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</si>
  <si>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</si>
  <si>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노출길이=12cm 포함</t>
    <phoneticPr fontId="15" type="noConversion"/>
  </si>
  <si>
    <t>제일 넓은쪽 기준</t>
    <phoneticPr fontId="1" type="noConversion"/>
  </si>
  <si>
    <t xml:space="preserve"> YKK</t>
    <phoneticPr fontId="1" type="noConversion"/>
  </si>
  <si>
    <t>오비제외 앞뎅고 기준</t>
    <phoneticPr fontId="1" type="noConversion"/>
  </si>
  <si>
    <t>J STITCH WIDTH</t>
    <phoneticPr fontId="1" type="noConversion"/>
  </si>
  <si>
    <t>뎅고스티치 폭</t>
    <phoneticPr fontId="1" type="noConversion"/>
  </si>
  <si>
    <t>여유분= 4cm</t>
    <phoneticPr fontId="15" type="noConversion"/>
  </si>
  <si>
    <t>BOTTOM RIB WIDTH</t>
    <phoneticPr fontId="2" type="noConversion"/>
  </si>
  <si>
    <t>밑단립 폭</t>
    <phoneticPr fontId="1" type="noConversion"/>
  </si>
  <si>
    <t>SLEEVE RIB WIDTH</t>
    <phoneticPr fontId="15" type="noConversion"/>
  </si>
  <si>
    <t>소매립 폭</t>
    <phoneticPr fontId="15" type="noConversion"/>
  </si>
  <si>
    <t>앞옆목에서 수직으로</t>
    <phoneticPr fontId="1" type="noConversion"/>
  </si>
  <si>
    <t>앞중심에서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</si>
  <si>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</si>
  <si>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</si>
  <si>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5" type="noConversion"/>
  </si>
  <si>
    <t xml:space="preserve"> </t>
    <phoneticPr fontId="15" type="noConversion"/>
  </si>
  <si>
    <t xml:space="preserve">앞중심에서 수평으로 </t>
    <phoneticPr fontId="1" type="noConversion"/>
  </si>
  <si>
    <t>POINT B</t>
    <phoneticPr fontId="1" type="noConversion"/>
  </si>
  <si>
    <t>위치 B</t>
    <phoneticPr fontId="1" type="noConversion"/>
  </si>
  <si>
    <t>BOTTOM STRING LENGTH</t>
    <phoneticPr fontId="15" type="noConversion"/>
  </si>
  <si>
    <t>밑단스트링길이</t>
    <phoneticPr fontId="15" type="noConversion"/>
  </si>
  <si>
    <t>스트링 여유분=12cm(전체 24cm)</t>
    <phoneticPr fontId="15" type="noConversion"/>
  </si>
  <si>
    <t>S사이즈=나나단추간격 = 16cm</t>
    <phoneticPr fontId="15" type="noConversion"/>
  </si>
  <si>
    <t>여유분 = 4cm</t>
    <phoneticPr fontId="15" type="noConversion"/>
  </si>
  <si>
    <t xml:space="preserve">SKIRT LENGTH </t>
    <phoneticPr fontId="1" type="noConversion"/>
  </si>
  <si>
    <t>치마기장</t>
    <phoneticPr fontId="1" type="noConversion"/>
  </si>
  <si>
    <t>FRONT YOKE LENGTH</t>
    <phoneticPr fontId="1" type="noConversion"/>
  </si>
  <si>
    <t>앞요크길이</t>
    <phoneticPr fontId="1" type="noConversion"/>
  </si>
  <si>
    <t>앞중심</t>
    <phoneticPr fontId="15" type="noConversion"/>
  </si>
  <si>
    <t>COLLARD WIDTH</t>
    <phoneticPr fontId="15" type="noConversion"/>
  </si>
  <si>
    <t>카라 폭</t>
    <phoneticPr fontId="15" type="noConversion"/>
  </si>
  <si>
    <t>중심</t>
    <phoneticPr fontId="15" type="noConversion"/>
  </si>
  <si>
    <t>WELT POCKET LENGTH</t>
    <phoneticPr fontId="2" type="noConversion"/>
  </si>
  <si>
    <t>구찌길이</t>
    <phoneticPr fontId="1" type="noConversion"/>
  </si>
  <si>
    <t>COLLAR WIDTH</t>
    <phoneticPr fontId="2" type="noConversion"/>
  </si>
  <si>
    <t>CENTER BACK HIGHT</t>
    <phoneticPr fontId="1" type="noConversion"/>
  </si>
  <si>
    <t>카라폭</t>
  </si>
  <si>
    <t>중심에서 수직으로 잰 길이</t>
    <phoneticPr fontId="1" type="noConversion"/>
  </si>
  <si>
    <t>STYLE NO: GYWOU03-S#R07(니트)</t>
    <phoneticPr fontId="1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</si>
  <si>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(암홀립포함)</t>
    </r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</si>
  <si>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</si>
  <si>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15" type="noConversion"/>
  </si>
  <si>
    <t>암홀립 폭</t>
    <phoneticPr fontId="15" type="noConversion"/>
  </si>
  <si>
    <t>HOOD STRING LENGTH</t>
    <phoneticPr fontId="2" type="noConversion"/>
  </si>
  <si>
    <t>후드스트링길이</t>
    <phoneticPr fontId="15" type="noConversion"/>
  </si>
  <si>
    <t>노출길이= 18cm</t>
    <phoneticPr fontId="15" type="noConversion"/>
  </si>
  <si>
    <t>주머니입구 와끼</t>
    <phoneticPr fontId="15" type="noConversion"/>
  </si>
  <si>
    <r>
      <t xml:space="preserve">BASED ON ZIPPER FLY OUT LINE ,STRIGHT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</si>
  <si>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FRONT POCKET LENGTH</t>
    <phoneticPr fontId="1" type="noConversion"/>
  </si>
  <si>
    <t>앞주머니입구</t>
    <phoneticPr fontId="15" type="noConversion"/>
  </si>
  <si>
    <t>노출길이=18cm</t>
    <phoneticPr fontId="1" type="noConversion"/>
  </si>
  <si>
    <t>COLLARS WIDTH</t>
    <phoneticPr fontId="1" type="noConversion"/>
  </si>
  <si>
    <t>카라폭</t>
    <phoneticPr fontId="1" type="noConversion"/>
  </si>
  <si>
    <t>뒤중심</t>
    <phoneticPr fontId="1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</si>
  <si>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</si>
  <si>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POCKET ZIPPER LENGTH</t>
    <phoneticPr fontId="2" type="noConversion"/>
  </si>
  <si>
    <t>주머니입구 지퍼길이</t>
    <phoneticPr fontId="1" type="noConversion"/>
  </si>
  <si>
    <t>콘솔지퍼</t>
    <phoneticPr fontId="15" type="noConversion"/>
  </si>
  <si>
    <t>STYLE NO: GYWOU04-K#R08</t>
    <phoneticPr fontId="1" type="noConversion"/>
  </si>
  <si>
    <t>STYLE NO: GYWPT01-K#R09</t>
    <phoneticPr fontId="1" type="noConversion"/>
  </si>
  <si>
    <t>STYLE NO: GYWOU05-W#R10</t>
    <phoneticPr fontId="1" type="noConversion"/>
  </si>
  <si>
    <t>앞판 상단 8골밴드</t>
    <phoneticPr fontId="1" type="noConversion"/>
  </si>
  <si>
    <t>FRONT CHEST 8G BAND (1/2)</t>
    <phoneticPr fontId="2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</si>
  <si>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</si>
  <si>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</si>
  <si>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SLEEVE 8G BAND </t>
    <phoneticPr fontId="2" type="noConversion"/>
  </si>
  <si>
    <t>소매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</si>
  <si>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5" type="noConversion"/>
  </si>
  <si>
    <t>BOTTOM SWEEP</t>
    <phoneticPr fontId="2" type="noConversion"/>
  </si>
  <si>
    <t>밑단둘레</t>
    <phoneticPr fontId="15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</si>
  <si>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</si>
  <si>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OUT PLACKET WIDTH</t>
    <phoneticPr fontId="15" type="noConversion"/>
  </si>
  <si>
    <t>겉플라켓 폭</t>
    <phoneticPr fontId="15" type="noConversion"/>
  </si>
  <si>
    <t>8G-BAND</t>
    <phoneticPr fontId="15" type="noConversion"/>
  </si>
  <si>
    <t>25MM-BAND</t>
    <phoneticPr fontId="15" type="noConversion"/>
  </si>
  <si>
    <t>OUTSIDE TOTAL LENGTH</t>
    <phoneticPr fontId="15" type="noConversion"/>
  </si>
  <si>
    <t>겉-총장</t>
    <phoneticPr fontId="15" type="noConversion"/>
  </si>
  <si>
    <t>OUTSIDE CHEST (1/2)</t>
    <phoneticPr fontId="15" type="noConversion"/>
  </si>
  <si>
    <t>겉-가슴(상동)</t>
    <phoneticPr fontId="15" type="noConversion"/>
  </si>
  <si>
    <t>STYLE NO: GYWTO01-K#R11</t>
    <phoneticPr fontId="1" type="noConversion"/>
  </si>
  <si>
    <t>앞중심에서 수직으로</t>
    <phoneticPr fontId="1" type="noConversion"/>
  </si>
  <si>
    <t>STYLE NO: GYWPT02-K#H15</t>
    <phoneticPr fontId="1" type="noConversion"/>
  </si>
  <si>
    <t xml:space="preserve">BASED ON ZIPPER FLY OUT LINE ,STRIGHT </t>
    <phoneticPr fontId="1" type="noConversion"/>
  </si>
  <si>
    <t>노출길이=20cm</t>
    <phoneticPr fontId="1" type="noConversion"/>
  </si>
  <si>
    <t>밑단스트링</t>
    <phoneticPr fontId="15" type="noConversion"/>
  </si>
  <si>
    <t>STYLE NO: GYWOU01-K#Y01</t>
    <phoneticPr fontId="1" type="noConversion"/>
  </si>
  <si>
    <t>목라인(NECK LINE)을 따라 잰 곡선의 둘레길이</t>
    <phoneticPr fontId="1" type="noConversion"/>
  </si>
  <si>
    <t>HOOD FUR TRIMMING</t>
    <phoneticPr fontId="2" type="noConversion"/>
  </si>
  <si>
    <t>후드 퍼 길이</t>
    <phoneticPr fontId="15" type="noConversion"/>
  </si>
  <si>
    <t>앞목에서 수직으로</t>
    <phoneticPr fontId="1" type="noConversion"/>
  </si>
  <si>
    <t>STYLE NO: GYWOU02-W#R06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</si>
  <si>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</si>
  <si>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FRONT WELT POCKET</t>
    <phoneticPr fontId="2" type="noConversion"/>
  </si>
  <si>
    <t>앞구찌길이</t>
    <phoneticPr fontId="1" type="noConversion"/>
  </si>
  <si>
    <t xml:space="preserve">HOOD STRING LENGTH </t>
    <phoneticPr fontId="2" type="noConversion"/>
  </si>
  <si>
    <t>노출길이=22cm</t>
    <phoneticPr fontId="15" type="noConversion"/>
  </si>
  <si>
    <t>옆목에서</t>
    <phoneticPr fontId="15" type="noConversion"/>
  </si>
  <si>
    <t>앞중심에서</t>
    <phoneticPr fontId="15" type="noConversion"/>
  </si>
  <si>
    <t>밑단요꼬시보리</t>
    <phoneticPr fontId="15" type="noConversion"/>
  </si>
  <si>
    <t>시접제외</t>
    <phoneticPr fontId="15" type="noConversion"/>
  </si>
  <si>
    <t xml:space="preserve"> BOTTOM YOKO RIB</t>
    <phoneticPr fontId="2" type="noConversion"/>
  </si>
  <si>
    <t>SLEEVE YOKO RIB</t>
    <phoneticPr fontId="2" type="noConversion"/>
  </si>
  <si>
    <t>소매요꼬시보리</t>
    <phoneticPr fontId="15" type="noConversion"/>
  </si>
  <si>
    <t>STYLE NO: GYWSK01-W#H14</t>
    <phoneticPr fontId="1" type="noConversion"/>
  </si>
  <si>
    <t>밴드 안들어가는부분</t>
    <phoneticPr fontId="15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</si>
  <si>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</si>
  <si>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</si>
  <si>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STYLE NO: GYWTO02-K#H16</t>
    <phoneticPr fontId="1" type="noConversion"/>
  </si>
  <si>
    <t>앞중심</t>
    <phoneticPr fontId="1" type="noConversion"/>
  </si>
  <si>
    <t>완성사이즈</t>
    <phoneticPr fontId="15" type="noConversion"/>
  </si>
  <si>
    <t>소매 4골밴드</t>
    <phoneticPr fontId="1" type="noConversion"/>
  </si>
  <si>
    <t>노출길이 좌/우 각각 16cm</t>
    <phoneticPr fontId="15" type="noConversion"/>
  </si>
  <si>
    <t>STYLE NO: GYWTO04-K#H18</t>
    <phoneticPr fontId="1" type="noConversion"/>
  </si>
  <si>
    <t>STYLE NO: GYWPT03-K#H19</t>
    <phoneticPr fontId="1" type="noConversion"/>
  </si>
  <si>
    <t>뒷주머니</t>
    <phoneticPr fontId="15" type="noConversion"/>
  </si>
  <si>
    <t>STYLE NO: GYWTO03-K#H17</t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</si>
  <si>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주원단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</si>
  <si>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원단C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</si>
  <si>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t xml:space="preserve">앞중심에서 수직으로 </t>
    <phoneticPr fontId="1" type="noConversion"/>
  </si>
  <si>
    <t>옆목너비</t>
    <phoneticPr fontId="15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</si>
  <si>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</si>
  <si>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</si>
  <si>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>목둘레</t>
    </r>
    <r>
      <rPr>
        <sz val="7.5"/>
        <color rgb="FFFF0000"/>
        <rFont val="맑은 고딕"/>
        <family val="3"/>
        <charset val="129"/>
        <scheme val="minor"/>
      </rPr>
      <t>(랍빠)</t>
    </r>
    <phoneticPr fontId="15" type="noConversion"/>
  </si>
  <si>
    <t>XS</t>
    <phoneticPr fontId="1" type="noConversion"/>
  </si>
  <si>
    <t>STYLE NO: GYWTO06-K#H26</t>
    <phoneticPr fontId="1" type="noConversion"/>
  </si>
  <si>
    <t>겉-앞총장</t>
    <phoneticPr fontId="15" type="noConversion"/>
  </si>
  <si>
    <t>겉-뒤총장</t>
    <phoneticPr fontId="15" type="noConversion"/>
  </si>
  <si>
    <t>OUTSIDE TOTAL BACK LENGTH</t>
    <phoneticPr fontId="15" type="noConversion"/>
  </si>
  <si>
    <t>OUTSIDE TOTAL FRONT LENGTH</t>
    <phoneticPr fontId="15" type="noConversion"/>
  </si>
  <si>
    <t>SHOULDER STRAP</t>
    <phoneticPr fontId="15" type="noConversion"/>
  </si>
  <si>
    <t>어깨끈길이</t>
    <phoneticPr fontId="15" type="noConversion"/>
  </si>
  <si>
    <t>앞뒤 전체</t>
    <phoneticPr fontId="15" type="noConversion"/>
  </si>
  <si>
    <t>FRONT SLIT LENGTH</t>
    <phoneticPr fontId="2" type="noConversion"/>
  </si>
  <si>
    <t>앞단작길이</t>
    <phoneticPr fontId="15" type="noConversion"/>
  </si>
  <si>
    <t>STYLE NO: GYWTO07-K#H27</t>
    <phoneticPr fontId="1" type="noConversion"/>
  </si>
  <si>
    <t>옆목에서 앞뒤중심</t>
    <phoneticPr fontId="15" type="noConversion"/>
  </si>
  <si>
    <t xml:space="preserve">옆목에서 수직으로 </t>
    <phoneticPr fontId="1" type="noConversion"/>
  </si>
  <si>
    <t>앞중심에서 수평</t>
    <phoneticPr fontId="15" type="noConversion"/>
  </si>
  <si>
    <t>목둘레</t>
    <phoneticPr fontId="15" type="noConversion"/>
  </si>
  <si>
    <t>SIDESEAM 4G BAND</t>
    <phoneticPr fontId="1" type="noConversion"/>
  </si>
  <si>
    <t>와끼4골고무줄</t>
    <phoneticPr fontId="1" type="noConversion"/>
  </si>
  <si>
    <t>4골고무줄</t>
    <phoneticPr fontId="15" type="noConversion"/>
  </si>
  <si>
    <r>
      <t xml:space="preserve">첫번째 스티치선에서 수평으로 잰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</si>
  <si>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STYLE NO: GYWOU06-S#Y12(니트)</t>
    <phoneticPr fontId="1" type="noConversion"/>
  </si>
  <si>
    <t>노출길이= 16cm</t>
    <phoneticPr fontId="15" type="noConversion"/>
  </si>
  <si>
    <t>HOOD RIB WIDTH</t>
    <phoneticPr fontId="15" type="noConversion"/>
  </si>
  <si>
    <t>후드립 폭</t>
    <phoneticPr fontId="15" type="noConversion"/>
  </si>
  <si>
    <t>STYLE NO: GYWPT05-D#R29</t>
    <phoneticPr fontId="1" type="noConversion"/>
  </si>
  <si>
    <t>엉덩이둘레</t>
    <phoneticPr fontId="15" type="noConversion"/>
  </si>
  <si>
    <t>STYLE NO: GYWPT04-K#R22</t>
    <phoneticPr fontId="1" type="noConversion"/>
  </si>
  <si>
    <r>
      <t xml:space="preserve">바지 밑단의 둘레길이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2" type="noConversion"/>
  </si>
  <si>
    <t>턱펼친상태</t>
    <phoneticPr fontId="1" type="noConversion"/>
  </si>
  <si>
    <t>앞주머니</t>
    <phoneticPr fontId="15" type="noConversion"/>
  </si>
  <si>
    <t>오비포함 앞절개선 와끼기준</t>
    <phoneticPr fontId="1" type="noConversion"/>
  </si>
  <si>
    <r>
      <t xml:space="preserve">소매 밑단(시보리 밑단)의 둘레 길이 </t>
    </r>
    <r>
      <rPr>
        <sz val="7.5"/>
        <color rgb="FFFF0000"/>
        <rFont val="맑은 고딕"/>
        <family val="3"/>
        <charset val="129"/>
        <scheme val="minor"/>
      </rPr>
      <t>(접밴드 완성사이즈)</t>
    </r>
    <phoneticPr fontId="1" type="noConversion"/>
  </si>
  <si>
    <t>STYLE NO: GYFTO05-W#R21</t>
    <phoneticPr fontId="1" type="noConversion"/>
  </si>
  <si>
    <t>앞중심에서 수평으로</t>
    <phoneticPr fontId="15" type="noConversion"/>
  </si>
  <si>
    <r>
      <t xml:space="preserve">STRIGHT (1/2) </t>
    </r>
    <r>
      <rPr>
        <sz val="7.5"/>
        <color rgb="FFFF0000"/>
        <rFont val="맑은 고딕"/>
        <family val="3"/>
        <charset val="129"/>
        <scheme val="minor"/>
      </rPr>
      <t>(접밴드 완성사이즈)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</si>
</sst>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6" fillId="0" borderId="0">
      <alignment vertical="center"/>
    </xf>
  </cellStyleXfs>
  <cellXfs count="14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0" borderId="12" xfId="0" applyFont="1" applyBorder="1">
      <alignment vertical="center"/>
    </xf>
    <xf numFmtId="0" fontId="9" fillId="0" borderId="13" xfId="0" applyFont="1" applyBorder="1">
      <alignment vertical="center"/>
    </xf>
    <xf numFmtId="0" fontId="9" fillId="0" borderId="14" xfId="0" applyFont="1" applyBorder="1">
      <alignment vertical="center"/>
    </xf>
    <xf numFmtId="0" fontId="9" fillId="0" borderId="1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34" xfId="0" applyFont="1" applyBorder="1" applyAlignment="1">
      <alignment horizontal="left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7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7" fillId="0" borderId="41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7" fillId="2" borderId="31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40" xfId="0" applyFont="1" applyBorder="1" applyAlignment="1">
      <alignment horizontal="left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33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0" fontId="7" fillId="0" borderId="55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 wrapText="1"/>
    </xf>
    <xf numFmtId="0" fontId="10" fillId="0" borderId="54" xfId="0" applyFont="1" applyBorder="1" applyAlignment="1">
      <alignment horizontal="left" vertical="center" wrapText="1"/>
    </xf>
    <xf numFmtId="0" fontId="10" fillId="0" borderId="53" xfId="0" applyFont="1" applyBorder="1" applyAlignment="1">
      <alignment horizontal="left" vertical="center" wrapText="1"/>
    </xf>
    <xf numFmtId="0" fontId="7" fillId="2" borderId="55" xfId="0" applyFont="1" applyFill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2662-7421-4BE7-85F3-0F81D3B43759}">
  <sheetPr>
    <tabColor rgb="FFFF0000"/>
    <pageSetUpPr fitToPage="1"/>
  </sheetPr>
  <dimension ref="A1:M62"/>
  <sheetViews>
    <sheetView tabSelected="1" zoomScale="110" zoomScaleNormal="110" zoomScalePageLayoutView="30" workbookViewId="0">
      <selection activeCell="D23" sqref="D23:G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238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50.2</v>
      </c>
      <c r="I3" s="30">
        <f>SUM(H3)+2.9</f>
        <v>53.1</v>
      </c>
      <c r="J3" s="30">
        <f>SUM(I3)+2.9</f>
        <v>56</v>
      </c>
      <c r="K3" s="30"/>
      <c r="L3" s="33"/>
      <c r="M3" s="35"/>
    </row>
    <row r="4" spans="1:13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56</v>
      </c>
      <c r="I5" s="32">
        <f>SUM(H5)+4</f>
        <v>60</v>
      </c>
      <c r="J5" s="32">
        <f>SUM(I5)+4</f>
        <v>64</v>
      </c>
      <c r="K5" s="31"/>
      <c r="L5" s="31"/>
      <c r="M5" s="41"/>
    </row>
    <row r="6" spans="1:13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54</v>
      </c>
      <c r="I7" s="32">
        <f>SUM(H7)+4</f>
        <v>58</v>
      </c>
      <c r="J7" s="32">
        <f>SUM(I7)+4</f>
        <v>62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43</v>
      </c>
      <c r="I9" s="32">
        <f>SUM(H9)+3.2</f>
        <v>46.2</v>
      </c>
      <c r="J9" s="32">
        <f>SUM(I9)+3.2</f>
        <v>49.400000000000006</v>
      </c>
      <c r="K9" s="31"/>
      <c r="L9" s="31"/>
      <c r="M9" s="41"/>
    </row>
    <row r="10" spans="1:13" s="2" customFormat="1" ht="13.5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25</v>
      </c>
      <c r="I11" s="31">
        <f>SUM(H11)+1</f>
        <v>26</v>
      </c>
      <c r="J11" s="31">
        <f>SUM(I11)+1</f>
        <v>27</v>
      </c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19</v>
      </c>
      <c r="I13" s="31">
        <f>SUM(H13)+0.6</f>
        <v>19.600000000000001</v>
      </c>
      <c r="J13" s="31">
        <f>SUM(I13)+0.6</f>
        <v>20.200000000000003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7.7</v>
      </c>
      <c r="I15" s="31">
        <f>SUM(H15)+0.3</f>
        <v>8</v>
      </c>
      <c r="J15" s="31">
        <f>SUM(I15)+0.3</f>
        <v>8.3000000000000007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47.8</v>
      </c>
      <c r="I17" s="31">
        <f>SUM(H17)+1.6</f>
        <v>49.4</v>
      </c>
      <c r="J17" s="31">
        <f>SUM(I17)+1.6</f>
        <v>51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239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45.5</v>
      </c>
      <c r="I19" s="31">
        <f>SUM(H19)+2</f>
        <v>47.5</v>
      </c>
      <c r="J19" s="31">
        <f>SUM(I19)+2</f>
        <v>49.5</v>
      </c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48</v>
      </c>
      <c r="I21" s="31">
        <f>SUM(H21)+1.9</f>
        <v>49.9</v>
      </c>
      <c r="J21" s="31">
        <f>SUM(I21)+1.9</f>
        <v>51.8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18</v>
      </c>
      <c r="I23" s="31">
        <f>SUM(H23)+0.8</f>
        <v>18.8</v>
      </c>
      <c r="J23" s="31">
        <f>SUM(I23)+0.8</f>
        <v>19.600000000000001</v>
      </c>
      <c r="K23" s="31"/>
      <c r="L23" s="31"/>
      <c r="M23" s="41"/>
    </row>
    <row r="24" spans="1:13" s="2" customFormat="1" ht="13.5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136</v>
      </c>
      <c r="C25" s="44"/>
      <c r="D25" s="53"/>
      <c r="E25" s="53"/>
      <c r="F25" s="53"/>
      <c r="G25" s="53"/>
      <c r="H25" s="48">
        <v>17.399999999999999</v>
      </c>
      <c r="I25" s="32">
        <f>SUM(H25)+1.4</f>
        <v>18.799999999999997</v>
      </c>
      <c r="J25" s="32">
        <f>SUM(I25)+1.4</f>
        <v>20.199999999999996</v>
      </c>
      <c r="K25" s="32"/>
      <c r="L25" s="32"/>
      <c r="M25" s="54"/>
    </row>
    <row r="26" spans="1:13" ht="13.5" customHeight="1" x14ac:dyDescent="0.3">
      <c r="A26" s="22"/>
      <c r="B26" s="50" t="s">
        <v>135</v>
      </c>
      <c r="C26" s="51"/>
      <c r="D26" s="38" t="s">
        <v>153</v>
      </c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43" t="s">
        <v>134</v>
      </c>
      <c r="C27" s="44"/>
      <c r="D27" s="53"/>
      <c r="E27" s="53"/>
      <c r="F27" s="53"/>
      <c r="G27" s="53"/>
      <c r="H27" s="48">
        <v>18.5</v>
      </c>
      <c r="I27" s="32">
        <f>SUM(H27)+1.5</f>
        <v>20</v>
      </c>
      <c r="J27" s="32">
        <f>SUM(I27)+1.5</f>
        <v>21.5</v>
      </c>
      <c r="K27" s="32"/>
      <c r="L27" s="32"/>
      <c r="M27" s="54"/>
    </row>
    <row r="28" spans="1:13" ht="13.5" customHeight="1" x14ac:dyDescent="0.3">
      <c r="A28" s="22"/>
      <c r="B28" s="37" t="s">
        <v>133</v>
      </c>
      <c r="C28" s="37"/>
      <c r="D28" s="38"/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144</v>
      </c>
      <c r="C29" s="52"/>
      <c r="D29" s="45" t="s">
        <v>143</v>
      </c>
      <c r="E29" s="46"/>
      <c r="F29" s="46"/>
      <c r="G29" s="47"/>
      <c r="H29" s="48">
        <v>37</v>
      </c>
      <c r="I29" s="32">
        <f>SUM(H29)+1</f>
        <v>38</v>
      </c>
      <c r="J29" s="32">
        <f>SUM(I29)+1</f>
        <v>39</v>
      </c>
      <c r="K29" s="32"/>
      <c r="L29" s="31"/>
      <c r="M29" s="41"/>
    </row>
    <row r="30" spans="1:13" s="2" customFormat="1" ht="13.5" customHeight="1" x14ac:dyDescent="0.3">
      <c r="A30" s="22"/>
      <c r="B30" s="37" t="s">
        <v>142</v>
      </c>
      <c r="C30" s="37"/>
      <c r="D30" s="38" t="s">
        <v>141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140</v>
      </c>
      <c r="C31" s="52"/>
      <c r="D31" s="45" t="s">
        <v>139</v>
      </c>
      <c r="E31" s="46"/>
      <c r="F31" s="46"/>
      <c r="G31" s="47"/>
      <c r="H31" s="48">
        <v>25</v>
      </c>
      <c r="I31" s="32">
        <f>SUM(H31)+0.8</f>
        <v>25.8</v>
      </c>
      <c r="J31" s="32">
        <f>SUM(I31)+0.8</f>
        <v>26.6</v>
      </c>
      <c r="K31" s="32"/>
      <c r="L31" s="32"/>
      <c r="M31" s="54"/>
    </row>
    <row r="32" spans="1:13" s="2" customFormat="1" ht="13.5" customHeight="1" x14ac:dyDescent="0.3">
      <c r="A32" s="22"/>
      <c r="B32" s="37" t="s">
        <v>138</v>
      </c>
      <c r="C32" s="37"/>
      <c r="D32" s="38" t="s">
        <v>137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22">
        <v>16</v>
      </c>
      <c r="B33" s="52" t="s">
        <v>240</v>
      </c>
      <c r="C33" s="52"/>
      <c r="D33" s="45"/>
      <c r="E33" s="46"/>
      <c r="F33" s="46"/>
      <c r="G33" s="47"/>
      <c r="H33" s="48">
        <v>72.5</v>
      </c>
      <c r="I33" s="32">
        <f>SUM(H33)+2</f>
        <v>74.5</v>
      </c>
      <c r="J33" s="32">
        <f>SUM(I33)+2</f>
        <v>76.5</v>
      </c>
      <c r="K33" s="32"/>
      <c r="L33" s="32"/>
      <c r="M33" s="54"/>
    </row>
    <row r="34" spans="1:13" s="2" customFormat="1" ht="13.5" customHeight="1" x14ac:dyDescent="0.3">
      <c r="A34" s="22"/>
      <c r="B34" s="37" t="s">
        <v>241</v>
      </c>
      <c r="C34" s="37"/>
      <c r="D34" s="38"/>
      <c r="E34" s="39"/>
      <c r="F34" s="39"/>
      <c r="G34" s="42"/>
      <c r="H34" s="49"/>
      <c r="I34" s="34"/>
      <c r="J34" s="34"/>
      <c r="K34" s="34"/>
      <c r="L34" s="34"/>
      <c r="M34" s="36"/>
    </row>
    <row r="35" spans="1:13" s="2" customFormat="1" ht="13.5" customHeight="1" x14ac:dyDescent="0.3">
      <c r="A35" s="22">
        <v>17</v>
      </c>
      <c r="B35" s="43" t="s">
        <v>39</v>
      </c>
      <c r="C35" s="44"/>
      <c r="D35" s="62"/>
      <c r="E35" s="63"/>
      <c r="F35" s="63"/>
      <c r="G35" s="64"/>
      <c r="H35" s="29">
        <v>7</v>
      </c>
      <c r="I35" s="31">
        <f>SUM(H35)+0.4</f>
        <v>7.4</v>
      </c>
      <c r="J35" s="31">
        <f>SUM(I35)+0.4</f>
        <v>7.8000000000000007</v>
      </c>
      <c r="K35" s="32"/>
      <c r="L35" s="32"/>
      <c r="M35" s="54"/>
    </row>
    <row r="36" spans="1:13" s="2" customFormat="1" ht="13.5" customHeight="1" x14ac:dyDescent="0.3">
      <c r="A36" s="22"/>
      <c r="B36" s="50" t="s">
        <v>40</v>
      </c>
      <c r="C36" s="51"/>
      <c r="D36" s="38" t="s">
        <v>242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3.5" customHeight="1" x14ac:dyDescent="0.3">
      <c r="A37" s="22">
        <v>18</v>
      </c>
      <c r="B37" s="43" t="s">
        <v>95</v>
      </c>
      <c r="C37" s="44"/>
      <c r="D37" s="62"/>
      <c r="E37" s="63"/>
      <c r="F37" s="63"/>
      <c r="G37" s="64"/>
      <c r="H37" s="29">
        <v>44</v>
      </c>
      <c r="I37" s="31">
        <v>46.5</v>
      </c>
      <c r="J37" s="31">
        <v>49.5</v>
      </c>
      <c r="K37" s="32"/>
      <c r="L37" s="32"/>
      <c r="M37" s="54"/>
    </row>
    <row r="38" spans="1:13" s="2" customFormat="1" ht="13.5" customHeight="1" x14ac:dyDescent="0.3">
      <c r="A38" s="22"/>
      <c r="B38" s="50" t="s">
        <v>94</v>
      </c>
      <c r="C38" s="51"/>
      <c r="D38" s="38" t="s">
        <v>154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3" ht="14.1" customHeight="1" x14ac:dyDescent="0.3">
      <c r="A39" s="55">
        <v>19</v>
      </c>
      <c r="B39" s="23"/>
      <c r="C39" s="24"/>
      <c r="D39" s="57"/>
      <c r="E39" s="58"/>
      <c r="F39" s="58"/>
      <c r="G39" s="59"/>
      <c r="H39" s="49"/>
      <c r="I39" s="34"/>
      <c r="J39" s="34"/>
      <c r="K39" s="65"/>
      <c r="L39" s="65"/>
      <c r="M39" s="67"/>
    </row>
    <row r="40" spans="1:13" ht="14.1" customHeight="1" thickBot="1" x14ac:dyDescent="0.35">
      <c r="A40" s="56"/>
      <c r="B40" s="69"/>
      <c r="C40" s="70"/>
      <c r="D40" s="71"/>
      <c r="E40" s="72"/>
      <c r="F40" s="72"/>
      <c r="G40" s="73"/>
      <c r="H40" s="60"/>
      <c r="I40" s="61"/>
      <c r="J40" s="61"/>
      <c r="K40" s="66"/>
      <c r="L40" s="66"/>
      <c r="M40" s="68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M31:M32"/>
    <mergeCell ref="B32:C32"/>
    <mergeCell ref="D32:G3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29:K30"/>
    <mergeCell ref="L29:L30"/>
    <mergeCell ref="M29:M30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A31:A32"/>
    <mergeCell ref="B31:C31"/>
    <mergeCell ref="D31:G31"/>
    <mergeCell ref="H31:H32"/>
    <mergeCell ref="I31:I32"/>
    <mergeCell ref="J31:J32"/>
    <mergeCell ref="K31:K32"/>
    <mergeCell ref="L31:L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FB77E-25E8-4932-8F0B-39D679A770E0}">
  <sheetPr>
    <tabColor rgb="FFFF0000"/>
    <pageSetUpPr fitToPage="1"/>
  </sheetPr>
  <dimension ref="A1:P62"/>
  <sheetViews>
    <sheetView topLeftCell="A10" zoomScale="110" zoomScaleNormal="110" zoomScalePageLayoutView="30" workbookViewId="0">
      <selection activeCell="B25" sqref="B25:C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243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55</v>
      </c>
      <c r="I3" s="30">
        <f>SUM(H3)+2.9</f>
        <v>57.9</v>
      </c>
      <c r="J3" s="30">
        <f>SUM(I3)+2.9</f>
        <v>60.8</v>
      </c>
      <c r="K3" s="30"/>
      <c r="L3" s="33"/>
      <c r="M3" s="35"/>
    </row>
    <row r="4" spans="1:13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54</v>
      </c>
      <c r="I5" s="32">
        <f>SUM(H5)+3.8</f>
        <v>57.8</v>
      </c>
      <c r="J5" s="32">
        <f>SUM(I5)+3.8</f>
        <v>61.599999999999994</v>
      </c>
      <c r="K5" s="31"/>
      <c r="L5" s="31"/>
      <c r="M5" s="41"/>
    </row>
    <row r="6" spans="1:13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58</v>
      </c>
      <c r="I7" s="32">
        <f>SUM(H7)+4</f>
        <v>62</v>
      </c>
      <c r="J7" s="32">
        <f>SUM(I7)+4</f>
        <v>66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253</v>
      </c>
      <c r="C9" s="52"/>
      <c r="D9" s="53"/>
      <c r="E9" s="53"/>
      <c r="F9" s="53"/>
      <c r="G9" s="53"/>
      <c r="H9" s="48">
        <v>77</v>
      </c>
      <c r="I9" s="32">
        <f>SUM(H9)+5.6</f>
        <v>82.6</v>
      </c>
      <c r="J9" s="32">
        <f>SUM(I9)+5.6</f>
        <v>88.199999999999989</v>
      </c>
      <c r="K9" s="31"/>
      <c r="L9" s="31"/>
      <c r="M9" s="41"/>
    </row>
    <row r="10" spans="1:13" s="2" customFormat="1" ht="13.5" customHeight="1" x14ac:dyDescent="0.3">
      <c r="A10" s="22"/>
      <c r="B10" s="37" t="s">
        <v>251</v>
      </c>
      <c r="C10" s="37"/>
      <c r="D10" s="38" t="s">
        <v>252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25</v>
      </c>
      <c r="I11" s="31">
        <f>SUM(H11)+1</f>
        <v>26</v>
      </c>
      <c r="J11" s="31">
        <f>SUM(I11)+1</f>
        <v>27</v>
      </c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18</v>
      </c>
      <c r="I13" s="31">
        <f>SUM(H13)+0.6</f>
        <v>18.600000000000001</v>
      </c>
      <c r="J13" s="31">
        <f>SUM(I13)+0.6</f>
        <v>19.200000000000003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7.5</v>
      </c>
      <c r="I15" s="31">
        <f>SUM(H15)+0.3</f>
        <v>7.8</v>
      </c>
      <c r="J15" s="31">
        <f>SUM(I15)+0.3</f>
        <v>8.1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44.6</v>
      </c>
      <c r="I17" s="31">
        <f>SUM(H17)+1.6</f>
        <v>46.2</v>
      </c>
      <c r="J17" s="31">
        <f>SUM(I17)+1.6</f>
        <v>47.800000000000004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244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46.5</v>
      </c>
      <c r="I19" s="31">
        <f>SUM(H19)+2.1</f>
        <v>48.6</v>
      </c>
      <c r="J19" s="31">
        <f>SUM(I19)+2.1</f>
        <v>50.7</v>
      </c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49</v>
      </c>
      <c r="I21" s="31">
        <f>SUM(H21)+2</f>
        <v>51</v>
      </c>
      <c r="J21" s="31">
        <f>SUM(I21)+2</f>
        <v>53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254</v>
      </c>
      <c r="C23" s="44"/>
      <c r="D23" s="53"/>
      <c r="E23" s="53"/>
      <c r="F23" s="53"/>
      <c r="G23" s="53"/>
      <c r="H23" s="29">
        <v>19</v>
      </c>
      <c r="I23" s="31">
        <f>SUM(H23)+0.8</f>
        <v>19.8</v>
      </c>
      <c r="J23" s="31">
        <f>SUM(I23)+0.8</f>
        <v>20.6</v>
      </c>
      <c r="K23" s="31"/>
      <c r="L23" s="31"/>
      <c r="M23" s="41"/>
    </row>
    <row r="24" spans="1:13" s="2" customFormat="1" ht="13.5" customHeight="1" x14ac:dyDescent="0.3">
      <c r="A24" s="22"/>
      <c r="B24" s="37" t="s">
        <v>255</v>
      </c>
      <c r="C24" s="37"/>
      <c r="D24" s="38" t="s">
        <v>252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245</v>
      </c>
      <c r="C25" s="44"/>
      <c r="D25" s="53"/>
      <c r="E25" s="53"/>
      <c r="F25" s="53"/>
      <c r="G25" s="53"/>
      <c r="H25" s="48">
        <v>14.5</v>
      </c>
      <c r="I25" s="32">
        <f>SUM(H25)+0.6</f>
        <v>15.1</v>
      </c>
      <c r="J25" s="32">
        <f>SUM(I25)+0.6</f>
        <v>15.7</v>
      </c>
      <c r="K25" s="32"/>
      <c r="L25" s="32"/>
      <c r="M25" s="54"/>
    </row>
    <row r="26" spans="1:13" ht="13.5" customHeight="1" x14ac:dyDescent="0.3">
      <c r="A26" s="22"/>
      <c r="B26" s="50" t="s">
        <v>246</v>
      </c>
      <c r="C26" s="51"/>
      <c r="D26" s="38"/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52" t="s">
        <v>144</v>
      </c>
      <c r="C27" s="52"/>
      <c r="D27" s="45" t="s">
        <v>143</v>
      </c>
      <c r="E27" s="46"/>
      <c r="F27" s="46"/>
      <c r="G27" s="47"/>
      <c r="H27" s="48">
        <v>38</v>
      </c>
      <c r="I27" s="32">
        <f>SUM(H27)+1</f>
        <v>39</v>
      </c>
      <c r="J27" s="32">
        <f>SUM(I27)+1</f>
        <v>40</v>
      </c>
      <c r="K27" s="32"/>
      <c r="L27" s="32"/>
      <c r="M27" s="54"/>
    </row>
    <row r="28" spans="1:13" ht="13.5" customHeight="1" x14ac:dyDescent="0.3">
      <c r="A28" s="22"/>
      <c r="B28" s="37" t="s">
        <v>142</v>
      </c>
      <c r="C28" s="37"/>
      <c r="D28" s="38" t="s">
        <v>141</v>
      </c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140</v>
      </c>
      <c r="C29" s="52"/>
      <c r="D29" s="45" t="s">
        <v>139</v>
      </c>
      <c r="E29" s="46"/>
      <c r="F29" s="46"/>
      <c r="G29" s="47"/>
      <c r="H29" s="48">
        <v>25</v>
      </c>
      <c r="I29" s="32">
        <f>SUM(H29)+0.8</f>
        <v>25.8</v>
      </c>
      <c r="J29" s="32">
        <f>SUM(I29)+0.8</f>
        <v>26.6</v>
      </c>
      <c r="K29" s="32"/>
      <c r="L29" s="31"/>
      <c r="M29" s="41"/>
    </row>
    <row r="30" spans="1:13" s="2" customFormat="1" ht="13.5" customHeight="1" x14ac:dyDescent="0.3">
      <c r="A30" s="22"/>
      <c r="B30" s="37" t="s">
        <v>138</v>
      </c>
      <c r="C30" s="37"/>
      <c r="D30" s="38" t="s">
        <v>137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247</v>
      </c>
      <c r="C31" s="52"/>
      <c r="D31" s="45"/>
      <c r="E31" s="46"/>
      <c r="F31" s="46"/>
      <c r="G31" s="47"/>
      <c r="H31" s="48">
        <v>111</v>
      </c>
      <c r="I31" s="32">
        <f>SUM(H31)+2</f>
        <v>113</v>
      </c>
      <c r="J31" s="32">
        <f>SUM(I31)+2</f>
        <v>115</v>
      </c>
      <c r="K31" s="32"/>
      <c r="L31" s="32"/>
      <c r="M31" s="54"/>
    </row>
    <row r="32" spans="1:13" s="2" customFormat="1" ht="13.5" customHeight="1" x14ac:dyDescent="0.3">
      <c r="A32" s="22"/>
      <c r="B32" s="37" t="s">
        <v>197</v>
      </c>
      <c r="C32" s="37"/>
      <c r="D32" s="38" t="s">
        <v>248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6" s="2" customFormat="1" ht="13.5" customHeight="1" x14ac:dyDescent="0.3">
      <c r="A33" s="22">
        <v>16</v>
      </c>
      <c r="B33" s="43" t="s">
        <v>39</v>
      </c>
      <c r="C33" s="44"/>
      <c r="D33" s="45"/>
      <c r="E33" s="46"/>
      <c r="F33" s="46"/>
      <c r="G33" s="47"/>
      <c r="H33" s="29">
        <v>14.5</v>
      </c>
      <c r="I33" s="31">
        <f>SUM(H33)+0.6</f>
        <v>15.1</v>
      </c>
      <c r="J33" s="31">
        <f>SUM(I33)+0.6</f>
        <v>15.7</v>
      </c>
      <c r="K33" s="32"/>
      <c r="L33" s="32"/>
      <c r="M33" s="54"/>
    </row>
    <row r="34" spans="1:16" s="2" customFormat="1" ht="13.5" customHeight="1" x14ac:dyDescent="0.3">
      <c r="A34" s="22"/>
      <c r="B34" s="50" t="s">
        <v>40</v>
      </c>
      <c r="C34" s="51"/>
      <c r="D34" s="38" t="s">
        <v>249</v>
      </c>
      <c r="E34" s="39"/>
      <c r="F34" s="39"/>
      <c r="G34" s="42"/>
      <c r="H34" s="29"/>
      <c r="I34" s="31"/>
      <c r="J34" s="31"/>
      <c r="K34" s="34"/>
      <c r="L34" s="34"/>
      <c r="M34" s="36"/>
    </row>
    <row r="35" spans="1:16" s="2" customFormat="1" ht="13.5" customHeight="1" x14ac:dyDescent="0.3">
      <c r="A35" s="22">
        <v>17</v>
      </c>
      <c r="B35" s="43" t="s">
        <v>86</v>
      </c>
      <c r="C35" s="44"/>
      <c r="D35" s="62"/>
      <c r="E35" s="63"/>
      <c r="F35" s="63"/>
      <c r="G35" s="64"/>
      <c r="H35" s="29">
        <v>9.5</v>
      </c>
      <c r="I35" s="31">
        <f>SUM(H35)+0.7</f>
        <v>10.199999999999999</v>
      </c>
      <c r="J35" s="31">
        <f>SUM(I35)+0.7</f>
        <v>10.899999999999999</v>
      </c>
      <c r="K35" s="32"/>
      <c r="L35" s="32"/>
      <c r="M35" s="54"/>
    </row>
    <row r="36" spans="1:16" s="2" customFormat="1" ht="13.5" customHeight="1" x14ac:dyDescent="0.3">
      <c r="A36" s="22"/>
      <c r="B36" s="50" t="s">
        <v>87</v>
      </c>
      <c r="C36" s="51"/>
      <c r="D36" s="38" t="s">
        <v>250</v>
      </c>
      <c r="E36" s="39"/>
      <c r="F36" s="39"/>
      <c r="G36" s="42"/>
      <c r="H36" s="29"/>
      <c r="I36" s="31"/>
      <c r="J36" s="31"/>
      <c r="K36" s="34"/>
      <c r="L36" s="34"/>
      <c r="M36" s="36"/>
      <c r="P36" s="2" t="s">
        <v>168</v>
      </c>
    </row>
    <row r="37" spans="1:16" s="2" customFormat="1" ht="13.5" customHeight="1" x14ac:dyDescent="0.3">
      <c r="A37" s="22">
        <v>18</v>
      </c>
      <c r="B37" s="43" t="s">
        <v>95</v>
      </c>
      <c r="C37" s="44"/>
      <c r="D37" s="62"/>
      <c r="E37" s="63"/>
      <c r="F37" s="63"/>
      <c r="G37" s="64"/>
      <c r="H37" s="29">
        <v>49</v>
      </c>
      <c r="I37" s="31">
        <v>51.5</v>
      </c>
      <c r="J37" s="31">
        <v>54.5</v>
      </c>
      <c r="K37" s="32"/>
      <c r="L37" s="32"/>
      <c r="M37" s="54"/>
    </row>
    <row r="38" spans="1:16" s="2" customFormat="1" ht="13.5" customHeight="1" x14ac:dyDescent="0.3">
      <c r="A38" s="22"/>
      <c r="B38" s="50" t="s">
        <v>94</v>
      </c>
      <c r="C38" s="51"/>
      <c r="D38" s="38" t="s">
        <v>154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6" ht="14.1" customHeight="1" x14ac:dyDescent="0.3">
      <c r="A39" s="55">
        <v>19</v>
      </c>
      <c r="B39" s="23"/>
      <c r="C39" s="24"/>
      <c r="D39" s="57"/>
      <c r="E39" s="58"/>
      <c r="F39" s="58"/>
      <c r="G39" s="59"/>
      <c r="H39" s="49"/>
      <c r="I39" s="34"/>
      <c r="J39" s="34" t="s">
        <v>168</v>
      </c>
      <c r="K39" s="65"/>
      <c r="L39" s="65"/>
      <c r="M39" s="67"/>
    </row>
    <row r="40" spans="1:16" ht="14.1" customHeight="1" thickBot="1" x14ac:dyDescent="0.35">
      <c r="A40" s="56"/>
      <c r="B40" s="69"/>
      <c r="C40" s="70"/>
      <c r="D40" s="71"/>
      <c r="E40" s="72"/>
      <c r="F40" s="72"/>
      <c r="G40" s="73"/>
      <c r="H40" s="60"/>
      <c r="I40" s="61"/>
      <c r="J40" s="61"/>
      <c r="K40" s="66"/>
      <c r="L40" s="66"/>
      <c r="M40" s="68"/>
    </row>
    <row r="41" spans="1:16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6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6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6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6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6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6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6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D49B8-B115-4973-8AD4-5949A113452E}">
  <sheetPr>
    <tabColor rgb="FFFF0000"/>
    <pageSetUpPr fitToPage="1"/>
  </sheetPr>
  <dimension ref="A1:M62"/>
  <sheetViews>
    <sheetView topLeftCell="A10" zoomScale="110" zoomScaleNormal="110" zoomScalePageLayoutView="3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191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48</v>
      </c>
      <c r="I3" s="30">
        <f>SUM(H3)+3</f>
        <v>51</v>
      </c>
      <c r="J3" s="30">
        <f>SUM(I3)+3</f>
        <v>54</v>
      </c>
      <c r="K3" s="30"/>
      <c r="L3" s="33"/>
      <c r="M3" s="35"/>
    </row>
    <row r="4" spans="1:13" s="2" customFormat="1" ht="13.5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77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38</v>
      </c>
      <c r="I5" s="32">
        <f>SUM(H5)+3.2</f>
        <v>41.2</v>
      </c>
      <c r="J5" s="32">
        <f>SUM(I5)+3.2</f>
        <v>44.400000000000006</v>
      </c>
      <c r="K5" s="32"/>
      <c r="L5" s="32"/>
      <c r="M5" s="54"/>
    </row>
    <row r="6" spans="1:13" s="2" customFormat="1" ht="13.5" customHeight="1" x14ac:dyDescent="0.3">
      <c r="A6" s="55"/>
      <c r="B6" s="50" t="s">
        <v>12</v>
      </c>
      <c r="C6" s="51"/>
      <c r="D6" s="38" t="s">
        <v>192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3.5" customHeight="1" x14ac:dyDescent="0.3">
      <c r="A7" s="77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48</v>
      </c>
      <c r="I7" s="32">
        <f>SUM(H7)+4</f>
        <v>52</v>
      </c>
      <c r="J7" s="32">
        <f>SUM(I7)+4</f>
        <v>56</v>
      </c>
      <c r="K7" s="31"/>
      <c r="L7" s="31"/>
      <c r="M7" s="41"/>
    </row>
    <row r="8" spans="1:13" s="2" customFormat="1" ht="13.5" customHeight="1" x14ac:dyDescent="0.3">
      <c r="A8" s="55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3.5" customHeight="1" x14ac:dyDescent="0.3">
      <c r="A9" s="77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38</v>
      </c>
      <c r="I9" s="32">
        <f>SUM(H9)+3.2</f>
        <v>41.2</v>
      </c>
      <c r="J9" s="32">
        <f>SUM(I9)+3.2</f>
        <v>44.400000000000006</v>
      </c>
      <c r="K9" s="31"/>
      <c r="L9" s="31"/>
      <c r="M9" s="41"/>
    </row>
    <row r="10" spans="1:13" s="2" customFormat="1" ht="13.5" customHeight="1" x14ac:dyDescent="0.3">
      <c r="A10" s="55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77">
        <v>5</v>
      </c>
      <c r="B11" s="52" t="s">
        <v>159</v>
      </c>
      <c r="C11" s="52"/>
      <c r="D11" s="53"/>
      <c r="E11" s="53"/>
      <c r="F11" s="53"/>
      <c r="G11" s="53"/>
      <c r="H11" s="29">
        <v>6.5</v>
      </c>
      <c r="I11" s="31">
        <f>SUM(H11)</f>
        <v>6.5</v>
      </c>
      <c r="J11" s="31">
        <f>SUM(I11)</f>
        <v>6.5</v>
      </c>
      <c r="K11" s="32"/>
      <c r="L11" s="32"/>
      <c r="M11" s="54"/>
    </row>
    <row r="12" spans="1:13" s="2" customFormat="1" ht="13.5" customHeight="1" x14ac:dyDescent="0.3">
      <c r="A12" s="55"/>
      <c r="B12" s="37" t="s">
        <v>160</v>
      </c>
      <c r="C12" s="37"/>
      <c r="D12" s="38"/>
      <c r="E12" s="39"/>
      <c r="F12" s="39"/>
      <c r="G12" s="42"/>
      <c r="H12" s="29"/>
      <c r="I12" s="31"/>
      <c r="J12" s="31"/>
      <c r="K12" s="34"/>
      <c r="L12" s="34"/>
      <c r="M12" s="36"/>
    </row>
    <row r="13" spans="1:13" s="2" customFormat="1" ht="13.5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24</v>
      </c>
      <c r="I13" s="31">
        <f>SUM(H13)+1</f>
        <v>25</v>
      </c>
      <c r="J13" s="31">
        <f>SUM(I13)+1</f>
        <v>26</v>
      </c>
      <c r="K13" s="31"/>
      <c r="L13" s="31"/>
      <c r="M13" s="41"/>
    </row>
    <row r="14" spans="1:13" s="2" customFormat="1" ht="13.5" customHeight="1" x14ac:dyDescent="0.3">
      <c r="A14" s="55"/>
      <c r="B14" s="37" t="s">
        <v>14</v>
      </c>
      <c r="C14" s="37"/>
      <c r="D14" s="38" t="s">
        <v>193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22</v>
      </c>
      <c r="I15" s="31">
        <f>SUM(H15)+0.6</f>
        <v>22.6</v>
      </c>
      <c r="J15" s="31">
        <f>SUM(I15)+0.6</f>
        <v>23.200000000000003</v>
      </c>
      <c r="K15" s="31"/>
      <c r="L15" s="31"/>
      <c r="M15" s="41"/>
    </row>
    <row r="16" spans="1:13" s="2" customFormat="1" ht="13.5" customHeight="1" x14ac:dyDescent="0.3">
      <c r="A16" s="55"/>
      <c r="B16" s="37" t="s">
        <v>15</v>
      </c>
      <c r="C16" s="37"/>
      <c r="D16" s="38" t="s">
        <v>89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6</v>
      </c>
      <c r="I17" s="31">
        <f>SUM(H17)+0.3</f>
        <v>6.3</v>
      </c>
      <c r="J17" s="31">
        <f>SUM(I17)+0.3</f>
        <v>6.6</v>
      </c>
      <c r="K17" s="31"/>
      <c r="L17" s="31"/>
      <c r="M17" s="41"/>
    </row>
    <row r="18" spans="1:13" s="2" customFormat="1" ht="13.5" customHeight="1" x14ac:dyDescent="0.3">
      <c r="A18" s="55"/>
      <c r="B18" s="37" t="s">
        <v>16</v>
      </c>
      <c r="C18" s="37"/>
      <c r="D18" s="38" t="s">
        <v>88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77">
        <v>9</v>
      </c>
      <c r="B19" s="52" t="s">
        <v>144</v>
      </c>
      <c r="C19" s="52"/>
      <c r="D19" s="45" t="s">
        <v>143</v>
      </c>
      <c r="E19" s="46"/>
      <c r="F19" s="46"/>
      <c r="G19" s="47"/>
      <c r="H19" s="48">
        <v>36</v>
      </c>
      <c r="I19" s="32">
        <f>SUM(H19)+1</f>
        <v>37</v>
      </c>
      <c r="J19" s="32">
        <f>SUM(I19)+1</f>
        <v>38</v>
      </c>
      <c r="K19" s="31"/>
      <c r="L19" s="31"/>
      <c r="M19" s="41"/>
    </row>
    <row r="20" spans="1:13" s="2" customFormat="1" ht="13.5" customHeight="1" x14ac:dyDescent="0.3">
      <c r="A20" s="55"/>
      <c r="B20" s="37" t="s">
        <v>142</v>
      </c>
      <c r="C20" s="37"/>
      <c r="D20" s="38" t="s">
        <v>141</v>
      </c>
      <c r="E20" s="39"/>
      <c r="F20" s="39"/>
      <c r="G20" s="42"/>
      <c r="H20" s="49"/>
      <c r="I20" s="34"/>
      <c r="J20" s="34"/>
      <c r="K20" s="31"/>
      <c r="L20" s="31"/>
      <c r="M20" s="41"/>
    </row>
    <row r="21" spans="1:13" s="2" customFormat="1" ht="13.5" customHeight="1" x14ac:dyDescent="0.3">
      <c r="A21" s="77">
        <v>10</v>
      </c>
      <c r="B21" s="52" t="s">
        <v>140</v>
      </c>
      <c r="C21" s="52"/>
      <c r="D21" s="45" t="s">
        <v>139</v>
      </c>
      <c r="E21" s="46"/>
      <c r="F21" s="46"/>
      <c r="G21" s="47"/>
      <c r="H21" s="48">
        <v>25</v>
      </c>
      <c r="I21" s="32">
        <f>SUM(H21)+0.8</f>
        <v>25.8</v>
      </c>
      <c r="J21" s="32">
        <f>SUM(I21)+0.8</f>
        <v>26.6</v>
      </c>
      <c r="K21" s="31"/>
      <c r="L21" s="31"/>
      <c r="M21" s="41"/>
    </row>
    <row r="22" spans="1:13" s="2" customFormat="1" ht="13.5" customHeight="1" x14ac:dyDescent="0.3">
      <c r="A22" s="55"/>
      <c r="B22" s="37" t="s">
        <v>138</v>
      </c>
      <c r="C22" s="37"/>
      <c r="D22" s="38" t="s">
        <v>137</v>
      </c>
      <c r="E22" s="39"/>
      <c r="F22" s="39"/>
      <c r="G22" s="42"/>
      <c r="H22" s="49"/>
      <c r="I22" s="34"/>
      <c r="J22" s="34"/>
      <c r="K22" s="31"/>
      <c r="L22" s="31"/>
      <c r="M22" s="41"/>
    </row>
    <row r="23" spans="1:13" s="2" customFormat="1" ht="13.5" customHeight="1" x14ac:dyDescent="0.3">
      <c r="A23" s="77">
        <v>11</v>
      </c>
      <c r="B23" s="52" t="s">
        <v>196</v>
      </c>
      <c r="C23" s="52"/>
      <c r="D23" s="45"/>
      <c r="E23" s="46"/>
      <c r="F23" s="46"/>
      <c r="G23" s="47"/>
      <c r="H23" s="48">
        <v>101</v>
      </c>
      <c r="I23" s="32">
        <f>SUM(H23)+2</f>
        <v>103</v>
      </c>
      <c r="J23" s="32">
        <f>SUM(I23)+2</f>
        <v>105</v>
      </c>
      <c r="K23" s="31"/>
      <c r="L23" s="31"/>
      <c r="M23" s="41"/>
    </row>
    <row r="24" spans="1:13" s="2" customFormat="1" ht="13.5" customHeight="1" x14ac:dyDescent="0.3">
      <c r="A24" s="55"/>
      <c r="B24" s="37" t="s">
        <v>197</v>
      </c>
      <c r="C24" s="37"/>
      <c r="D24" s="38" t="s">
        <v>198</v>
      </c>
      <c r="E24" s="39"/>
      <c r="F24" s="39"/>
      <c r="G24" s="42"/>
      <c r="H24" s="49"/>
      <c r="I24" s="34"/>
      <c r="J24" s="34"/>
      <c r="K24" s="31"/>
      <c r="L24" s="31"/>
      <c r="M24" s="41"/>
    </row>
    <row r="25" spans="1:13" ht="13.5" customHeight="1" x14ac:dyDescent="0.3">
      <c r="A25" s="77">
        <v>12</v>
      </c>
      <c r="B25" s="52" t="s">
        <v>5</v>
      </c>
      <c r="C25" s="52"/>
      <c r="D25" s="53" t="s">
        <v>6</v>
      </c>
      <c r="E25" s="53"/>
      <c r="F25" s="53"/>
      <c r="G25" s="53"/>
      <c r="H25" s="29"/>
      <c r="I25" s="31"/>
      <c r="J25" s="31"/>
      <c r="K25" s="31"/>
      <c r="L25" s="31"/>
      <c r="M25" s="41"/>
    </row>
    <row r="26" spans="1:13" ht="13.5" customHeight="1" x14ac:dyDescent="0.3">
      <c r="A26" s="55"/>
      <c r="B26" s="37" t="s">
        <v>17</v>
      </c>
      <c r="C26" s="37"/>
      <c r="D26" s="38" t="s">
        <v>29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3" ht="13.5" customHeight="1" x14ac:dyDescent="0.3">
      <c r="A27" s="77">
        <v>13</v>
      </c>
      <c r="B27" s="52" t="s">
        <v>7</v>
      </c>
      <c r="C27" s="52"/>
      <c r="D27" s="45" t="s">
        <v>8</v>
      </c>
      <c r="E27" s="46"/>
      <c r="F27" s="46"/>
      <c r="G27" s="47"/>
      <c r="H27" s="29"/>
      <c r="I27" s="31"/>
      <c r="J27" s="31"/>
      <c r="K27" s="31"/>
      <c r="L27" s="31"/>
      <c r="M27" s="41"/>
    </row>
    <row r="28" spans="1:13" ht="13.5" customHeight="1" x14ac:dyDescent="0.3">
      <c r="A28" s="55"/>
      <c r="B28" s="37" t="s">
        <v>18</v>
      </c>
      <c r="C28" s="37"/>
      <c r="D28" s="38" t="s">
        <v>36</v>
      </c>
      <c r="E28" s="39"/>
      <c r="F28" s="39"/>
      <c r="G28" s="42"/>
      <c r="H28" s="29"/>
      <c r="I28" s="31"/>
      <c r="J28" s="31"/>
      <c r="K28" s="31"/>
      <c r="L28" s="31"/>
      <c r="M28" s="41"/>
    </row>
    <row r="29" spans="1:13" s="2" customFormat="1" ht="13.5" customHeight="1" x14ac:dyDescent="0.3">
      <c r="A29" s="77">
        <v>14</v>
      </c>
      <c r="B29" s="43" t="s">
        <v>59</v>
      </c>
      <c r="C29" s="44"/>
      <c r="D29" s="53" t="s">
        <v>37</v>
      </c>
      <c r="E29" s="53"/>
      <c r="F29" s="53"/>
      <c r="G29" s="53"/>
      <c r="H29" s="29"/>
      <c r="I29" s="31"/>
      <c r="J29" s="31"/>
      <c r="K29" s="31"/>
      <c r="L29" s="31"/>
      <c r="M29" s="41"/>
    </row>
    <row r="30" spans="1:13" s="2" customFormat="1" ht="13.5" customHeight="1" x14ac:dyDescent="0.3">
      <c r="A30" s="55"/>
      <c r="B30" s="37" t="s">
        <v>19</v>
      </c>
      <c r="C30" s="37"/>
      <c r="D30" s="38" t="s">
        <v>38</v>
      </c>
      <c r="E30" s="39"/>
      <c r="F30" s="39"/>
      <c r="G30" s="42"/>
      <c r="H30" s="48"/>
      <c r="I30" s="32"/>
      <c r="J30" s="32"/>
      <c r="K30" s="31"/>
      <c r="L30" s="31"/>
      <c r="M30" s="41"/>
    </row>
    <row r="31" spans="1:13" s="2" customFormat="1" ht="13.5" customHeight="1" x14ac:dyDescent="0.3">
      <c r="A31" s="77">
        <v>15</v>
      </c>
      <c r="B31" s="78" t="s">
        <v>194</v>
      </c>
      <c r="C31" s="78"/>
      <c r="D31" s="25"/>
      <c r="E31" s="26"/>
      <c r="F31" s="26"/>
      <c r="G31" s="27"/>
      <c r="H31" s="29">
        <v>2.5</v>
      </c>
      <c r="I31" s="31">
        <f>SUM(H31)</f>
        <v>2.5</v>
      </c>
      <c r="J31" s="31">
        <f>SUM(I31)</f>
        <v>2.5</v>
      </c>
      <c r="K31" s="34"/>
      <c r="L31" s="34"/>
      <c r="M31" s="36"/>
    </row>
    <row r="32" spans="1:13" s="2" customFormat="1" ht="13.5" customHeight="1" x14ac:dyDescent="0.3">
      <c r="A32" s="55"/>
      <c r="B32" s="37" t="s">
        <v>195</v>
      </c>
      <c r="C32" s="37"/>
      <c r="D32" s="38"/>
      <c r="E32" s="39"/>
      <c r="F32" s="39"/>
      <c r="G32" s="42"/>
      <c r="H32" s="29"/>
      <c r="I32" s="31"/>
      <c r="J32" s="31"/>
      <c r="K32" s="31"/>
      <c r="L32" s="31"/>
      <c r="M32" s="41"/>
    </row>
    <row r="33" spans="1:13" s="2" customFormat="1" ht="13.5" customHeight="1" x14ac:dyDescent="0.3">
      <c r="A33" s="22">
        <v>16</v>
      </c>
      <c r="B33" s="43" t="s">
        <v>39</v>
      </c>
      <c r="C33" s="44"/>
      <c r="D33" s="62"/>
      <c r="E33" s="63"/>
      <c r="F33" s="63"/>
      <c r="G33" s="64"/>
      <c r="H33" s="29">
        <v>13.7</v>
      </c>
      <c r="I33" s="31"/>
      <c r="J33" s="31"/>
      <c r="K33" s="32"/>
      <c r="L33" s="31"/>
      <c r="M33" s="41"/>
    </row>
    <row r="34" spans="1:13" s="2" customFormat="1" ht="13.5" customHeight="1" x14ac:dyDescent="0.3">
      <c r="A34" s="22"/>
      <c r="B34" s="50" t="s">
        <v>40</v>
      </c>
      <c r="C34" s="51"/>
      <c r="D34" s="38" t="s">
        <v>163</v>
      </c>
      <c r="E34" s="39"/>
      <c r="F34" s="39"/>
      <c r="G34" s="42"/>
      <c r="H34" s="29"/>
      <c r="I34" s="31"/>
      <c r="J34" s="31"/>
      <c r="K34" s="34"/>
      <c r="L34" s="31"/>
      <c r="M34" s="41"/>
    </row>
    <row r="35" spans="1:13" s="2" customFormat="1" ht="13.5" customHeight="1" x14ac:dyDescent="0.3">
      <c r="A35" s="22">
        <v>17</v>
      </c>
      <c r="B35" s="43" t="s">
        <v>86</v>
      </c>
      <c r="C35" s="44"/>
      <c r="D35" s="62"/>
      <c r="E35" s="63"/>
      <c r="F35" s="63"/>
      <c r="G35" s="64"/>
      <c r="H35" s="29">
        <v>7.6</v>
      </c>
      <c r="I35" s="31"/>
      <c r="J35" s="31"/>
      <c r="K35" s="32"/>
      <c r="L35" s="32"/>
      <c r="M35" s="54"/>
    </row>
    <row r="36" spans="1:13" s="2" customFormat="1" ht="13.5" customHeight="1" x14ac:dyDescent="0.3">
      <c r="A36" s="22"/>
      <c r="B36" s="50" t="s">
        <v>87</v>
      </c>
      <c r="C36" s="51"/>
      <c r="D36" s="38" t="s">
        <v>164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3.5" customHeight="1" x14ac:dyDescent="0.3">
      <c r="A37" s="77">
        <v>18</v>
      </c>
      <c r="B37" s="43" t="s">
        <v>95</v>
      </c>
      <c r="C37" s="44"/>
      <c r="D37" s="62"/>
      <c r="E37" s="63"/>
      <c r="F37" s="63"/>
      <c r="G37" s="64"/>
      <c r="H37" s="29">
        <v>41</v>
      </c>
      <c r="I37" s="31"/>
      <c r="J37" s="31"/>
      <c r="K37" s="32"/>
      <c r="L37" s="32"/>
      <c r="M37" s="54"/>
    </row>
    <row r="38" spans="1:13" s="2" customFormat="1" ht="13.5" customHeight="1" x14ac:dyDescent="0.3">
      <c r="A38" s="79"/>
      <c r="B38" s="23" t="s">
        <v>94</v>
      </c>
      <c r="C38" s="24"/>
      <c r="D38" s="25" t="s">
        <v>154</v>
      </c>
      <c r="E38" s="26"/>
      <c r="F38" s="26"/>
      <c r="G38" s="27"/>
      <c r="H38" s="48"/>
      <c r="I38" s="32"/>
      <c r="J38" s="32"/>
      <c r="K38" s="65"/>
      <c r="L38" s="65"/>
      <c r="M38" s="67"/>
    </row>
    <row r="39" spans="1:13" ht="14.1" customHeight="1" x14ac:dyDescent="0.3">
      <c r="A39" s="77">
        <v>19</v>
      </c>
      <c r="B39" s="43"/>
      <c r="C39" s="44"/>
      <c r="D39" s="62"/>
      <c r="E39" s="63"/>
      <c r="F39" s="63"/>
      <c r="G39" s="64"/>
      <c r="H39" s="29"/>
      <c r="I39" s="40"/>
      <c r="J39" s="40"/>
      <c r="K39" s="31"/>
      <c r="L39" s="31"/>
      <c r="M39" s="41"/>
    </row>
    <row r="40" spans="1:13" ht="14.1" customHeight="1" thickBot="1" x14ac:dyDescent="0.35">
      <c r="A40" s="81"/>
      <c r="B40" s="69"/>
      <c r="C40" s="70"/>
      <c r="D40" s="71"/>
      <c r="E40" s="72"/>
      <c r="F40" s="72"/>
      <c r="G40" s="73"/>
      <c r="H40" s="60"/>
      <c r="I40" s="82"/>
      <c r="J40" s="82"/>
      <c r="K40" s="61"/>
      <c r="L40" s="61"/>
      <c r="M40" s="80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B23:C23"/>
    <mergeCell ref="D23:G23"/>
    <mergeCell ref="H23:H24"/>
    <mergeCell ref="I23:I24"/>
    <mergeCell ref="B24:C24"/>
    <mergeCell ref="D24:G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5C37-3698-4DE2-9223-F8B59390D45F}">
  <sheetPr>
    <tabColor rgb="FFFF0000"/>
    <pageSetUpPr fitToPage="1"/>
  </sheetPr>
  <dimension ref="A1:M60"/>
  <sheetViews>
    <sheetView topLeftCell="A7" zoomScale="110" zoomScaleNormal="110" zoomScalePageLayoutView="30" workbookViewId="0">
      <selection activeCell="M23" sqref="M23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4.1" customHeight="1" thickBot="1" x14ac:dyDescent="0.35">
      <c r="A1" s="17" t="s">
        <v>211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4.1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43.3</v>
      </c>
      <c r="I3" s="30">
        <f>SUM(H3)+2.9</f>
        <v>46.199999999999996</v>
      </c>
      <c r="J3" s="30">
        <f>SUM(I3)+2.9</f>
        <v>49.099999999999994</v>
      </c>
      <c r="K3" s="30"/>
      <c r="L3" s="33"/>
      <c r="M3" s="35"/>
    </row>
    <row r="4" spans="1:13" s="2" customFormat="1" ht="14.1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38.200000000000003</v>
      </c>
      <c r="I5" s="32">
        <f>SUM(H5)+3.8</f>
        <v>42</v>
      </c>
      <c r="J5" s="32">
        <f>SUM(I5)+3.8</f>
        <v>45.8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41</v>
      </c>
      <c r="I7" s="32">
        <f>SUM(H7)+4</f>
        <v>45</v>
      </c>
      <c r="J7" s="32">
        <f>SUM(I7)+4</f>
        <v>49</v>
      </c>
      <c r="K7" s="31"/>
      <c r="L7" s="40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41</v>
      </c>
      <c r="I9" s="32">
        <f>SUM(H9)+4</f>
        <v>45</v>
      </c>
      <c r="J9" s="32">
        <f>SUM(I9)+4</f>
        <v>49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18.2</v>
      </c>
      <c r="I11" s="31">
        <f>SUM(H11)+1</f>
        <v>19.2</v>
      </c>
      <c r="J11" s="31">
        <f>SUM(I11)+1</f>
        <v>20.2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17.399999999999999</v>
      </c>
      <c r="I13" s="31">
        <f>SUM(H13)+0.6</f>
        <v>18</v>
      </c>
      <c r="J13" s="31">
        <f>SUM(I13)+0.6</f>
        <v>18.600000000000001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8.5</v>
      </c>
      <c r="I15" s="31">
        <f>SUM(H15)+0.3</f>
        <v>8.8000000000000007</v>
      </c>
      <c r="J15" s="31">
        <f>SUM(I15)+0.3</f>
        <v>9.1000000000000014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43.9</v>
      </c>
      <c r="I17" s="31">
        <f>SUM(H17)+1.6</f>
        <v>45.5</v>
      </c>
      <c r="J17" s="31">
        <f>SUM(I17)+1.6</f>
        <v>47.1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93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54.4</v>
      </c>
      <c r="I19" s="31">
        <f>SUM(H19)+2.1</f>
        <v>56.5</v>
      </c>
      <c r="J19" s="31">
        <f>SUM(I19)+2.1</f>
        <v>58.6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31</v>
      </c>
      <c r="I21" s="31">
        <f>SUM(H21)+1.7</f>
        <v>32.700000000000003</v>
      </c>
      <c r="J21" s="31">
        <f>SUM(I21)+1.7</f>
        <v>34.400000000000006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19</v>
      </c>
      <c r="I23" s="31">
        <f>SUM(H23)+1</f>
        <v>20</v>
      </c>
      <c r="J23" s="31">
        <f>SUM(I23)+1</f>
        <v>21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208</v>
      </c>
      <c r="C25" s="44"/>
      <c r="D25" s="25"/>
      <c r="E25" s="26"/>
      <c r="F25" s="26"/>
      <c r="G25" s="27"/>
      <c r="H25" s="29">
        <v>13.5</v>
      </c>
      <c r="I25" s="40">
        <f>SUM(H25)+0.5</f>
        <v>14</v>
      </c>
      <c r="J25" s="40">
        <f>SUM(I25)+0.5</f>
        <v>14.5</v>
      </c>
      <c r="K25" s="32"/>
      <c r="L25" s="32"/>
      <c r="M25" s="54"/>
    </row>
    <row r="26" spans="1:13" s="2" customFormat="1" ht="14.1" customHeight="1" x14ac:dyDescent="0.3">
      <c r="A26" s="22"/>
      <c r="B26" s="50" t="s">
        <v>209</v>
      </c>
      <c r="C26" s="51"/>
      <c r="D26" s="83" t="s">
        <v>210</v>
      </c>
      <c r="E26" s="84"/>
      <c r="F26" s="84"/>
      <c r="G26" s="85"/>
      <c r="H26" s="29"/>
      <c r="I26" s="40"/>
      <c r="J26" s="40"/>
      <c r="K26" s="34"/>
      <c r="L26" s="34"/>
      <c r="M26" s="36"/>
    </row>
    <row r="27" spans="1:13" s="2" customFormat="1" ht="14.1" customHeight="1" x14ac:dyDescent="0.3">
      <c r="A27" s="22">
        <v>13</v>
      </c>
      <c r="B27" s="52" t="s">
        <v>204</v>
      </c>
      <c r="C27" s="52"/>
      <c r="D27" s="53"/>
      <c r="E27" s="53"/>
      <c r="F27" s="53"/>
      <c r="G27" s="53"/>
      <c r="H27" s="29">
        <v>6</v>
      </c>
      <c r="I27" s="40">
        <f>SUM(H27)+0.2</f>
        <v>6.2</v>
      </c>
      <c r="J27" s="40">
        <f>SUM(I27)+0.2</f>
        <v>6.4</v>
      </c>
      <c r="K27" s="31"/>
      <c r="L27" s="31"/>
      <c r="M27" s="41"/>
    </row>
    <row r="28" spans="1:13" s="2" customFormat="1" ht="14.1" customHeight="1" x14ac:dyDescent="0.3">
      <c r="A28" s="22"/>
      <c r="B28" s="37" t="s">
        <v>205</v>
      </c>
      <c r="C28" s="37"/>
      <c r="D28" s="38" t="s">
        <v>206</v>
      </c>
      <c r="E28" s="39"/>
      <c r="F28" s="39"/>
      <c r="G28" s="42"/>
      <c r="H28" s="29"/>
      <c r="I28" s="40"/>
      <c r="J28" s="40"/>
      <c r="K28" s="31"/>
      <c r="L28" s="31"/>
      <c r="M28" s="41"/>
    </row>
    <row r="29" spans="1:13" s="2" customFormat="1" ht="14.1" customHeight="1" x14ac:dyDescent="0.3">
      <c r="A29" s="22">
        <v>14</v>
      </c>
      <c r="B29" s="43" t="s">
        <v>39</v>
      </c>
      <c r="C29" s="44"/>
      <c r="D29" s="62"/>
      <c r="E29" s="63"/>
      <c r="F29" s="63"/>
      <c r="G29" s="64"/>
      <c r="H29" s="29">
        <v>13</v>
      </c>
      <c r="I29" s="31">
        <f>SUM(H29)+0.6</f>
        <v>13.6</v>
      </c>
      <c r="J29" s="31">
        <f>SUM(I29)+0.6</f>
        <v>14.2</v>
      </c>
      <c r="K29" s="32"/>
      <c r="L29" s="32"/>
      <c r="M29" s="54"/>
    </row>
    <row r="30" spans="1:13" s="2" customFormat="1" ht="14.1" customHeight="1" x14ac:dyDescent="0.3">
      <c r="A30" s="22"/>
      <c r="B30" s="50" t="s">
        <v>40</v>
      </c>
      <c r="C30" s="51"/>
      <c r="D30" s="38" t="s">
        <v>163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22">
        <v>15</v>
      </c>
      <c r="B31" s="23" t="s">
        <v>86</v>
      </c>
      <c r="C31" s="24"/>
      <c r="D31" s="62"/>
      <c r="E31" s="63"/>
      <c r="F31" s="63"/>
      <c r="G31" s="64"/>
      <c r="H31" s="29">
        <v>6.5</v>
      </c>
      <c r="I31" s="31">
        <f>SUM(H31)+0.8</f>
        <v>7.3</v>
      </c>
      <c r="J31" s="31">
        <f>SUM(I31)+0.8</f>
        <v>8.1</v>
      </c>
      <c r="K31" s="32"/>
      <c r="L31" s="32"/>
      <c r="M31" s="54"/>
    </row>
    <row r="32" spans="1:13" s="2" customFormat="1" ht="14.1" customHeight="1" x14ac:dyDescent="0.3">
      <c r="A32" s="22"/>
      <c r="B32" s="50" t="s">
        <v>87</v>
      </c>
      <c r="C32" s="51"/>
      <c r="D32" s="38" t="s">
        <v>207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22">
        <v>16</v>
      </c>
      <c r="B33" s="23" t="s">
        <v>95</v>
      </c>
      <c r="C33" s="24"/>
      <c r="D33" s="62"/>
      <c r="E33" s="63"/>
      <c r="F33" s="63"/>
      <c r="G33" s="64"/>
      <c r="H33" s="49">
        <v>42</v>
      </c>
      <c r="I33" s="31">
        <v>44.5</v>
      </c>
      <c r="J33" s="31">
        <v>47.5</v>
      </c>
      <c r="K33" s="32"/>
      <c r="L33" s="32"/>
      <c r="M33" s="54"/>
    </row>
    <row r="34" spans="1:13" s="2" customFormat="1" ht="14.1" customHeight="1" x14ac:dyDescent="0.3">
      <c r="A34" s="22"/>
      <c r="B34" s="23" t="s">
        <v>94</v>
      </c>
      <c r="C34" s="24"/>
      <c r="D34" s="25" t="s">
        <v>154</v>
      </c>
      <c r="E34" s="26"/>
      <c r="F34" s="26"/>
      <c r="G34" s="27"/>
      <c r="H34" s="48"/>
      <c r="I34" s="31"/>
      <c r="J34" s="31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62"/>
      <c r="E35" s="63"/>
      <c r="F35" s="63"/>
      <c r="G35" s="64"/>
      <c r="H35" s="29"/>
      <c r="I35" s="31"/>
      <c r="J35" s="31"/>
      <c r="K35" s="32"/>
      <c r="L35" s="32"/>
      <c r="M35" s="54"/>
    </row>
    <row r="36" spans="1:13" s="2" customFormat="1" ht="14.1" customHeight="1" x14ac:dyDescent="0.3">
      <c r="A36" s="22"/>
      <c r="B36" s="50"/>
      <c r="C36" s="51"/>
      <c r="D36" s="38"/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4.1" customHeight="1" x14ac:dyDescent="0.3">
      <c r="A37" s="22">
        <v>18</v>
      </c>
      <c r="B37" s="23"/>
      <c r="C37" s="24"/>
      <c r="D37" s="62"/>
      <c r="E37" s="63"/>
      <c r="F37" s="63"/>
      <c r="G37" s="64"/>
      <c r="H37" s="49"/>
      <c r="I37" s="34"/>
      <c r="J37" s="34"/>
      <c r="K37" s="32"/>
      <c r="L37" s="32"/>
      <c r="M37" s="54"/>
    </row>
    <row r="38" spans="1:13" s="2" customFormat="1" ht="14.1" customHeight="1" thickBot="1" x14ac:dyDescent="0.35">
      <c r="A38" s="56"/>
      <c r="B38" s="69"/>
      <c r="C38" s="70"/>
      <c r="D38" s="71"/>
      <c r="E38" s="72"/>
      <c r="F38" s="72"/>
      <c r="G38" s="73"/>
      <c r="H38" s="60"/>
      <c r="I38" s="61"/>
      <c r="J38" s="61"/>
      <c r="K38" s="66"/>
      <c r="L38" s="66"/>
      <c r="M38" s="68"/>
    </row>
    <row r="39" spans="1:13" s="2" customFormat="1" ht="14.1" customHeight="1" x14ac:dyDescent="0.3"/>
    <row r="40" spans="1:13" s="2" customFormat="1" ht="14.1" customHeight="1" x14ac:dyDescent="0.3"/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2921C-0E9E-46AF-BECF-E8E2CCD6F34F}">
  <sheetPr>
    <tabColor rgb="FFFF0000"/>
    <pageSetUpPr fitToPage="1"/>
  </sheetPr>
  <dimension ref="A1:R56"/>
  <sheetViews>
    <sheetView topLeftCell="A13" zoomScale="110" zoomScaleNormal="110" zoomScalePageLayoutView="30" workbookViewId="0">
      <selection activeCell="I27" sqref="I27:I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8" ht="16.5" customHeight="1" thickBot="1" x14ac:dyDescent="0.35">
      <c r="A1" s="17" t="s">
        <v>213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8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8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49.8</v>
      </c>
      <c r="I3" s="30">
        <f>SUM(H3)+2.9</f>
        <v>52.699999999999996</v>
      </c>
      <c r="J3" s="30">
        <f>SUM(I3)+2.9</f>
        <v>55.599999999999994</v>
      </c>
      <c r="K3" s="30"/>
      <c r="L3" s="33"/>
      <c r="M3" s="35"/>
    </row>
    <row r="4" spans="1:18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8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46.2</v>
      </c>
      <c r="I5" s="32">
        <f>SUM(H5)+3</f>
        <v>49.2</v>
      </c>
      <c r="J5" s="32">
        <f>SUM(I5)+3</f>
        <v>52.2</v>
      </c>
      <c r="K5" s="31"/>
      <c r="L5" s="31"/>
      <c r="M5" s="41"/>
    </row>
    <row r="6" spans="1:18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8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60</v>
      </c>
      <c r="I7" s="32">
        <f>SUM(H7)+4</f>
        <v>64</v>
      </c>
      <c r="J7" s="32">
        <f>SUM(I7)+4</f>
        <v>68</v>
      </c>
      <c r="K7" s="31"/>
      <c r="L7" s="40"/>
      <c r="M7" s="41"/>
    </row>
    <row r="8" spans="1:18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8" s="2" customFormat="1" ht="13.5" customHeight="1" x14ac:dyDescent="0.3">
      <c r="A9" s="77">
        <v>4</v>
      </c>
      <c r="B9" s="52" t="s">
        <v>221</v>
      </c>
      <c r="C9" s="52"/>
      <c r="D9" s="53" t="s">
        <v>0</v>
      </c>
      <c r="E9" s="53"/>
      <c r="F9" s="53"/>
      <c r="G9" s="53"/>
      <c r="H9" s="48">
        <v>84</v>
      </c>
      <c r="I9" s="32">
        <f>SUM(H9)+5.6</f>
        <v>89.6</v>
      </c>
      <c r="J9" s="32">
        <f>SUM(I9)+5.6</f>
        <v>95.199999999999989</v>
      </c>
      <c r="K9" s="31"/>
      <c r="L9" s="31"/>
      <c r="M9" s="41"/>
    </row>
    <row r="10" spans="1:18" s="2" customFormat="1" ht="13.5" customHeight="1" x14ac:dyDescent="0.3">
      <c r="A10" s="55"/>
      <c r="B10" s="37" t="s">
        <v>222</v>
      </c>
      <c r="C10" s="37"/>
      <c r="D10" s="38" t="s">
        <v>223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8" s="2" customFormat="1" ht="13.5" customHeight="1" x14ac:dyDescent="0.3">
      <c r="A11" s="77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26.2</v>
      </c>
      <c r="I11" s="31">
        <f>SUM(H11)+1</f>
        <v>27.2</v>
      </c>
      <c r="J11" s="31">
        <f>SUM(I11)+1</f>
        <v>28.2</v>
      </c>
      <c r="K11" s="31"/>
      <c r="L11" s="31"/>
      <c r="M11" s="41"/>
    </row>
    <row r="12" spans="1:18" s="2" customFormat="1" ht="13.5" customHeight="1" thickBot="1" x14ac:dyDescent="0.35">
      <c r="A12" s="55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8" s="2" customFormat="1" ht="13.5" customHeight="1" thickTop="1" x14ac:dyDescent="0.3">
      <c r="A13" s="77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22</v>
      </c>
      <c r="I13" s="31">
        <f>SUM(H13)+0.6</f>
        <v>22.6</v>
      </c>
      <c r="J13" s="31">
        <f>SUM(I13)+0.6</f>
        <v>23.200000000000003</v>
      </c>
      <c r="K13" s="31"/>
      <c r="L13" s="31"/>
      <c r="M13" s="41"/>
      <c r="R13" s="6" t="s">
        <v>226</v>
      </c>
    </row>
    <row r="14" spans="1:18" s="2" customFormat="1" ht="13.5" customHeight="1" x14ac:dyDescent="0.3">
      <c r="A14" s="55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  <c r="R14" s="7">
        <f>SUM(H35+H35+I35+I35+J35+J35+H37+I37+J37+H39+H39+I39+I39+J39+J39)</f>
        <v>452.7</v>
      </c>
    </row>
    <row r="15" spans="1:18" s="2" customFormat="1" ht="13.5" customHeight="1" thickBot="1" x14ac:dyDescent="0.35">
      <c r="A15" s="77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10.8</v>
      </c>
      <c r="I15" s="31">
        <f>SUM(H15)+0.3</f>
        <v>11.100000000000001</v>
      </c>
      <c r="J15" s="31">
        <f>SUM(I15)+0.3</f>
        <v>11.400000000000002</v>
      </c>
      <c r="K15" s="31"/>
      <c r="L15" s="31"/>
      <c r="M15" s="41"/>
      <c r="R15" s="8">
        <f>SUM(R14/3/91.44*1.08)</f>
        <v>1.7822834645669292</v>
      </c>
    </row>
    <row r="16" spans="1:18" s="2" customFormat="1" ht="13.5" customHeight="1" thickTop="1" thickBot="1" x14ac:dyDescent="0.35">
      <c r="A16" s="55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8" s="2" customFormat="1" ht="13.5" customHeight="1" thickTop="1" x14ac:dyDescent="0.3">
      <c r="A17" s="77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58.4</v>
      </c>
      <c r="I17" s="31">
        <f>SUM(H17)+1.6</f>
        <v>60</v>
      </c>
      <c r="J17" s="31">
        <f>SUM(I17)+1.6</f>
        <v>61.6</v>
      </c>
      <c r="K17" s="31"/>
      <c r="L17" s="31"/>
      <c r="M17" s="41"/>
      <c r="R17" s="6" t="s">
        <v>227</v>
      </c>
    </row>
    <row r="18" spans="1:18" s="2" customFormat="1" ht="13.5" customHeight="1" x14ac:dyDescent="0.3">
      <c r="A18" s="55"/>
      <c r="B18" s="37" t="s">
        <v>57</v>
      </c>
      <c r="C18" s="37"/>
      <c r="D18" s="38" t="s">
        <v>93</v>
      </c>
      <c r="E18" s="39"/>
      <c r="F18" s="39"/>
      <c r="G18" s="42"/>
      <c r="H18" s="29"/>
      <c r="I18" s="31"/>
      <c r="J18" s="31"/>
      <c r="K18" s="31"/>
      <c r="L18" s="31"/>
      <c r="M18" s="41"/>
      <c r="R18" s="7">
        <f>SUM(H9+I9+J9+H23+H23+I23+I23+J23+J23)</f>
        <v>411.6</v>
      </c>
    </row>
    <row r="19" spans="1:18" s="2" customFormat="1" ht="13.5" customHeight="1" thickBot="1" x14ac:dyDescent="0.35">
      <c r="A19" s="77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54.3</v>
      </c>
      <c r="I19" s="31">
        <f>SUM(H19)+2.5</f>
        <v>56.8</v>
      </c>
      <c r="J19" s="31">
        <f>SUM(I19)+2.5</f>
        <v>59.3</v>
      </c>
      <c r="K19" s="31"/>
      <c r="L19" s="31"/>
      <c r="M19" s="41"/>
      <c r="R19" s="8">
        <f>SUM(R18/3/91.44*1.08)</f>
        <v>1.6204724409448821</v>
      </c>
    </row>
    <row r="20" spans="1:18" s="2" customFormat="1" ht="13.5" customHeight="1" thickTop="1" x14ac:dyDescent="0.3">
      <c r="A20" s="55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8" s="2" customFormat="1" ht="13.5" customHeight="1" x14ac:dyDescent="0.3">
      <c r="A21" s="77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49.9</v>
      </c>
      <c r="I21" s="31">
        <f>SUM(H21)+1.9</f>
        <v>51.8</v>
      </c>
      <c r="J21" s="31">
        <f>SUM(I21)+1.9</f>
        <v>53.699999999999996</v>
      </c>
      <c r="K21" s="31"/>
      <c r="L21" s="31"/>
      <c r="M21" s="41"/>
    </row>
    <row r="22" spans="1:18" s="2" customFormat="1" ht="13.5" customHeight="1" x14ac:dyDescent="0.3">
      <c r="A22" s="55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8" s="2" customFormat="1" ht="13.5" customHeight="1" x14ac:dyDescent="0.3">
      <c r="A23" s="77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23</v>
      </c>
      <c r="I23" s="31">
        <f>SUM(H23)+0.8</f>
        <v>23.8</v>
      </c>
      <c r="J23" s="31">
        <f>SUM(I23)+0.8</f>
        <v>24.6</v>
      </c>
      <c r="K23" s="31"/>
      <c r="L23" s="31"/>
      <c r="M23" s="41"/>
    </row>
    <row r="24" spans="1:18" s="2" customFormat="1" ht="13.5" customHeight="1" x14ac:dyDescent="0.3">
      <c r="A24" s="55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8" ht="13.5" customHeight="1" x14ac:dyDescent="0.3">
      <c r="A25" s="77">
        <v>12</v>
      </c>
      <c r="B25" s="43" t="s">
        <v>185</v>
      </c>
      <c r="C25" s="44"/>
      <c r="D25" s="53"/>
      <c r="E25" s="53"/>
      <c r="F25" s="53"/>
      <c r="G25" s="53"/>
      <c r="H25" s="48">
        <v>14.5</v>
      </c>
      <c r="I25" s="32">
        <f>SUM(H25)+0.6</f>
        <v>15.1</v>
      </c>
      <c r="J25" s="32">
        <f>SUM(I25)+0.6</f>
        <v>15.7</v>
      </c>
      <c r="K25" s="32"/>
      <c r="L25" s="32"/>
      <c r="M25" s="54"/>
    </row>
    <row r="26" spans="1:18" ht="13.5" customHeight="1" x14ac:dyDescent="0.3">
      <c r="A26" s="55"/>
      <c r="B26" s="50" t="s">
        <v>186</v>
      </c>
      <c r="C26" s="51"/>
      <c r="D26" s="38"/>
      <c r="E26" s="39"/>
      <c r="F26" s="39"/>
      <c r="G26" s="42"/>
      <c r="H26" s="49"/>
      <c r="I26" s="34"/>
      <c r="J26" s="34"/>
      <c r="K26" s="34"/>
      <c r="L26" s="34"/>
      <c r="M26" s="36"/>
    </row>
    <row r="27" spans="1:18" ht="13.5" customHeight="1" x14ac:dyDescent="0.3">
      <c r="A27" s="77">
        <v>13</v>
      </c>
      <c r="B27" s="43" t="s">
        <v>95</v>
      </c>
      <c r="C27" s="44"/>
      <c r="D27" s="62"/>
      <c r="E27" s="63"/>
      <c r="F27" s="63"/>
      <c r="G27" s="64"/>
      <c r="H27" s="48">
        <v>54</v>
      </c>
      <c r="I27" s="32">
        <v>56.5</v>
      </c>
      <c r="J27" s="32">
        <v>59.5</v>
      </c>
      <c r="K27" s="32"/>
      <c r="L27" s="31"/>
      <c r="M27" s="41"/>
    </row>
    <row r="28" spans="1:18" ht="13.5" customHeight="1" x14ac:dyDescent="0.3">
      <c r="A28" s="55"/>
      <c r="B28" s="23" t="s">
        <v>94</v>
      </c>
      <c r="C28" s="24"/>
      <c r="D28" s="25" t="s">
        <v>154</v>
      </c>
      <c r="E28" s="26"/>
      <c r="F28" s="26"/>
      <c r="G28" s="27"/>
      <c r="H28" s="89"/>
      <c r="I28" s="65"/>
      <c r="J28" s="65"/>
      <c r="K28" s="65"/>
      <c r="L28" s="32"/>
      <c r="M28" s="41"/>
    </row>
    <row r="29" spans="1:18" s="2" customFormat="1" ht="13.5" customHeight="1" x14ac:dyDescent="0.3">
      <c r="A29" s="77">
        <v>14</v>
      </c>
      <c r="B29" s="43" t="s">
        <v>224</v>
      </c>
      <c r="C29" s="44"/>
      <c r="D29" s="53"/>
      <c r="E29" s="53"/>
      <c r="F29" s="53"/>
      <c r="G29" s="53"/>
      <c r="H29" s="48">
        <v>6</v>
      </c>
      <c r="I29" s="32">
        <f>SUM(H29)</f>
        <v>6</v>
      </c>
      <c r="J29" s="32">
        <f>SUM(I29)</f>
        <v>6</v>
      </c>
      <c r="K29" s="32"/>
      <c r="L29" s="32"/>
      <c r="M29" s="54"/>
    </row>
    <row r="30" spans="1:18" s="2" customFormat="1" ht="13.5" customHeight="1" x14ac:dyDescent="0.3">
      <c r="A30" s="55"/>
      <c r="B30" s="50" t="s">
        <v>225</v>
      </c>
      <c r="C30" s="51"/>
      <c r="D30" s="38"/>
      <c r="E30" s="39"/>
      <c r="F30" s="39"/>
      <c r="G30" s="42"/>
      <c r="H30" s="49"/>
      <c r="I30" s="34"/>
      <c r="J30" s="34"/>
      <c r="K30" s="34"/>
      <c r="L30" s="34"/>
      <c r="M30" s="36"/>
    </row>
    <row r="31" spans="1:18" s="2" customFormat="1" ht="13.5" customHeight="1" x14ac:dyDescent="0.3">
      <c r="A31" s="77">
        <v>15</v>
      </c>
      <c r="B31" s="43" t="s">
        <v>187</v>
      </c>
      <c r="C31" s="44"/>
      <c r="D31" s="46" t="s">
        <v>188</v>
      </c>
      <c r="E31" s="46"/>
      <c r="F31" s="46"/>
      <c r="G31" s="46"/>
      <c r="H31" s="48">
        <v>9</v>
      </c>
      <c r="I31" s="32">
        <f>SUM(H31)+0.2</f>
        <v>9.1999999999999993</v>
      </c>
      <c r="J31" s="32">
        <f>SUM(I31)+0.2</f>
        <v>9.3999999999999986</v>
      </c>
      <c r="K31" s="32"/>
      <c r="L31" s="32"/>
      <c r="M31" s="54"/>
    </row>
    <row r="32" spans="1:18" s="2" customFormat="1" ht="13.5" customHeight="1" x14ac:dyDescent="0.3">
      <c r="A32" s="55"/>
      <c r="B32" s="37" t="s">
        <v>189</v>
      </c>
      <c r="C32" s="37"/>
      <c r="D32" s="38" t="s">
        <v>190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77">
        <v>16</v>
      </c>
      <c r="B33" s="43" t="s">
        <v>172</v>
      </c>
      <c r="C33" s="44"/>
      <c r="D33" s="62"/>
      <c r="E33" s="63"/>
      <c r="F33" s="63"/>
      <c r="G33" s="64"/>
      <c r="H33" s="48">
        <v>108</v>
      </c>
      <c r="I33" s="32">
        <f>SUM(H33)+5.6</f>
        <v>113.6</v>
      </c>
      <c r="J33" s="32">
        <f>SUM(I33)+5.6</f>
        <v>119.19999999999999</v>
      </c>
      <c r="K33" s="32"/>
      <c r="L33" s="32"/>
      <c r="M33" s="54"/>
    </row>
    <row r="34" spans="1:13" s="2" customFormat="1" ht="13.5" customHeight="1" x14ac:dyDescent="0.3">
      <c r="A34" s="55"/>
      <c r="B34" s="50" t="s">
        <v>173</v>
      </c>
      <c r="C34" s="51"/>
      <c r="D34" s="38" t="s">
        <v>174</v>
      </c>
      <c r="E34" s="39"/>
      <c r="F34" s="39"/>
      <c r="G34" s="42"/>
      <c r="H34" s="49"/>
      <c r="I34" s="34"/>
      <c r="J34" s="34"/>
      <c r="K34" s="34"/>
      <c r="L34" s="34"/>
      <c r="M34" s="36"/>
    </row>
    <row r="35" spans="1:13" s="2" customFormat="1" ht="13.5" customHeight="1" x14ac:dyDescent="0.3">
      <c r="A35" s="77">
        <v>17</v>
      </c>
      <c r="B35" s="43" t="s">
        <v>215</v>
      </c>
      <c r="C35" s="44"/>
      <c r="D35" s="53"/>
      <c r="E35" s="53"/>
      <c r="F35" s="53"/>
      <c r="G35" s="53"/>
      <c r="H35" s="48">
        <v>17.5</v>
      </c>
      <c r="I35" s="32">
        <f>SUM(H35)+1.4</f>
        <v>18.899999999999999</v>
      </c>
      <c r="J35" s="32">
        <f>SUM(I35)+1.4</f>
        <v>20.299999999999997</v>
      </c>
      <c r="K35" s="32"/>
      <c r="L35" s="32"/>
      <c r="M35" s="54"/>
    </row>
    <row r="36" spans="1:13" s="2" customFormat="1" ht="13.5" customHeight="1" x14ac:dyDescent="0.3">
      <c r="A36" s="55"/>
      <c r="B36" s="50" t="s">
        <v>214</v>
      </c>
      <c r="C36" s="51"/>
      <c r="D36" s="88" t="s">
        <v>220</v>
      </c>
      <c r="E36" s="39"/>
      <c r="F36" s="39"/>
      <c r="G36" s="42"/>
      <c r="H36" s="49"/>
      <c r="I36" s="34"/>
      <c r="J36" s="34"/>
      <c r="K36" s="34"/>
      <c r="L36" s="34"/>
      <c r="M36" s="36"/>
    </row>
    <row r="37" spans="1:13" s="2" customFormat="1" ht="13.5" customHeight="1" x14ac:dyDescent="0.3">
      <c r="A37" s="77">
        <v>18</v>
      </c>
      <c r="B37" s="43" t="s">
        <v>216</v>
      </c>
      <c r="C37" s="44"/>
      <c r="D37" s="53"/>
      <c r="E37" s="53"/>
      <c r="F37" s="53"/>
      <c r="G37" s="53"/>
      <c r="H37" s="48">
        <v>37</v>
      </c>
      <c r="I37" s="32">
        <f>SUM(H37)+2.9</f>
        <v>39.9</v>
      </c>
      <c r="J37" s="32">
        <f>SUM(I37)+2.9</f>
        <v>42.8</v>
      </c>
      <c r="K37" s="32"/>
      <c r="L37" s="32"/>
      <c r="M37" s="54"/>
    </row>
    <row r="38" spans="1:13" s="2" customFormat="1" ht="13.5" customHeight="1" x14ac:dyDescent="0.3">
      <c r="A38" s="55"/>
      <c r="B38" s="50" t="s">
        <v>217</v>
      </c>
      <c r="C38" s="51"/>
      <c r="D38" s="88" t="s">
        <v>220</v>
      </c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77">
        <v>19</v>
      </c>
      <c r="B39" s="43" t="s">
        <v>218</v>
      </c>
      <c r="C39" s="44"/>
      <c r="D39" s="53"/>
      <c r="E39" s="53"/>
      <c r="F39" s="53"/>
      <c r="G39" s="53"/>
      <c r="H39" s="48">
        <v>35</v>
      </c>
      <c r="I39" s="32">
        <f>SUM(H39)+1.6</f>
        <v>36.6</v>
      </c>
      <c r="J39" s="32">
        <f>SUM(I39)+1.6</f>
        <v>38.200000000000003</v>
      </c>
      <c r="K39" s="32"/>
      <c r="L39" s="32"/>
      <c r="M39" s="54"/>
    </row>
    <row r="40" spans="1:13" ht="14.1" customHeight="1" x14ac:dyDescent="0.3">
      <c r="A40" s="55"/>
      <c r="B40" s="50" t="s">
        <v>219</v>
      </c>
      <c r="C40" s="51"/>
      <c r="D40" s="88" t="s">
        <v>220</v>
      </c>
      <c r="E40" s="39"/>
      <c r="F40" s="39"/>
      <c r="G40" s="42"/>
      <c r="H40" s="49"/>
      <c r="I40" s="34"/>
      <c r="J40" s="34"/>
      <c r="K40" s="34"/>
      <c r="L40" s="34"/>
      <c r="M40" s="36"/>
    </row>
    <row r="41" spans="1:13" ht="14.1" customHeight="1" x14ac:dyDescent="0.3">
      <c r="A41" s="77">
        <v>20</v>
      </c>
      <c r="B41" s="43" t="s">
        <v>131</v>
      </c>
      <c r="C41" s="44"/>
      <c r="D41" s="62"/>
      <c r="E41" s="63"/>
      <c r="F41" s="63"/>
      <c r="G41" s="64"/>
      <c r="H41" s="29">
        <v>7</v>
      </c>
      <c r="I41" s="31">
        <f>SUM(H41)+0.5</f>
        <v>7.5</v>
      </c>
      <c r="J41" s="31">
        <f>SUM(I41)+0.5</f>
        <v>8</v>
      </c>
      <c r="K41" s="32"/>
      <c r="L41" s="32"/>
      <c r="M41" s="54"/>
    </row>
    <row r="42" spans="1:13" ht="14.1" customHeight="1" x14ac:dyDescent="0.3">
      <c r="A42" s="55"/>
      <c r="B42" s="23" t="s">
        <v>130</v>
      </c>
      <c r="C42" s="24"/>
      <c r="D42" s="25" t="s">
        <v>295</v>
      </c>
      <c r="E42" s="26"/>
      <c r="F42" s="26"/>
      <c r="G42" s="27"/>
      <c r="H42" s="48"/>
      <c r="I42" s="32"/>
      <c r="J42" s="32"/>
      <c r="K42" s="65"/>
      <c r="L42" s="65"/>
      <c r="M42" s="67"/>
    </row>
    <row r="43" spans="1:13" ht="14.1" customHeight="1" x14ac:dyDescent="0.3">
      <c r="A43" s="77">
        <v>21</v>
      </c>
      <c r="B43" s="43"/>
      <c r="C43" s="44"/>
      <c r="D43" s="53"/>
      <c r="E43" s="53"/>
      <c r="F43" s="53"/>
      <c r="G43" s="53"/>
      <c r="H43" s="29"/>
      <c r="I43" s="31"/>
      <c r="J43" s="31"/>
      <c r="K43" s="31"/>
      <c r="L43" s="31"/>
      <c r="M43" s="86"/>
    </row>
    <row r="44" spans="1:13" ht="14.1" customHeight="1" thickBot="1" x14ac:dyDescent="0.35">
      <c r="A44" s="81"/>
      <c r="B44" s="69"/>
      <c r="C44" s="70"/>
      <c r="D44" s="71"/>
      <c r="E44" s="72"/>
      <c r="F44" s="72"/>
      <c r="G44" s="72"/>
      <c r="H44" s="60"/>
      <c r="I44" s="61"/>
      <c r="J44" s="61"/>
      <c r="K44" s="61"/>
      <c r="L44" s="61"/>
      <c r="M44" s="87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x14ac:dyDescent="0.3">
      <c r="B54" s="1"/>
      <c r="C54" s="1"/>
      <c r="D54" s="1"/>
      <c r="E54" s="1"/>
      <c r="F54" s="1"/>
      <c r="G54" s="1"/>
    </row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B30:C30"/>
    <mergeCell ref="D30:G30"/>
    <mergeCell ref="B29:C29"/>
    <mergeCell ref="D29:G29"/>
    <mergeCell ref="H29:H30"/>
    <mergeCell ref="I29:I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8637-EB32-4F30-AEC2-F73575888CA3}">
  <sheetPr>
    <tabColor rgb="FFFF0000"/>
    <pageSetUpPr fitToPage="1"/>
  </sheetPr>
  <dimension ref="A1:M64"/>
  <sheetViews>
    <sheetView zoomScale="110" zoomScaleNormal="110" zoomScalePageLayoutView="3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296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52</v>
      </c>
      <c r="I3" s="30">
        <f>SUM(H3)+3</f>
        <v>55</v>
      </c>
      <c r="J3" s="30">
        <f>SUM(I3)+3</f>
        <v>58</v>
      </c>
      <c r="K3" s="30"/>
      <c r="L3" s="33"/>
      <c r="M3" s="35"/>
    </row>
    <row r="4" spans="1:13" s="2" customFormat="1" ht="13.5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77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57</v>
      </c>
      <c r="I5" s="32">
        <f>SUM(H5)+4</f>
        <v>61</v>
      </c>
      <c r="J5" s="32">
        <f>SUM(I5)+4</f>
        <v>65</v>
      </c>
      <c r="K5" s="32"/>
      <c r="L5" s="32"/>
      <c r="M5" s="54"/>
    </row>
    <row r="6" spans="1:13" s="2" customFormat="1" ht="13.5" customHeight="1" x14ac:dyDescent="0.3">
      <c r="A6" s="55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3.5" customHeight="1" x14ac:dyDescent="0.3">
      <c r="A7" s="77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57</v>
      </c>
      <c r="I7" s="32">
        <f>SUM(H7)+4</f>
        <v>61</v>
      </c>
      <c r="J7" s="32">
        <f>SUM(I7)+4</f>
        <v>65</v>
      </c>
      <c r="K7" s="31"/>
      <c r="L7" s="31"/>
      <c r="M7" s="41"/>
    </row>
    <row r="8" spans="1:13" s="2" customFormat="1" ht="13.5" customHeight="1" x14ac:dyDescent="0.3">
      <c r="A8" s="55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3.5" customHeight="1" x14ac:dyDescent="0.3">
      <c r="A9" s="77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44</v>
      </c>
      <c r="I9" s="32">
        <f>SUM(H9)+3.2</f>
        <v>47.2</v>
      </c>
      <c r="J9" s="32">
        <f>SUM(I9)+3.2</f>
        <v>50.400000000000006</v>
      </c>
      <c r="K9" s="31"/>
      <c r="L9" s="31"/>
      <c r="M9" s="41"/>
    </row>
    <row r="10" spans="1:13" s="2" customFormat="1" ht="13.5" customHeight="1" x14ac:dyDescent="0.3">
      <c r="A10" s="55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77">
        <v>5</v>
      </c>
      <c r="B11" s="52" t="s">
        <v>159</v>
      </c>
      <c r="C11" s="52"/>
      <c r="D11" s="53"/>
      <c r="E11" s="53"/>
      <c r="F11" s="53"/>
      <c r="G11" s="53"/>
      <c r="H11" s="29">
        <v>6</v>
      </c>
      <c r="I11" s="31">
        <f>SUM(H11)</f>
        <v>6</v>
      </c>
      <c r="J11" s="31">
        <f>SUM(I11)</f>
        <v>6</v>
      </c>
      <c r="K11" s="32"/>
      <c r="L11" s="32"/>
      <c r="M11" s="54"/>
    </row>
    <row r="12" spans="1:13" s="2" customFormat="1" ht="13.5" customHeight="1" x14ac:dyDescent="0.3">
      <c r="A12" s="55"/>
      <c r="B12" s="37" t="s">
        <v>160</v>
      </c>
      <c r="C12" s="37"/>
      <c r="D12" s="38"/>
      <c r="E12" s="39"/>
      <c r="F12" s="39"/>
      <c r="G12" s="42"/>
      <c r="H12" s="29"/>
      <c r="I12" s="31"/>
      <c r="J12" s="31"/>
      <c r="K12" s="34"/>
      <c r="L12" s="34"/>
      <c r="M12" s="36"/>
    </row>
    <row r="13" spans="1:13" s="2" customFormat="1" ht="13.5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21</v>
      </c>
      <c r="I13" s="31">
        <f>SUM(H13)+1</f>
        <v>22</v>
      </c>
      <c r="J13" s="31">
        <f>SUM(I13)+1</f>
        <v>23</v>
      </c>
      <c r="K13" s="31"/>
      <c r="L13" s="31"/>
      <c r="M13" s="41"/>
    </row>
    <row r="14" spans="1:13" s="2" customFormat="1" ht="13.5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20.5</v>
      </c>
      <c r="I15" s="31">
        <f>SUM(H15)+0.6</f>
        <v>21.1</v>
      </c>
      <c r="J15" s="31">
        <f>SUM(I15)+0.6</f>
        <v>21.700000000000003</v>
      </c>
      <c r="K15" s="31"/>
      <c r="L15" s="31"/>
      <c r="M15" s="41"/>
    </row>
    <row r="16" spans="1:13" s="2" customFormat="1" ht="13.5" customHeight="1" x14ac:dyDescent="0.3">
      <c r="A16" s="55"/>
      <c r="B16" s="37" t="s">
        <v>15</v>
      </c>
      <c r="C16" s="37"/>
      <c r="D16" s="38" t="s">
        <v>89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7.5</v>
      </c>
      <c r="I17" s="31">
        <f>SUM(H17)+0.3</f>
        <v>7.8</v>
      </c>
      <c r="J17" s="31">
        <f>SUM(I17)+0.3</f>
        <v>8.1</v>
      </c>
      <c r="K17" s="31"/>
      <c r="L17" s="31"/>
      <c r="M17" s="41"/>
    </row>
    <row r="18" spans="1:13" s="2" customFormat="1" ht="13.5" customHeight="1" x14ac:dyDescent="0.3">
      <c r="A18" s="55"/>
      <c r="B18" s="37" t="s">
        <v>16</v>
      </c>
      <c r="C18" s="37"/>
      <c r="D18" s="38" t="s">
        <v>88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77">
        <v>9</v>
      </c>
      <c r="B19" s="52" t="s">
        <v>144</v>
      </c>
      <c r="C19" s="52"/>
      <c r="D19" s="45" t="s">
        <v>143</v>
      </c>
      <c r="E19" s="46"/>
      <c r="F19" s="46"/>
      <c r="G19" s="47"/>
      <c r="H19" s="48">
        <v>36</v>
      </c>
      <c r="I19" s="32">
        <f>SUM(H19)+1</f>
        <v>37</v>
      </c>
      <c r="J19" s="32">
        <f>SUM(I19)+1</f>
        <v>38</v>
      </c>
      <c r="K19" s="31"/>
      <c r="L19" s="31"/>
      <c r="M19" s="41"/>
    </row>
    <row r="20" spans="1:13" s="2" customFormat="1" ht="13.5" customHeight="1" x14ac:dyDescent="0.3">
      <c r="A20" s="55"/>
      <c r="B20" s="37" t="s">
        <v>142</v>
      </c>
      <c r="C20" s="37"/>
      <c r="D20" s="38" t="s">
        <v>141</v>
      </c>
      <c r="E20" s="39"/>
      <c r="F20" s="39"/>
      <c r="G20" s="42"/>
      <c r="H20" s="49"/>
      <c r="I20" s="34"/>
      <c r="J20" s="34"/>
      <c r="K20" s="31"/>
      <c r="L20" s="31"/>
      <c r="M20" s="41"/>
    </row>
    <row r="21" spans="1:13" s="2" customFormat="1" ht="13.5" customHeight="1" x14ac:dyDescent="0.3">
      <c r="A21" s="77">
        <v>10</v>
      </c>
      <c r="B21" s="52" t="s">
        <v>140</v>
      </c>
      <c r="C21" s="52"/>
      <c r="D21" s="45" t="s">
        <v>139</v>
      </c>
      <c r="E21" s="46"/>
      <c r="F21" s="46"/>
      <c r="G21" s="47"/>
      <c r="H21" s="48">
        <v>25</v>
      </c>
      <c r="I21" s="32">
        <f>SUM(H21)+0.8</f>
        <v>25.8</v>
      </c>
      <c r="J21" s="32">
        <f>SUM(I21)+0.8</f>
        <v>26.6</v>
      </c>
      <c r="K21" s="31"/>
      <c r="L21" s="31"/>
      <c r="M21" s="41"/>
    </row>
    <row r="22" spans="1:13" s="2" customFormat="1" ht="13.5" customHeight="1" x14ac:dyDescent="0.3">
      <c r="A22" s="55"/>
      <c r="B22" s="37" t="s">
        <v>138</v>
      </c>
      <c r="C22" s="37"/>
      <c r="D22" s="38" t="s">
        <v>137</v>
      </c>
      <c r="E22" s="39"/>
      <c r="F22" s="39"/>
      <c r="G22" s="42"/>
      <c r="H22" s="49"/>
      <c r="I22" s="34"/>
      <c r="J22" s="34"/>
      <c r="K22" s="31"/>
      <c r="L22" s="31"/>
      <c r="M22" s="41"/>
    </row>
    <row r="23" spans="1:13" s="2" customFormat="1" ht="13.5" customHeight="1" x14ac:dyDescent="0.3">
      <c r="A23" s="77">
        <v>11</v>
      </c>
      <c r="B23" s="52" t="s">
        <v>196</v>
      </c>
      <c r="C23" s="52"/>
      <c r="D23" s="45"/>
      <c r="E23" s="46"/>
      <c r="F23" s="46"/>
      <c r="G23" s="47"/>
      <c r="H23" s="48">
        <v>98</v>
      </c>
      <c r="I23" s="32">
        <f>SUM(H23)+2</f>
        <v>100</v>
      </c>
      <c r="J23" s="32">
        <f>SUM(I23)+2</f>
        <v>102</v>
      </c>
      <c r="K23" s="31"/>
      <c r="L23" s="31"/>
      <c r="M23" s="41"/>
    </row>
    <row r="24" spans="1:13" s="2" customFormat="1" ht="13.5" customHeight="1" x14ac:dyDescent="0.3">
      <c r="A24" s="55"/>
      <c r="B24" s="37" t="s">
        <v>197</v>
      </c>
      <c r="C24" s="37"/>
      <c r="D24" s="38" t="s">
        <v>297</v>
      </c>
      <c r="E24" s="39"/>
      <c r="F24" s="39"/>
      <c r="G24" s="42"/>
      <c r="H24" s="49"/>
      <c r="I24" s="34"/>
      <c r="J24" s="34"/>
      <c r="K24" s="31"/>
      <c r="L24" s="31"/>
      <c r="M24" s="41"/>
    </row>
    <row r="25" spans="1:13" ht="13.5" customHeight="1" x14ac:dyDescent="0.3">
      <c r="A25" s="77">
        <v>12</v>
      </c>
      <c r="B25" s="78" t="s">
        <v>298</v>
      </c>
      <c r="C25" s="78"/>
      <c r="D25" s="25"/>
      <c r="E25" s="26"/>
      <c r="F25" s="26"/>
      <c r="G25" s="27"/>
      <c r="H25" s="29">
        <v>2</v>
      </c>
      <c r="I25" s="31">
        <f>SUM(H25)</f>
        <v>2</v>
      </c>
      <c r="J25" s="31">
        <f>SUM(I25)</f>
        <v>2</v>
      </c>
      <c r="K25" s="34"/>
      <c r="L25" s="34"/>
      <c r="M25" s="36"/>
    </row>
    <row r="26" spans="1:13" ht="13.5" customHeight="1" x14ac:dyDescent="0.3">
      <c r="A26" s="55"/>
      <c r="B26" s="37" t="s">
        <v>299</v>
      </c>
      <c r="C26" s="37"/>
      <c r="D26" s="38"/>
      <c r="E26" s="39"/>
      <c r="F26" s="39"/>
      <c r="G26" s="42"/>
      <c r="H26" s="29"/>
      <c r="I26" s="31"/>
      <c r="J26" s="31"/>
      <c r="K26" s="31"/>
      <c r="L26" s="31"/>
      <c r="M26" s="41"/>
    </row>
    <row r="27" spans="1:13" ht="13.5" customHeight="1" x14ac:dyDescent="0.3">
      <c r="A27" s="77">
        <v>13</v>
      </c>
      <c r="B27" s="52" t="s">
        <v>5</v>
      </c>
      <c r="C27" s="52"/>
      <c r="D27" s="53" t="s">
        <v>6</v>
      </c>
      <c r="E27" s="53"/>
      <c r="F27" s="53"/>
      <c r="G27" s="53"/>
      <c r="H27" s="29">
        <v>43.5</v>
      </c>
      <c r="I27" s="31">
        <f>SUM(H27)+2</f>
        <v>45.5</v>
      </c>
      <c r="J27" s="31">
        <f>SUM(I27)+2</f>
        <v>47.5</v>
      </c>
      <c r="K27" s="31"/>
      <c r="L27" s="31"/>
      <c r="M27" s="41"/>
    </row>
    <row r="28" spans="1:13" ht="13.5" customHeight="1" x14ac:dyDescent="0.3">
      <c r="A28" s="55"/>
      <c r="B28" s="37" t="s">
        <v>17</v>
      </c>
      <c r="C28" s="37"/>
      <c r="D28" s="38" t="s">
        <v>29</v>
      </c>
      <c r="E28" s="39"/>
      <c r="F28" s="39"/>
      <c r="G28" s="42"/>
      <c r="H28" s="29"/>
      <c r="I28" s="31"/>
      <c r="J28" s="31"/>
      <c r="K28" s="31"/>
      <c r="L28" s="31"/>
      <c r="M28" s="41"/>
    </row>
    <row r="29" spans="1:13" s="2" customFormat="1" ht="13.5" customHeight="1" x14ac:dyDescent="0.3">
      <c r="A29" s="77">
        <v>14</v>
      </c>
      <c r="B29" s="52" t="s">
        <v>7</v>
      </c>
      <c r="C29" s="52"/>
      <c r="D29" s="45" t="s">
        <v>8</v>
      </c>
      <c r="E29" s="46"/>
      <c r="F29" s="46"/>
      <c r="G29" s="47"/>
      <c r="H29" s="29">
        <v>39</v>
      </c>
      <c r="I29" s="31">
        <f>SUM(H29)+2</f>
        <v>41</v>
      </c>
      <c r="J29" s="31">
        <f>SUM(I29)+2</f>
        <v>43</v>
      </c>
      <c r="K29" s="31"/>
      <c r="L29" s="31"/>
      <c r="M29" s="41"/>
    </row>
    <row r="30" spans="1:13" s="2" customFormat="1" ht="13.5" customHeight="1" x14ac:dyDescent="0.3">
      <c r="A30" s="55"/>
      <c r="B30" s="37" t="s">
        <v>18</v>
      </c>
      <c r="C30" s="37"/>
      <c r="D30" s="38" t="s">
        <v>36</v>
      </c>
      <c r="E30" s="39"/>
      <c r="F30" s="39"/>
      <c r="G30" s="42"/>
      <c r="H30" s="29"/>
      <c r="I30" s="31"/>
      <c r="J30" s="31"/>
      <c r="K30" s="31"/>
      <c r="L30" s="31"/>
      <c r="M30" s="41"/>
    </row>
    <row r="31" spans="1:13" s="2" customFormat="1" ht="13.5" customHeight="1" x14ac:dyDescent="0.3">
      <c r="A31" s="77">
        <v>15</v>
      </c>
      <c r="B31" s="43" t="s">
        <v>59</v>
      </c>
      <c r="C31" s="44"/>
      <c r="D31" s="53" t="s">
        <v>37</v>
      </c>
      <c r="E31" s="53"/>
      <c r="F31" s="53"/>
      <c r="G31" s="53"/>
      <c r="H31" s="29">
        <v>18</v>
      </c>
      <c r="I31" s="31">
        <f>SUM(H31)+0.8</f>
        <v>18.8</v>
      </c>
      <c r="J31" s="31">
        <f>SUM(I31)+0.8</f>
        <v>19.600000000000001</v>
      </c>
      <c r="K31" s="31"/>
      <c r="L31" s="31"/>
      <c r="M31" s="41"/>
    </row>
    <row r="32" spans="1:13" s="2" customFormat="1" ht="13.5" customHeight="1" x14ac:dyDescent="0.3">
      <c r="A32" s="55"/>
      <c r="B32" s="37" t="s">
        <v>19</v>
      </c>
      <c r="C32" s="37"/>
      <c r="D32" s="38" t="s">
        <v>38</v>
      </c>
      <c r="E32" s="39"/>
      <c r="F32" s="39"/>
      <c r="G32" s="42"/>
      <c r="H32" s="48"/>
      <c r="I32" s="32"/>
      <c r="J32" s="32"/>
      <c r="K32" s="31"/>
      <c r="L32" s="31"/>
      <c r="M32" s="41"/>
    </row>
    <row r="33" spans="1:13" s="2" customFormat="1" ht="13.5" customHeight="1" x14ac:dyDescent="0.3">
      <c r="A33" s="77">
        <v>16</v>
      </c>
      <c r="B33" s="78" t="s">
        <v>161</v>
      </c>
      <c r="C33" s="78"/>
      <c r="D33" s="25"/>
      <c r="E33" s="26"/>
      <c r="F33" s="26"/>
      <c r="G33" s="27"/>
      <c r="H33" s="29">
        <v>5</v>
      </c>
      <c r="I33" s="31">
        <f>SUM(H33)</f>
        <v>5</v>
      </c>
      <c r="J33" s="31">
        <f>SUM(I33)</f>
        <v>5</v>
      </c>
      <c r="K33" s="34"/>
      <c r="L33" s="34"/>
      <c r="M33" s="36"/>
    </row>
    <row r="34" spans="1:13" s="2" customFormat="1" ht="13.5" customHeight="1" x14ac:dyDescent="0.3">
      <c r="A34" s="55"/>
      <c r="B34" s="37" t="s">
        <v>162</v>
      </c>
      <c r="C34" s="37"/>
      <c r="D34" s="38"/>
      <c r="E34" s="39"/>
      <c r="F34" s="39"/>
      <c r="G34" s="42"/>
      <c r="H34" s="29"/>
      <c r="I34" s="31"/>
      <c r="J34" s="31"/>
      <c r="K34" s="31"/>
      <c r="L34" s="31"/>
      <c r="M34" s="41"/>
    </row>
    <row r="35" spans="1:13" s="2" customFormat="1" ht="13.5" customHeight="1" x14ac:dyDescent="0.3">
      <c r="A35" s="22">
        <v>17</v>
      </c>
      <c r="B35" s="43" t="s">
        <v>39</v>
      </c>
      <c r="C35" s="44"/>
      <c r="D35" s="62"/>
      <c r="E35" s="63"/>
      <c r="F35" s="63"/>
      <c r="G35" s="64"/>
      <c r="H35" s="29">
        <v>14.5</v>
      </c>
      <c r="I35" s="31"/>
      <c r="J35" s="31"/>
      <c r="K35" s="32"/>
      <c r="L35" s="31"/>
      <c r="M35" s="41"/>
    </row>
    <row r="36" spans="1:13" s="2" customFormat="1" ht="13.5" customHeight="1" x14ac:dyDescent="0.3">
      <c r="A36" s="22"/>
      <c r="B36" s="50" t="s">
        <v>40</v>
      </c>
      <c r="C36" s="51"/>
      <c r="D36" s="38" t="s">
        <v>163</v>
      </c>
      <c r="E36" s="39"/>
      <c r="F36" s="39"/>
      <c r="G36" s="42"/>
      <c r="H36" s="29"/>
      <c r="I36" s="31"/>
      <c r="J36" s="31"/>
      <c r="K36" s="34"/>
      <c r="L36" s="31"/>
      <c r="M36" s="41"/>
    </row>
    <row r="37" spans="1:13" s="2" customFormat="1" ht="13.5" customHeight="1" x14ac:dyDescent="0.3">
      <c r="A37" s="22">
        <v>18</v>
      </c>
      <c r="B37" s="43" t="s">
        <v>86</v>
      </c>
      <c r="C37" s="44"/>
      <c r="D37" s="62"/>
      <c r="E37" s="63"/>
      <c r="F37" s="63"/>
      <c r="G37" s="64"/>
      <c r="H37" s="29">
        <v>8</v>
      </c>
      <c r="I37" s="31"/>
      <c r="J37" s="31"/>
      <c r="K37" s="32"/>
      <c r="L37" s="32"/>
      <c r="M37" s="54"/>
    </row>
    <row r="38" spans="1:13" s="2" customFormat="1" ht="13.5" customHeight="1" x14ac:dyDescent="0.3">
      <c r="A38" s="22"/>
      <c r="B38" s="50" t="s">
        <v>87</v>
      </c>
      <c r="C38" s="51"/>
      <c r="D38" s="38" t="s">
        <v>164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3" ht="14.1" customHeight="1" x14ac:dyDescent="0.3">
      <c r="A39" s="77">
        <v>19</v>
      </c>
      <c r="B39" s="43" t="s">
        <v>95</v>
      </c>
      <c r="C39" s="44"/>
      <c r="D39" s="62"/>
      <c r="E39" s="63"/>
      <c r="F39" s="63"/>
      <c r="G39" s="64"/>
      <c r="H39" s="29">
        <v>44</v>
      </c>
      <c r="I39" s="31"/>
      <c r="J39" s="31"/>
      <c r="K39" s="32"/>
      <c r="L39" s="32"/>
      <c r="M39" s="54"/>
    </row>
    <row r="40" spans="1:13" ht="14.1" customHeight="1" x14ac:dyDescent="0.3">
      <c r="A40" s="79"/>
      <c r="B40" s="23" t="s">
        <v>94</v>
      </c>
      <c r="C40" s="24"/>
      <c r="D40" s="25" t="s">
        <v>154</v>
      </c>
      <c r="E40" s="26"/>
      <c r="F40" s="26"/>
      <c r="G40" s="27"/>
      <c r="H40" s="48"/>
      <c r="I40" s="32"/>
      <c r="J40" s="32"/>
      <c r="K40" s="65"/>
      <c r="L40" s="65"/>
      <c r="M40" s="67"/>
    </row>
    <row r="41" spans="1:13" ht="14.1" customHeight="1" x14ac:dyDescent="0.3">
      <c r="A41" s="77">
        <v>20</v>
      </c>
      <c r="B41" s="43"/>
      <c r="C41" s="44"/>
      <c r="D41" s="62"/>
      <c r="E41" s="63"/>
      <c r="F41" s="63"/>
      <c r="G41" s="64"/>
      <c r="H41" s="29"/>
      <c r="I41" s="40"/>
      <c r="J41" s="40"/>
      <c r="K41" s="31"/>
      <c r="L41" s="31"/>
      <c r="M41" s="41"/>
    </row>
    <row r="42" spans="1:13" ht="14.1" customHeight="1" thickBot="1" x14ac:dyDescent="0.35">
      <c r="A42" s="81"/>
      <c r="B42" s="69"/>
      <c r="C42" s="70"/>
      <c r="D42" s="71"/>
      <c r="E42" s="72"/>
      <c r="F42" s="72"/>
      <c r="G42" s="73"/>
      <c r="H42" s="60"/>
      <c r="I42" s="82"/>
      <c r="J42" s="82"/>
      <c r="K42" s="61"/>
      <c r="L42" s="61"/>
      <c r="M42" s="80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/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  <row r="63" spans="1:13" x14ac:dyDescent="0.3">
      <c r="B63" s="1"/>
      <c r="C63" s="1"/>
      <c r="D63" s="1"/>
      <c r="E63" s="1"/>
      <c r="F63" s="1"/>
      <c r="G63" s="1"/>
    </row>
    <row r="64" spans="1:13" x14ac:dyDescent="0.3">
      <c r="B64" s="1"/>
      <c r="C64" s="1"/>
      <c r="D64" s="1"/>
      <c r="E64" s="1"/>
      <c r="F64" s="1"/>
      <c r="G64" s="1"/>
    </row>
  </sheetData>
  <mergeCells count="223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7DA9-0768-4B64-BB28-38F53E8DC5E7}">
  <sheetPr>
    <tabColor rgb="FFFF0000"/>
    <pageSetUpPr fitToPage="1"/>
  </sheetPr>
  <dimension ref="A1:M51"/>
  <sheetViews>
    <sheetView topLeftCell="A13" zoomScale="110" zoomScaleNormal="110" workbookViewId="0">
      <selection activeCell="B37" sqref="B37:C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212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97.8</v>
      </c>
      <c r="I11" s="65">
        <f>SUM(H11)+4.5</f>
        <v>102.3</v>
      </c>
      <c r="J11" s="65">
        <f>SUM(I11)+4.5</f>
        <v>106.8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200</v>
      </c>
      <c r="E13" s="46"/>
      <c r="F13" s="46"/>
      <c r="G13" s="47"/>
      <c r="H13" s="48">
        <v>119</v>
      </c>
      <c r="I13" s="32">
        <f>SUM(H13)+5</f>
        <v>124</v>
      </c>
      <c r="J13" s="32">
        <f>SUM(I13)+5</f>
        <v>129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18.399999999999999</v>
      </c>
      <c r="I15" s="32">
        <f>SUM(H15)+0.7</f>
        <v>19.099999999999998</v>
      </c>
      <c r="J15" s="32">
        <f>SUM(I15)+0.7</f>
        <v>19.799999999999997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3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92.5</v>
      </c>
      <c r="I19" s="32">
        <f>SUM(H19)+4</f>
        <v>96.5</v>
      </c>
      <c r="J19" s="32">
        <f>SUM(I19)+4</f>
        <v>100.5</v>
      </c>
      <c r="K19" s="32"/>
      <c r="L19" s="32"/>
      <c r="M19" s="54"/>
    </row>
    <row r="20" spans="1:13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3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52</v>
      </c>
      <c r="I21" s="32">
        <f>SUM(H21)+2.2</f>
        <v>54.2</v>
      </c>
      <c r="J21" s="32">
        <f>SUM(I21)+2.2</f>
        <v>56.400000000000006</v>
      </c>
      <c r="K21" s="32"/>
      <c r="L21" s="32"/>
      <c r="M21" s="54"/>
    </row>
    <row r="22" spans="1:13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23" t="s">
        <v>146</v>
      </c>
      <c r="C23" s="24"/>
      <c r="D23" s="57"/>
      <c r="E23" s="58"/>
      <c r="F23" s="58"/>
      <c r="G23" s="59"/>
      <c r="H23" s="48">
        <v>64</v>
      </c>
      <c r="I23" s="32">
        <f>SUM(H23)+2</f>
        <v>66</v>
      </c>
      <c r="J23" s="32">
        <f>SUM(I23)+2</f>
        <v>68</v>
      </c>
      <c r="K23" s="65"/>
      <c r="L23" s="65"/>
      <c r="M23" s="67"/>
    </row>
    <row r="24" spans="1:13" s="2" customFormat="1" ht="14.1" customHeight="1" x14ac:dyDescent="0.3">
      <c r="A24" s="91"/>
      <c r="B24" s="23" t="s">
        <v>147</v>
      </c>
      <c r="C24" s="24"/>
      <c r="D24" s="110" t="s">
        <v>152</v>
      </c>
      <c r="E24" s="26"/>
      <c r="F24" s="26"/>
      <c r="G24" s="27"/>
      <c r="H24" s="49"/>
      <c r="I24" s="34"/>
      <c r="J24" s="34"/>
      <c r="K24" s="65"/>
      <c r="L24" s="65"/>
      <c r="M24" s="67"/>
    </row>
    <row r="25" spans="1:13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30.6</v>
      </c>
      <c r="I25" s="32">
        <f>SUM(H25)+1.1</f>
        <v>31.700000000000003</v>
      </c>
      <c r="J25" s="32">
        <f>SUM(I25)+1.1</f>
        <v>32.800000000000004</v>
      </c>
      <c r="K25" s="32"/>
      <c r="L25" s="52"/>
      <c r="M25" s="106"/>
    </row>
    <row r="26" spans="1:13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3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39.700000000000003</v>
      </c>
      <c r="I27" s="32">
        <f>SUM(H27)+1.3</f>
        <v>41</v>
      </c>
      <c r="J27" s="32">
        <f>SUM(I27)+1.3</f>
        <v>42.3</v>
      </c>
      <c r="K27" s="32"/>
      <c r="L27" s="52"/>
      <c r="M27" s="106"/>
    </row>
    <row r="28" spans="1:13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7"/>
      <c r="M28" s="107"/>
    </row>
    <row r="29" spans="1:13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>
        <v>73.400000000000006</v>
      </c>
      <c r="I29" s="32">
        <f>SUM(H29)+3</f>
        <v>76.400000000000006</v>
      </c>
      <c r="J29" s="32">
        <f>SUM(I29)+3.1</f>
        <v>79.5</v>
      </c>
      <c r="K29" s="32"/>
      <c r="L29" s="32"/>
      <c r="M29" s="54"/>
    </row>
    <row r="30" spans="1:13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>
        <v>64.2</v>
      </c>
      <c r="I31" s="32">
        <f>SUM(H31)+3</f>
        <v>67.2</v>
      </c>
      <c r="J31" s="32">
        <f>SUM(I31)+3</f>
        <v>70.2</v>
      </c>
      <c r="K31" s="32"/>
      <c r="L31" s="32"/>
      <c r="M31" s="54"/>
    </row>
    <row r="32" spans="1:13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>
        <v>63.8</v>
      </c>
      <c r="I33" s="32">
        <f>SUM(H33)+2.4</f>
        <v>66.2</v>
      </c>
      <c r="J33" s="32">
        <f>SUM(I33)+2.4</f>
        <v>68.600000000000009</v>
      </c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 t="s">
        <v>65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>
        <v>52.4</v>
      </c>
      <c r="I35" s="32">
        <f>SUM(H35)+2.1</f>
        <v>54.5</v>
      </c>
      <c r="J35" s="32">
        <f>SUM(I35)+2.1</f>
        <v>56.6</v>
      </c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201</v>
      </c>
      <c r="C37" s="44"/>
      <c r="D37" s="45"/>
      <c r="E37" s="46"/>
      <c r="F37" s="46"/>
      <c r="G37" s="47"/>
      <c r="H37" s="29">
        <v>14</v>
      </c>
      <c r="I37" s="40">
        <f>SUM(H37)+0.5</f>
        <v>14.5</v>
      </c>
      <c r="J37" s="40">
        <f>SUM(I37)+0.5</f>
        <v>15</v>
      </c>
      <c r="K37" s="32"/>
      <c r="L37" s="32"/>
      <c r="M37" s="54"/>
    </row>
    <row r="38" spans="1:13" ht="14.1" customHeight="1" x14ac:dyDescent="0.3">
      <c r="A38" s="91"/>
      <c r="B38" s="97" t="s">
        <v>202</v>
      </c>
      <c r="C38" s="98"/>
      <c r="D38" s="83"/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14</v>
      </c>
      <c r="I39" s="32">
        <f>SUM(H39)+0.5</f>
        <v>14.5</v>
      </c>
      <c r="J39" s="32">
        <f>SUM(I39)+0.5</f>
        <v>15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14.5</v>
      </c>
      <c r="I41" s="32">
        <f>SUM(H41)+0.5</f>
        <v>15</v>
      </c>
      <c r="J41" s="32">
        <f>SUM(I41)+0.5</f>
        <v>15.5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100</v>
      </c>
      <c r="I43" s="65">
        <f>SUM(H43)+2.5</f>
        <v>102.5</v>
      </c>
      <c r="J43" s="65">
        <f>SUM(I43)+2.5</f>
        <v>105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203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 t="s">
        <v>131</v>
      </c>
      <c r="C45" s="44"/>
      <c r="D45" s="62"/>
      <c r="E45" s="63"/>
      <c r="F45" s="63"/>
      <c r="G45" s="64"/>
      <c r="H45" s="29">
        <v>1.9</v>
      </c>
      <c r="I45" s="32">
        <f>SUM(H45)</f>
        <v>1.9</v>
      </c>
      <c r="J45" s="32">
        <f>SUM(I45)</f>
        <v>1.9</v>
      </c>
      <c r="K45" s="32"/>
      <c r="L45" s="32"/>
      <c r="M45" s="54"/>
    </row>
    <row r="46" spans="1:13" ht="14.1" customHeight="1" x14ac:dyDescent="0.3">
      <c r="A46" s="91"/>
      <c r="B46" s="50" t="s">
        <v>130</v>
      </c>
      <c r="C46" s="51"/>
      <c r="D46" s="25" t="s">
        <v>199</v>
      </c>
      <c r="E46" s="26"/>
      <c r="F46" s="26"/>
      <c r="G46" s="27"/>
      <c r="H46" s="48"/>
      <c r="I46" s="65"/>
      <c r="J46" s="65"/>
      <c r="K46" s="65"/>
      <c r="L46" s="65"/>
      <c r="M46" s="67"/>
    </row>
    <row r="47" spans="1:13" ht="14.1" customHeight="1" x14ac:dyDescent="0.3">
      <c r="A47" s="99">
        <v>23</v>
      </c>
      <c r="B47" s="43"/>
      <c r="C47" s="44"/>
      <c r="D47" s="62"/>
      <c r="E47" s="63"/>
      <c r="F47" s="63"/>
      <c r="G47" s="64"/>
      <c r="H47" s="29"/>
      <c r="I47" s="32"/>
      <c r="J47" s="32"/>
      <c r="K47" s="32"/>
      <c r="L47" s="32"/>
      <c r="M47" s="54"/>
    </row>
    <row r="48" spans="1:13" ht="14.1" customHeight="1" thickBot="1" x14ac:dyDescent="0.35">
      <c r="A48" s="111"/>
      <c r="B48" s="69"/>
      <c r="C48" s="70"/>
      <c r="D48" s="71"/>
      <c r="E48" s="72"/>
      <c r="F48" s="72"/>
      <c r="G48" s="73"/>
      <c r="H48" s="60"/>
      <c r="I48" s="66"/>
      <c r="J48" s="66"/>
      <c r="K48" s="66"/>
      <c r="L48" s="66"/>
      <c r="M48" s="68"/>
    </row>
    <row r="49" ht="14.1" customHeight="1" x14ac:dyDescent="0.3"/>
    <row r="50" ht="14.1" customHeight="1" x14ac:dyDescent="0.3"/>
    <row r="51" ht="14.1" customHeight="1" x14ac:dyDescent="0.3"/>
  </sheetData>
  <mergeCells count="256"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E34A-4EA0-4FE8-9F65-CDFCD1734806}">
  <sheetPr>
    <tabColor rgb="FFFF0000"/>
    <pageSetUpPr fitToPage="1"/>
  </sheetPr>
  <dimension ref="A1:P51"/>
  <sheetViews>
    <sheetView topLeftCell="A10"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234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90</v>
      </c>
      <c r="I11" s="65">
        <f>SUM(H11)+4.5</f>
        <v>94.5</v>
      </c>
      <c r="J11" s="65">
        <f>SUM(I11)+4.5</f>
        <v>99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235</v>
      </c>
      <c r="E13" s="46"/>
      <c r="F13" s="46"/>
      <c r="G13" s="47"/>
      <c r="H13" s="48">
        <v>102.8</v>
      </c>
      <c r="I13" s="32">
        <f>SUM(H13)+5</f>
        <v>107.8</v>
      </c>
      <c r="J13" s="32">
        <f>SUM(I13)+5</f>
        <v>112.8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19.5</v>
      </c>
      <c r="I15" s="32">
        <f>SUM(H15)+0.7</f>
        <v>20.2</v>
      </c>
      <c r="J15" s="32">
        <f>SUM(I15)+0.7</f>
        <v>20.9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6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6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6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94</v>
      </c>
      <c r="I19" s="32">
        <f>SUM(H19)+4</f>
        <v>98</v>
      </c>
      <c r="J19" s="32">
        <f>SUM(I19)+4</f>
        <v>102</v>
      </c>
      <c r="K19" s="32"/>
      <c r="L19" s="32"/>
      <c r="M19" s="54"/>
    </row>
    <row r="20" spans="1:16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6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46</v>
      </c>
      <c r="I21" s="32">
        <f>SUM(H21)+2</f>
        <v>48</v>
      </c>
      <c r="J21" s="32">
        <f>SUM(I21)+2</f>
        <v>50</v>
      </c>
      <c r="K21" s="32"/>
      <c r="L21" s="32"/>
      <c r="M21" s="54"/>
    </row>
    <row r="22" spans="1:16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6" s="2" customFormat="1" ht="14.1" customHeight="1" x14ac:dyDescent="0.3">
      <c r="A23" s="99">
        <v>11</v>
      </c>
      <c r="B23" s="23" t="s">
        <v>146</v>
      </c>
      <c r="C23" s="24"/>
      <c r="D23" s="57"/>
      <c r="E23" s="58"/>
      <c r="F23" s="58"/>
      <c r="G23" s="59"/>
      <c r="H23" s="48">
        <v>58</v>
      </c>
      <c r="I23" s="32">
        <f>SUM(H23)+2</f>
        <v>60</v>
      </c>
      <c r="J23" s="32">
        <f>SUM(I23)+2</f>
        <v>62</v>
      </c>
      <c r="K23" s="65"/>
      <c r="L23" s="65"/>
      <c r="M23" s="67"/>
      <c r="P23" s="2" t="s">
        <v>237</v>
      </c>
    </row>
    <row r="24" spans="1:16" s="2" customFormat="1" ht="14.1" customHeight="1" x14ac:dyDescent="0.3">
      <c r="A24" s="91"/>
      <c r="B24" s="23" t="s">
        <v>147</v>
      </c>
      <c r="C24" s="24"/>
      <c r="D24" s="110" t="s">
        <v>152</v>
      </c>
      <c r="E24" s="26"/>
      <c r="F24" s="26"/>
      <c r="G24" s="27"/>
      <c r="H24" s="49"/>
      <c r="I24" s="34"/>
      <c r="J24" s="34"/>
      <c r="K24" s="65"/>
      <c r="L24" s="65"/>
      <c r="M24" s="67"/>
      <c r="P24" s="2">
        <f>SUM(H23+H23+I23+I23+J23+J23)</f>
        <v>360</v>
      </c>
    </row>
    <row r="25" spans="1:16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30.1</v>
      </c>
      <c r="I25" s="32">
        <f>SUM(H25)+1.1</f>
        <v>31.200000000000003</v>
      </c>
      <c r="J25" s="32">
        <f>SUM(I25)+1.1</f>
        <v>32.300000000000004</v>
      </c>
      <c r="K25" s="32"/>
      <c r="L25" s="52"/>
      <c r="M25" s="106"/>
      <c r="P25" s="2">
        <f>SUM(P24/91.44/3*1.08)</f>
        <v>1.4173228346456694</v>
      </c>
    </row>
    <row r="26" spans="1:16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6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38.799999999999997</v>
      </c>
      <c r="I27" s="32">
        <f>SUM(H27)+1.3</f>
        <v>40.099999999999994</v>
      </c>
      <c r="J27" s="32">
        <f>SUM(I27)+1.3</f>
        <v>41.399999999999991</v>
      </c>
      <c r="K27" s="32"/>
      <c r="L27" s="52"/>
      <c r="M27" s="106"/>
    </row>
    <row r="28" spans="1:16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7"/>
      <c r="M28" s="107"/>
    </row>
    <row r="29" spans="1:16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>
        <v>68.2</v>
      </c>
      <c r="I29" s="32">
        <f>SUM(H29)+3.1</f>
        <v>71.3</v>
      </c>
      <c r="J29" s="32">
        <f>SUM(I29)+3.1</f>
        <v>74.399999999999991</v>
      </c>
      <c r="K29" s="32"/>
      <c r="L29" s="32"/>
      <c r="M29" s="54"/>
    </row>
    <row r="30" spans="1:16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6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>
        <v>64.8</v>
      </c>
      <c r="I31" s="32">
        <f>SUM(H31)+3</f>
        <v>67.8</v>
      </c>
      <c r="J31" s="32">
        <f>SUM(I31)+3</f>
        <v>70.8</v>
      </c>
      <c r="K31" s="32"/>
      <c r="L31" s="32"/>
      <c r="M31" s="54"/>
    </row>
    <row r="32" spans="1:16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>
        <v>62.5</v>
      </c>
      <c r="I33" s="32">
        <f>SUM(H33)+2.7</f>
        <v>65.2</v>
      </c>
      <c r="J33" s="32">
        <f>SUM(I33)+2.7</f>
        <v>67.900000000000006</v>
      </c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 t="s">
        <v>65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>
        <v>54</v>
      </c>
      <c r="I35" s="32">
        <f>SUM(H35)+2.2</f>
        <v>56.2</v>
      </c>
      <c r="J35" s="32">
        <f>SUM(I35)+2.2</f>
        <v>58.400000000000006</v>
      </c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201</v>
      </c>
      <c r="C37" s="44"/>
      <c r="D37" s="45"/>
      <c r="E37" s="46"/>
      <c r="F37" s="46"/>
      <c r="G37" s="47"/>
      <c r="H37" s="29">
        <v>13.5</v>
      </c>
      <c r="I37" s="40">
        <f>SUM(H37)+0.5</f>
        <v>14</v>
      </c>
      <c r="J37" s="40">
        <f>SUM(I37)+0.5</f>
        <v>14.5</v>
      </c>
      <c r="K37" s="32"/>
      <c r="L37" s="32"/>
      <c r="M37" s="54"/>
    </row>
    <row r="38" spans="1:13" ht="14.1" customHeight="1" x14ac:dyDescent="0.3">
      <c r="A38" s="91"/>
      <c r="B38" s="97" t="s">
        <v>202</v>
      </c>
      <c r="C38" s="98"/>
      <c r="D38" s="83"/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13</v>
      </c>
      <c r="I39" s="32">
        <f>SUM(H39)+0.5</f>
        <v>13.5</v>
      </c>
      <c r="J39" s="32">
        <f>SUM(I39)+0.5</f>
        <v>14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13.5</v>
      </c>
      <c r="I41" s="32">
        <f>SUM(H41)+0.5</f>
        <v>14</v>
      </c>
      <c r="J41" s="32">
        <f>SUM(I41)+0.5</f>
        <v>14.5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104</v>
      </c>
      <c r="I43" s="65">
        <f>SUM(H43)+2.5</f>
        <v>106.5</v>
      </c>
      <c r="J43" s="65">
        <f>SUM(I43)+2.5</f>
        <v>109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236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/>
      <c r="C45" s="44"/>
      <c r="D45" s="62"/>
      <c r="E45" s="63"/>
      <c r="F45" s="63"/>
      <c r="G45" s="64"/>
      <c r="H45" s="29"/>
      <c r="I45" s="32"/>
      <c r="J45" s="32"/>
      <c r="K45" s="32"/>
      <c r="L45" s="32"/>
      <c r="M45" s="54"/>
    </row>
    <row r="46" spans="1:13" ht="14.1" customHeight="1" x14ac:dyDescent="0.3">
      <c r="A46" s="91"/>
      <c r="B46" s="50"/>
      <c r="C46" s="51"/>
      <c r="D46" s="25"/>
      <c r="E46" s="26"/>
      <c r="F46" s="26"/>
      <c r="G46" s="27"/>
      <c r="H46" s="48"/>
      <c r="I46" s="65"/>
      <c r="J46" s="65"/>
      <c r="K46" s="65"/>
      <c r="L46" s="65"/>
      <c r="M46" s="67"/>
    </row>
    <row r="47" spans="1:13" ht="14.1" customHeight="1" x14ac:dyDescent="0.3">
      <c r="A47" s="99">
        <v>23</v>
      </c>
      <c r="B47" s="43"/>
      <c r="C47" s="44"/>
      <c r="D47" s="62"/>
      <c r="E47" s="63"/>
      <c r="F47" s="63"/>
      <c r="G47" s="64"/>
      <c r="H47" s="29"/>
      <c r="I47" s="32"/>
      <c r="J47" s="32"/>
      <c r="K47" s="32"/>
      <c r="L47" s="32"/>
      <c r="M47" s="54"/>
    </row>
    <row r="48" spans="1:13" ht="14.1" customHeight="1" thickBot="1" x14ac:dyDescent="0.35">
      <c r="A48" s="111"/>
      <c r="B48" s="69"/>
      <c r="C48" s="70"/>
      <c r="D48" s="71"/>
      <c r="E48" s="72"/>
      <c r="F48" s="72"/>
      <c r="G48" s="73"/>
      <c r="H48" s="60"/>
      <c r="I48" s="66"/>
      <c r="J48" s="66"/>
      <c r="K48" s="66"/>
      <c r="L48" s="66"/>
      <c r="M48" s="68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09DC-C962-4B60-A15B-9EAA55B80C74}">
  <sheetPr>
    <tabColor rgb="FFFF0000"/>
    <pageSetUpPr fitToPage="1"/>
  </sheetPr>
  <dimension ref="A1:M51"/>
  <sheetViews>
    <sheetView topLeftCell="A13" zoomScale="110" zoomScaleNormal="110" workbookViewId="0">
      <selection activeCell="H45" sqref="H45:J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266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86.1</v>
      </c>
      <c r="I11" s="65">
        <f>SUM(H11)+4.5</f>
        <v>90.6</v>
      </c>
      <c r="J11" s="65">
        <f>SUM(I11)+4.5</f>
        <v>95.1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116</v>
      </c>
      <c r="E13" s="46"/>
      <c r="F13" s="46"/>
      <c r="G13" s="47"/>
      <c r="H13" s="48">
        <v>94.5</v>
      </c>
      <c r="I13" s="32">
        <f>SUM(H13)+5</f>
        <v>99.5</v>
      </c>
      <c r="J13" s="32">
        <f>SUM(I13)+5</f>
        <v>104.5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</v>
      </c>
      <c r="I15" s="32">
        <f>SUM(H15)+0.7</f>
        <v>19.7</v>
      </c>
      <c r="J15" s="32">
        <f>SUM(I15)+0.7</f>
        <v>20.399999999999999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3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</v>
      </c>
      <c r="I19" s="32">
        <f>SUM(H19)+4</f>
        <v>96</v>
      </c>
      <c r="J19" s="32">
        <f>SUM(I19)+4</f>
        <v>100</v>
      </c>
      <c r="K19" s="32"/>
      <c r="L19" s="32"/>
      <c r="M19" s="54"/>
    </row>
    <row r="20" spans="1:13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3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53.6</v>
      </c>
      <c r="I21" s="32">
        <f>SUM(H21)+2.5</f>
        <v>56.1</v>
      </c>
      <c r="J21" s="32">
        <f>SUM(I21)+2.5</f>
        <v>58.6</v>
      </c>
      <c r="K21" s="32"/>
      <c r="L21" s="32"/>
      <c r="M21" s="54"/>
    </row>
    <row r="22" spans="1:13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43" t="s">
        <v>45</v>
      </c>
      <c r="C23" s="44"/>
      <c r="D23" s="45" t="s">
        <v>46</v>
      </c>
      <c r="E23" s="46"/>
      <c r="F23" s="46"/>
      <c r="G23" s="47"/>
      <c r="H23" s="48">
        <v>30</v>
      </c>
      <c r="I23" s="32">
        <f>SUM(H23)+1.1</f>
        <v>31.1</v>
      </c>
      <c r="J23" s="32">
        <f>SUM(I23)+1.1</f>
        <v>32.200000000000003</v>
      </c>
      <c r="K23" s="32"/>
      <c r="L23" s="52"/>
      <c r="M23" s="106"/>
    </row>
    <row r="24" spans="1:13" s="2" customFormat="1" ht="14.1" customHeight="1" x14ac:dyDescent="0.3">
      <c r="A24" s="91"/>
      <c r="B24" s="97" t="s">
        <v>47</v>
      </c>
      <c r="C24" s="98"/>
      <c r="D24" s="83" t="s">
        <v>70</v>
      </c>
      <c r="E24" s="84"/>
      <c r="F24" s="84"/>
      <c r="G24" s="85"/>
      <c r="H24" s="49"/>
      <c r="I24" s="34"/>
      <c r="J24" s="34"/>
      <c r="K24" s="34"/>
      <c r="L24" s="37"/>
      <c r="M24" s="107"/>
    </row>
    <row r="25" spans="1:13" s="2" customFormat="1" ht="14.1" customHeight="1" x14ac:dyDescent="0.3">
      <c r="A25" s="99">
        <v>12</v>
      </c>
      <c r="B25" s="43" t="s">
        <v>48</v>
      </c>
      <c r="C25" s="44"/>
      <c r="D25" s="45" t="s">
        <v>46</v>
      </c>
      <c r="E25" s="46"/>
      <c r="F25" s="46"/>
      <c r="G25" s="47"/>
      <c r="H25" s="48">
        <v>39.6</v>
      </c>
      <c r="I25" s="32">
        <f>SUM(H25)+1.3</f>
        <v>40.9</v>
      </c>
      <c r="J25" s="32">
        <f>SUM(I25)+1.3</f>
        <v>42.199999999999996</v>
      </c>
      <c r="K25" s="32"/>
      <c r="L25" s="52"/>
      <c r="M25" s="106"/>
    </row>
    <row r="26" spans="1:13" s="2" customFormat="1" ht="14.1" customHeight="1" x14ac:dyDescent="0.3">
      <c r="A26" s="91"/>
      <c r="B26" s="97" t="s">
        <v>49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3" s="2" customFormat="1" ht="14.1" customHeight="1" x14ac:dyDescent="0.3">
      <c r="A27" s="99">
        <v>13</v>
      </c>
      <c r="B27" s="43" t="s">
        <v>50</v>
      </c>
      <c r="C27" s="44"/>
      <c r="D27" s="45" t="s">
        <v>51</v>
      </c>
      <c r="E27" s="46"/>
      <c r="F27" s="46"/>
      <c r="G27" s="47"/>
      <c r="H27" s="48">
        <v>62.8</v>
      </c>
      <c r="I27" s="32">
        <f>SUM(H27)+3.1</f>
        <v>65.899999999999991</v>
      </c>
      <c r="J27" s="32">
        <f>SUM(I27)+3.1</f>
        <v>68.999999999999986</v>
      </c>
      <c r="K27" s="32"/>
      <c r="L27" s="32"/>
      <c r="M27" s="54"/>
    </row>
    <row r="28" spans="1:13" s="2" customFormat="1" ht="14.1" customHeight="1" x14ac:dyDescent="0.3">
      <c r="A28" s="91"/>
      <c r="B28" s="97" t="s">
        <v>52</v>
      </c>
      <c r="C28" s="98"/>
      <c r="D28" s="83" t="s">
        <v>69</v>
      </c>
      <c r="E28" s="84"/>
      <c r="F28" s="84"/>
      <c r="G28" s="85"/>
      <c r="H28" s="49"/>
      <c r="I28" s="34"/>
      <c r="J28" s="34"/>
      <c r="K28" s="34"/>
      <c r="L28" s="34"/>
      <c r="M28" s="36"/>
    </row>
    <row r="29" spans="1:13" s="2" customFormat="1" ht="14.1" customHeight="1" x14ac:dyDescent="0.3">
      <c r="A29" s="99">
        <v>14</v>
      </c>
      <c r="B29" s="43" t="s">
        <v>53</v>
      </c>
      <c r="C29" s="44"/>
      <c r="D29" s="45" t="s">
        <v>54</v>
      </c>
      <c r="E29" s="46"/>
      <c r="F29" s="46"/>
      <c r="G29" s="47"/>
      <c r="H29" s="48">
        <v>64.400000000000006</v>
      </c>
      <c r="I29" s="32">
        <f>SUM(H29)+3</f>
        <v>67.400000000000006</v>
      </c>
      <c r="J29" s="32">
        <f>SUM(I29)+3</f>
        <v>70.400000000000006</v>
      </c>
      <c r="K29" s="32"/>
      <c r="L29" s="32"/>
      <c r="M29" s="54"/>
    </row>
    <row r="30" spans="1:13" s="2" customFormat="1" ht="14.1" customHeight="1" x14ac:dyDescent="0.3">
      <c r="A30" s="91"/>
      <c r="B30" s="97" t="s">
        <v>55</v>
      </c>
      <c r="C30" s="98"/>
      <c r="D30" s="83" t="s">
        <v>68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67</v>
      </c>
      <c r="C31" s="44"/>
      <c r="D31" s="45" t="s">
        <v>65</v>
      </c>
      <c r="E31" s="46"/>
      <c r="F31" s="46"/>
      <c r="G31" s="47"/>
      <c r="H31" s="48">
        <v>56.8</v>
      </c>
      <c r="I31" s="32">
        <f>SUM(H31)+2.6</f>
        <v>59.4</v>
      </c>
      <c r="J31" s="32">
        <f>SUM(I31)+2.6</f>
        <v>62</v>
      </c>
      <c r="K31" s="32"/>
      <c r="L31" s="32"/>
      <c r="M31" s="54"/>
    </row>
    <row r="32" spans="1:13" s="2" customFormat="1" ht="14.1" customHeight="1" x14ac:dyDescent="0.3">
      <c r="A32" s="91"/>
      <c r="B32" s="97" t="s">
        <v>66</v>
      </c>
      <c r="C32" s="98"/>
      <c r="D32" s="83" t="s">
        <v>65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101</v>
      </c>
      <c r="C33" s="44"/>
      <c r="D33" s="45" t="s">
        <v>100</v>
      </c>
      <c r="E33" s="46"/>
      <c r="F33" s="46"/>
      <c r="G33" s="47"/>
      <c r="H33" s="48">
        <v>50.8</v>
      </c>
      <c r="I33" s="32">
        <f>SUM(H33)+2.1</f>
        <v>52.9</v>
      </c>
      <c r="J33" s="32">
        <f>SUM(I33)+2.1</f>
        <v>55</v>
      </c>
      <c r="K33" s="32"/>
      <c r="L33" s="32"/>
      <c r="M33" s="54"/>
    </row>
    <row r="34" spans="1:13" s="2" customFormat="1" ht="14.1" customHeight="1" x14ac:dyDescent="0.3">
      <c r="A34" s="91"/>
      <c r="B34" s="97" t="s">
        <v>99</v>
      </c>
      <c r="C34" s="98"/>
      <c r="D34" s="83" t="s">
        <v>98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124</v>
      </c>
      <c r="C35" s="44"/>
      <c r="D35" s="45" t="s">
        <v>123</v>
      </c>
      <c r="E35" s="46"/>
      <c r="F35" s="46"/>
      <c r="G35" s="47"/>
      <c r="H35" s="29">
        <v>5.7</v>
      </c>
      <c r="I35" s="40">
        <f>SUM(H35)+0.2</f>
        <v>5.9</v>
      </c>
      <c r="J35" s="40">
        <f>SUM(I35)+0.2</f>
        <v>6.1000000000000005</v>
      </c>
      <c r="K35" s="32"/>
      <c r="L35" s="32"/>
      <c r="M35" s="54"/>
    </row>
    <row r="36" spans="1:13" s="2" customFormat="1" ht="14.1" customHeight="1" x14ac:dyDescent="0.3">
      <c r="A36" s="91"/>
      <c r="B36" s="97" t="s">
        <v>122</v>
      </c>
      <c r="C36" s="98"/>
      <c r="D36" s="83" t="s">
        <v>121</v>
      </c>
      <c r="E36" s="84"/>
      <c r="F36" s="84"/>
      <c r="G36" s="85"/>
      <c r="H36" s="29"/>
      <c r="I36" s="40"/>
      <c r="J36" s="40"/>
      <c r="K36" s="34"/>
      <c r="L36" s="34"/>
      <c r="M36" s="36"/>
    </row>
    <row r="37" spans="1:13" ht="14.1" customHeight="1" x14ac:dyDescent="0.3">
      <c r="A37" s="99">
        <v>18</v>
      </c>
      <c r="B37" s="43" t="s">
        <v>120</v>
      </c>
      <c r="C37" s="44"/>
      <c r="D37" s="45" t="s">
        <v>119</v>
      </c>
      <c r="E37" s="46"/>
      <c r="F37" s="46"/>
      <c r="G37" s="47"/>
      <c r="H37" s="48">
        <v>12.2</v>
      </c>
      <c r="I37" s="32">
        <f>SUM(H37)+0.6</f>
        <v>12.799999999999999</v>
      </c>
      <c r="J37" s="32">
        <f>SUM(I37)+0.6</f>
        <v>13.399999999999999</v>
      </c>
      <c r="K37" s="32"/>
      <c r="L37" s="32"/>
      <c r="M37" s="54"/>
    </row>
    <row r="38" spans="1:13" ht="14.1" customHeight="1" x14ac:dyDescent="0.3">
      <c r="A38" s="91"/>
      <c r="B38" s="97" t="s">
        <v>118</v>
      </c>
      <c r="C38" s="98"/>
      <c r="D38" s="83" t="s">
        <v>117</v>
      </c>
      <c r="E38" s="84"/>
      <c r="F38" s="84"/>
      <c r="G38" s="85"/>
      <c r="H38" s="49"/>
      <c r="I38" s="34"/>
      <c r="J38" s="34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12.5</v>
      </c>
      <c r="I39" s="32">
        <f>SUM(H39)+0.5</f>
        <v>13</v>
      </c>
      <c r="J39" s="32">
        <f>SUM(I39)+0.5</f>
        <v>13.5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13</v>
      </c>
      <c r="I41" s="32">
        <f>SUM(H41)+0.5</f>
        <v>13.5</v>
      </c>
      <c r="J41" s="32">
        <f>SUM(I41)+0.5</f>
        <v>14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104</v>
      </c>
      <c r="I43" s="65">
        <f>SUM(H43)+2.5</f>
        <v>106.5</v>
      </c>
      <c r="J43" s="65">
        <f>SUM(I43)+2.5</f>
        <v>109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145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112">
        <v>22</v>
      </c>
      <c r="B45" s="43" t="s">
        <v>131</v>
      </c>
      <c r="C45" s="44"/>
      <c r="D45" s="62"/>
      <c r="E45" s="63"/>
      <c r="F45" s="63"/>
      <c r="G45" s="64"/>
      <c r="H45" s="29">
        <v>1.5</v>
      </c>
      <c r="I45" s="32">
        <f>SUM(H45)</f>
        <v>1.5</v>
      </c>
      <c r="J45" s="32">
        <f>SUM(I45)</f>
        <v>1.5</v>
      </c>
      <c r="K45" s="32"/>
      <c r="L45" s="32"/>
      <c r="M45" s="54"/>
    </row>
    <row r="46" spans="1:13" ht="14.1" customHeight="1" thickBot="1" x14ac:dyDescent="0.35">
      <c r="A46" s="111"/>
      <c r="B46" s="69" t="s">
        <v>130</v>
      </c>
      <c r="C46" s="70"/>
      <c r="D46" s="71" t="s">
        <v>267</v>
      </c>
      <c r="E46" s="72"/>
      <c r="F46" s="72"/>
      <c r="G46" s="73"/>
      <c r="H46" s="60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E5EE0-2DD9-4C50-AF64-E469136EFC12}">
  <sheetPr>
    <tabColor rgb="FFFF0000"/>
    <pageSetUpPr fitToPage="1"/>
  </sheetPr>
  <dimension ref="A1:P51"/>
  <sheetViews>
    <sheetView zoomScale="110" zoomScaleNormal="110" workbookViewId="0">
      <selection sqref="A1:M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302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93.7</v>
      </c>
      <c r="I11" s="65">
        <f>SUM(H11)+4.5</f>
        <v>98.2</v>
      </c>
      <c r="J11" s="65">
        <f>SUM(I11)+4.5</f>
        <v>102.7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200</v>
      </c>
      <c r="E13" s="46"/>
      <c r="F13" s="46"/>
      <c r="G13" s="47"/>
      <c r="H13" s="48">
        <v>122.1</v>
      </c>
      <c r="I13" s="32">
        <f>SUM(H13)+5</f>
        <v>127.1</v>
      </c>
      <c r="J13" s="32">
        <f>SUM(I13)+5</f>
        <v>132.1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</v>
      </c>
      <c r="I15" s="32">
        <f>SUM(H15)+0.7</f>
        <v>19.7</v>
      </c>
      <c r="J15" s="32">
        <f>SUM(I15)+0.7</f>
        <v>20.399999999999999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306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6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6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6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92.6</v>
      </c>
      <c r="I19" s="32">
        <f>SUM(H19)+4</f>
        <v>96.6</v>
      </c>
      <c r="J19" s="32">
        <f>SUM(I19)+4</f>
        <v>100.6</v>
      </c>
      <c r="K19" s="32"/>
      <c r="L19" s="32"/>
      <c r="M19" s="54"/>
    </row>
    <row r="20" spans="1:16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6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56</v>
      </c>
      <c r="I21" s="32">
        <f>SUM(H21)+2.4</f>
        <v>58.4</v>
      </c>
      <c r="J21" s="32">
        <f>SUM(I21)+2.4</f>
        <v>60.8</v>
      </c>
      <c r="K21" s="32"/>
      <c r="L21" s="32"/>
      <c r="M21" s="54"/>
    </row>
    <row r="22" spans="1:16" s="2" customFormat="1" ht="14.1" customHeight="1" x14ac:dyDescent="0.3">
      <c r="A22" s="91"/>
      <c r="B22" s="97" t="s">
        <v>82</v>
      </c>
      <c r="C22" s="98"/>
      <c r="D22" s="38" t="s">
        <v>303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6" s="2" customFormat="1" ht="14.1" customHeight="1" x14ac:dyDescent="0.3">
      <c r="A23" s="99">
        <v>11</v>
      </c>
      <c r="B23" s="43" t="s">
        <v>45</v>
      </c>
      <c r="C23" s="44"/>
      <c r="D23" s="45" t="s">
        <v>46</v>
      </c>
      <c r="E23" s="46"/>
      <c r="F23" s="46"/>
      <c r="G23" s="47"/>
      <c r="H23" s="48">
        <v>30.4</v>
      </c>
      <c r="I23" s="32">
        <f>SUM(H23)+1.1</f>
        <v>31.5</v>
      </c>
      <c r="J23" s="32">
        <f>SUM(I23)+1.1</f>
        <v>32.6</v>
      </c>
      <c r="K23" s="32"/>
      <c r="L23" s="52"/>
      <c r="M23" s="106"/>
      <c r="P23" s="2" t="s">
        <v>237</v>
      </c>
    </row>
    <row r="24" spans="1:16" s="2" customFormat="1" ht="14.1" customHeight="1" x14ac:dyDescent="0.3">
      <c r="A24" s="91"/>
      <c r="B24" s="97" t="s">
        <v>47</v>
      </c>
      <c r="C24" s="98"/>
      <c r="D24" s="83" t="s">
        <v>70</v>
      </c>
      <c r="E24" s="84"/>
      <c r="F24" s="84"/>
      <c r="G24" s="85"/>
      <c r="H24" s="49"/>
      <c r="I24" s="34"/>
      <c r="J24" s="34"/>
      <c r="K24" s="34"/>
      <c r="L24" s="37"/>
      <c r="M24" s="107"/>
    </row>
    <row r="25" spans="1:16" s="2" customFormat="1" ht="14.1" customHeight="1" x14ac:dyDescent="0.3">
      <c r="A25" s="99">
        <v>12</v>
      </c>
      <c r="B25" s="43" t="s">
        <v>48</v>
      </c>
      <c r="C25" s="44"/>
      <c r="D25" s="45" t="s">
        <v>46</v>
      </c>
      <c r="E25" s="46"/>
      <c r="F25" s="46"/>
      <c r="G25" s="47"/>
      <c r="H25" s="48">
        <v>39.799999999999997</v>
      </c>
      <c r="I25" s="32">
        <f>SUM(H25)+1.3</f>
        <v>41.099999999999994</v>
      </c>
      <c r="J25" s="32">
        <f>SUM(I25)+1.4</f>
        <v>42.499999999999993</v>
      </c>
      <c r="K25" s="32"/>
      <c r="L25" s="52"/>
      <c r="M25" s="106"/>
    </row>
    <row r="26" spans="1:16" s="2" customFormat="1" ht="14.1" customHeight="1" x14ac:dyDescent="0.3">
      <c r="A26" s="91"/>
      <c r="B26" s="97" t="s">
        <v>49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6" s="2" customFormat="1" ht="14.1" customHeight="1" x14ac:dyDescent="0.3">
      <c r="A27" s="99">
        <v>13</v>
      </c>
      <c r="B27" s="43" t="s">
        <v>50</v>
      </c>
      <c r="C27" s="44"/>
      <c r="D27" s="45" t="s">
        <v>51</v>
      </c>
      <c r="E27" s="46"/>
      <c r="F27" s="46"/>
      <c r="G27" s="47"/>
      <c r="H27" s="48">
        <v>75.900000000000006</v>
      </c>
      <c r="I27" s="32">
        <f>SUM(H27)+3.2</f>
        <v>79.100000000000009</v>
      </c>
      <c r="J27" s="32">
        <f>SUM(I27)+3.2</f>
        <v>82.300000000000011</v>
      </c>
      <c r="K27" s="32"/>
      <c r="L27" s="32"/>
      <c r="M27" s="54"/>
    </row>
    <row r="28" spans="1:16" s="2" customFormat="1" ht="14.1" customHeight="1" x14ac:dyDescent="0.3">
      <c r="A28" s="91"/>
      <c r="B28" s="97" t="s">
        <v>52</v>
      </c>
      <c r="C28" s="98"/>
      <c r="D28" s="83" t="s">
        <v>69</v>
      </c>
      <c r="E28" s="84"/>
      <c r="F28" s="84"/>
      <c r="G28" s="85"/>
      <c r="H28" s="49"/>
      <c r="I28" s="34"/>
      <c r="J28" s="34"/>
      <c r="K28" s="34"/>
      <c r="L28" s="34"/>
      <c r="M28" s="36"/>
    </row>
    <row r="29" spans="1:16" s="2" customFormat="1" ht="14.1" customHeight="1" x14ac:dyDescent="0.3">
      <c r="A29" s="99">
        <v>14</v>
      </c>
      <c r="B29" s="43" t="s">
        <v>53</v>
      </c>
      <c r="C29" s="44"/>
      <c r="D29" s="45" t="s">
        <v>54</v>
      </c>
      <c r="E29" s="46"/>
      <c r="F29" s="46"/>
      <c r="G29" s="47"/>
      <c r="H29" s="48">
        <v>63.7</v>
      </c>
      <c r="I29" s="32">
        <f>SUM(H29)+3</f>
        <v>66.7</v>
      </c>
      <c r="J29" s="32">
        <f>SUM(I29)+3</f>
        <v>69.7</v>
      </c>
      <c r="K29" s="32"/>
      <c r="L29" s="32"/>
      <c r="M29" s="54"/>
    </row>
    <row r="30" spans="1:16" s="2" customFormat="1" ht="14.1" customHeight="1" x14ac:dyDescent="0.3">
      <c r="A30" s="91"/>
      <c r="B30" s="97" t="s">
        <v>55</v>
      </c>
      <c r="C30" s="98"/>
      <c r="D30" s="83" t="s">
        <v>68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6" s="2" customFormat="1" ht="14.1" customHeight="1" x14ac:dyDescent="0.3">
      <c r="A31" s="99">
        <v>15</v>
      </c>
      <c r="B31" s="43" t="s">
        <v>67</v>
      </c>
      <c r="C31" s="44"/>
      <c r="D31" s="45" t="s">
        <v>65</v>
      </c>
      <c r="E31" s="46"/>
      <c r="F31" s="46"/>
      <c r="G31" s="47"/>
      <c r="H31" s="48">
        <v>67.599999999999994</v>
      </c>
      <c r="I31" s="32">
        <f>SUM(H31)+2.6</f>
        <v>70.199999999999989</v>
      </c>
      <c r="J31" s="32">
        <f>SUM(I31)+2.6</f>
        <v>72.799999999999983</v>
      </c>
      <c r="K31" s="32"/>
      <c r="L31" s="32"/>
      <c r="M31" s="54"/>
    </row>
    <row r="32" spans="1:16" s="2" customFormat="1" ht="14.1" customHeight="1" x14ac:dyDescent="0.3">
      <c r="A32" s="91"/>
      <c r="B32" s="97" t="s">
        <v>66</v>
      </c>
      <c r="C32" s="98"/>
      <c r="D32" s="88" t="s">
        <v>304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101</v>
      </c>
      <c r="C33" s="44"/>
      <c r="D33" s="45" t="s">
        <v>100</v>
      </c>
      <c r="E33" s="46"/>
      <c r="F33" s="46"/>
      <c r="G33" s="47"/>
      <c r="H33" s="48">
        <v>52.8</v>
      </c>
      <c r="I33" s="32">
        <f>SUM(H33)+2.1</f>
        <v>54.9</v>
      </c>
      <c r="J33" s="32">
        <f>SUM(I33)+2.1</f>
        <v>57</v>
      </c>
      <c r="K33" s="32"/>
      <c r="L33" s="32"/>
      <c r="M33" s="54"/>
    </row>
    <row r="34" spans="1:13" s="2" customFormat="1" ht="14.1" customHeight="1" x14ac:dyDescent="0.3">
      <c r="A34" s="91"/>
      <c r="B34" s="97" t="s">
        <v>99</v>
      </c>
      <c r="C34" s="98"/>
      <c r="D34" s="83" t="s">
        <v>98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201</v>
      </c>
      <c r="C35" s="44"/>
      <c r="D35" s="45"/>
      <c r="E35" s="46"/>
      <c r="F35" s="46"/>
      <c r="G35" s="47"/>
      <c r="H35" s="29">
        <v>13.5</v>
      </c>
      <c r="I35" s="40">
        <f>SUM(H35)+0.5</f>
        <v>14</v>
      </c>
      <c r="J35" s="40">
        <f>SUM(I35)+0.5</f>
        <v>14.5</v>
      </c>
      <c r="K35" s="32"/>
      <c r="L35" s="32"/>
      <c r="M35" s="54"/>
    </row>
    <row r="36" spans="1:13" s="2" customFormat="1" ht="14.1" customHeight="1" x14ac:dyDescent="0.3">
      <c r="A36" s="91"/>
      <c r="B36" s="97" t="s">
        <v>202</v>
      </c>
      <c r="C36" s="98"/>
      <c r="D36" s="83"/>
      <c r="E36" s="84"/>
      <c r="F36" s="84"/>
      <c r="G36" s="85"/>
      <c r="H36" s="29"/>
      <c r="I36" s="40"/>
      <c r="J36" s="40"/>
      <c r="K36" s="34"/>
      <c r="L36" s="34"/>
      <c r="M36" s="36"/>
    </row>
    <row r="37" spans="1:13" ht="14.1" customHeight="1" x14ac:dyDescent="0.3">
      <c r="A37" s="99">
        <v>18</v>
      </c>
      <c r="B37" s="43" t="s">
        <v>77</v>
      </c>
      <c r="C37" s="44"/>
      <c r="D37" s="53"/>
      <c r="E37" s="53"/>
      <c r="F37" s="53"/>
      <c r="G37" s="53"/>
      <c r="H37" s="48">
        <v>14</v>
      </c>
      <c r="I37" s="32">
        <f>SUM(H37)+0.5</f>
        <v>14.5</v>
      </c>
      <c r="J37" s="32">
        <f>SUM(I37)+0.5</f>
        <v>15</v>
      </c>
      <c r="K37" s="32"/>
      <c r="L37" s="32"/>
      <c r="M37" s="54"/>
    </row>
    <row r="38" spans="1:13" ht="14.1" customHeight="1" x14ac:dyDescent="0.3">
      <c r="A38" s="91"/>
      <c r="B38" s="50" t="s">
        <v>78</v>
      </c>
      <c r="C38" s="51"/>
      <c r="D38" s="38"/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99">
        <v>19</v>
      </c>
      <c r="B39" s="43" t="s">
        <v>79</v>
      </c>
      <c r="C39" s="44"/>
      <c r="D39" s="53"/>
      <c r="E39" s="53"/>
      <c r="F39" s="53"/>
      <c r="G39" s="53"/>
      <c r="H39" s="48">
        <v>14.5</v>
      </c>
      <c r="I39" s="32">
        <f>SUM(H39)+0.5</f>
        <v>15</v>
      </c>
      <c r="J39" s="32">
        <f>SUM(I39)+0.5</f>
        <v>15.5</v>
      </c>
      <c r="K39" s="32"/>
      <c r="L39" s="32"/>
      <c r="M39" s="54"/>
    </row>
    <row r="40" spans="1:13" ht="14.1" customHeight="1" x14ac:dyDescent="0.3">
      <c r="A40" s="91"/>
      <c r="B40" s="37" t="s">
        <v>80</v>
      </c>
      <c r="C40" s="37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23" t="s">
        <v>97</v>
      </c>
      <c r="C41" s="24"/>
      <c r="D41" s="57"/>
      <c r="E41" s="58"/>
      <c r="F41" s="58"/>
      <c r="G41" s="59"/>
      <c r="H41" s="49">
        <v>100</v>
      </c>
      <c r="I41" s="65">
        <f>SUM(H41)+2.5</f>
        <v>102.5</v>
      </c>
      <c r="J41" s="65">
        <f>SUM(I41)+2.5</f>
        <v>105</v>
      </c>
      <c r="K41" s="65"/>
      <c r="L41" s="65"/>
      <c r="M41" s="67"/>
    </row>
    <row r="42" spans="1:13" s="2" customFormat="1" ht="14.1" customHeight="1" x14ac:dyDescent="0.3">
      <c r="A42" s="91"/>
      <c r="B42" s="23" t="s">
        <v>96</v>
      </c>
      <c r="C42" s="24"/>
      <c r="D42" s="25" t="s">
        <v>203</v>
      </c>
      <c r="E42" s="26"/>
      <c r="F42" s="26"/>
      <c r="G42" s="27"/>
      <c r="H42" s="48"/>
      <c r="I42" s="65"/>
      <c r="J42" s="65"/>
      <c r="K42" s="65"/>
      <c r="L42" s="65"/>
      <c r="M42" s="67"/>
    </row>
    <row r="43" spans="1:13" s="2" customFormat="1" ht="14.1" customHeight="1" x14ac:dyDescent="0.3">
      <c r="A43" s="99">
        <v>21</v>
      </c>
      <c r="B43" s="43" t="s">
        <v>131</v>
      </c>
      <c r="C43" s="44"/>
      <c r="D43" s="62"/>
      <c r="E43" s="63"/>
      <c r="F43" s="63"/>
      <c r="G43" s="64"/>
      <c r="H43" s="29">
        <v>1.5</v>
      </c>
      <c r="I43" s="32">
        <f>SUM(H43)</f>
        <v>1.5</v>
      </c>
      <c r="J43" s="32">
        <f>SUM(I43)</f>
        <v>1.5</v>
      </c>
      <c r="K43" s="32"/>
      <c r="L43" s="32"/>
      <c r="M43" s="54"/>
    </row>
    <row r="44" spans="1:13" s="2" customFormat="1" ht="14.1" customHeight="1" x14ac:dyDescent="0.3">
      <c r="A44" s="91"/>
      <c r="B44" s="23" t="s">
        <v>130</v>
      </c>
      <c r="C44" s="24"/>
      <c r="D44" s="25" t="s">
        <v>305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/>
      <c r="C45" s="44"/>
      <c r="D45" s="62"/>
      <c r="E45" s="63"/>
      <c r="F45" s="63"/>
      <c r="G45" s="64"/>
      <c r="H45" s="29"/>
      <c r="I45" s="32"/>
      <c r="J45" s="32"/>
      <c r="K45" s="32"/>
      <c r="L45" s="32"/>
      <c r="M45" s="54"/>
    </row>
    <row r="46" spans="1:13" ht="14.1" customHeight="1" thickBot="1" x14ac:dyDescent="0.35">
      <c r="A46" s="111"/>
      <c r="B46" s="69"/>
      <c r="C46" s="70"/>
      <c r="D46" s="71"/>
      <c r="E46" s="72"/>
      <c r="F46" s="72"/>
      <c r="G46" s="73"/>
      <c r="H46" s="60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E943-EE0F-4017-B59C-23B68915F6B8}">
  <sheetPr>
    <tabColor rgb="FFFF0000"/>
    <pageSetUpPr fitToPage="1"/>
  </sheetPr>
  <dimension ref="A1:M51"/>
  <sheetViews>
    <sheetView topLeftCell="A13"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300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113">
        <v>30</v>
      </c>
      <c r="I5" s="65">
        <f>SUM(H5)+2.25</f>
        <v>32.25</v>
      </c>
      <c r="J5" s="65">
        <f>SUM(I5)+2.25</f>
        <v>34.5</v>
      </c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114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113">
        <v>34</v>
      </c>
      <c r="I7" s="65">
        <f>SUM(H7)+0.25</f>
        <v>34.25</v>
      </c>
      <c r="J7" s="65">
        <f>SUM(I7)+0.25</f>
        <v>34.5</v>
      </c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114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 t="s">
        <v>175</v>
      </c>
      <c r="E9" s="101"/>
      <c r="F9" s="101"/>
      <c r="G9" s="102"/>
      <c r="H9" s="113">
        <v>52</v>
      </c>
      <c r="I9" s="65">
        <f>SUM(H9)+1.3</f>
        <v>53.3</v>
      </c>
      <c r="J9" s="65">
        <f>SUM(I9)+1.3</f>
        <v>54.599999999999994</v>
      </c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 t="s">
        <v>158</v>
      </c>
      <c r="E10" s="104"/>
      <c r="F10" s="104"/>
      <c r="G10" s="105"/>
      <c r="H10" s="114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80</v>
      </c>
      <c r="I11" s="65">
        <f>SUM(H11)+4.5</f>
        <v>84.5</v>
      </c>
      <c r="J11" s="65">
        <f>SUM(I11)+4.5</f>
        <v>89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116</v>
      </c>
      <c r="E13" s="46"/>
      <c r="F13" s="46"/>
      <c r="G13" s="47"/>
      <c r="H13" s="48">
        <v>101</v>
      </c>
      <c r="I13" s="32">
        <f>SUM(H13)+5</f>
        <v>106</v>
      </c>
      <c r="J13" s="32">
        <f>SUM(I13)+5</f>
        <v>111</v>
      </c>
      <c r="K13" s="32"/>
      <c r="L13" s="32"/>
      <c r="M13" s="54"/>
    </row>
    <row r="14" spans="1:13" s="2" customFormat="1" ht="14.1" customHeight="1" x14ac:dyDescent="0.3">
      <c r="A14" s="91"/>
      <c r="B14" s="97" t="s">
        <v>301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14</v>
      </c>
      <c r="I15" s="32">
        <f>SUM(H15)+0.7</f>
        <v>14.7</v>
      </c>
      <c r="J15" s="32">
        <f>SUM(I15)+0.7</f>
        <v>15.399999999999999</v>
      </c>
      <c r="K15" s="32"/>
      <c r="L15" s="3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155</v>
      </c>
      <c r="E16" s="108"/>
      <c r="F16" s="108"/>
      <c r="G16" s="109"/>
      <c r="H16" s="49"/>
      <c r="I16" s="34"/>
      <c r="J16" s="34"/>
      <c r="K16" s="34"/>
      <c r="L16" s="34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>
        <v>14</v>
      </c>
      <c r="I17" s="32">
        <f>SUM(H17)+0.7</f>
        <v>14.7</v>
      </c>
      <c r="J17" s="32">
        <f>SUM(I17)+0.7</f>
        <v>15.399999999999999</v>
      </c>
      <c r="K17" s="115"/>
      <c r="L17" s="115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116"/>
      <c r="L18" s="116"/>
      <c r="M18" s="107"/>
    </row>
    <row r="19" spans="1:13" s="2" customFormat="1" ht="14.1" customHeight="1" x14ac:dyDescent="0.3">
      <c r="A19" s="99">
        <v>9</v>
      </c>
      <c r="B19" s="43" t="s">
        <v>156</v>
      </c>
      <c r="C19" s="44"/>
      <c r="D19" s="45"/>
      <c r="E19" s="46"/>
      <c r="F19" s="46"/>
      <c r="G19" s="47"/>
      <c r="H19" s="48">
        <v>3.5</v>
      </c>
      <c r="I19" s="32">
        <f>SUM(H19)</f>
        <v>3.5</v>
      </c>
      <c r="J19" s="32">
        <f>SUM(I19)</f>
        <v>3.5</v>
      </c>
      <c r="K19" s="115"/>
      <c r="L19" s="115"/>
      <c r="M19" s="54"/>
    </row>
    <row r="20" spans="1:13" s="2" customFormat="1" ht="14.1" customHeight="1" x14ac:dyDescent="0.3">
      <c r="A20" s="91"/>
      <c r="B20" s="97" t="s">
        <v>157</v>
      </c>
      <c r="C20" s="98"/>
      <c r="D20" s="88"/>
      <c r="E20" s="108"/>
      <c r="F20" s="108"/>
      <c r="G20" s="109"/>
      <c r="H20" s="49"/>
      <c r="I20" s="34"/>
      <c r="J20" s="34"/>
      <c r="K20" s="116"/>
      <c r="L20" s="116"/>
      <c r="M20" s="36"/>
    </row>
    <row r="21" spans="1:13" s="2" customFormat="1" ht="14.1" customHeight="1" x14ac:dyDescent="0.3">
      <c r="A21" s="99">
        <v>10</v>
      </c>
      <c r="B21" s="43" t="s">
        <v>43</v>
      </c>
      <c r="C21" s="44"/>
      <c r="D21" s="45" t="s">
        <v>72</v>
      </c>
      <c r="E21" s="46"/>
      <c r="F21" s="46"/>
      <c r="G21" s="47"/>
      <c r="H21" s="48">
        <v>94</v>
      </c>
      <c r="I21" s="32">
        <f>SUM(H21)+4</f>
        <v>98</v>
      </c>
      <c r="J21" s="32">
        <f>SUM(I21)+4</f>
        <v>102</v>
      </c>
      <c r="K21" s="32"/>
      <c r="L21" s="32"/>
      <c r="M21" s="54"/>
    </row>
    <row r="22" spans="1:13" s="2" customFormat="1" ht="14.1" customHeight="1" x14ac:dyDescent="0.3">
      <c r="A22" s="91"/>
      <c r="B22" s="97" t="s">
        <v>44</v>
      </c>
      <c r="C22" s="98"/>
      <c r="D22" s="83" t="s">
        <v>71</v>
      </c>
      <c r="E22" s="84"/>
      <c r="F22" s="84"/>
      <c r="G22" s="85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43" t="s">
        <v>84</v>
      </c>
      <c r="C23" s="44"/>
      <c r="D23" s="45" t="s">
        <v>83</v>
      </c>
      <c r="E23" s="46"/>
      <c r="F23" s="46"/>
      <c r="G23" s="47"/>
      <c r="H23" s="48">
        <v>46</v>
      </c>
      <c r="I23" s="32">
        <f>SUM(H23)+2.2</f>
        <v>48.2</v>
      </c>
      <c r="J23" s="32">
        <f>SUM(I23)+2.2</f>
        <v>50.400000000000006</v>
      </c>
      <c r="K23" s="32"/>
      <c r="L23" s="32"/>
      <c r="M23" s="54"/>
    </row>
    <row r="24" spans="1:13" s="2" customFormat="1" ht="14.1" customHeight="1" x14ac:dyDescent="0.3">
      <c r="A24" s="91"/>
      <c r="B24" s="97" t="s">
        <v>82</v>
      </c>
      <c r="C24" s="98"/>
      <c r="D24" s="38" t="s">
        <v>81</v>
      </c>
      <c r="E24" s="39"/>
      <c r="F24" s="39"/>
      <c r="G24" s="42"/>
      <c r="H24" s="49"/>
      <c r="I24" s="34"/>
      <c r="J24" s="34"/>
      <c r="K24" s="34"/>
      <c r="L24" s="34"/>
      <c r="M24" s="36"/>
    </row>
    <row r="25" spans="1:13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28</v>
      </c>
      <c r="I25" s="32">
        <f>SUM(H25)+1.1</f>
        <v>29.1</v>
      </c>
      <c r="J25" s="32">
        <f>SUM(I25)+1.1</f>
        <v>30.200000000000003</v>
      </c>
      <c r="K25" s="32"/>
      <c r="L25" s="32"/>
      <c r="M25" s="106"/>
    </row>
    <row r="26" spans="1:13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4"/>
      <c r="M26" s="107"/>
    </row>
    <row r="27" spans="1:13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38</v>
      </c>
      <c r="I27" s="32">
        <f>SUM(H27)+1.3</f>
        <v>39.299999999999997</v>
      </c>
      <c r="J27" s="32">
        <f>SUM(I27)+1.3</f>
        <v>40.599999999999994</v>
      </c>
      <c r="K27" s="32"/>
      <c r="L27" s="32"/>
      <c r="M27" s="106"/>
    </row>
    <row r="28" spans="1:13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4"/>
      <c r="M28" s="107"/>
    </row>
    <row r="29" spans="1:13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/>
      <c r="I29" s="32"/>
      <c r="J29" s="32"/>
      <c r="K29" s="32"/>
      <c r="L29" s="32"/>
      <c r="M29" s="54"/>
    </row>
    <row r="30" spans="1:13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/>
      <c r="I31" s="32"/>
      <c r="J31" s="32"/>
      <c r="K31" s="32"/>
      <c r="L31" s="32"/>
      <c r="M31" s="54"/>
    </row>
    <row r="32" spans="1:13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/>
      <c r="I33" s="32"/>
      <c r="J33" s="32"/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/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/>
      <c r="I35" s="32"/>
      <c r="J35" s="32"/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124</v>
      </c>
      <c r="C37" s="44"/>
      <c r="D37" s="45" t="s">
        <v>123</v>
      </c>
      <c r="E37" s="46"/>
      <c r="F37" s="46"/>
      <c r="G37" s="47"/>
      <c r="H37" s="29">
        <v>8</v>
      </c>
      <c r="I37" s="40">
        <f>SUM(H37)+0.4</f>
        <v>8.4</v>
      </c>
      <c r="J37" s="40">
        <f>SUM(I37)+0.4</f>
        <v>8.8000000000000007</v>
      </c>
      <c r="K37" s="32"/>
      <c r="L37" s="32"/>
      <c r="M37" s="54"/>
    </row>
    <row r="38" spans="1:13" ht="14.1" customHeight="1" x14ac:dyDescent="0.3">
      <c r="A38" s="91"/>
      <c r="B38" s="97" t="s">
        <v>122</v>
      </c>
      <c r="C38" s="98"/>
      <c r="D38" s="83" t="s">
        <v>121</v>
      </c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120</v>
      </c>
      <c r="C39" s="44"/>
      <c r="D39" s="45" t="s">
        <v>119</v>
      </c>
      <c r="E39" s="46"/>
      <c r="F39" s="46"/>
      <c r="G39" s="47"/>
      <c r="H39" s="48">
        <v>8</v>
      </c>
      <c r="I39" s="32">
        <f>SUM(H39)+0.4</f>
        <v>8.4</v>
      </c>
      <c r="J39" s="32">
        <f>SUM(I39)+0.4</f>
        <v>8.8000000000000007</v>
      </c>
      <c r="K39" s="32"/>
      <c r="L39" s="32"/>
      <c r="M39" s="54"/>
    </row>
    <row r="40" spans="1:13" ht="14.1" customHeight="1" x14ac:dyDescent="0.3">
      <c r="A40" s="91"/>
      <c r="B40" s="97" t="s">
        <v>118</v>
      </c>
      <c r="C40" s="98"/>
      <c r="D40" s="83" t="s">
        <v>117</v>
      </c>
      <c r="E40" s="84"/>
      <c r="F40" s="84"/>
      <c r="G40" s="85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77</v>
      </c>
      <c r="C41" s="44"/>
      <c r="D41" s="53"/>
      <c r="E41" s="53"/>
      <c r="F41" s="53"/>
      <c r="G41" s="53"/>
      <c r="H41" s="48">
        <v>15</v>
      </c>
      <c r="I41" s="32">
        <f>SUM(H41)+0.5</f>
        <v>15.5</v>
      </c>
      <c r="J41" s="32">
        <f>SUM(I41)+0.5</f>
        <v>16</v>
      </c>
      <c r="K41" s="32"/>
      <c r="L41" s="32"/>
      <c r="M41" s="54"/>
    </row>
    <row r="42" spans="1:13" s="2" customFormat="1" ht="14.1" customHeight="1" x14ac:dyDescent="0.3">
      <c r="A42" s="91"/>
      <c r="B42" s="50" t="s">
        <v>78</v>
      </c>
      <c r="C42" s="51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43" t="s">
        <v>79</v>
      </c>
      <c r="C43" s="44"/>
      <c r="D43" s="53"/>
      <c r="E43" s="53"/>
      <c r="F43" s="53"/>
      <c r="G43" s="53"/>
      <c r="H43" s="48">
        <v>15.5</v>
      </c>
      <c r="I43" s="32">
        <f>SUM(H43)+0.5</f>
        <v>16</v>
      </c>
      <c r="J43" s="32">
        <f>SUM(I43)+0.5</f>
        <v>16.5</v>
      </c>
      <c r="K43" s="32"/>
      <c r="L43" s="32"/>
      <c r="M43" s="54"/>
    </row>
    <row r="44" spans="1:13" s="2" customFormat="1" ht="14.1" customHeight="1" x14ac:dyDescent="0.3">
      <c r="A44" s="99"/>
      <c r="B44" s="78" t="s">
        <v>80</v>
      </c>
      <c r="C44" s="78"/>
      <c r="D44" s="25"/>
      <c r="E44" s="26"/>
      <c r="F44" s="26"/>
      <c r="G44" s="27"/>
      <c r="H44" s="89"/>
      <c r="I44" s="65"/>
      <c r="J44" s="65"/>
      <c r="K44" s="65"/>
      <c r="L44" s="65"/>
      <c r="M44" s="67"/>
    </row>
    <row r="45" spans="1:13" ht="14.1" customHeight="1" x14ac:dyDescent="0.3">
      <c r="A45" s="112">
        <v>22</v>
      </c>
      <c r="B45" s="43"/>
      <c r="C45" s="44"/>
      <c r="D45" s="53"/>
      <c r="E45" s="53"/>
      <c r="F45" s="53"/>
      <c r="G45" s="53"/>
      <c r="H45" s="48"/>
      <c r="I45" s="32"/>
      <c r="J45" s="32"/>
      <c r="K45" s="32"/>
      <c r="L45" s="32"/>
      <c r="M45" s="54"/>
    </row>
    <row r="46" spans="1:13" ht="14.1" customHeight="1" thickBot="1" x14ac:dyDescent="0.35">
      <c r="A46" s="111"/>
      <c r="B46" s="117"/>
      <c r="C46" s="117"/>
      <c r="D46" s="71"/>
      <c r="E46" s="72"/>
      <c r="F46" s="72"/>
      <c r="G46" s="73"/>
      <c r="H46" s="118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98668-72E7-4C95-95E9-9011C7E1EF92}">
  <sheetPr>
    <tabColor rgb="FFFF0000"/>
    <pageSetUpPr fitToPage="1"/>
  </sheetPr>
  <dimension ref="A1:M51"/>
  <sheetViews>
    <sheetView zoomScale="110" zoomScaleNormal="110" workbookViewId="0">
      <selection activeCell="O12" sqref="O12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256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28">
        <v>64</v>
      </c>
      <c r="I3" s="30">
        <f>SUM(H3)+2.5</f>
        <v>66.5</v>
      </c>
      <c r="J3" s="30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48">
        <v>22</v>
      </c>
      <c r="I5" s="32">
        <f>SUM(H5)+1.1</f>
        <v>23.1</v>
      </c>
      <c r="J5" s="32">
        <f>SUM(I5)+1.1</f>
        <v>24.200000000000003</v>
      </c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 t="s">
        <v>257</v>
      </c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48">
        <v>42</v>
      </c>
      <c r="I7" s="32">
        <f>SUM(H7)+1.4</f>
        <v>43.4</v>
      </c>
      <c r="J7" s="32">
        <f>SUM(I7)+1.4</f>
        <v>44.8</v>
      </c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48"/>
      <c r="I9" s="32"/>
      <c r="J9" s="32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 t="s">
        <v>176</v>
      </c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29">
        <v>88</v>
      </c>
      <c r="I11" s="31">
        <f>SUM(H11)+4.5</f>
        <v>92.5</v>
      </c>
      <c r="J11" s="31">
        <f>SUM(I11)+4.5</f>
        <v>97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29"/>
      <c r="I12" s="31"/>
      <c r="J12" s="31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177</v>
      </c>
      <c r="C13" s="44"/>
      <c r="D13" s="45" t="s">
        <v>72</v>
      </c>
      <c r="E13" s="46"/>
      <c r="F13" s="46"/>
      <c r="G13" s="47"/>
      <c r="H13" s="29">
        <v>37</v>
      </c>
      <c r="I13" s="31">
        <f>SUM(H13)+1.5</f>
        <v>38.5</v>
      </c>
      <c r="J13" s="31">
        <f>SUM(I13)+1.5</f>
        <v>40</v>
      </c>
      <c r="K13" s="32"/>
      <c r="L13" s="32"/>
      <c r="M13" s="54"/>
    </row>
    <row r="14" spans="1:13" s="2" customFormat="1" ht="14.1" customHeight="1" x14ac:dyDescent="0.3">
      <c r="A14" s="91"/>
      <c r="B14" s="97" t="s">
        <v>178</v>
      </c>
      <c r="C14" s="98"/>
      <c r="D14" s="83" t="s">
        <v>71</v>
      </c>
      <c r="E14" s="84"/>
      <c r="F14" s="84"/>
      <c r="G14" s="85"/>
      <c r="H14" s="29"/>
      <c r="I14" s="31"/>
      <c r="J14" s="31"/>
      <c r="K14" s="34"/>
      <c r="L14" s="34"/>
      <c r="M14" s="36"/>
    </row>
    <row r="15" spans="1:13" s="2" customFormat="1" ht="14.1" customHeight="1" x14ac:dyDescent="0.3">
      <c r="A15" s="99">
        <v>7</v>
      </c>
      <c r="B15" s="43"/>
      <c r="C15" s="44"/>
      <c r="D15" s="45"/>
      <c r="E15" s="46"/>
      <c r="F15" s="46"/>
      <c r="G15" s="47"/>
      <c r="H15" s="29"/>
      <c r="I15" s="31"/>
      <c r="J15" s="31"/>
      <c r="K15" s="32"/>
      <c r="L15" s="32"/>
      <c r="M15" s="54"/>
    </row>
    <row r="16" spans="1:13" s="2" customFormat="1" ht="14.1" customHeight="1" x14ac:dyDescent="0.3">
      <c r="A16" s="91"/>
      <c r="B16" s="97"/>
      <c r="C16" s="98"/>
      <c r="D16" s="83"/>
      <c r="E16" s="84"/>
      <c r="F16" s="84"/>
      <c r="G16" s="85"/>
      <c r="H16" s="29"/>
      <c r="I16" s="31"/>
      <c r="J16" s="31"/>
      <c r="K16" s="34"/>
      <c r="L16" s="34"/>
      <c r="M16" s="36"/>
    </row>
    <row r="17" spans="1:13" s="2" customFormat="1" ht="14.1" customHeight="1" x14ac:dyDescent="0.3">
      <c r="A17" s="99">
        <v>8</v>
      </c>
      <c r="B17" s="43"/>
      <c r="C17" s="44"/>
      <c r="D17" s="45"/>
      <c r="E17" s="46"/>
      <c r="F17" s="46"/>
      <c r="G17" s="47"/>
      <c r="H17" s="29"/>
      <c r="I17" s="31"/>
      <c r="J17" s="31"/>
      <c r="K17" s="32"/>
      <c r="L17" s="32"/>
      <c r="M17" s="54"/>
    </row>
    <row r="18" spans="1:13" s="2" customFormat="1" ht="14.1" customHeight="1" x14ac:dyDescent="0.3">
      <c r="A18" s="99"/>
      <c r="B18" s="23"/>
      <c r="C18" s="24"/>
      <c r="D18" s="25"/>
      <c r="E18" s="26"/>
      <c r="F18" s="26"/>
      <c r="G18" s="27"/>
      <c r="H18" s="29"/>
      <c r="I18" s="31"/>
      <c r="J18" s="31"/>
      <c r="K18" s="65"/>
      <c r="L18" s="65"/>
      <c r="M18" s="67"/>
    </row>
    <row r="19" spans="1:13" s="2" customFormat="1" ht="14.1" customHeight="1" x14ac:dyDescent="0.3">
      <c r="A19" s="112">
        <v>9</v>
      </c>
      <c r="B19" s="43"/>
      <c r="C19" s="44"/>
      <c r="D19" s="45"/>
      <c r="E19" s="46"/>
      <c r="F19" s="46"/>
      <c r="G19" s="47"/>
      <c r="H19" s="29"/>
      <c r="I19" s="31"/>
      <c r="J19" s="31"/>
      <c r="K19" s="32"/>
      <c r="L19" s="32"/>
      <c r="M19" s="54"/>
    </row>
    <row r="20" spans="1:13" s="2" customFormat="1" ht="14.1" customHeight="1" thickBot="1" x14ac:dyDescent="0.35">
      <c r="A20" s="111"/>
      <c r="B20" s="119"/>
      <c r="C20" s="120"/>
      <c r="D20" s="121"/>
      <c r="E20" s="122"/>
      <c r="F20" s="122"/>
      <c r="G20" s="123"/>
      <c r="H20" s="60"/>
      <c r="I20" s="61"/>
      <c r="J20" s="61"/>
      <c r="K20" s="66"/>
      <c r="L20" s="66"/>
      <c r="M20" s="68"/>
    </row>
    <row r="21" spans="1:13" s="2" customFormat="1" ht="14.1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</row>
    <row r="22" spans="1:13" s="2" customFormat="1" ht="14.1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</row>
    <row r="23" spans="1:13" s="2" customFormat="1" ht="14.1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2" customFormat="1" ht="14.1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2" customFormat="1" ht="14.1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2" customFormat="1" ht="14.1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2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2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2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2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0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8B96-3B54-427F-8C41-435D79762212}">
  <sheetPr>
    <tabColor rgb="FFFF0000"/>
  </sheetPr>
  <dimension ref="A1:M47"/>
  <sheetViews>
    <sheetView zoomScale="110" zoomScaleNormal="110" zoomScalePageLayoutView="110" workbookViewId="0">
      <selection activeCell="A31" sqref="A3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232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48.6</v>
      </c>
      <c r="I3" s="30">
        <f>SUM(H3)+3</f>
        <v>51.6</v>
      </c>
      <c r="J3" s="30">
        <f>SUM(I3)+3</f>
        <v>54.6</v>
      </c>
      <c r="K3" s="33"/>
      <c r="L3" s="33"/>
      <c r="M3" s="35"/>
    </row>
    <row r="4" spans="1:13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42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33</v>
      </c>
      <c r="I5" s="32">
        <f>SUM(H5)+2.4</f>
        <v>35.4</v>
      </c>
      <c r="J5" s="32">
        <f>SUM(I5)+2.4</f>
        <v>37.799999999999997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41</v>
      </c>
      <c r="I7" s="32">
        <f>SUM(H7)+3</f>
        <v>44</v>
      </c>
      <c r="J7" s="32">
        <f>SUM(I7)+3</f>
        <v>47</v>
      </c>
      <c r="K7" s="31"/>
      <c r="L7" s="31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41</v>
      </c>
      <c r="I9" s="32">
        <f>SUM(H9)+3</f>
        <v>44</v>
      </c>
      <c r="J9" s="32">
        <f>SUM(I9)+3</f>
        <v>47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16.899999999999999</v>
      </c>
      <c r="I11" s="31">
        <f>SUM(H11)+1</f>
        <v>17.899999999999999</v>
      </c>
      <c r="J11" s="31">
        <f>SUM(I11)+1</f>
        <v>18.899999999999999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14.8</v>
      </c>
      <c r="I13" s="31">
        <f>SUM(H13)+0.6</f>
        <v>15.4</v>
      </c>
      <c r="J13" s="31">
        <f>SUM(I13)+0.6</f>
        <v>16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6</v>
      </c>
      <c r="I15" s="31">
        <f>SUM(H15)+0.3</f>
        <v>6.3</v>
      </c>
      <c r="J15" s="31">
        <f>SUM(I15)+0.3</f>
        <v>6.6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41.2</v>
      </c>
      <c r="I17" s="31">
        <f>SUM(H17)+1.6</f>
        <v>42.800000000000004</v>
      </c>
      <c r="J17" s="31">
        <f>SUM(I17)+1.6</f>
        <v>44.400000000000006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53.5</v>
      </c>
      <c r="I19" s="31">
        <f>SUM(H19)+2.8</f>
        <v>56.3</v>
      </c>
      <c r="J19" s="31">
        <f>SUM(I19)+2.8</f>
        <v>59.099999999999994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29.4</v>
      </c>
      <c r="I21" s="31">
        <f>SUM(H21)+1.7</f>
        <v>31.099999999999998</v>
      </c>
      <c r="J21" s="31">
        <f>SUM(I21)+1.7</f>
        <v>32.799999999999997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20</v>
      </c>
      <c r="I23" s="31">
        <f>SUM(H23)+1</f>
        <v>21</v>
      </c>
      <c r="J23" s="31">
        <f>SUM(I23)+1</f>
        <v>22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/>
      <c r="C25" s="44"/>
      <c r="D25" s="62"/>
      <c r="E25" s="63"/>
      <c r="F25" s="63"/>
      <c r="G25" s="64"/>
      <c r="H25" s="29"/>
      <c r="I25" s="31"/>
      <c r="J25" s="31"/>
      <c r="K25" s="32"/>
      <c r="L25" s="32"/>
      <c r="M25" s="54"/>
    </row>
    <row r="26" spans="1:13" s="2" customFormat="1" ht="14.1" customHeight="1" thickBot="1" x14ac:dyDescent="0.35">
      <c r="A26" s="22"/>
      <c r="B26" s="23"/>
      <c r="C26" s="24"/>
      <c r="D26" s="25"/>
      <c r="E26" s="26"/>
      <c r="F26" s="26"/>
      <c r="G26" s="27"/>
      <c r="H26" s="48"/>
      <c r="I26" s="32"/>
      <c r="J26" s="32"/>
      <c r="K26" s="65"/>
      <c r="L26" s="65"/>
      <c r="M26" s="67"/>
    </row>
    <row r="27" spans="1:13" s="2" customFormat="1" ht="14.1" customHeight="1" thickTop="1" x14ac:dyDescent="0.3">
      <c r="A27" s="128">
        <v>13</v>
      </c>
      <c r="B27" s="129" t="s">
        <v>228</v>
      </c>
      <c r="C27" s="130"/>
      <c r="D27" s="131"/>
      <c r="E27" s="132"/>
      <c r="F27" s="132"/>
      <c r="G27" s="133"/>
      <c r="H27" s="134">
        <v>28.6</v>
      </c>
      <c r="I27" s="125">
        <f>SUM(H27)+2</f>
        <v>30.6</v>
      </c>
      <c r="J27" s="125">
        <f>SUM(I27)+2</f>
        <v>32.6</v>
      </c>
      <c r="K27" s="126"/>
      <c r="L27" s="126"/>
      <c r="M27" s="127"/>
    </row>
    <row r="28" spans="1:13" s="2" customFormat="1" ht="14.1" customHeight="1" x14ac:dyDescent="0.3">
      <c r="A28" s="22"/>
      <c r="B28" s="50" t="s">
        <v>229</v>
      </c>
      <c r="C28" s="51"/>
      <c r="D28" s="38" t="s">
        <v>181</v>
      </c>
      <c r="E28" s="39"/>
      <c r="F28" s="39"/>
      <c r="G28" s="42"/>
      <c r="H28" s="29"/>
      <c r="I28" s="31"/>
      <c r="J28" s="31"/>
      <c r="K28" s="34"/>
      <c r="L28" s="34"/>
      <c r="M28" s="36"/>
    </row>
    <row r="29" spans="1:13" s="2" customFormat="1" ht="14.1" customHeight="1" x14ac:dyDescent="0.3">
      <c r="A29" s="55">
        <v>14</v>
      </c>
      <c r="B29" s="23" t="s">
        <v>230</v>
      </c>
      <c r="C29" s="24"/>
      <c r="D29" s="124" t="s">
        <v>11</v>
      </c>
      <c r="E29" s="124"/>
      <c r="F29" s="124"/>
      <c r="G29" s="124"/>
      <c r="H29" s="49">
        <v>42</v>
      </c>
      <c r="I29" s="34">
        <f>SUM(H29)+3</f>
        <v>45</v>
      </c>
      <c r="J29" s="34">
        <f>SUM(I29)+3</f>
        <v>48</v>
      </c>
      <c r="K29" s="65"/>
      <c r="L29" s="65"/>
      <c r="M29" s="67"/>
    </row>
    <row r="30" spans="1:13" s="2" customFormat="1" ht="14.1" customHeight="1" x14ac:dyDescent="0.3">
      <c r="A30" s="22"/>
      <c r="B30" s="23" t="s">
        <v>231</v>
      </c>
      <c r="C30" s="24"/>
      <c r="D30" s="38" t="s">
        <v>26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22">
        <v>15</v>
      </c>
      <c r="B31" s="43" t="s">
        <v>131</v>
      </c>
      <c r="C31" s="44"/>
      <c r="D31" s="62"/>
      <c r="E31" s="63"/>
      <c r="F31" s="63"/>
      <c r="G31" s="64"/>
      <c r="H31" s="29">
        <v>6</v>
      </c>
      <c r="I31" s="31">
        <f>SUM(H31)+0.5</f>
        <v>6.5</v>
      </c>
      <c r="J31" s="31">
        <f>SUM(I31)+0.5</f>
        <v>7</v>
      </c>
      <c r="K31" s="32"/>
      <c r="L31" s="32"/>
      <c r="M31" s="54"/>
    </row>
    <row r="32" spans="1:13" s="2" customFormat="1" ht="14.1" customHeight="1" x14ac:dyDescent="0.3">
      <c r="A32" s="22"/>
      <c r="B32" s="23" t="s">
        <v>130</v>
      </c>
      <c r="C32" s="24"/>
      <c r="D32" s="25" t="s">
        <v>169</v>
      </c>
      <c r="E32" s="26"/>
      <c r="F32" s="26"/>
      <c r="G32" s="27"/>
      <c r="H32" s="48"/>
      <c r="I32" s="32"/>
      <c r="J32" s="32"/>
      <c r="K32" s="65"/>
      <c r="L32" s="65"/>
      <c r="M32" s="67"/>
    </row>
    <row r="33" spans="1:13" s="2" customFormat="1" ht="14.1" customHeight="1" x14ac:dyDescent="0.3">
      <c r="A33" s="22">
        <v>16</v>
      </c>
      <c r="B33" s="43" t="s">
        <v>170</v>
      </c>
      <c r="C33" s="44"/>
      <c r="D33" s="53"/>
      <c r="E33" s="53"/>
      <c r="F33" s="53"/>
      <c r="G33" s="53"/>
      <c r="H33" s="29">
        <v>0.1</v>
      </c>
      <c r="I33" s="31">
        <f>SUM(H33)+0.1</f>
        <v>0.2</v>
      </c>
      <c r="J33" s="31">
        <f>SUM(I33)+0.1</f>
        <v>0.30000000000000004</v>
      </c>
      <c r="K33" s="31"/>
      <c r="L33" s="31"/>
      <c r="M33" s="86"/>
    </row>
    <row r="34" spans="1:13" s="2" customFormat="1" ht="14.1" customHeight="1" thickBot="1" x14ac:dyDescent="0.35">
      <c r="A34" s="56"/>
      <c r="B34" s="69" t="s">
        <v>171</v>
      </c>
      <c r="C34" s="70"/>
      <c r="D34" s="71" t="s">
        <v>233</v>
      </c>
      <c r="E34" s="72"/>
      <c r="F34" s="72"/>
      <c r="G34" s="72"/>
      <c r="H34" s="60"/>
      <c r="I34" s="61"/>
      <c r="J34" s="61"/>
      <c r="K34" s="61"/>
      <c r="L34" s="61"/>
      <c r="M34" s="87"/>
    </row>
    <row r="35" spans="1:13" s="2" customFormat="1" ht="14.1" customHeight="1" x14ac:dyDescent="0.3">
      <c r="A35"/>
      <c r="B35" s="1"/>
      <c r="C35" s="1"/>
      <c r="D35" s="1"/>
      <c r="E35" s="1"/>
      <c r="F35" s="1"/>
      <c r="G35" s="1"/>
      <c r="H35"/>
      <c r="I35"/>
      <c r="J35"/>
      <c r="K35"/>
      <c r="L35"/>
      <c r="M35"/>
    </row>
    <row r="36" spans="1:13" s="2" customFormat="1" ht="14.1" customHeight="1" x14ac:dyDescent="0.3">
      <c r="A36"/>
      <c r="B36" s="1"/>
      <c r="C36" s="1"/>
      <c r="D36" s="1"/>
      <c r="E36" s="1"/>
      <c r="F36" s="1"/>
      <c r="G36" s="1"/>
      <c r="H36"/>
      <c r="I36"/>
      <c r="J36"/>
      <c r="K36"/>
      <c r="L36"/>
      <c r="M36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33:J3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D311-B4BF-4521-A2E5-A271C7AFB7C9}">
  <sheetPr>
    <tabColor rgb="FFFF0000"/>
    <pageSetUpPr fitToPage="1"/>
  </sheetPr>
  <dimension ref="A1:M58"/>
  <sheetViews>
    <sheetView topLeftCell="A13" zoomScale="110" zoomScaleNormal="110" zoomScalePageLayoutView="30" workbookViewId="0">
      <selection activeCell="O31" sqref="O3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260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60</v>
      </c>
      <c r="I3" s="30">
        <f>SUM(H3)+3</f>
        <v>63</v>
      </c>
      <c r="J3" s="30">
        <f>SUM(I3)+3</f>
        <v>66</v>
      </c>
      <c r="K3" s="30"/>
      <c r="L3" s="33"/>
      <c r="M3" s="35"/>
    </row>
    <row r="4" spans="1:13" s="2" customFormat="1" ht="13.5" customHeight="1" x14ac:dyDescent="0.3">
      <c r="A4" s="22"/>
      <c r="B4" s="78" t="s">
        <v>62</v>
      </c>
      <c r="C4" s="78"/>
      <c r="D4" s="25" t="s">
        <v>61</v>
      </c>
      <c r="E4" s="26"/>
      <c r="F4" s="26"/>
      <c r="G4" s="26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135" t="s">
        <v>148</v>
      </c>
      <c r="C5" s="136"/>
      <c r="D5" s="45" t="s">
        <v>149</v>
      </c>
      <c r="E5" s="46"/>
      <c r="F5" s="46"/>
      <c r="G5" s="47"/>
      <c r="H5" s="48">
        <v>74</v>
      </c>
      <c r="I5" s="32">
        <f>SUM(H5)+4</f>
        <v>78</v>
      </c>
      <c r="J5" s="32">
        <f>SUM(I5)+4</f>
        <v>82</v>
      </c>
      <c r="K5" s="31"/>
      <c r="L5" s="31"/>
      <c r="M5" s="41"/>
    </row>
    <row r="6" spans="1:13" s="2" customFormat="1" ht="13.5" customHeight="1" x14ac:dyDescent="0.3">
      <c r="A6" s="22"/>
      <c r="B6" s="50" t="s">
        <v>150</v>
      </c>
      <c r="C6" s="51"/>
      <c r="D6" s="38" t="s">
        <v>151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53</v>
      </c>
      <c r="I7" s="32">
        <f>SUM(H7)+4</f>
        <v>57</v>
      </c>
      <c r="J7" s="32">
        <f>SUM(I7)+4</f>
        <v>61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40</v>
      </c>
      <c r="I9" s="32">
        <f>SUM(H9)+3</f>
        <v>43</v>
      </c>
      <c r="J9" s="32">
        <f>SUM(I9)+3</f>
        <v>46</v>
      </c>
      <c r="K9" s="31"/>
      <c r="L9" s="31"/>
      <c r="M9" s="41"/>
    </row>
    <row r="10" spans="1:13" s="2" customFormat="1" ht="13.5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/>
      <c r="I11" s="31"/>
      <c r="J11" s="31"/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21</v>
      </c>
      <c r="I13" s="31">
        <f>SUM(H13)+0.6</f>
        <v>21.6</v>
      </c>
      <c r="J13" s="31">
        <f>SUM(I13)+0.6</f>
        <v>22.200000000000003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258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8.8000000000000007</v>
      </c>
      <c r="I15" s="31">
        <f>SUM(H15)+0.3</f>
        <v>9.1000000000000014</v>
      </c>
      <c r="J15" s="31">
        <f>SUM(I15)+0.3</f>
        <v>9.4000000000000021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259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53.2</v>
      </c>
      <c r="I17" s="31">
        <f>SUM(H17)+1.6</f>
        <v>54.800000000000004</v>
      </c>
      <c r="J17" s="31">
        <f>SUM(I17)+1.6</f>
        <v>56.400000000000006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239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/>
      <c r="I19" s="31"/>
      <c r="J19" s="31"/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41</v>
      </c>
      <c r="I21" s="31">
        <f>SUM(H21)+2</f>
        <v>43</v>
      </c>
      <c r="J21" s="31">
        <f>SUM(I21)+2</f>
        <v>45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17</v>
      </c>
      <c r="I23" s="31">
        <f>SUM(H23)+0.8</f>
        <v>17.8</v>
      </c>
      <c r="J23" s="31">
        <f>SUM(I23)+0.8</f>
        <v>18.600000000000001</v>
      </c>
      <c r="K23" s="31"/>
      <c r="L23" s="31"/>
      <c r="M23" s="41"/>
    </row>
    <row r="24" spans="1:13" s="2" customFormat="1" ht="13.5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136</v>
      </c>
      <c r="C25" s="44"/>
      <c r="D25" s="53"/>
      <c r="E25" s="53"/>
      <c r="F25" s="53"/>
      <c r="G25" s="53"/>
      <c r="H25" s="48">
        <v>32</v>
      </c>
      <c r="I25" s="32">
        <f>SUM(H25)+2.6</f>
        <v>34.6</v>
      </c>
      <c r="J25" s="32">
        <f>SUM(I25)+2.6</f>
        <v>37.200000000000003</v>
      </c>
      <c r="K25" s="32"/>
      <c r="L25" s="32"/>
      <c r="M25" s="54"/>
    </row>
    <row r="26" spans="1:13" ht="13.5" customHeight="1" x14ac:dyDescent="0.3">
      <c r="A26" s="22"/>
      <c r="B26" s="50" t="s">
        <v>135</v>
      </c>
      <c r="C26" s="51"/>
      <c r="D26" s="38" t="s">
        <v>153</v>
      </c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43" t="s">
        <v>134</v>
      </c>
      <c r="C27" s="44"/>
      <c r="D27" s="53"/>
      <c r="E27" s="53"/>
      <c r="F27" s="53"/>
      <c r="G27" s="53"/>
      <c r="H27" s="48">
        <v>19</v>
      </c>
      <c r="I27" s="32">
        <f>SUM(H27)+1.5</f>
        <v>20.5</v>
      </c>
      <c r="J27" s="32">
        <f>SUM(I27)+1.5</f>
        <v>22</v>
      </c>
      <c r="K27" s="32"/>
      <c r="L27" s="32"/>
      <c r="M27" s="54"/>
    </row>
    <row r="28" spans="1:13" ht="13.5" customHeight="1" x14ac:dyDescent="0.3">
      <c r="A28" s="22"/>
      <c r="B28" s="37" t="s">
        <v>133</v>
      </c>
      <c r="C28" s="37"/>
      <c r="D28" s="38"/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144</v>
      </c>
      <c r="C29" s="52"/>
      <c r="D29" s="45" t="s">
        <v>143</v>
      </c>
      <c r="E29" s="46"/>
      <c r="F29" s="46"/>
      <c r="G29" s="47"/>
      <c r="H29" s="48">
        <v>38.5</v>
      </c>
      <c r="I29" s="32">
        <f>SUM(H29)+1</f>
        <v>39.5</v>
      </c>
      <c r="J29" s="32">
        <f>SUM(I29)+1</f>
        <v>40.5</v>
      </c>
      <c r="K29" s="32"/>
      <c r="L29" s="31"/>
      <c r="M29" s="41"/>
    </row>
    <row r="30" spans="1:13" s="2" customFormat="1" ht="13.5" customHeight="1" x14ac:dyDescent="0.3">
      <c r="A30" s="22"/>
      <c r="B30" s="37" t="s">
        <v>142</v>
      </c>
      <c r="C30" s="37"/>
      <c r="D30" s="38" t="s">
        <v>141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140</v>
      </c>
      <c r="C31" s="52"/>
      <c r="D31" s="45" t="s">
        <v>139</v>
      </c>
      <c r="E31" s="46"/>
      <c r="F31" s="46"/>
      <c r="G31" s="47"/>
      <c r="H31" s="48">
        <v>27.6</v>
      </c>
      <c r="I31" s="32">
        <f>SUM(H31)+0.8</f>
        <v>28.400000000000002</v>
      </c>
      <c r="J31" s="32">
        <f>SUM(I31)+0.8</f>
        <v>29.200000000000003</v>
      </c>
      <c r="K31" s="32"/>
      <c r="L31" s="32"/>
      <c r="M31" s="54"/>
    </row>
    <row r="32" spans="1:13" s="2" customFormat="1" ht="13.5" customHeight="1" x14ac:dyDescent="0.3">
      <c r="A32" s="22"/>
      <c r="B32" s="37" t="s">
        <v>138</v>
      </c>
      <c r="C32" s="37"/>
      <c r="D32" s="38" t="s">
        <v>137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22">
        <v>16</v>
      </c>
      <c r="B33" s="43" t="s">
        <v>131</v>
      </c>
      <c r="C33" s="44"/>
      <c r="D33" s="62"/>
      <c r="E33" s="63"/>
      <c r="F33" s="63"/>
      <c r="G33" s="64"/>
      <c r="H33" s="29">
        <v>5</v>
      </c>
      <c r="I33" s="31">
        <f>SUM(H33)+0.2</f>
        <v>5.2</v>
      </c>
      <c r="J33" s="31">
        <f>SUM(I33)+0.2</f>
        <v>5.4</v>
      </c>
      <c r="K33" s="31"/>
      <c r="L33" s="32"/>
      <c r="M33" s="54"/>
    </row>
    <row r="34" spans="1:13" s="2" customFormat="1" ht="13.5" customHeight="1" x14ac:dyDescent="0.3">
      <c r="A34" s="22"/>
      <c r="B34" s="23" t="s">
        <v>130</v>
      </c>
      <c r="C34" s="24"/>
      <c r="D34" s="25" t="s">
        <v>261</v>
      </c>
      <c r="E34" s="26"/>
      <c r="F34" s="26"/>
      <c r="G34" s="27"/>
      <c r="H34" s="29"/>
      <c r="I34" s="31"/>
      <c r="J34" s="31"/>
      <c r="K34" s="31"/>
      <c r="L34" s="34"/>
      <c r="M34" s="36"/>
    </row>
    <row r="35" spans="1:13" s="2" customFormat="1" ht="13.5" customHeight="1" x14ac:dyDescent="0.3">
      <c r="A35" s="22">
        <v>17</v>
      </c>
      <c r="B35" s="43" t="s">
        <v>218</v>
      </c>
      <c r="C35" s="44"/>
      <c r="D35" s="53"/>
      <c r="E35" s="53"/>
      <c r="F35" s="53"/>
      <c r="G35" s="53"/>
      <c r="H35" s="48">
        <v>11</v>
      </c>
      <c r="I35" s="32">
        <f>SUM(H35)+0.6</f>
        <v>11.6</v>
      </c>
      <c r="J35" s="32">
        <f>SUM(I35)+0.6</f>
        <v>12.2</v>
      </c>
      <c r="K35" s="31"/>
      <c r="L35" s="32"/>
      <c r="M35" s="54"/>
    </row>
    <row r="36" spans="1:13" s="2" customFormat="1" ht="13.5" customHeight="1" x14ac:dyDescent="0.3">
      <c r="A36" s="77"/>
      <c r="B36" s="50" t="s">
        <v>263</v>
      </c>
      <c r="C36" s="51"/>
      <c r="D36" s="88" t="s">
        <v>262</v>
      </c>
      <c r="E36" s="39"/>
      <c r="F36" s="39"/>
      <c r="G36" s="42"/>
      <c r="H36" s="49"/>
      <c r="I36" s="34"/>
      <c r="J36" s="34"/>
      <c r="K36" s="32"/>
      <c r="L36" s="65"/>
      <c r="M36" s="67"/>
    </row>
    <row r="37" spans="1:13" s="2" customFormat="1" ht="13.5" customHeight="1" x14ac:dyDescent="0.3">
      <c r="A37" s="22">
        <v>18</v>
      </c>
      <c r="B37" s="43" t="s">
        <v>128</v>
      </c>
      <c r="C37" s="44"/>
      <c r="D37" s="53"/>
      <c r="E37" s="53"/>
      <c r="F37" s="53"/>
      <c r="G37" s="53"/>
      <c r="H37" s="48">
        <v>109</v>
      </c>
      <c r="I37" s="32">
        <f>SUM(H37)+2</f>
        <v>111</v>
      </c>
      <c r="J37" s="32">
        <f>SUM(I37)+2</f>
        <v>113</v>
      </c>
      <c r="K37" s="31"/>
      <c r="L37" s="32"/>
      <c r="M37" s="54"/>
    </row>
    <row r="38" spans="1:13" s="2" customFormat="1" ht="13.5" customHeight="1" thickBot="1" x14ac:dyDescent="0.35">
      <c r="A38" s="56"/>
      <c r="B38" s="69" t="s">
        <v>129</v>
      </c>
      <c r="C38" s="70"/>
      <c r="D38" s="71" t="s">
        <v>264</v>
      </c>
      <c r="E38" s="72"/>
      <c r="F38" s="72"/>
      <c r="G38" s="73"/>
      <c r="H38" s="118"/>
      <c r="I38" s="66"/>
      <c r="J38" s="66"/>
      <c r="K38" s="61"/>
      <c r="L38" s="66"/>
      <c r="M38" s="68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9FCB2-B4EC-4CBB-9AD5-AC7779FAE014}">
  <sheetPr>
    <tabColor rgb="FFFF0000"/>
  </sheetPr>
  <dimension ref="A1:M47"/>
  <sheetViews>
    <sheetView zoomScale="110" zoomScaleNormal="110" zoomScalePageLayoutView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268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51.7</v>
      </c>
      <c r="I3" s="30">
        <f>SUM(H3)+3</f>
        <v>54.7</v>
      </c>
      <c r="J3" s="30">
        <f>SUM(I3)+3</f>
        <v>57.7</v>
      </c>
      <c r="K3" s="33"/>
      <c r="L3" s="33"/>
      <c r="M3" s="35"/>
    </row>
    <row r="4" spans="1:13" s="2" customFormat="1" ht="14.1" customHeight="1" x14ac:dyDescent="0.3">
      <c r="A4" s="22"/>
      <c r="B4" s="78" t="s">
        <v>62</v>
      </c>
      <c r="C4" s="78"/>
      <c r="D4" s="25" t="s">
        <v>270</v>
      </c>
      <c r="E4" s="26"/>
      <c r="F4" s="26"/>
      <c r="G4" s="27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77">
        <v>2</v>
      </c>
      <c r="B5" s="43" t="s">
        <v>228</v>
      </c>
      <c r="C5" s="44"/>
      <c r="D5" s="53" t="s">
        <v>63</v>
      </c>
      <c r="E5" s="53"/>
      <c r="F5" s="53"/>
      <c r="G5" s="53"/>
      <c r="H5" s="48">
        <v>45.7</v>
      </c>
      <c r="I5" s="32">
        <f>SUM(H5)+2.5</f>
        <v>48.2</v>
      </c>
      <c r="J5" s="32">
        <f>SUM(I5)+2.5</f>
        <v>50.7</v>
      </c>
      <c r="K5" s="32"/>
      <c r="L5" s="32"/>
      <c r="M5" s="54"/>
    </row>
    <row r="6" spans="1:13" s="2" customFormat="1" ht="14.1" customHeight="1" x14ac:dyDescent="0.3">
      <c r="A6" s="55"/>
      <c r="B6" s="50" t="s">
        <v>229</v>
      </c>
      <c r="C6" s="51"/>
      <c r="D6" s="38" t="s">
        <v>269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77">
        <v>3</v>
      </c>
      <c r="B7" s="43" t="s">
        <v>21</v>
      </c>
      <c r="C7" s="44"/>
      <c r="D7" s="45" t="s">
        <v>22</v>
      </c>
      <c r="E7" s="46"/>
      <c r="F7" s="46"/>
      <c r="G7" s="47"/>
      <c r="H7" s="48">
        <v>49.5</v>
      </c>
      <c r="I7" s="32">
        <f>SUM(H7)+4.4</f>
        <v>53.9</v>
      </c>
      <c r="J7" s="32">
        <f>SUM(I7)+4.4</f>
        <v>58.3</v>
      </c>
      <c r="K7" s="32"/>
      <c r="L7" s="32"/>
      <c r="M7" s="54"/>
    </row>
    <row r="8" spans="1:13" s="2" customFormat="1" ht="14.1" customHeight="1" x14ac:dyDescent="0.3">
      <c r="A8" s="55"/>
      <c r="B8" s="50" t="s">
        <v>12</v>
      </c>
      <c r="C8" s="51"/>
      <c r="D8" s="38" t="s">
        <v>25</v>
      </c>
      <c r="E8" s="39"/>
      <c r="F8" s="39"/>
      <c r="G8" s="42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77">
        <v>4</v>
      </c>
      <c r="B9" s="52" t="s">
        <v>20</v>
      </c>
      <c r="C9" s="52"/>
      <c r="D9" s="53" t="s">
        <v>11</v>
      </c>
      <c r="E9" s="53"/>
      <c r="F9" s="53"/>
      <c r="G9" s="53"/>
      <c r="H9" s="48">
        <v>45</v>
      </c>
      <c r="I9" s="32">
        <f>SUM(H9)+4</f>
        <v>49</v>
      </c>
      <c r="J9" s="32">
        <f>SUM(I9)+4</f>
        <v>53</v>
      </c>
      <c r="K9" s="31"/>
      <c r="L9" s="31"/>
      <c r="M9" s="41"/>
    </row>
    <row r="10" spans="1:13" s="2" customFormat="1" ht="14.1" customHeight="1" x14ac:dyDescent="0.3">
      <c r="A10" s="55"/>
      <c r="B10" s="37" t="s">
        <v>23</v>
      </c>
      <c r="C10" s="37"/>
      <c r="D10" s="38" t="s">
        <v>26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77">
        <v>5</v>
      </c>
      <c r="B11" s="52" t="s">
        <v>24</v>
      </c>
      <c r="C11" s="52"/>
      <c r="D11" s="53" t="s">
        <v>9</v>
      </c>
      <c r="E11" s="53"/>
      <c r="F11" s="53"/>
      <c r="G11" s="53"/>
      <c r="H11" s="48">
        <v>45</v>
      </c>
      <c r="I11" s="32">
        <f>SUM(H11)+4</f>
        <v>49</v>
      </c>
      <c r="J11" s="32">
        <f>SUM(I11)+4</f>
        <v>53</v>
      </c>
      <c r="K11" s="31"/>
      <c r="L11" s="31"/>
      <c r="M11" s="41"/>
    </row>
    <row r="12" spans="1:13" s="2" customFormat="1" ht="14.1" customHeight="1" x14ac:dyDescent="0.3">
      <c r="A12" s="55"/>
      <c r="B12" s="37" t="s">
        <v>13</v>
      </c>
      <c r="C12" s="37"/>
      <c r="D12" s="38" t="s">
        <v>27</v>
      </c>
      <c r="E12" s="39"/>
      <c r="F12" s="39"/>
      <c r="G12" s="42"/>
      <c r="H12" s="49"/>
      <c r="I12" s="34"/>
      <c r="J12" s="34"/>
      <c r="K12" s="31"/>
      <c r="L12" s="31"/>
      <c r="M12" s="41"/>
    </row>
    <row r="13" spans="1:13" s="2" customFormat="1" ht="14.1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20</v>
      </c>
      <c r="I13" s="31">
        <f>SUM(H13)+1</f>
        <v>21</v>
      </c>
      <c r="J13" s="31">
        <f>SUM(I13)+1</f>
        <v>22</v>
      </c>
      <c r="K13" s="31"/>
      <c r="L13" s="31"/>
      <c r="M13" s="41"/>
    </row>
    <row r="14" spans="1:13" s="2" customFormat="1" ht="14.1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13</v>
      </c>
      <c r="I15" s="31">
        <f>SUM(H15)+0.6</f>
        <v>13.6</v>
      </c>
      <c r="J15" s="31">
        <f>SUM(I15)+0.6</f>
        <v>14.2</v>
      </c>
      <c r="K15" s="31"/>
      <c r="L15" s="31"/>
      <c r="M15" s="41"/>
    </row>
    <row r="16" spans="1:13" s="2" customFormat="1" ht="14.1" customHeight="1" x14ac:dyDescent="0.3">
      <c r="A16" s="55"/>
      <c r="B16" s="37" t="s">
        <v>272</v>
      </c>
      <c r="C16" s="37"/>
      <c r="D16" s="38" t="s">
        <v>273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</v>
      </c>
      <c r="I17" s="31">
        <f>SUM(H17)+0.3</f>
        <v>7.3</v>
      </c>
      <c r="J17" s="31">
        <f>SUM(I17)+0.3</f>
        <v>7.6</v>
      </c>
      <c r="K17" s="31"/>
      <c r="L17" s="31"/>
      <c r="M17" s="41"/>
    </row>
    <row r="18" spans="1:13" s="2" customFormat="1" ht="14.1" customHeight="1" x14ac:dyDescent="0.3">
      <c r="A18" s="55"/>
      <c r="B18" s="37" t="s">
        <v>16</v>
      </c>
      <c r="C18" s="37"/>
      <c r="D18" s="38" t="s">
        <v>274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77">
        <v>9</v>
      </c>
      <c r="B19" s="43" t="s">
        <v>56</v>
      </c>
      <c r="C19" s="44"/>
      <c r="D19" s="45" t="s">
        <v>58</v>
      </c>
      <c r="E19" s="46"/>
      <c r="F19" s="46"/>
      <c r="G19" s="47"/>
      <c r="H19" s="29">
        <v>43</v>
      </c>
      <c r="I19" s="31">
        <f>SUM(H19)+1.6</f>
        <v>44.6</v>
      </c>
      <c r="J19" s="31">
        <f>SUM(I19)+1.6</f>
        <v>46.2</v>
      </c>
      <c r="K19" s="31"/>
      <c r="L19" s="31"/>
      <c r="M19" s="41"/>
    </row>
    <row r="20" spans="1:13" s="2" customFormat="1" ht="14.1" customHeight="1" x14ac:dyDescent="0.3">
      <c r="A20" s="55"/>
      <c r="B20" s="37" t="s">
        <v>275</v>
      </c>
      <c r="C20" s="37"/>
      <c r="D20" s="38" t="s">
        <v>125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77">
        <v>10</v>
      </c>
      <c r="B21" s="52" t="s">
        <v>5</v>
      </c>
      <c r="C21" s="52"/>
      <c r="D21" s="53" t="s">
        <v>6</v>
      </c>
      <c r="E21" s="53"/>
      <c r="F21" s="53"/>
      <c r="G21" s="53"/>
      <c r="H21" s="29">
        <v>48.5</v>
      </c>
      <c r="I21" s="31">
        <f>SUM(H21)+1.8</f>
        <v>50.3</v>
      </c>
      <c r="J21" s="31">
        <f>SUM(I21)+1.8</f>
        <v>52.099999999999994</v>
      </c>
      <c r="K21" s="31"/>
      <c r="L21" s="31"/>
      <c r="M21" s="41"/>
    </row>
    <row r="22" spans="1:13" s="2" customFormat="1" ht="14.1" customHeight="1" x14ac:dyDescent="0.3">
      <c r="A22" s="55"/>
      <c r="B22" s="37" t="s">
        <v>17</v>
      </c>
      <c r="C22" s="37"/>
      <c r="D22" s="38" t="s">
        <v>29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77">
        <v>11</v>
      </c>
      <c r="B23" s="52" t="s">
        <v>7</v>
      </c>
      <c r="C23" s="52"/>
      <c r="D23" s="45" t="s">
        <v>8</v>
      </c>
      <c r="E23" s="46"/>
      <c r="F23" s="46"/>
      <c r="G23" s="47"/>
      <c r="H23" s="29">
        <v>39.5</v>
      </c>
      <c r="I23" s="31">
        <f>SUM(H23)+2</f>
        <v>41.5</v>
      </c>
      <c r="J23" s="31">
        <f>SUM(I23)+2</f>
        <v>43.5</v>
      </c>
      <c r="K23" s="31"/>
      <c r="L23" s="31"/>
      <c r="M23" s="41"/>
    </row>
    <row r="24" spans="1:13" s="2" customFormat="1" ht="14.1" customHeight="1" x14ac:dyDescent="0.3">
      <c r="A24" s="55"/>
      <c r="B24" s="37" t="s">
        <v>18</v>
      </c>
      <c r="C24" s="37"/>
      <c r="D24" s="38" t="s">
        <v>36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77">
        <v>12</v>
      </c>
      <c r="B25" s="43" t="s">
        <v>59</v>
      </c>
      <c r="C25" s="44"/>
      <c r="D25" s="53" t="s">
        <v>37</v>
      </c>
      <c r="E25" s="53"/>
      <c r="F25" s="53"/>
      <c r="G25" s="53"/>
      <c r="H25" s="29">
        <v>19</v>
      </c>
      <c r="I25" s="31">
        <f>SUM(H25)+0.8</f>
        <v>19.8</v>
      </c>
      <c r="J25" s="31">
        <f>SUM(I25)+0.8</f>
        <v>20.6</v>
      </c>
      <c r="K25" s="31"/>
      <c r="L25" s="31"/>
      <c r="M25" s="41"/>
    </row>
    <row r="26" spans="1:13" s="2" customFormat="1" ht="14.1" customHeight="1" x14ac:dyDescent="0.3">
      <c r="A26" s="55"/>
      <c r="B26" s="37" t="s">
        <v>19</v>
      </c>
      <c r="C26" s="37"/>
      <c r="D26" s="38" t="s">
        <v>38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3" s="2" customFormat="1" ht="14.1" customHeight="1" x14ac:dyDescent="0.3">
      <c r="A27" s="77">
        <v>13</v>
      </c>
      <c r="B27" s="43" t="s">
        <v>131</v>
      </c>
      <c r="C27" s="44"/>
      <c r="D27" s="62"/>
      <c r="E27" s="63"/>
      <c r="F27" s="63"/>
      <c r="G27" s="64"/>
      <c r="H27" s="29">
        <v>3.5</v>
      </c>
      <c r="I27" s="31">
        <f>SUM(H27)</f>
        <v>3.5</v>
      </c>
      <c r="J27" s="31">
        <f>SUM(I27)</f>
        <v>3.5</v>
      </c>
      <c r="K27" s="32"/>
      <c r="L27" s="32"/>
      <c r="M27" s="54"/>
    </row>
    <row r="28" spans="1:13" s="2" customFormat="1" ht="14.1" customHeight="1" x14ac:dyDescent="0.3">
      <c r="A28" s="55"/>
      <c r="B28" s="23" t="s">
        <v>130</v>
      </c>
      <c r="C28" s="24"/>
      <c r="D28" s="25" t="s">
        <v>271</v>
      </c>
      <c r="E28" s="26"/>
      <c r="F28" s="26"/>
      <c r="G28" s="27"/>
      <c r="H28" s="48"/>
      <c r="I28" s="32"/>
      <c r="J28" s="32"/>
      <c r="K28" s="65"/>
      <c r="L28" s="65"/>
      <c r="M28" s="67"/>
    </row>
    <row r="29" spans="1:13" s="2" customFormat="1" ht="14.1" customHeight="1" x14ac:dyDescent="0.3">
      <c r="A29" s="77">
        <v>14</v>
      </c>
      <c r="B29" s="43"/>
      <c r="C29" s="44"/>
      <c r="D29" s="62"/>
      <c r="E29" s="63"/>
      <c r="F29" s="63"/>
      <c r="G29" s="64"/>
      <c r="H29" s="29"/>
      <c r="I29" s="31"/>
      <c r="J29" s="31"/>
      <c r="K29" s="32"/>
      <c r="L29" s="32"/>
      <c r="M29" s="54"/>
    </row>
    <row r="30" spans="1:13" s="2" customFormat="1" ht="14.1" customHeight="1" x14ac:dyDescent="0.3">
      <c r="A30" s="55"/>
      <c r="B30" s="50"/>
      <c r="C30" s="51"/>
      <c r="D30" s="38"/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77">
        <v>15</v>
      </c>
      <c r="B31" s="23"/>
      <c r="C31" s="24"/>
      <c r="D31" s="124"/>
      <c r="E31" s="124"/>
      <c r="F31" s="124"/>
      <c r="G31" s="124"/>
      <c r="H31" s="49"/>
      <c r="I31" s="34"/>
      <c r="J31" s="34"/>
      <c r="K31" s="65"/>
      <c r="L31" s="65"/>
      <c r="M31" s="67"/>
    </row>
    <row r="32" spans="1:13" s="2" customFormat="1" ht="14.1" customHeight="1" x14ac:dyDescent="0.3">
      <c r="A32" s="55"/>
      <c r="B32" s="23"/>
      <c r="C32" s="24"/>
      <c r="D32" s="38"/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77">
        <v>16</v>
      </c>
      <c r="B33" s="43"/>
      <c r="C33" s="44"/>
      <c r="D33" s="62"/>
      <c r="E33" s="63"/>
      <c r="F33" s="63"/>
      <c r="G33" s="64"/>
      <c r="H33" s="29"/>
      <c r="I33" s="31"/>
      <c r="J33" s="31"/>
      <c r="K33" s="32"/>
      <c r="L33" s="32"/>
      <c r="M33" s="54"/>
    </row>
    <row r="34" spans="1:13" s="2" customFormat="1" ht="14.1" customHeight="1" x14ac:dyDescent="0.3">
      <c r="A34" s="55"/>
      <c r="B34" s="23"/>
      <c r="C34" s="24"/>
      <c r="D34" s="25"/>
      <c r="E34" s="26"/>
      <c r="F34" s="26"/>
      <c r="G34" s="27"/>
      <c r="H34" s="48"/>
      <c r="I34" s="32"/>
      <c r="J34" s="32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53"/>
      <c r="E35" s="53"/>
      <c r="F35" s="53"/>
      <c r="G35" s="53"/>
      <c r="H35" s="29"/>
      <c r="I35" s="31"/>
      <c r="J35" s="31"/>
      <c r="K35" s="31"/>
      <c r="L35" s="31"/>
      <c r="M35" s="86"/>
    </row>
    <row r="36" spans="1:13" s="2" customFormat="1" ht="14.1" customHeight="1" thickBot="1" x14ac:dyDescent="0.35">
      <c r="A36" s="56"/>
      <c r="B36" s="69"/>
      <c r="C36" s="70"/>
      <c r="D36" s="71"/>
      <c r="E36" s="72"/>
      <c r="F36" s="72"/>
      <c r="G36" s="72"/>
      <c r="H36" s="60"/>
      <c r="I36" s="61"/>
      <c r="J36" s="61"/>
      <c r="K36" s="61"/>
      <c r="L36" s="61"/>
      <c r="M36" s="87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EE29E-DE1C-4A2B-91BC-BEB2BE1970F6}">
  <sheetPr>
    <tabColor rgb="FFFF0000"/>
  </sheetPr>
  <dimension ref="A1:P59"/>
  <sheetViews>
    <sheetView topLeftCell="A4" zoomScale="110" zoomScaleNormal="110" zoomScalePageLayoutView="110" workbookViewId="0">
      <selection activeCell="K33" sqref="K33:K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8" width="5.375" customWidth="1"/>
    <col min="9" max="15" width="5.5" customWidth="1"/>
  </cols>
  <sheetData>
    <row r="1" spans="1:16" ht="16.5" customHeight="1" thickBot="1" x14ac:dyDescent="0.35">
      <c r="A1" s="14" t="s">
        <v>265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6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13" t="s">
        <v>276</v>
      </c>
      <c r="I2" s="4" t="s">
        <v>33</v>
      </c>
      <c r="J2" s="5" t="s">
        <v>34</v>
      </c>
      <c r="K2" s="5" t="s">
        <v>35</v>
      </c>
      <c r="L2" s="5"/>
      <c r="M2" s="5"/>
    </row>
    <row r="3" spans="1:16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30">
        <f>SUM(I3)-3</f>
        <v>46</v>
      </c>
      <c r="I3" s="28">
        <v>49</v>
      </c>
      <c r="J3" s="30">
        <f>SUM(I3)+3</f>
        <v>52</v>
      </c>
      <c r="K3" s="30">
        <f>SUM(J3)+3</f>
        <v>55</v>
      </c>
      <c r="L3" s="33"/>
      <c r="M3" s="35"/>
    </row>
    <row r="4" spans="1:16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31"/>
      <c r="I4" s="29"/>
      <c r="J4" s="31"/>
      <c r="K4" s="31"/>
      <c r="L4" s="34"/>
      <c r="M4" s="36"/>
    </row>
    <row r="5" spans="1:16" s="2" customFormat="1" ht="14.1" customHeight="1" x14ac:dyDescent="0.3">
      <c r="A5" s="22">
        <v>2</v>
      </c>
      <c r="B5" s="135" t="s">
        <v>148</v>
      </c>
      <c r="C5" s="136"/>
      <c r="D5" s="45" t="s">
        <v>149</v>
      </c>
      <c r="E5" s="46"/>
      <c r="F5" s="46"/>
      <c r="G5" s="47"/>
      <c r="H5" s="32">
        <f>SUM(I5)-4</f>
        <v>68</v>
      </c>
      <c r="I5" s="48">
        <v>72</v>
      </c>
      <c r="J5" s="32">
        <f>SUM(I5)+4</f>
        <v>76</v>
      </c>
      <c r="K5" s="32">
        <f>SUM(J5)+4</f>
        <v>80</v>
      </c>
      <c r="L5" s="31"/>
      <c r="M5" s="41"/>
    </row>
    <row r="6" spans="1:16" s="2" customFormat="1" ht="14.1" customHeight="1" x14ac:dyDescent="0.3">
      <c r="A6" s="22"/>
      <c r="B6" s="50" t="s">
        <v>150</v>
      </c>
      <c r="C6" s="51"/>
      <c r="D6" s="38" t="s">
        <v>151</v>
      </c>
      <c r="E6" s="39"/>
      <c r="F6" s="39"/>
      <c r="G6" s="42"/>
      <c r="H6" s="34"/>
      <c r="I6" s="49"/>
      <c r="J6" s="34"/>
      <c r="K6" s="34"/>
      <c r="L6" s="31"/>
      <c r="M6" s="41"/>
    </row>
    <row r="7" spans="1:16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32">
        <f>SUM(I7)-3</f>
        <v>35</v>
      </c>
      <c r="I7" s="48">
        <v>38</v>
      </c>
      <c r="J7" s="32">
        <f>SUM(I7)+3</f>
        <v>41</v>
      </c>
      <c r="K7" s="32">
        <f>SUM(J7)+3</f>
        <v>44</v>
      </c>
      <c r="L7" s="31"/>
      <c r="M7" s="41"/>
    </row>
    <row r="8" spans="1:16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34"/>
      <c r="I8" s="49"/>
      <c r="J8" s="34"/>
      <c r="K8" s="34"/>
      <c r="L8" s="31"/>
      <c r="M8" s="41"/>
    </row>
    <row r="9" spans="1:16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32">
        <f>SUM(I9)-3</f>
        <v>35</v>
      </c>
      <c r="I9" s="48">
        <v>38</v>
      </c>
      <c r="J9" s="32">
        <f>SUM(I9)+3</f>
        <v>41</v>
      </c>
      <c r="K9" s="32">
        <f>SUM(J9)+3</f>
        <v>44</v>
      </c>
      <c r="L9" s="31"/>
      <c r="M9" s="41"/>
      <c r="P9" s="2" t="s">
        <v>168</v>
      </c>
    </row>
    <row r="10" spans="1:16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34"/>
      <c r="I10" s="49"/>
      <c r="J10" s="34"/>
      <c r="K10" s="34"/>
      <c r="L10" s="31"/>
      <c r="M10" s="41"/>
    </row>
    <row r="11" spans="1:16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31"/>
      <c r="I11" s="29"/>
      <c r="J11" s="31"/>
      <c r="K11" s="31"/>
      <c r="L11" s="31"/>
      <c r="M11" s="41"/>
    </row>
    <row r="12" spans="1:16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31"/>
      <c r="I12" s="29"/>
      <c r="J12" s="31"/>
      <c r="K12" s="31"/>
      <c r="L12" s="31"/>
      <c r="M12" s="41"/>
    </row>
    <row r="13" spans="1:16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31">
        <f>SUM(I13)-0.6</f>
        <v>17.399999999999999</v>
      </c>
      <c r="I13" s="29">
        <v>18</v>
      </c>
      <c r="J13" s="31">
        <f>SUM(I13)+0.6</f>
        <v>18.600000000000001</v>
      </c>
      <c r="K13" s="31">
        <f>SUM(J13)+0.6</f>
        <v>19.200000000000003</v>
      </c>
      <c r="L13" s="31"/>
      <c r="M13" s="41"/>
    </row>
    <row r="14" spans="1:16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31"/>
      <c r="I14" s="29"/>
      <c r="J14" s="31"/>
      <c r="K14" s="31"/>
      <c r="L14" s="31"/>
      <c r="M14" s="41"/>
    </row>
    <row r="15" spans="1:16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31">
        <f>SUM(I15)-0.3</f>
        <v>5.7</v>
      </c>
      <c r="I15" s="29">
        <v>6</v>
      </c>
      <c r="J15" s="31">
        <f>SUM(I15)+0.3</f>
        <v>6.3</v>
      </c>
      <c r="K15" s="31">
        <f>SUM(J15)+0.3</f>
        <v>6.6</v>
      </c>
      <c r="L15" s="31"/>
      <c r="M15" s="41"/>
    </row>
    <row r="16" spans="1:16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31"/>
      <c r="I16" s="29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31">
        <f>SUM(I17)-1.6</f>
        <v>42.4</v>
      </c>
      <c r="I17" s="29">
        <v>44</v>
      </c>
      <c r="J17" s="31">
        <f>SUM(I17)+1.6</f>
        <v>45.6</v>
      </c>
      <c r="K17" s="31">
        <f>SUM(J17)+1.6</f>
        <v>47.2</v>
      </c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31"/>
      <c r="I18" s="29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31">
        <f>SUM(I19)-3</f>
        <v>47.8</v>
      </c>
      <c r="I19" s="29">
        <v>50.8</v>
      </c>
      <c r="J19" s="31">
        <f>SUM(I19)+3</f>
        <v>53.8</v>
      </c>
      <c r="K19" s="31">
        <f>SUM(J19)+3</f>
        <v>56.8</v>
      </c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31"/>
      <c r="I20" s="29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31">
        <f>SUM(I21)-1.6</f>
        <v>28</v>
      </c>
      <c r="I21" s="29">
        <v>29.6</v>
      </c>
      <c r="J21" s="31">
        <f>SUM(I21)+1.6</f>
        <v>31.200000000000003</v>
      </c>
      <c r="K21" s="31">
        <f>SUM(J21)+1.6</f>
        <v>32.800000000000004</v>
      </c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31"/>
      <c r="I22" s="29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31">
        <f>SUM(I23)-0.8</f>
        <v>16.2</v>
      </c>
      <c r="I23" s="29">
        <v>17</v>
      </c>
      <c r="J23" s="31">
        <f>SUM(I23)+0.8</f>
        <v>17.8</v>
      </c>
      <c r="K23" s="31">
        <f>SUM(J23)+0.8</f>
        <v>18.600000000000001</v>
      </c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31"/>
      <c r="I24" s="29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179</v>
      </c>
      <c r="C25" s="44"/>
      <c r="D25" s="62"/>
      <c r="E25" s="63"/>
      <c r="F25" s="63"/>
      <c r="G25" s="64"/>
      <c r="H25" s="31">
        <f>SUM(I25)-0.3</f>
        <v>4.2</v>
      </c>
      <c r="I25" s="29">
        <v>4.5</v>
      </c>
      <c r="J25" s="31">
        <f>SUM(I25)+0.3</f>
        <v>4.8</v>
      </c>
      <c r="K25" s="31">
        <f>SUM(J25)+0.3</f>
        <v>5.0999999999999996</v>
      </c>
      <c r="L25" s="32"/>
      <c r="M25" s="54"/>
    </row>
    <row r="26" spans="1:13" s="2" customFormat="1" ht="13.5" customHeight="1" x14ac:dyDescent="0.3">
      <c r="A26" s="77"/>
      <c r="B26" s="23" t="s">
        <v>180</v>
      </c>
      <c r="C26" s="24"/>
      <c r="D26" s="25" t="s">
        <v>181</v>
      </c>
      <c r="E26" s="26"/>
      <c r="F26" s="26"/>
      <c r="G26" s="27"/>
      <c r="H26" s="32"/>
      <c r="I26" s="48"/>
      <c r="J26" s="32"/>
      <c r="K26" s="32"/>
      <c r="L26" s="65"/>
      <c r="M26" s="67"/>
    </row>
    <row r="27" spans="1:13" s="2" customFormat="1" ht="14.1" customHeight="1" x14ac:dyDescent="0.3">
      <c r="A27" s="22">
        <v>13</v>
      </c>
      <c r="B27" s="43" t="s">
        <v>165</v>
      </c>
      <c r="C27" s="44"/>
      <c r="D27" s="62"/>
      <c r="E27" s="63"/>
      <c r="F27" s="63"/>
      <c r="G27" s="64"/>
      <c r="H27" s="31">
        <f>SUM(I27)-0.5</f>
        <v>8.9</v>
      </c>
      <c r="I27" s="29">
        <v>9.4</v>
      </c>
      <c r="J27" s="31">
        <f>SUM(I27)+0.5</f>
        <v>9.9</v>
      </c>
      <c r="K27" s="31">
        <f>SUM(J27)+0.5</f>
        <v>10.4</v>
      </c>
      <c r="L27" s="32"/>
      <c r="M27" s="54"/>
    </row>
    <row r="28" spans="1:13" s="2" customFormat="1" ht="14.1" customHeight="1" x14ac:dyDescent="0.3">
      <c r="A28" s="77"/>
      <c r="B28" s="23" t="s">
        <v>166</v>
      </c>
      <c r="C28" s="24"/>
      <c r="D28" s="25" t="s">
        <v>167</v>
      </c>
      <c r="E28" s="26"/>
      <c r="F28" s="26"/>
      <c r="G28" s="27"/>
      <c r="H28" s="32"/>
      <c r="I28" s="48"/>
      <c r="J28" s="32"/>
      <c r="K28" s="32"/>
      <c r="L28" s="65"/>
      <c r="M28" s="67"/>
    </row>
    <row r="29" spans="1:13" s="2" customFormat="1" ht="14.1" customHeight="1" x14ac:dyDescent="0.3">
      <c r="A29" s="22">
        <v>14</v>
      </c>
      <c r="B29" s="43" t="s">
        <v>131</v>
      </c>
      <c r="C29" s="44"/>
      <c r="D29" s="62"/>
      <c r="E29" s="63"/>
      <c r="F29" s="63"/>
      <c r="G29" s="64"/>
      <c r="H29" s="31">
        <f>SUM(I29)-0.6</f>
        <v>5.9</v>
      </c>
      <c r="I29" s="29">
        <v>6.5</v>
      </c>
      <c r="J29" s="31">
        <f>SUM(I29)+0.6</f>
        <v>7.1</v>
      </c>
      <c r="K29" s="31">
        <f>SUM(J29)+0.6</f>
        <v>7.6999999999999993</v>
      </c>
      <c r="L29" s="31"/>
      <c r="M29" s="41"/>
    </row>
    <row r="30" spans="1:13" s="2" customFormat="1" ht="14.1" customHeight="1" x14ac:dyDescent="0.3">
      <c r="A30" s="22"/>
      <c r="B30" s="23" t="s">
        <v>130</v>
      </c>
      <c r="C30" s="24"/>
      <c r="D30" s="25"/>
      <c r="E30" s="26"/>
      <c r="F30" s="26"/>
      <c r="G30" s="27"/>
      <c r="H30" s="32"/>
      <c r="I30" s="48"/>
      <c r="J30" s="32"/>
      <c r="K30" s="32"/>
      <c r="L30" s="31"/>
      <c r="M30" s="41"/>
    </row>
    <row r="31" spans="1:13" ht="14.1" customHeight="1" x14ac:dyDescent="0.3">
      <c r="A31" s="22">
        <v>15</v>
      </c>
      <c r="B31" s="43" t="s">
        <v>170</v>
      </c>
      <c r="C31" s="44"/>
      <c r="D31" s="45"/>
      <c r="E31" s="46"/>
      <c r="F31" s="46"/>
      <c r="G31" s="47"/>
      <c r="H31" s="31">
        <f>SUM(I31)-0.3</f>
        <v>2.7</v>
      </c>
      <c r="I31" s="29">
        <v>3</v>
      </c>
      <c r="J31" s="31">
        <f>SUM(I31)+0.3</f>
        <v>3.3</v>
      </c>
      <c r="K31" s="31">
        <f>SUM(J31)+0.3</f>
        <v>3.5999999999999996</v>
      </c>
      <c r="L31" s="32"/>
      <c r="M31" s="54"/>
    </row>
    <row r="32" spans="1:13" ht="14.1" customHeight="1" x14ac:dyDescent="0.3">
      <c r="A32" s="22"/>
      <c r="B32" s="23" t="s">
        <v>171</v>
      </c>
      <c r="C32" s="24"/>
      <c r="D32" s="38"/>
      <c r="E32" s="39"/>
      <c r="F32" s="39"/>
      <c r="G32" s="42"/>
      <c r="H32" s="32"/>
      <c r="I32" s="48"/>
      <c r="J32" s="32"/>
      <c r="K32" s="32"/>
      <c r="L32" s="34"/>
      <c r="M32" s="36"/>
    </row>
    <row r="33" spans="1:14" ht="14.1" customHeight="1" x14ac:dyDescent="0.3">
      <c r="A33" s="22">
        <v>16</v>
      </c>
      <c r="B33" s="43"/>
      <c r="C33" s="44"/>
      <c r="D33" s="62"/>
      <c r="E33" s="63"/>
      <c r="F33" s="63"/>
      <c r="G33" s="64"/>
      <c r="H33" s="12"/>
      <c r="I33" s="29"/>
      <c r="J33" s="31"/>
      <c r="K33" s="31"/>
      <c r="L33" s="32"/>
      <c r="M33" s="54"/>
    </row>
    <row r="34" spans="1:14" ht="14.1" customHeight="1" x14ac:dyDescent="0.3">
      <c r="A34" s="22"/>
      <c r="B34" s="50"/>
      <c r="C34" s="51"/>
      <c r="D34" s="38"/>
      <c r="E34" s="39"/>
      <c r="F34" s="39"/>
      <c r="G34" s="42"/>
      <c r="H34" s="9"/>
      <c r="I34" s="29"/>
      <c r="J34" s="31"/>
      <c r="K34" s="31"/>
      <c r="L34" s="34"/>
      <c r="M34" s="36"/>
    </row>
    <row r="35" spans="1:14" s="2" customFormat="1" ht="14.1" customHeight="1" x14ac:dyDescent="0.3">
      <c r="A35" s="55">
        <v>17</v>
      </c>
      <c r="B35" s="23"/>
      <c r="C35" s="24"/>
      <c r="D35" s="57"/>
      <c r="E35" s="58"/>
      <c r="F35" s="58"/>
      <c r="G35" s="59"/>
      <c r="H35" s="11"/>
      <c r="I35" s="49"/>
      <c r="J35" s="116"/>
      <c r="K35" s="34"/>
      <c r="L35" s="65"/>
      <c r="M35" s="67"/>
    </row>
    <row r="36" spans="1:14" s="2" customFormat="1" ht="14.1" customHeight="1" thickBot="1" x14ac:dyDescent="0.35">
      <c r="A36" s="56"/>
      <c r="B36" s="69"/>
      <c r="C36" s="70"/>
      <c r="D36" s="71"/>
      <c r="E36" s="72"/>
      <c r="F36" s="72"/>
      <c r="G36" s="73"/>
      <c r="H36" s="10"/>
      <c r="I36" s="60"/>
      <c r="J36" s="82"/>
      <c r="K36" s="61"/>
      <c r="L36" s="66"/>
      <c r="M36" s="68"/>
    </row>
    <row r="37" spans="1:14" s="2" customFormat="1" ht="14.1" customHeight="1" x14ac:dyDescent="0.3"/>
    <row r="38" spans="1:14" s="2" customFormat="1" ht="14.1" customHeight="1" x14ac:dyDescent="0.3"/>
    <row r="39" spans="1:14" s="2" customFormat="1" ht="14.1" customHeight="1" x14ac:dyDescent="0.3"/>
    <row r="40" spans="1:14" s="2" customFormat="1" ht="14.1" customHeight="1" x14ac:dyDescent="0.3"/>
    <row r="41" spans="1:14" s="2" customFormat="1" ht="14.1" customHeight="1" x14ac:dyDescent="0.3"/>
    <row r="42" spans="1:14" s="2" customFormat="1" ht="14.1" customHeight="1" x14ac:dyDescent="0.3"/>
    <row r="43" spans="1:14" s="2" customFormat="1" ht="14.1" customHeight="1" x14ac:dyDescent="0.3"/>
    <row r="44" spans="1:14" s="2" customFormat="1" ht="14.1" customHeight="1" x14ac:dyDescent="0.3"/>
    <row r="45" spans="1:14" s="2" customFormat="1" ht="14.1" customHeight="1" x14ac:dyDescent="0.3"/>
    <row r="46" spans="1:14" s="2" customFormat="1" ht="14.1" customHeight="1" x14ac:dyDescent="0.3"/>
    <row r="47" spans="1:14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2:8" ht="14.1" customHeight="1" x14ac:dyDescent="0.3"/>
    <row r="50" spans="2:8" ht="14.1" customHeight="1" x14ac:dyDescent="0.3"/>
    <row r="51" spans="2:8" ht="14.1" customHeight="1" x14ac:dyDescent="0.3"/>
    <row r="52" spans="2:8" ht="14.1" customHeight="1" x14ac:dyDescent="0.3"/>
    <row r="53" spans="2:8" ht="14.1" customHeight="1" x14ac:dyDescent="0.3"/>
    <row r="54" spans="2:8" ht="14.1" customHeight="1" x14ac:dyDescent="0.3"/>
    <row r="55" spans="2:8" ht="14.1" customHeight="1" x14ac:dyDescent="0.3">
      <c r="B55" s="1"/>
      <c r="C55" s="1"/>
      <c r="D55" s="1"/>
      <c r="E55" s="1"/>
      <c r="F55" s="1"/>
      <c r="G55" s="1"/>
      <c r="H55" s="1"/>
    </row>
    <row r="56" spans="2:8" ht="14.1" customHeight="1" x14ac:dyDescent="0.3">
      <c r="B56" s="1"/>
      <c r="C56" s="1"/>
      <c r="D56" s="1"/>
      <c r="E56" s="1"/>
      <c r="F56" s="1"/>
      <c r="G56" s="1"/>
      <c r="H56" s="1"/>
    </row>
    <row r="57" spans="2:8" ht="14.1" customHeight="1" x14ac:dyDescent="0.3">
      <c r="B57" s="1"/>
      <c r="C57" s="1"/>
      <c r="D57" s="1"/>
      <c r="E57" s="1"/>
      <c r="F57" s="1"/>
      <c r="G57" s="1"/>
      <c r="H57" s="1"/>
    </row>
    <row r="58" spans="2:8" ht="14.1" customHeight="1" x14ac:dyDescent="0.3">
      <c r="B58" s="1"/>
      <c r="C58" s="1"/>
      <c r="D58" s="1"/>
      <c r="E58" s="1"/>
      <c r="F58" s="1"/>
      <c r="G58" s="1"/>
      <c r="H58" s="1"/>
    </row>
    <row r="59" spans="2:8" ht="14.1" customHeight="1" x14ac:dyDescent="0.3"/>
  </sheetData>
  <mergeCells count="187"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2309-D351-43CA-A287-A7373DF8FB6B}">
  <sheetPr>
    <tabColor rgb="FFFF0000"/>
  </sheetPr>
  <dimension ref="A1:P60"/>
  <sheetViews>
    <sheetView zoomScale="110" zoomScaleNormal="110" zoomScalePageLayoutView="110" workbookViewId="0">
      <selection sqref="A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17" t="s">
        <v>308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6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52</v>
      </c>
      <c r="I3" s="30">
        <f>SUM(H3)+3</f>
        <v>55</v>
      </c>
      <c r="J3" s="30">
        <f>SUM(I3)+3</f>
        <v>58</v>
      </c>
      <c r="K3" s="33"/>
      <c r="L3" s="33"/>
      <c r="M3" s="35"/>
    </row>
    <row r="4" spans="1:16" s="2" customFormat="1" ht="14.1" customHeight="1" x14ac:dyDescent="0.3">
      <c r="A4" s="77"/>
      <c r="B4" s="78" t="s">
        <v>62</v>
      </c>
      <c r="C4" s="78"/>
      <c r="D4" s="25" t="s">
        <v>61</v>
      </c>
      <c r="E4" s="26"/>
      <c r="F4" s="26"/>
      <c r="G4" s="26"/>
      <c r="H4" s="48"/>
      <c r="I4" s="32"/>
      <c r="J4" s="32"/>
      <c r="K4" s="65"/>
      <c r="L4" s="65"/>
      <c r="M4" s="67"/>
    </row>
    <row r="5" spans="1:16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56</v>
      </c>
      <c r="I5" s="32">
        <f>SUM(H5)+4.2</f>
        <v>60.2</v>
      </c>
      <c r="J5" s="32">
        <f>SUM(I5)+4.2</f>
        <v>64.400000000000006</v>
      </c>
      <c r="K5" s="31"/>
      <c r="L5" s="31"/>
      <c r="M5" s="41"/>
    </row>
    <row r="6" spans="1:16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6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53</v>
      </c>
      <c r="I7" s="32">
        <f>SUM(H7)+4</f>
        <v>57</v>
      </c>
      <c r="J7" s="32">
        <f>SUM(I7)+4</f>
        <v>61</v>
      </c>
      <c r="K7" s="31"/>
      <c r="L7" s="31"/>
      <c r="M7" s="41"/>
    </row>
    <row r="8" spans="1:16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6" s="2" customFormat="1" ht="14.1" customHeight="1" x14ac:dyDescent="0.3">
      <c r="A9" s="22">
        <v>4</v>
      </c>
      <c r="B9" s="52" t="s">
        <v>24</v>
      </c>
      <c r="C9" s="52"/>
      <c r="D9" s="53" t="s">
        <v>310</v>
      </c>
      <c r="E9" s="53"/>
      <c r="F9" s="53"/>
      <c r="G9" s="53"/>
      <c r="H9" s="48">
        <v>94</v>
      </c>
      <c r="I9" s="32">
        <f>SUM(H9)+8</f>
        <v>102</v>
      </c>
      <c r="J9" s="32">
        <f>SUM(I9)+8</f>
        <v>110</v>
      </c>
      <c r="K9" s="31"/>
      <c r="L9" s="31"/>
      <c r="M9" s="41"/>
      <c r="P9" s="2" t="s">
        <v>168</v>
      </c>
    </row>
    <row r="10" spans="1:16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6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22</v>
      </c>
      <c r="I11" s="31">
        <f>SUM(H11)+1</f>
        <v>23</v>
      </c>
      <c r="J11" s="31">
        <f>SUM(I11)+1</f>
        <v>24</v>
      </c>
      <c r="K11" s="31"/>
      <c r="L11" s="31"/>
      <c r="M11" s="41"/>
    </row>
    <row r="12" spans="1:16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6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17.100000000000001</v>
      </c>
      <c r="I13" s="31">
        <f>SUM(H13)+0.6</f>
        <v>17.700000000000003</v>
      </c>
      <c r="J13" s="31">
        <f>SUM(I13)+0.6</f>
        <v>18.300000000000004</v>
      </c>
      <c r="K13" s="31"/>
      <c r="L13" s="31"/>
      <c r="M13" s="41"/>
    </row>
    <row r="14" spans="1:16" s="2" customFormat="1" ht="14.1" customHeight="1" x14ac:dyDescent="0.3">
      <c r="A14" s="22"/>
      <c r="B14" s="37" t="s">
        <v>15</v>
      </c>
      <c r="C14" s="37"/>
      <c r="D14" s="38" t="s">
        <v>258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6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8.1999999999999993</v>
      </c>
      <c r="I15" s="31">
        <f>SUM(H15)+0.3</f>
        <v>8.5</v>
      </c>
      <c r="J15" s="31">
        <f>SUM(I15)+0.3</f>
        <v>8.8000000000000007</v>
      </c>
      <c r="K15" s="31"/>
      <c r="L15" s="31"/>
      <c r="M15" s="41"/>
    </row>
    <row r="16" spans="1:16" s="2" customFormat="1" ht="14.1" customHeight="1" x14ac:dyDescent="0.3">
      <c r="A16" s="22"/>
      <c r="B16" s="37" t="s">
        <v>16</v>
      </c>
      <c r="C16" s="37"/>
      <c r="D16" s="38" t="s">
        <v>259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45.7</v>
      </c>
      <c r="I17" s="31">
        <f>SUM(H17)+1.6</f>
        <v>47.300000000000004</v>
      </c>
      <c r="J17" s="31">
        <f>SUM(I17)+1.6</f>
        <v>48.900000000000006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239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142" t="s">
        <v>182</v>
      </c>
      <c r="C19" s="44"/>
      <c r="D19" s="45"/>
      <c r="E19" s="46"/>
      <c r="F19" s="46"/>
      <c r="G19" s="47"/>
      <c r="H19" s="48">
        <v>6</v>
      </c>
      <c r="I19" s="32">
        <f>SUM(H19)+0.2</f>
        <v>6.2</v>
      </c>
      <c r="J19" s="32">
        <f t="shared" ref="J19" si="0">SUM(I19)+0.2</f>
        <v>6.4</v>
      </c>
      <c r="K19" s="137"/>
      <c r="L19" s="137"/>
      <c r="M19" s="139"/>
    </row>
    <row r="20" spans="1:13" s="2" customFormat="1" ht="14.1" customHeight="1" x14ac:dyDescent="0.3">
      <c r="A20" s="22"/>
      <c r="B20" s="141" t="s">
        <v>183</v>
      </c>
      <c r="C20" s="51"/>
      <c r="D20" s="38" t="s">
        <v>184</v>
      </c>
      <c r="E20" s="39"/>
      <c r="F20" s="39"/>
      <c r="G20" s="42"/>
      <c r="H20" s="49"/>
      <c r="I20" s="34"/>
      <c r="J20" s="34"/>
      <c r="K20" s="138"/>
      <c r="L20" s="138"/>
      <c r="M20" s="140"/>
    </row>
    <row r="21" spans="1:13" s="2" customFormat="1" ht="14.1" customHeight="1" x14ac:dyDescent="0.3">
      <c r="A21" s="22">
        <v>10</v>
      </c>
      <c r="B21" s="52" t="s">
        <v>5</v>
      </c>
      <c r="C21" s="52"/>
      <c r="D21" s="53" t="s">
        <v>6</v>
      </c>
      <c r="E21" s="53"/>
      <c r="F21" s="53"/>
      <c r="G21" s="53"/>
      <c r="H21" s="29">
        <v>43</v>
      </c>
      <c r="I21" s="31">
        <f>SUM(H21)+1.9</f>
        <v>44.9</v>
      </c>
      <c r="J21" s="31">
        <f>SUM(I21)+1.9</f>
        <v>46.8</v>
      </c>
      <c r="K21" s="31"/>
      <c r="L21" s="31"/>
      <c r="M21" s="41"/>
    </row>
    <row r="22" spans="1:13" s="2" customFormat="1" ht="14.1" customHeight="1" x14ac:dyDescent="0.3">
      <c r="A22" s="22"/>
      <c r="B22" s="37" t="s">
        <v>17</v>
      </c>
      <c r="C22" s="37"/>
      <c r="D22" s="38" t="s">
        <v>29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52" t="s">
        <v>7</v>
      </c>
      <c r="C23" s="52"/>
      <c r="D23" s="45" t="s">
        <v>8</v>
      </c>
      <c r="E23" s="46"/>
      <c r="F23" s="46"/>
      <c r="G23" s="47"/>
      <c r="H23" s="29">
        <v>44</v>
      </c>
      <c r="I23" s="31">
        <f>SUM(H23)+2</f>
        <v>46</v>
      </c>
      <c r="J23" s="31">
        <f>SUM(I23)+2</f>
        <v>48</v>
      </c>
      <c r="K23" s="31"/>
      <c r="L23" s="31"/>
      <c r="M23" s="41"/>
    </row>
    <row r="24" spans="1:13" s="2" customFormat="1" ht="14.1" customHeight="1" x14ac:dyDescent="0.3">
      <c r="A24" s="22"/>
      <c r="B24" s="37" t="s">
        <v>18</v>
      </c>
      <c r="C24" s="37"/>
      <c r="D24" s="38" t="s">
        <v>36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59</v>
      </c>
      <c r="C25" s="44"/>
      <c r="D25" s="53" t="s">
        <v>37</v>
      </c>
      <c r="E25" s="53"/>
      <c r="F25" s="53"/>
      <c r="G25" s="53"/>
      <c r="H25" s="29">
        <v>22</v>
      </c>
      <c r="I25" s="31">
        <f>SUM(H25)+1</f>
        <v>23</v>
      </c>
      <c r="J25" s="31">
        <f>SUM(I25)+1</f>
        <v>24</v>
      </c>
      <c r="K25" s="31"/>
      <c r="L25" s="31"/>
      <c r="M25" s="41"/>
    </row>
    <row r="26" spans="1:13" s="2" customFormat="1" ht="14.1" customHeight="1" x14ac:dyDescent="0.3">
      <c r="A26" s="22"/>
      <c r="B26" s="37" t="s">
        <v>19</v>
      </c>
      <c r="C26" s="37"/>
      <c r="D26" s="38" t="s">
        <v>307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3" s="2" customFormat="1" ht="14.1" customHeight="1" x14ac:dyDescent="0.3">
      <c r="A27" s="22">
        <v>13</v>
      </c>
      <c r="B27" s="43" t="s">
        <v>201</v>
      </c>
      <c r="C27" s="44"/>
      <c r="D27" s="62"/>
      <c r="E27" s="63"/>
      <c r="F27" s="63"/>
      <c r="G27" s="64"/>
      <c r="H27" s="29">
        <v>14.5</v>
      </c>
      <c r="I27" s="31">
        <f>SUM(H27)+0.6</f>
        <v>15.1</v>
      </c>
      <c r="J27" s="31">
        <f>SUM(I27)+0.6</f>
        <v>15.7</v>
      </c>
      <c r="K27" s="32"/>
      <c r="L27" s="32"/>
      <c r="M27" s="143"/>
    </row>
    <row r="28" spans="1:13" s="2" customFormat="1" ht="14.1" customHeight="1" x14ac:dyDescent="0.3">
      <c r="A28" s="22"/>
      <c r="B28" s="97" t="s">
        <v>202</v>
      </c>
      <c r="C28" s="98"/>
      <c r="D28" s="38"/>
      <c r="E28" s="39"/>
      <c r="F28" s="39"/>
      <c r="G28" s="42"/>
      <c r="H28" s="29"/>
      <c r="I28" s="31"/>
      <c r="J28" s="31"/>
      <c r="K28" s="34"/>
      <c r="L28" s="34"/>
      <c r="M28" s="144"/>
    </row>
    <row r="29" spans="1:13" s="2" customFormat="1" ht="14.1" customHeight="1" x14ac:dyDescent="0.3">
      <c r="A29" s="22">
        <v>14</v>
      </c>
      <c r="B29" s="43" t="s">
        <v>285</v>
      </c>
      <c r="C29" s="44"/>
      <c r="D29" s="53"/>
      <c r="E29" s="53"/>
      <c r="F29" s="53"/>
      <c r="G29" s="53"/>
      <c r="H29" s="29">
        <v>19</v>
      </c>
      <c r="I29" s="31">
        <f>SUM(H29)+0.5</f>
        <v>19.5</v>
      </c>
      <c r="J29" s="31">
        <f>SUM(I29)+0.5</f>
        <v>20</v>
      </c>
      <c r="K29" s="32"/>
      <c r="L29" s="32"/>
      <c r="M29" s="143"/>
    </row>
    <row r="30" spans="1:13" s="2" customFormat="1" ht="14.1" customHeight="1" x14ac:dyDescent="0.3">
      <c r="A30" s="22"/>
      <c r="B30" s="37" t="s">
        <v>286</v>
      </c>
      <c r="C30" s="37"/>
      <c r="D30" s="38"/>
      <c r="E30" s="39"/>
      <c r="F30" s="39"/>
      <c r="G30" s="42"/>
      <c r="H30" s="29"/>
      <c r="I30" s="31"/>
      <c r="J30" s="31"/>
      <c r="K30" s="34"/>
      <c r="L30" s="34"/>
      <c r="M30" s="144"/>
    </row>
    <row r="31" spans="1:13" ht="14.1" customHeight="1" x14ac:dyDescent="0.3">
      <c r="A31" s="22">
        <v>15</v>
      </c>
      <c r="B31" s="43" t="s">
        <v>131</v>
      </c>
      <c r="C31" s="44"/>
      <c r="D31" s="62"/>
      <c r="E31" s="63"/>
      <c r="F31" s="63"/>
      <c r="G31" s="64"/>
      <c r="H31" s="49">
        <v>13.5</v>
      </c>
      <c r="I31" s="31">
        <f>SUM(H31)+0.6</f>
        <v>14.1</v>
      </c>
      <c r="J31" s="31">
        <f>SUM(I31)+0.6</f>
        <v>14.7</v>
      </c>
      <c r="K31" s="34"/>
      <c r="L31" s="34"/>
      <c r="M31" s="144"/>
    </row>
    <row r="32" spans="1:13" ht="14.1" customHeight="1" x14ac:dyDescent="0.3">
      <c r="A32" s="22"/>
      <c r="B32" s="23" t="s">
        <v>130</v>
      </c>
      <c r="C32" s="24"/>
      <c r="D32" s="25" t="s">
        <v>289</v>
      </c>
      <c r="E32" s="26"/>
      <c r="F32" s="26"/>
      <c r="G32" s="27"/>
      <c r="H32" s="48"/>
      <c r="I32" s="31"/>
      <c r="J32" s="31"/>
      <c r="K32" s="31"/>
      <c r="L32" s="31"/>
      <c r="M32" s="86"/>
    </row>
    <row r="33" spans="1:13" ht="14.1" customHeight="1" x14ac:dyDescent="0.3">
      <c r="A33" s="22">
        <v>16</v>
      </c>
      <c r="B33" s="43" t="s">
        <v>170</v>
      </c>
      <c r="C33" s="44"/>
      <c r="D33" s="62"/>
      <c r="E33" s="63"/>
      <c r="F33" s="63"/>
      <c r="G33" s="64"/>
      <c r="H33" s="29">
        <v>6.5</v>
      </c>
      <c r="I33" s="31">
        <f>SUM(H33)+0.7</f>
        <v>7.2</v>
      </c>
      <c r="J33" s="31">
        <f>SUM(I33)+0.7</f>
        <v>7.9</v>
      </c>
      <c r="K33" s="32"/>
      <c r="L33" s="32"/>
      <c r="M33" s="143"/>
    </row>
    <row r="34" spans="1:13" ht="14.1" customHeight="1" thickBot="1" x14ac:dyDescent="0.35">
      <c r="A34" s="56"/>
      <c r="B34" s="69" t="s">
        <v>171</v>
      </c>
      <c r="C34" s="70"/>
      <c r="D34" s="71" t="s">
        <v>309</v>
      </c>
      <c r="E34" s="72"/>
      <c r="F34" s="72"/>
      <c r="G34" s="73"/>
      <c r="H34" s="60"/>
      <c r="I34" s="61"/>
      <c r="J34" s="61"/>
      <c r="K34" s="66"/>
      <c r="L34" s="66"/>
      <c r="M34" s="145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/>
    <row r="56" spans="2:7" ht="14.1" customHeight="1" x14ac:dyDescent="0.3"/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5:J6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52BA-3245-40C9-93BA-D8EECCB90DF6}">
  <sheetPr>
    <tabColor rgb="FFFF0000"/>
  </sheetPr>
  <dimension ref="A1:M47"/>
  <sheetViews>
    <sheetView topLeftCell="A7" zoomScale="110" zoomScaleNormal="110" zoomScalePageLayoutView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277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49</v>
      </c>
      <c r="I3" s="30">
        <f>SUM(H3)+3</f>
        <v>52</v>
      </c>
      <c r="J3" s="30">
        <f>SUM(I3)+3</f>
        <v>55</v>
      </c>
      <c r="K3" s="33"/>
      <c r="L3" s="33"/>
      <c r="M3" s="35"/>
    </row>
    <row r="4" spans="1:13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42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33</v>
      </c>
      <c r="I5" s="32">
        <f>SUM(H5)+2.6</f>
        <v>35.6</v>
      </c>
      <c r="J5" s="32">
        <f>SUM(I5)+2.6</f>
        <v>38.200000000000003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38</v>
      </c>
      <c r="I7" s="32">
        <f>SUM(H7)+3</f>
        <v>41</v>
      </c>
      <c r="J7" s="32">
        <f>SUM(I7)+3</f>
        <v>44</v>
      </c>
      <c r="K7" s="31"/>
      <c r="L7" s="31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38</v>
      </c>
      <c r="I9" s="32">
        <f>SUM(H9)+3</f>
        <v>41</v>
      </c>
      <c r="J9" s="32">
        <f>SUM(I9)+3</f>
        <v>44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16.2</v>
      </c>
      <c r="I11" s="31">
        <f>SUM(H11)+1</f>
        <v>17.2</v>
      </c>
      <c r="J11" s="31">
        <f>SUM(I11)+1</f>
        <v>18.2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16.5</v>
      </c>
      <c r="I13" s="31">
        <f>SUM(H13)+0.6</f>
        <v>17.100000000000001</v>
      </c>
      <c r="J13" s="31">
        <f>SUM(I13)+0.6</f>
        <v>17.700000000000003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6.6</v>
      </c>
      <c r="I15" s="31">
        <f>SUM(H15)+0.3</f>
        <v>6.8999999999999995</v>
      </c>
      <c r="J15" s="31">
        <f>SUM(I15)+0.3</f>
        <v>7.1999999999999993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44</v>
      </c>
      <c r="I17" s="31">
        <f>SUM(H17)+1.6</f>
        <v>45.6</v>
      </c>
      <c r="J17" s="31">
        <f>SUM(I17)+1.6</f>
        <v>47.2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</v>
      </c>
      <c r="I19" s="31">
        <f>SUM(H19)+2.7</f>
        <v>56.7</v>
      </c>
      <c r="J19" s="31">
        <f>SUM(I19)+2.7</f>
        <v>59.400000000000006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27.4</v>
      </c>
      <c r="I21" s="31">
        <f>SUM(H21)+1.7</f>
        <v>29.099999999999998</v>
      </c>
      <c r="J21" s="31">
        <f>SUM(I21)+1.7</f>
        <v>30.799999999999997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18</v>
      </c>
      <c r="I23" s="31">
        <f>SUM(H23)+0.8</f>
        <v>18.8</v>
      </c>
      <c r="J23" s="31">
        <f>SUM(I23)+0.8</f>
        <v>19.600000000000001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285</v>
      </c>
      <c r="C25" s="44"/>
      <c r="D25" s="53"/>
      <c r="E25" s="53"/>
      <c r="F25" s="53"/>
      <c r="G25" s="53"/>
      <c r="H25" s="29">
        <v>9</v>
      </c>
      <c r="I25" s="31">
        <f>SUM(H25)+0.2</f>
        <v>9.1999999999999993</v>
      </c>
      <c r="J25" s="31">
        <f>SUM(I25)+0.2</f>
        <v>9.3999999999999986</v>
      </c>
      <c r="K25" s="31"/>
      <c r="L25" s="31"/>
      <c r="M25" s="41"/>
    </row>
    <row r="26" spans="1:13" s="2" customFormat="1" ht="14.1" customHeight="1" x14ac:dyDescent="0.3">
      <c r="A26" s="22"/>
      <c r="B26" s="37" t="s">
        <v>286</v>
      </c>
      <c r="C26" s="37"/>
      <c r="D26" s="38"/>
      <c r="E26" s="39"/>
      <c r="F26" s="39"/>
      <c r="G26" s="42"/>
      <c r="H26" s="29"/>
      <c r="I26" s="31"/>
      <c r="J26" s="31"/>
      <c r="K26" s="31"/>
      <c r="L26" s="31"/>
      <c r="M26" s="41"/>
    </row>
    <row r="27" spans="1:13" s="2" customFormat="1" ht="14.1" customHeight="1" x14ac:dyDescent="0.3">
      <c r="A27" s="22">
        <v>13</v>
      </c>
      <c r="B27" s="43"/>
      <c r="C27" s="44"/>
      <c r="D27" s="62"/>
      <c r="E27" s="63"/>
      <c r="F27" s="63"/>
      <c r="G27" s="64"/>
      <c r="H27" s="29"/>
      <c r="I27" s="31"/>
      <c r="J27" s="31"/>
      <c r="K27" s="32"/>
      <c r="L27" s="32"/>
      <c r="M27" s="54"/>
    </row>
    <row r="28" spans="1:13" s="2" customFormat="1" ht="14.1" customHeight="1" thickBot="1" x14ac:dyDescent="0.35">
      <c r="A28" s="22"/>
      <c r="B28" s="23"/>
      <c r="C28" s="24"/>
      <c r="D28" s="25"/>
      <c r="E28" s="26"/>
      <c r="F28" s="26"/>
      <c r="G28" s="27"/>
      <c r="H28" s="48"/>
      <c r="I28" s="32"/>
      <c r="J28" s="32"/>
      <c r="K28" s="65"/>
      <c r="L28" s="65"/>
      <c r="M28" s="67"/>
    </row>
    <row r="29" spans="1:13" s="2" customFormat="1" ht="14.1" customHeight="1" thickTop="1" x14ac:dyDescent="0.3">
      <c r="A29" s="128">
        <v>14</v>
      </c>
      <c r="B29" s="129" t="s">
        <v>281</v>
      </c>
      <c r="C29" s="130"/>
      <c r="D29" s="131"/>
      <c r="E29" s="132"/>
      <c r="F29" s="132"/>
      <c r="G29" s="133"/>
      <c r="H29" s="134">
        <v>28.4</v>
      </c>
      <c r="I29" s="125">
        <f>SUM(H29)+2.1</f>
        <v>30.5</v>
      </c>
      <c r="J29" s="125">
        <f>SUM(I29)+2.1</f>
        <v>32.6</v>
      </c>
      <c r="K29" s="126"/>
      <c r="L29" s="126"/>
      <c r="M29" s="127"/>
    </row>
    <row r="30" spans="1:13" s="2" customFormat="1" ht="14.1" customHeight="1" x14ac:dyDescent="0.3">
      <c r="A30" s="22"/>
      <c r="B30" s="50" t="s">
        <v>278</v>
      </c>
      <c r="C30" s="51"/>
      <c r="D30" s="38" t="s">
        <v>181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55">
        <v>15</v>
      </c>
      <c r="B31" s="23" t="s">
        <v>280</v>
      </c>
      <c r="C31" s="24"/>
      <c r="D31" s="57"/>
      <c r="E31" s="58"/>
      <c r="F31" s="58"/>
      <c r="G31" s="59"/>
      <c r="H31" s="49">
        <v>33.5</v>
      </c>
      <c r="I31" s="34">
        <f>SUM(H31)+2.4</f>
        <v>35.9</v>
      </c>
      <c r="J31" s="34">
        <f>SUM(I31)+2.4</f>
        <v>38.299999999999997</v>
      </c>
      <c r="K31" s="65"/>
      <c r="L31" s="65"/>
      <c r="M31" s="67"/>
    </row>
    <row r="32" spans="1:13" s="2" customFormat="1" ht="14.1" customHeight="1" x14ac:dyDescent="0.3">
      <c r="A32" s="22"/>
      <c r="B32" s="50" t="s">
        <v>279</v>
      </c>
      <c r="C32" s="51"/>
      <c r="D32" s="38" t="s">
        <v>167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22">
        <v>16</v>
      </c>
      <c r="B33" s="43" t="s">
        <v>282</v>
      </c>
      <c r="C33" s="44"/>
      <c r="D33" s="53"/>
      <c r="E33" s="53"/>
      <c r="F33" s="53"/>
      <c r="G33" s="53"/>
      <c r="H33" s="29">
        <v>20.8</v>
      </c>
      <c r="I33" s="31">
        <f>SUM(H33)+1.1</f>
        <v>21.900000000000002</v>
      </c>
      <c r="J33" s="31">
        <f>SUM(I33)+1.1</f>
        <v>23.000000000000004</v>
      </c>
      <c r="K33" s="32"/>
      <c r="L33" s="32"/>
      <c r="M33" s="54"/>
    </row>
    <row r="34" spans="1:13" s="2" customFormat="1" ht="14.1" customHeight="1" x14ac:dyDescent="0.3">
      <c r="A34" s="22"/>
      <c r="B34" s="50" t="s">
        <v>283</v>
      </c>
      <c r="C34" s="51"/>
      <c r="D34" s="38" t="s">
        <v>284</v>
      </c>
      <c r="E34" s="39"/>
      <c r="F34" s="39"/>
      <c r="G34" s="42"/>
      <c r="H34" s="29"/>
      <c r="I34" s="31"/>
      <c r="J34" s="31"/>
      <c r="K34" s="34"/>
      <c r="L34" s="34"/>
      <c r="M34" s="36"/>
    </row>
    <row r="35" spans="1:13" s="2" customFormat="1" ht="14.1" customHeight="1" x14ac:dyDescent="0.3">
      <c r="A35" s="55">
        <v>17</v>
      </c>
      <c r="B35" s="23" t="s">
        <v>230</v>
      </c>
      <c r="C35" s="24"/>
      <c r="D35" s="124" t="s">
        <v>11</v>
      </c>
      <c r="E35" s="124"/>
      <c r="F35" s="124"/>
      <c r="G35" s="124"/>
      <c r="H35" s="49">
        <v>38</v>
      </c>
      <c r="I35" s="34">
        <f>SUM(H35)+3</f>
        <v>41</v>
      </c>
      <c r="J35" s="34">
        <f>SUM(I35)+3</f>
        <v>44</v>
      </c>
      <c r="K35" s="65"/>
      <c r="L35" s="65"/>
      <c r="M35" s="67"/>
    </row>
    <row r="36" spans="1:13" s="2" customFormat="1" ht="14.1" customHeight="1" x14ac:dyDescent="0.3">
      <c r="A36" s="22"/>
      <c r="B36" s="23" t="s">
        <v>231</v>
      </c>
      <c r="C36" s="24"/>
      <c r="D36" s="38" t="s">
        <v>26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ht="14.1" customHeight="1" x14ac:dyDescent="0.3">
      <c r="A37" s="77">
        <v>18</v>
      </c>
      <c r="B37" s="43" t="s">
        <v>131</v>
      </c>
      <c r="C37" s="44"/>
      <c r="D37" s="62"/>
      <c r="E37" s="63"/>
      <c r="F37" s="63"/>
      <c r="G37" s="64"/>
      <c r="H37" s="48">
        <v>6.5</v>
      </c>
      <c r="I37" s="32">
        <f>SUM(H37)+0.6</f>
        <v>7.1</v>
      </c>
      <c r="J37" s="32">
        <f>SUM(I37)+0.6</f>
        <v>7.6999999999999993</v>
      </c>
      <c r="K37" s="32"/>
      <c r="L37" s="32"/>
      <c r="M37" s="54"/>
    </row>
    <row r="38" spans="1:13" ht="14.1" customHeight="1" x14ac:dyDescent="0.3">
      <c r="A38" s="55"/>
      <c r="B38" s="50" t="s">
        <v>130</v>
      </c>
      <c r="C38" s="51"/>
      <c r="D38" s="38"/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22">
        <v>19</v>
      </c>
      <c r="B39" s="43" t="s">
        <v>170</v>
      </c>
      <c r="C39" s="44"/>
      <c r="D39" s="53"/>
      <c r="E39" s="53"/>
      <c r="F39" s="53"/>
      <c r="G39" s="53"/>
      <c r="H39" s="29">
        <v>4.5</v>
      </c>
      <c r="I39" s="31">
        <f>SUM(H39)+0.4</f>
        <v>4.9000000000000004</v>
      </c>
      <c r="J39" s="31">
        <f>SUM(I39)+0.4</f>
        <v>5.3000000000000007</v>
      </c>
      <c r="K39" s="31"/>
      <c r="L39" s="31"/>
      <c r="M39" s="86"/>
    </row>
    <row r="40" spans="1:13" ht="14.1" customHeight="1" thickBot="1" x14ac:dyDescent="0.35">
      <c r="A40" s="56"/>
      <c r="B40" s="69" t="s">
        <v>171</v>
      </c>
      <c r="C40" s="70"/>
      <c r="D40" s="71"/>
      <c r="E40" s="72"/>
      <c r="F40" s="72"/>
      <c r="G40" s="72"/>
      <c r="H40" s="60"/>
      <c r="I40" s="61"/>
      <c r="J40" s="61"/>
      <c r="K40" s="61"/>
      <c r="L40" s="61"/>
      <c r="M40" s="87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/>
    <row r="46" spans="1:13" ht="14.1" customHeight="1" x14ac:dyDescent="0.3"/>
    <row r="47" spans="1:13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D37:G37"/>
    <mergeCell ref="H37:H38"/>
    <mergeCell ref="I37:I38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B40:C40"/>
    <mergeCell ref="D40:G40"/>
    <mergeCell ref="A33:A34"/>
    <mergeCell ref="B33:C33"/>
    <mergeCell ref="D33:G33"/>
    <mergeCell ref="H33:H34"/>
    <mergeCell ref="I33:I34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A37:A38"/>
    <mergeCell ref="B37:C37"/>
    <mergeCell ref="A25:A26"/>
    <mergeCell ref="B25:C25"/>
    <mergeCell ref="D25:G25"/>
    <mergeCell ref="H25:H26"/>
    <mergeCell ref="I25:I26"/>
    <mergeCell ref="B34:C34"/>
    <mergeCell ref="D34:G34"/>
    <mergeCell ref="B32:C32"/>
    <mergeCell ref="D32:G32"/>
    <mergeCell ref="B30:C30"/>
    <mergeCell ref="D30:G30"/>
    <mergeCell ref="K35:K36"/>
    <mergeCell ref="L35:L36"/>
    <mergeCell ref="M35:M36"/>
    <mergeCell ref="B36:C36"/>
    <mergeCell ref="D36:G36"/>
    <mergeCell ref="K25:K26"/>
    <mergeCell ref="L25:L26"/>
    <mergeCell ref="M25:M26"/>
    <mergeCell ref="B26:C26"/>
    <mergeCell ref="D26:G26"/>
    <mergeCell ref="J25:J26"/>
    <mergeCell ref="J33:J34"/>
    <mergeCell ref="K33:K34"/>
    <mergeCell ref="L33:L34"/>
    <mergeCell ref="M33:M34"/>
    <mergeCell ref="K31:K32"/>
    <mergeCell ref="L31:L32"/>
    <mergeCell ref="M31:M32"/>
    <mergeCell ref="J29:J30"/>
    <mergeCell ref="K29:K30"/>
    <mergeCell ref="L29:L30"/>
    <mergeCell ref="M29:M30"/>
    <mergeCell ref="K27:K28"/>
    <mergeCell ref="L27:L28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B2E9-6DC0-4394-837A-E45B184A4CF3}">
  <sheetPr>
    <tabColor rgb="FFFF0000"/>
  </sheetPr>
  <dimension ref="A1:P47"/>
  <sheetViews>
    <sheetView zoomScale="110" zoomScaleNormal="110" zoomScalePageLayoutView="110" workbookViewId="0">
      <selection activeCell="B29" sqref="B29:G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287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51</v>
      </c>
      <c r="I3" s="30">
        <f>SUM(H3)+3</f>
        <v>54</v>
      </c>
      <c r="J3" s="30">
        <f>SUM(I3)+3</f>
        <v>57</v>
      </c>
      <c r="K3" s="33"/>
      <c r="L3" s="33"/>
      <c r="M3" s="35"/>
    </row>
    <row r="4" spans="1:13" s="2" customFormat="1" ht="14.1" customHeight="1" x14ac:dyDescent="0.3">
      <c r="A4" s="77"/>
      <c r="B4" s="78" t="s">
        <v>62</v>
      </c>
      <c r="C4" s="78"/>
      <c r="D4" s="25" t="s">
        <v>61</v>
      </c>
      <c r="E4" s="26"/>
      <c r="F4" s="26"/>
      <c r="G4" s="27"/>
      <c r="H4" s="48"/>
      <c r="I4" s="32"/>
      <c r="J4" s="32"/>
      <c r="K4" s="65"/>
      <c r="L4" s="65"/>
      <c r="M4" s="67"/>
    </row>
    <row r="5" spans="1:13" s="2" customFormat="1" ht="14.1" customHeight="1" x14ac:dyDescent="0.3">
      <c r="A5" s="77">
        <v>2</v>
      </c>
      <c r="B5" s="43" t="s">
        <v>228</v>
      </c>
      <c r="C5" s="44"/>
      <c r="D5" s="53"/>
      <c r="E5" s="53"/>
      <c r="F5" s="53"/>
      <c r="G5" s="45"/>
      <c r="H5" s="48">
        <v>47</v>
      </c>
      <c r="I5" s="32">
        <f>SUM(H5)+3</f>
        <v>50</v>
      </c>
      <c r="J5" s="32">
        <f>SUM(I5)+3</f>
        <v>53</v>
      </c>
      <c r="K5" s="32"/>
      <c r="L5" s="32"/>
      <c r="M5" s="54"/>
    </row>
    <row r="6" spans="1:13" s="2" customFormat="1" ht="14.1" customHeight="1" x14ac:dyDescent="0.3">
      <c r="A6" s="55"/>
      <c r="B6" s="50" t="s">
        <v>229</v>
      </c>
      <c r="C6" s="51"/>
      <c r="D6" s="38" t="s">
        <v>288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77">
        <v>3</v>
      </c>
      <c r="B7" s="43" t="s">
        <v>21</v>
      </c>
      <c r="C7" s="44"/>
      <c r="D7" s="45" t="s">
        <v>22</v>
      </c>
      <c r="E7" s="46"/>
      <c r="F7" s="46"/>
      <c r="G7" s="47"/>
      <c r="H7" s="48">
        <v>35</v>
      </c>
      <c r="I7" s="32">
        <f>SUM(H7)+2.6</f>
        <v>37.6</v>
      </c>
      <c r="J7" s="32">
        <f>SUM(I7)+2.6</f>
        <v>40.200000000000003</v>
      </c>
      <c r="K7" s="32"/>
      <c r="L7" s="32"/>
      <c r="M7" s="54"/>
    </row>
    <row r="8" spans="1:13" s="2" customFormat="1" ht="14.1" customHeight="1" x14ac:dyDescent="0.3">
      <c r="A8" s="55"/>
      <c r="B8" s="50" t="s">
        <v>12</v>
      </c>
      <c r="C8" s="51"/>
      <c r="D8" s="38" t="s">
        <v>25</v>
      </c>
      <c r="E8" s="39"/>
      <c r="F8" s="39"/>
      <c r="G8" s="42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77">
        <v>4</v>
      </c>
      <c r="B9" s="52" t="s">
        <v>20</v>
      </c>
      <c r="C9" s="52"/>
      <c r="D9" s="53" t="s">
        <v>11</v>
      </c>
      <c r="E9" s="53"/>
      <c r="F9" s="53"/>
      <c r="G9" s="53"/>
      <c r="H9" s="48">
        <v>41.5</v>
      </c>
      <c r="I9" s="32">
        <f>SUM(H9)+3</f>
        <v>44.5</v>
      </c>
      <c r="J9" s="32">
        <f>SUM(I9)+3</f>
        <v>47.5</v>
      </c>
      <c r="K9" s="31"/>
      <c r="L9" s="31"/>
      <c r="M9" s="41"/>
    </row>
    <row r="10" spans="1:13" s="2" customFormat="1" ht="14.1" customHeight="1" x14ac:dyDescent="0.3">
      <c r="A10" s="55"/>
      <c r="B10" s="37" t="s">
        <v>23</v>
      </c>
      <c r="C10" s="37"/>
      <c r="D10" s="38" t="s">
        <v>26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77">
        <v>5</v>
      </c>
      <c r="B11" s="52" t="s">
        <v>24</v>
      </c>
      <c r="C11" s="52"/>
      <c r="D11" s="53" t="s">
        <v>9</v>
      </c>
      <c r="E11" s="53"/>
      <c r="F11" s="53"/>
      <c r="G11" s="53"/>
      <c r="H11" s="48">
        <v>41.5</v>
      </c>
      <c r="I11" s="32">
        <f>SUM(H11)+3</f>
        <v>44.5</v>
      </c>
      <c r="J11" s="32">
        <f>SUM(I11)+3</f>
        <v>47.5</v>
      </c>
      <c r="K11" s="31"/>
      <c r="L11" s="31"/>
      <c r="M11" s="41"/>
    </row>
    <row r="12" spans="1:13" s="2" customFormat="1" ht="14.1" customHeight="1" x14ac:dyDescent="0.3">
      <c r="A12" s="55"/>
      <c r="B12" s="37" t="s">
        <v>13</v>
      </c>
      <c r="C12" s="37"/>
      <c r="D12" s="38" t="s">
        <v>27</v>
      </c>
      <c r="E12" s="39"/>
      <c r="F12" s="39"/>
      <c r="G12" s="42"/>
      <c r="H12" s="49"/>
      <c r="I12" s="34"/>
      <c r="J12" s="34"/>
      <c r="K12" s="31"/>
      <c r="L12" s="31"/>
      <c r="M12" s="41"/>
    </row>
    <row r="13" spans="1:13" s="2" customFormat="1" ht="14.1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16.8</v>
      </c>
      <c r="I13" s="31">
        <f>SUM(H13)+1</f>
        <v>17.8</v>
      </c>
      <c r="J13" s="31">
        <f>SUM(I13)+1</f>
        <v>18.8</v>
      </c>
      <c r="K13" s="31"/>
      <c r="L13" s="31"/>
      <c r="M13" s="41"/>
    </row>
    <row r="14" spans="1:13" s="2" customFormat="1" ht="14.1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16</v>
      </c>
      <c r="I15" s="31">
        <f>SUM(H15)+0.6</f>
        <v>16.600000000000001</v>
      </c>
      <c r="J15" s="31">
        <f>SUM(I15)+0.6</f>
        <v>17.200000000000003</v>
      </c>
      <c r="K15" s="31"/>
      <c r="L15" s="31"/>
      <c r="M15" s="41"/>
    </row>
    <row r="16" spans="1:13" s="2" customFormat="1" ht="14.1" customHeight="1" x14ac:dyDescent="0.3">
      <c r="A16" s="55"/>
      <c r="B16" s="37" t="s">
        <v>272</v>
      </c>
      <c r="C16" s="37"/>
      <c r="D16" s="38" t="s">
        <v>127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6" s="2" customFormat="1" ht="14.1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7.8</v>
      </c>
      <c r="I17" s="31">
        <f>SUM(H17)+0.3</f>
        <v>8.1</v>
      </c>
      <c r="J17" s="31">
        <f>SUM(I17)+0.3</f>
        <v>8.4</v>
      </c>
      <c r="K17" s="31"/>
      <c r="L17" s="31"/>
      <c r="M17" s="41"/>
    </row>
    <row r="18" spans="1:16" s="2" customFormat="1" ht="14.1" customHeight="1" x14ac:dyDescent="0.3">
      <c r="A18" s="55"/>
      <c r="B18" s="37" t="s">
        <v>16</v>
      </c>
      <c r="C18" s="37"/>
      <c r="D18" s="38" t="s">
        <v>126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6" s="2" customFormat="1" ht="14.1" customHeight="1" x14ac:dyDescent="0.3">
      <c r="A19" s="77">
        <v>9</v>
      </c>
      <c r="B19" s="43" t="s">
        <v>56</v>
      </c>
      <c r="C19" s="44"/>
      <c r="D19" s="45" t="s">
        <v>58</v>
      </c>
      <c r="E19" s="46"/>
      <c r="F19" s="46"/>
      <c r="G19" s="47"/>
      <c r="H19" s="29">
        <v>47</v>
      </c>
      <c r="I19" s="31">
        <f>SUM(H19)+1.6</f>
        <v>48.6</v>
      </c>
      <c r="J19" s="31">
        <f>SUM(I19)+1.6</f>
        <v>50.2</v>
      </c>
      <c r="K19" s="31"/>
      <c r="L19" s="31"/>
      <c r="M19" s="41"/>
    </row>
    <row r="20" spans="1:16" s="2" customFormat="1" ht="14.1" customHeight="1" x14ac:dyDescent="0.3">
      <c r="A20" s="55"/>
      <c r="B20" s="37" t="s">
        <v>291</v>
      </c>
      <c r="C20" s="37"/>
      <c r="D20" s="38" t="s">
        <v>125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6" s="2" customFormat="1" ht="14.1" customHeight="1" x14ac:dyDescent="0.3">
      <c r="A21" s="77">
        <v>10</v>
      </c>
      <c r="B21" s="52" t="s">
        <v>5</v>
      </c>
      <c r="C21" s="52"/>
      <c r="D21" s="53" t="s">
        <v>6</v>
      </c>
      <c r="E21" s="53"/>
      <c r="F21" s="53"/>
      <c r="G21" s="53"/>
      <c r="H21" s="29">
        <v>53.5</v>
      </c>
      <c r="I21" s="31">
        <f>SUM(H21)+2.7</f>
        <v>56.2</v>
      </c>
      <c r="J21" s="31">
        <f>SUM(I21)+2.7</f>
        <v>58.900000000000006</v>
      </c>
      <c r="K21" s="31"/>
      <c r="L21" s="31"/>
      <c r="M21" s="41"/>
    </row>
    <row r="22" spans="1:16" s="2" customFormat="1" ht="14.1" customHeight="1" x14ac:dyDescent="0.3">
      <c r="A22" s="55"/>
      <c r="B22" s="37" t="s">
        <v>17</v>
      </c>
      <c r="C22" s="37"/>
      <c r="D22" s="38" t="s">
        <v>29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6" s="2" customFormat="1" ht="14.1" customHeight="1" x14ac:dyDescent="0.3">
      <c r="A23" s="77">
        <v>11</v>
      </c>
      <c r="B23" s="52" t="s">
        <v>7</v>
      </c>
      <c r="C23" s="52"/>
      <c r="D23" s="45" t="s">
        <v>8</v>
      </c>
      <c r="E23" s="46"/>
      <c r="F23" s="46"/>
      <c r="G23" s="47"/>
      <c r="H23" s="29">
        <v>29</v>
      </c>
      <c r="I23" s="31">
        <f>SUM(H23)+1.7</f>
        <v>30.7</v>
      </c>
      <c r="J23" s="31">
        <f>SUM(I23)+1.7</f>
        <v>32.4</v>
      </c>
      <c r="K23" s="31"/>
      <c r="L23" s="31"/>
      <c r="M23" s="41"/>
      <c r="P23" s="2" t="s">
        <v>294</v>
      </c>
    </row>
    <row r="24" spans="1:16" s="2" customFormat="1" ht="14.1" customHeight="1" x14ac:dyDescent="0.3">
      <c r="A24" s="55"/>
      <c r="B24" s="37" t="s">
        <v>18</v>
      </c>
      <c r="C24" s="37"/>
      <c r="D24" s="38" t="s">
        <v>36</v>
      </c>
      <c r="E24" s="39"/>
      <c r="F24" s="39"/>
      <c r="G24" s="42"/>
      <c r="H24" s="29"/>
      <c r="I24" s="31"/>
      <c r="J24" s="31"/>
      <c r="K24" s="31"/>
      <c r="L24" s="31"/>
      <c r="M24" s="41"/>
      <c r="P24" s="2">
        <f>SUM(H27+H27+I27+I27+J27+J27)</f>
        <v>51</v>
      </c>
    </row>
    <row r="25" spans="1:16" s="2" customFormat="1" ht="14.1" customHeight="1" x14ac:dyDescent="0.3">
      <c r="A25" s="77">
        <v>12</v>
      </c>
      <c r="B25" s="43" t="s">
        <v>59</v>
      </c>
      <c r="C25" s="44"/>
      <c r="D25" s="53" t="s">
        <v>37</v>
      </c>
      <c r="E25" s="53"/>
      <c r="F25" s="53"/>
      <c r="G25" s="53"/>
      <c r="H25" s="29">
        <v>21</v>
      </c>
      <c r="I25" s="31">
        <f>SUM(H25)+0.8</f>
        <v>21.8</v>
      </c>
      <c r="J25" s="31">
        <f>SUM(I25)+0.8</f>
        <v>22.6</v>
      </c>
      <c r="K25" s="31"/>
      <c r="L25" s="31"/>
      <c r="M25" s="41"/>
      <c r="P25" s="2">
        <f>SUM(P24/91.44/3*1.08)</f>
        <v>0.20078740157480315</v>
      </c>
    </row>
    <row r="26" spans="1:16" s="2" customFormat="1" ht="14.1" customHeight="1" x14ac:dyDescent="0.3">
      <c r="A26" s="55"/>
      <c r="B26" s="37" t="s">
        <v>19</v>
      </c>
      <c r="C26" s="37"/>
      <c r="D26" s="38" t="s">
        <v>38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6" s="2" customFormat="1" ht="14.1" customHeight="1" x14ac:dyDescent="0.3">
      <c r="A27" s="77">
        <v>13</v>
      </c>
      <c r="B27" s="43" t="s">
        <v>292</v>
      </c>
      <c r="C27" s="44"/>
      <c r="D27" s="62"/>
      <c r="E27" s="63"/>
      <c r="F27" s="63"/>
      <c r="G27" s="64"/>
      <c r="H27" s="29">
        <v>8</v>
      </c>
      <c r="I27" s="31">
        <f>SUM(H27)+0.5</f>
        <v>8.5</v>
      </c>
      <c r="J27" s="31">
        <f>SUM(I27)+0.5</f>
        <v>9</v>
      </c>
      <c r="K27" s="32"/>
      <c r="L27" s="32"/>
      <c r="M27" s="54"/>
    </row>
    <row r="28" spans="1:16" s="2" customFormat="1" ht="14.1" customHeight="1" x14ac:dyDescent="0.3">
      <c r="A28" s="55"/>
      <c r="B28" s="23" t="s">
        <v>293</v>
      </c>
      <c r="C28" s="24"/>
      <c r="D28" s="25"/>
      <c r="E28" s="26"/>
      <c r="F28" s="26"/>
      <c r="G28" s="27"/>
      <c r="H28" s="48"/>
      <c r="I28" s="32"/>
      <c r="J28" s="32"/>
      <c r="K28" s="65"/>
      <c r="L28" s="65"/>
      <c r="M28" s="67"/>
    </row>
    <row r="29" spans="1:16" s="2" customFormat="1" ht="14.1" customHeight="1" x14ac:dyDescent="0.3">
      <c r="A29" s="77">
        <v>14</v>
      </c>
      <c r="B29" s="43" t="s">
        <v>131</v>
      </c>
      <c r="C29" s="44"/>
      <c r="D29" s="62"/>
      <c r="E29" s="63"/>
      <c r="F29" s="63"/>
      <c r="G29" s="64"/>
      <c r="H29" s="29">
        <v>15</v>
      </c>
      <c r="I29" s="31">
        <f>SUM(H29)+0.7</f>
        <v>15.7</v>
      </c>
      <c r="J29" s="31">
        <f>SUM(I29)+0.7</f>
        <v>16.399999999999999</v>
      </c>
      <c r="K29" s="32"/>
      <c r="L29" s="32"/>
      <c r="M29" s="54"/>
    </row>
    <row r="30" spans="1:16" s="2" customFormat="1" ht="14.1" customHeight="1" x14ac:dyDescent="0.3">
      <c r="A30" s="55"/>
      <c r="B30" s="23" t="s">
        <v>130</v>
      </c>
      <c r="C30" s="24"/>
      <c r="D30" s="25" t="s">
        <v>289</v>
      </c>
      <c r="E30" s="26"/>
      <c r="F30" s="26"/>
      <c r="G30" s="27"/>
      <c r="H30" s="48"/>
      <c r="I30" s="32"/>
      <c r="J30" s="32"/>
      <c r="K30" s="34"/>
      <c r="L30" s="34"/>
      <c r="M30" s="36"/>
    </row>
    <row r="31" spans="1:16" s="2" customFormat="1" ht="14.1" customHeight="1" x14ac:dyDescent="0.3">
      <c r="A31" s="79">
        <v>15</v>
      </c>
      <c r="B31" s="43" t="s">
        <v>170</v>
      </c>
      <c r="C31" s="44"/>
      <c r="D31" s="62"/>
      <c r="E31" s="63"/>
      <c r="F31" s="63"/>
      <c r="G31" s="64"/>
      <c r="H31" s="29">
        <v>6.4</v>
      </c>
      <c r="I31" s="31">
        <f>SUM(H31)+0.5</f>
        <v>6.9</v>
      </c>
      <c r="J31" s="31">
        <f>SUM(I31)+0.5</f>
        <v>7.4</v>
      </c>
      <c r="K31" s="65"/>
      <c r="L31" s="65"/>
      <c r="M31" s="67"/>
    </row>
    <row r="32" spans="1:16" s="2" customFormat="1" ht="14.1" customHeight="1" x14ac:dyDescent="0.3">
      <c r="A32" s="55"/>
      <c r="B32" s="50" t="s">
        <v>171</v>
      </c>
      <c r="C32" s="51"/>
      <c r="D32" s="38" t="s">
        <v>290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77">
        <v>16</v>
      </c>
      <c r="B33" s="43"/>
      <c r="C33" s="44"/>
      <c r="D33" s="62"/>
      <c r="E33" s="63"/>
      <c r="F33" s="63"/>
      <c r="G33" s="64"/>
      <c r="H33" s="29"/>
      <c r="I33" s="31"/>
      <c r="J33" s="31"/>
      <c r="K33" s="32"/>
      <c r="L33" s="32"/>
      <c r="M33" s="54"/>
    </row>
    <row r="34" spans="1:13" s="2" customFormat="1" ht="14.1" customHeight="1" x14ac:dyDescent="0.3">
      <c r="A34" s="55"/>
      <c r="B34" s="23"/>
      <c r="C34" s="24"/>
      <c r="D34" s="25"/>
      <c r="E34" s="26"/>
      <c r="F34" s="26"/>
      <c r="G34" s="27"/>
      <c r="H34" s="48"/>
      <c r="I34" s="32"/>
      <c r="J34" s="32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53"/>
      <c r="E35" s="53"/>
      <c r="F35" s="53"/>
      <c r="G35" s="53"/>
      <c r="H35" s="29"/>
      <c r="I35" s="31"/>
      <c r="J35" s="31"/>
      <c r="K35" s="31"/>
      <c r="L35" s="31"/>
      <c r="M35" s="86"/>
    </row>
    <row r="36" spans="1:13" s="2" customFormat="1" ht="14.1" customHeight="1" thickBot="1" x14ac:dyDescent="0.35">
      <c r="A36" s="56"/>
      <c r="B36" s="69"/>
      <c r="C36" s="70"/>
      <c r="D36" s="71"/>
      <c r="E36" s="72"/>
      <c r="F36" s="72"/>
      <c r="G36" s="72"/>
      <c r="H36" s="60"/>
      <c r="I36" s="61"/>
      <c r="J36" s="61"/>
      <c r="K36" s="61"/>
      <c r="L36" s="61"/>
      <c r="M36" s="87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19</vt:i4>
      </vt:variant>
      <vt:variant>
        <vt:lpstr>이름 지정된 범위</vt:lpstr>
      </vt:variant>
      <vt:variant>
        <vt:i4>19</vt:i4>
      </vt:variant>
    </vt:vector>
  </HeadingPairs>
  <TitlesOfParts>
    <vt:vector size="38" baseType="lpstr">
      <vt:lpstr>OU01</vt:lpstr>
      <vt:lpstr>OU02</vt:lpstr>
      <vt:lpstr>OU03(니트)</vt:lpstr>
      <vt:lpstr>OU04</vt:lpstr>
      <vt:lpstr>OU05</vt:lpstr>
      <vt:lpstr>OU06(니트)</vt:lpstr>
      <vt:lpstr>PT01</vt:lpstr>
      <vt:lpstr>PT02</vt:lpstr>
      <vt:lpstr>PT03</vt:lpstr>
      <vt:lpstr>PT04</vt:lpstr>
      <vt:lpstr>PT05(완사입)</vt:lpstr>
      <vt:lpstr>SK01</vt:lpstr>
      <vt:lpstr>TO01</vt:lpstr>
      <vt:lpstr>TO02</vt:lpstr>
      <vt:lpstr>TO03</vt:lpstr>
      <vt:lpstr>TO04</vt:lpstr>
      <vt:lpstr>TO05</vt:lpstr>
      <vt:lpstr>TO06</vt:lpstr>
      <vt:lpstr>TO07</vt:lpstr>
      <vt:lpstr>'OU01'!Print_Area</vt:lpstr>
      <vt:lpstr>'OU02'!Print_Area</vt:lpstr>
      <vt:lpstr>'OU03(니트)'!Print_Area</vt:lpstr>
      <vt:lpstr>'OU04'!Print_Area</vt:lpstr>
      <vt:lpstr>'OU05'!Print_Area</vt:lpstr>
      <vt:lpstr>'OU06(니트)'!Print_Area</vt:lpstr>
      <vt:lpstr>'PT01'!Print_Area</vt:lpstr>
      <vt:lpstr>'PT02'!Print_Area</vt:lpstr>
      <vt:lpstr>'PT03'!Print_Area</vt:lpstr>
      <vt:lpstr>'PT04'!Print_Area</vt:lpstr>
      <vt:lpstr>'PT05(완사입)'!Print_Area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2026-06-08T04:48:43Z</cp:lastPrinted>
  <dcterms:created xsi:type="dcterms:W3CDTF">2018-05-14T06:17:18Z</dcterms:created>
  <dcterms:modified xsi:type="dcterms:W3CDTF">2026-06-10T09:26:42Z</dcterms:modified>
</cp:coreProperties>
</file>