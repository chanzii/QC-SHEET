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중국풀패턴\작지싸이즈스펙\2026\"/>
    </mc:Choice>
  </mc:AlternateContent>
  <xr:revisionPtr revIDLastSave="0" documentId="13_ncr:1_{D00A1D43-319F-4C86-836C-AAE30C643B56}" xr6:coauthVersionLast="47" xr6:coauthVersionMax="47" xr10:uidLastSave="{00000000-0000-0000-0000-000000000000}"/>
  <bookViews>
    <workbookView xWindow="36750" yWindow="1020" windowWidth="19635" windowHeight="14145" tabRatio="776" firstSheet="4" activeTab="13" xr2:uid="{3359282B-7569-4BC7-A037-9A98D8DF6EA5}"/>
  </bookViews>
  <sheets>
    <sheet name="OU01" sheetId="1035" r:id="rId1"/>
    <sheet name="OU02" sheetId="1036" r:id="rId2"/>
    <sheet name="OU03(니트)" sheetId="1029" r:id="rId3"/>
    <sheet name="OU04" sheetId="1031" r:id="rId4"/>
    <sheet name="OU05" sheetId="1032" r:id="rId5"/>
    <sheet name="OU06(니트)" sheetId="1045" r:id="rId6"/>
    <sheet name="PT01" sheetId="1030" r:id="rId7"/>
    <sheet name="PT02" sheetId="1034" r:id="rId8"/>
    <sheet name="PT03" sheetId="1041" r:id="rId9"/>
    <sheet name="PT04" sheetId="1047" r:id="rId10"/>
    <sheet name="PT05(완사입)" sheetId="1046" r:id="rId11"/>
    <sheet name="PT06(완사입)" sheetId="1049" r:id="rId12"/>
    <sheet name="SK01" sheetId="1037" r:id="rId13"/>
    <sheet name="TO01" sheetId="1033" r:id="rId14"/>
    <sheet name="TO02" sheetId="1038" r:id="rId15"/>
    <sheet name="TO03" sheetId="1042" r:id="rId16"/>
    <sheet name="TO04" sheetId="1040" r:id="rId17"/>
    <sheet name="TO05" sheetId="1048" r:id="rId18"/>
    <sheet name="TO06" sheetId="1043" r:id="rId19"/>
    <sheet name="TO07" sheetId="1044" r:id="rId20"/>
  </sheets>
  <definedNames>
    <definedName name="_xlnm.Print_Area" localSheetId="0">'OU01'!$A$1:$M$40</definedName>
    <definedName name="_xlnm.Print_Area" localSheetId="1">'OU02'!$A$1:$M$40</definedName>
    <definedName name="_xlnm.Print_Area" localSheetId="2">'OU03(니트)'!$A$1:$M$40</definedName>
    <definedName name="_xlnm.Print_Area" localSheetId="3">'OU04'!$A$1:$M$38</definedName>
    <definedName name="_xlnm.Print_Area" localSheetId="4">'OU05'!$A$1:$M$44</definedName>
    <definedName name="_xlnm.Print_Area" localSheetId="5">'OU06(니트)'!$A$1:$M$42</definedName>
    <definedName name="_xlnm.Print_Area" localSheetId="6">'PT01'!$A$1:$M$48</definedName>
    <definedName name="_xlnm.Print_Area" localSheetId="7">'PT02'!$A$1:$M$48</definedName>
    <definedName name="_xlnm.Print_Area" localSheetId="8">'PT03'!$A$1:$M$46</definedName>
    <definedName name="_xlnm.Print_Area" localSheetId="9">'PT04'!$A$1:$M$46</definedName>
    <definedName name="_xlnm.Print_Area" localSheetId="10">'PT05(완사입)'!$A$1:$M$46</definedName>
    <definedName name="_xlnm.Print_Area" localSheetId="11">'PT06(완사입)'!$A$1:$M$46</definedName>
    <definedName name="_xlnm.Print_Area" localSheetId="12">'SK01'!$A$1:$M$20</definedName>
    <definedName name="_xlnm.Print_Area" localSheetId="13">'TO01'!$A$1:$M$34</definedName>
    <definedName name="_xlnm.Print_Area" localSheetId="14">'TO02'!$A$1:$M$38</definedName>
    <definedName name="_xlnm.Print_Area" localSheetId="15">'TO03'!$A$1:$M$36</definedName>
    <definedName name="_xlnm.Print_Area" localSheetId="16">'TO04'!$A$1:$M$36</definedName>
    <definedName name="_xlnm.Print_Area" localSheetId="17">'TO05'!$A$1:$M$34</definedName>
    <definedName name="_xlnm.Print_Area" localSheetId="18">'TO06'!$A$1:$M$40</definedName>
    <definedName name="_xlnm.Print_Area" localSheetId="19">'TO07'!$A$1:$M$36</definedName>
  </definedNames>
  <calcPr calcId="191029"/>
</workbook>
</file>

<file path=xl/calcChain.xml><?xml version="1.0" encoding="utf-8"?>
<calcChain xmlns="http://schemas.openxmlformats.org/spreadsheetml/2006/main">
  <c r="J31" i="1033" l="1"/>
  <c r="I31" i="1033"/>
  <c r="J39" i="1049"/>
  <c r="I39" i="1049"/>
  <c r="J37" i="1049"/>
  <c r="I37" i="1049"/>
  <c r="J23" i="1049"/>
  <c r="I23" i="1049"/>
  <c r="I43" i="1049"/>
  <c r="J43" i="1049" s="1"/>
  <c r="J41" i="1049"/>
  <c r="I41" i="1049"/>
  <c r="I27" i="1049"/>
  <c r="J27" i="1049" s="1"/>
  <c r="I25" i="1049"/>
  <c r="J25" i="1049" s="1"/>
  <c r="I21" i="1049"/>
  <c r="J21" i="1049" s="1"/>
  <c r="I19" i="1049"/>
  <c r="J19" i="1049" s="1"/>
  <c r="I17" i="1049"/>
  <c r="J17" i="1049" s="1"/>
  <c r="J15" i="1049"/>
  <c r="I15" i="1049"/>
  <c r="I13" i="1049"/>
  <c r="J13" i="1049" s="1"/>
  <c r="I11" i="1049"/>
  <c r="J11" i="1049" s="1"/>
  <c r="I9" i="1049"/>
  <c r="J9" i="1049" s="1"/>
  <c r="I7" i="1049"/>
  <c r="J7" i="1049" s="1"/>
  <c r="I5" i="1049"/>
  <c r="J5" i="1049" s="1"/>
  <c r="I3" i="1049"/>
  <c r="J3" i="1049" s="1"/>
  <c r="J35" i="1035"/>
  <c r="I35" i="1035"/>
  <c r="J9" i="1048"/>
  <c r="I9" i="1048"/>
  <c r="I33" i="1048"/>
  <c r="J33" i="1048" s="1"/>
  <c r="I31" i="1048"/>
  <c r="J31" i="1048" s="1"/>
  <c r="I29" i="1048"/>
  <c r="J29" i="1048" s="1"/>
  <c r="I27" i="1048"/>
  <c r="J27" i="1048" s="1"/>
  <c r="I21" i="1048"/>
  <c r="J21" i="1048" s="1"/>
  <c r="I5" i="1048"/>
  <c r="J5" i="1048" s="1"/>
  <c r="I25" i="1048"/>
  <c r="J25" i="1048" s="1"/>
  <c r="I23" i="1048"/>
  <c r="J23" i="1048" s="1"/>
  <c r="I19" i="1048"/>
  <c r="J19" i="1048" s="1"/>
  <c r="I17" i="1048"/>
  <c r="J17" i="1048" s="1"/>
  <c r="I15" i="1048"/>
  <c r="J15" i="1048" s="1"/>
  <c r="I13" i="1048"/>
  <c r="J13" i="1048" s="1"/>
  <c r="I11" i="1048"/>
  <c r="J11" i="1048" s="1"/>
  <c r="I7" i="1048"/>
  <c r="J7" i="1048" s="1"/>
  <c r="I3" i="1048"/>
  <c r="J3" i="1048" s="1"/>
  <c r="J25" i="1047" l="1"/>
  <c r="I43" i="1047"/>
  <c r="J43" i="1047" s="1"/>
  <c r="I33" i="1047"/>
  <c r="J33" i="1047" s="1"/>
  <c r="I31" i="1047"/>
  <c r="J31" i="1047" s="1"/>
  <c r="I27" i="1047"/>
  <c r="J27" i="1047" s="1"/>
  <c r="I21" i="1047"/>
  <c r="J21" i="1047" s="1"/>
  <c r="I41" i="1047"/>
  <c r="J41" i="1047" s="1"/>
  <c r="I39" i="1047"/>
  <c r="J39" i="1047" s="1"/>
  <c r="I37" i="1047"/>
  <c r="J37" i="1047" s="1"/>
  <c r="I35" i="1047"/>
  <c r="J35" i="1047" s="1"/>
  <c r="I29" i="1047"/>
  <c r="J29" i="1047" s="1"/>
  <c r="I25" i="1047"/>
  <c r="I23" i="1047"/>
  <c r="J23" i="1047" s="1"/>
  <c r="I19" i="1047"/>
  <c r="J19" i="1047" s="1"/>
  <c r="I15" i="1047"/>
  <c r="J15" i="1047" s="1"/>
  <c r="I13" i="1047"/>
  <c r="J13" i="1047" s="1"/>
  <c r="I11" i="1047"/>
  <c r="J11" i="1047" s="1"/>
  <c r="I3" i="1047"/>
  <c r="J3" i="1047" s="1"/>
  <c r="J39" i="1046"/>
  <c r="I39" i="1046"/>
  <c r="J37" i="1046"/>
  <c r="I37" i="1046"/>
  <c r="I23" i="1046"/>
  <c r="J23" i="1046" s="1"/>
  <c r="I43" i="1046" l="1"/>
  <c r="J43" i="1046" s="1"/>
  <c r="I41" i="1046"/>
  <c r="J41" i="1046" s="1"/>
  <c r="I27" i="1046"/>
  <c r="J27" i="1046" s="1"/>
  <c r="I25" i="1046"/>
  <c r="J25" i="1046" s="1"/>
  <c r="I21" i="1046"/>
  <c r="J21" i="1046" s="1"/>
  <c r="I19" i="1046"/>
  <c r="J19" i="1046" s="1"/>
  <c r="I17" i="1046"/>
  <c r="J17" i="1046" s="1"/>
  <c r="I15" i="1046"/>
  <c r="J15" i="1046" s="1"/>
  <c r="I13" i="1046"/>
  <c r="J13" i="1046" s="1"/>
  <c r="I11" i="1046"/>
  <c r="J11" i="1046" s="1"/>
  <c r="I9" i="1046"/>
  <c r="J9" i="1046" s="1"/>
  <c r="J7" i="1046"/>
  <c r="I7" i="1046"/>
  <c r="I5" i="1046"/>
  <c r="J5" i="1046" s="1"/>
  <c r="I3" i="1046"/>
  <c r="J3" i="1046" s="1"/>
  <c r="J9" i="1045"/>
  <c r="I9" i="1045"/>
  <c r="I25" i="1045"/>
  <c r="J25" i="1045" s="1"/>
  <c r="I29" i="1045" l="1"/>
  <c r="J29" i="1045" s="1"/>
  <c r="I27" i="1045"/>
  <c r="J27" i="1045" s="1"/>
  <c r="I31" i="1045"/>
  <c r="J31" i="1045" s="1"/>
  <c r="I23" i="1045"/>
  <c r="J23" i="1045" s="1"/>
  <c r="J23" i="1029"/>
  <c r="I23" i="1029"/>
  <c r="I5" i="1045"/>
  <c r="J5" i="1045" s="1"/>
  <c r="I33" i="1045"/>
  <c r="J33" i="1045" s="1"/>
  <c r="I21" i="1045"/>
  <c r="J21" i="1045" s="1"/>
  <c r="I19" i="1045"/>
  <c r="J19" i="1045" s="1"/>
  <c r="I17" i="1045"/>
  <c r="J17" i="1045" s="1"/>
  <c r="I15" i="1045"/>
  <c r="J15" i="1045" s="1"/>
  <c r="I13" i="1045"/>
  <c r="J13" i="1045" s="1"/>
  <c r="I11" i="1045"/>
  <c r="J11" i="1045" s="1"/>
  <c r="I7" i="1045"/>
  <c r="J7" i="1045" s="1"/>
  <c r="I3" i="1045"/>
  <c r="J3" i="1045" s="1"/>
  <c r="J41" i="1032"/>
  <c r="I41" i="1032"/>
  <c r="P25" i="1044"/>
  <c r="P24" i="1044"/>
  <c r="J27" i="1044"/>
  <c r="I27" i="1044"/>
  <c r="I29" i="1044"/>
  <c r="J29" i="1044" s="1"/>
  <c r="I31" i="1044"/>
  <c r="J31" i="1044" s="1"/>
  <c r="J21" i="1044"/>
  <c r="I21" i="1044"/>
  <c r="J5" i="1044"/>
  <c r="I5" i="1044"/>
  <c r="I23" i="1044"/>
  <c r="J23" i="1044" s="1"/>
  <c r="I11" i="1044"/>
  <c r="J11" i="1044" s="1"/>
  <c r="I9" i="1044"/>
  <c r="J9" i="1044" s="1"/>
  <c r="J7" i="1044"/>
  <c r="I7" i="1044"/>
  <c r="I25" i="1044"/>
  <c r="J25" i="1044" s="1"/>
  <c r="I19" i="1044"/>
  <c r="J19" i="1044" s="1"/>
  <c r="J17" i="1044"/>
  <c r="I17" i="1044"/>
  <c r="I15" i="1044"/>
  <c r="J15" i="1044" s="1"/>
  <c r="I13" i="1044"/>
  <c r="J13" i="1044" s="1"/>
  <c r="I3" i="1044"/>
  <c r="J3" i="1044" s="1"/>
  <c r="I25" i="1043"/>
  <c r="J25" i="1043" s="1"/>
  <c r="J33" i="1043"/>
  <c r="I33" i="1043"/>
  <c r="I35" i="1043"/>
  <c r="J35" i="1043" s="1"/>
  <c r="I37" i="1043"/>
  <c r="J37" i="1043" s="1"/>
  <c r="I39" i="1043"/>
  <c r="J39" i="1043" s="1"/>
  <c r="I31" i="1043"/>
  <c r="J31" i="1043" s="1"/>
  <c r="I29" i="1043"/>
  <c r="J29" i="1043" s="1"/>
  <c r="I23" i="1043"/>
  <c r="J23" i="1043" s="1"/>
  <c r="I19" i="1043"/>
  <c r="J19" i="1043" s="1"/>
  <c r="I5" i="1043"/>
  <c r="J5" i="1043" s="1"/>
  <c r="I21" i="1043" l="1"/>
  <c r="J21" i="1043" s="1"/>
  <c r="I17" i="1043"/>
  <c r="J17" i="1043" s="1"/>
  <c r="I15" i="1043"/>
  <c r="J15" i="1043" s="1"/>
  <c r="I13" i="1043"/>
  <c r="J13" i="1043" s="1"/>
  <c r="I11" i="1043"/>
  <c r="J11" i="1043" s="1"/>
  <c r="I9" i="1043"/>
  <c r="J9" i="1043" s="1"/>
  <c r="I7" i="1043"/>
  <c r="J7" i="1043" s="1"/>
  <c r="I3" i="1043"/>
  <c r="J3" i="1043" s="1"/>
  <c r="H31" i="1040"/>
  <c r="H29" i="1040"/>
  <c r="H27" i="1040"/>
  <c r="H25" i="1040"/>
  <c r="H23" i="1040"/>
  <c r="H21" i="1040"/>
  <c r="H19" i="1040"/>
  <c r="H17" i="1040"/>
  <c r="H15" i="1040"/>
  <c r="H13" i="1040"/>
  <c r="H9" i="1040"/>
  <c r="H7" i="1040"/>
  <c r="H5" i="1040"/>
  <c r="H3" i="1040"/>
  <c r="J27" i="1042"/>
  <c r="I27" i="1042"/>
  <c r="I17" i="1042"/>
  <c r="J17" i="1042" s="1"/>
  <c r="I15" i="1042"/>
  <c r="J15" i="1042" s="1"/>
  <c r="I25" i="1042"/>
  <c r="J25" i="1042" s="1"/>
  <c r="I23" i="1042"/>
  <c r="J23" i="1042" s="1"/>
  <c r="I21" i="1042"/>
  <c r="J21" i="1042" s="1"/>
  <c r="I11" i="1042"/>
  <c r="J11" i="1042" s="1"/>
  <c r="I9" i="1042"/>
  <c r="J9" i="1042" s="1"/>
  <c r="I7" i="1042"/>
  <c r="J7" i="1042" s="1"/>
  <c r="I5" i="1042"/>
  <c r="J5" i="1042" s="1"/>
  <c r="I19" i="1042" l="1"/>
  <c r="J19" i="1042" s="1"/>
  <c r="I13" i="1042"/>
  <c r="J13" i="1042" s="1"/>
  <c r="I3" i="1042"/>
  <c r="J3" i="1042" s="1"/>
  <c r="I45" i="1041"/>
  <c r="J45" i="1041" s="1"/>
  <c r="J33" i="1041"/>
  <c r="I33" i="1041"/>
  <c r="I31" i="1041"/>
  <c r="J31" i="1041" s="1"/>
  <c r="J27" i="1041"/>
  <c r="I27" i="1041"/>
  <c r="I21" i="1041"/>
  <c r="J21" i="1041" s="1"/>
  <c r="I43" i="1041"/>
  <c r="J43" i="1041" s="1"/>
  <c r="I41" i="1041"/>
  <c r="J41" i="1041" s="1"/>
  <c r="I39" i="1041"/>
  <c r="J39" i="1041" s="1"/>
  <c r="I37" i="1041"/>
  <c r="J37" i="1041" s="1"/>
  <c r="I35" i="1041"/>
  <c r="J35" i="1041" s="1"/>
  <c r="I29" i="1041"/>
  <c r="J29" i="1041" s="1"/>
  <c r="I25" i="1041"/>
  <c r="J25" i="1041" s="1"/>
  <c r="I23" i="1041"/>
  <c r="J23" i="1041" s="1"/>
  <c r="I19" i="1041"/>
  <c r="J19" i="1041" s="1"/>
  <c r="I15" i="1041"/>
  <c r="J15" i="1041" s="1"/>
  <c r="I13" i="1041"/>
  <c r="J13" i="1041" s="1"/>
  <c r="I11" i="1041"/>
  <c r="J11" i="1041" s="1"/>
  <c r="I3" i="1041"/>
  <c r="J3" i="1041" s="1"/>
  <c r="J31" i="1040"/>
  <c r="K31" i="1040" s="1"/>
  <c r="J29" i="1040"/>
  <c r="K29" i="1040" s="1"/>
  <c r="J27" i="1040"/>
  <c r="K27" i="1040" s="1"/>
  <c r="J25" i="1040"/>
  <c r="K25" i="1040" s="1"/>
  <c r="J21" i="1040"/>
  <c r="K21" i="1040" s="1"/>
  <c r="J19" i="1040"/>
  <c r="K19" i="1040" s="1"/>
  <c r="J9" i="1040"/>
  <c r="K9" i="1040" s="1"/>
  <c r="J5" i="1040"/>
  <c r="K5" i="1040" s="1"/>
  <c r="J23" i="1040"/>
  <c r="K23" i="1040" s="1"/>
  <c r="J17" i="1040"/>
  <c r="K17" i="1040" s="1"/>
  <c r="J15" i="1040"/>
  <c r="K15" i="1040" s="1"/>
  <c r="J13" i="1040"/>
  <c r="K13" i="1040" s="1"/>
  <c r="J7" i="1040"/>
  <c r="K7" i="1040" s="1"/>
  <c r="J3" i="1040"/>
  <c r="K3" i="1040" s="1"/>
  <c r="I37" i="1038"/>
  <c r="J37" i="1038" s="1"/>
  <c r="I35" i="1038" l="1"/>
  <c r="J35" i="1038" s="1"/>
  <c r="I33" i="1038"/>
  <c r="J33" i="1038" s="1"/>
  <c r="I9" i="1038"/>
  <c r="J9" i="1038" s="1"/>
  <c r="I5" i="1038" l="1"/>
  <c r="J5" i="1038" s="1"/>
  <c r="I31" i="1038"/>
  <c r="J31" i="1038" s="1"/>
  <c r="I29" i="1038"/>
  <c r="J29" i="1038" s="1"/>
  <c r="I27" i="1038"/>
  <c r="J27" i="1038" s="1"/>
  <c r="I25" i="1038"/>
  <c r="J25" i="1038" s="1"/>
  <c r="I23" i="1038"/>
  <c r="J23" i="1038" s="1"/>
  <c r="I21" i="1038"/>
  <c r="J21" i="1038" s="1"/>
  <c r="I17" i="1038"/>
  <c r="J17" i="1038" s="1"/>
  <c r="I15" i="1038"/>
  <c r="J15" i="1038" s="1"/>
  <c r="I13" i="1038"/>
  <c r="J13" i="1038" s="1"/>
  <c r="I7" i="1038"/>
  <c r="J7" i="1038" s="1"/>
  <c r="I3" i="1038"/>
  <c r="J3" i="1038" s="1"/>
  <c r="J7" i="1037" l="1"/>
  <c r="I7" i="1037"/>
  <c r="I5" i="1037"/>
  <c r="J5" i="1037" s="1"/>
  <c r="I13" i="1037"/>
  <c r="J13" i="1037" s="1"/>
  <c r="I11" i="1037"/>
  <c r="J11" i="1037" s="1"/>
  <c r="I3" i="1037"/>
  <c r="J3" i="1037" s="1"/>
  <c r="J9" i="1036"/>
  <c r="I9" i="1036"/>
  <c r="J35" i="1036"/>
  <c r="I35" i="1036"/>
  <c r="J33" i="1036"/>
  <c r="I33" i="1036"/>
  <c r="I31" i="1036"/>
  <c r="J31" i="1036" s="1"/>
  <c r="I29" i="1036"/>
  <c r="J29" i="1036" s="1"/>
  <c r="I27" i="1036"/>
  <c r="J27" i="1036" s="1"/>
  <c r="I25" i="1036"/>
  <c r="J25" i="1036" s="1"/>
  <c r="I21" i="1036"/>
  <c r="J21" i="1036" s="1"/>
  <c r="J19" i="1036"/>
  <c r="I19" i="1036"/>
  <c r="J5" i="1036"/>
  <c r="I5" i="1036"/>
  <c r="I23" i="1036"/>
  <c r="J23" i="1036" s="1"/>
  <c r="I17" i="1036"/>
  <c r="J17" i="1036" s="1"/>
  <c r="I15" i="1036"/>
  <c r="J15" i="1036" s="1"/>
  <c r="I13" i="1036"/>
  <c r="J13" i="1036" s="1"/>
  <c r="I11" i="1036"/>
  <c r="J11" i="1036" s="1"/>
  <c r="I7" i="1036"/>
  <c r="J7" i="1036" s="1"/>
  <c r="I3" i="1036"/>
  <c r="J3" i="1036" s="1"/>
  <c r="I31" i="1035"/>
  <c r="J31" i="1035" s="1"/>
  <c r="I33" i="1035"/>
  <c r="J33" i="1035" s="1"/>
  <c r="J27" i="1035"/>
  <c r="I27" i="1035"/>
  <c r="I25" i="1035"/>
  <c r="J25" i="1035" s="1"/>
  <c r="I21" i="1035"/>
  <c r="J21" i="1035" s="1"/>
  <c r="I19" i="1035"/>
  <c r="J19" i="1035" s="1"/>
  <c r="I9" i="1035"/>
  <c r="J9" i="1035" s="1"/>
  <c r="I5" i="1035"/>
  <c r="J5" i="1035" s="1"/>
  <c r="I29" i="1035"/>
  <c r="J29" i="1035" s="1"/>
  <c r="I23" i="1035"/>
  <c r="J23" i="1035" s="1"/>
  <c r="I17" i="1035"/>
  <c r="J17" i="1035" s="1"/>
  <c r="I15" i="1035"/>
  <c r="J15" i="1035" s="1"/>
  <c r="I13" i="1035"/>
  <c r="J13" i="1035" s="1"/>
  <c r="I11" i="1035"/>
  <c r="J11" i="1035" s="1"/>
  <c r="I7" i="1035"/>
  <c r="J7" i="1035" s="1"/>
  <c r="I3" i="1035"/>
  <c r="J3" i="1035" s="1"/>
  <c r="P25" i="1034" l="1"/>
  <c r="P24" i="1034"/>
  <c r="J35" i="1034"/>
  <c r="I35" i="1034"/>
  <c r="J33" i="1034"/>
  <c r="I33" i="1034"/>
  <c r="I29" i="1034"/>
  <c r="J29" i="1034" s="1"/>
  <c r="J21" i="1034"/>
  <c r="I21" i="1034"/>
  <c r="I43" i="1034"/>
  <c r="J43" i="1034" s="1"/>
  <c r="I41" i="1034"/>
  <c r="J41" i="1034" s="1"/>
  <c r="I39" i="1034"/>
  <c r="J39" i="1034" s="1"/>
  <c r="I37" i="1034"/>
  <c r="J37" i="1034" s="1"/>
  <c r="I31" i="1034"/>
  <c r="J31" i="1034" s="1"/>
  <c r="I27" i="1034"/>
  <c r="J27" i="1034" s="1"/>
  <c r="I25" i="1034"/>
  <c r="J25" i="1034" s="1"/>
  <c r="I23" i="1034"/>
  <c r="J23" i="1034" s="1"/>
  <c r="I19" i="1034"/>
  <c r="J19" i="1034" s="1"/>
  <c r="I15" i="1034"/>
  <c r="J15" i="1034" s="1"/>
  <c r="I13" i="1034"/>
  <c r="J13" i="1034" s="1"/>
  <c r="I11" i="1034"/>
  <c r="J11" i="1034" s="1"/>
  <c r="J3" i="1034"/>
  <c r="I3" i="1034"/>
  <c r="I33" i="1033"/>
  <c r="J33" i="1033" s="1"/>
  <c r="I27" i="1033"/>
  <c r="J27" i="1033" s="1"/>
  <c r="I23" i="1033"/>
  <c r="J23" i="1033" s="1"/>
  <c r="I21" i="1033"/>
  <c r="J21" i="1033" s="1"/>
  <c r="I19" i="1033"/>
  <c r="J19" i="1033" s="1"/>
  <c r="I5" i="1033"/>
  <c r="J5" i="1033" s="1"/>
  <c r="I29" i="1033"/>
  <c r="J29" i="1033" s="1"/>
  <c r="I17" i="1033"/>
  <c r="J17" i="1033" s="1"/>
  <c r="I15" i="1033"/>
  <c r="J15" i="1033" s="1"/>
  <c r="I13" i="1033"/>
  <c r="J13" i="1033" s="1"/>
  <c r="I11" i="1033"/>
  <c r="J11" i="1033" s="1"/>
  <c r="I9" i="1033"/>
  <c r="J9" i="1033" s="1"/>
  <c r="I7" i="1033"/>
  <c r="J7" i="1033" s="1"/>
  <c r="I3" i="1033"/>
  <c r="J3" i="1033" s="1"/>
  <c r="R18" i="1032" l="1"/>
  <c r="R19" i="1032" s="1"/>
  <c r="R14" i="1032"/>
  <c r="R15" i="1032" s="1"/>
  <c r="I29" i="1032"/>
  <c r="J29" i="1032" s="1"/>
  <c r="I39" i="1032" l="1"/>
  <c r="J39" i="1032" s="1"/>
  <c r="I37" i="1032"/>
  <c r="J37" i="1032" s="1"/>
  <c r="I35" i="1032"/>
  <c r="J35" i="1032" s="1"/>
  <c r="I33" i="1032"/>
  <c r="J33" i="1032" s="1"/>
  <c r="I21" i="1032"/>
  <c r="J21" i="1032" s="1"/>
  <c r="I19" i="1032"/>
  <c r="J19" i="1032" s="1"/>
  <c r="I23" i="1032"/>
  <c r="J23" i="1032" s="1"/>
  <c r="I9" i="1032"/>
  <c r="J9" i="1032" s="1"/>
  <c r="I31" i="1032"/>
  <c r="J31" i="1032" s="1"/>
  <c r="I25" i="1032"/>
  <c r="J25" i="1032" s="1"/>
  <c r="I17" i="1032"/>
  <c r="J17" i="1032" s="1"/>
  <c r="I15" i="1032"/>
  <c r="J15" i="1032" s="1"/>
  <c r="I13" i="1032"/>
  <c r="J13" i="1032" s="1"/>
  <c r="I11" i="1032"/>
  <c r="J11" i="1032" s="1"/>
  <c r="I7" i="1032"/>
  <c r="J7" i="1032" s="1"/>
  <c r="I5" i="1032"/>
  <c r="J5" i="1032" s="1"/>
  <c r="I3" i="1032"/>
  <c r="J3" i="1032" s="1"/>
  <c r="I31" i="1031"/>
  <c r="J31" i="1031" s="1"/>
  <c r="I23" i="1031"/>
  <c r="J23" i="1031" s="1"/>
  <c r="I21" i="1031"/>
  <c r="J21" i="1031" s="1"/>
  <c r="I19" i="1031"/>
  <c r="J19" i="1031" s="1"/>
  <c r="I9" i="1031"/>
  <c r="J9" i="1031" s="1"/>
  <c r="I5" i="1031"/>
  <c r="J5" i="1031" s="1"/>
  <c r="I29" i="1031"/>
  <c r="J29" i="1031" s="1"/>
  <c r="I27" i="1031"/>
  <c r="J27" i="1031" s="1"/>
  <c r="I25" i="1031"/>
  <c r="J25" i="1031" s="1"/>
  <c r="I17" i="1031"/>
  <c r="J17" i="1031" s="1"/>
  <c r="I15" i="1031"/>
  <c r="J15" i="1031" s="1"/>
  <c r="I13" i="1031"/>
  <c r="J13" i="1031" s="1"/>
  <c r="I11" i="1031"/>
  <c r="J11" i="1031" s="1"/>
  <c r="I7" i="1031"/>
  <c r="J7" i="1031" s="1"/>
  <c r="I3" i="1031"/>
  <c r="J3" i="1031" s="1"/>
  <c r="I45" i="1030" l="1"/>
  <c r="J45" i="1030" s="1"/>
  <c r="I37" i="1030"/>
  <c r="J37" i="1030" s="1"/>
  <c r="I35" i="1030" l="1"/>
  <c r="J35" i="1030" s="1"/>
  <c r="I33" i="1030"/>
  <c r="J33" i="1030" s="1"/>
  <c r="I21" i="1030"/>
  <c r="J21" i="1030" s="1"/>
  <c r="I43" i="1030"/>
  <c r="J43" i="1030" s="1"/>
  <c r="I41" i="1030"/>
  <c r="J41" i="1030" s="1"/>
  <c r="I39" i="1030"/>
  <c r="J39" i="1030" s="1"/>
  <c r="I31" i="1030"/>
  <c r="J31" i="1030" s="1"/>
  <c r="I29" i="1030"/>
  <c r="J29" i="1030" s="1"/>
  <c r="I27" i="1030"/>
  <c r="J27" i="1030" s="1"/>
  <c r="I25" i="1030"/>
  <c r="J25" i="1030" s="1"/>
  <c r="I23" i="1030"/>
  <c r="J23" i="1030" s="1"/>
  <c r="I19" i="1030"/>
  <c r="J19" i="1030" s="1"/>
  <c r="I15" i="1030"/>
  <c r="J15" i="1030" s="1"/>
  <c r="I13" i="1030"/>
  <c r="J13" i="1030" s="1"/>
  <c r="I11" i="1030"/>
  <c r="J11" i="1030" s="1"/>
  <c r="I3" i="1030"/>
  <c r="J3" i="1030" s="1"/>
  <c r="J31" i="1029" l="1"/>
  <c r="I31" i="1029"/>
  <c r="I11" i="1029"/>
  <c r="J11" i="1029" s="1"/>
  <c r="I9" i="1029"/>
  <c r="J9" i="1029" s="1"/>
  <c r="I5" i="1029"/>
  <c r="J5" i="1029" s="1"/>
  <c r="I7" i="1029"/>
  <c r="J7" i="1029" s="1"/>
  <c r="I21" i="1029" l="1"/>
  <c r="J21" i="1029" s="1"/>
  <c r="I19" i="1029"/>
  <c r="J19" i="1029" s="1"/>
  <c r="I17" i="1029"/>
  <c r="J17" i="1029" s="1"/>
  <c r="I15" i="1029"/>
  <c r="J15" i="1029" s="1"/>
  <c r="I13" i="1029"/>
  <c r="J13" i="1029" s="1"/>
  <c r="I3" i="1029"/>
  <c r="J3" i="1029" s="1"/>
</calcChain>
</file>

<file path=xl/sharedStrings.xml><?xml version="1.0" encoding="utf-8"?>
<sst xmlns="http://schemas.openxmlformats.org/spreadsheetml/2006/main" count="1370" uniqueCount="312">
  <si>
    <t xml:space="preserve">STRIGHT </t>
    <phoneticPr fontId="2" type="noConversion"/>
  </si>
  <si>
    <t>NECK WIDTH</t>
    <phoneticPr fontId="2" type="noConversion"/>
  </si>
  <si>
    <t>WITHOUT NECK BAND (INSIDE)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</si>
  <si>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</si>
  <si>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</si>
  <si>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</si>
  <si>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</si>
  <si>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</si>
  <si>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</si>
  <si>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</si>
  <si>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ARMHOLE </t>
  </si>
  <si>
    <t>START ARM HOLE JOINING POINT TO POINT(1/2)</t>
    <phoneticPr fontId="1" type="noConversion"/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</si>
  <si>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</si>
  <si>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</si>
  <si>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</si>
  <si>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</si>
  <si>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</si>
  <si>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</si>
  <si>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</si>
  <si>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</si>
  <si>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CHEST (1/2)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</si>
  <si>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</si>
  <si>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</si>
  <si>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</si>
  <si>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</si>
  <si>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</si>
  <si>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</si>
  <si>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</si>
  <si>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</si>
  <si>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</si>
  <si>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</si>
  <si>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</si>
  <si>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</si>
  <si>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</si>
  <si>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</si>
  <si>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</si>
  <si>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</si>
  <si>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</si>
  <si>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</si>
  <si>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>GRAPHIC POINT A</t>
    <phoneticPr fontId="1" type="noConversion"/>
  </si>
  <si>
    <t>나염위치 A</t>
    <phoneticPr fontId="1" type="noConversion"/>
  </si>
  <si>
    <t xml:space="preserve">HIP </t>
  </si>
  <si>
    <t>엉덩이둘레</t>
  </si>
  <si>
    <t xml:space="preserve">TOTAL LENGTH </t>
  </si>
  <si>
    <t>바지기장</t>
  </si>
  <si>
    <t xml:space="preserve">FRONT RISE </t>
  </si>
  <si>
    <t xml:space="preserve">INCLUDE WAIST BAND TO EDGE </t>
  </si>
  <si>
    <t>앞밑위</t>
  </si>
  <si>
    <t>BACK RISE</t>
  </si>
  <si>
    <t>뒤밑위</t>
  </si>
  <si>
    <t xml:space="preserve">TIGHT </t>
  </si>
  <si>
    <t xml:space="preserve">FROM CROCH  3cm BELOW . WIDE STRIGHT </t>
  </si>
  <si>
    <t>허벅지둘레</t>
  </si>
  <si>
    <t>INSEAM</t>
  </si>
  <si>
    <t xml:space="preserve">CROCH TO EDGE </t>
  </si>
  <si>
    <t>인심길이</t>
  </si>
  <si>
    <t>NECK</t>
    <phoneticPr fontId="2" type="noConversion"/>
  </si>
  <si>
    <t>목둘레</t>
  </si>
  <si>
    <t xml:space="preserve">ROUND ,@ NECK SEWING  LINE </t>
    <phoneticPr fontId="1" type="noConversion"/>
  </si>
  <si>
    <t xml:space="preserve">CUFFS OPENING </t>
    <phoneticPr fontId="2" type="noConversion"/>
  </si>
  <si>
    <t>총기장(뒷목)</t>
  </si>
  <si>
    <t>옆목점에서 밑단까지의 직선길이</t>
    <phoneticPr fontId="1" type="noConversion"/>
  </si>
  <si>
    <t>총기장(옆목)</t>
    <phoneticPr fontId="2" type="noConversion"/>
  </si>
  <si>
    <t>HPS TO BOTTOM EDGE</t>
    <phoneticPr fontId="2" type="noConversion"/>
  </si>
  <si>
    <t>TOTAL LENGTH</t>
    <phoneticPr fontId="2" type="noConversion"/>
  </si>
  <si>
    <t xml:space="preserve"> </t>
    <phoneticPr fontId="1" type="noConversion"/>
  </si>
  <si>
    <t>무릎둘레</t>
    <phoneticPr fontId="1" type="noConversion"/>
  </si>
  <si>
    <t>KNEE</t>
    <phoneticPr fontId="1" type="noConversion"/>
  </si>
  <si>
    <t>바지 안 쪽에서 봉제선을 따라 바지밑단 끝까지의 길이</t>
    <phoneticPr fontId="1" type="noConversion"/>
  </si>
  <si>
    <t>인심 시작점에서 3cm 밑을 기준점으로 양쪽 수평 길이</t>
    <phoneticPr fontId="1" type="noConversion"/>
  </si>
  <si>
    <t>오비끝에서 인심 시작점까지의 길이(오비 포함)</t>
    <phoneticPr fontId="1" type="noConversion"/>
  </si>
  <si>
    <t>와끼선을 기준으로 오비끝에서 바지 밑단 끝까지의 길이</t>
    <phoneticPr fontId="1" type="noConversion"/>
  </si>
  <si>
    <t xml:space="preserve">INCLUDE WAIST BAND TO EDGE </t>
    <phoneticPr fontId="1" type="noConversion"/>
  </si>
  <si>
    <t>BACK WAIST E-BAND</t>
    <phoneticPr fontId="1" type="noConversion"/>
  </si>
  <si>
    <t>오비를 일자 상태로 만든 후 수평으로 잰 길이</t>
    <phoneticPr fontId="1" type="noConversion"/>
  </si>
  <si>
    <t xml:space="preserve">FLAT,FRONT AND BACK WAIST LINE MATCH STRIGHT </t>
    <phoneticPr fontId="1" type="noConversion"/>
  </si>
  <si>
    <t>앞 댕고 스테치를 기준점으로 하여 양쪽 수평선의 길이</t>
    <phoneticPr fontId="1" type="noConversion"/>
  </si>
  <si>
    <t>BACK POCKET WIDTH</t>
    <phoneticPr fontId="2" type="noConversion"/>
  </si>
  <si>
    <t>뒤주머니너비</t>
    <phoneticPr fontId="1" type="noConversion"/>
  </si>
  <si>
    <t>BACK POCKET HEIGHT</t>
    <phoneticPr fontId="2" type="noConversion"/>
  </si>
  <si>
    <t>뒤주머니높이</t>
    <phoneticPr fontId="1" type="noConversion"/>
  </si>
  <si>
    <t>바지 밑단의 둘레길이</t>
    <phoneticPr fontId="2" type="noConversion"/>
  </si>
  <si>
    <t>바지부리</t>
  </si>
  <si>
    <t xml:space="preserve">CIRCLE ROUND </t>
  </si>
  <si>
    <t xml:space="preserve">BOTTOM OPENING </t>
  </si>
  <si>
    <t>WAIST SIZE</t>
    <phoneticPr fontId="1" type="noConversion"/>
  </si>
  <si>
    <t>GRAPHIC POINT B</t>
    <phoneticPr fontId="1" type="noConversion"/>
  </si>
  <si>
    <t>나염위치 B</t>
    <phoneticPr fontId="1" type="noConversion"/>
  </si>
  <si>
    <t>옆목점에서 앞목중심의 수직 길이</t>
    <phoneticPr fontId="1" type="noConversion"/>
  </si>
  <si>
    <t>옆목점을 수평으로 잰 길이</t>
    <phoneticPr fontId="1" type="noConversion"/>
  </si>
  <si>
    <t>뒷목 중심에서 밑단끝까지 직선길이</t>
    <phoneticPr fontId="1" type="noConversion"/>
  </si>
  <si>
    <t>FROM CENTER BACK TO BOTTOM STRIGHT</t>
    <phoneticPr fontId="2" type="noConversion"/>
  </si>
  <si>
    <t>TOTAL LENGTH (C/B)</t>
    <phoneticPr fontId="2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</si>
  <si>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 xml:space="preserve"> (지퍼제외)</t>
    </r>
    <phoneticPr fontId="1" type="noConversion"/>
  </si>
  <si>
    <t>앞지퍼길이</t>
    <phoneticPr fontId="1" type="noConversion"/>
  </si>
  <si>
    <t>FRONT ZIPPER LENGTH</t>
    <phoneticPr fontId="1" type="noConversion"/>
  </si>
  <si>
    <t>허리스트링</t>
    <phoneticPr fontId="1" type="noConversion"/>
  </si>
  <si>
    <t>WAIST STRING</t>
    <phoneticPr fontId="1" type="noConversion"/>
  </si>
  <si>
    <t>허리에서 수직으로 (오비포함)</t>
    <phoneticPr fontId="1" type="noConversion"/>
  </si>
  <si>
    <t>무릎위치</t>
    <phoneticPr fontId="1" type="noConversion"/>
  </si>
  <si>
    <t>VERTICALLY AT THE WAIST</t>
    <phoneticPr fontId="1" type="noConversion"/>
  </si>
  <si>
    <t>KNEE POINT</t>
    <phoneticPr fontId="1" type="noConversion"/>
  </si>
  <si>
    <t>오비제외</t>
    <phoneticPr fontId="1" type="noConversion"/>
  </si>
  <si>
    <t>뎅고스티치길이</t>
    <phoneticPr fontId="1" type="noConversion"/>
  </si>
  <si>
    <t>J STITCH LENGTH</t>
    <phoneticPr fontId="1" type="noConversion"/>
  </si>
  <si>
    <t>오비포함 와끼기준</t>
    <phoneticPr fontId="1" type="noConversion"/>
  </si>
  <si>
    <t>엉덩이 위치</t>
    <phoneticPr fontId="1" type="noConversion"/>
  </si>
  <si>
    <t>HIP POINT</t>
    <phoneticPr fontId="1" type="noConversion"/>
  </si>
  <si>
    <t>몸판 허리 둘레</t>
    <phoneticPr fontId="1" type="noConversion"/>
  </si>
  <si>
    <t>나나밴드</t>
    <phoneticPr fontId="1" type="noConversion"/>
  </si>
  <si>
    <t>ADIJUSTABLE BAND</t>
    <phoneticPr fontId="1" type="noConversion"/>
  </si>
  <si>
    <t>뒤 허리 고무줄 완성</t>
    <phoneticPr fontId="1" type="noConversion"/>
  </si>
  <si>
    <t>앞허리완성</t>
    <phoneticPr fontId="1" type="noConversion"/>
  </si>
  <si>
    <t>FRONT WAIST</t>
    <phoneticPr fontId="1" type="noConversion"/>
  </si>
  <si>
    <t>허리완성사이즈</t>
    <phoneticPr fontId="1" type="noConversion"/>
  </si>
  <si>
    <t>TOTAL WAIST</t>
    <phoneticPr fontId="1" type="noConversion"/>
  </si>
  <si>
    <t>BASED ON ZIPPER FLY OUT LINE ,STRIGHT</t>
    <phoneticPr fontId="1" type="noConversion"/>
  </si>
  <si>
    <t>오비 와끼끝에서 주머니입구 까지의 세로길이</t>
    <phoneticPr fontId="1" type="noConversion"/>
  </si>
  <si>
    <t>앞주머니세로</t>
  </si>
  <si>
    <t xml:space="preserve">FROM SIDE SEAM TO STRIGHT </t>
  </si>
  <si>
    <t xml:space="preserve">FRONT POCKET VERTICAL </t>
    <phoneticPr fontId="1" type="noConversion"/>
  </si>
  <si>
    <t>오비 와끼끝에서 주머니입구 까지의 가로길이</t>
    <phoneticPr fontId="1" type="noConversion"/>
  </si>
  <si>
    <t>앞주머니가로</t>
  </si>
  <si>
    <t xml:space="preserve">FROM EDGE STITCHES </t>
  </si>
  <si>
    <t xml:space="preserve">FRONT POCKET WIDE </t>
    <phoneticPr fontId="1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</si>
  <si>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</si>
  <si>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</si>
  <si>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</si>
  <si>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HOOD STRING</t>
    <phoneticPr fontId="1" type="noConversion"/>
  </si>
  <si>
    <t>후드스트링</t>
    <phoneticPr fontId="1" type="noConversion"/>
  </si>
  <si>
    <t>위치 A</t>
    <phoneticPr fontId="1" type="noConversion"/>
  </si>
  <si>
    <t>POINT A</t>
    <phoneticPr fontId="1" type="noConversion"/>
  </si>
  <si>
    <t>WITHOUT NECK BAND</t>
    <phoneticPr fontId="2" type="noConversion"/>
  </si>
  <si>
    <t>주머니높이</t>
    <phoneticPr fontId="1" type="noConversion"/>
  </si>
  <si>
    <t>POCKET HEIGHT</t>
    <phoneticPr fontId="2" type="noConversion"/>
  </si>
  <si>
    <t>주머니너비</t>
    <phoneticPr fontId="1" type="noConversion"/>
  </si>
  <si>
    <t>POCKET WIDTH</t>
    <phoneticPr fontId="2" type="noConversion"/>
  </si>
  <si>
    <t>모자의 가장 돌출된 부위를 수평으로 잰 길이</t>
    <phoneticPr fontId="1" type="noConversion"/>
  </si>
  <si>
    <t>후드폭(모자폭)</t>
  </si>
  <si>
    <t xml:space="preserve">HALF FOLDING ,MAXIMUM DEEP POINT </t>
    <phoneticPr fontId="2" type="noConversion"/>
  </si>
  <si>
    <t xml:space="preserve">HOOD WIDTH </t>
    <phoneticPr fontId="2" type="noConversion"/>
  </si>
  <si>
    <t>모자 앞 중심을 기준으로 양 끝점을 수직으로 잰 길이</t>
    <phoneticPr fontId="1" type="noConversion"/>
  </si>
  <si>
    <t>후드장(모자길이)</t>
  </si>
  <si>
    <t xml:space="preserve">FROM CENTER LENGTH TO EDGE </t>
    <phoneticPr fontId="2" type="noConversion"/>
  </si>
  <si>
    <t>HOOD LENGTH</t>
    <phoneticPr fontId="2" type="noConversion"/>
  </si>
  <si>
    <t>노출길이=20cm</t>
    <phoneticPr fontId="5" type="noConversion"/>
  </si>
  <si>
    <t>BOTTOM STRING LENGTH</t>
    <phoneticPr fontId="1" type="noConversion"/>
  </si>
  <si>
    <t>밑단스트링길이</t>
    <phoneticPr fontId="1" type="noConversion"/>
  </si>
  <si>
    <t xml:space="preserve">CENTER BACK SLEEVE LENGTH </t>
    <phoneticPr fontId="1" type="noConversion"/>
  </si>
  <si>
    <t>FROM CENTER BACK BODY TO EDGE TO SLEEVE CUFFS</t>
    <phoneticPr fontId="1" type="noConversion"/>
  </si>
  <si>
    <t>화장</t>
    <phoneticPr fontId="2" type="noConversion"/>
  </si>
  <si>
    <t>뒷목중심점에서 소매부리(밑단)까지 잰 길이</t>
    <phoneticPr fontId="1" type="noConversion"/>
  </si>
  <si>
    <t>노출길이=12cm 포함</t>
    <phoneticPr fontId="15" type="noConversion"/>
  </si>
  <si>
    <t>제일 넓은쪽 기준</t>
    <phoneticPr fontId="1" type="noConversion"/>
  </si>
  <si>
    <t xml:space="preserve"> YKK</t>
    <phoneticPr fontId="1" type="noConversion"/>
  </si>
  <si>
    <t>오비제외 앞뎅고 기준</t>
    <phoneticPr fontId="1" type="noConversion"/>
  </si>
  <si>
    <t>J STITCH WIDTH</t>
    <phoneticPr fontId="1" type="noConversion"/>
  </si>
  <si>
    <t>뎅고스티치 폭</t>
    <phoneticPr fontId="1" type="noConversion"/>
  </si>
  <si>
    <t>여유분= 4cm</t>
    <phoneticPr fontId="15" type="noConversion"/>
  </si>
  <si>
    <t>BOTTOM RIB WIDTH</t>
    <phoneticPr fontId="2" type="noConversion"/>
  </si>
  <si>
    <t>밑단립 폭</t>
    <phoneticPr fontId="1" type="noConversion"/>
  </si>
  <si>
    <t>SLEEVE RIB WIDTH</t>
    <phoneticPr fontId="15" type="noConversion"/>
  </si>
  <si>
    <t>소매립 폭</t>
    <phoneticPr fontId="15" type="noConversion"/>
  </si>
  <si>
    <t>앞옆목에서 수직으로</t>
    <phoneticPr fontId="1" type="noConversion"/>
  </si>
  <si>
    <t>앞중심에서</t>
    <phoneticPr fontId="1" type="noConversion"/>
  </si>
  <si>
    <t>BACK YOKE LENGTH</t>
    <phoneticPr fontId="1" type="noConversion"/>
  </si>
  <si>
    <t>뒤요크길이</t>
    <phoneticPr fontId="1" type="noConversion"/>
  </si>
  <si>
    <t>뒤중심</t>
    <phoneticPr fontId="15" type="noConversion"/>
  </si>
  <si>
    <t xml:space="preserve"> </t>
    <phoneticPr fontId="15" type="noConversion"/>
  </si>
  <si>
    <t xml:space="preserve">앞중심에서 수평으로 </t>
    <phoneticPr fontId="1" type="noConversion"/>
  </si>
  <si>
    <t>POINT B</t>
    <phoneticPr fontId="1" type="noConversion"/>
  </si>
  <si>
    <t>위치 B</t>
    <phoneticPr fontId="1" type="noConversion"/>
  </si>
  <si>
    <t>BOTTOM STRING LENGTH</t>
    <phoneticPr fontId="15" type="noConversion"/>
  </si>
  <si>
    <t>밑단스트링길이</t>
    <phoneticPr fontId="15" type="noConversion"/>
  </si>
  <si>
    <t>스트링 여유분=12cm(전체 24cm)</t>
    <phoneticPr fontId="15" type="noConversion"/>
  </si>
  <si>
    <t>S사이즈=나나단추간격 = 16cm</t>
    <phoneticPr fontId="15" type="noConversion"/>
  </si>
  <si>
    <t>여유분 = 4cm</t>
    <phoneticPr fontId="15" type="noConversion"/>
  </si>
  <si>
    <t xml:space="preserve">SKIRT LENGTH </t>
    <phoneticPr fontId="1" type="noConversion"/>
  </si>
  <si>
    <t>치마기장</t>
    <phoneticPr fontId="1" type="noConversion"/>
  </si>
  <si>
    <t>FRONT YOKE LENGTH</t>
    <phoneticPr fontId="1" type="noConversion"/>
  </si>
  <si>
    <t>앞요크길이</t>
    <phoneticPr fontId="1" type="noConversion"/>
  </si>
  <si>
    <t>앞중심</t>
    <phoneticPr fontId="15" type="noConversion"/>
  </si>
  <si>
    <t>COLLARD WIDTH</t>
    <phoneticPr fontId="15" type="noConversion"/>
  </si>
  <si>
    <t>카라 폭</t>
    <phoneticPr fontId="15" type="noConversion"/>
  </si>
  <si>
    <t>중심</t>
    <phoneticPr fontId="15" type="noConversion"/>
  </si>
  <si>
    <t>WELT POCKET LENGTH</t>
    <phoneticPr fontId="2" type="noConversion"/>
  </si>
  <si>
    <t>구찌길이</t>
    <phoneticPr fontId="1" type="noConversion"/>
  </si>
  <si>
    <t>COLLAR WIDTH</t>
    <phoneticPr fontId="2" type="noConversion"/>
  </si>
  <si>
    <t>CENTER BACK HIGHT</t>
    <phoneticPr fontId="1" type="noConversion"/>
  </si>
  <si>
    <t>카라폭</t>
  </si>
  <si>
    <t>중심에서 수직으로 잰 길이</t>
    <phoneticPr fontId="1" type="noConversion"/>
  </si>
  <si>
    <t>STYLE NO: GYWOU03-S#R07(니트)</t>
    <phoneticPr fontId="1" type="noConversion"/>
  </si>
  <si>
    <r>
      <t>어깨 양끝점을 수평으로 잰 길이</t>
    </r>
    <r>
      <rPr>
        <sz val="7.5"/>
        <color rgb="FFFF0000"/>
        <rFont val="맑은 고딕"/>
        <family val="3"/>
        <charset val="129"/>
        <scheme val="minor"/>
      </rPr>
      <t>(암홀립포함)</t>
    </r>
    <phoneticPr fontId="1" type="noConversion"/>
  </si>
  <si>
    <r>
      <t>어깨끝점과 겨드랑이 점을 직선으로 잰 길이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1" type="noConversion"/>
  </si>
  <si>
    <t>A/H RIB WIDTH</t>
    <phoneticPr fontId="15" type="noConversion"/>
  </si>
  <si>
    <t>암홀립 폭</t>
    <phoneticPr fontId="15" type="noConversion"/>
  </si>
  <si>
    <t>HOOD STRING LENGTH</t>
    <phoneticPr fontId="2" type="noConversion"/>
  </si>
  <si>
    <t>후드스트링길이</t>
    <phoneticPr fontId="15" type="noConversion"/>
  </si>
  <si>
    <t>노출길이= 18cm</t>
    <phoneticPr fontId="15" type="noConversion"/>
  </si>
  <si>
    <t>주머니입구 와끼</t>
    <phoneticPr fontId="15" type="noConversion"/>
  </si>
  <si>
    <r>
      <t xml:space="preserve">BASED ON ZIPPER FLY OUT LINE ,STRIGHT </t>
    </r>
    <r>
      <rPr>
        <sz val="7.5"/>
        <color rgb="FFFF0000"/>
        <rFont val="맑은 고딕"/>
        <family val="3"/>
        <charset val="129"/>
        <scheme val="minor"/>
      </rPr>
      <t>(턱펼친상태)</t>
    </r>
    <phoneticPr fontId="1" type="noConversion"/>
  </si>
  <si>
    <t>FRONT POCKET LENGTH</t>
    <phoneticPr fontId="1" type="noConversion"/>
  </si>
  <si>
    <t>앞주머니입구</t>
    <phoneticPr fontId="15" type="noConversion"/>
  </si>
  <si>
    <t>노출길이=18cm</t>
    <phoneticPr fontId="1" type="noConversion"/>
  </si>
  <si>
    <t>COLLARS WIDTH</t>
    <phoneticPr fontId="1" type="noConversion"/>
  </si>
  <si>
    <t>카라폭</t>
    <phoneticPr fontId="1" type="noConversion"/>
  </si>
  <si>
    <t>뒤중심</t>
    <phoneticPr fontId="1" type="noConversion"/>
  </si>
  <si>
    <r>
      <t xml:space="preserve">앞중심에서 수평으로 </t>
    </r>
    <r>
      <rPr>
        <sz val="7.5"/>
        <color indexed="10"/>
        <rFont val="맑은 고딕"/>
        <family val="3"/>
        <charset val="129"/>
      </rPr>
      <t>(지퍼제외)</t>
    </r>
    <phoneticPr fontId="1" type="noConversion"/>
  </si>
  <si>
    <t>POCKET ZIPPER LENGTH</t>
    <phoneticPr fontId="2" type="noConversion"/>
  </si>
  <si>
    <t>주머니입구 지퍼길이</t>
    <phoneticPr fontId="1" type="noConversion"/>
  </si>
  <si>
    <t>콘솔지퍼</t>
    <phoneticPr fontId="15" type="noConversion"/>
  </si>
  <si>
    <t>STYLE NO: GYWOU04-K#R08</t>
    <phoneticPr fontId="1" type="noConversion"/>
  </si>
  <si>
    <t>STYLE NO: GYWPT01-K#R09</t>
    <phoneticPr fontId="1" type="noConversion"/>
  </si>
  <si>
    <t>STYLE NO: GYWOU05-W#R10</t>
    <phoneticPr fontId="1" type="noConversion"/>
  </si>
  <si>
    <t>앞판 상단 8골밴드</t>
    <phoneticPr fontId="1" type="noConversion"/>
  </si>
  <si>
    <t>FRONT CHEST 8G BAND (1/2)</t>
    <phoneticPr fontId="2" type="noConversion"/>
  </si>
  <si>
    <t xml:space="preserve">BACK CHEST 8G BAND </t>
    <phoneticPr fontId="2" type="noConversion"/>
  </si>
  <si>
    <t>뒤판 상단 8골밴드</t>
    <phoneticPr fontId="1" type="noConversion"/>
  </si>
  <si>
    <t xml:space="preserve">SLEEVE 8G BAND </t>
    <phoneticPr fontId="2" type="noConversion"/>
  </si>
  <si>
    <t>소매 8골밴드</t>
    <phoneticPr fontId="1" type="noConversion"/>
  </si>
  <si>
    <r>
      <rPr>
        <sz val="7.5"/>
        <color theme="1"/>
        <rFont val="맑은 고딕"/>
        <family val="3"/>
        <charset val="129"/>
        <scheme val="minor"/>
      </rPr>
      <t>첫번째 스티치선</t>
    </r>
    <r>
      <rPr>
        <sz val="7.5"/>
        <color rgb="FFFF0000"/>
        <rFont val="맑은 고딕"/>
        <family val="3"/>
        <charset val="129"/>
        <scheme val="minor"/>
      </rPr>
      <t xml:space="preserve"> (완성사이즈)</t>
    </r>
    <phoneticPr fontId="15" type="noConversion"/>
  </si>
  <si>
    <t>BOTTOM SWEEP</t>
    <phoneticPr fontId="2" type="noConversion"/>
  </si>
  <si>
    <t>밑단둘레</t>
    <phoneticPr fontId="15" type="noConversion"/>
  </si>
  <si>
    <r>
      <t xml:space="preserve">와끼선의 밑단 양끝점을 수평으로 잰 길이 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</si>
  <si>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OUT PLACKET WIDTH</t>
    <phoneticPr fontId="15" type="noConversion"/>
  </si>
  <si>
    <t>겉플라켓 폭</t>
    <phoneticPr fontId="15" type="noConversion"/>
  </si>
  <si>
    <t>8G-BAND</t>
    <phoneticPr fontId="15" type="noConversion"/>
  </si>
  <si>
    <t>25MM-BAND</t>
    <phoneticPr fontId="15" type="noConversion"/>
  </si>
  <si>
    <t>OUTSIDE TOTAL LENGTH</t>
    <phoneticPr fontId="15" type="noConversion"/>
  </si>
  <si>
    <t>겉-총장</t>
    <phoneticPr fontId="15" type="noConversion"/>
  </si>
  <si>
    <t>OUTSIDE CHEST (1/2)</t>
    <phoneticPr fontId="15" type="noConversion"/>
  </si>
  <si>
    <t>겉-가슴(상동)</t>
    <phoneticPr fontId="15" type="noConversion"/>
  </si>
  <si>
    <t>STYLE NO: GYWTO01-K#R11</t>
    <phoneticPr fontId="1" type="noConversion"/>
  </si>
  <si>
    <t>앞중심에서 수직으로</t>
    <phoneticPr fontId="1" type="noConversion"/>
  </si>
  <si>
    <t>STYLE NO: GYWPT02-K#H15</t>
    <phoneticPr fontId="1" type="noConversion"/>
  </si>
  <si>
    <t xml:space="preserve">BASED ON ZIPPER FLY OUT LINE ,STRIGHT </t>
    <phoneticPr fontId="1" type="noConversion"/>
  </si>
  <si>
    <t>노출길이=20cm</t>
    <phoneticPr fontId="1" type="noConversion"/>
  </si>
  <si>
    <t>밑단스트링</t>
    <phoneticPr fontId="15" type="noConversion"/>
  </si>
  <si>
    <t>STYLE NO: GYWOU01-K#Y01</t>
    <phoneticPr fontId="1" type="noConversion"/>
  </si>
  <si>
    <t>목라인(NECK LINE)을 따라 잰 곡선의 둘레길이</t>
    <phoneticPr fontId="1" type="noConversion"/>
  </si>
  <si>
    <t>HOOD FUR TRIMMING</t>
    <phoneticPr fontId="2" type="noConversion"/>
  </si>
  <si>
    <t>후드 퍼 길이</t>
    <phoneticPr fontId="15" type="noConversion"/>
  </si>
  <si>
    <t>앞목에서 수직으로</t>
    <phoneticPr fontId="1" type="noConversion"/>
  </si>
  <si>
    <t>STYLE NO: GYWOU02-W#R06</t>
    <phoneticPr fontId="1" type="noConversion"/>
  </si>
  <si>
    <r>
      <t>목라인(NECK LINE)을 따라 잰 곡선의 둘레길이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</si>
  <si>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FRONT WELT POCKET</t>
    <phoneticPr fontId="2" type="noConversion"/>
  </si>
  <si>
    <t>앞구찌길이</t>
    <phoneticPr fontId="1" type="noConversion"/>
  </si>
  <si>
    <t xml:space="preserve">HOOD STRING LENGTH </t>
    <phoneticPr fontId="2" type="noConversion"/>
  </si>
  <si>
    <t>노출길이=22cm</t>
    <phoneticPr fontId="15" type="noConversion"/>
  </si>
  <si>
    <t>옆목에서</t>
    <phoneticPr fontId="15" type="noConversion"/>
  </si>
  <si>
    <t>앞중심에서</t>
    <phoneticPr fontId="15" type="noConversion"/>
  </si>
  <si>
    <t>밑단요꼬시보리</t>
    <phoneticPr fontId="15" type="noConversion"/>
  </si>
  <si>
    <t>시접제외</t>
    <phoneticPr fontId="15" type="noConversion"/>
  </si>
  <si>
    <t xml:space="preserve"> BOTTOM YOKO RIB</t>
    <phoneticPr fontId="2" type="noConversion"/>
  </si>
  <si>
    <t>SLEEVE YOKO RIB</t>
    <phoneticPr fontId="2" type="noConversion"/>
  </si>
  <si>
    <t>소매요꼬시보리</t>
    <phoneticPr fontId="15" type="noConversion"/>
  </si>
  <si>
    <t>STYLE NO: GYWSK01-W#H14</t>
    <phoneticPr fontId="1" type="noConversion"/>
  </si>
  <si>
    <t>밴드 안들어가는부분</t>
    <phoneticPr fontId="15" type="noConversion"/>
  </si>
  <si>
    <t xml:space="preserve">옆목점을 수평으로 잰 길이 </t>
    <phoneticPr fontId="1" type="noConversion"/>
  </si>
  <si>
    <t xml:space="preserve">옆목점에서 앞목중심의 수직 길이 </t>
    <phoneticPr fontId="1" type="noConversion"/>
  </si>
  <si>
    <t>STYLE NO: GYWTO02-K#H16</t>
    <phoneticPr fontId="1" type="noConversion"/>
  </si>
  <si>
    <t>앞중심</t>
    <phoneticPr fontId="1" type="noConversion"/>
  </si>
  <si>
    <t>완성사이즈</t>
    <phoneticPr fontId="15" type="noConversion"/>
  </si>
  <si>
    <t>소매 4골밴드</t>
    <phoneticPr fontId="1" type="noConversion"/>
  </si>
  <si>
    <t>노출길이 좌/우 각각 16cm</t>
    <phoneticPr fontId="15" type="noConversion"/>
  </si>
  <si>
    <t>STYLE NO: GYWTO04-K#H18</t>
    <phoneticPr fontId="1" type="noConversion"/>
  </si>
  <si>
    <t>STYLE NO: GYWPT03-K#H19</t>
    <phoneticPr fontId="1" type="noConversion"/>
  </si>
  <si>
    <t>뒷주머니</t>
    <phoneticPr fontId="15" type="noConversion"/>
  </si>
  <si>
    <t>STYLE NO: GYWTO03-K#H17</t>
    <phoneticPr fontId="1" type="noConversion"/>
  </si>
  <si>
    <r>
      <t xml:space="preserve">옆목점에서 </t>
    </r>
    <r>
      <rPr>
        <sz val="7.5"/>
        <color rgb="FFFF0000"/>
        <rFont val="맑은 고딕"/>
        <family val="3"/>
        <charset val="129"/>
        <scheme val="minor"/>
      </rPr>
      <t>주원단</t>
    </r>
    <r>
      <rPr>
        <sz val="7.5"/>
        <rFont val="맑은 고딕"/>
        <family val="3"/>
        <charset val="129"/>
        <scheme val="minor"/>
      </rPr>
      <t>밑단까지의 직선길이</t>
    </r>
    <phoneticPr fontId="1" type="noConversion"/>
  </si>
  <si>
    <r>
      <t xml:space="preserve">옆목점에서 </t>
    </r>
    <r>
      <rPr>
        <sz val="7.5"/>
        <color rgb="FFFF0000"/>
        <rFont val="맑은 고딕"/>
        <family val="3"/>
        <charset val="129"/>
        <scheme val="minor"/>
      </rPr>
      <t>원단C</t>
    </r>
    <r>
      <rPr>
        <sz val="7.5"/>
        <rFont val="맑은 고딕"/>
        <family val="3"/>
        <charset val="129"/>
        <scheme val="minor"/>
      </rPr>
      <t>밑단까지의 직선길이</t>
    </r>
    <phoneticPr fontId="1" type="noConversion"/>
  </si>
  <si>
    <t xml:space="preserve">앞중심에서 수직으로 </t>
    <phoneticPr fontId="1" type="noConversion"/>
  </si>
  <si>
    <t>옆목너비</t>
    <phoneticPr fontId="15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</si>
  <si>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(샘플사이즈-랍빠)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</si>
  <si>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(샘플사이즈-랍빠)</t>
    </r>
    <phoneticPr fontId="1" type="noConversion"/>
  </si>
  <si>
    <r>
      <t>목둘레</t>
    </r>
    <r>
      <rPr>
        <sz val="7.5"/>
        <color rgb="FFFF0000"/>
        <rFont val="맑은 고딕"/>
        <family val="3"/>
        <charset val="129"/>
        <scheme val="minor"/>
      </rPr>
      <t>(랍빠)</t>
    </r>
    <phoneticPr fontId="15" type="noConversion"/>
  </si>
  <si>
    <t>XS</t>
    <phoneticPr fontId="1" type="noConversion"/>
  </si>
  <si>
    <t>STYLE NO: GYWTO06-K#H26</t>
    <phoneticPr fontId="1" type="noConversion"/>
  </si>
  <si>
    <t>겉-앞총장</t>
    <phoneticPr fontId="15" type="noConversion"/>
  </si>
  <si>
    <t>겉-뒤총장</t>
    <phoneticPr fontId="15" type="noConversion"/>
  </si>
  <si>
    <t>OUTSIDE TOTAL BACK LENGTH</t>
    <phoneticPr fontId="15" type="noConversion"/>
  </si>
  <si>
    <t>OUTSIDE TOTAL FRONT LENGTH</t>
    <phoneticPr fontId="15" type="noConversion"/>
  </si>
  <si>
    <t>SHOULDER STRAP</t>
    <phoneticPr fontId="15" type="noConversion"/>
  </si>
  <si>
    <t>어깨끈길이</t>
    <phoneticPr fontId="15" type="noConversion"/>
  </si>
  <si>
    <t>앞뒤 전체</t>
    <phoneticPr fontId="15" type="noConversion"/>
  </si>
  <si>
    <t>FRONT SLIT LENGTH</t>
    <phoneticPr fontId="2" type="noConversion"/>
  </si>
  <si>
    <t>앞단작길이</t>
    <phoneticPr fontId="15" type="noConversion"/>
  </si>
  <si>
    <t>STYLE NO: GYWTO07-K#H27</t>
    <phoneticPr fontId="1" type="noConversion"/>
  </si>
  <si>
    <t>옆목에서 앞뒤중심</t>
    <phoneticPr fontId="15" type="noConversion"/>
  </si>
  <si>
    <t xml:space="preserve">옆목에서 수직으로 </t>
    <phoneticPr fontId="1" type="noConversion"/>
  </si>
  <si>
    <t>앞중심에서 수평</t>
    <phoneticPr fontId="15" type="noConversion"/>
  </si>
  <si>
    <t>목둘레</t>
    <phoneticPr fontId="15" type="noConversion"/>
  </si>
  <si>
    <t>SIDESEAM 4G BAND</t>
    <phoneticPr fontId="1" type="noConversion"/>
  </si>
  <si>
    <t>와끼4골고무줄</t>
    <phoneticPr fontId="1" type="noConversion"/>
  </si>
  <si>
    <t>4골고무줄</t>
    <phoneticPr fontId="15" type="noConversion"/>
  </si>
  <si>
    <r>
      <t xml:space="preserve">첫번째 스티치선에서 수평으로 잰 길이 </t>
    </r>
    <r>
      <rPr>
        <sz val="7.5"/>
        <color rgb="FFFF0000"/>
        <rFont val="맑은 고딕"/>
        <family val="3"/>
        <charset val="129"/>
        <scheme val="minor"/>
      </rPr>
      <t>(완성사이즈)</t>
    </r>
    <phoneticPr fontId="1" type="noConversion"/>
  </si>
  <si>
    <t>STYLE NO: GYWOU06-S#Y12(니트)</t>
    <phoneticPr fontId="1" type="noConversion"/>
  </si>
  <si>
    <t>노출길이= 16cm</t>
    <phoneticPr fontId="15" type="noConversion"/>
  </si>
  <si>
    <t>HOOD RIB WIDTH</t>
    <phoneticPr fontId="15" type="noConversion"/>
  </si>
  <si>
    <t>후드립 폭</t>
    <phoneticPr fontId="15" type="noConversion"/>
  </si>
  <si>
    <t>STYLE NO: GYWPT05-D#R29</t>
    <phoneticPr fontId="1" type="noConversion"/>
  </si>
  <si>
    <t>엉덩이둘레</t>
    <phoneticPr fontId="15" type="noConversion"/>
  </si>
  <si>
    <t>STYLE NO: GYWPT04-K#R22</t>
    <phoneticPr fontId="1" type="noConversion"/>
  </si>
  <si>
    <r>
      <t xml:space="preserve">바지 밑단의 둘레길이 </t>
    </r>
    <r>
      <rPr>
        <sz val="7.5"/>
        <color rgb="FFFF0000"/>
        <rFont val="맑은 고딕"/>
        <family val="3"/>
        <charset val="129"/>
        <scheme val="minor"/>
      </rPr>
      <t>(턱펼친상태)</t>
    </r>
    <phoneticPr fontId="2" type="noConversion"/>
  </si>
  <si>
    <t>턱펼친상태</t>
    <phoneticPr fontId="1" type="noConversion"/>
  </si>
  <si>
    <t>앞주머니</t>
    <phoneticPr fontId="15" type="noConversion"/>
  </si>
  <si>
    <t>오비포함 앞절개선 와끼기준</t>
    <phoneticPr fontId="1" type="noConversion"/>
  </si>
  <si>
    <r>
      <t xml:space="preserve">소매 밑단(시보리 밑단)의 둘레 길이 </t>
    </r>
    <r>
      <rPr>
        <sz val="7.5"/>
        <color rgb="FFFF0000"/>
        <rFont val="맑은 고딕"/>
        <family val="3"/>
        <charset val="129"/>
        <scheme val="minor"/>
      </rPr>
      <t>(접밴드 완성사이즈)</t>
    </r>
    <phoneticPr fontId="1" type="noConversion"/>
  </si>
  <si>
    <t>앞중심에서 수평으로</t>
    <phoneticPr fontId="15" type="noConversion"/>
  </si>
  <si>
    <r>
      <t xml:space="preserve">STRIGHT (1/2) </t>
    </r>
    <r>
      <rPr>
        <sz val="7.5"/>
        <color rgb="FFFF0000"/>
        <rFont val="맑은 고딕"/>
        <family val="3"/>
        <charset val="129"/>
        <scheme val="minor"/>
      </rPr>
      <t>(접밴드 완성사이즈)</t>
    </r>
    <phoneticPr fontId="2" type="noConversion"/>
  </si>
  <si>
    <t>STYLE NO: GYWTO05-W#R21</t>
    <phoneticPr fontId="1" type="noConversion"/>
  </si>
  <si>
    <t>STYLE NO: GYWPT06-D#H32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</si>
</sst>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sz val="7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7.5"/>
      <color theme="0" tint="-4.9989318521683403E-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6" fillId="0" borderId="0">
      <alignment vertical="center"/>
    </xf>
  </cellStyleXfs>
  <cellXfs count="14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0" borderId="12" xfId="0" applyFont="1" applyBorder="1">
      <alignment vertical="center"/>
    </xf>
    <xf numFmtId="0" fontId="9" fillId="0" borderId="13" xfId="0" applyFont="1" applyBorder="1">
      <alignment vertical="center"/>
    </xf>
    <xf numFmtId="0" fontId="9" fillId="0" borderId="14" xfId="0" applyFont="1" applyBorder="1">
      <alignment vertical="center"/>
    </xf>
    <xf numFmtId="0" fontId="7" fillId="0" borderId="2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7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3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34" xfId="0" applyFont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7" fillId="2" borderId="22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left" vertical="center"/>
    </xf>
    <xf numFmtId="0" fontId="7" fillId="3" borderId="8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0" fillId="0" borderId="33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2" borderId="3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7" fillId="0" borderId="45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0" borderId="3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0" fontId="7" fillId="0" borderId="3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59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52" xfId="0" applyFont="1" applyBorder="1" applyAlignment="1">
      <alignment horizontal="left" vertical="center" wrapText="1"/>
    </xf>
    <xf numFmtId="0" fontId="10" fillId="0" borderId="54" xfId="0" applyFont="1" applyBorder="1" applyAlignment="1">
      <alignment horizontal="left" vertical="center" wrapText="1"/>
    </xf>
    <xf numFmtId="0" fontId="10" fillId="0" borderId="53" xfId="0" applyFont="1" applyBorder="1" applyAlignment="1">
      <alignment horizontal="left" vertical="center" wrapText="1"/>
    </xf>
    <xf numFmtId="0" fontId="7" fillId="2" borderId="55" xfId="0" applyFont="1" applyFill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</cellXfs>
  <cellStyles count="3">
    <cellStyle name="표준" xfId="0" builtinId="0"/>
    <cellStyle name="표준 2" xfId="1" xr:uid="{CD8A8543-CAE2-4172-95C6-682EBB052837}"/>
    <cellStyle name="표준 2 2" xfId="2" xr:uid="{4513A2C9-5C13-40EA-B412-56D12003366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2662-7421-4BE7-85F3-0F81D3B43759}">
  <sheetPr>
    <tabColor rgb="FFFF0000"/>
    <pageSetUpPr fitToPage="1"/>
  </sheetPr>
  <dimension ref="A1:M62"/>
  <sheetViews>
    <sheetView zoomScale="110" zoomScaleNormal="110" zoomScalePageLayoutView="30" workbookViewId="0">
      <selection activeCell="D23" sqref="D23:G2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2" t="s">
        <v>238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3.5" customHeight="1" x14ac:dyDescent="0.3">
      <c r="A3" s="66">
        <v>1</v>
      </c>
      <c r="B3" s="38" t="s">
        <v>92</v>
      </c>
      <c r="C3" s="39"/>
      <c r="D3" s="67" t="s">
        <v>91</v>
      </c>
      <c r="E3" s="68"/>
      <c r="F3" s="68"/>
      <c r="G3" s="69"/>
      <c r="H3" s="70">
        <v>50.2</v>
      </c>
      <c r="I3" s="71">
        <f>SUM(H3)+2.9</f>
        <v>53.1</v>
      </c>
      <c r="J3" s="71">
        <f>SUM(I3)+2.9</f>
        <v>56</v>
      </c>
      <c r="K3" s="71"/>
      <c r="L3" s="72"/>
      <c r="M3" s="73"/>
    </row>
    <row r="4" spans="1:13" s="2" customFormat="1" ht="13.5" customHeight="1" x14ac:dyDescent="0.3">
      <c r="A4" s="47"/>
      <c r="B4" s="19" t="s">
        <v>60</v>
      </c>
      <c r="C4" s="19"/>
      <c r="D4" s="20" t="s">
        <v>90</v>
      </c>
      <c r="E4" s="21"/>
      <c r="F4" s="21"/>
      <c r="G4" s="21"/>
      <c r="H4" s="53"/>
      <c r="I4" s="34"/>
      <c r="J4" s="34"/>
      <c r="K4" s="35"/>
      <c r="L4" s="32"/>
      <c r="M4" s="18"/>
    </row>
    <row r="5" spans="1:13" s="2" customFormat="1" ht="13.5" customHeight="1" x14ac:dyDescent="0.3">
      <c r="A5" s="47">
        <v>2</v>
      </c>
      <c r="B5" s="48" t="s">
        <v>21</v>
      </c>
      <c r="C5" s="49"/>
      <c r="D5" s="56" t="s">
        <v>22</v>
      </c>
      <c r="E5" s="57"/>
      <c r="F5" s="57"/>
      <c r="G5" s="58"/>
      <c r="H5" s="59">
        <v>56</v>
      </c>
      <c r="I5" s="35">
        <f>SUM(H5)+4</f>
        <v>60</v>
      </c>
      <c r="J5" s="35">
        <f>SUM(I5)+4</f>
        <v>64</v>
      </c>
      <c r="K5" s="34"/>
      <c r="L5" s="34"/>
      <c r="M5" s="54"/>
    </row>
    <row r="6" spans="1:13" s="2" customFormat="1" ht="13.5" customHeight="1" x14ac:dyDescent="0.3">
      <c r="A6" s="47"/>
      <c r="B6" s="45" t="s">
        <v>12</v>
      </c>
      <c r="C6" s="46"/>
      <c r="D6" s="20" t="s">
        <v>25</v>
      </c>
      <c r="E6" s="21"/>
      <c r="F6" s="21"/>
      <c r="G6" s="22"/>
      <c r="H6" s="43"/>
      <c r="I6" s="32"/>
      <c r="J6" s="32"/>
      <c r="K6" s="34"/>
      <c r="L6" s="34"/>
      <c r="M6" s="54"/>
    </row>
    <row r="7" spans="1:13" s="2" customFormat="1" ht="13.5" customHeight="1" x14ac:dyDescent="0.3">
      <c r="A7" s="47">
        <v>3</v>
      </c>
      <c r="B7" s="55" t="s">
        <v>20</v>
      </c>
      <c r="C7" s="55"/>
      <c r="D7" s="60" t="s">
        <v>11</v>
      </c>
      <c r="E7" s="60"/>
      <c r="F7" s="60"/>
      <c r="G7" s="60"/>
      <c r="H7" s="59">
        <v>54</v>
      </c>
      <c r="I7" s="35">
        <f>SUM(H7)+4</f>
        <v>58</v>
      </c>
      <c r="J7" s="35">
        <f>SUM(I7)+4</f>
        <v>62</v>
      </c>
      <c r="K7" s="34"/>
      <c r="L7" s="61"/>
      <c r="M7" s="54"/>
    </row>
    <row r="8" spans="1:13" s="2" customFormat="1" ht="13.5" customHeight="1" x14ac:dyDescent="0.3">
      <c r="A8" s="47"/>
      <c r="B8" s="19" t="s">
        <v>23</v>
      </c>
      <c r="C8" s="19"/>
      <c r="D8" s="20" t="s">
        <v>26</v>
      </c>
      <c r="E8" s="21"/>
      <c r="F8" s="21"/>
      <c r="G8" s="22"/>
      <c r="H8" s="43"/>
      <c r="I8" s="32"/>
      <c r="J8" s="32"/>
      <c r="K8" s="34"/>
      <c r="L8" s="61"/>
      <c r="M8" s="54"/>
    </row>
    <row r="9" spans="1:13" s="2" customFormat="1" ht="13.5" customHeight="1" x14ac:dyDescent="0.3">
      <c r="A9" s="47">
        <v>4</v>
      </c>
      <c r="B9" s="55" t="s">
        <v>24</v>
      </c>
      <c r="C9" s="55"/>
      <c r="D9" s="60" t="s">
        <v>9</v>
      </c>
      <c r="E9" s="60"/>
      <c r="F9" s="60"/>
      <c r="G9" s="60"/>
      <c r="H9" s="59">
        <v>43</v>
      </c>
      <c r="I9" s="35">
        <f>SUM(H9)+3.2</f>
        <v>46.2</v>
      </c>
      <c r="J9" s="35">
        <f>SUM(I9)+3.2</f>
        <v>49.400000000000006</v>
      </c>
      <c r="K9" s="34"/>
      <c r="L9" s="34"/>
      <c r="M9" s="54"/>
    </row>
    <row r="10" spans="1:13" s="2" customFormat="1" ht="13.5" customHeight="1" x14ac:dyDescent="0.3">
      <c r="A10" s="47"/>
      <c r="B10" s="19" t="s">
        <v>13</v>
      </c>
      <c r="C10" s="19"/>
      <c r="D10" s="20" t="s">
        <v>27</v>
      </c>
      <c r="E10" s="21"/>
      <c r="F10" s="21"/>
      <c r="G10" s="22"/>
      <c r="H10" s="43"/>
      <c r="I10" s="32"/>
      <c r="J10" s="32"/>
      <c r="K10" s="34"/>
      <c r="L10" s="34"/>
      <c r="M10" s="54"/>
    </row>
    <row r="11" spans="1:13" s="2" customFormat="1" ht="13.5" customHeight="1" x14ac:dyDescent="0.3">
      <c r="A11" s="47">
        <v>5</v>
      </c>
      <c r="B11" s="55" t="s">
        <v>10</v>
      </c>
      <c r="C11" s="55"/>
      <c r="D11" s="60" t="s">
        <v>0</v>
      </c>
      <c r="E11" s="60"/>
      <c r="F11" s="60"/>
      <c r="G11" s="60"/>
      <c r="H11" s="53">
        <v>25</v>
      </c>
      <c r="I11" s="34">
        <f>SUM(H11)+1</f>
        <v>26</v>
      </c>
      <c r="J11" s="34">
        <f>SUM(I11)+1</f>
        <v>27</v>
      </c>
      <c r="K11" s="34"/>
      <c r="L11" s="34"/>
      <c r="M11" s="54"/>
    </row>
    <row r="12" spans="1:13" s="2" customFormat="1" ht="13.5" customHeight="1" x14ac:dyDescent="0.3">
      <c r="A12" s="47"/>
      <c r="B12" s="19" t="s">
        <v>14</v>
      </c>
      <c r="C12" s="19"/>
      <c r="D12" s="20" t="s">
        <v>28</v>
      </c>
      <c r="E12" s="21"/>
      <c r="F12" s="21"/>
      <c r="G12" s="22"/>
      <c r="H12" s="53"/>
      <c r="I12" s="34"/>
      <c r="J12" s="34"/>
      <c r="K12" s="34"/>
      <c r="L12" s="34"/>
      <c r="M12" s="54"/>
    </row>
    <row r="13" spans="1:13" s="2" customFormat="1" ht="13.5" customHeight="1" x14ac:dyDescent="0.3">
      <c r="A13" s="47">
        <v>6</v>
      </c>
      <c r="B13" s="55" t="s">
        <v>1</v>
      </c>
      <c r="C13" s="55"/>
      <c r="D13" s="60" t="s">
        <v>2</v>
      </c>
      <c r="E13" s="60"/>
      <c r="F13" s="60"/>
      <c r="G13" s="60"/>
      <c r="H13" s="53">
        <v>19</v>
      </c>
      <c r="I13" s="34">
        <f>SUM(H13)+0.6</f>
        <v>19.600000000000001</v>
      </c>
      <c r="J13" s="34">
        <f>SUM(I13)+0.6</f>
        <v>20.200000000000003</v>
      </c>
      <c r="K13" s="34"/>
      <c r="L13" s="34"/>
      <c r="M13" s="54"/>
    </row>
    <row r="14" spans="1:13" s="2" customFormat="1" ht="13.5" customHeight="1" x14ac:dyDescent="0.3">
      <c r="A14" s="47"/>
      <c r="B14" s="19" t="s">
        <v>15</v>
      </c>
      <c r="C14" s="19"/>
      <c r="D14" s="20" t="s">
        <v>89</v>
      </c>
      <c r="E14" s="21"/>
      <c r="F14" s="21"/>
      <c r="G14" s="22"/>
      <c r="H14" s="53"/>
      <c r="I14" s="34"/>
      <c r="J14" s="34"/>
      <c r="K14" s="34"/>
      <c r="L14" s="34"/>
      <c r="M14" s="54"/>
    </row>
    <row r="15" spans="1:13" s="2" customFormat="1" ht="13.5" customHeight="1" x14ac:dyDescent="0.3">
      <c r="A15" s="47">
        <v>7</v>
      </c>
      <c r="B15" s="55" t="s">
        <v>3</v>
      </c>
      <c r="C15" s="55"/>
      <c r="D15" s="60" t="s">
        <v>4</v>
      </c>
      <c r="E15" s="60"/>
      <c r="F15" s="60"/>
      <c r="G15" s="60"/>
      <c r="H15" s="53">
        <v>7.7</v>
      </c>
      <c r="I15" s="34">
        <f>SUM(H15)+0.3</f>
        <v>8</v>
      </c>
      <c r="J15" s="34">
        <f>SUM(I15)+0.3</f>
        <v>8.3000000000000007</v>
      </c>
      <c r="K15" s="34"/>
      <c r="L15" s="34"/>
      <c r="M15" s="54"/>
    </row>
    <row r="16" spans="1:13" s="2" customFormat="1" ht="13.5" customHeight="1" x14ac:dyDescent="0.3">
      <c r="A16" s="47"/>
      <c r="B16" s="19" t="s">
        <v>16</v>
      </c>
      <c r="C16" s="19"/>
      <c r="D16" s="20" t="s">
        <v>88</v>
      </c>
      <c r="E16" s="21"/>
      <c r="F16" s="21"/>
      <c r="G16" s="22"/>
      <c r="H16" s="53"/>
      <c r="I16" s="34"/>
      <c r="J16" s="34"/>
      <c r="K16" s="34"/>
      <c r="L16" s="34"/>
      <c r="M16" s="54"/>
    </row>
    <row r="17" spans="1:13" s="2" customFormat="1" ht="13.5" customHeight="1" x14ac:dyDescent="0.3">
      <c r="A17" s="47">
        <v>8</v>
      </c>
      <c r="B17" s="48" t="s">
        <v>56</v>
      </c>
      <c r="C17" s="49"/>
      <c r="D17" s="56" t="s">
        <v>58</v>
      </c>
      <c r="E17" s="57"/>
      <c r="F17" s="57"/>
      <c r="G17" s="58"/>
      <c r="H17" s="53">
        <v>47.8</v>
      </c>
      <c r="I17" s="34">
        <f>SUM(H17)+1.6</f>
        <v>49.4</v>
      </c>
      <c r="J17" s="34">
        <f>SUM(I17)+1.6</f>
        <v>51</v>
      </c>
      <c r="K17" s="34"/>
      <c r="L17" s="34"/>
      <c r="M17" s="54"/>
    </row>
    <row r="18" spans="1:13" s="2" customFormat="1" ht="13.5" customHeight="1" x14ac:dyDescent="0.3">
      <c r="A18" s="47"/>
      <c r="B18" s="19" t="s">
        <v>57</v>
      </c>
      <c r="C18" s="19"/>
      <c r="D18" s="20" t="s">
        <v>239</v>
      </c>
      <c r="E18" s="21"/>
      <c r="F18" s="21"/>
      <c r="G18" s="22"/>
      <c r="H18" s="53"/>
      <c r="I18" s="34"/>
      <c r="J18" s="34"/>
      <c r="K18" s="34"/>
      <c r="L18" s="34"/>
      <c r="M18" s="54"/>
    </row>
    <row r="19" spans="1:13" s="2" customFormat="1" ht="13.5" customHeight="1" x14ac:dyDescent="0.3">
      <c r="A19" s="47">
        <v>9</v>
      </c>
      <c r="B19" s="55" t="s">
        <v>5</v>
      </c>
      <c r="C19" s="55"/>
      <c r="D19" s="60" t="s">
        <v>6</v>
      </c>
      <c r="E19" s="60"/>
      <c r="F19" s="60"/>
      <c r="G19" s="60"/>
      <c r="H19" s="53">
        <v>45.5</v>
      </c>
      <c r="I19" s="34">
        <f>SUM(H19)+2</f>
        <v>47.5</v>
      </c>
      <c r="J19" s="34">
        <f>SUM(I19)+2</f>
        <v>49.5</v>
      </c>
      <c r="K19" s="34"/>
      <c r="L19" s="34"/>
      <c r="M19" s="54"/>
    </row>
    <row r="20" spans="1:13" s="2" customFormat="1" ht="13.5" customHeight="1" x14ac:dyDescent="0.3">
      <c r="A20" s="47"/>
      <c r="B20" s="19" t="s">
        <v>17</v>
      </c>
      <c r="C20" s="19"/>
      <c r="D20" s="20" t="s">
        <v>29</v>
      </c>
      <c r="E20" s="21"/>
      <c r="F20" s="21"/>
      <c r="G20" s="22"/>
      <c r="H20" s="53"/>
      <c r="I20" s="34"/>
      <c r="J20" s="34"/>
      <c r="K20" s="34"/>
      <c r="L20" s="34"/>
      <c r="M20" s="54"/>
    </row>
    <row r="21" spans="1:13" s="2" customFormat="1" ht="13.5" customHeight="1" x14ac:dyDescent="0.3">
      <c r="A21" s="47">
        <v>10</v>
      </c>
      <c r="B21" s="55" t="s">
        <v>7</v>
      </c>
      <c r="C21" s="55"/>
      <c r="D21" s="56" t="s">
        <v>8</v>
      </c>
      <c r="E21" s="57"/>
      <c r="F21" s="57"/>
      <c r="G21" s="58"/>
      <c r="H21" s="53">
        <v>48</v>
      </c>
      <c r="I21" s="34">
        <f>SUM(H21)+1.9</f>
        <v>49.9</v>
      </c>
      <c r="J21" s="34">
        <f>SUM(I21)+1.9</f>
        <v>51.8</v>
      </c>
      <c r="K21" s="34"/>
      <c r="L21" s="34"/>
      <c r="M21" s="54"/>
    </row>
    <row r="22" spans="1:13" s="2" customFormat="1" ht="13.5" customHeight="1" x14ac:dyDescent="0.3">
      <c r="A22" s="47"/>
      <c r="B22" s="19" t="s">
        <v>18</v>
      </c>
      <c r="C22" s="19"/>
      <c r="D22" s="20" t="s">
        <v>36</v>
      </c>
      <c r="E22" s="21"/>
      <c r="F22" s="21"/>
      <c r="G22" s="22"/>
      <c r="H22" s="53"/>
      <c r="I22" s="34"/>
      <c r="J22" s="34"/>
      <c r="K22" s="34"/>
      <c r="L22" s="34"/>
      <c r="M22" s="54"/>
    </row>
    <row r="23" spans="1:13" s="2" customFormat="1" ht="13.5" customHeight="1" x14ac:dyDescent="0.3">
      <c r="A23" s="47">
        <v>11</v>
      </c>
      <c r="B23" s="48" t="s">
        <v>59</v>
      </c>
      <c r="C23" s="49"/>
      <c r="D23" s="60" t="s">
        <v>37</v>
      </c>
      <c r="E23" s="60"/>
      <c r="F23" s="60"/>
      <c r="G23" s="60"/>
      <c r="H23" s="53">
        <v>18</v>
      </c>
      <c r="I23" s="34">
        <f>SUM(H23)+0.8</f>
        <v>18.8</v>
      </c>
      <c r="J23" s="34">
        <f>SUM(I23)+0.8</f>
        <v>19.600000000000001</v>
      </c>
      <c r="K23" s="34"/>
      <c r="L23" s="34"/>
      <c r="M23" s="54"/>
    </row>
    <row r="24" spans="1:13" s="2" customFormat="1" ht="13.5" customHeight="1" x14ac:dyDescent="0.3">
      <c r="A24" s="47"/>
      <c r="B24" s="19" t="s">
        <v>19</v>
      </c>
      <c r="C24" s="19"/>
      <c r="D24" s="20" t="s">
        <v>38</v>
      </c>
      <c r="E24" s="21"/>
      <c r="F24" s="21"/>
      <c r="G24" s="22"/>
      <c r="H24" s="53"/>
      <c r="I24" s="34"/>
      <c r="J24" s="34"/>
      <c r="K24" s="34"/>
      <c r="L24" s="34"/>
      <c r="M24" s="54"/>
    </row>
    <row r="25" spans="1:13" ht="13.5" customHeight="1" x14ac:dyDescent="0.3">
      <c r="A25" s="47">
        <v>12</v>
      </c>
      <c r="B25" s="48" t="s">
        <v>136</v>
      </c>
      <c r="C25" s="49"/>
      <c r="D25" s="60"/>
      <c r="E25" s="60"/>
      <c r="F25" s="60"/>
      <c r="G25" s="60"/>
      <c r="H25" s="59">
        <v>17.399999999999999</v>
      </c>
      <c r="I25" s="35">
        <f>SUM(H25)+1.4</f>
        <v>18.799999999999997</v>
      </c>
      <c r="J25" s="35">
        <f>SUM(I25)+1.4</f>
        <v>20.199999999999996</v>
      </c>
      <c r="K25" s="35"/>
      <c r="L25" s="35"/>
      <c r="M25" s="17"/>
    </row>
    <row r="26" spans="1:13" ht="13.5" customHeight="1" x14ac:dyDescent="0.3">
      <c r="A26" s="47"/>
      <c r="B26" s="45" t="s">
        <v>135</v>
      </c>
      <c r="C26" s="46"/>
      <c r="D26" s="20" t="s">
        <v>153</v>
      </c>
      <c r="E26" s="21"/>
      <c r="F26" s="21"/>
      <c r="G26" s="22"/>
      <c r="H26" s="43"/>
      <c r="I26" s="32"/>
      <c r="J26" s="32"/>
      <c r="K26" s="32"/>
      <c r="L26" s="32"/>
      <c r="M26" s="18"/>
    </row>
    <row r="27" spans="1:13" ht="13.5" customHeight="1" x14ac:dyDescent="0.3">
      <c r="A27" s="47">
        <v>13</v>
      </c>
      <c r="B27" s="48" t="s">
        <v>134</v>
      </c>
      <c r="C27" s="49"/>
      <c r="D27" s="60"/>
      <c r="E27" s="60"/>
      <c r="F27" s="60"/>
      <c r="G27" s="60"/>
      <c r="H27" s="59">
        <v>18.5</v>
      </c>
      <c r="I27" s="35">
        <f>SUM(H27)+1.5</f>
        <v>20</v>
      </c>
      <c r="J27" s="35">
        <f>SUM(I27)+1.5</f>
        <v>21.5</v>
      </c>
      <c r="K27" s="35"/>
      <c r="L27" s="35"/>
      <c r="M27" s="17"/>
    </row>
    <row r="28" spans="1:13" ht="13.5" customHeight="1" x14ac:dyDescent="0.3">
      <c r="A28" s="47"/>
      <c r="B28" s="19" t="s">
        <v>133</v>
      </c>
      <c r="C28" s="19"/>
      <c r="D28" s="20"/>
      <c r="E28" s="21"/>
      <c r="F28" s="21"/>
      <c r="G28" s="22"/>
      <c r="H28" s="43"/>
      <c r="I28" s="32"/>
      <c r="J28" s="32"/>
      <c r="K28" s="32"/>
      <c r="L28" s="32"/>
      <c r="M28" s="18"/>
    </row>
    <row r="29" spans="1:13" s="2" customFormat="1" ht="13.5" customHeight="1" x14ac:dyDescent="0.3">
      <c r="A29" s="47">
        <v>14</v>
      </c>
      <c r="B29" s="55" t="s">
        <v>144</v>
      </c>
      <c r="C29" s="55"/>
      <c r="D29" s="56" t="s">
        <v>143</v>
      </c>
      <c r="E29" s="57"/>
      <c r="F29" s="57"/>
      <c r="G29" s="58"/>
      <c r="H29" s="59">
        <v>37</v>
      </c>
      <c r="I29" s="35">
        <f>SUM(H29)+1</f>
        <v>38</v>
      </c>
      <c r="J29" s="35">
        <f>SUM(I29)+1</f>
        <v>39</v>
      </c>
      <c r="K29" s="35"/>
      <c r="L29" s="34"/>
      <c r="M29" s="54"/>
    </row>
    <row r="30" spans="1:13" s="2" customFormat="1" ht="13.5" customHeight="1" x14ac:dyDescent="0.3">
      <c r="A30" s="47"/>
      <c r="B30" s="19" t="s">
        <v>142</v>
      </c>
      <c r="C30" s="19"/>
      <c r="D30" s="20" t="s">
        <v>141</v>
      </c>
      <c r="E30" s="21"/>
      <c r="F30" s="21"/>
      <c r="G30" s="22"/>
      <c r="H30" s="43"/>
      <c r="I30" s="32"/>
      <c r="J30" s="32"/>
      <c r="K30" s="32"/>
      <c r="L30" s="34"/>
      <c r="M30" s="54"/>
    </row>
    <row r="31" spans="1:13" s="2" customFormat="1" ht="13.5" customHeight="1" x14ac:dyDescent="0.3">
      <c r="A31" s="47">
        <v>15</v>
      </c>
      <c r="B31" s="55" t="s">
        <v>140</v>
      </c>
      <c r="C31" s="55"/>
      <c r="D31" s="56" t="s">
        <v>139</v>
      </c>
      <c r="E31" s="57"/>
      <c r="F31" s="57"/>
      <c r="G31" s="58"/>
      <c r="H31" s="59">
        <v>25</v>
      </c>
      <c r="I31" s="35">
        <f>SUM(H31)+0.8</f>
        <v>25.8</v>
      </c>
      <c r="J31" s="35">
        <f>SUM(I31)+0.8</f>
        <v>26.6</v>
      </c>
      <c r="K31" s="35"/>
      <c r="L31" s="35"/>
      <c r="M31" s="17"/>
    </row>
    <row r="32" spans="1:13" s="2" customFormat="1" ht="13.5" customHeight="1" x14ac:dyDescent="0.3">
      <c r="A32" s="47"/>
      <c r="B32" s="19" t="s">
        <v>138</v>
      </c>
      <c r="C32" s="19"/>
      <c r="D32" s="20" t="s">
        <v>137</v>
      </c>
      <c r="E32" s="21"/>
      <c r="F32" s="21"/>
      <c r="G32" s="22"/>
      <c r="H32" s="43"/>
      <c r="I32" s="32"/>
      <c r="J32" s="32"/>
      <c r="K32" s="32"/>
      <c r="L32" s="32"/>
      <c r="M32" s="18"/>
    </row>
    <row r="33" spans="1:13" s="2" customFormat="1" ht="13.5" customHeight="1" x14ac:dyDescent="0.3">
      <c r="A33" s="47">
        <v>16</v>
      </c>
      <c r="B33" s="55" t="s">
        <v>240</v>
      </c>
      <c r="C33" s="55"/>
      <c r="D33" s="56"/>
      <c r="E33" s="57"/>
      <c r="F33" s="57"/>
      <c r="G33" s="58"/>
      <c r="H33" s="59">
        <v>72.5</v>
      </c>
      <c r="I33" s="35">
        <f>SUM(H33)+2</f>
        <v>74.5</v>
      </c>
      <c r="J33" s="35">
        <f>SUM(I33)+2</f>
        <v>76.5</v>
      </c>
      <c r="K33" s="35"/>
      <c r="L33" s="35"/>
      <c r="M33" s="17"/>
    </row>
    <row r="34" spans="1:13" s="2" customFormat="1" ht="13.5" customHeight="1" x14ac:dyDescent="0.3">
      <c r="A34" s="47"/>
      <c r="B34" s="19" t="s">
        <v>241</v>
      </c>
      <c r="C34" s="19"/>
      <c r="D34" s="20"/>
      <c r="E34" s="21"/>
      <c r="F34" s="21"/>
      <c r="G34" s="22"/>
      <c r="H34" s="43"/>
      <c r="I34" s="32"/>
      <c r="J34" s="32"/>
      <c r="K34" s="32"/>
      <c r="L34" s="32"/>
      <c r="M34" s="18"/>
    </row>
    <row r="35" spans="1:13" s="2" customFormat="1" ht="13.5" customHeight="1" x14ac:dyDescent="0.3">
      <c r="A35" s="47">
        <v>17</v>
      </c>
      <c r="B35" s="48" t="s">
        <v>39</v>
      </c>
      <c r="C35" s="49"/>
      <c r="D35" s="50"/>
      <c r="E35" s="51"/>
      <c r="F35" s="51"/>
      <c r="G35" s="52"/>
      <c r="H35" s="53">
        <v>7</v>
      </c>
      <c r="I35" s="34">
        <f>SUM(H35)+0.4</f>
        <v>7.4</v>
      </c>
      <c r="J35" s="34">
        <f>SUM(I35)+0.4</f>
        <v>7.8000000000000007</v>
      </c>
      <c r="K35" s="35"/>
      <c r="L35" s="35"/>
      <c r="M35" s="17"/>
    </row>
    <row r="36" spans="1:13" s="2" customFormat="1" ht="13.5" customHeight="1" x14ac:dyDescent="0.3">
      <c r="A36" s="47"/>
      <c r="B36" s="45" t="s">
        <v>40</v>
      </c>
      <c r="C36" s="46"/>
      <c r="D36" s="20" t="s">
        <v>242</v>
      </c>
      <c r="E36" s="21"/>
      <c r="F36" s="21"/>
      <c r="G36" s="22"/>
      <c r="H36" s="53"/>
      <c r="I36" s="34"/>
      <c r="J36" s="34"/>
      <c r="K36" s="32"/>
      <c r="L36" s="32"/>
      <c r="M36" s="18"/>
    </row>
    <row r="37" spans="1:13" s="2" customFormat="1" ht="13.5" customHeight="1" x14ac:dyDescent="0.3">
      <c r="A37" s="47">
        <v>18</v>
      </c>
      <c r="B37" s="48" t="s">
        <v>95</v>
      </c>
      <c r="C37" s="49"/>
      <c r="D37" s="50"/>
      <c r="E37" s="51"/>
      <c r="F37" s="51"/>
      <c r="G37" s="52"/>
      <c r="H37" s="53">
        <v>44</v>
      </c>
      <c r="I37" s="34">
        <v>46.5</v>
      </c>
      <c r="J37" s="34">
        <v>49.5</v>
      </c>
      <c r="K37" s="35"/>
      <c r="L37" s="35"/>
      <c r="M37" s="17"/>
    </row>
    <row r="38" spans="1:13" s="2" customFormat="1" ht="13.5" customHeight="1" x14ac:dyDescent="0.3">
      <c r="A38" s="47"/>
      <c r="B38" s="45" t="s">
        <v>94</v>
      </c>
      <c r="C38" s="46"/>
      <c r="D38" s="20" t="s">
        <v>154</v>
      </c>
      <c r="E38" s="21"/>
      <c r="F38" s="21"/>
      <c r="G38" s="22"/>
      <c r="H38" s="53"/>
      <c r="I38" s="34"/>
      <c r="J38" s="34"/>
      <c r="K38" s="32"/>
      <c r="L38" s="32"/>
      <c r="M38" s="18"/>
    </row>
    <row r="39" spans="1:13" ht="14.1" customHeight="1" x14ac:dyDescent="0.3">
      <c r="A39" s="36">
        <v>19</v>
      </c>
      <c r="B39" s="38"/>
      <c r="C39" s="39"/>
      <c r="D39" s="40"/>
      <c r="E39" s="41"/>
      <c r="F39" s="41"/>
      <c r="G39" s="42"/>
      <c r="H39" s="43"/>
      <c r="I39" s="32"/>
      <c r="J39" s="32"/>
      <c r="K39" s="23"/>
      <c r="L39" s="23"/>
      <c r="M39" s="25"/>
    </row>
    <row r="40" spans="1:13" ht="14.1" customHeight="1" thickBot="1" x14ac:dyDescent="0.35">
      <c r="A40" s="37"/>
      <c r="B40" s="27"/>
      <c r="C40" s="28"/>
      <c r="D40" s="29"/>
      <c r="E40" s="30"/>
      <c r="F40" s="30"/>
      <c r="G40" s="31"/>
      <c r="H40" s="44"/>
      <c r="I40" s="33"/>
      <c r="J40" s="33"/>
      <c r="K40" s="24"/>
      <c r="L40" s="24"/>
      <c r="M40" s="26"/>
    </row>
    <row r="41" spans="1:13" ht="14.1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4.1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4.1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4.1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4.1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4.1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4.1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4.1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4.1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4.1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4.1" customHeight="1" x14ac:dyDescent="0.3"/>
    <row r="52" spans="1:13" ht="14.1" customHeight="1" x14ac:dyDescent="0.3"/>
    <row r="53" spans="1:13" ht="14.1" customHeight="1" x14ac:dyDescent="0.3"/>
    <row r="59" spans="1:13" x14ac:dyDescent="0.3">
      <c r="B59" s="1"/>
      <c r="C59" s="1"/>
      <c r="D59" s="1"/>
      <c r="E59" s="1"/>
      <c r="F59" s="1"/>
      <c r="G59" s="1"/>
    </row>
    <row r="60" spans="1:13" x14ac:dyDescent="0.3">
      <c r="B60" s="1"/>
      <c r="C60" s="1"/>
      <c r="D60" s="1"/>
      <c r="E60" s="1"/>
      <c r="F60" s="1"/>
      <c r="G60" s="1"/>
    </row>
    <row r="61" spans="1:13" x14ac:dyDescent="0.3">
      <c r="B61" s="1"/>
      <c r="C61" s="1"/>
      <c r="D61" s="1"/>
      <c r="E61" s="1"/>
      <c r="F61" s="1"/>
      <c r="G61" s="1"/>
    </row>
    <row r="62" spans="1:13" x14ac:dyDescent="0.3">
      <c r="B62" s="1"/>
      <c r="C62" s="1"/>
      <c r="D62" s="1"/>
      <c r="E62" s="1"/>
      <c r="F62" s="1"/>
      <c r="G62" s="1"/>
    </row>
  </sheetData>
  <mergeCells count="212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33:A34"/>
    <mergeCell ref="B33:C33"/>
    <mergeCell ref="D33:G33"/>
    <mergeCell ref="H33:H34"/>
    <mergeCell ref="I33:I34"/>
    <mergeCell ref="A29:A30"/>
    <mergeCell ref="B29:C29"/>
    <mergeCell ref="D29:G29"/>
    <mergeCell ref="H29:H30"/>
    <mergeCell ref="I29:I30"/>
    <mergeCell ref="J29:J30"/>
    <mergeCell ref="A31:A32"/>
    <mergeCell ref="B31:C31"/>
    <mergeCell ref="D31:G31"/>
    <mergeCell ref="H31:H32"/>
    <mergeCell ref="I31:I32"/>
    <mergeCell ref="J31:J32"/>
    <mergeCell ref="K31:K32"/>
    <mergeCell ref="L31:L32"/>
    <mergeCell ref="A39:A40"/>
    <mergeCell ref="B39:C39"/>
    <mergeCell ref="D39:G39"/>
    <mergeCell ref="H39:H40"/>
    <mergeCell ref="I39:I40"/>
    <mergeCell ref="B38:C38"/>
    <mergeCell ref="D38:G38"/>
    <mergeCell ref="B36:C36"/>
    <mergeCell ref="D36:G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M31:M32"/>
    <mergeCell ref="B32:C32"/>
    <mergeCell ref="D32:G32"/>
    <mergeCell ref="K39:K40"/>
    <mergeCell ref="L39:L40"/>
    <mergeCell ref="M39:M40"/>
    <mergeCell ref="B40:C40"/>
    <mergeCell ref="D40:G40"/>
    <mergeCell ref="J39:J40"/>
    <mergeCell ref="J37:J38"/>
    <mergeCell ref="K37:K38"/>
    <mergeCell ref="L37:L38"/>
    <mergeCell ref="M37:M38"/>
    <mergeCell ref="K35:K36"/>
    <mergeCell ref="L35:L36"/>
    <mergeCell ref="M35:M36"/>
    <mergeCell ref="J35:J36"/>
    <mergeCell ref="J33:J34"/>
    <mergeCell ref="K33:K34"/>
    <mergeCell ref="L33:L34"/>
    <mergeCell ref="M33:M34"/>
    <mergeCell ref="B34:C34"/>
    <mergeCell ref="D34:G34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FB77E-25E8-4932-8F0B-39D679A770E0}">
  <sheetPr>
    <tabColor rgb="FFFF0000"/>
    <pageSetUpPr fitToPage="1"/>
  </sheetPr>
  <dimension ref="A1:P62"/>
  <sheetViews>
    <sheetView topLeftCell="A10" zoomScale="110" zoomScaleNormal="110" zoomScalePageLayoutView="30" workbookViewId="0">
      <selection activeCell="B25" sqref="B25:C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2" t="s">
        <v>243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3.5" customHeight="1" x14ac:dyDescent="0.3">
      <c r="A3" s="66">
        <v>1</v>
      </c>
      <c r="B3" s="38" t="s">
        <v>92</v>
      </c>
      <c r="C3" s="39"/>
      <c r="D3" s="67" t="s">
        <v>91</v>
      </c>
      <c r="E3" s="68"/>
      <c r="F3" s="68"/>
      <c r="G3" s="69"/>
      <c r="H3" s="70">
        <v>55</v>
      </c>
      <c r="I3" s="71">
        <f>SUM(H3)+2.9</f>
        <v>57.9</v>
      </c>
      <c r="J3" s="71">
        <f>SUM(I3)+2.9</f>
        <v>60.8</v>
      </c>
      <c r="K3" s="71"/>
      <c r="L3" s="72"/>
      <c r="M3" s="73"/>
    </row>
    <row r="4" spans="1:13" s="2" customFormat="1" ht="13.5" customHeight="1" x14ac:dyDescent="0.3">
      <c r="A4" s="47"/>
      <c r="B4" s="19" t="s">
        <v>60</v>
      </c>
      <c r="C4" s="19"/>
      <c r="D4" s="20" t="s">
        <v>90</v>
      </c>
      <c r="E4" s="21"/>
      <c r="F4" s="21"/>
      <c r="G4" s="21"/>
      <c r="H4" s="53"/>
      <c r="I4" s="34"/>
      <c r="J4" s="34"/>
      <c r="K4" s="35"/>
      <c r="L4" s="32"/>
      <c r="M4" s="18"/>
    </row>
    <row r="5" spans="1:13" s="2" customFormat="1" ht="13.5" customHeight="1" x14ac:dyDescent="0.3">
      <c r="A5" s="47">
        <v>2</v>
      </c>
      <c r="B5" s="48" t="s">
        <v>21</v>
      </c>
      <c r="C5" s="49"/>
      <c r="D5" s="56" t="s">
        <v>22</v>
      </c>
      <c r="E5" s="57"/>
      <c r="F5" s="57"/>
      <c r="G5" s="58"/>
      <c r="H5" s="59">
        <v>54</v>
      </c>
      <c r="I5" s="35">
        <f>SUM(H5)+3.8</f>
        <v>57.8</v>
      </c>
      <c r="J5" s="35">
        <f>SUM(I5)+3.8</f>
        <v>61.599999999999994</v>
      </c>
      <c r="K5" s="34"/>
      <c r="L5" s="34"/>
      <c r="M5" s="54"/>
    </row>
    <row r="6" spans="1:13" s="2" customFormat="1" ht="13.5" customHeight="1" x14ac:dyDescent="0.3">
      <c r="A6" s="47"/>
      <c r="B6" s="45" t="s">
        <v>12</v>
      </c>
      <c r="C6" s="46"/>
      <c r="D6" s="20" t="s">
        <v>25</v>
      </c>
      <c r="E6" s="21"/>
      <c r="F6" s="21"/>
      <c r="G6" s="22"/>
      <c r="H6" s="43"/>
      <c r="I6" s="32"/>
      <c r="J6" s="32"/>
      <c r="K6" s="34"/>
      <c r="L6" s="34"/>
      <c r="M6" s="54"/>
    </row>
    <row r="7" spans="1:13" s="2" customFormat="1" ht="13.5" customHeight="1" x14ac:dyDescent="0.3">
      <c r="A7" s="47">
        <v>3</v>
      </c>
      <c r="B7" s="55" t="s">
        <v>20</v>
      </c>
      <c r="C7" s="55"/>
      <c r="D7" s="60" t="s">
        <v>11</v>
      </c>
      <c r="E7" s="60"/>
      <c r="F7" s="60"/>
      <c r="G7" s="60"/>
      <c r="H7" s="59">
        <v>58</v>
      </c>
      <c r="I7" s="35">
        <f>SUM(H7)+4</f>
        <v>62</v>
      </c>
      <c r="J7" s="35">
        <f>SUM(I7)+4</f>
        <v>66</v>
      </c>
      <c r="K7" s="34"/>
      <c r="L7" s="61"/>
      <c r="M7" s="54"/>
    </row>
    <row r="8" spans="1:13" s="2" customFormat="1" ht="13.5" customHeight="1" x14ac:dyDescent="0.3">
      <c r="A8" s="47"/>
      <c r="B8" s="19" t="s">
        <v>23</v>
      </c>
      <c r="C8" s="19"/>
      <c r="D8" s="20" t="s">
        <v>26</v>
      </c>
      <c r="E8" s="21"/>
      <c r="F8" s="21"/>
      <c r="G8" s="22"/>
      <c r="H8" s="43"/>
      <c r="I8" s="32"/>
      <c r="J8" s="32"/>
      <c r="K8" s="34"/>
      <c r="L8" s="61"/>
      <c r="M8" s="54"/>
    </row>
    <row r="9" spans="1:13" s="2" customFormat="1" ht="13.5" customHeight="1" x14ac:dyDescent="0.3">
      <c r="A9" s="47">
        <v>4</v>
      </c>
      <c r="B9" s="55" t="s">
        <v>253</v>
      </c>
      <c r="C9" s="55"/>
      <c r="D9" s="60"/>
      <c r="E9" s="60"/>
      <c r="F9" s="60"/>
      <c r="G9" s="60"/>
      <c r="H9" s="59">
        <v>77</v>
      </c>
      <c r="I9" s="35">
        <f>SUM(H9)+5.6</f>
        <v>82.6</v>
      </c>
      <c r="J9" s="35">
        <f>SUM(I9)+5.6</f>
        <v>88.199999999999989</v>
      </c>
      <c r="K9" s="34"/>
      <c r="L9" s="34"/>
      <c r="M9" s="54"/>
    </row>
    <row r="10" spans="1:13" s="2" customFormat="1" ht="13.5" customHeight="1" x14ac:dyDescent="0.3">
      <c r="A10" s="47"/>
      <c r="B10" s="19" t="s">
        <v>251</v>
      </c>
      <c r="C10" s="19"/>
      <c r="D10" s="20" t="s">
        <v>252</v>
      </c>
      <c r="E10" s="21"/>
      <c r="F10" s="21"/>
      <c r="G10" s="22"/>
      <c r="H10" s="43"/>
      <c r="I10" s="32"/>
      <c r="J10" s="32"/>
      <c r="K10" s="34"/>
      <c r="L10" s="34"/>
      <c r="M10" s="54"/>
    </row>
    <row r="11" spans="1:13" s="2" customFormat="1" ht="13.5" customHeight="1" x14ac:dyDescent="0.3">
      <c r="A11" s="47">
        <v>5</v>
      </c>
      <c r="B11" s="55" t="s">
        <v>10</v>
      </c>
      <c r="C11" s="55"/>
      <c r="D11" s="60" t="s">
        <v>0</v>
      </c>
      <c r="E11" s="60"/>
      <c r="F11" s="60"/>
      <c r="G11" s="60"/>
      <c r="H11" s="53">
        <v>25</v>
      </c>
      <c r="I11" s="34">
        <f>SUM(H11)+1</f>
        <v>26</v>
      </c>
      <c r="J11" s="34">
        <f>SUM(I11)+1</f>
        <v>27</v>
      </c>
      <c r="K11" s="34"/>
      <c r="L11" s="34"/>
      <c r="M11" s="54"/>
    </row>
    <row r="12" spans="1:13" s="2" customFormat="1" ht="13.5" customHeight="1" x14ac:dyDescent="0.3">
      <c r="A12" s="47"/>
      <c r="B12" s="19" t="s">
        <v>14</v>
      </c>
      <c r="C12" s="19"/>
      <c r="D12" s="20" t="s">
        <v>28</v>
      </c>
      <c r="E12" s="21"/>
      <c r="F12" s="21"/>
      <c r="G12" s="22"/>
      <c r="H12" s="53"/>
      <c r="I12" s="34"/>
      <c r="J12" s="34"/>
      <c r="K12" s="34"/>
      <c r="L12" s="34"/>
      <c r="M12" s="54"/>
    </row>
    <row r="13" spans="1:13" s="2" customFormat="1" ht="13.5" customHeight="1" x14ac:dyDescent="0.3">
      <c r="A13" s="47">
        <v>6</v>
      </c>
      <c r="B13" s="55" t="s">
        <v>1</v>
      </c>
      <c r="C13" s="55"/>
      <c r="D13" s="60" t="s">
        <v>2</v>
      </c>
      <c r="E13" s="60"/>
      <c r="F13" s="60"/>
      <c r="G13" s="60"/>
      <c r="H13" s="53">
        <v>18</v>
      </c>
      <c r="I13" s="34">
        <f>SUM(H13)+0.6</f>
        <v>18.600000000000001</v>
      </c>
      <c r="J13" s="34">
        <f>SUM(I13)+0.6</f>
        <v>19.200000000000003</v>
      </c>
      <c r="K13" s="34"/>
      <c r="L13" s="34"/>
      <c r="M13" s="54"/>
    </row>
    <row r="14" spans="1:13" s="2" customFormat="1" ht="13.5" customHeight="1" x14ac:dyDescent="0.3">
      <c r="A14" s="47"/>
      <c r="B14" s="19" t="s">
        <v>15</v>
      </c>
      <c r="C14" s="19"/>
      <c r="D14" s="20" t="s">
        <v>89</v>
      </c>
      <c r="E14" s="21"/>
      <c r="F14" s="21"/>
      <c r="G14" s="22"/>
      <c r="H14" s="53"/>
      <c r="I14" s="34"/>
      <c r="J14" s="34"/>
      <c r="K14" s="34"/>
      <c r="L14" s="34"/>
      <c r="M14" s="54"/>
    </row>
    <row r="15" spans="1:13" s="2" customFormat="1" ht="13.5" customHeight="1" x14ac:dyDescent="0.3">
      <c r="A15" s="47">
        <v>7</v>
      </c>
      <c r="B15" s="55" t="s">
        <v>3</v>
      </c>
      <c r="C15" s="55"/>
      <c r="D15" s="60" t="s">
        <v>4</v>
      </c>
      <c r="E15" s="60"/>
      <c r="F15" s="60"/>
      <c r="G15" s="60"/>
      <c r="H15" s="53">
        <v>7.5</v>
      </c>
      <c r="I15" s="34">
        <f>SUM(H15)+0.3</f>
        <v>7.8</v>
      </c>
      <c r="J15" s="34">
        <f>SUM(I15)+0.3</f>
        <v>8.1</v>
      </c>
      <c r="K15" s="34"/>
      <c r="L15" s="34"/>
      <c r="M15" s="54"/>
    </row>
    <row r="16" spans="1:13" s="2" customFormat="1" ht="13.5" customHeight="1" x14ac:dyDescent="0.3">
      <c r="A16" s="47"/>
      <c r="B16" s="19" t="s">
        <v>16</v>
      </c>
      <c r="C16" s="19"/>
      <c r="D16" s="20" t="s">
        <v>88</v>
      </c>
      <c r="E16" s="21"/>
      <c r="F16" s="21"/>
      <c r="G16" s="22"/>
      <c r="H16" s="53"/>
      <c r="I16" s="34"/>
      <c r="J16" s="34"/>
      <c r="K16" s="34"/>
      <c r="L16" s="34"/>
      <c r="M16" s="54"/>
    </row>
    <row r="17" spans="1:13" s="2" customFormat="1" ht="13.5" customHeight="1" x14ac:dyDescent="0.3">
      <c r="A17" s="47">
        <v>8</v>
      </c>
      <c r="B17" s="48" t="s">
        <v>56</v>
      </c>
      <c r="C17" s="49"/>
      <c r="D17" s="56" t="s">
        <v>58</v>
      </c>
      <c r="E17" s="57"/>
      <c r="F17" s="57"/>
      <c r="G17" s="58"/>
      <c r="H17" s="53">
        <v>44.6</v>
      </c>
      <c r="I17" s="34">
        <f>SUM(H17)+1.6</f>
        <v>46.2</v>
      </c>
      <c r="J17" s="34">
        <f>SUM(I17)+1.6</f>
        <v>47.800000000000004</v>
      </c>
      <c r="K17" s="34"/>
      <c r="L17" s="34"/>
      <c r="M17" s="54"/>
    </row>
    <row r="18" spans="1:13" s="2" customFormat="1" ht="13.5" customHeight="1" x14ac:dyDescent="0.3">
      <c r="A18" s="47"/>
      <c r="B18" s="19" t="s">
        <v>57</v>
      </c>
      <c r="C18" s="19"/>
      <c r="D18" s="20" t="s">
        <v>244</v>
      </c>
      <c r="E18" s="21"/>
      <c r="F18" s="21"/>
      <c r="G18" s="22"/>
      <c r="H18" s="53"/>
      <c r="I18" s="34"/>
      <c r="J18" s="34"/>
      <c r="K18" s="34"/>
      <c r="L18" s="34"/>
      <c r="M18" s="54"/>
    </row>
    <row r="19" spans="1:13" s="2" customFormat="1" ht="13.5" customHeight="1" x14ac:dyDescent="0.3">
      <c r="A19" s="47">
        <v>9</v>
      </c>
      <c r="B19" s="55" t="s">
        <v>5</v>
      </c>
      <c r="C19" s="55"/>
      <c r="D19" s="60" t="s">
        <v>6</v>
      </c>
      <c r="E19" s="60"/>
      <c r="F19" s="60"/>
      <c r="G19" s="60"/>
      <c r="H19" s="53">
        <v>46.5</v>
      </c>
      <c r="I19" s="34">
        <f>SUM(H19)+2.1</f>
        <v>48.6</v>
      </c>
      <c r="J19" s="34">
        <f>SUM(I19)+2.1</f>
        <v>50.7</v>
      </c>
      <c r="K19" s="34"/>
      <c r="L19" s="34"/>
      <c r="M19" s="54"/>
    </row>
    <row r="20" spans="1:13" s="2" customFormat="1" ht="13.5" customHeight="1" x14ac:dyDescent="0.3">
      <c r="A20" s="47"/>
      <c r="B20" s="19" t="s">
        <v>17</v>
      </c>
      <c r="C20" s="19"/>
      <c r="D20" s="20" t="s">
        <v>29</v>
      </c>
      <c r="E20" s="21"/>
      <c r="F20" s="21"/>
      <c r="G20" s="22"/>
      <c r="H20" s="53"/>
      <c r="I20" s="34"/>
      <c r="J20" s="34"/>
      <c r="K20" s="34"/>
      <c r="L20" s="34"/>
      <c r="M20" s="54"/>
    </row>
    <row r="21" spans="1:13" s="2" customFormat="1" ht="13.5" customHeight="1" x14ac:dyDescent="0.3">
      <c r="A21" s="47">
        <v>10</v>
      </c>
      <c r="B21" s="55" t="s">
        <v>7</v>
      </c>
      <c r="C21" s="55"/>
      <c r="D21" s="56" t="s">
        <v>8</v>
      </c>
      <c r="E21" s="57"/>
      <c r="F21" s="57"/>
      <c r="G21" s="58"/>
      <c r="H21" s="53">
        <v>49</v>
      </c>
      <c r="I21" s="34">
        <f>SUM(H21)+2</f>
        <v>51</v>
      </c>
      <c r="J21" s="34">
        <f>SUM(I21)+2</f>
        <v>53</v>
      </c>
      <c r="K21" s="34"/>
      <c r="L21" s="34"/>
      <c r="M21" s="54"/>
    </row>
    <row r="22" spans="1:13" s="2" customFormat="1" ht="13.5" customHeight="1" x14ac:dyDescent="0.3">
      <c r="A22" s="47"/>
      <c r="B22" s="19" t="s">
        <v>18</v>
      </c>
      <c r="C22" s="19"/>
      <c r="D22" s="20" t="s">
        <v>36</v>
      </c>
      <c r="E22" s="21"/>
      <c r="F22" s="21"/>
      <c r="G22" s="22"/>
      <c r="H22" s="53"/>
      <c r="I22" s="34"/>
      <c r="J22" s="34"/>
      <c r="K22" s="34"/>
      <c r="L22" s="34"/>
      <c r="M22" s="54"/>
    </row>
    <row r="23" spans="1:13" s="2" customFormat="1" ht="13.5" customHeight="1" x14ac:dyDescent="0.3">
      <c r="A23" s="47">
        <v>11</v>
      </c>
      <c r="B23" s="48" t="s">
        <v>254</v>
      </c>
      <c r="C23" s="49"/>
      <c r="D23" s="60"/>
      <c r="E23" s="60"/>
      <c r="F23" s="60"/>
      <c r="G23" s="60"/>
      <c r="H23" s="53">
        <v>19</v>
      </c>
      <c r="I23" s="34">
        <f>SUM(H23)+0.8</f>
        <v>19.8</v>
      </c>
      <c r="J23" s="34">
        <f>SUM(I23)+0.8</f>
        <v>20.6</v>
      </c>
      <c r="K23" s="34"/>
      <c r="L23" s="34"/>
      <c r="M23" s="54"/>
    </row>
    <row r="24" spans="1:13" s="2" customFormat="1" ht="13.5" customHeight="1" x14ac:dyDescent="0.3">
      <c r="A24" s="47"/>
      <c r="B24" s="19" t="s">
        <v>255</v>
      </c>
      <c r="C24" s="19"/>
      <c r="D24" s="20" t="s">
        <v>252</v>
      </c>
      <c r="E24" s="21"/>
      <c r="F24" s="21"/>
      <c r="G24" s="22"/>
      <c r="H24" s="53"/>
      <c r="I24" s="34"/>
      <c r="J24" s="34"/>
      <c r="K24" s="34"/>
      <c r="L24" s="34"/>
      <c r="M24" s="54"/>
    </row>
    <row r="25" spans="1:13" ht="13.5" customHeight="1" x14ac:dyDescent="0.3">
      <c r="A25" s="47">
        <v>12</v>
      </c>
      <c r="B25" s="48" t="s">
        <v>245</v>
      </c>
      <c r="C25" s="49"/>
      <c r="D25" s="60"/>
      <c r="E25" s="60"/>
      <c r="F25" s="60"/>
      <c r="G25" s="60"/>
      <c r="H25" s="59">
        <v>14.5</v>
      </c>
      <c r="I25" s="35">
        <f>SUM(H25)+0.6</f>
        <v>15.1</v>
      </c>
      <c r="J25" s="35">
        <f>SUM(I25)+0.6</f>
        <v>15.7</v>
      </c>
      <c r="K25" s="35"/>
      <c r="L25" s="35"/>
      <c r="M25" s="17"/>
    </row>
    <row r="26" spans="1:13" ht="13.5" customHeight="1" x14ac:dyDescent="0.3">
      <c r="A26" s="47"/>
      <c r="B26" s="45" t="s">
        <v>246</v>
      </c>
      <c r="C26" s="46"/>
      <c r="D26" s="20"/>
      <c r="E26" s="21"/>
      <c r="F26" s="21"/>
      <c r="G26" s="22"/>
      <c r="H26" s="43"/>
      <c r="I26" s="32"/>
      <c r="J26" s="32"/>
      <c r="K26" s="32"/>
      <c r="L26" s="32"/>
      <c r="M26" s="18"/>
    </row>
    <row r="27" spans="1:13" ht="13.5" customHeight="1" x14ac:dyDescent="0.3">
      <c r="A27" s="47">
        <v>13</v>
      </c>
      <c r="B27" s="55" t="s">
        <v>144</v>
      </c>
      <c r="C27" s="55"/>
      <c r="D27" s="56" t="s">
        <v>143</v>
      </c>
      <c r="E27" s="57"/>
      <c r="F27" s="57"/>
      <c r="G27" s="58"/>
      <c r="H27" s="59">
        <v>38</v>
      </c>
      <c r="I27" s="35">
        <f>SUM(H27)+1</f>
        <v>39</v>
      </c>
      <c r="J27" s="35">
        <f>SUM(I27)+1</f>
        <v>40</v>
      </c>
      <c r="K27" s="35"/>
      <c r="L27" s="35"/>
      <c r="M27" s="17"/>
    </row>
    <row r="28" spans="1:13" ht="13.5" customHeight="1" x14ac:dyDescent="0.3">
      <c r="A28" s="47"/>
      <c r="B28" s="19" t="s">
        <v>142</v>
      </c>
      <c r="C28" s="19"/>
      <c r="D28" s="20" t="s">
        <v>141</v>
      </c>
      <c r="E28" s="21"/>
      <c r="F28" s="21"/>
      <c r="G28" s="22"/>
      <c r="H28" s="43"/>
      <c r="I28" s="32"/>
      <c r="J28" s="32"/>
      <c r="K28" s="32"/>
      <c r="L28" s="32"/>
      <c r="M28" s="18"/>
    </row>
    <row r="29" spans="1:13" s="2" customFormat="1" ht="13.5" customHeight="1" x14ac:dyDescent="0.3">
      <c r="A29" s="47">
        <v>14</v>
      </c>
      <c r="B29" s="55" t="s">
        <v>140</v>
      </c>
      <c r="C29" s="55"/>
      <c r="D29" s="56" t="s">
        <v>139</v>
      </c>
      <c r="E29" s="57"/>
      <c r="F29" s="57"/>
      <c r="G29" s="58"/>
      <c r="H29" s="59">
        <v>25</v>
      </c>
      <c r="I29" s="35">
        <f>SUM(H29)+0.8</f>
        <v>25.8</v>
      </c>
      <c r="J29" s="35">
        <f>SUM(I29)+0.8</f>
        <v>26.6</v>
      </c>
      <c r="K29" s="35"/>
      <c r="L29" s="34"/>
      <c r="M29" s="54"/>
    </row>
    <row r="30" spans="1:13" s="2" customFormat="1" ht="13.5" customHeight="1" x14ac:dyDescent="0.3">
      <c r="A30" s="47"/>
      <c r="B30" s="19" t="s">
        <v>138</v>
      </c>
      <c r="C30" s="19"/>
      <c r="D30" s="20" t="s">
        <v>137</v>
      </c>
      <c r="E30" s="21"/>
      <c r="F30" s="21"/>
      <c r="G30" s="22"/>
      <c r="H30" s="43"/>
      <c r="I30" s="32"/>
      <c r="J30" s="32"/>
      <c r="K30" s="32"/>
      <c r="L30" s="34"/>
      <c r="M30" s="54"/>
    </row>
    <row r="31" spans="1:13" s="2" customFormat="1" ht="13.5" customHeight="1" x14ac:dyDescent="0.3">
      <c r="A31" s="47">
        <v>15</v>
      </c>
      <c r="B31" s="55" t="s">
        <v>247</v>
      </c>
      <c r="C31" s="55"/>
      <c r="D31" s="56"/>
      <c r="E31" s="57"/>
      <c r="F31" s="57"/>
      <c r="G31" s="58"/>
      <c r="H31" s="59">
        <v>111</v>
      </c>
      <c r="I31" s="35">
        <f>SUM(H31)+2</f>
        <v>113</v>
      </c>
      <c r="J31" s="35">
        <f>SUM(I31)+2</f>
        <v>115</v>
      </c>
      <c r="K31" s="35"/>
      <c r="L31" s="35"/>
      <c r="M31" s="17"/>
    </row>
    <row r="32" spans="1:13" s="2" customFormat="1" ht="13.5" customHeight="1" x14ac:dyDescent="0.3">
      <c r="A32" s="47"/>
      <c r="B32" s="19" t="s">
        <v>197</v>
      </c>
      <c r="C32" s="19"/>
      <c r="D32" s="20" t="s">
        <v>248</v>
      </c>
      <c r="E32" s="21"/>
      <c r="F32" s="21"/>
      <c r="G32" s="22"/>
      <c r="H32" s="43"/>
      <c r="I32" s="32"/>
      <c r="J32" s="32"/>
      <c r="K32" s="32"/>
      <c r="L32" s="32"/>
      <c r="M32" s="18"/>
    </row>
    <row r="33" spans="1:16" s="2" customFormat="1" ht="13.5" customHeight="1" x14ac:dyDescent="0.3">
      <c r="A33" s="47">
        <v>16</v>
      </c>
      <c r="B33" s="48" t="s">
        <v>39</v>
      </c>
      <c r="C33" s="49"/>
      <c r="D33" s="56"/>
      <c r="E33" s="57"/>
      <c r="F33" s="57"/>
      <c r="G33" s="58"/>
      <c r="H33" s="53">
        <v>14.5</v>
      </c>
      <c r="I33" s="34">
        <f>SUM(H33)+0.6</f>
        <v>15.1</v>
      </c>
      <c r="J33" s="34">
        <f>SUM(I33)+0.6</f>
        <v>15.7</v>
      </c>
      <c r="K33" s="35"/>
      <c r="L33" s="35"/>
      <c r="M33" s="17"/>
    </row>
    <row r="34" spans="1:16" s="2" customFormat="1" ht="13.5" customHeight="1" x14ac:dyDescent="0.3">
      <c r="A34" s="47"/>
      <c r="B34" s="45" t="s">
        <v>40</v>
      </c>
      <c r="C34" s="46"/>
      <c r="D34" s="20" t="s">
        <v>249</v>
      </c>
      <c r="E34" s="21"/>
      <c r="F34" s="21"/>
      <c r="G34" s="22"/>
      <c r="H34" s="53"/>
      <c r="I34" s="34"/>
      <c r="J34" s="34"/>
      <c r="K34" s="32"/>
      <c r="L34" s="32"/>
      <c r="M34" s="18"/>
    </row>
    <row r="35" spans="1:16" s="2" customFormat="1" ht="13.5" customHeight="1" x14ac:dyDescent="0.3">
      <c r="A35" s="47">
        <v>17</v>
      </c>
      <c r="B35" s="48" t="s">
        <v>86</v>
      </c>
      <c r="C35" s="49"/>
      <c r="D35" s="50"/>
      <c r="E35" s="51"/>
      <c r="F35" s="51"/>
      <c r="G35" s="52"/>
      <c r="H35" s="53">
        <v>9.5</v>
      </c>
      <c r="I35" s="34">
        <f>SUM(H35)+0.7</f>
        <v>10.199999999999999</v>
      </c>
      <c r="J35" s="34">
        <f>SUM(I35)+0.7</f>
        <v>10.899999999999999</v>
      </c>
      <c r="K35" s="35"/>
      <c r="L35" s="35"/>
      <c r="M35" s="17"/>
    </row>
    <row r="36" spans="1:16" s="2" customFormat="1" ht="13.5" customHeight="1" x14ac:dyDescent="0.3">
      <c r="A36" s="47"/>
      <c r="B36" s="45" t="s">
        <v>87</v>
      </c>
      <c r="C36" s="46"/>
      <c r="D36" s="20" t="s">
        <v>250</v>
      </c>
      <c r="E36" s="21"/>
      <c r="F36" s="21"/>
      <c r="G36" s="22"/>
      <c r="H36" s="53"/>
      <c r="I36" s="34"/>
      <c r="J36" s="34"/>
      <c r="K36" s="32"/>
      <c r="L36" s="32"/>
      <c r="M36" s="18"/>
      <c r="P36" s="2" t="s">
        <v>168</v>
      </c>
    </row>
    <row r="37" spans="1:16" s="2" customFormat="1" ht="13.5" customHeight="1" x14ac:dyDescent="0.3">
      <c r="A37" s="47">
        <v>18</v>
      </c>
      <c r="B37" s="48" t="s">
        <v>95</v>
      </c>
      <c r="C37" s="49"/>
      <c r="D37" s="50"/>
      <c r="E37" s="51"/>
      <c r="F37" s="51"/>
      <c r="G37" s="52"/>
      <c r="H37" s="53">
        <v>49</v>
      </c>
      <c r="I37" s="34">
        <v>51.5</v>
      </c>
      <c r="J37" s="34">
        <v>54.5</v>
      </c>
      <c r="K37" s="35"/>
      <c r="L37" s="35"/>
      <c r="M37" s="17"/>
    </row>
    <row r="38" spans="1:16" s="2" customFormat="1" ht="13.5" customHeight="1" x14ac:dyDescent="0.3">
      <c r="A38" s="47"/>
      <c r="B38" s="45" t="s">
        <v>94</v>
      </c>
      <c r="C38" s="46"/>
      <c r="D38" s="20" t="s">
        <v>154</v>
      </c>
      <c r="E38" s="21"/>
      <c r="F38" s="21"/>
      <c r="G38" s="22"/>
      <c r="H38" s="53"/>
      <c r="I38" s="34"/>
      <c r="J38" s="34"/>
      <c r="K38" s="32"/>
      <c r="L38" s="32"/>
      <c r="M38" s="18"/>
    </row>
    <row r="39" spans="1:16" ht="14.1" customHeight="1" x14ac:dyDescent="0.3">
      <c r="A39" s="36">
        <v>19</v>
      </c>
      <c r="B39" s="38"/>
      <c r="C39" s="39"/>
      <c r="D39" s="40"/>
      <c r="E39" s="41"/>
      <c r="F39" s="41"/>
      <c r="G39" s="42"/>
      <c r="H39" s="43"/>
      <c r="I39" s="32"/>
      <c r="J39" s="32" t="s">
        <v>168</v>
      </c>
      <c r="K39" s="23"/>
      <c r="L39" s="23"/>
      <c r="M39" s="25"/>
    </row>
    <row r="40" spans="1:16" ht="14.1" customHeight="1" thickBot="1" x14ac:dyDescent="0.35">
      <c r="A40" s="37"/>
      <c r="B40" s="27"/>
      <c r="C40" s="28"/>
      <c r="D40" s="29"/>
      <c r="E40" s="30"/>
      <c r="F40" s="30"/>
      <c r="G40" s="31"/>
      <c r="H40" s="44"/>
      <c r="I40" s="33"/>
      <c r="J40" s="33"/>
      <c r="K40" s="24"/>
      <c r="L40" s="24"/>
      <c r="M40" s="26"/>
    </row>
    <row r="41" spans="1:16" ht="14.1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6" ht="14.1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6" ht="14.1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6" ht="14.1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6" ht="14.1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6" ht="14.1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6" ht="14.1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6" ht="14.1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4.1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4.1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4.1" customHeight="1" x14ac:dyDescent="0.3"/>
    <row r="52" spans="1:13" ht="14.1" customHeight="1" x14ac:dyDescent="0.3"/>
    <row r="53" spans="1:13" ht="14.1" customHeight="1" x14ac:dyDescent="0.3"/>
    <row r="59" spans="1:13" x14ac:dyDescent="0.3">
      <c r="B59" s="1"/>
      <c r="C59" s="1"/>
      <c r="D59" s="1"/>
      <c r="E59" s="1"/>
      <c r="F59" s="1"/>
      <c r="G59" s="1"/>
    </row>
    <row r="60" spans="1:13" x14ac:dyDescent="0.3">
      <c r="B60" s="1"/>
      <c r="C60" s="1"/>
      <c r="D60" s="1"/>
      <c r="E60" s="1"/>
      <c r="F60" s="1"/>
      <c r="G60" s="1"/>
    </row>
    <row r="61" spans="1:13" x14ac:dyDescent="0.3">
      <c r="B61" s="1"/>
      <c r="C61" s="1"/>
      <c r="D61" s="1"/>
      <c r="E61" s="1"/>
      <c r="F61" s="1"/>
      <c r="G61" s="1"/>
    </row>
    <row r="62" spans="1:13" x14ac:dyDescent="0.3">
      <c r="B62" s="1"/>
      <c r="C62" s="1"/>
      <c r="D62" s="1"/>
      <c r="E62" s="1"/>
      <c r="F62" s="1"/>
      <c r="G62" s="1"/>
    </row>
  </sheetData>
  <mergeCells count="212"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49B8-B115-4973-8AD4-5949A113452E}">
  <sheetPr>
    <tabColor rgb="FFFF0000"/>
    <pageSetUpPr fitToPage="1"/>
  </sheetPr>
  <dimension ref="A1:M62"/>
  <sheetViews>
    <sheetView topLeftCell="A10" zoomScale="110" zoomScaleNormal="110" zoomScalePageLayoutView="30" workbookViewId="0">
      <selection activeCell="J23" sqref="J23:J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2" t="s">
        <v>191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3.5" customHeight="1" x14ac:dyDescent="0.3">
      <c r="A3" s="66">
        <v>1</v>
      </c>
      <c r="B3" s="80" t="s">
        <v>64</v>
      </c>
      <c r="C3" s="80"/>
      <c r="D3" s="81" t="s">
        <v>63</v>
      </c>
      <c r="E3" s="81"/>
      <c r="F3" s="81"/>
      <c r="G3" s="82"/>
      <c r="H3" s="70">
        <v>48</v>
      </c>
      <c r="I3" s="71">
        <f>SUM(H3)+3</f>
        <v>51</v>
      </c>
      <c r="J3" s="71">
        <f>SUM(I3)+3</f>
        <v>54</v>
      </c>
      <c r="K3" s="71"/>
      <c r="L3" s="72"/>
      <c r="M3" s="73"/>
    </row>
    <row r="4" spans="1:13" s="2" customFormat="1" ht="13.5" customHeight="1" x14ac:dyDescent="0.3">
      <c r="A4" s="47"/>
      <c r="B4" s="19" t="s">
        <v>62</v>
      </c>
      <c r="C4" s="19"/>
      <c r="D4" s="20" t="s">
        <v>61</v>
      </c>
      <c r="E4" s="21"/>
      <c r="F4" s="21"/>
      <c r="G4" s="21"/>
      <c r="H4" s="53"/>
      <c r="I4" s="34"/>
      <c r="J4" s="34"/>
      <c r="K4" s="35"/>
      <c r="L4" s="32"/>
      <c r="M4" s="18"/>
    </row>
    <row r="5" spans="1:13" s="2" customFormat="1" ht="13.5" customHeight="1" x14ac:dyDescent="0.3">
      <c r="A5" s="75">
        <v>2</v>
      </c>
      <c r="B5" s="48" t="s">
        <v>21</v>
      </c>
      <c r="C5" s="49"/>
      <c r="D5" s="56" t="s">
        <v>22</v>
      </c>
      <c r="E5" s="57"/>
      <c r="F5" s="57"/>
      <c r="G5" s="58"/>
      <c r="H5" s="59">
        <v>38</v>
      </c>
      <c r="I5" s="35">
        <f>SUM(H5)+3.2</f>
        <v>41.2</v>
      </c>
      <c r="J5" s="35">
        <f>SUM(I5)+3.2</f>
        <v>44.400000000000006</v>
      </c>
      <c r="K5" s="35"/>
      <c r="L5" s="35"/>
      <c r="M5" s="17"/>
    </row>
    <row r="6" spans="1:13" s="2" customFormat="1" ht="13.5" customHeight="1" x14ac:dyDescent="0.3">
      <c r="A6" s="36"/>
      <c r="B6" s="45" t="s">
        <v>12</v>
      </c>
      <c r="C6" s="46"/>
      <c r="D6" s="20" t="s">
        <v>192</v>
      </c>
      <c r="E6" s="21"/>
      <c r="F6" s="21"/>
      <c r="G6" s="22"/>
      <c r="H6" s="43"/>
      <c r="I6" s="32"/>
      <c r="J6" s="32"/>
      <c r="K6" s="32"/>
      <c r="L6" s="32"/>
      <c r="M6" s="18"/>
    </row>
    <row r="7" spans="1:13" s="2" customFormat="1" ht="13.5" customHeight="1" x14ac:dyDescent="0.3">
      <c r="A7" s="75">
        <v>3</v>
      </c>
      <c r="B7" s="55" t="s">
        <v>20</v>
      </c>
      <c r="C7" s="55"/>
      <c r="D7" s="60" t="s">
        <v>11</v>
      </c>
      <c r="E7" s="60"/>
      <c r="F7" s="60"/>
      <c r="G7" s="60"/>
      <c r="H7" s="59">
        <v>48</v>
      </c>
      <c r="I7" s="35">
        <f>SUM(H7)+4</f>
        <v>52</v>
      </c>
      <c r="J7" s="35">
        <f>SUM(I7)+4</f>
        <v>56</v>
      </c>
      <c r="K7" s="34"/>
      <c r="L7" s="34"/>
      <c r="M7" s="54"/>
    </row>
    <row r="8" spans="1:13" s="2" customFormat="1" ht="13.5" customHeight="1" x14ac:dyDescent="0.3">
      <c r="A8" s="36"/>
      <c r="B8" s="19" t="s">
        <v>23</v>
      </c>
      <c r="C8" s="19"/>
      <c r="D8" s="20" t="s">
        <v>26</v>
      </c>
      <c r="E8" s="21"/>
      <c r="F8" s="21"/>
      <c r="G8" s="22"/>
      <c r="H8" s="43"/>
      <c r="I8" s="32"/>
      <c r="J8" s="32"/>
      <c r="K8" s="34"/>
      <c r="L8" s="34"/>
      <c r="M8" s="54"/>
    </row>
    <row r="9" spans="1:13" s="2" customFormat="1" ht="13.5" customHeight="1" x14ac:dyDescent="0.3">
      <c r="A9" s="75">
        <v>4</v>
      </c>
      <c r="B9" s="55" t="s">
        <v>24</v>
      </c>
      <c r="C9" s="55"/>
      <c r="D9" s="60" t="s">
        <v>9</v>
      </c>
      <c r="E9" s="60"/>
      <c r="F9" s="60"/>
      <c r="G9" s="60"/>
      <c r="H9" s="59">
        <v>38</v>
      </c>
      <c r="I9" s="35">
        <f>SUM(H9)+3.2</f>
        <v>41.2</v>
      </c>
      <c r="J9" s="35">
        <f>SUM(I9)+3.2</f>
        <v>44.400000000000006</v>
      </c>
      <c r="K9" s="34"/>
      <c r="L9" s="34"/>
      <c r="M9" s="54"/>
    </row>
    <row r="10" spans="1:13" s="2" customFormat="1" ht="13.5" customHeight="1" x14ac:dyDescent="0.3">
      <c r="A10" s="36"/>
      <c r="B10" s="19" t="s">
        <v>13</v>
      </c>
      <c r="C10" s="19"/>
      <c r="D10" s="20" t="s">
        <v>27</v>
      </c>
      <c r="E10" s="21"/>
      <c r="F10" s="21"/>
      <c r="G10" s="22"/>
      <c r="H10" s="43"/>
      <c r="I10" s="32"/>
      <c r="J10" s="32"/>
      <c r="K10" s="34"/>
      <c r="L10" s="34"/>
      <c r="M10" s="54"/>
    </row>
    <row r="11" spans="1:13" s="2" customFormat="1" ht="13.5" customHeight="1" x14ac:dyDescent="0.3">
      <c r="A11" s="75">
        <v>5</v>
      </c>
      <c r="B11" s="55" t="s">
        <v>159</v>
      </c>
      <c r="C11" s="55"/>
      <c r="D11" s="60"/>
      <c r="E11" s="60"/>
      <c r="F11" s="60"/>
      <c r="G11" s="60"/>
      <c r="H11" s="53">
        <v>6.5</v>
      </c>
      <c r="I11" s="34">
        <f>SUM(H11)</f>
        <v>6.5</v>
      </c>
      <c r="J11" s="34">
        <f>SUM(I11)</f>
        <v>6.5</v>
      </c>
      <c r="K11" s="35"/>
      <c r="L11" s="35"/>
      <c r="M11" s="17"/>
    </row>
    <row r="12" spans="1:13" s="2" customFormat="1" ht="13.5" customHeight="1" x14ac:dyDescent="0.3">
      <c r="A12" s="36"/>
      <c r="B12" s="19" t="s">
        <v>160</v>
      </c>
      <c r="C12" s="19"/>
      <c r="D12" s="20"/>
      <c r="E12" s="21"/>
      <c r="F12" s="21"/>
      <c r="G12" s="22"/>
      <c r="H12" s="53"/>
      <c r="I12" s="34"/>
      <c r="J12" s="34"/>
      <c r="K12" s="32"/>
      <c r="L12" s="32"/>
      <c r="M12" s="18"/>
    </row>
    <row r="13" spans="1:13" s="2" customFormat="1" ht="13.5" customHeight="1" x14ac:dyDescent="0.3">
      <c r="A13" s="75">
        <v>6</v>
      </c>
      <c r="B13" s="55" t="s">
        <v>10</v>
      </c>
      <c r="C13" s="55"/>
      <c r="D13" s="60" t="s">
        <v>0</v>
      </c>
      <c r="E13" s="60"/>
      <c r="F13" s="60"/>
      <c r="G13" s="60"/>
      <c r="H13" s="53">
        <v>24</v>
      </c>
      <c r="I13" s="34">
        <f>SUM(H13)+1</f>
        <v>25</v>
      </c>
      <c r="J13" s="34">
        <f>SUM(I13)+1</f>
        <v>26</v>
      </c>
      <c r="K13" s="34"/>
      <c r="L13" s="34"/>
      <c r="M13" s="54"/>
    </row>
    <row r="14" spans="1:13" s="2" customFormat="1" ht="13.5" customHeight="1" x14ac:dyDescent="0.3">
      <c r="A14" s="36"/>
      <c r="B14" s="19" t="s">
        <v>14</v>
      </c>
      <c r="C14" s="19"/>
      <c r="D14" s="20" t="s">
        <v>193</v>
      </c>
      <c r="E14" s="21"/>
      <c r="F14" s="21"/>
      <c r="G14" s="22"/>
      <c r="H14" s="53"/>
      <c r="I14" s="34"/>
      <c r="J14" s="34"/>
      <c r="K14" s="34"/>
      <c r="L14" s="34"/>
      <c r="M14" s="54"/>
    </row>
    <row r="15" spans="1:13" s="2" customFormat="1" ht="13.5" customHeight="1" x14ac:dyDescent="0.3">
      <c r="A15" s="75">
        <v>7</v>
      </c>
      <c r="B15" s="55" t="s">
        <v>1</v>
      </c>
      <c r="C15" s="55"/>
      <c r="D15" s="60" t="s">
        <v>132</v>
      </c>
      <c r="E15" s="60"/>
      <c r="F15" s="60"/>
      <c r="G15" s="60"/>
      <c r="H15" s="53">
        <v>22</v>
      </c>
      <c r="I15" s="34">
        <f>SUM(H15)+0.6</f>
        <v>22.6</v>
      </c>
      <c r="J15" s="34">
        <f>SUM(I15)+0.6</f>
        <v>23.200000000000003</v>
      </c>
      <c r="K15" s="34"/>
      <c r="L15" s="34"/>
      <c r="M15" s="54"/>
    </row>
    <row r="16" spans="1:13" s="2" customFormat="1" ht="13.5" customHeight="1" x14ac:dyDescent="0.3">
      <c r="A16" s="36"/>
      <c r="B16" s="19" t="s">
        <v>15</v>
      </c>
      <c r="C16" s="19"/>
      <c r="D16" s="20" t="s">
        <v>89</v>
      </c>
      <c r="E16" s="21"/>
      <c r="F16" s="21"/>
      <c r="G16" s="22"/>
      <c r="H16" s="53"/>
      <c r="I16" s="34"/>
      <c r="J16" s="34"/>
      <c r="K16" s="34"/>
      <c r="L16" s="34"/>
      <c r="M16" s="54"/>
    </row>
    <row r="17" spans="1:13" s="2" customFormat="1" ht="13.5" customHeight="1" x14ac:dyDescent="0.3">
      <c r="A17" s="75">
        <v>8</v>
      </c>
      <c r="B17" s="55" t="s">
        <v>3</v>
      </c>
      <c r="C17" s="55"/>
      <c r="D17" s="60" t="s">
        <v>4</v>
      </c>
      <c r="E17" s="60"/>
      <c r="F17" s="60"/>
      <c r="G17" s="60"/>
      <c r="H17" s="53">
        <v>6</v>
      </c>
      <c r="I17" s="34">
        <f>SUM(H17)+0.3</f>
        <v>6.3</v>
      </c>
      <c r="J17" s="34">
        <f>SUM(I17)+0.3</f>
        <v>6.6</v>
      </c>
      <c r="K17" s="34"/>
      <c r="L17" s="34"/>
      <c r="M17" s="54"/>
    </row>
    <row r="18" spans="1:13" s="2" customFormat="1" ht="13.5" customHeight="1" x14ac:dyDescent="0.3">
      <c r="A18" s="36"/>
      <c r="B18" s="19" t="s">
        <v>16</v>
      </c>
      <c r="C18" s="19"/>
      <c r="D18" s="20" t="s">
        <v>88</v>
      </c>
      <c r="E18" s="21"/>
      <c r="F18" s="21"/>
      <c r="G18" s="22"/>
      <c r="H18" s="53"/>
      <c r="I18" s="34"/>
      <c r="J18" s="34"/>
      <c r="K18" s="34"/>
      <c r="L18" s="34"/>
      <c r="M18" s="54"/>
    </row>
    <row r="19" spans="1:13" s="2" customFormat="1" ht="13.5" customHeight="1" x14ac:dyDescent="0.3">
      <c r="A19" s="75">
        <v>9</v>
      </c>
      <c r="B19" s="55" t="s">
        <v>144</v>
      </c>
      <c r="C19" s="55"/>
      <c r="D19" s="56" t="s">
        <v>143</v>
      </c>
      <c r="E19" s="57"/>
      <c r="F19" s="57"/>
      <c r="G19" s="58"/>
      <c r="H19" s="59">
        <v>36</v>
      </c>
      <c r="I19" s="35">
        <f>SUM(H19)+1</f>
        <v>37</v>
      </c>
      <c r="J19" s="35">
        <f>SUM(I19)+1</f>
        <v>38</v>
      </c>
      <c r="K19" s="34"/>
      <c r="L19" s="34"/>
      <c r="M19" s="54"/>
    </row>
    <row r="20" spans="1:13" s="2" customFormat="1" ht="13.5" customHeight="1" x14ac:dyDescent="0.3">
      <c r="A20" s="36"/>
      <c r="B20" s="19" t="s">
        <v>142</v>
      </c>
      <c r="C20" s="19"/>
      <c r="D20" s="20" t="s">
        <v>141</v>
      </c>
      <c r="E20" s="21"/>
      <c r="F20" s="21"/>
      <c r="G20" s="22"/>
      <c r="H20" s="43"/>
      <c r="I20" s="32"/>
      <c r="J20" s="32"/>
      <c r="K20" s="34"/>
      <c r="L20" s="34"/>
      <c r="M20" s="54"/>
    </row>
    <row r="21" spans="1:13" s="2" customFormat="1" ht="13.5" customHeight="1" x14ac:dyDescent="0.3">
      <c r="A21" s="75">
        <v>10</v>
      </c>
      <c r="B21" s="55" t="s">
        <v>140</v>
      </c>
      <c r="C21" s="55"/>
      <c r="D21" s="56" t="s">
        <v>139</v>
      </c>
      <c r="E21" s="57"/>
      <c r="F21" s="57"/>
      <c r="G21" s="58"/>
      <c r="H21" s="59">
        <v>25</v>
      </c>
      <c r="I21" s="35">
        <f>SUM(H21)+0.8</f>
        <v>25.8</v>
      </c>
      <c r="J21" s="35">
        <f>SUM(I21)+0.8</f>
        <v>26.6</v>
      </c>
      <c r="K21" s="34"/>
      <c r="L21" s="34"/>
      <c r="M21" s="54"/>
    </row>
    <row r="22" spans="1:13" s="2" customFormat="1" ht="13.5" customHeight="1" x14ac:dyDescent="0.3">
      <c r="A22" s="36"/>
      <c r="B22" s="19" t="s">
        <v>138</v>
      </c>
      <c r="C22" s="19"/>
      <c r="D22" s="20" t="s">
        <v>137</v>
      </c>
      <c r="E22" s="21"/>
      <c r="F22" s="21"/>
      <c r="G22" s="22"/>
      <c r="H22" s="43"/>
      <c r="I22" s="32"/>
      <c r="J22" s="32"/>
      <c r="K22" s="34"/>
      <c r="L22" s="34"/>
      <c r="M22" s="54"/>
    </row>
    <row r="23" spans="1:13" s="2" customFormat="1" ht="13.5" customHeight="1" x14ac:dyDescent="0.3">
      <c r="A23" s="75">
        <v>11</v>
      </c>
      <c r="B23" s="55" t="s">
        <v>196</v>
      </c>
      <c r="C23" s="55"/>
      <c r="D23" s="56"/>
      <c r="E23" s="57"/>
      <c r="F23" s="57"/>
      <c r="G23" s="58"/>
      <c r="H23" s="59">
        <v>101</v>
      </c>
      <c r="I23" s="35">
        <f>SUM(H23)+2</f>
        <v>103</v>
      </c>
      <c r="J23" s="35">
        <f>SUM(I23)+2</f>
        <v>105</v>
      </c>
      <c r="K23" s="34"/>
      <c r="L23" s="34"/>
      <c r="M23" s="54"/>
    </row>
    <row r="24" spans="1:13" s="2" customFormat="1" ht="13.5" customHeight="1" x14ac:dyDescent="0.3">
      <c r="A24" s="36"/>
      <c r="B24" s="19" t="s">
        <v>197</v>
      </c>
      <c r="C24" s="19"/>
      <c r="D24" s="20" t="s">
        <v>198</v>
      </c>
      <c r="E24" s="21"/>
      <c r="F24" s="21"/>
      <c r="G24" s="22"/>
      <c r="H24" s="43"/>
      <c r="I24" s="32"/>
      <c r="J24" s="32"/>
      <c r="K24" s="34"/>
      <c r="L24" s="34"/>
      <c r="M24" s="54"/>
    </row>
    <row r="25" spans="1:13" ht="13.5" customHeight="1" x14ac:dyDescent="0.3">
      <c r="A25" s="75">
        <v>12</v>
      </c>
      <c r="B25" s="55" t="s">
        <v>5</v>
      </c>
      <c r="C25" s="55"/>
      <c r="D25" s="60" t="s">
        <v>6</v>
      </c>
      <c r="E25" s="60"/>
      <c r="F25" s="60"/>
      <c r="G25" s="60"/>
      <c r="H25" s="53"/>
      <c r="I25" s="34"/>
      <c r="J25" s="34"/>
      <c r="K25" s="34"/>
      <c r="L25" s="34"/>
      <c r="M25" s="54"/>
    </row>
    <row r="26" spans="1:13" ht="13.5" customHeight="1" x14ac:dyDescent="0.3">
      <c r="A26" s="36"/>
      <c r="B26" s="19" t="s">
        <v>17</v>
      </c>
      <c r="C26" s="19"/>
      <c r="D26" s="20" t="s">
        <v>29</v>
      </c>
      <c r="E26" s="21"/>
      <c r="F26" s="21"/>
      <c r="G26" s="22"/>
      <c r="H26" s="53"/>
      <c r="I26" s="34"/>
      <c r="J26" s="34"/>
      <c r="K26" s="34"/>
      <c r="L26" s="34"/>
      <c r="M26" s="54"/>
    </row>
    <row r="27" spans="1:13" ht="13.5" customHeight="1" x14ac:dyDescent="0.3">
      <c r="A27" s="75">
        <v>13</v>
      </c>
      <c r="B27" s="55" t="s">
        <v>7</v>
      </c>
      <c r="C27" s="55"/>
      <c r="D27" s="56" t="s">
        <v>8</v>
      </c>
      <c r="E27" s="57"/>
      <c r="F27" s="57"/>
      <c r="G27" s="58"/>
      <c r="H27" s="53"/>
      <c r="I27" s="34"/>
      <c r="J27" s="34"/>
      <c r="K27" s="34"/>
      <c r="L27" s="34"/>
      <c r="M27" s="54"/>
    </row>
    <row r="28" spans="1:13" ht="13.5" customHeight="1" x14ac:dyDescent="0.3">
      <c r="A28" s="36"/>
      <c r="B28" s="19" t="s">
        <v>18</v>
      </c>
      <c r="C28" s="19"/>
      <c r="D28" s="20" t="s">
        <v>36</v>
      </c>
      <c r="E28" s="21"/>
      <c r="F28" s="21"/>
      <c r="G28" s="22"/>
      <c r="H28" s="53"/>
      <c r="I28" s="34"/>
      <c r="J28" s="34"/>
      <c r="K28" s="34"/>
      <c r="L28" s="34"/>
      <c r="M28" s="54"/>
    </row>
    <row r="29" spans="1:13" s="2" customFormat="1" ht="13.5" customHeight="1" x14ac:dyDescent="0.3">
      <c r="A29" s="75">
        <v>14</v>
      </c>
      <c r="B29" s="48" t="s">
        <v>59</v>
      </c>
      <c r="C29" s="49"/>
      <c r="D29" s="60" t="s">
        <v>37</v>
      </c>
      <c r="E29" s="60"/>
      <c r="F29" s="60"/>
      <c r="G29" s="60"/>
      <c r="H29" s="53"/>
      <c r="I29" s="34"/>
      <c r="J29" s="34"/>
      <c r="K29" s="34"/>
      <c r="L29" s="34"/>
      <c r="M29" s="54"/>
    </row>
    <row r="30" spans="1:13" s="2" customFormat="1" ht="13.5" customHeight="1" x14ac:dyDescent="0.3">
      <c r="A30" s="36"/>
      <c r="B30" s="19" t="s">
        <v>19</v>
      </c>
      <c r="C30" s="19"/>
      <c r="D30" s="20" t="s">
        <v>38</v>
      </c>
      <c r="E30" s="21"/>
      <c r="F30" s="21"/>
      <c r="G30" s="22"/>
      <c r="H30" s="59"/>
      <c r="I30" s="35"/>
      <c r="J30" s="35"/>
      <c r="K30" s="34"/>
      <c r="L30" s="34"/>
      <c r="M30" s="54"/>
    </row>
    <row r="31" spans="1:13" s="2" customFormat="1" ht="13.5" customHeight="1" x14ac:dyDescent="0.3">
      <c r="A31" s="75">
        <v>15</v>
      </c>
      <c r="B31" s="79" t="s">
        <v>194</v>
      </c>
      <c r="C31" s="79"/>
      <c r="D31" s="67"/>
      <c r="E31" s="68"/>
      <c r="F31" s="68"/>
      <c r="G31" s="69"/>
      <c r="H31" s="53">
        <v>2.5</v>
      </c>
      <c r="I31" s="34">
        <f>SUM(H31)</f>
        <v>2.5</v>
      </c>
      <c r="J31" s="34">
        <f>SUM(I31)</f>
        <v>2.5</v>
      </c>
      <c r="K31" s="32"/>
      <c r="L31" s="32"/>
      <c r="M31" s="18"/>
    </row>
    <row r="32" spans="1:13" s="2" customFormat="1" ht="13.5" customHeight="1" x14ac:dyDescent="0.3">
      <c r="A32" s="36"/>
      <c r="B32" s="19" t="s">
        <v>195</v>
      </c>
      <c r="C32" s="19"/>
      <c r="D32" s="20"/>
      <c r="E32" s="21"/>
      <c r="F32" s="21"/>
      <c r="G32" s="22"/>
      <c r="H32" s="53"/>
      <c r="I32" s="34"/>
      <c r="J32" s="34"/>
      <c r="K32" s="34"/>
      <c r="L32" s="34"/>
      <c r="M32" s="54"/>
    </row>
    <row r="33" spans="1:13" s="2" customFormat="1" ht="13.5" customHeight="1" x14ac:dyDescent="0.3">
      <c r="A33" s="47">
        <v>16</v>
      </c>
      <c r="B33" s="48" t="s">
        <v>39</v>
      </c>
      <c r="C33" s="49"/>
      <c r="D33" s="50"/>
      <c r="E33" s="51"/>
      <c r="F33" s="51"/>
      <c r="G33" s="52"/>
      <c r="H33" s="53">
        <v>13.7</v>
      </c>
      <c r="I33" s="34"/>
      <c r="J33" s="34"/>
      <c r="K33" s="35"/>
      <c r="L33" s="34"/>
      <c r="M33" s="54"/>
    </row>
    <row r="34" spans="1:13" s="2" customFormat="1" ht="13.5" customHeight="1" x14ac:dyDescent="0.3">
      <c r="A34" s="47"/>
      <c r="B34" s="45" t="s">
        <v>40</v>
      </c>
      <c r="C34" s="46"/>
      <c r="D34" s="20" t="s">
        <v>163</v>
      </c>
      <c r="E34" s="21"/>
      <c r="F34" s="21"/>
      <c r="G34" s="22"/>
      <c r="H34" s="53"/>
      <c r="I34" s="34"/>
      <c r="J34" s="34"/>
      <c r="K34" s="32"/>
      <c r="L34" s="34"/>
      <c r="M34" s="54"/>
    </row>
    <row r="35" spans="1:13" s="2" customFormat="1" ht="13.5" customHeight="1" x14ac:dyDescent="0.3">
      <c r="A35" s="47">
        <v>17</v>
      </c>
      <c r="B35" s="48" t="s">
        <v>86</v>
      </c>
      <c r="C35" s="49"/>
      <c r="D35" s="50"/>
      <c r="E35" s="51"/>
      <c r="F35" s="51"/>
      <c r="G35" s="52"/>
      <c r="H35" s="53">
        <v>7.6</v>
      </c>
      <c r="I35" s="34"/>
      <c r="J35" s="34"/>
      <c r="K35" s="35"/>
      <c r="L35" s="35"/>
      <c r="M35" s="17"/>
    </row>
    <row r="36" spans="1:13" s="2" customFormat="1" ht="13.5" customHeight="1" x14ac:dyDescent="0.3">
      <c r="A36" s="47"/>
      <c r="B36" s="45" t="s">
        <v>87</v>
      </c>
      <c r="C36" s="46"/>
      <c r="D36" s="20" t="s">
        <v>164</v>
      </c>
      <c r="E36" s="21"/>
      <c r="F36" s="21"/>
      <c r="G36" s="22"/>
      <c r="H36" s="53"/>
      <c r="I36" s="34"/>
      <c r="J36" s="34"/>
      <c r="K36" s="32"/>
      <c r="L36" s="32"/>
      <c r="M36" s="18"/>
    </row>
    <row r="37" spans="1:13" s="2" customFormat="1" ht="13.5" customHeight="1" x14ac:dyDescent="0.3">
      <c r="A37" s="75">
        <v>18</v>
      </c>
      <c r="B37" s="48" t="s">
        <v>95</v>
      </c>
      <c r="C37" s="49"/>
      <c r="D37" s="50"/>
      <c r="E37" s="51"/>
      <c r="F37" s="51"/>
      <c r="G37" s="52"/>
      <c r="H37" s="53">
        <v>41</v>
      </c>
      <c r="I37" s="34"/>
      <c r="J37" s="34"/>
      <c r="K37" s="35"/>
      <c r="L37" s="35"/>
      <c r="M37" s="17"/>
    </row>
    <row r="38" spans="1:13" s="2" customFormat="1" ht="13.5" customHeight="1" x14ac:dyDescent="0.3">
      <c r="A38" s="78"/>
      <c r="B38" s="38" t="s">
        <v>94</v>
      </c>
      <c r="C38" s="39"/>
      <c r="D38" s="67" t="s">
        <v>154</v>
      </c>
      <c r="E38" s="68"/>
      <c r="F38" s="68"/>
      <c r="G38" s="69"/>
      <c r="H38" s="59"/>
      <c r="I38" s="35"/>
      <c r="J38" s="35"/>
      <c r="K38" s="23"/>
      <c r="L38" s="23"/>
      <c r="M38" s="25"/>
    </row>
    <row r="39" spans="1:13" ht="14.1" customHeight="1" x14ac:dyDescent="0.3">
      <c r="A39" s="75">
        <v>19</v>
      </c>
      <c r="B39" s="48"/>
      <c r="C39" s="49"/>
      <c r="D39" s="50"/>
      <c r="E39" s="51"/>
      <c r="F39" s="51"/>
      <c r="G39" s="52"/>
      <c r="H39" s="53"/>
      <c r="I39" s="61"/>
      <c r="J39" s="61"/>
      <c r="K39" s="34"/>
      <c r="L39" s="34"/>
      <c r="M39" s="54"/>
    </row>
    <row r="40" spans="1:13" ht="14.1" customHeight="1" thickBot="1" x14ac:dyDescent="0.35">
      <c r="A40" s="76"/>
      <c r="B40" s="27"/>
      <c r="C40" s="28"/>
      <c r="D40" s="29"/>
      <c r="E40" s="30"/>
      <c r="F40" s="30"/>
      <c r="G40" s="31"/>
      <c r="H40" s="44"/>
      <c r="I40" s="77"/>
      <c r="J40" s="77"/>
      <c r="K40" s="33"/>
      <c r="L40" s="33"/>
      <c r="M40" s="74"/>
    </row>
    <row r="41" spans="1:13" ht="14.1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4.1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4.1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4.1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4.1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4.1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4.1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4.1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4.1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4.1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4.1" customHeight="1" x14ac:dyDescent="0.3"/>
    <row r="52" spans="1:13" ht="14.1" customHeight="1" x14ac:dyDescent="0.3"/>
    <row r="53" spans="1:13" ht="14.1" customHeight="1" x14ac:dyDescent="0.3"/>
    <row r="59" spans="1:13" x14ac:dyDescent="0.3">
      <c r="B59" s="1"/>
      <c r="C59" s="1"/>
      <c r="D59" s="1"/>
      <c r="E59" s="1"/>
      <c r="F59" s="1"/>
      <c r="G59" s="1"/>
    </row>
    <row r="60" spans="1:13" x14ac:dyDescent="0.3">
      <c r="B60" s="1"/>
      <c r="C60" s="1"/>
      <c r="D60" s="1"/>
      <c r="E60" s="1"/>
      <c r="F60" s="1"/>
      <c r="G60" s="1"/>
    </row>
    <row r="61" spans="1:13" x14ac:dyDescent="0.3">
      <c r="B61" s="1"/>
      <c r="C61" s="1"/>
      <c r="D61" s="1"/>
      <c r="E61" s="1"/>
      <c r="F61" s="1"/>
      <c r="G61" s="1"/>
    </row>
    <row r="62" spans="1:13" x14ac:dyDescent="0.3">
      <c r="B62" s="1"/>
      <c r="C62" s="1"/>
      <c r="D62" s="1"/>
      <c r="E62" s="1"/>
      <c r="F62" s="1"/>
      <c r="G62" s="1"/>
    </row>
  </sheetData>
  <mergeCells count="212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5:A26"/>
    <mergeCell ref="B25:C25"/>
    <mergeCell ref="D25:G25"/>
    <mergeCell ref="H25:H26"/>
    <mergeCell ref="I25:I26"/>
    <mergeCell ref="A21:A22"/>
    <mergeCell ref="B21:C21"/>
    <mergeCell ref="D21:G21"/>
    <mergeCell ref="H21:H22"/>
    <mergeCell ref="I21:I22"/>
    <mergeCell ref="A23:A24"/>
    <mergeCell ref="B23:C23"/>
    <mergeCell ref="D23:G23"/>
    <mergeCell ref="H23:H24"/>
    <mergeCell ref="I23:I24"/>
    <mergeCell ref="B24:C24"/>
    <mergeCell ref="D24:G24"/>
    <mergeCell ref="J25:J26"/>
    <mergeCell ref="K25:K26"/>
    <mergeCell ref="L25:L26"/>
    <mergeCell ref="M25:M26"/>
    <mergeCell ref="B26:C26"/>
    <mergeCell ref="D26:G26"/>
    <mergeCell ref="K21:K22"/>
    <mergeCell ref="L21:L22"/>
    <mergeCell ref="M21:M22"/>
    <mergeCell ref="B22:C22"/>
    <mergeCell ref="D22:G22"/>
    <mergeCell ref="J21:J22"/>
    <mergeCell ref="J23:J24"/>
    <mergeCell ref="K23:K24"/>
    <mergeCell ref="L23:L24"/>
    <mergeCell ref="M23:M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5C37-3698-4DE2-9223-F8B59390D45F}">
  <sheetPr>
    <tabColor rgb="FFFF0000"/>
    <pageSetUpPr fitToPage="1"/>
  </sheetPr>
  <dimension ref="A1:M60"/>
  <sheetViews>
    <sheetView topLeftCell="A7" zoomScale="110" zoomScaleNormal="110" zoomScalePageLayoutView="30" workbookViewId="0">
      <selection activeCell="M23" sqref="M23:M2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4.1" customHeight="1" thickBot="1" x14ac:dyDescent="0.35">
      <c r="A1" s="62" t="s">
        <v>211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4.1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66">
        <v>1</v>
      </c>
      <c r="B3" s="38" t="s">
        <v>92</v>
      </c>
      <c r="C3" s="39"/>
      <c r="D3" s="67" t="s">
        <v>91</v>
      </c>
      <c r="E3" s="68"/>
      <c r="F3" s="68"/>
      <c r="G3" s="69"/>
      <c r="H3" s="70">
        <v>43.3</v>
      </c>
      <c r="I3" s="71">
        <f>SUM(H3)+2.9</f>
        <v>46.199999999999996</v>
      </c>
      <c r="J3" s="71">
        <f>SUM(I3)+2.9</f>
        <v>49.099999999999994</v>
      </c>
      <c r="K3" s="71"/>
      <c r="L3" s="72"/>
      <c r="M3" s="73"/>
    </row>
    <row r="4" spans="1:13" s="2" customFormat="1" ht="14.1" customHeight="1" x14ac:dyDescent="0.3">
      <c r="A4" s="47"/>
      <c r="B4" s="19" t="s">
        <v>60</v>
      </c>
      <c r="C4" s="19"/>
      <c r="D4" s="20" t="s">
        <v>90</v>
      </c>
      <c r="E4" s="21"/>
      <c r="F4" s="21"/>
      <c r="G4" s="21"/>
      <c r="H4" s="53"/>
      <c r="I4" s="34"/>
      <c r="J4" s="34"/>
      <c r="K4" s="35"/>
      <c r="L4" s="32"/>
      <c r="M4" s="18"/>
    </row>
    <row r="5" spans="1:13" s="2" customFormat="1" ht="14.1" customHeight="1" x14ac:dyDescent="0.3">
      <c r="A5" s="47">
        <v>2</v>
      </c>
      <c r="B5" s="48" t="s">
        <v>21</v>
      </c>
      <c r="C5" s="49"/>
      <c r="D5" s="56" t="s">
        <v>22</v>
      </c>
      <c r="E5" s="57"/>
      <c r="F5" s="57"/>
      <c r="G5" s="58"/>
      <c r="H5" s="59">
        <v>38.200000000000003</v>
      </c>
      <c r="I5" s="35">
        <f>SUM(H5)+3.8</f>
        <v>42</v>
      </c>
      <c r="J5" s="35">
        <f>SUM(I5)+3.8</f>
        <v>45.8</v>
      </c>
      <c r="K5" s="34"/>
      <c r="L5" s="34"/>
      <c r="M5" s="54"/>
    </row>
    <row r="6" spans="1:13" s="2" customFormat="1" ht="14.1" customHeight="1" x14ac:dyDescent="0.3">
      <c r="A6" s="47"/>
      <c r="B6" s="45" t="s">
        <v>12</v>
      </c>
      <c r="C6" s="46"/>
      <c r="D6" s="20" t="s">
        <v>25</v>
      </c>
      <c r="E6" s="21"/>
      <c r="F6" s="21"/>
      <c r="G6" s="22"/>
      <c r="H6" s="43"/>
      <c r="I6" s="32"/>
      <c r="J6" s="32"/>
      <c r="K6" s="34"/>
      <c r="L6" s="34"/>
      <c r="M6" s="54"/>
    </row>
    <row r="7" spans="1:13" s="2" customFormat="1" ht="14.1" customHeight="1" x14ac:dyDescent="0.3">
      <c r="A7" s="47">
        <v>3</v>
      </c>
      <c r="B7" s="55" t="s">
        <v>20</v>
      </c>
      <c r="C7" s="55"/>
      <c r="D7" s="60" t="s">
        <v>11</v>
      </c>
      <c r="E7" s="60"/>
      <c r="F7" s="60"/>
      <c r="G7" s="60"/>
      <c r="H7" s="59">
        <v>41</v>
      </c>
      <c r="I7" s="35">
        <f>SUM(H7)+4</f>
        <v>45</v>
      </c>
      <c r="J7" s="35">
        <f>SUM(I7)+4</f>
        <v>49</v>
      </c>
      <c r="K7" s="34"/>
      <c r="L7" s="61"/>
      <c r="M7" s="54"/>
    </row>
    <row r="8" spans="1:13" s="2" customFormat="1" ht="14.1" customHeight="1" x14ac:dyDescent="0.3">
      <c r="A8" s="47"/>
      <c r="B8" s="19" t="s">
        <v>23</v>
      </c>
      <c r="C8" s="19"/>
      <c r="D8" s="20" t="s">
        <v>26</v>
      </c>
      <c r="E8" s="21"/>
      <c r="F8" s="21"/>
      <c r="G8" s="22"/>
      <c r="H8" s="43"/>
      <c r="I8" s="32"/>
      <c r="J8" s="32"/>
      <c r="K8" s="34"/>
      <c r="L8" s="61"/>
      <c r="M8" s="54"/>
    </row>
    <row r="9" spans="1:13" s="2" customFormat="1" ht="14.1" customHeight="1" x14ac:dyDescent="0.3">
      <c r="A9" s="47">
        <v>4</v>
      </c>
      <c r="B9" s="55" t="s">
        <v>24</v>
      </c>
      <c r="C9" s="55"/>
      <c r="D9" s="60" t="s">
        <v>9</v>
      </c>
      <c r="E9" s="60"/>
      <c r="F9" s="60"/>
      <c r="G9" s="60"/>
      <c r="H9" s="59">
        <v>41</v>
      </c>
      <c r="I9" s="35">
        <f>SUM(H9)+4</f>
        <v>45</v>
      </c>
      <c r="J9" s="35">
        <f>SUM(I9)+4</f>
        <v>49</v>
      </c>
      <c r="K9" s="34"/>
      <c r="L9" s="34"/>
      <c r="M9" s="54"/>
    </row>
    <row r="10" spans="1:13" s="2" customFormat="1" ht="14.1" customHeight="1" x14ac:dyDescent="0.3">
      <c r="A10" s="47"/>
      <c r="B10" s="19" t="s">
        <v>13</v>
      </c>
      <c r="C10" s="19"/>
      <c r="D10" s="20" t="s">
        <v>27</v>
      </c>
      <c r="E10" s="21"/>
      <c r="F10" s="21"/>
      <c r="G10" s="22"/>
      <c r="H10" s="43"/>
      <c r="I10" s="32"/>
      <c r="J10" s="32"/>
      <c r="K10" s="34"/>
      <c r="L10" s="34"/>
      <c r="M10" s="54"/>
    </row>
    <row r="11" spans="1:13" s="2" customFormat="1" ht="14.1" customHeight="1" x14ac:dyDescent="0.3">
      <c r="A11" s="47">
        <v>5</v>
      </c>
      <c r="B11" s="55" t="s">
        <v>10</v>
      </c>
      <c r="C11" s="55"/>
      <c r="D11" s="60" t="s">
        <v>0</v>
      </c>
      <c r="E11" s="60"/>
      <c r="F11" s="60"/>
      <c r="G11" s="60"/>
      <c r="H11" s="53">
        <v>18.2</v>
      </c>
      <c r="I11" s="34">
        <f>SUM(H11)+1</f>
        <v>19.2</v>
      </c>
      <c r="J11" s="34">
        <f>SUM(I11)+1</f>
        <v>20.2</v>
      </c>
      <c r="K11" s="34"/>
      <c r="L11" s="34"/>
      <c r="M11" s="54"/>
    </row>
    <row r="12" spans="1:13" s="2" customFormat="1" ht="14.1" customHeight="1" x14ac:dyDescent="0.3">
      <c r="A12" s="47"/>
      <c r="B12" s="19" t="s">
        <v>14</v>
      </c>
      <c r="C12" s="19"/>
      <c r="D12" s="20" t="s">
        <v>28</v>
      </c>
      <c r="E12" s="21"/>
      <c r="F12" s="21"/>
      <c r="G12" s="22"/>
      <c r="H12" s="53"/>
      <c r="I12" s="34"/>
      <c r="J12" s="34"/>
      <c r="K12" s="34"/>
      <c r="L12" s="34"/>
      <c r="M12" s="54"/>
    </row>
    <row r="13" spans="1:13" s="2" customFormat="1" ht="14.1" customHeight="1" x14ac:dyDescent="0.3">
      <c r="A13" s="47">
        <v>6</v>
      </c>
      <c r="B13" s="55" t="s">
        <v>1</v>
      </c>
      <c r="C13" s="55"/>
      <c r="D13" s="60" t="s">
        <v>2</v>
      </c>
      <c r="E13" s="60"/>
      <c r="F13" s="60"/>
      <c r="G13" s="60"/>
      <c r="H13" s="53">
        <v>17.399999999999999</v>
      </c>
      <c r="I13" s="34">
        <f>SUM(H13)+0.6</f>
        <v>18</v>
      </c>
      <c r="J13" s="34">
        <f>SUM(I13)+0.6</f>
        <v>18.600000000000001</v>
      </c>
      <c r="K13" s="34"/>
      <c r="L13" s="34"/>
      <c r="M13" s="54"/>
    </row>
    <row r="14" spans="1:13" s="2" customFormat="1" ht="14.1" customHeight="1" x14ac:dyDescent="0.3">
      <c r="A14" s="47"/>
      <c r="B14" s="19" t="s">
        <v>15</v>
      </c>
      <c r="C14" s="19"/>
      <c r="D14" s="20" t="s">
        <v>89</v>
      </c>
      <c r="E14" s="21"/>
      <c r="F14" s="21"/>
      <c r="G14" s="22"/>
      <c r="H14" s="53"/>
      <c r="I14" s="34"/>
      <c r="J14" s="34"/>
      <c r="K14" s="34"/>
      <c r="L14" s="34"/>
      <c r="M14" s="54"/>
    </row>
    <row r="15" spans="1:13" s="2" customFormat="1" ht="14.1" customHeight="1" x14ac:dyDescent="0.3">
      <c r="A15" s="47">
        <v>7</v>
      </c>
      <c r="B15" s="55" t="s">
        <v>3</v>
      </c>
      <c r="C15" s="55"/>
      <c r="D15" s="60" t="s">
        <v>4</v>
      </c>
      <c r="E15" s="60"/>
      <c r="F15" s="60"/>
      <c r="G15" s="60"/>
      <c r="H15" s="53">
        <v>8.5</v>
      </c>
      <c r="I15" s="34">
        <f>SUM(H15)+0.3</f>
        <v>8.8000000000000007</v>
      </c>
      <c r="J15" s="34">
        <f>SUM(I15)+0.3</f>
        <v>9.1000000000000014</v>
      </c>
      <c r="K15" s="34"/>
      <c r="L15" s="34"/>
      <c r="M15" s="54"/>
    </row>
    <row r="16" spans="1:13" s="2" customFormat="1" ht="14.1" customHeight="1" x14ac:dyDescent="0.3">
      <c r="A16" s="47"/>
      <c r="B16" s="19" t="s">
        <v>16</v>
      </c>
      <c r="C16" s="19"/>
      <c r="D16" s="20" t="s">
        <v>88</v>
      </c>
      <c r="E16" s="21"/>
      <c r="F16" s="21"/>
      <c r="G16" s="22"/>
      <c r="H16" s="53"/>
      <c r="I16" s="34"/>
      <c r="J16" s="34"/>
      <c r="K16" s="34"/>
      <c r="L16" s="34"/>
      <c r="M16" s="54"/>
    </row>
    <row r="17" spans="1:13" s="2" customFormat="1" ht="14.1" customHeight="1" x14ac:dyDescent="0.3">
      <c r="A17" s="47">
        <v>8</v>
      </c>
      <c r="B17" s="48" t="s">
        <v>56</v>
      </c>
      <c r="C17" s="49"/>
      <c r="D17" s="56" t="s">
        <v>58</v>
      </c>
      <c r="E17" s="57"/>
      <c r="F17" s="57"/>
      <c r="G17" s="58"/>
      <c r="H17" s="53">
        <v>43.9</v>
      </c>
      <c r="I17" s="34">
        <f>SUM(H17)+1.6</f>
        <v>45.5</v>
      </c>
      <c r="J17" s="34">
        <f>SUM(I17)+1.6</f>
        <v>47.1</v>
      </c>
      <c r="K17" s="34"/>
      <c r="L17" s="34"/>
      <c r="M17" s="54"/>
    </row>
    <row r="18" spans="1:13" s="2" customFormat="1" ht="14.1" customHeight="1" x14ac:dyDescent="0.3">
      <c r="A18" s="47"/>
      <c r="B18" s="19" t="s">
        <v>57</v>
      </c>
      <c r="C18" s="19"/>
      <c r="D18" s="20" t="s">
        <v>93</v>
      </c>
      <c r="E18" s="21"/>
      <c r="F18" s="21"/>
      <c r="G18" s="22"/>
      <c r="H18" s="53"/>
      <c r="I18" s="34"/>
      <c r="J18" s="34"/>
      <c r="K18" s="34"/>
      <c r="L18" s="34"/>
      <c r="M18" s="54"/>
    </row>
    <row r="19" spans="1:13" s="2" customFormat="1" ht="14.1" customHeight="1" x14ac:dyDescent="0.3">
      <c r="A19" s="47">
        <v>9</v>
      </c>
      <c r="B19" s="55" t="s">
        <v>5</v>
      </c>
      <c r="C19" s="55"/>
      <c r="D19" s="60" t="s">
        <v>6</v>
      </c>
      <c r="E19" s="60"/>
      <c r="F19" s="60"/>
      <c r="G19" s="60"/>
      <c r="H19" s="53">
        <v>54.4</v>
      </c>
      <c r="I19" s="34">
        <f>SUM(H19)+2.1</f>
        <v>56.5</v>
      </c>
      <c r="J19" s="34">
        <f>SUM(I19)+2.1</f>
        <v>58.6</v>
      </c>
      <c r="K19" s="34"/>
      <c r="L19" s="34"/>
      <c r="M19" s="54"/>
    </row>
    <row r="20" spans="1:13" s="2" customFormat="1" ht="14.1" customHeight="1" x14ac:dyDescent="0.3">
      <c r="A20" s="47"/>
      <c r="B20" s="19" t="s">
        <v>17</v>
      </c>
      <c r="C20" s="19"/>
      <c r="D20" s="20" t="s">
        <v>29</v>
      </c>
      <c r="E20" s="21"/>
      <c r="F20" s="21"/>
      <c r="G20" s="22"/>
      <c r="H20" s="53"/>
      <c r="I20" s="34"/>
      <c r="J20" s="34"/>
      <c r="K20" s="34"/>
      <c r="L20" s="34"/>
      <c r="M20" s="54"/>
    </row>
    <row r="21" spans="1:13" s="2" customFormat="1" ht="14.1" customHeight="1" x14ac:dyDescent="0.3">
      <c r="A21" s="47">
        <v>10</v>
      </c>
      <c r="B21" s="55" t="s">
        <v>7</v>
      </c>
      <c r="C21" s="55"/>
      <c r="D21" s="56" t="s">
        <v>8</v>
      </c>
      <c r="E21" s="57"/>
      <c r="F21" s="57"/>
      <c r="G21" s="58"/>
      <c r="H21" s="53">
        <v>31</v>
      </c>
      <c r="I21" s="34">
        <f>SUM(H21)+1.7</f>
        <v>32.700000000000003</v>
      </c>
      <c r="J21" s="34">
        <f>SUM(I21)+1.7</f>
        <v>34.400000000000006</v>
      </c>
      <c r="K21" s="34"/>
      <c r="L21" s="34"/>
      <c r="M21" s="54"/>
    </row>
    <row r="22" spans="1:13" s="2" customFormat="1" ht="14.1" customHeight="1" x14ac:dyDescent="0.3">
      <c r="A22" s="47"/>
      <c r="B22" s="19" t="s">
        <v>18</v>
      </c>
      <c r="C22" s="19"/>
      <c r="D22" s="20" t="s">
        <v>36</v>
      </c>
      <c r="E22" s="21"/>
      <c r="F22" s="21"/>
      <c r="G22" s="22"/>
      <c r="H22" s="53"/>
      <c r="I22" s="34"/>
      <c r="J22" s="34"/>
      <c r="K22" s="34"/>
      <c r="L22" s="34"/>
      <c r="M22" s="54"/>
    </row>
    <row r="23" spans="1:13" s="2" customFormat="1" ht="14.1" customHeight="1" x14ac:dyDescent="0.3">
      <c r="A23" s="47">
        <v>11</v>
      </c>
      <c r="B23" s="48" t="s">
        <v>59</v>
      </c>
      <c r="C23" s="49"/>
      <c r="D23" s="60" t="s">
        <v>37</v>
      </c>
      <c r="E23" s="60"/>
      <c r="F23" s="60"/>
      <c r="G23" s="60"/>
      <c r="H23" s="53">
        <v>19</v>
      </c>
      <c r="I23" s="34">
        <f>SUM(H23)+1</f>
        <v>20</v>
      </c>
      <c r="J23" s="34">
        <f>SUM(I23)+1</f>
        <v>21</v>
      </c>
      <c r="K23" s="34"/>
      <c r="L23" s="34"/>
      <c r="M23" s="54"/>
    </row>
    <row r="24" spans="1:13" s="2" customFormat="1" ht="14.1" customHeight="1" x14ac:dyDescent="0.3">
      <c r="A24" s="47"/>
      <c r="B24" s="19" t="s">
        <v>19</v>
      </c>
      <c r="C24" s="19"/>
      <c r="D24" s="20" t="s">
        <v>38</v>
      </c>
      <c r="E24" s="21"/>
      <c r="F24" s="21"/>
      <c r="G24" s="22"/>
      <c r="H24" s="53"/>
      <c r="I24" s="34"/>
      <c r="J24" s="34"/>
      <c r="K24" s="34"/>
      <c r="L24" s="34"/>
      <c r="M24" s="54"/>
    </row>
    <row r="25" spans="1:13" s="2" customFormat="1" ht="14.1" customHeight="1" x14ac:dyDescent="0.3">
      <c r="A25" s="47">
        <v>12</v>
      </c>
      <c r="B25" s="48" t="s">
        <v>208</v>
      </c>
      <c r="C25" s="49"/>
      <c r="D25" s="67"/>
      <c r="E25" s="68"/>
      <c r="F25" s="68"/>
      <c r="G25" s="69"/>
      <c r="H25" s="53">
        <v>13.5</v>
      </c>
      <c r="I25" s="61">
        <f>SUM(H25)+0.5</f>
        <v>14</v>
      </c>
      <c r="J25" s="61">
        <f>SUM(I25)+0.5</f>
        <v>14.5</v>
      </c>
      <c r="K25" s="35"/>
      <c r="L25" s="35"/>
      <c r="M25" s="17"/>
    </row>
    <row r="26" spans="1:13" s="2" customFormat="1" ht="14.1" customHeight="1" x14ac:dyDescent="0.3">
      <c r="A26" s="47"/>
      <c r="B26" s="45" t="s">
        <v>209</v>
      </c>
      <c r="C26" s="46"/>
      <c r="D26" s="83" t="s">
        <v>210</v>
      </c>
      <c r="E26" s="84"/>
      <c r="F26" s="84"/>
      <c r="G26" s="85"/>
      <c r="H26" s="53"/>
      <c r="I26" s="61"/>
      <c r="J26" s="61"/>
      <c r="K26" s="32"/>
      <c r="L26" s="32"/>
      <c r="M26" s="18"/>
    </row>
    <row r="27" spans="1:13" s="2" customFormat="1" ht="14.1" customHeight="1" x14ac:dyDescent="0.3">
      <c r="A27" s="47">
        <v>13</v>
      </c>
      <c r="B27" s="55" t="s">
        <v>204</v>
      </c>
      <c r="C27" s="55"/>
      <c r="D27" s="60"/>
      <c r="E27" s="60"/>
      <c r="F27" s="60"/>
      <c r="G27" s="60"/>
      <c r="H27" s="53">
        <v>6</v>
      </c>
      <c r="I27" s="61">
        <f>SUM(H27)+0.2</f>
        <v>6.2</v>
      </c>
      <c r="J27" s="61">
        <f>SUM(I27)+0.2</f>
        <v>6.4</v>
      </c>
      <c r="K27" s="34"/>
      <c r="L27" s="34"/>
      <c r="M27" s="54"/>
    </row>
    <row r="28" spans="1:13" s="2" customFormat="1" ht="14.1" customHeight="1" x14ac:dyDescent="0.3">
      <c r="A28" s="47"/>
      <c r="B28" s="19" t="s">
        <v>205</v>
      </c>
      <c r="C28" s="19"/>
      <c r="D28" s="20" t="s">
        <v>206</v>
      </c>
      <c r="E28" s="21"/>
      <c r="F28" s="21"/>
      <c r="G28" s="22"/>
      <c r="H28" s="53"/>
      <c r="I28" s="61"/>
      <c r="J28" s="61"/>
      <c r="K28" s="34"/>
      <c r="L28" s="34"/>
      <c r="M28" s="54"/>
    </row>
    <row r="29" spans="1:13" s="2" customFormat="1" ht="14.1" customHeight="1" x14ac:dyDescent="0.3">
      <c r="A29" s="47">
        <v>14</v>
      </c>
      <c r="B29" s="48" t="s">
        <v>39</v>
      </c>
      <c r="C29" s="49"/>
      <c r="D29" s="50"/>
      <c r="E29" s="51"/>
      <c r="F29" s="51"/>
      <c r="G29" s="52"/>
      <c r="H29" s="53">
        <v>13</v>
      </c>
      <c r="I29" s="34">
        <f>SUM(H29)+0.6</f>
        <v>13.6</v>
      </c>
      <c r="J29" s="34">
        <f>SUM(I29)+0.6</f>
        <v>14.2</v>
      </c>
      <c r="K29" s="35"/>
      <c r="L29" s="35"/>
      <c r="M29" s="17"/>
    </row>
    <row r="30" spans="1:13" s="2" customFormat="1" ht="14.1" customHeight="1" x14ac:dyDescent="0.3">
      <c r="A30" s="47"/>
      <c r="B30" s="45" t="s">
        <v>40</v>
      </c>
      <c r="C30" s="46"/>
      <c r="D30" s="20" t="s">
        <v>163</v>
      </c>
      <c r="E30" s="21"/>
      <c r="F30" s="21"/>
      <c r="G30" s="22"/>
      <c r="H30" s="53"/>
      <c r="I30" s="34"/>
      <c r="J30" s="34"/>
      <c r="K30" s="32"/>
      <c r="L30" s="32"/>
      <c r="M30" s="18"/>
    </row>
    <row r="31" spans="1:13" s="2" customFormat="1" ht="14.1" customHeight="1" x14ac:dyDescent="0.3">
      <c r="A31" s="47">
        <v>15</v>
      </c>
      <c r="B31" s="38" t="s">
        <v>86</v>
      </c>
      <c r="C31" s="39"/>
      <c r="D31" s="50"/>
      <c r="E31" s="51"/>
      <c r="F31" s="51"/>
      <c r="G31" s="52"/>
      <c r="H31" s="53">
        <v>6.5</v>
      </c>
      <c r="I31" s="34">
        <f>SUM(H31)+0.8</f>
        <v>7.3</v>
      </c>
      <c r="J31" s="34">
        <f>SUM(I31)+0.8</f>
        <v>8.1</v>
      </c>
      <c r="K31" s="35"/>
      <c r="L31" s="35"/>
      <c r="M31" s="17"/>
    </row>
    <row r="32" spans="1:13" s="2" customFormat="1" ht="14.1" customHeight="1" x14ac:dyDescent="0.3">
      <c r="A32" s="47"/>
      <c r="B32" s="45" t="s">
        <v>87</v>
      </c>
      <c r="C32" s="46"/>
      <c r="D32" s="20" t="s">
        <v>207</v>
      </c>
      <c r="E32" s="21"/>
      <c r="F32" s="21"/>
      <c r="G32" s="22"/>
      <c r="H32" s="53"/>
      <c r="I32" s="34"/>
      <c r="J32" s="34"/>
      <c r="K32" s="32"/>
      <c r="L32" s="32"/>
      <c r="M32" s="18"/>
    </row>
    <row r="33" spans="1:13" s="2" customFormat="1" ht="14.1" customHeight="1" x14ac:dyDescent="0.3">
      <c r="A33" s="47">
        <v>16</v>
      </c>
      <c r="B33" s="38" t="s">
        <v>95</v>
      </c>
      <c r="C33" s="39"/>
      <c r="D33" s="50"/>
      <c r="E33" s="51"/>
      <c r="F33" s="51"/>
      <c r="G33" s="52"/>
      <c r="H33" s="43">
        <v>42</v>
      </c>
      <c r="I33" s="34">
        <v>44.5</v>
      </c>
      <c r="J33" s="34">
        <v>47.5</v>
      </c>
      <c r="K33" s="35"/>
      <c r="L33" s="35"/>
      <c r="M33" s="17"/>
    </row>
    <row r="34" spans="1:13" s="2" customFormat="1" ht="14.1" customHeight="1" x14ac:dyDescent="0.3">
      <c r="A34" s="47"/>
      <c r="B34" s="38" t="s">
        <v>94</v>
      </c>
      <c r="C34" s="39"/>
      <c r="D34" s="67" t="s">
        <v>154</v>
      </c>
      <c r="E34" s="68"/>
      <c r="F34" s="68"/>
      <c r="G34" s="69"/>
      <c r="H34" s="59"/>
      <c r="I34" s="34"/>
      <c r="J34" s="34"/>
      <c r="K34" s="23"/>
      <c r="L34" s="23"/>
      <c r="M34" s="25"/>
    </row>
    <row r="35" spans="1:13" s="2" customFormat="1" ht="14.1" customHeight="1" x14ac:dyDescent="0.3">
      <c r="A35" s="47">
        <v>17</v>
      </c>
      <c r="B35" s="48"/>
      <c r="C35" s="49"/>
      <c r="D35" s="50"/>
      <c r="E35" s="51"/>
      <c r="F35" s="51"/>
      <c r="G35" s="52"/>
      <c r="H35" s="53"/>
      <c r="I35" s="34"/>
      <c r="J35" s="34"/>
      <c r="K35" s="35"/>
      <c r="L35" s="35"/>
      <c r="M35" s="17"/>
    </row>
    <row r="36" spans="1:13" s="2" customFormat="1" ht="14.1" customHeight="1" x14ac:dyDescent="0.3">
      <c r="A36" s="47"/>
      <c r="B36" s="45"/>
      <c r="C36" s="46"/>
      <c r="D36" s="20"/>
      <c r="E36" s="21"/>
      <c r="F36" s="21"/>
      <c r="G36" s="22"/>
      <c r="H36" s="53"/>
      <c r="I36" s="34"/>
      <c r="J36" s="34"/>
      <c r="K36" s="32"/>
      <c r="L36" s="32"/>
      <c r="M36" s="18"/>
    </row>
    <row r="37" spans="1:13" s="2" customFormat="1" ht="14.1" customHeight="1" x14ac:dyDescent="0.3">
      <c r="A37" s="47">
        <v>18</v>
      </c>
      <c r="B37" s="38"/>
      <c r="C37" s="39"/>
      <c r="D37" s="50"/>
      <c r="E37" s="51"/>
      <c r="F37" s="51"/>
      <c r="G37" s="52"/>
      <c r="H37" s="43"/>
      <c r="I37" s="32"/>
      <c r="J37" s="32"/>
      <c r="K37" s="35"/>
      <c r="L37" s="35"/>
      <c r="M37" s="17"/>
    </row>
    <row r="38" spans="1:13" s="2" customFormat="1" ht="14.1" customHeight="1" thickBot="1" x14ac:dyDescent="0.35">
      <c r="A38" s="37"/>
      <c r="B38" s="27"/>
      <c r="C38" s="28"/>
      <c r="D38" s="29"/>
      <c r="E38" s="30"/>
      <c r="F38" s="30"/>
      <c r="G38" s="31"/>
      <c r="H38" s="44"/>
      <c r="I38" s="33"/>
      <c r="J38" s="33"/>
      <c r="K38" s="24"/>
      <c r="L38" s="24"/>
      <c r="M38" s="26"/>
    </row>
    <row r="39" spans="1:13" s="2" customFormat="1" ht="14.1" customHeight="1" x14ac:dyDescent="0.3"/>
    <row r="40" spans="1:13" s="2" customFormat="1" ht="14.1" customHeight="1" x14ac:dyDescent="0.3"/>
    <row r="41" spans="1:13" ht="14.1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4.1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4.1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4.1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4.1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4.1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4.1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4.1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/>
    <row r="54" spans="2:7" ht="14.1" customHeight="1" x14ac:dyDescent="0.3"/>
    <row r="55" spans="2:7" ht="14.1" customHeight="1" x14ac:dyDescent="0.3"/>
    <row r="57" spans="2:7" x14ac:dyDescent="0.3">
      <c r="B57" s="1"/>
      <c r="C57" s="1"/>
      <c r="D57" s="1"/>
      <c r="E57" s="1"/>
      <c r="F57" s="1"/>
      <c r="G57" s="1"/>
    </row>
    <row r="58" spans="2:7" x14ac:dyDescent="0.3">
      <c r="B58" s="1"/>
      <c r="C58" s="1"/>
      <c r="D58" s="1"/>
      <c r="E58" s="1"/>
      <c r="F58" s="1"/>
      <c r="G58" s="1"/>
    </row>
    <row r="59" spans="2:7" x14ac:dyDescent="0.3">
      <c r="B59" s="1"/>
      <c r="C59" s="1"/>
      <c r="D59" s="1"/>
      <c r="E59" s="1"/>
      <c r="F59" s="1"/>
      <c r="G59" s="1"/>
    </row>
    <row r="60" spans="2:7" x14ac:dyDescent="0.3">
      <c r="B60" s="1"/>
      <c r="C60" s="1"/>
      <c r="D60" s="1"/>
      <c r="E60" s="1"/>
      <c r="F60" s="1"/>
      <c r="G60" s="1"/>
    </row>
  </sheetData>
  <mergeCells count="201"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2921C-0E9E-46AF-BECF-E8E2CCD6F34F}">
  <sheetPr>
    <tabColor rgb="FFFF0000"/>
    <pageSetUpPr fitToPage="1"/>
  </sheetPr>
  <dimension ref="A1:R56"/>
  <sheetViews>
    <sheetView topLeftCell="A13" zoomScale="110" zoomScaleNormal="110" zoomScalePageLayoutView="30" workbookViewId="0">
      <selection activeCell="I27" sqref="I27:I2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8" ht="16.5" customHeight="1" thickBot="1" x14ac:dyDescent="0.35">
      <c r="A1" s="62" t="s">
        <v>213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8" ht="16.5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8" s="2" customFormat="1" ht="13.5" customHeight="1" x14ac:dyDescent="0.3">
      <c r="A3" s="66">
        <v>1</v>
      </c>
      <c r="B3" s="38" t="s">
        <v>92</v>
      </c>
      <c r="C3" s="39"/>
      <c r="D3" s="67" t="s">
        <v>91</v>
      </c>
      <c r="E3" s="68"/>
      <c r="F3" s="68"/>
      <c r="G3" s="69"/>
      <c r="H3" s="70">
        <v>49.8</v>
      </c>
      <c r="I3" s="71">
        <f>SUM(H3)+2.9</f>
        <v>52.699999999999996</v>
      </c>
      <c r="J3" s="71">
        <f>SUM(I3)+2.9</f>
        <v>55.599999999999994</v>
      </c>
      <c r="K3" s="71"/>
      <c r="L3" s="72"/>
      <c r="M3" s="73"/>
    </row>
    <row r="4" spans="1:18" s="2" customFormat="1" ht="13.5" customHeight="1" x14ac:dyDescent="0.3">
      <c r="A4" s="47"/>
      <c r="B4" s="19" t="s">
        <v>60</v>
      </c>
      <c r="C4" s="19"/>
      <c r="D4" s="20" t="s">
        <v>90</v>
      </c>
      <c r="E4" s="21"/>
      <c r="F4" s="21"/>
      <c r="G4" s="21"/>
      <c r="H4" s="53"/>
      <c r="I4" s="34"/>
      <c r="J4" s="34"/>
      <c r="K4" s="35"/>
      <c r="L4" s="32"/>
      <c r="M4" s="18"/>
    </row>
    <row r="5" spans="1:18" s="2" customFormat="1" ht="13.5" customHeight="1" x14ac:dyDescent="0.3">
      <c r="A5" s="47">
        <v>2</v>
      </c>
      <c r="B5" s="48" t="s">
        <v>21</v>
      </c>
      <c r="C5" s="49"/>
      <c r="D5" s="56" t="s">
        <v>22</v>
      </c>
      <c r="E5" s="57"/>
      <c r="F5" s="57"/>
      <c r="G5" s="58"/>
      <c r="H5" s="59">
        <v>46.2</v>
      </c>
      <c r="I5" s="35">
        <f>SUM(H5)+3</f>
        <v>49.2</v>
      </c>
      <c r="J5" s="35">
        <f>SUM(I5)+3</f>
        <v>52.2</v>
      </c>
      <c r="K5" s="34"/>
      <c r="L5" s="34"/>
      <c r="M5" s="54"/>
    </row>
    <row r="6" spans="1:18" s="2" customFormat="1" ht="13.5" customHeight="1" x14ac:dyDescent="0.3">
      <c r="A6" s="47"/>
      <c r="B6" s="45" t="s">
        <v>12</v>
      </c>
      <c r="C6" s="46"/>
      <c r="D6" s="20" t="s">
        <v>25</v>
      </c>
      <c r="E6" s="21"/>
      <c r="F6" s="21"/>
      <c r="G6" s="22"/>
      <c r="H6" s="43"/>
      <c r="I6" s="32"/>
      <c r="J6" s="32"/>
      <c r="K6" s="34"/>
      <c r="L6" s="34"/>
      <c r="M6" s="54"/>
    </row>
    <row r="7" spans="1:18" s="2" customFormat="1" ht="13.5" customHeight="1" x14ac:dyDescent="0.3">
      <c r="A7" s="47">
        <v>3</v>
      </c>
      <c r="B7" s="55" t="s">
        <v>20</v>
      </c>
      <c r="C7" s="55"/>
      <c r="D7" s="60" t="s">
        <v>11</v>
      </c>
      <c r="E7" s="60"/>
      <c r="F7" s="60"/>
      <c r="G7" s="60"/>
      <c r="H7" s="59">
        <v>60</v>
      </c>
      <c r="I7" s="35">
        <f>SUM(H7)+4</f>
        <v>64</v>
      </c>
      <c r="J7" s="35">
        <f>SUM(I7)+4</f>
        <v>68</v>
      </c>
      <c r="K7" s="34"/>
      <c r="L7" s="61"/>
      <c r="M7" s="54"/>
    </row>
    <row r="8" spans="1:18" s="2" customFormat="1" ht="13.5" customHeight="1" x14ac:dyDescent="0.3">
      <c r="A8" s="47"/>
      <c r="B8" s="19" t="s">
        <v>23</v>
      </c>
      <c r="C8" s="19"/>
      <c r="D8" s="20" t="s">
        <v>26</v>
      </c>
      <c r="E8" s="21"/>
      <c r="F8" s="21"/>
      <c r="G8" s="22"/>
      <c r="H8" s="43"/>
      <c r="I8" s="32"/>
      <c r="J8" s="32"/>
      <c r="K8" s="34"/>
      <c r="L8" s="61"/>
      <c r="M8" s="54"/>
    </row>
    <row r="9" spans="1:18" s="2" customFormat="1" ht="13.5" customHeight="1" x14ac:dyDescent="0.3">
      <c r="A9" s="75">
        <v>4</v>
      </c>
      <c r="B9" s="55" t="s">
        <v>221</v>
      </c>
      <c r="C9" s="55"/>
      <c r="D9" s="60" t="s">
        <v>0</v>
      </c>
      <c r="E9" s="60"/>
      <c r="F9" s="60"/>
      <c r="G9" s="60"/>
      <c r="H9" s="59">
        <v>84</v>
      </c>
      <c r="I9" s="35">
        <f>SUM(H9)+5.6</f>
        <v>89.6</v>
      </c>
      <c r="J9" s="35">
        <f>SUM(I9)+5.6</f>
        <v>95.199999999999989</v>
      </c>
      <c r="K9" s="34"/>
      <c r="L9" s="34"/>
      <c r="M9" s="54"/>
    </row>
    <row r="10" spans="1:18" s="2" customFormat="1" ht="13.5" customHeight="1" x14ac:dyDescent="0.3">
      <c r="A10" s="36"/>
      <c r="B10" s="19" t="s">
        <v>222</v>
      </c>
      <c r="C10" s="19"/>
      <c r="D10" s="20" t="s">
        <v>223</v>
      </c>
      <c r="E10" s="21"/>
      <c r="F10" s="21"/>
      <c r="G10" s="22"/>
      <c r="H10" s="43"/>
      <c r="I10" s="32"/>
      <c r="J10" s="32"/>
      <c r="K10" s="34"/>
      <c r="L10" s="34"/>
      <c r="M10" s="54"/>
    </row>
    <row r="11" spans="1:18" s="2" customFormat="1" ht="13.5" customHeight="1" x14ac:dyDescent="0.3">
      <c r="A11" s="75">
        <v>5</v>
      </c>
      <c r="B11" s="55" t="s">
        <v>10</v>
      </c>
      <c r="C11" s="55"/>
      <c r="D11" s="60" t="s">
        <v>0</v>
      </c>
      <c r="E11" s="60"/>
      <c r="F11" s="60"/>
      <c r="G11" s="60"/>
      <c r="H11" s="53">
        <v>26.2</v>
      </c>
      <c r="I11" s="34">
        <f>SUM(H11)+1</f>
        <v>27.2</v>
      </c>
      <c r="J11" s="34">
        <f>SUM(I11)+1</f>
        <v>28.2</v>
      </c>
      <c r="K11" s="34"/>
      <c r="L11" s="34"/>
      <c r="M11" s="54"/>
    </row>
    <row r="12" spans="1:18" s="2" customFormat="1" ht="13.5" customHeight="1" thickBot="1" x14ac:dyDescent="0.35">
      <c r="A12" s="36"/>
      <c r="B12" s="19" t="s">
        <v>14</v>
      </c>
      <c r="C12" s="19"/>
      <c r="D12" s="20" t="s">
        <v>28</v>
      </c>
      <c r="E12" s="21"/>
      <c r="F12" s="21"/>
      <c r="G12" s="22"/>
      <c r="H12" s="53"/>
      <c r="I12" s="34"/>
      <c r="J12" s="34"/>
      <c r="K12" s="34"/>
      <c r="L12" s="34"/>
      <c r="M12" s="54"/>
    </row>
    <row r="13" spans="1:18" s="2" customFormat="1" ht="13.5" customHeight="1" thickTop="1" x14ac:dyDescent="0.3">
      <c r="A13" s="75">
        <v>6</v>
      </c>
      <c r="B13" s="55" t="s">
        <v>1</v>
      </c>
      <c r="C13" s="55"/>
      <c r="D13" s="60" t="s">
        <v>2</v>
      </c>
      <c r="E13" s="60"/>
      <c r="F13" s="60"/>
      <c r="G13" s="60"/>
      <c r="H13" s="53">
        <v>22</v>
      </c>
      <c r="I13" s="34">
        <f>SUM(H13)+0.6</f>
        <v>22.6</v>
      </c>
      <c r="J13" s="34">
        <f>SUM(I13)+0.6</f>
        <v>23.200000000000003</v>
      </c>
      <c r="K13" s="34"/>
      <c r="L13" s="34"/>
      <c r="M13" s="54"/>
      <c r="R13" s="6" t="s">
        <v>226</v>
      </c>
    </row>
    <row r="14" spans="1:18" s="2" customFormat="1" ht="13.5" customHeight="1" x14ac:dyDescent="0.3">
      <c r="A14" s="36"/>
      <c r="B14" s="19" t="s">
        <v>15</v>
      </c>
      <c r="C14" s="19"/>
      <c r="D14" s="20" t="s">
        <v>89</v>
      </c>
      <c r="E14" s="21"/>
      <c r="F14" s="21"/>
      <c r="G14" s="22"/>
      <c r="H14" s="53"/>
      <c r="I14" s="34"/>
      <c r="J14" s="34"/>
      <c r="K14" s="34"/>
      <c r="L14" s="34"/>
      <c r="M14" s="54"/>
      <c r="R14" s="7">
        <f>SUM(H35+H35+I35+I35+J35+J35+H37+I37+J37+H39+H39+I39+I39+J39+J39)</f>
        <v>452.7</v>
      </c>
    </row>
    <row r="15" spans="1:18" s="2" customFormat="1" ht="13.5" customHeight="1" thickBot="1" x14ac:dyDescent="0.35">
      <c r="A15" s="75">
        <v>7</v>
      </c>
      <c r="B15" s="55" t="s">
        <v>3</v>
      </c>
      <c r="C15" s="55"/>
      <c r="D15" s="60" t="s">
        <v>4</v>
      </c>
      <c r="E15" s="60"/>
      <c r="F15" s="60"/>
      <c r="G15" s="60"/>
      <c r="H15" s="53">
        <v>10.8</v>
      </c>
      <c r="I15" s="34">
        <f>SUM(H15)+0.3</f>
        <v>11.100000000000001</v>
      </c>
      <c r="J15" s="34">
        <f>SUM(I15)+0.3</f>
        <v>11.400000000000002</v>
      </c>
      <c r="K15" s="34"/>
      <c r="L15" s="34"/>
      <c r="M15" s="54"/>
      <c r="R15" s="8">
        <f>SUM(R14/3/91.44*1.08)</f>
        <v>1.7822834645669292</v>
      </c>
    </row>
    <row r="16" spans="1:18" s="2" customFormat="1" ht="13.5" customHeight="1" thickTop="1" thickBot="1" x14ac:dyDescent="0.35">
      <c r="A16" s="36"/>
      <c r="B16" s="19" t="s">
        <v>16</v>
      </c>
      <c r="C16" s="19"/>
      <c r="D16" s="20" t="s">
        <v>88</v>
      </c>
      <c r="E16" s="21"/>
      <c r="F16" s="21"/>
      <c r="G16" s="22"/>
      <c r="H16" s="53"/>
      <c r="I16" s="34"/>
      <c r="J16" s="34"/>
      <c r="K16" s="34"/>
      <c r="L16" s="34"/>
      <c r="M16" s="54"/>
    </row>
    <row r="17" spans="1:18" s="2" customFormat="1" ht="13.5" customHeight="1" thickTop="1" x14ac:dyDescent="0.3">
      <c r="A17" s="75">
        <v>8</v>
      </c>
      <c r="B17" s="48" t="s">
        <v>56</v>
      </c>
      <c r="C17" s="49"/>
      <c r="D17" s="56" t="s">
        <v>58</v>
      </c>
      <c r="E17" s="57"/>
      <c r="F17" s="57"/>
      <c r="G17" s="58"/>
      <c r="H17" s="53">
        <v>58.4</v>
      </c>
      <c r="I17" s="34">
        <f>SUM(H17)+1.6</f>
        <v>60</v>
      </c>
      <c r="J17" s="34">
        <f>SUM(I17)+1.6</f>
        <v>61.6</v>
      </c>
      <c r="K17" s="34"/>
      <c r="L17" s="34"/>
      <c r="M17" s="54"/>
      <c r="R17" s="6" t="s">
        <v>227</v>
      </c>
    </row>
    <row r="18" spans="1:18" s="2" customFormat="1" ht="13.5" customHeight="1" x14ac:dyDescent="0.3">
      <c r="A18" s="36"/>
      <c r="B18" s="19" t="s">
        <v>57</v>
      </c>
      <c r="C18" s="19"/>
      <c r="D18" s="20" t="s">
        <v>93</v>
      </c>
      <c r="E18" s="21"/>
      <c r="F18" s="21"/>
      <c r="G18" s="22"/>
      <c r="H18" s="53"/>
      <c r="I18" s="34"/>
      <c r="J18" s="34"/>
      <c r="K18" s="34"/>
      <c r="L18" s="34"/>
      <c r="M18" s="54"/>
      <c r="R18" s="7">
        <f>SUM(H9+I9+J9+H23+H23+I23+I23+J23+J23)</f>
        <v>411.6</v>
      </c>
    </row>
    <row r="19" spans="1:18" s="2" customFormat="1" ht="13.5" customHeight="1" thickBot="1" x14ac:dyDescent="0.35">
      <c r="A19" s="75">
        <v>9</v>
      </c>
      <c r="B19" s="55" t="s">
        <v>5</v>
      </c>
      <c r="C19" s="55"/>
      <c r="D19" s="60" t="s">
        <v>6</v>
      </c>
      <c r="E19" s="60"/>
      <c r="F19" s="60"/>
      <c r="G19" s="60"/>
      <c r="H19" s="53">
        <v>54.3</v>
      </c>
      <c r="I19" s="34">
        <f>SUM(H19)+2.5</f>
        <v>56.8</v>
      </c>
      <c r="J19" s="34">
        <f>SUM(I19)+2.5</f>
        <v>59.3</v>
      </c>
      <c r="K19" s="34"/>
      <c r="L19" s="34"/>
      <c r="M19" s="54"/>
      <c r="R19" s="8">
        <f>SUM(R18/3/91.44*1.08)</f>
        <v>1.6204724409448821</v>
      </c>
    </row>
    <row r="20" spans="1:18" s="2" customFormat="1" ht="13.5" customHeight="1" thickTop="1" x14ac:dyDescent="0.3">
      <c r="A20" s="36"/>
      <c r="B20" s="19" t="s">
        <v>17</v>
      </c>
      <c r="C20" s="19"/>
      <c r="D20" s="20" t="s">
        <v>29</v>
      </c>
      <c r="E20" s="21"/>
      <c r="F20" s="21"/>
      <c r="G20" s="22"/>
      <c r="H20" s="53"/>
      <c r="I20" s="34"/>
      <c r="J20" s="34"/>
      <c r="K20" s="34"/>
      <c r="L20" s="34"/>
      <c r="M20" s="54"/>
    </row>
    <row r="21" spans="1:18" s="2" customFormat="1" ht="13.5" customHeight="1" x14ac:dyDescent="0.3">
      <c r="A21" s="75">
        <v>10</v>
      </c>
      <c r="B21" s="55" t="s">
        <v>7</v>
      </c>
      <c r="C21" s="55"/>
      <c r="D21" s="56" t="s">
        <v>8</v>
      </c>
      <c r="E21" s="57"/>
      <c r="F21" s="57"/>
      <c r="G21" s="58"/>
      <c r="H21" s="53">
        <v>49.9</v>
      </c>
      <c r="I21" s="34">
        <f>SUM(H21)+1.9</f>
        <v>51.8</v>
      </c>
      <c r="J21" s="34">
        <f>SUM(I21)+1.9</f>
        <v>53.699999999999996</v>
      </c>
      <c r="K21" s="34"/>
      <c r="L21" s="34"/>
      <c r="M21" s="54"/>
    </row>
    <row r="22" spans="1:18" s="2" customFormat="1" ht="13.5" customHeight="1" x14ac:dyDescent="0.3">
      <c r="A22" s="36"/>
      <c r="B22" s="19" t="s">
        <v>18</v>
      </c>
      <c r="C22" s="19"/>
      <c r="D22" s="20" t="s">
        <v>36</v>
      </c>
      <c r="E22" s="21"/>
      <c r="F22" s="21"/>
      <c r="G22" s="22"/>
      <c r="H22" s="53"/>
      <c r="I22" s="34"/>
      <c r="J22" s="34"/>
      <c r="K22" s="34"/>
      <c r="L22" s="34"/>
      <c r="M22" s="54"/>
    </row>
    <row r="23" spans="1:18" s="2" customFormat="1" ht="13.5" customHeight="1" x14ac:dyDescent="0.3">
      <c r="A23" s="75">
        <v>11</v>
      </c>
      <c r="B23" s="48" t="s">
        <v>59</v>
      </c>
      <c r="C23" s="49"/>
      <c r="D23" s="60" t="s">
        <v>37</v>
      </c>
      <c r="E23" s="60"/>
      <c r="F23" s="60"/>
      <c r="G23" s="60"/>
      <c r="H23" s="53">
        <v>23</v>
      </c>
      <c r="I23" s="34">
        <f>SUM(H23)+0.8</f>
        <v>23.8</v>
      </c>
      <c r="J23" s="34">
        <f>SUM(I23)+0.8</f>
        <v>24.6</v>
      </c>
      <c r="K23" s="34"/>
      <c r="L23" s="34"/>
      <c r="M23" s="54"/>
    </row>
    <row r="24" spans="1:18" s="2" customFormat="1" ht="13.5" customHeight="1" x14ac:dyDescent="0.3">
      <c r="A24" s="36"/>
      <c r="B24" s="19" t="s">
        <v>19</v>
      </c>
      <c r="C24" s="19"/>
      <c r="D24" s="20" t="s">
        <v>38</v>
      </c>
      <c r="E24" s="21"/>
      <c r="F24" s="21"/>
      <c r="G24" s="22"/>
      <c r="H24" s="53"/>
      <c r="I24" s="34"/>
      <c r="J24" s="34"/>
      <c r="K24" s="34"/>
      <c r="L24" s="34"/>
      <c r="M24" s="54"/>
    </row>
    <row r="25" spans="1:18" ht="13.5" customHeight="1" x14ac:dyDescent="0.3">
      <c r="A25" s="75">
        <v>12</v>
      </c>
      <c r="B25" s="48" t="s">
        <v>185</v>
      </c>
      <c r="C25" s="49"/>
      <c r="D25" s="60"/>
      <c r="E25" s="60"/>
      <c r="F25" s="60"/>
      <c r="G25" s="60"/>
      <c r="H25" s="59">
        <v>14.5</v>
      </c>
      <c r="I25" s="35">
        <f>SUM(H25)+0.6</f>
        <v>15.1</v>
      </c>
      <c r="J25" s="35">
        <f>SUM(I25)+0.6</f>
        <v>15.7</v>
      </c>
      <c r="K25" s="35"/>
      <c r="L25" s="35"/>
      <c r="M25" s="17"/>
    </row>
    <row r="26" spans="1:18" ht="13.5" customHeight="1" x14ac:dyDescent="0.3">
      <c r="A26" s="36"/>
      <c r="B26" s="45" t="s">
        <v>186</v>
      </c>
      <c r="C26" s="46"/>
      <c r="D26" s="20"/>
      <c r="E26" s="21"/>
      <c r="F26" s="21"/>
      <c r="G26" s="22"/>
      <c r="H26" s="43"/>
      <c r="I26" s="32"/>
      <c r="J26" s="32"/>
      <c r="K26" s="32"/>
      <c r="L26" s="32"/>
      <c r="M26" s="18"/>
    </row>
    <row r="27" spans="1:18" ht="13.5" customHeight="1" x14ac:dyDescent="0.3">
      <c r="A27" s="75">
        <v>13</v>
      </c>
      <c r="B27" s="48" t="s">
        <v>95</v>
      </c>
      <c r="C27" s="49"/>
      <c r="D27" s="50"/>
      <c r="E27" s="51"/>
      <c r="F27" s="51"/>
      <c r="G27" s="52"/>
      <c r="H27" s="59">
        <v>54</v>
      </c>
      <c r="I27" s="35">
        <v>56.5</v>
      </c>
      <c r="J27" s="35">
        <v>59.5</v>
      </c>
      <c r="K27" s="35"/>
      <c r="L27" s="34"/>
      <c r="M27" s="54"/>
    </row>
    <row r="28" spans="1:18" ht="13.5" customHeight="1" x14ac:dyDescent="0.3">
      <c r="A28" s="36"/>
      <c r="B28" s="38" t="s">
        <v>94</v>
      </c>
      <c r="C28" s="39"/>
      <c r="D28" s="67" t="s">
        <v>154</v>
      </c>
      <c r="E28" s="68"/>
      <c r="F28" s="68"/>
      <c r="G28" s="69"/>
      <c r="H28" s="86"/>
      <c r="I28" s="23"/>
      <c r="J28" s="23"/>
      <c r="K28" s="23"/>
      <c r="L28" s="35"/>
      <c r="M28" s="54"/>
    </row>
    <row r="29" spans="1:18" s="2" customFormat="1" ht="13.5" customHeight="1" x14ac:dyDescent="0.3">
      <c r="A29" s="75">
        <v>14</v>
      </c>
      <c r="B29" s="48" t="s">
        <v>224</v>
      </c>
      <c r="C29" s="49"/>
      <c r="D29" s="60"/>
      <c r="E29" s="60"/>
      <c r="F29" s="60"/>
      <c r="G29" s="60"/>
      <c r="H29" s="59">
        <v>6</v>
      </c>
      <c r="I29" s="35">
        <f>SUM(H29)</f>
        <v>6</v>
      </c>
      <c r="J29" s="35">
        <f>SUM(I29)</f>
        <v>6</v>
      </c>
      <c r="K29" s="35"/>
      <c r="L29" s="35"/>
      <c r="M29" s="17"/>
    </row>
    <row r="30" spans="1:18" s="2" customFormat="1" ht="13.5" customHeight="1" x14ac:dyDescent="0.3">
      <c r="A30" s="36"/>
      <c r="B30" s="45" t="s">
        <v>225</v>
      </c>
      <c r="C30" s="46"/>
      <c r="D30" s="20"/>
      <c r="E30" s="21"/>
      <c r="F30" s="21"/>
      <c r="G30" s="22"/>
      <c r="H30" s="43"/>
      <c r="I30" s="32"/>
      <c r="J30" s="32"/>
      <c r="K30" s="32"/>
      <c r="L30" s="32"/>
      <c r="M30" s="18"/>
    </row>
    <row r="31" spans="1:18" s="2" customFormat="1" ht="13.5" customHeight="1" x14ac:dyDescent="0.3">
      <c r="A31" s="75">
        <v>15</v>
      </c>
      <c r="B31" s="48" t="s">
        <v>187</v>
      </c>
      <c r="C31" s="49"/>
      <c r="D31" s="57" t="s">
        <v>188</v>
      </c>
      <c r="E31" s="57"/>
      <c r="F31" s="57"/>
      <c r="G31" s="57"/>
      <c r="H31" s="59">
        <v>9</v>
      </c>
      <c r="I31" s="35">
        <f>SUM(H31)+0.2</f>
        <v>9.1999999999999993</v>
      </c>
      <c r="J31" s="35">
        <f>SUM(I31)+0.2</f>
        <v>9.3999999999999986</v>
      </c>
      <c r="K31" s="35"/>
      <c r="L31" s="35"/>
      <c r="M31" s="17"/>
    </row>
    <row r="32" spans="1:18" s="2" customFormat="1" ht="13.5" customHeight="1" x14ac:dyDescent="0.3">
      <c r="A32" s="36"/>
      <c r="B32" s="19" t="s">
        <v>189</v>
      </c>
      <c r="C32" s="19"/>
      <c r="D32" s="20" t="s">
        <v>190</v>
      </c>
      <c r="E32" s="21"/>
      <c r="F32" s="21"/>
      <c r="G32" s="22"/>
      <c r="H32" s="43"/>
      <c r="I32" s="32"/>
      <c r="J32" s="32"/>
      <c r="K32" s="32"/>
      <c r="L32" s="32"/>
      <c r="M32" s="18"/>
    </row>
    <row r="33" spans="1:13" s="2" customFormat="1" ht="13.5" customHeight="1" x14ac:dyDescent="0.3">
      <c r="A33" s="75">
        <v>16</v>
      </c>
      <c r="B33" s="48" t="s">
        <v>172</v>
      </c>
      <c r="C33" s="49"/>
      <c r="D33" s="50"/>
      <c r="E33" s="51"/>
      <c r="F33" s="51"/>
      <c r="G33" s="52"/>
      <c r="H33" s="59">
        <v>108</v>
      </c>
      <c r="I33" s="35">
        <f>SUM(H33)+5.6</f>
        <v>113.6</v>
      </c>
      <c r="J33" s="35">
        <f>SUM(I33)+5.6</f>
        <v>119.19999999999999</v>
      </c>
      <c r="K33" s="35"/>
      <c r="L33" s="35"/>
      <c r="M33" s="17"/>
    </row>
    <row r="34" spans="1:13" s="2" customFormat="1" ht="13.5" customHeight="1" x14ac:dyDescent="0.3">
      <c r="A34" s="36"/>
      <c r="B34" s="45" t="s">
        <v>173</v>
      </c>
      <c r="C34" s="46"/>
      <c r="D34" s="20" t="s">
        <v>174</v>
      </c>
      <c r="E34" s="21"/>
      <c r="F34" s="21"/>
      <c r="G34" s="22"/>
      <c r="H34" s="43"/>
      <c r="I34" s="32"/>
      <c r="J34" s="32"/>
      <c r="K34" s="32"/>
      <c r="L34" s="32"/>
      <c r="M34" s="18"/>
    </row>
    <row r="35" spans="1:13" s="2" customFormat="1" ht="13.5" customHeight="1" x14ac:dyDescent="0.3">
      <c r="A35" s="75">
        <v>17</v>
      </c>
      <c r="B35" s="48" t="s">
        <v>215</v>
      </c>
      <c r="C35" s="49"/>
      <c r="D35" s="60"/>
      <c r="E35" s="60"/>
      <c r="F35" s="60"/>
      <c r="G35" s="60"/>
      <c r="H35" s="59">
        <v>17.5</v>
      </c>
      <c r="I35" s="35">
        <f>SUM(H35)+1.4</f>
        <v>18.899999999999999</v>
      </c>
      <c r="J35" s="35">
        <f>SUM(I35)+1.4</f>
        <v>20.299999999999997</v>
      </c>
      <c r="K35" s="35"/>
      <c r="L35" s="35"/>
      <c r="M35" s="17"/>
    </row>
    <row r="36" spans="1:13" s="2" customFormat="1" ht="13.5" customHeight="1" x14ac:dyDescent="0.3">
      <c r="A36" s="36"/>
      <c r="B36" s="45" t="s">
        <v>214</v>
      </c>
      <c r="C36" s="46"/>
      <c r="D36" s="87" t="s">
        <v>220</v>
      </c>
      <c r="E36" s="21"/>
      <c r="F36" s="21"/>
      <c r="G36" s="22"/>
      <c r="H36" s="43"/>
      <c r="I36" s="32"/>
      <c r="J36" s="32"/>
      <c r="K36" s="32"/>
      <c r="L36" s="32"/>
      <c r="M36" s="18"/>
    </row>
    <row r="37" spans="1:13" s="2" customFormat="1" ht="13.5" customHeight="1" x14ac:dyDescent="0.3">
      <c r="A37" s="75">
        <v>18</v>
      </c>
      <c r="B37" s="48" t="s">
        <v>216</v>
      </c>
      <c r="C37" s="49"/>
      <c r="D37" s="60"/>
      <c r="E37" s="60"/>
      <c r="F37" s="60"/>
      <c r="G37" s="60"/>
      <c r="H37" s="59">
        <v>37</v>
      </c>
      <c r="I37" s="35">
        <f>SUM(H37)+2.9</f>
        <v>39.9</v>
      </c>
      <c r="J37" s="35">
        <f>SUM(I37)+2.9</f>
        <v>42.8</v>
      </c>
      <c r="K37" s="35"/>
      <c r="L37" s="35"/>
      <c r="M37" s="17"/>
    </row>
    <row r="38" spans="1:13" s="2" customFormat="1" ht="13.5" customHeight="1" x14ac:dyDescent="0.3">
      <c r="A38" s="36"/>
      <c r="B38" s="45" t="s">
        <v>217</v>
      </c>
      <c r="C38" s="46"/>
      <c r="D38" s="87" t="s">
        <v>220</v>
      </c>
      <c r="E38" s="21"/>
      <c r="F38" s="21"/>
      <c r="G38" s="22"/>
      <c r="H38" s="43"/>
      <c r="I38" s="32"/>
      <c r="J38" s="32"/>
      <c r="K38" s="32"/>
      <c r="L38" s="32"/>
      <c r="M38" s="18"/>
    </row>
    <row r="39" spans="1:13" ht="14.1" customHeight="1" x14ac:dyDescent="0.3">
      <c r="A39" s="75">
        <v>19</v>
      </c>
      <c r="B39" s="48" t="s">
        <v>218</v>
      </c>
      <c r="C39" s="49"/>
      <c r="D39" s="60"/>
      <c r="E39" s="60"/>
      <c r="F39" s="60"/>
      <c r="G39" s="60"/>
      <c r="H39" s="59">
        <v>35</v>
      </c>
      <c r="I39" s="35">
        <f>SUM(H39)+1.6</f>
        <v>36.6</v>
      </c>
      <c r="J39" s="35">
        <f>SUM(I39)+1.6</f>
        <v>38.200000000000003</v>
      </c>
      <c r="K39" s="35"/>
      <c r="L39" s="35"/>
      <c r="M39" s="17"/>
    </row>
    <row r="40" spans="1:13" ht="14.1" customHeight="1" x14ac:dyDescent="0.3">
      <c r="A40" s="36"/>
      <c r="B40" s="45" t="s">
        <v>219</v>
      </c>
      <c r="C40" s="46"/>
      <c r="D40" s="87" t="s">
        <v>220</v>
      </c>
      <c r="E40" s="21"/>
      <c r="F40" s="21"/>
      <c r="G40" s="22"/>
      <c r="H40" s="43"/>
      <c r="I40" s="32"/>
      <c r="J40" s="32"/>
      <c r="K40" s="32"/>
      <c r="L40" s="32"/>
      <c r="M40" s="18"/>
    </row>
    <row r="41" spans="1:13" ht="14.1" customHeight="1" x14ac:dyDescent="0.3">
      <c r="A41" s="75">
        <v>20</v>
      </c>
      <c r="B41" s="48" t="s">
        <v>131</v>
      </c>
      <c r="C41" s="49"/>
      <c r="D41" s="50"/>
      <c r="E41" s="51"/>
      <c r="F41" s="51"/>
      <c r="G41" s="52"/>
      <c r="H41" s="53">
        <v>7</v>
      </c>
      <c r="I41" s="34">
        <f>SUM(H41)+0.5</f>
        <v>7.5</v>
      </c>
      <c r="J41" s="34">
        <f>SUM(I41)+0.5</f>
        <v>8</v>
      </c>
      <c r="K41" s="35"/>
      <c r="L41" s="35"/>
      <c r="M41" s="17"/>
    </row>
    <row r="42" spans="1:13" ht="14.1" customHeight="1" x14ac:dyDescent="0.3">
      <c r="A42" s="36"/>
      <c r="B42" s="38" t="s">
        <v>130</v>
      </c>
      <c r="C42" s="39"/>
      <c r="D42" s="67" t="s">
        <v>295</v>
      </c>
      <c r="E42" s="68"/>
      <c r="F42" s="68"/>
      <c r="G42" s="69"/>
      <c r="H42" s="59"/>
      <c r="I42" s="35"/>
      <c r="J42" s="35"/>
      <c r="K42" s="23"/>
      <c r="L42" s="23"/>
      <c r="M42" s="25"/>
    </row>
    <row r="43" spans="1:13" ht="14.1" customHeight="1" x14ac:dyDescent="0.3">
      <c r="A43" s="75">
        <v>21</v>
      </c>
      <c r="B43" s="48"/>
      <c r="C43" s="49"/>
      <c r="D43" s="60"/>
      <c r="E43" s="60"/>
      <c r="F43" s="60"/>
      <c r="G43" s="60"/>
      <c r="H43" s="53"/>
      <c r="I43" s="34"/>
      <c r="J43" s="34"/>
      <c r="K43" s="34"/>
      <c r="L43" s="34"/>
      <c r="M43" s="88"/>
    </row>
    <row r="44" spans="1:13" ht="14.1" customHeight="1" thickBot="1" x14ac:dyDescent="0.35">
      <c r="A44" s="76"/>
      <c r="B44" s="27"/>
      <c r="C44" s="28"/>
      <c r="D44" s="29"/>
      <c r="E44" s="30"/>
      <c r="F44" s="30"/>
      <c r="G44" s="30"/>
      <c r="H44" s="44"/>
      <c r="I44" s="33"/>
      <c r="J44" s="33"/>
      <c r="K44" s="33"/>
      <c r="L44" s="33"/>
      <c r="M44" s="89"/>
    </row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>
      <c r="B53" s="1"/>
      <c r="C53" s="1"/>
      <c r="D53" s="1"/>
      <c r="E53" s="1"/>
      <c r="F53" s="1"/>
      <c r="G53" s="1"/>
    </row>
    <row r="54" spans="2:7" x14ac:dyDescent="0.3">
      <c r="B54" s="1"/>
      <c r="C54" s="1"/>
      <c r="D54" s="1"/>
      <c r="E54" s="1"/>
      <c r="F54" s="1"/>
      <c r="G54" s="1"/>
    </row>
    <row r="55" spans="2:7" x14ac:dyDescent="0.3">
      <c r="B55" s="1"/>
      <c r="C55" s="1"/>
      <c r="D55" s="1"/>
      <c r="E55" s="1"/>
      <c r="F55" s="1"/>
      <c r="G55" s="1"/>
    </row>
    <row r="56" spans="2:7" x14ac:dyDescent="0.3">
      <c r="B56" s="1"/>
      <c r="C56" s="1"/>
      <c r="D56" s="1"/>
      <c r="E56" s="1"/>
      <c r="F56" s="1"/>
      <c r="G56" s="1"/>
    </row>
  </sheetData>
  <mergeCells count="234">
    <mergeCell ref="A43:A44"/>
    <mergeCell ref="B43:C43"/>
    <mergeCell ref="D43:G43"/>
    <mergeCell ref="H43:H44"/>
    <mergeCell ref="I43:I44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7:K28"/>
    <mergeCell ref="L27:L28"/>
    <mergeCell ref="M27:M28"/>
    <mergeCell ref="B28:C28"/>
    <mergeCell ref="D28:G28"/>
    <mergeCell ref="J27:J28"/>
    <mergeCell ref="J29:J30"/>
    <mergeCell ref="K29:K30"/>
    <mergeCell ref="L29:L30"/>
    <mergeCell ref="M29:M30"/>
    <mergeCell ref="B30:C30"/>
    <mergeCell ref="D30:G30"/>
    <mergeCell ref="B29:C29"/>
    <mergeCell ref="D29:G29"/>
    <mergeCell ref="H29:H30"/>
    <mergeCell ref="I29:I30"/>
    <mergeCell ref="A31:A32"/>
    <mergeCell ref="B31:C31"/>
    <mergeCell ref="D31:G31"/>
    <mergeCell ref="H31:H32"/>
    <mergeCell ref="I31:I32"/>
    <mergeCell ref="A27:A28"/>
    <mergeCell ref="B27:C27"/>
    <mergeCell ref="D27:G27"/>
    <mergeCell ref="H27:H28"/>
    <mergeCell ref="I27:I28"/>
    <mergeCell ref="A29:A30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8637-EB32-4F30-AEC2-F73575888CA3}">
  <sheetPr>
    <tabColor rgb="FFFF0000"/>
    <pageSetUpPr fitToPage="1"/>
  </sheetPr>
  <dimension ref="A1:M64"/>
  <sheetViews>
    <sheetView zoomScale="110" zoomScaleNormal="110" zoomScalePageLayoutView="30" workbookViewId="0">
      <selection activeCell="O13" sqref="O1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2" t="s">
        <v>296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3.5" customHeight="1" x14ac:dyDescent="0.3">
      <c r="A3" s="66">
        <v>1</v>
      </c>
      <c r="B3" s="80" t="s">
        <v>64</v>
      </c>
      <c r="C3" s="80"/>
      <c r="D3" s="81" t="s">
        <v>63</v>
      </c>
      <c r="E3" s="81"/>
      <c r="F3" s="81"/>
      <c r="G3" s="82"/>
      <c r="H3" s="70">
        <v>52</v>
      </c>
      <c r="I3" s="71">
        <f>SUM(H3)+3</f>
        <v>55</v>
      </c>
      <c r="J3" s="71">
        <f>SUM(I3)+3</f>
        <v>58</v>
      </c>
      <c r="K3" s="71"/>
      <c r="L3" s="72"/>
      <c r="M3" s="73"/>
    </row>
    <row r="4" spans="1:13" s="2" customFormat="1" ht="13.5" customHeight="1" x14ac:dyDescent="0.3">
      <c r="A4" s="47"/>
      <c r="B4" s="19" t="s">
        <v>62</v>
      </c>
      <c r="C4" s="19"/>
      <c r="D4" s="20" t="s">
        <v>61</v>
      </c>
      <c r="E4" s="21"/>
      <c r="F4" s="21"/>
      <c r="G4" s="21"/>
      <c r="H4" s="53"/>
      <c r="I4" s="34"/>
      <c r="J4" s="34"/>
      <c r="K4" s="35"/>
      <c r="L4" s="32"/>
      <c r="M4" s="18"/>
    </row>
    <row r="5" spans="1:13" s="2" customFormat="1" ht="13.5" customHeight="1" x14ac:dyDescent="0.3">
      <c r="A5" s="75">
        <v>2</v>
      </c>
      <c r="B5" s="48" t="s">
        <v>21</v>
      </c>
      <c r="C5" s="49"/>
      <c r="D5" s="56" t="s">
        <v>22</v>
      </c>
      <c r="E5" s="57"/>
      <c r="F5" s="57"/>
      <c r="G5" s="58"/>
      <c r="H5" s="59">
        <v>57</v>
      </c>
      <c r="I5" s="35">
        <f>SUM(H5)+4</f>
        <v>61</v>
      </c>
      <c r="J5" s="35">
        <f>SUM(I5)+4</f>
        <v>65</v>
      </c>
      <c r="K5" s="35"/>
      <c r="L5" s="35"/>
      <c r="M5" s="17"/>
    </row>
    <row r="6" spans="1:13" s="2" customFormat="1" ht="13.5" customHeight="1" x14ac:dyDescent="0.3">
      <c r="A6" s="36"/>
      <c r="B6" s="45" t="s">
        <v>12</v>
      </c>
      <c r="C6" s="46"/>
      <c r="D6" s="20" t="s">
        <v>25</v>
      </c>
      <c r="E6" s="21"/>
      <c r="F6" s="21"/>
      <c r="G6" s="22"/>
      <c r="H6" s="43"/>
      <c r="I6" s="32"/>
      <c r="J6" s="32"/>
      <c r="K6" s="32"/>
      <c r="L6" s="32"/>
      <c r="M6" s="18"/>
    </row>
    <row r="7" spans="1:13" s="2" customFormat="1" ht="13.5" customHeight="1" x14ac:dyDescent="0.3">
      <c r="A7" s="75">
        <v>3</v>
      </c>
      <c r="B7" s="55" t="s">
        <v>20</v>
      </c>
      <c r="C7" s="55"/>
      <c r="D7" s="60" t="s">
        <v>11</v>
      </c>
      <c r="E7" s="60"/>
      <c r="F7" s="60"/>
      <c r="G7" s="60"/>
      <c r="H7" s="59">
        <v>57</v>
      </c>
      <c r="I7" s="35">
        <f>SUM(H7)+4</f>
        <v>61</v>
      </c>
      <c r="J7" s="35">
        <f>SUM(I7)+4</f>
        <v>65</v>
      </c>
      <c r="K7" s="34"/>
      <c r="L7" s="34"/>
      <c r="M7" s="54"/>
    </row>
    <row r="8" spans="1:13" s="2" customFormat="1" ht="13.5" customHeight="1" x14ac:dyDescent="0.3">
      <c r="A8" s="36"/>
      <c r="B8" s="19" t="s">
        <v>23</v>
      </c>
      <c r="C8" s="19"/>
      <c r="D8" s="20" t="s">
        <v>26</v>
      </c>
      <c r="E8" s="21"/>
      <c r="F8" s="21"/>
      <c r="G8" s="22"/>
      <c r="H8" s="43"/>
      <c r="I8" s="32"/>
      <c r="J8" s="32"/>
      <c r="K8" s="34"/>
      <c r="L8" s="34"/>
      <c r="M8" s="54"/>
    </row>
    <row r="9" spans="1:13" s="2" customFormat="1" ht="13.5" customHeight="1" x14ac:dyDescent="0.3">
      <c r="A9" s="75">
        <v>4</v>
      </c>
      <c r="B9" s="55" t="s">
        <v>24</v>
      </c>
      <c r="C9" s="55"/>
      <c r="D9" s="60" t="s">
        <v>9</v>
      </c>
      <c r="E9" s="60"/>
      <c r="F9" s="60"/>
      <c r="G9" s="60"/>
      <c r="H9" s="59">
        <v>44</v>
      </c>
      <c r="I9" s="35">
        <f>SUM(H9)+3.2</f>
        <v>47.2</v>
      </c>
      <c r="J9" s="35">
        <f>SUM(I9)+3.2</f>
        <v>50.400000000000006</v>
      </c>
      <c r="K9" s="34"/>
      <c r="L9" s="34"/>
      <c r="M9" s="54"/>
    </row>
    <row r="10" spans="1:13" s="2" customFormat="1" ht="13.5" customHeight="1" x14ac:dyDescent="0.3">
      <c r="A10" s="36"/>
      <c r="B10" s="19" t="s">
        <v>13</v>
      </c>
      <c r="C10" s="19"/>
      <c r="D10" s="20" t="s">
        <v>27</v>
      </c>
      <c r="E10" s="21"/>
      <c r="F10" s="21"/>
      <c r="G10" s="22"/>
      <c r="H10" s="43"/>
      <c r="I10" s="32"/>
      <c r="J10" s="32"/>
      <c r="K10" s="34"/>
      <c r="L10" s="34"/>
      <c r="M10" s="54"/>
    </row>
    <row r="11" spans="1:13" s="2" customFormat="1" ht="13.5" customHeight="1" x14ac:dyDescent="0.3">
      <c r="A11" s="75">
        <v>5</v>
      </c>
      <c r="B11" s="55" t="s">
        <v>159</v>
      </c>
      <c r="C11" s="55"/>
      <c r="D11" s="60"/>
      <c r="E11" s="60"/>
      <c r="F11" s="60"/>
      <c r="G11" s="60"/>
      <c r="H11" s="53">
        <v>6</v>
      </c>
      <c r="I11" s="34">
        <f>SUM(H11)</f>
        <v>6</v>
      </c>
      <c r="J11" s="34">
        <f>SUM(I11)</f>
        <v>6</v>
      </c>
      <c r="K11" s="35"/>
      <c r="L11" s="35"/>
      <c r="M11" s="17"/>
    </row>
    <row r="12" spans="1:13" s="2" customFormat="1" ht="13.5" customHeight="1" x14ac:dyDescent="0.3">
      <c r="A12" s="36"/>
      <c r="B12" s="19" t="s">
        <v>160</v>
      </c>
      <c r="C12" s="19"/>
      <c r="D12" s="20"/>
      <c r="E12" s="21"/>
      <c r="F12" s="21"/>
      <c r="G12" s="22"/>
      <c r="H12" s="53"/>
      <c r="I12" s="34"/>
      <c r="J12" s="34"/>
      <c r="K12" s="32"/>
      <c r="L12" s="32"/>
      <c r="M12" s="18"/>
    </row>
    <row r="13" spans="1:13" s="2" customFormat="1" ht="13.5" customHeight="1" x14ac:dyDescent="0.3">
      <c r="A13" s="75">
        <v>6</v>
      </c>
      <c r="B13" s="55" t="s">
        <v>10</v>
      </c>
      <c r="C13" s="55"/>
      <c r="D13" s="60" t="s">
        <v>0</v>
      </c>
      <c r="E13" s="60"/>
      <c r="F13" s="60"/>
      <c r="G13" s="60"/>
      <c r="H13" s="53">
        <v>21</v>
      </c>
      <c r="I13" s="34">
        <f>SUM(H13)+1</f>
        <v>22</v>
      </c>
      <c r="J13" s="34">
        <f>SUM(I13)+1</f>
        <v>23</v>
      </c>
      <c r="K13" s="34"/>
      <c r="L13" s="34"/>
      <c r="M13" s="54"/>
    </row>
    <row r="14" spans="1:13" s="2" customFormat="1" ht="13.5" customHeight="1" x14ac:dyDescent="0.3">
      <c r="A14" s="36"/>
      <c r="B14" s="19" t="s">
        <v>14</v>
      </c>
      <c r="C14" s="19"/>
      <c r="D14" s="20" t="s">
        <v>28</v>
      </c>
      <c r="E14" s="21"/>
      <c r="F14" s="21"/>
      <c r="G14" s="22"/>
      <c r="H14" s="53"/>
      <c r="I14" s="34"/>
      <c r="J14" s="34"/>
      <c r="K14" s="34"/>
      <c r="L14" s="34"/>
      <c r="M14" s="54"/>
    </row>
    <row r="15" spans="1:13" s="2" customFormat="1" ht="13.5" customHeight="1" x14ac:dyDescent="0.3">
      <c r="A15" s="75">
        <v>7</v>
      </c>
      <c r="B15" s="55" t="s">
        <v>1</v>
      </c>
      <c r="C15" s="55"/>
      <c r="D15" s="60" t="s">
        <v>132</v>
      </c>
      <c r="E15" s="60"/>
      <c r="F15" s="60"/>
      <c r="G15" s="60"/>
      <c r="H15" s="53">
        <v>20.5</v>
      </c>
      <c r="I15" s="34">
        <f>SUM(H15)+0.6</f>
        <v>21.1</v>
      </c>
      <c r="J15" s="34">
        <f>SUM(I15)+0.6</f>
        <v>21.700000000000003</v>
      </c>
      <c r="K15" s="34"/>
      <c r="L15" s="34"/>
      <c r="M15" s="54"/>
    </row>
    <row r="16" spans="1:13" s="2" customFormat="1" ht="13.5" customHeight="1" x14ac:dyDescent="0.3">
      <c r="A16" s="36"/>
      <c r="B16" s="19" t="s">
        <v>15</v>
      </c>
      <c r="C16" s="19"/>
      <c r="D16" s="20" t="s">
        <v>89</v>
      </c>
      <c r="E16" s="21"/>
      <c r="F16" s="21"/>
      <c r="G16" s="22"/>
      <c r="H16" s="53"/>
      <c r="I16" s="34"/>
      <c r="J16" s="34"/>
      <c r="K16" s="34"/>
      <c r="L16" s="34"/>
      <c r="M16" s="54"/>
    </row>
    <row r="17" spans="1:13" s="2" customFormat="1" ht="13.5" customHeight="1" x14ac:dyDescent="0.3">
      <c r="A17" s="75">
        <v>8</v>
      </c>
      <c r="B17" s="55" t="s">
        <v>3</v>
      </c>
      <c r="C17" s="55"/>
      <c r="D17" s="60" t="s">
        <v>4</v>
      </c>
      <c r="E17" s="60"/>
      <c r="F17" s="60"/>
      <c r="G17" s="60"/>
      <c r="H17" s="53">
        <v>7.5</v>
      </c>
      <c r="I17" s="34">
        <f>SUM(H17)+0.3</f>
        <v>7.8</v>
      </c>
      <c r="J17" s="34">
        <f>SUM(I17)+0.3</f>
        <v>8.1</v>
      </c>
      <c r="K17" s="34"/>
      <c r="L17" s="34"/>
      <c r="M17" s="54"/>
    </row>
    <row r="18" spans="1:13" s="2" customFormat="1" ht="13.5" customHeight="1" x14ac:dyDescent="0.3">
      <c r="A18" s="36"/>
      <c r="B18" s="19" t="s">
        <v>16</v>
      </c>
      <c r="C18" s="19"/>
      <c r="D18" s="20" t="s">
        <v>88</v>
      </c>
      <c r="E18" s="21"/>
      <c r="F18" s="21"/>
      <c r="G18" s="22"/>
      <c r="H18" s="53"/>
      <c r="I18" s="34"/>
      <c r="J18" s="34"/>
      <c r="K18" s="34"/>
      <c r="L18" s="34"/>
      <c r="M18" s="54"/>
    </row>
    <row r="19" spans="1:13" s="2" customFormat="1" ht="13.5" customHeight="1" x14ac:dyDescent="0.3">
      <c r="A19" s="75">
        <v>9</v>
      </c>
      <c r="B19" s="55" t="s">
        <v>144</v>
      </c>
      <c r="C19" s="55"/>
      <c r="D19" s="56" t="s">
        <v>143</v>
      </c>
      <c r="E19" s="57"/>
      <c r="F19" s="57"/>
      <c r="G19" s="58"/>
      <c r="H19" s="59">
        <v>36</v>
      </c>
      <c r="I19" s="35">
        <f>SUM(H19)+1</f>
        <v>37</v>
      </c>
      <c r="J19" s="35">
        <f>SUM(I19)+1</f>
        <v>38</v>
      </c>
      <c r="K19" s="34"/>
      <c r="L19" s="34"/>
      <c r="M19" s="54"/>
    </row>
    <row r="20" spans="1:13" s="2" customFormat="1" ht="13.5" customHeight="1" x14ac:dyDescent="0.3">
      <c r="A20" s="36"/>
      <c r="B20" s="19" t="s">
        <v>142</v>
      </c>
      <c r="C20" s="19"/>
      <c r="D20" s="20" t="s">
        <v>141</v>
      </c>
      <c r="E20" s="21"/>
      <c r="F20" s="21"/>
      <c r="G20" s="22"/>
      <c r="H20" s="43"/>
      <c r="I20" s="32"/>
      <c r="J20" s="32"/>
      <c r="K20" s="34"/>
      <c r="L20" s="34"/>
      <c r="M20" s="54"/>
    </row>
    <row r="21" spans="1:13" s="2" customFormat="1" ht="13.5" customHeight="1" x14ac:dyDescent="0.3">
      <c r="A21" s="75">
        <v>10</v>
      </c>
      <c r="B21" s="55" t="s">
        <v>140</v>
      </c>
      <c r="C21" s="55"/>
      <c r="D21" s="56" t="s">
        <v>139</v>
      </c>
      <c r="E21" s="57"/>
      <c r="F21" s="57"/>
      <c r="G21" s="58"/>
      <c r="H21" s="59">
        <v>25</v>
      </c>
      <c r="I21" s="35">
        <f>SUM(H21)+0.8</f>
        <v>25.8</v>
      </c>
      <c r="J21" s="35">
        <f>SUM(I21)+0.8</f>
        <v>26.6</v>
      </c>
      <c r="K21" s="34"/>
      <c r="L21" s="34"/>
      <c r="M21" s="54"/>
    </row>
    <row r="22" spans="1:13" s="2" customFormat="1" ht="13.5" customHeight="1" x14ac:dyDescent="0.3">
      <c r="A22" s="36"/>
      <c r="B22" s="19" t="s">
        <v>138</v>
      </c>
      <c r="C22" s="19"/>
      <c r="D22" s="20" t="s">
        <v>137</v>
      </c>
      <c r="E22" s="21"/>
      <c r="F22" s="21"/>
      <c r="G22" s="22"/>
      <c r="H22" s="43"/>
      <c r="I22" s="32"/>
      <c r="J22" s="32"/>
      <c r="K22" s="34"/>
      <c r="L22" s="34"/>
      <c r="M22" s="54"/>
    </row>
    <row r="23" spans="1:13" s="2" customFormat="1" ht="13.5" customHeight="1" x14ac:dyDescent="0.3">
      <c r="A23" s="75">
        <v>11</v>
      </c>
      <c r="B23" s="55" t="s">
        <v>196</v>
      </c>
      <c r="C23" s="55"/>
      <c r="D23" s="56"/>
      <c r="E23" s="57"/>
      <c r="F23" s="57"/>
      <c r="G23" s="58"/>
      <c r="H23" s="59">
        <v>98</v>
      </c>
      <c r="I23" s="35">
        <f>SUM(H23)+2</f>
        <v>100</v>
      </c>
      <c r="J23" s="35">
        <f>SUM(I23)+2</f>
        <v>102</v>
      </c>
      <c r="K23" s="34"/>
      <c r="L23" s="34"/>
      <c r="M23" s="54"/>
    </row>
    <row r="24" spans="1:13" s="2" customFormat="1" ht="13.5" customHeight="1" x14ac:dyDescent="0.3">
      <c r="A24" s="36"/>
      <c r="B24" s="19" t="s">
        <v>197</v>
      </c>
      <c r="C24" s="19"/>
      <c r="D24" s="20" t="s">
        <v>297</v>
      </c>
      <c r="E24" s="21"/>
      <c r="F24" s="21"/>
      <c r="G24" s="22"/>
      <c r="H24" s="43"/>
      <c r="I24" s="32"/>
      <c r="J24" s="32"/>
      <c r="K24" s="34"/>
      <c r="L24" s="34"/>
      <c r="M24" s="54"/>
    </row>
    <row r="25" spans="1:13" ht="13.5" customHeight="1" x14ac:dyDescent="0.3">
      <c r="A25" s="75">
        <v>12</v>
      </c>
      <c r="B25" s="79" t="s">
        <v>298</v>
      </c>
      <c r="C25" s="79"/>
      <c r="D25" s="67"/>
      <c r="E25" s="68"/>
      <c r="F25" s="68"/>
      <c r="G25" s="69"/>
      <c r="H25" s="53">
        <v>2</v>
      </c>
      <c r="I25" s="34">
        <f>SUM(H25)</f>
        <v>2</v>
      </c>
      <c r="J25" s="34">
        <f>SUM(I25)</f>
        <v>2</v>
      </c>
      <c r="K25" s="32"/>
      <c r="L25" s="32"/>
      <c r="M25" s="18"/>
    </row>
    <row r="26" spans="1:13" ht="13.5" customHeight="1" x14ac:dyDescent="0.3">
      <c r="A26" s="36"/>
      <c r="B26" s="19" t="s">
        <v>299</v>
      </c>
      <c r="C26" s="19"/>
      <c r="D26" s="20"/>
      <c r="E26" s="21"/>
      <c r="F26" s="21"/>
      <c r="G26" s="22"/>
      <c r="H26" s="53"/>
      <c r="I26" s="34"/>
      <c r="J26" s="34"/>
      <c r="K26" s="34"/>
      <c r="L26" s="34"/>
      <c r="M26" s="54"/>
    </row>
    <row r="27" spans="1:13" ht="13.5" customHeight="1" x14ac:dyDescent="0.3">
      <c r="A27" s="75">
        <v>13</v>
      </c>
      <c r="B27" s="55" t="s">
        <v>5</v>
      </c>
      <c r="C27" s="55"/>
      <c r="D27" s="60" t="s">
        <v>6</v>
      </c>
      <c r="E27" s="60"/>
      <c r="F27" s="60"/>
      <c r="G27" s="60"/>
      <c r="H27" s="53">
        <v>43.5</v>
      </c>
      <c r="I27" s="34">
        <f>SUM(H27)+2</f>
        <v>45.5</v>
      </c>
      <c r="J27" s="34">
        <f>SUM(I27)+2</f>
        <v>47.5</v>
      </c>
      <c r="K27" s="34"/>
      <c r="L27" s="34"/>
      <c r="M27" s="54"/>
    </row>
    <row r="28" spans="1:13" ht="13.5" customHeight="1" x14ac:dyDescent="0.3">
      <c r="A28" s="36"/>
      <c r="B28" s="19" t="s">
        <v>17</v>
      </c>
      <c r="C28" s="19"/>
      <c r="D28" s="20" t="s">
        <v>29</v>
      </c>
      <c r="E28" s="21"/>
      <c r="F28" s="21"/>
      <c r="G28" s="22"/>
      <c r="H28" s="53"/>
      <c r="I28" s="34"/>
      <c r="J28" s="34"/>
      <c r="K28" s="34"/>
      <c r="L28" s="34"/>
      <c r="M28" s="54"/>
    </row>
    <row r="29" spans="1:13" s="2" customFormat="1" ht="13.5" customHeight="1" x14ac:dyDescent="0.3">
      <c r="A29" s="75">
        <v>14</v>
      </c>
      <c r="B29" s="55" t="s">
        <v>7</v>
      </c>
      <c r="C29" s="55"/>
      <c r="D29" s="56" t="s">
        <v>8</v>
      </c>
      <c r="E29" s="57"/>
      <c r="F29" s="57"/>
      <c r="G29" s="58"/>
      <c r="H29" s="53">
        <v>39</v>
      </c>
      <c r="I29" s="34">
        <f>SUM(H29)+2</f>
        <v>41</v>
      </c>
      <c r="J29" s="34">
        <f>SUM(I29)+2</f>
        <v>43</v>
      </c>
      <c r="K29" s="34"/>
      <c r="L29" s="34"/>
      <c r="M29" s="54"/>
    </row>
    <row r="30" spans="1:13" s="2" customFormat="1" ht="13.5" customHeight="1" x14ac:dyDescent="0.3">
      <c r="A30" s="36"/>
      <c r="B30" s="19" t="s">
        <v>18</v>
      </c>
      <c r="C30" s="19"/>
      <c r="D30" s="20" t="s">
        <v>36</v>
      </c>
      <c r="E30" s="21"/>
      <c r="F30" s="21"/>
      <c r="G30" s="22"/>
      <c r="H30" s="53"/>
      <c r="I30" s="34"/>
      <c r="J30" s="34"/>
      <c r="K30" s="34"/>
      <c r="L30" s="34"/>
      <c r="M30" s="54"/>
    </row>
    <row r="31" spans="1:13" s="2" customFormat="1" ht="13.5" customHeight="1" x14ac:dyDescent="0.3">
      <c r="A31" s="75">
        <v>15</v>
      </c>
      <c r="B31" s="48" t="s">
        <v>59</v>
      </c>
      <c r="C31" s="49"/>
      <c r="D31" s="60" t="s">
        <v>37</v>
      </c>
      <c r="E31" s="60"/>
      <c r="F31" s="60"/>
      <c r="G31" s="60"/>
      <c r="H31" s="53">
        <v>18</v>
      </c>
      <c r="I31" s="34">
        <f>SUM(H31)+0.8</f>
        <v>18.8</v>
      </c>
      <c r="J31" s="34">
        <f>SUM(I31)+0.8</f>
        <v>19.600000000000001</v>
      </c>
      <c r="K31" s="34"/>
      <c r="L31" s="34"/>
      <c r="M31" s="54"/>
    </row>
    <row r="32" spans="1:13" s="2" customFormat="1" ht="13.5" customHeight="1" x14ac:dyDescent="0.3">
      <c r="A32" s="36"/>
      <c r="B32" s="19" t="s">
        <v>19</v>
      </c>
      <c r="C32" s="19"/>
      <c r="D32" s="20" t="s">
        <v>38</v>
      </c>
      <c r="E32" s="21"/>
      <c r="F32" s="21"/>
      <c r="G32" s="22"/>
      <c r="H32" s="59"/>
      <c r="I32" s="35"/>
      <c r="J32" s="35"/>
      <c r="K32" s="34"/>
      <c r="L32" s="34"/>
      <c r="M32" s="54"/>
    </row>
    <row r="33" spans="1:13" s="2" customFormat="1" ht="13.5" customHeight="1" x14ac:dyDescent="0.3">
      <c r="A33" s="75">
        <v>16</v>
      </c>
      <c r="B33" s="79" t="s">
        <v>161</v>
      </c>
      <c r="C33" s="79"/>
      <c r="D33" s="67"/>
      <c r="E33" s="68"/>
      <c r="F33" s="68"/>
      <c r="G33" s="69"/>
      <c r="H33" s="53">
        <v>5</v>
      </c>
      <c r="I33" s="34">
        <f>SUM(H33)</f>
        <v>5</v>
      </c>
      <c r="J33" s="34">
        <f>SUM(I33)</f>
        <v>5</v>
      </c>
      <c r="K33" s="32"/>
      <c r="L33" s="32"/>
      <c r="M33" s="18"/>
    </row>
    <row r="34" spans="1:13" s="2" customFormat="1" ht="13.5" customHeight="1" x14ac:dyDescent="0.3">
      <c r="A34" s="36"/>
      <c r="B34" s="19" t="s">
        <v>162</v>
      </c>
      <c r="C34" s="19"/>
      <c r="D34" s="20"/>
      <c r="E34" s="21"/>
      <c r="F34" s="21"/>
      <c r="G34" s="22"/>
      <c r="H34" s="53"/>
      <c r="I34" s="34"/>
      <c r="J34" s="34"/>
      <c r="K34" s="34"/>
      <c r="L34" s="34"/>
      <c r="M34" s="54"/>
    </row>
    <row r="35" spans="1:13" s="2" customFormat="1" ht="13.5" customHeight="1" x14ac:dyDescent="0.3">
      <c r="A35" s="47">
        <v>17</v>
      </c>
      <c r="B35" s="48" t="s">
        <v>39</v>
      </c>
      <c r="C35" s="49"/>
      <c r="D35" s="50"/>
      <c r="E35" s="51"/>
      <c r="F35" s="51"/>
      <c r="G35" s="52"/>
      <c r="H35" s="53">
        <v>14.5</v>
      </c>
      <c r="I35" s="34"/>
      <c r="J35" s="34"/>
      <c r="K35" s="35"/>
      <c r="L35" s="34"/>
      <c r="M35" s="54"/>
    </row>
    <row r="36" spans="1:13" s="2" customFormat="1" ht="13.5" customHeight="1" x14ac:dyDescent="0.3">
      <c r="A36" s="47"/>
      <c r="B36" s="45" t="s">
        <v>40</v>
      </c>
      <c r="C36" s="46"/>
      <c r="D36" s="20" t="s">
        <v>163</v>
      </c>
      <c r="E36" s="21"/>
      <c r="F36" s="21"/>
      <c r="G36" s="22"/>
      <c r="H36" s="53"/>
      <c r="I36" s="34"/>
      <c r="J36" s="34"/>
      <c r="K36" s="32"/>
      <c r="L36" s="34"/>
      <c r="M36" s="54"/>
    </row>
    <row r="37" spans="1:13" s="2" customFormat="1" ht="13.5" customHeight="1" x14ac:dyDescent="0.3">
      <c r="A37" s="47">
        <v>18</v>
      </c>
      <c r="B37" s="48" t="s">
        <v>86</v>
      </c>
      <c r="C37" s="49"/>
      <c r="D37" s="50"/>
      <c r="E37" s="51"/>
      <c r="F37" s="51"/>
      <c r="G37" s="52"/>
      <c r="H37" s="53">
        <v>8</v>
      </c>
      <c r="I37" s="34"/>
      <c r="J37" s="34"/>
      <c r="K37" s="35"/>
      <c r="L37" s="35"/>
      <c r="M37" s="17"/>
    </row>
    <row r="38" spans="1:13" s="2" customFormat="1" ht="13.5" customHeight="1" x14ac:dyDescent="0.3">
      <c r="A38" s="47"/>
      <c r="B38" s="45" t="s">
        <v>87</v>
      </c>
      <c r="C38" s="46"/>
      <c r="D38" s="20" t="s">
        <v>164</v>
      </c>
      <c r="E38" s="21"/>
      <c r="F38" s="21"/>
      <c r="G38" s="22"/>
      <c r="H38" s="53"/>
      <c r="I38" s="34"/>
      <c r="J38" s="34"/>
      <c r="K38" s="32"/>
      <c r="L38" s="32"/>
      <c r="M38" s="18"/>
    </row>
    <row r="39" spans="1:13" ht="14.1" customHeight="1" x14ac:dyDescent="0.3">
      <c r="A39" s="75">
        <v>19</v>
      </c>
      <c r="B39" s="48" t="s">
        <v>95</v>
      </c>
      <c r="C39" s="49"/>
      <c r="D39" s="50"/>
      <c r="E39" s="51"/>
      <c r="F39" s="51"/>
      <c r="G39" s="52"/>
      <c r="H39" s="53">
        <v>44</v>
      </c>
      <c r="I39" s="34"/>
      <c r="J39" s="34"/>
      <c r="K39" s="35"/>
      <c r="L39" s="35"/>
      <c r="M39" s="17"/>
    </row>
    <row r="40" spans="1:13" ht="14.1" customHeight="1" x14ac:dyDescent="0.3">
      <c r="A40" s="78"/>
      <c r="B40" s="38" t="s">
        <v>94</v>
      </c>
      <c r="C40" s="39"/>
      <c r="D40" s="67" t="s">
        <v>154</v>
      </c>
      <c r="E40" s="68"/>
      <c r="F40" s="68"/>
      <c r="G40" s="69"/>
      <c r="H40" s="59"/>
      <c r="I40" s="35"/>
      <c r="J40" s="35"/>
      <c r="K40" s="23"/>
      <c r="L40" s="23"/>
      <c r="M40" s="25"/>
    </row>
    <row r="41" spans="1:13" ht="14.1" customHeight="1" x14ac:dyDescent="0.3">
      <c r="A41" s="75">
        <v>20</v>
      </c>
      <c r="B41" s="48"/>
      <c r="C41" s="49"/>
      <c r="D41" s="50"/>
      <c r="E41" s="51"/>
      <c r="F41" s="51"/>
      <c r="G41" s="52"/>
      <c r="H41" s="53"/>
      <c r="I41" s="61"/>
      <c r="J41" s="61"/>
      <c r="K41" s="34"/>
      <c r="L41" s="34"/>
      <c r="M41" s="54"/>
    </row>
    <row r="42" spans="1:13" ht="14.1" customHeight="1" thickBot="1" x14ac:dyDescent="0.35">
      <c r="A42" s="76"/>
      <c r="B42" s="27"/>
      <c r="C42" s="28"/>
      <c r="D42" s="29"/>
      <c r="E42" s="30"/>
      <c r="F42" s="30"/>
      <c r="G42" s="31"/>
      <c r="H42" s="44"/>
      <c r="I42" s="77"/>
      <c r="J42" s="77"/>
      <c r="K42" s="33"/>
      <c r="L42" s="33"/>
      <c r="M42" s="74"/>
    </row>
    <row r="43" spans="1:13" ht="14.1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4.1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4.1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4.1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4.1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4.1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4.1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4.1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4.1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4.1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4.1" customHeight="1" x14ac:dyDescent="0.3"/>
    <row r="61" spans="1:13" x14ac:dyDescent="0.3">
      <c r="B61" s="1"/>
      <c r="C61" s="1"/>
      <c r="D61" s="1"/>
      <c r="E61" s="1"/>
      <c r="F61" s="1"/>
      <c r="G61" s="1"/>
    </row>
    <row r="62" spans="1:13" x14ac:dyDescent="0.3">
      <c r="B62" s="1"/>
      <c r="C62" s="1"/>
      <c r="D62" s="1"/>
      <c r="E62" s="1"/>
      <c r="F62" s="1"/>
      <c r="G62" s="1"/>
    </row>
    <row r="63" spans="1:13" x14ac:dyDescent="0.3">
      <c r="B63" s="1"/>
      <c r="C63" s="1"/>
      <c r="D63" s="1"/>
      <c r="E63" s="1"/>
      <c r="F63" s="1"/>
      <c r="G63" s="1"/>
    </row>
    <row r="64" spans="1:13" x14ac:dyDescent="0.3">
      <c r="B64" s="1"/>
      <c r="C64" s="1"/>
      <c r="D64" s="1"/>
      <c r="E64" s="1"/>
      <c r="F64" s="1"/>
      <c r="G64" s="1"/>
    </row>
  </sheetData>
  <mergeCells count="223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J41:J42"/>
    <mergeCell ref="K41:K42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7DA9-0768-4B64-BB28-38F53E8DC5E7}">
  <sheetPr>
    <tabColor rgb="FFFF0000"/>
    <pageSetUpPr fitToPage="1"/>
  </sheetPr>
  <dimension ref="A1:M51"/>
  <sheetViews>
    <sheetView topLeftCell="A4" zoomScale="110" zoomScaleNormal="110" workbookViewId="0">
      <selection activeCell="O16" sqref="O1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2" t="s">
        <v>212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6">
        <v>1</v>
      </c>
      <c r="B3" s="107" t="s">
        <v>115</v>
      </c>
      <c r="C3" s="108"/>
      <c r="D3" s="82" t="s">
        <v>75</v>
      </c>
      <c r="E3" s="109"/>
      <c r="F3" s="109"/>
      <c r="G3" s="110"/>
      <c r="H3" s="111">
        <v>64</v>
      </c>
      <c r="I3" s="72">
        <f>SUM(H3)+2.5</f>
        <v>66.5</v>
      </c>
      <c r="J3" s="72">
        <f>SUM(I3)+2.5</f>
        <v>69</v>
      </c>
      <c r="K3" s="72"/>
      <c r="L3" s="72"/>
      <c r="M3" s="73"/>
    </row>
    <row r="4" spans="1:13" s="2" customFormat="1" ht="14.1" customHeight="1" x14ac:dyDescent="0.3">
      <c r="A4" s="92"/>
      <c r="B4" s="93" t="s">
        <v>114</v>
      </c>
      <c r="C4" s="94"/>
      <c r="D4" s="83" t="s">
        <v>74</v>
      </c>
      <c r="E4" s="84"/>
      <c r="F4" s="84"/>
      <c r="G4" s="85"/>
      <c r="H4" s="43"/>
      <c r="I4" s="32"/>
      <c r="J4" s="32"/>
      <c r="K4" s="32"/>
      <c r="L4" s="32"/>
      <c r="M4" s="18"/>
    </row>
    <row r="5" spans="1:13" s="2" customFormat="1" ht="14.1" customHeight="1" x14ac:dyDescent="0.3">
      <c r="A5" s="90">
        <v>2</v>
      </c>
      <c r="B5" s="38" t="s">
        <v>113</v>
      </c>
      <c r="C5" s="39"/>
      <c r="D5" s="67"/>
      <c r="E5" s="68"/>
      <c r="F5" s="68"/>
      <c r="G5" s="69"/>
      <c r="H5" s="86"/>
      <c r="I5" s="23"/>
      <c r="J5" s="23"/>
      <c r="K5" s="23"/>
      <c r="L5" s="23"/>
      <c r="M5" s="25"/>
    </row>
    <row r="6" spans="1:13" s="2" customFormat="1" ht="14.1" customHeight="1" x14ac:dyDescent="0.3">
      <c r="A6" s="92"/>
      <c r="B6" s="93" t="s">
        <v>112</v>
      </c>
      <c r="C6" s="94"/>
      <c r="D6" s="83"/>
      <c r="E6" s="84"/>
      <c r="F6" s="84"/>
      <c r="G6" s="85"/>
      <c r="H6" s="43"/>
      <c r="I6" s="32"/>
      <c r="J6" s="32"/>
      <c r="K6" s="32"/>
      <c r="L6" s="32"/>
      <c r="M6" s="18"/>
    </row>
    <row r="7" spans="1:13" s="2" customFormat="1" ht="14.1" customHeight="1" x14ac:dyDescent="0.3">
      <c r="A7" s="90">
        <v>3</v>
      </c>
      <c r="B7" s="38" t="s">
        <v>73</v>
      </c>
      <c r="C7" s="39"/>
      <c r="D7" s="67"/>
      <c r="E7" s="68"/>
      <c r="F7" s="68"/>
      <c r="G7" s="69"/>
      <c r="H7" s="86"/>
      <c r="I7" s="23"/>
      <c r="J7" s="23"/>
      <c r="K7" s="23"/>
      <c r="L7" s="23"/>
      <c r="M7" s="25"/>
    </row>
    <row r="8" spans="1:13" s="2" customFormat="1" ht="14.1" customHeight="1" x14ac:dyDescent="0.3">
      <c r="A8" s="92"/>
      <c r="B8" s="93" t="s">
        <v>111</v>
      </c>
      <c r="C8" s="94"/>
      <c r="D8" s="83"/>
      <c r="E8" s="84"/>
      <c r="F8" s="84"/>
      <c r="G8" s="85"/>
      <c r="H8" s="43"/>
      <c r="I8" s="32"/>
      <c r="J8" s="32"/>
      <c r="K8" s="32"/>
      <c r="L8" s="32"/>
      <c r="M8" s="18"/>
    </row>
    <row r="9" spans="1:13" s="2" customFormat="1" ht="14.1" customHeight="1" x14ac:dyDescent="0.3">
      <c r="A9" s="90">
        <v>4</v>
      </c>
      <c r="B9" s="48" t="s">
        <v>110</v>
      </c>
      <c r="C9" s="49"/>
      <c r="D9" s="103"/>
      <c r="E9" s="104"/>
      <c r="F9" s="104"/>
      <c r="G9" s="105"/>
      <c r="H9" s="86"/>
      <c r="I9" s="23"/>
      <c r="J9" s="23"/>
      <c r="K9" s="23"/>
      <c r="L9" s="23"/>
      <c r="M9" s="25"/>
    </row>
    <row r="10" spans="1:13" s="2" customFormat="1" ht="14.1" customHeight="1" x14ac:dyDescent="0.3">
      <c r="A10" s="92"/>
      <c r="B10" s="93" t="s">
        <v>109</v>
      </c>
      <c r="C10" s="94"/>
      <c r="D10" s="100"/>
      <c r="E10" s="101"/>
      <c r="F10" s="101"/>
      <c r="G10" s="102"/>
      <c r="H10" s="43"/>
      <c r="I10" s="32"/>
      <c r="J10" s="32"/>
      <c r="K10" s="32"/>
      <c r="L10" s="32"/>
      <c r="M10" s="18"/>
    </row>
    <row r="11" spans="1:13" s="2" customFormat="1" ht="14.1" customHeight="1" x14ac:dyDescent="0.3">
      <c r="A11" s="90">
        <v>5</v>
      </c>
      <c r="B11" s="48" t="s">
        <v>85</v>
      </c>
      <c r="C11" s="49"/>
      <c r="D11" s="67"/>
      <c r="E11" s="68"/>
      <c r="F11" s="68"/>
      <c r="G11" s="69"/>
      <c r="H11" s="86">
        <v>97.8</v>
      </c>
      <c r="I11" s="23">
        <f>SUM(H11)+4.5</f>
        <v>102.3</v>
      </c>
      <c r="J11" s="23">
        <f>SUM(I11)+4.5</f>
        <v>106.8</v>
      </c>
      <c r="K11" s="23"/>
      <c r="L11" s="23"/>
      <c r="M11" s="25"/>
    </row>
    <row r="12" spans="1:13" s="2" customFormat="1" ht="14.1" customHeight="1" x14ac:dyDescent="0.3">
      <c r="A12" s="92"/>
      <c r="B12" s="93" t="s">
        <v>108</v>
      </c>
      <c r="C12" s="94"/>
      <c r="D12" s="83"/>
      <c r="E12" s="84"/>
      <c r="F12" s="84"/>
      <c r="G12" s="85"/>
      <c r="H12" s="43"/>
      <c r="I12" s="32"/>
      <c r="J12" s="32"/>
      <c r="K12" s="32"/>
      <c r="L12" s="32"/>
      <c r="M12" s="18"/>
    </row>
    <row r="13" spans="1:13" s="2" customFormat="1" ht="14.1" customHeight="1" x14ac:dyDescent="0.3">
      <c r="A13" s="90">
        <v>6</v>
      </c>
      <c r="B13" s="48" t="s">
        <v>41</v>
      </c>
      <c r="C13" s="49"/>
      <c r="D13" s="56" t="s">
        <v>200</v>
      </c>
      <c r="E13" s="57"/>
      <c r="F13" s="57"/>
      <c r="G13" s="58"/>
      <c r="H13" s="59">
        <v>119</v>
      </c>
      <c r="I13" s="35">
        <f>SUM(H13)+5</f>
        <v>124</v>
      </c>
      <c r="J13" s="35">
        <f>SUM(I13)+5</f>
        <v>129</v>
      </c>
      <c r="K13" s="35"/>
      <c r="L13" s="35"/>
      <c r="M13" s="17"/>
    </row>
    <row r="14" spans="1:13" s="2" customFormat="1" ht="14.1" customHeight="1" x14ac:dyDescent="0.3">
      <c r="A14" s="92"/>
      <c r="B14" s="93" t="s">
        <v>42</v>
      </c>
      <c r="C14" s="94"/>
      <c r="D14" s="83" t="s">
        <v>76</v>
      </c>
      <c r="E14" s="84"/>
      <c r="F14" s="84"/>
      <c r="G14" s="85"/>
      <c r="H14" s="43"/>
      <c r="I14" s="32"/>
      <c r="J14" s="32"/>
      <c r="K14" s="32"/>
      <c r="L14" s="32"/>
      <c r="M14" s="18"/>
    </row>
    <row r="15" spans="1:13" s="2" customFormat="1" ht="14.1" customHeight="1" x14ac:dyDescent="0.3">
      <c r="A15" s="90">
        <v>7</v>
      </c>
      <c r="B15" s="48" t="s">
        <v>107</v>
      </c>
      <c r="C15" s="49"/>
      <c r="D15" s="56"/>
      <c r="E15" s="57"/>
      <c r="F15" s="57"/>
      <c r="G15" s="58"/>
      <c r="H15" s="59">
        <v>18.399999999999999</v>
      </c>
      <c r="I15" s="35">
        <f>SUM(H15)+0.7</f>
        <v>19.099999999999998</v>
      </c>
      <c r="J15" s="35">
        <f>SUM(I15)+0.7</f>
        <v>19.799999999999997</v>
      </c>
      <c r="K15" s="35"/>
      <c r="L15" s="55"/>
      <c r="M15" s="95"/>
    </row>
    <row r="16" spans="1:13" s="2" customFormat="1" ht="14.1" customHeight="1" x14ac:dyDescent="0.3">
      <c r="A16" s="92"/>
      <c r="B16" s="93" t="s">
        <v>106</v>
      </c>
      <c r="C16" s="94"/>
      <c r="D16" s="87" t="s">
        <v>105</v>
      </c>
      <c r="E16" s="98"/>
      <c r="F16" s="98"/>
      <c r="G16" s="99"/>
      <c r="H16" s="43"/>
      <c r="I16" s="32"/>
      <c r="J16" s="32"/>
      <c r="K16" s="32"/>
      <c r="L16" s="19"/>
      <c r="M16" s="96"/>
    </row>
    <row r="17" spans="1:13" s="2" customFormat="1" ht="14.1" customHeight="1" x14ac:dyDescent="0.3">
      <c r="A17" s="90">
        <v>8</v>
      </c>
      <c r="B17" s="48" t="s">
        <v>104</v>
      </c>
      <c r="C17" s="49"/>
      <c r="D17" s="56"/>
      <c r="E17" s="57"/>
      <c r="F17" s="57"/>
      <c r="G17" s="58"/>
      <c r="H17" s="59"/>
      <c r="I17" s="35"/>
      <c r="J17" s="35"/>
      <c r="K17" s="35"/>
      <c r="L17" s="55"/>
      <c r="M17" s="95"/>
    </row>
    <row r="18" spans="1:13" s="2" customFormat="1" ht="14.1" customHeight="1" x14ac:dyDescent="0.3">
      <c r="A18" s="92"/>
      <c r="B18" s="93" t="s">
        <v>103</v>
      </c>
      <c r="C18" s="94"/>
      <c r="D18" s="87" t="s">
        <v>102</v>
      </c>
      <c r="E18" s="98"/>
      <c r="F18" s="98"/>
      <c r="G18" s="99"/>
      <c r="H18" s="43"/>
      <c r="I18" s="32"/>
      <c r="J18" s="32"/>
      <c r="K18" s="32"/>
      <c r="L18" s="19"/>
      <c r="M18" s="96"/>
    </row>
    <row r="19" spans="1:13" s="2" customFormat="1" ht="14.1" customHeight="1" x14ac:dyDescent="0.3">
      <c r="A19" s="90">
        <v>9</v>
      </c>
      <c r="B19" s="48" t="s">
        <v>43</v>
      </c>
      <c r="C19" s="49"/>
      <c r="D19" s="56" t="s">
        <v>72</v>
      </c>
      <c r="E19" s="57"/>
      <c r="F19" s="57"/>
      <c r="G19" s="58"/>
      <c r="H19" s="59">
        <v>92.5</v>
      </c>
      <c r="I19" s="35">
        <f>SUM(H19)+4</f>
        <v>96.5</v>
      </c>
      <c r="J19" s="35">
        <f>SUM(I19)+4</f>
        <v>100.5</v>
      </c>
      <c r="K19" s="35"/>
      <c r="L19" s="35"/>
      <c r="M19" s="17"/>
    </row>
    <row r="20" spans="1:13" s="2" customFormat="1" ht="14.1" customHeight="1" x14ac:dyDescent="0.3">
      <c r="A20" s="92"/>
      <c r="B20" s="93" t="s">
        <v>44</v>
      </c>
      <c r="C20" s="94"/>
      <c r="D20" s="83" t="s">
        <v>71</v>
      </c>
      <c r="E20" s="84"/>
      <c r="F20" s="84"/>
      <c r="G20" s="85"/>
      <c r="H20" s="43"/>
      <c r="I20" s="32"/>
      <c r="J20" s="32"/>
      <c r="K20" s="32"/>
      <c r="L20" s="32"/>
      <c r="M20" s="18"/>
    </row>
    <row r="21" spans="1:13" s="2" customFormat="1" ht="14.1" customHeight="1" x14ac:dyDescent="0.3">
      <c r="A21" s="90">
        <v>10</v>
      </c>
      <c r="B21" s="48" t="s">
        <v>84</v>
      </c>
      <c r="C21" s="49"/>
      <c r="D21" s="56" t="s">
        <v>83</v>
      </c>
      <c r="E21" s="57"/>
      <c r="F21" s="57"/>
      <c r="G21" s="58"/>
      <c r="H21" s="59">
        <v>52</v>
      </c>
      <c r="I21" s="35">
        <f>SUM(H21)+2.2</f>
        <v>54.2</v>
      </c>
      <c r="J21" s="35">
        <f>SUM(I21)+2.2</f>
        <v>56.400000000000006</v>
      </c>
      <c r="K21" s="35"/>
      <c r="L21" s="35"/>
      <c r="M21" s="17"/>
    </row>
    <row r="22" spans="1:13" s="2" customFormat="1" ht="14.1" customHeight="1" x14ac:dyDescent="0.3">
      <c r="A22" s="92"/>
      <c r="B22" s="93" t="s">
        <v>82</v>
      </c>
      <c r="C22" s="94"/>
      <c r="D22" s="20" t="s">
        <v>81</v>
      </c>
      <c r="E22" s="21"/>
      <c r="F22" s="21"/>
      <c r="G22" s="22"/>
      <c r="H22" s="43"/>
      <c r="I22" s="32"/>
      <c r="J22" s="32"/>
      <c r="K22" s="32"/>
      <c r="L22" s="32"/>
      <c r="M22" s="18"/>
    </row>
    <row r="23" spans="1:13" s="2" customFormat="1" ht="14.1" customHeight="1" x14ac:dyDescent="0.3">
      <c r="A23" s="90">
        <v>11</v>
      </c>
      <c r="B23" s="38" t="s">
        <v>146</v>
      </c>
      <c r="C23" s="39"/>
      <c r="D23" s="40"/>
      <c r="E23" s="41"/>
      <c r="F23" s="41"/>
      <c r="G23" s="42"/>
      <c r="H23" s="59">
        <v>64</v>
      </c>
      <c r="I23" s="35">
        <f>SUM(H23)+2</f>
        <v>66</v>
      </c>
      <c r="J23" s="35">
        <f>SUM(I23)+2</f>
        <v>68</v>
      </c>
      <c r="K23" s="23"/>
      <c r="L23" s="23"/>
      <c r="M23" s="25"/>
    </row>
    <row r="24" spans="1:13" s="2" customFormat="1" ht="14.1" customHeight="1" x14ac:dyDescent="0.3">
      <c r="A24" s="92"/>
      <c r="B24" s="38" t="s">
        <v>147</v>
      </c>
      <c r="C24" s="39"/>
      <c r="D24" s="97" t="s">
        <v>152</v>
      </c>
      <c r="E24" s="68"/>
      <c r="F24" s="68"/>
      <c r="G24" s="69"/>
      <c r="H24" s="43"/>
      <c r="I24" s="32"/>
      <c r="J24" s="32"/>
      <c r="K24" s="23"/>
      <c r="L24" s="23"/>
      <c r="M24" s="25"/>
    </row>
    <row r="25" spans="1:13" s="2" customFormat="1" ht="14.1" customHeight="1" x14ac:dyDescent="0.3">
      <c r="A25" s="90">
        <v>12</v>
      </c>
      <c r="B25" s="48" t="s">
        <v>45</v>
      </c>
      <c r="C25" s="49"/>
      <c r="D25" s="56" t="s">
        <v>46</v>
      </c>
      <c r="E25" s="57"/>
      <c r="F25" s="57"/>
      <c r="G25" s="58"/>
      <c r="H25" s="59">
        <v>30.6</v>
      </c>
      <c r="I25" s="35">
        <f>SUM(H25)+1.1</f>
        <v>31.700000000000003</v>
      </c>
      <c r="J25" s="35">
        <f>SUM(I25)+1.1</f>
        <v>32.800000000000004</v>
      </c>
      <c r="K25" s="35"/>
      <c r="L25" s="55"/>
      <c r="M25" s="95"/>
    </row>
    <row r="26" spans="1:13" s="2" customFormat="1" ht="14.1" customHeight="1" x14ac:dyDescent="0.3">
      <c r="A26" s="92"/>
      <c r="B26" s="93" t="s">
        <v>47</v>
      </c>
      <c r="C26" s="94"/>
      <c r="D26" s="83" t="s">
        <v>70</v>
      </c>
      <c r="E26" s="84"/>
      <c r="F26" s="84"/>
      <c r="G26" s="85"/>
      <c r="H26" s="43"/>
      <c r="I26" s="32"/>
      <c r="J26" s="32"/>
      <c r="K26" s="32"/>
      <c r="L26" s="19"/>
      <c r="M26" s="96"/>
    </row>
    <row r="27" spans="1:13" s="2" customFormat="1" ht="14.1" customHeight="1" x14ac:dyDescent="0.3">
      <c r="A27" s="90">
        <v>13</v>
      </c>
      <c r="B27" s="48" t="s">
        <v>48</v>
      </c>
      <c r="C27" s="49"/>
      <c r="D27" s="56" t="s">
        <v>46</v>
      </c>
      <c r="E27" s="57"/>
      <c r="F27" s="57"/>
      <c r="G27" s="58"/>
      <c r="H27" s="59">
        <v>39.700000000000003</v>
      </c>
      <c r="I27" s="35">
        <f>SUM(H27)+1.3</f>
        <v>41</v>
      </c>
      <c r="J27" s="35">
        <f>SUM(I27)+1.3</f>
        <v>42.3</v>
      </c>
      <c r="K27" s="35"/>
      <c r="L27" s="55"/>
      <c r="M27" s="95"/>
    </row>
    <row r="28" spans="1:13" s="2" customFormat="1" ht="14.1" customHeight="1" x14ac:dyDescent="0.3">
      <c r="A28" s="92"/>
      <c r="B28" s="93" t="s">
        <v>49</v>
      </c>
      <c r="C28" s="94"/>
      <c r="D28" s="83" t="s">
        <v>70</v>
      </c>
      <c r="E28" s="84"/>
      <c r="F28" s="84"/>
      <c r="G28" s="85"/>
      <c r="H28" s="43"/>
      <c r="I28" s="32"/>
      <c r="J28" s="32"/>
      <c r="K28" s="32"/>
      <c r="L28" s="19"/>
      <c r="M28" s="96"/>
    </row>
    <row r="29" spans="1:13" s="2" customFormat="1" ht="14.1" customHeight="1" x14ac:dyDescent="0.3">
      <c r="A29" s="90">
        <v>14</v>
      </c>
      <c r="B29" s="48" t="s">
        <v>50</v>
      </c>
      <c r="C29" s="49"/>
      <c r="D29" s="56" t="s">
        <v>51</v>
      </c>
      <c r="E29" s="57"/>
      <c r="F29" s="57"/>
      <c r="G29" s="58"/>
      <c r="H29" s="59">
        <v>73.400000000000006</v>
      </c>
      <c r="I29" s="35">
        <f>SUM(H29)+3</f>
        <v>76.400000000000006</v>
      </c>
      <c r="J29" s="35">
        <f>SUM(I29)+3.1</f>
        <v>79.5</v>
      </c>
      <c r="K29" s="35"/>
      <c r="L29" s="35"/>
      <c r="M29" s="17"/>
    </row>
    <row r="30" spans="1:13" s="2" customFormat="1" ht="14.1" customHeight="1" x14ac:dyDescent="0.3">
      <c r="A30" s="92"/>
      <c r="B30" s="93" t="s">
        <v>52</v>
      </c>
      <c r="C30" s="94"/>
      <c r="D30" s="83" t="s">
        <v>69</v>
      </c>
      <c r="E30" s="84"/>
      <c r="F30" s="84"/>
      <c r="G30" s="85"/>
      <c r="H30" s="43"/>
      <c r="I30" s="32"/>
      <c r="J30" s="32"/>
      <c r="K30" s="32"/>
      <c r="L30" s="32"/>
      <c r="M30" s="18"/>
    </row>
    <row r="31" spans="1:13" s="2" customFormat="1" ht="14.1" customHeight="1" x14ac:dyDescent="0.3">
      <c r="A31" s="90">
        <v>15</v>
      </c>
      <c r="B31" s="48" t="s">
        <v>53</v>
      </c>
      <c r="C31" s="49"/>
      <c r="D31" s="56" t="s">
        <v>54</v>
      </c>
      <c r="E31" s="57"/>
      <c r="F31" s="57"/>
      <c r="G31" s="58"/>
      <c r="H31" s="59">
        <v>64.2</v>
      </c>
      <c r="I31" s="35">
        <f>SUM(H31)+3</f>
        <v>67.2</v>
      </c>
      <c r="J31" s="35">
        <f>SUM(I31)+3</f>
        <v>70.2</v>
      </c>
      <c r="K31" s="35"/>
      <c r="L31" s="35"/>
      <c r="M31" s="17"/>
    </row>
    <row r="32" spans="1:13" s="2" customFormat="1" ht="14.1" customHeight="1" x14ac:dyDescent="0.3">
      <c r="A32" s="92"/>
      <c r="B32" s="93" t="s">
        <v>55</v>
      </c>
      <c r="C32" s="94"/>
      <c r="D32" s="83" t="s">
        <v>68</v>
      </c>
      <c r="E32" s="84"/>
      <c r="F32" s="84"/>
      <c r="G32" s="85"/>
      <c r="H32" s="43"/>
      <c r="I32" s="32"/>
      <c r="J32" s="32"/>
      <c r="K32" s="32"/>
      <c r="L32" s="32"/>
      <c r="M32" s="18"/>
    </row>
    <row r="33" spans="1:13" s="2" customFormat="1" ht="14.1" customHeight="1" x14ac:dyDescent="0.3">
      <c r="A33" s="90">
        <v>16</v>
      </c>
      <c r="B33" s="48" t="s">
        <v>67</v>
      </c>
      <c r="C33" s="49"/>
      <c r="D33" s="56" t="s">
        <v>65</v>
      </c>
      <c r="E33" s="57"/>
      <c r="F33" s="57"/>
      <c r="G33" s="58"/>
      <c r="H33" s="59">
        <v>63.8</v>
      </c>
      <c r="I33" s="35">
        <f>SUM(H33)+2.4</f>
        <v>66.2</v>
      </c>
      <c r="J33" s="35">
        <f>SUM(I33)+2.4</f>
        <v>68.600000000000009</v>
      </c>
      <c r="K33" s="35"/>
      <c r="L33" s="35"/>
      <c r="M33" s="17"/>
    </row>
    <row r="34" spans="1:13" s="2" customFormat="1" ht="14.1" customHeight="1" x14ac:dyDescent="0.3">
      <c r="A34" s="92"/>
      <c r="B34" s="93" t="s">
        <v>66</v>
      </c>
      <c r="C34" s="94"/>
      <c r="D34" s="83" t="s">
        <v>65</v>
      </c>
      <c r="E34" s="84"/>
      <c r="F34" s="84"/>
      <c r="G34" s="85"/>
      <c r="H34" s="43"/>
      <c r="I34" s="32"/>
      <c r="J34" s="32"/>
      <c r="K34" s="32"/>
      <c r="L34" s="32"/>
      <c r="M34" s="18"/>
    </row>
    <row r="35" spans="1:13" s="2" customFormat="1" ht="14.1" customHeight="1" x14ac:dyDescent="0.3">
      <c r="A35" s="90">
        <v>17</v>
      </c>
      <c r="B35" s="48" t="s">
        <v>101</v>
      </c>
      <c r="C35" s="49"/>
      <c r="D35" s="56" t="s">
        <v>100</v>
      </c>
      <c r="E35" s="57"/>
      <c r="F35" s="57"/>
      <c r="G35" s="58"/>
      <c r="H35" s="59">
        <v>52.4</v>
      </c>
      <c r="I35" s="35">
        <f>SUM(H35)+2.1</f>
        <v>54.5</v>
      </c>
      <c r="J35" s="35">
        <f>SUM(I35)+2.1</f>
        <v>56.6</v>
      </c>
      <c r="K35" s="35"/>
      <c r="L35" s="35"/>
      <c r="M35" s="17"/>
    </row>
    <row r="36" spans="1:13" s="2" customFormat="1" ht="14.1" customHeight="1" x14ac:dyDescent="0.3">
      <c r="A36" s="92"/>
      <c r="B36" s="93" t="s">
        <v>99</v>
      </c>
      <c r="C36" s="94"/>
      <c r="D36" s="83" t="s">
        <v>98</v>
      </c>
      <c r="E36" s="84"/>
      <c r="F36" s="84"/>
      <c r="G36" s="85"/>
      <c r="H36" s="43"/>
      <c r="I36" s="32"/>
      <c r="J36" s="32"/>
      <c r="K36" s="32"/>
      <c r="L36" s="32"/>
      <c r="M36" s="18"/>
    </row>
    <row r="37" spans="1:13" ht="14.1" customHeight="1" x14ac:dyDescent="0.3">
      <c r="A37" s="90">
        <v>18</v>
      </c>
      <c r="B37" s="48" t="s">
        <v>201</v>
      </c>
      <c r="C37" s="49"/>
      <c r="D37" s="56"/>
      <c r="E37" s="57"/>
      <c r="F37" s="57"/>
      <c r="G37" s="58"/>
      <c r="H37" s="53">
        <v>14</v>
      </c>
      <c r="I37" s="61">
        <f>SUM(H37)+0.5</f>
        <v>14.5</v>
      </c>
      <c r="J37" s="61">
        <f>SUM(I37)+0.5</f>
        <v>15</v>
      </c>
      <c r="K37" s="35"/>
      <c r="L37" s="35"/>
      <c r="M37" s="17"/>
    </row>
    <row r="38" spans="1:13" ht="14.1" customHeight="1" x14ac:dyDescent="0.3">
      <c r="A38" s="92"/>
      <c r="B38" s="93" t="s">
        <v>202</v>
      </c>
      <c r="C38" s="94"/>
      <c r="D38" s="83"/>
      <c r="E38" s="84"/>
      <c r="F38" s="84"/>
      <c r="G38" s="85"/>
      <c r="H38" s="53"/>
      <c r="I38" s="61"/>
      <c r="J38" s="61"/>
      <c r="K38" s="32"/>
      <c r="L38" s="32"/>
      <c r="M38" s="18"/>
    </row>
    <row r="39" spans="1:13" ht="14.1" customHeight="1" x14ac:dyDescent="0.3">
      <c r="A39" s="90">
        <v>19</v>
      </c>
      <c r="B39" s="48" t="s">
        <v>77</v>
      </c>
      <c r="C39" s="49"/>
      <c r="D39" s="60"/>
      <c r="E39" s="60"/>
      <c r="F39" s="60"/>
      <c r="G39" s="60"/>
      <c r="H39" s="59">
        <v>14</v>
      </c>
      <c r="I39" s="35">
        <f>SUM(H39)+0.5</f>
        <v>14.5</v>
      </c>
      <c r="J39" s="35">
        <f>SUM(I39)+0.5</f>
        <v>15</v>
      </c>
      <c r="K39" s="35"/>
      <c r="L39" s="35"/>
      <c r="M39" s="17"/>
    </row>
    <row r="40" spans="1:13" ht="14.1" customHeight="1" x14ac:dyDescent="0.3">
      <c r="A40" s="92"/>
      <c r="B40" s="45" t="s">
        <v>78</v>
      </c>
      <c r="C40" s="46"/>
      <c r="D40" s="20"/>
      <c r="E40" s="21"/>
      <c r="F40" s="21"/>
      <c r="G40" s="22"/>
      <c r="H40" s="43"/>
      <c r="I40" s="32"/>
      <c r="J40" s="32"/>
      <c r="K40" s="32"/>
      <c r="L40" s="32"/>
      <c r="M40" s="18"/>
    </row>
    <row r="41" spans="1:13" s="2" customFormat="1" ht="14.1" customHeight="1" x14ac:dyDescent="0.3">
      <c r="A41" s="90">
        <v>20</v>
      </c>
      <c r="B41" s="48" t="s">
        <v>79</v>
      </c>
      <c r="C41" s="49"/>
      <c r="D41" s="60"/>
      <c r="E41" s="60"/>
      <c r="F41" s="60"/>
      <c r="G41" s="60"/>
      <c r="H41" s="59">
        <v>14.5</v>
      </c>
      <c r="I41" s="35">
        <f>SUM(H41)+0.5</f>
        <v>15</v>
      </c>
      <c r="J41" s="35">
        <f>SUM(I41)+0.5</f>
        <v>15.5</v>
      </c>
      <c r="K41" s="35"/>
      <c r="L41" s="35"/>
      <c r="M41" s="17"/>
    </row>
    <row r="42" spans="1:13" s="2" customFormat="1" ht="14.1" customHeight="1" x14ac:dyDescent="0.3">
      <c r="A42" s="92"/>
      <c r="B42" s="19" t="s">
        <v>80</v>
      </c>
      <c r="C42" s="19"/>
      <c r="D42" s="20"/>
      <c r="E42" s="21"/>
      <c r="F42" s="21"/>
      <c r="G42" s="22"/>
      <c r="H42" s="43"/>
      <c r="I42" s="32"/>
      <c r="J42" s="32"/>
      <c r="K42" s="32"/>
      <c r="L42" s="32"/>
      <c r="M42" s="18"/>
    </row>
    <row r="43" spans="1:13" s="2" customFormat="1" ht="14.1" customHeight="1" x14ac:dyDescent="0.3">
      <c r="A43" s="90">
        <v>21</v>
      </c>
      <c r="B43" s="38" t="s">
        <v>97</v>
      </c>
      <c r="C43" s="39"/>
      <c r="D43" s="40"/>
      <c r="E43" s="41"/>
      <c r="F43" s="41"/>
      <c r="G43" s="42"/>
      <c r="H43" s="43">
        <v>100</v>
      </c>
      <c r="I43" s="23">
        <f>SUM(H43)+2.5</f>
        <v>102.5</v>
      </c>
      <c r="J43" s="23">
        <f>SUM(I43)+2.5</f>
        <v>105</v>
      </c>
      <c r="K43" s="23"/>
      <c r="L43" s="23"/>
      <c r="M43" s="25"/>
    </row>
    <row r="44" spans="1:13" s="2" customFormat="1" ht="14.1" customHeight="1" x14ac:dyDescent="0.3">
      <c r="A44" s="92"/>
      <c r="B44" s="38" t="s">
        <v>96</v>
      </c>
      <c r="C44" s="39"/>
      <c r="D44" s="67" t="s">
        <v>203</v>
      </c>
      <c r="E44" s="68"/>
      <c r="F44" s="68"/>
      <c r="G44" s="69"/>
      <c r="H44" s="59"/>
      <c r="I44" s="23"/>
      <c r="J44" s="23"/>
      <c r="K44" s="23"/>
      <c r="L44" s="23"/>
      <c r="M44" s="25"/>
    </row>
    <row r="45" spans="1:13" ht="14.1" customHeight="1" x14ac:dyDescent="0.3">
      <c r="A45" s="90">
        <v>22</v>
      </c>
      <c r="B45" s="48" t="s">
        <v>131</v>
      </c>
      <c r="C45" s="49"/>
      <c r="D45" s="50"/>
      <c r="E45" s="51"/>
      <c r="F45" s="51"/>
      <c r="G45" s="52"/>
      <c r="H45" s="53">
        <v>1.9</v>
      </c>
      <c r="I45" s="35">
        <f>SUM(H45)</f>
        <v>1.9</v>
      </c>
      <c r="J45" s="35">
        <f>SUM(I45)</f>
        <v>1.9</v>
      </c>
      <c r="K45" s="35"/>
      <c r="L45" s="35"/>
      <c r="M45" s="17"/>
    </row>
    <row r="46" spans="1:13" ht="14.1" customHeight="1" x14ac:dyDescent="0.3">
      <c r="A46" s="92"/>
      <c r="B46" s="45" t="s">
        <v>130</v>
      </c>
      <c r="C46" s="46"/>
      <c r="D46" s="67" t="s">
        <v>199</v>
      </c>
      <c r="E46" s="68"/>
      <c r="F46" s="68"/>
      <c r="G46" s="69"/>
      <c r="H46" s="59"/>
      <c r="I46" s="23"/>
      <c r="J46" s="23"/>
      <c r="K46" s="23"/>
      <c r="L46" s="23"/>
      <c r="M46" s="25"/>
    </row>
    <row r="47" spans="1:13" ht="14.1" customHeight="1" x14ac:dyDescent="0.3">
      <c r="A47" s="90">
        <v>23</v>
      </c>
      <c r="B47" s="48"/>
      <c r="C47" s="49"/>
      <c r="D47" s="50"/>
      <c r="E47" s="51"/>
      <c r="F47" s="51"/>
      <c r="G47" s="52"/>
      <c r="H47" s="53"/>
      <c r="I47" s="35"/>
      <c r="J47" s="35"/>
      <c r="K47" s="35"/>
      <c r="L47" s="35"/>
      <c r="M47" s="17"/>
    </row>
    <row r="48" spans="1:13" ht="14.1" customHeight="1" thickBot="1" x14ac:dyDescent="0.35">
      <c r="A48" s="91"/>
      <c r="B48" s="27"/>
      <c r="C48" s="28"/>
      <c r="D48" s="29"/>
      <c r="E48" s="30"/>
      <c r="F48" s="30"/>
      <c r="G48" s="31"/>
      <c r="H48" s="44"/>
      <c r="I48" s="24"/>
      <c r="J48" s="24"/>
      <c r="K48" s="24"/>
      <c r="L48" s="24"/>
      <c r="M48" s="26"/>
    </row>
    <row r="49" ht="14.1" customHeight="1" x14ac:dyDescent="0.3"/>
    <row r="50" ht="14.1" customHeight="1" x14ac:dyDescent="0.3"/>
    <row r="51" ht="14.1" customHeight="1" x14ac:dyDescent="0.3"/>
  </sheetData>
  <mergeCells count="25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J41:J42"/>
    <mergeCell ref="K41:K42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  <mergeCell ref="A45:A46"/>
    <mergeCell ref="B45:C45"/>
    <mergeCell ref="D45:G45"/>
    <mergeCell ref="H45:H46"/>
    <mergeCell ref="I45:I46"/>
    <mergeCell ref="A43:A44"/>
    <mergeCell ref="B43:C43"/>
    <mergeCell ref="D43:G43"/>
    <mergeCell ref="H43:H44"/>
    <mergeCell ref="I43:I44"/>
    <mergeCell ref="J45:J46"/>
    <mergeCell ref="K45:K46"/>
    <mergeCell ref="L45:L46"/>
    <mergeCell ref="M45:M46"/>
    <mergeCell ref="B46:C46"/>
    <mergeCell ref="D46:G46"/>
    <mergeCell ref="K43:K44"/>
    <mergeCell ref="L43:L44"/>
    <mergeCell ref="M43:M44"/>
    <mergeCell ref="B44:C44"/>
    <mergeCell ref="D44:G44"/>
    <mergeCell ref="J43:J44"/>
    <mergeCell ref="K47:K48"/>
    <mergeCell ref="L47:L48"/>
    <mergeCell ref="M47:M48"/>
    <mergeCell ref="B48:C48"/>
    <mergeCell ref="D48:G48"/>
    <mergeCell ref="A47:A48"/>
    <mergeCell ref="B47:C47"/>
    <mergeCell ref="D47:G47"/>
    <mergeCell ref="H47:H48"/>
    <mergeCell ref="I47:I48"/>
    <mergeCell ref="J47:J48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E34A-4EA0-4FE8-9F65-CDFCD1734806}">
  <sheetPr>
    <tabColor rgb="FFFF0000"/>
    <pageSetUpPr fitToPage="1"/>
  </sheetPr>
  <dimension ref="A1:P51"/>
  <sheetViews>
    <sheetView zoomScale="110" zoomScaleNormal="110" workbookViewId="0">
      <selection activeCell="J11" sqref="J11:J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2" t="s">
        <v>234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6">
        <v>1</v>
      </c>
      <c r="B3" s="107" t="s">
        <v>115</v>
      </c>
      <c r="C3" s="108"/>
      <c r="D3" s="82" t="s">
        <v>75</v>
      </c>
      <c r="E3" s="109"/>
      <c r="F3" s="109"/>
      <c r="G3" s="110"/>
      <c r="H3" s="111">
        <v>64</v>
      </c>
      <c r="I3" s="72">
        <f>SUM(H3)+2.5</f>
        <v>66.5</v>
      </c>
      <c r="J3" s="72">
        <f>SUM(I3)+2.5</f>
        <v>69</v>
      </c>
      <c r="K3" s="72"/>
      <c r="L3" s="72"/>
      <c r="M3" s="73"/>
    </row>
    <row r="4" spans="1:13" s="2" customFormat="1" ht="14.1" customHeight="1" x14ac:dyDescent="0.3">
      <c r="A4" s="92"/>
      <c r="B4" s="93" t="s">
        <v>114</v>
      </c>
      <c r="C4" s="94"/>
      <c r="D4" s="83" t="s">
        <v>74</v>
      </c>
      <c r="E4" s="84"/>
      <c r="F4" s="84"/>
      <c r="G4" s="85"/>
      <c r="H4" s="43"/>
      <c r="I4" s="32"/>
      <c r="J4" s="32"/>
      <c r="K4" s="32"/>
      <c r="L4" s="32"/>
      <c r="M4" s="18"/>
    </row>
    <row r="5" spans="1:13" s="2" customFormat="1" ht="14.1" customHeight="1" x14ac:dyDescent="0.3">
      <c r="A5" s="90">
        <v>2</v>
      </c>
      <c r="B5" s="38" t="s">
        <v>113</v>
      </c>
      <c r="C5" s="39"/>
      <c r="D5" s="67"/>
      <c r="E5" s="68"/>
      <c r="F5" s="68"/>
      <c r="G5" s="69"/>
      <c r="H5" s="86"/>
      <c r="I5" s="23"/>
      <c r="J5" s="23"/>
      <c r="K5" s="23"/>
      <c r="L5" s="23"/>
      <c r="M5" s="25"/>
    </row>
    <row r="6" spans="1:13" s="2" customFormat="1" ht="14.1" customHeight="1" x14ac:dyDescent="0.3">
      <c r="A6" s="92"/>
      <c r="B6" s="93" t="s">
        <v>112</v>
      </c>
      <c r="C6" s="94"/>
      <c r="D6" s="83"/>
      <c r="E6" s="84"/>
      <c r="F6" s="84"/>
      <c r="G6" s="85"/>
      <c r="H6" s="43"/>
      <c r="I6" s="32"/>
      <c r="J6" s="32"/>
      <c r="K6" s="32"/>
      <c r="L6" s="32"/>
      <c r="M6" s="18"/>
    </row>
    <row r="7" spans="1:13" s="2" customFormat="1" ht="14.1" customHeight="1" x14ac:dyDescent="0.3">
      <c r="A7" s="90">
        <v>3</v>
      </c>
      <c r="B7" s="38" t="s">
        <v>73</v>
      </c>
      <c r="C7" s="39"/>
      <c r="D7" s="67"/>
      <c r="E7" s="68"/>
      <c r="F7" s="68"/>
      <c r="G7" s="69"/>
      <c r="H7" s="86"/>
      <c r="I7" s="23"/>
      <c r="J7" s="23"/>
      <c r="K7" s="23"/>
      <c r="L7" s="23"/>
      <c r="M7" s="25"/>
    </row>
    <row r="8" spans="1:13" s="2" customFormat="1" ht="14.1" customHeight="1" x14ac:dyDescent="0.3">
      <c r="A8" s="92"/>
      <c r="B8" s="93" t="s">
        <v>111</v>
      </c>
      <c r="C8" s="94"/>
      <c r="D8" s="83"/>
      <c r="E8" s="84"/>
      <c r="F8" s="84"/>
      <c r="G8" s="85"/>
      <c r="H8" s="43"/>
      <c r="I8" s="32"/>
      <c r="J8" s="32"/>
      <c r="K8" s="32"/>
      <c r="L8" s="32"/>
      <c r="M8" s="18"/>
    </row>
    <row r="9" spans="1:13" s="2" customFormat="1" ht="14.1" customHeight="1" x14ac:dyDescent="0.3">
      <c r="A9" s="90">
        <v>4</v>
      </c>
      <c r="B9" s="48" t="s">
        <v>110</v>
      </c>
      <c r="C9" s="49"/>
      <c r="D9" s="103"/>
      <c r="E9" s="104"/>
      <c r="F9" s="104"/>
      <c r="G9" s="105"/>
      <c r="H9" s="86"/>
      <c r="I9" s="23"/>
      <c r="J9" s="23"/>
      <c r="K9" s="23"/>
      <c r="L9" s="23"/>
      <c r="M9" s="25"/>
    </row>
    <row r="10" spans="1:13" s="2" customFormat="1" ht="14.1" customHeight="1" x14ac:dyDescent="0.3">
      <c r="A10" s="92"/>
      <c r="B10" s="93" t="s">
        <v>109</v>
      </c>
      <c r="C10" s="94"/>
      <c r="D10" s="100"/>
      <c r="E10" s="101"/>
      <c r="F10" s="101"/>
      <c r="G10" s="102"/>
      <c r="H10" s="43"/>
      <c r="I10" s="32"/>
      <c r="J10" s="32"/>
      <c r="K10" s="32"/>
      <c r="L10" s="32"/>
      <c r="M10" s="18"/>
    </row>
    <row r="11" spans="1:13" s="2" customFormat="1" ht="14.1" customHeight="1" x14ac:dyDescent="0.3">
      <c r="A11" s="90">
        <v>5</v>
      </c>
      <c r="B11" s="48" t="s">
        <v>85</v>
      </c>
      <c r="C11" s="49"/>
      <c r="D11" s="67"/>
      <c r="E11" s="68"/>
      <c r="F11" s="68"/>
      <c r="G11" s="69"/>
      <c r="H11" s="86">
        <v>90</v>
      </c>
      <c r="I11" s="23">
        <f>SUM(H11)+4.5</f>
        <v>94.5</v>
      </c>
      <c r="J11" s="23">
        <f>SUM(I11)+4.5</f>
        <v>99</v>
      </c>
      <c r="K11" s="23"/>
      <c r="L11" s="23"/>
      <c r="M11" s="25"/>
    </row>
    <row r="12" spans="1:13" s="2" customFormat="1" ht="14.1" customHeight="1" x14ac:dyDescent="0.3">
      <c r="A12" s="92"/>
      <c r="B12" s="93" t="s">
        <v>108</v>
      </c>
      <c r="C12" s="94"/>
      <c r="D12" s="83"/>
      <c r="E12" s="84"/>
      <c r="F12" s="84"/>
      <c r="G12" s="85"/>
      <c r="H12" s="43"/>
      <c r="I12" s="32"/>
      <c r="J12" s="32"/>
      <c r="K12" s="32"/>
      <c r="L12" s="32"/>
      <c r="M12" s="18"/>
    </row>
    <row r="13" spans="1:13" s="2" customFormat="1" ht="14.1" customHeight="1" x14ac:dyDescent="0.3">
      <c r="A13" s="90">
        <v>6</v>
      </c>
      <c r="B13" s="48" t="s">
        <v>41</v>
      </c>
      <c r="C13" s="49"/>
      <c r="D13" s="56" t="s">
        <v>235</v>
      </c>
      <c r="E13" s="57"/>
      <c r="F13" s="57"/>
      <c r="G13" s="58"/>
      <c r="H13" s="59">
        <v>102.8</v>
      </c>
      <c r="I13" s="35">
        <f>SUM(H13)+5</f>
        <v>107.8</v>
      </c>
      <c r="J13" s="35">
        <f>SUM(I13)+5</f>
        <v>112.8</v>
      </c>
      <c r="K13" s="35"/>
      <c r="L13" s="35"/>
      <c r="M13" s="17"/>
    </row>
    <row r="14" spans="1:13" s="2" customFormat="1" ht="14.1" customHeight="1" x14ac:dyDescent="0.3">
      <c r="A14" s="92"/>
      <c r="B14" s="93" t="s">
        <v>42</v>
      </c>
      <c r="C14" s="94"/>
      <c r="D14" s="83" t="s">
        <v>76</v>
      </c>
      <c r="E14" s="84"/>
      <c r="F14" s="84"/>
      <c r="G14" s="85"/>
      <c r="H14" s="43"/>
      <c r="I14" s="32"/>
      <c r="J14" s="32"/>
      <c r="K14" s="32"/>
      <c r="L14" s="32"/>
      <c r="M14" s="18"/>
    </row>
    <row r="15" spans="1:13" s="2" customFormat="1" ht="14.1" customHeight="1" x14ac:dyDescent="0.3">
      <c r="A15" s="90">
        <v>7</v>
      </c>
      <c r="B15" s="48" t="s">
        <v>107</v>
      </c>
      <c r="C15" s="49"/>
      <c r="D15" s="56"/>
      <c r="E15" s="57"/>
      <c r="F15" s="57"/>
      <c r="G15" s="58"/>
      <c r="H15" s="59">
        <v>19.5</v>
      </c>
      <c r="I15" s="35">
        <f>SUM(H15)+0.7</f>
        <v>20.2</v>
      </c>
      <c r="J15" s="35">
        <f>SUM(I15)+0.7</f>
        <v>20.9</v>
      </c>
      <c r="K15" s="35"/>
      <c r="L15" s="55"/>
      <c r="M15" s="95"/>
    </row>
    <row r="16" spans="1:13" s="2" customFormat="1" ht="14.1" customHeight="1" x14ac:dyDescent="0.3">
      <c r="A16" s="92"/>
      <c r="B16" s="93" t="s">
        <v>106</v>
      </c>
      <c r="C16" s="94"/>
      <c r="D16" s="87" t="s">
        <v>105</v>
      </c>
      <c r="E16" s="98"/>
      <c r="F16" s="98"/>
      <c r="G16" s="99"/>
      <c r="H16" s="43"/>
      <c r="I16" s="32"/>
      <c r="J16" s="32"/>
      <c r="K16" s="32"/>
      <c r="L16" s="19"/>
      <c r="M16" s="96"/>
    </row>
    <row r="17" spans="1:16" s="2" customFormat="1" ht="14.1" customHeight="1" x14ac:dyDescent="0.3">
      <c r="A17" s="90">
        <v>8</v>
      </c>
      <c r="B17" s="48" t="s">
        <v>104</v>
      </c>
      <c r="C17" s="49"/>
      <c r="D17" s="56"/>
      <c r="E17" s="57"/>
      <c r="F17" s="57"/>
      <c r="G17" s="58"/>
      <c r="H17" s="59"/>
      <c r="I17" s="35"/>
      <c r="J17" s="35"/>
      <c r="K17" s="35"/>
      <c r="L17" s="55"/>
      <c r="M17" s="95"/>
    </row>
    <row r="18" spans="1:16" s="2" customFormat="1" ht="14.1" customHeight="1" x14ac:dyDescent="0.3">
      <c r="A18" s="92"/>
      <c r="B18" s="93" t="s">
        <v>103</v>
      </c>
      <c r="C18" s="94"/>
      <c r="D18" s="87" t="s">
        <v>102</v>
      </c>
      <c r="E18" s="98"/>
      <c r="F18" s="98"/>
      <c r="G18" s="99"/>
      <c r="H18" s="43"/>
      <c r="I18" s="32"/>
      <c r="J18" s="32"/>
      <c r="K18" s="32"/>
      <c r="L18" s="19"/>
      <c r="M18" s="96"/>
    </row>
    <row r="19" spans="1:16" s="2" customFormat="1" ht="14.1" customHeight="1" x14ac:dyDescent="0.3">
      <c r="A19" s="90">
        <v>9</v>
      </c>
      <c r="B19" s="48" t="s">
        <v>43</v>
      </c>
      <c r="C19" s="49"/>
      <c r="D19" s="56" t="s">
        <v>72</v>
      </c>
      <c r="E19" s="57"/>
      <c r="F19" s="57"/>
      <c r="G19" s="58"/>
      <c r="H19" s="59">
        <v>94</v>
      </c>
      <c r="I19" s="35">
        <f>SUM(H19)+4</f>
        <v>98</v>
      </c>
      <c r="J19" s="35">
        <f>SUM(I19)+4</f>
        <v>102</v>
      </c>
      <c r="K19" s="35"/>
      <c r="L19" s="35"/>
      <c r="M19" s="17"/>
    </row>
    <row r="20" spans="1:16" s="2" customFormat="1" ht="14.1" customHeight="1" x14ac:dyDescent="0.3">
      <c r="A20" s="92"/>
      <c r="B20" s="93" t="s">
        <v>44</v>
      </c>
      <c r="C20" s="94"/>
      <c r="D20" s="83" t="s">
        <v>71</v>
      </c>
      <c r="E20" s="84"/>
      <c r="F20" s="84"/>
      <c r="G20" s="85"/>
      <c r="H20" s="43"/>
      <c r="I20" s="32"/>
      <c r="J20" s="32"/>
      <c r="K20" s="32"/>
      <c r="L20" s="32"/>
      <c r="M20" s="18"/>
    </row>
    <row r="21" spans="1:16" s="2" customFormat="1" ht="14.1" customHeight="1" x14ac:dyDescent="0.3">
      <c r="A21" s="90">
        <v>10</v>
      </c>
      <c r="B21" s="48" t="s">
        <v>84</v>
      </c>
      <c r="C21" s="49"/>
      <c r="D21" s="56" t="s">
        <v>83</v>
      </c>
      <c r="E21" s="57"/>
      <c r="F21" s="57"/>
      <c r="G21" s="58"/>
      <c r="H21" s="59">
        <v>46</v>
      </c>
      <c r="I21" s="35">
        <f>SUM(H21)+2</f>
        <v>48</v>
      </c>
      <c r="J21" s="35">
        <f>SUM(I21)+2</f>
        <v>50</v>
      </c>
      <c r="K21" s="35"/>
      <c r="L21" s="35"/>
      <c r="M21" s="17"/>
    </row>
    <row r="22" spans="1:16" s="2" customFormat="1" ht="14.1" customHeight="1" x14ac:dyDescent="0.3">
      <c r="A22" s="92"/>
      <c r="B22" s="93" t="s">
        <v>82</v>
      </c>
      <c r="C22" s="94"/>
      <c r="D22" s="20" t="s">
        <v>81</v>
      </c>
      <c r="E22" s="21"/>
      <c r="F22" s="21"/>
      <c r="G22" s="22"/>
      <c r="H22" s="43"/>
      <c r="I22" s="32"/>
      <c r="J22" s="32"/>
      <c r="K22" s="32"/>
      <c r="L22" s="32"/>
      <c r="M22" s="18"/>
    </row>
    <row r="23" spans="1:16" s="2" customFormat="1" ht="14.1" customHeight="1" x14ac:dyDescent="0.3">
      <c r="A23" s="90">
        <v>11</v>
      </c>
      <c r="B23" s="38" t="s">
        <v>146</v>
      </c>
      <c r="C23" s="39"/>
      <c r="D23" s="40"/>
      <c r="E23" s="41"/>
      <c r="F23" s="41"/>
      <c r="G23" s="42"/>
      <c r="H23" s="59">
        <v>58</v>
      </c>
      <c r="I23" s="35">
        <f>SUM(H23)+2</f>
        <v>60</v>
      </c>
      <c r="J23" s="35">
        <f>SUM(I23)+2</f>
        <v>62</v>
      </c>
      <c r="K23" s="23"/>
      <c r="L23" s="23"/>
      <c r="M23" s="25"/>
      <c r="P23" s="2" t="s">
        <v>237</v>
      </c>
    </row>
    <row r="24" spans="1:16" s="2" customFormat="1" ht="14.1" customHeight="1" x14ac:dyDescent="0.3">
      <c r="A24" s="92"/>
      <c r="B24" s="38" t="s">
        <v>147</v>
      </c>
      <c r="C24" s="39"/>
      <c r="D24" s="97" t="s">
        <v>152</v>
      </c>
      <c r="E24" s="68"/>
      <c r="F24" s="68"/>
      <c r="G24" s="69"/>
      <c r="H24" s="43"/>
      <c r="I24" s="32"/>
      <c r="J24" s="32"/>
      <c r="K24" s="23"/>
      <c r="L24" s="23"/>
      <c r="M24" s="25"/>
      <c r="P24" s="2">
        <f>SUM(H23+H23+I23+I23+J23+J23)</f>
        <v>360</v>
      </c>
    </row>
    <row r="25" spans="1:16" s="2" customFormat="1" ht="14.1" customHeight="1" x14ac:dyDescent="0.3">
      <c r="A25" s="90">
        <v>12</v>
      </c>
      <c r="B25" s="48" t="s">
        <v>45</v>
      </c>
      <c r="C25" s="49"/>
      <c r="D25" s="56" t="s">
        <v>46</v>
      </c>
      <c r="E25" s="57"/>
      <c r="F25" s="57"/>
      <c r="G25" s="58"/>
      <c r="H25" s="59">
        <v>30.1</v>
      </c>
      <c r="I25" s="35">
        <f>SUM(H25)+1.1</f>
        <v>31.200000000000003</v>
      </c>
      <c r="J25" s="35">
        <f>SUM(I25)+1.1</f>
        <v>32.300000000000004</v>
      </c>
      <c r="K25" s="35"/>
      <c r="L25" s="55"/>
      <c r="M25" s="95"/>
      <c r="P25" s="2">
        <f>SUM(P24/91.44/3*1.08)</f>
        <v>1.4173228346456694</v>
      </c>
    </row>
    <row r="26" spans="1:16" s="2" customFormat="1" ht="14.1" customHeight="1" x14ac:dyDescent="0.3">
      <c r="A26" s="92"/>
      <c r="B26" s="93" t="s">
        <v>47</v>
      </c>
      <c r="C26" s="94"/>
      <c r="D26" s="83" t="s">
        <v>70</v>
      </c>
      <c r="E26" s="84"/>
      <c r="F26" s="84"/>
      <c r="G26" s="85"/>
      <c r="H26" s="43"/>
      <c r="I26" s="32"/>
      <c r="J26" s="32"/>
      <c r="K26" s="32"/>
      <c r="L26" s="19"/>
      <c r="M26" s="96"/>
    </row>
    <row r="27" spans="1:16" s="2" customFormat="1" ht="14.1" customHeight="1" x14ac:dyDescent="0.3">
      <c r="A27" s="90">
        <v>13</v>
      </c>
      <c r="B27" s="48" t="s">
        <v>48</v>
      </c>
      <c r="C27" s="49"/>
      <c r="D27" s="56" t="s">
        <v>46</v>
      </c>
      <c r="E27" s="57"/>
      <c r="F27" s="57"/>
      <c r="G27" s="58"/>
      <c r="H27" s="59">
        <v>38.799999999999997</v>
      </c>
      <c r="I27" s="35">
        <f>SUM(H27)+1.3</f>
        <v>40.099999999999994</v>
      </c>
      <c r="J27" s="35">
        <f>SUM(I27)+1.3</f>
        <v>41.399999999999991</v>
      </c>
      <c r="K27" s="35"/>
      <c r="L27" s="55"/>
      <c r="M27" s="95"/>
    </row>
    <row r="28" spans="1:16" s="2" customFormat="1" ht="14.1" customHeight="1" x14ac:dyDescent="0.3">
      <c r="A28" s="92"/>
      <c r="B28" s="93" t="s">
        <v>49</v>
      </c>
      <c r="C28" s="94"/>
      <c r="D28" s="83" t="s">
        <v>70</v>
      </c>
      <c r="E28" s="84"/>
      <c r="F28" s="84"/>
      <c r="G28" s="85"/>
      <c r="H28" s="43"/>
      <c r="I28" s="32"/>
      <c r="J28" s="32"/>
      <c r="K28" s="32"/>
      <c r="L28" s="19"/>
      <c r="M28" s="96"/>
    </row>
    <row r="29" spans="1:16" s="2" customFormat="1" ht="14.1" customHeight="1" x14ac:dyDescent="0.3">
      <c r="A29" s="90">
        <v>14</v>
      </c>
      <c r="B29" s="48" t="s">
        <v>50</v>
      </c>
      <c r="C29" s="49"/>
      <c r="D29" s="56" t="s">
        <v>51</v>
      </c>
      <c r="E29" s="57"/>
      <c r="F29" s="57"/>
      <c r="G29" s="58"/>
      <c r="H29" s="59">
        <v>68.2</v>
      </c>
      <c r="I29" s="35">
        <f>SUM(H29)+3.1</f>
        <v>71.3</v>
      </c>
      <c r="J29" s="35">
        <f>SUM(I29)+3.1</f>
        <v>74.399999999999991</v>
      </c>
      <c r="K29" s="35"/>
      <c r="L29" s="35"/>
      <c r="M29" s="17"/>
    </row>
    <row r="30" spans="1:16" s="2" customFormat="1" ht="14.1" customHeight="1" x14ac:dyDescent="0.3">
      <c r="A30" s="92"/>
      <c r="B30" s="93" t="s">
        <v>52</v>
      </c>
      <c r="C30" s="94"/>
      <c r="D30" s="83" t="s">
        <v>69</v>
      </c>
      <c r="E30" s="84"/>
      <c r="F30" s="84"/>
      <c r="G30" s="85"/>
      <c r="H30" s="43"/>
      <c r="I30" s="32"/>
      <c r="J30" s="32"/>
      <c r="K30" s="32"/>
      <c r="L30" s="32"/>
      <c r="M30" s="18"/>
    </row>
    <row r="31" spans="1:16" s="2" customFormat="1" ht="14.1" customHeight="1" x14ac:dyDescent="0.3">
      <c r="A31" s="90">
        <v>15</v>
      </c>
      <c r="B31" s="48" t="s">
        <v>53</v>
      </c>
      <c r="C31" s="49"/>
      <c r="D31" s="56" t="s">
        <v>54</v>
      </c>
      <c r="E31" s="57"/>
      <c r="F31" s="57"/>
      <c r="G31" s="58"/>
      <c r="H31" s="59">
        <v>64.8</v>
      </c>
      <c r="I31" s="35">
        <f>SUM(H31)+3</f>
        <v>67.8</v>
      </c>
      <c r="J31" s="35">
        <f>SUM(I31)+3</f>
        <v>70.8</v>
      </c>
      <c r="K31" s="35"/>
      <c r="L31" s="35"/>
      <c r="M31" s="17"/>
    </row>
    <row r="32" spans="1:16" s="2" customFormat="1" ht="14.1" customHeight="1" x14ac:dyDescent="0.3">
      <c r="A32" s="92"/>
      <c r="B32" s="93" t="s">
        <v>55</v>
      </c>
      <c r="C32" s="94"/>
      <c r="D32" s="83" t="s">
        <v>68</v>
      </c>
      <c r="E32" s="84"/>
      <c r="F32" s="84"/>
      <c r="G32" s="85"/>
      <c r="H32" s="43"/>
      <c r="I32" s="32"/>
      <c r="J32" s="32"/>
      <c r="K32" s="32"/>
      <c r="L32" s="32"/>
      <c r="M32" s="18"/>
    </row>
    <row r="33" spans="1:13" s="2" customFormat="1" ht="14.1" customHeight="1" x14ac:dyDescent="0.3">
      <c r="A33" s="90">
        <v>16</v>
      </c>
      <c r="B33" s="48" t="s">
        <v>67</v>
      </c>
      <c r="C33" s="49"/>
      <c r="D33" s="56" t="s">
        <v>65</v>
      </c>
      <c r="E33" s="57"/>
      <c r="F33" s="57"/>
      <c r="G33" s="58"/>
      <c r="H33" s="59">
        <v>62.5</v>
      </c>
      <c r="I33" s="35">
        <f>SUM(H33)+2.7</f>
        <v>65.2</v>
      </c>
      <c r="J33" s="35">
        <f>SUM(I33)+2.7</f>
        <v>67.900000000000006</v>
      </c>
      <c r="K33" s="35"/>
      <c r="L33" s="35"/>
      <c r="M33" s="17"/>
    </row>
    <row r="34" spans="1:13" s="2" customFormat="1" ht="14.1" customHeight="1" x14ac:dyDescent="0.3">
      <c r="A34" s="92"/>
      <c r="B34" s="93" t="s">
        <v>66</v>
      </c>
      <c r="C34" s="94"/>
      <c r="D34" s="83" t="s">
        <v>65</v>
      </c>
      <c r="E34" s="84"/>
      <c r="F34" s="84"/>
      <c r="G34" s="85"/>
      <c r="H34" s="43"/>
      <c r="I34" s="32"/>
      <c r="J34" s="32"/>
      <c r="K34" s="32"/>
      <c r="L34" s="32"/>
      <c r="M34" s="18"/>
    </row>
    <row r="35" spans="1:13" s="2" customFormat="1" ht="14.1" customHeight="1" x14ac:dyDescent="0.3">
      <c r="A35" s="90">
        <v>17</v>
      </c>
      <c r="B35" s="48" t="s">
        <v>101</v>
      </c>
      <c r="C35" s="49"/>
      <c r="D35" s="56" t="s">
        <v>100</v>
      </c>
      <c r="E35" s="57"/>
      <c r="F35" s="57"/>
      <c r="G35" s="58"/>
      <c r="H35" s="59">
        <v>54</v>
      </c>
      <c r="I35" s="35">
        <f>SUM(H35)+2.2</f>
        <v>56.2</v>
      </c>
      <c r="J35" s="35">
        <f>SUM(I35)+2.2</f>
        <v>58.400000000000006</v>
      </c>
      <c r="K35" s="35"/>
      <c r="L35" s="35"/>
      <c r="M35" s="17"/>
    </row>
    <row r="36" spans="1:13" s="2" customFormat="1" ht="14.1" customHeight="1" x14ac:dyDescent="0.3">
      <c r="A36" s="92"/>
      <c r="B36" s="93" t="s">
        <v>99</v>
      </c>
      <c r="C36" s="94"/>
      <c r="D36" s="83" t="s">
        <v>98</v>
      </c>
      <c r="E36" s="84"/>
      <c r="F36" s="84"/>
      <c r="G36" s="85"/>
      <c r="H36" s="43"/>
      <c r="I36" s="32"/>
      <c r="J36" s="32"/>
      <c r="K36" s="32"/>
      <c r="L36" s="32"/>
      <c r="M36" s="18"/>
    </row>
    <row r="37" spans="1:13" ht="14.1" customHeight="1" x14ac:dyDescent="0.3">
      <c r="A37" s="90">
        <v>18</v>
      </c>
      <c r="B37" s="48" t="s">
        <v>201</v>
      </c>
      <c r="C37" s="49"/>
      <c r="D37" s="56"/>
      <c r="E37" s="57"/>
      <c r="F37" s="57"/>
      <c r="G37" s="58"/>
      <c r="H37" s="53">
        <v>13.5</v>
      </c>
      <c r="I37" s="61">
        <f>SUM(H37)+0.5</f>
        <v>14</v>
      </c>
      <c r="J37" s="61">
        <f>SUM(I37)+0.5</f>
        <v>14.5</v>
      </c>
      <c r="K37" s="35"/>
      <c r="L37" s="35"/>
      <c r="M37" s="17"/>
    </row>
    <row r="38" spans="1:13" ht="14.1" customHeight="1" x14ac:dyDescent="0.3">
      <c r="A38" s="92"/>
      <c r="B38" s="93" t="s">
        <v>202</v>
      </c>
      <c r="C38" s="94"/>
      <c r="D38" s="83"/>
      <c r="E38" s="84"/>
      <c r="F38" s="84"/>
      <c r="G38" s="85"/>
      <c r="H38" s="53"/>
      <c r="I38" s="61"/>
      <c r="J38" s="61"/>
      <c r="K38" s="32"/>
      <c r="L38" s="32"/>
      <c r="M38" s="18"/>
    </row>
    <row r="39" spans="1:13" ht="14.1" customHeight="1" x14ac:dyDescent="0.3">
      <c r="A39" s="90">
        <v>19</v>
      </c>
      <c r="B39" s="48" t="s">
        <v>77</v>
      </c>
      <c r="C39" s="49"/>
      <c r="D39" s="60"/>
      <c r="E39" s="60"/>
      <c r="F39" s="60"/>
      <c r="G39" s="60"/>
      <c r="H39" s="59">
        <v>13</v>
      </c>
      <c r="I39" s="35">
        <f>SUM(H39)+0.5</f>
        <v>13.5</v>
      </c>
      <c r="J39" s="35">
        <f>SUM(I39)+0.5</f>
        <v>14</v>
      </c>
      <c r="K39" s="35"/>
      <c r="L39" s="35"/>
      <c r="M39" s="17"/>
    </row>
    <row r="40" spans="1:13" ht="14.1" customHeight="1" x14ac:dyDescent="0.3">
      <c r="A40" s="92"/>
      <c r="B40" s="45" t="s">
        <v>78</v>
      </c>
      <c r="C40" s="46"/>
      <c r="D40" s="20"/>
      <c r="E40" s="21"/>
      <c r="F40" s="21"/>
      <c r="G40" s="22"/>
      <c r="H40" s="43"/>
      <c r="I40" s="32"/>
      <c r="J40" s="32"/>
      <c r="K40" s="32"/>
      <c r="L40" s="32"/>
      <c r="M40" s="18"/>
    </row>
    <row r="41" spans="1:13" s="2" customFormat="1" ht="14.1" customHeight="1" x14ac:dyDescent="0.3">
      <c r="A41" s="90">
        <v>20</v>
      </c>
      <c r="B41" s="48" t="s">
        <v>79</v>
      </c>
      <c r="C41" s="49"/>
      <c r="D41" s="60"/>
      <c r="E41" s="60"/>
      <c r="F41" s="60"/>
      <c r="G41" s="60"/>
      <c r="H41" s="59">
        <v>13.5</v>
      </c>
      <c r="I41" s="35">
        <f>SUM(H41)+0.5</f>
        <v>14</v>
      </c>
      <c r="J41" s="35">
        <f>SUM(I41)+0.5</f>
        <v>14.5</v>
      </c>
      <c r="K41" s="35"/>
      <c r="L41" s="35"/>
      <c r="M41" s="17"/>
    </row>
    <row r="42" spans="1:13" s="2" customFormat="1" ht="14.1" customHeight="1" x14ac:dyDescent="0.3">
      <c r="A42" s="92"/>
      <c r="B42" s="19" t="s">
        <v>80</v>
      </c>
      <c r="C42" s="19"/>
      <c r="D42" s="20"/>
      <c r="E42" s="21"/>
      <c r="F42" s="21"/>
      <c r="G42" s="22"/>
      <c r="H42" s="43"/>
      <c r="I42" s="32"/>
      <c r="J42" s="32"/>
      <c r="K42" s="32"/>
      <c r="L42" s="32"/>
      <c r="M42" s="18"/>
    </row>
    <row r="43" spans="1:13" s="2" customFormat="1" ht="14.1" customHeight="1" x14ac:dyDescent="0.3">
      <c r="A43" s="90">
        <v>21</v>
      </c>
      <c r="B43" s="38" t="s">
        <v>97</v>
      </c>
      <c r="C43" s="39"/>
      <c r="D43" s="40"/>
      <c r="E43" s="41"/>
      <c r="F43" s="41"/>
      <c r="G43" s="42"/>
      <c r="H43" s="43">
        <v>104</v>
      </c>
      <c r="I43" s="23">
        <f>SUM(H43)+2.5</f>
        <v>106.5</v>
      </c>
      <c r="J43" s="23">
        <f>SUM(I43)+2.5</f>
        <v>109</v>
      </c>
      <c r="K43" s="23"/>
      <c r="L43" s="23"/>
      <c r="M43" s="25"/>
    </row>
    <row r="44" spans="1:13" s="2" customFormat="1" ht="14.1" customHeight="1" x14ac:dyDescent="0.3">
      <c r="A44" s="92"/>
      <c r="B44" s="38" t="s">
        <v>96</v>
      </c>
      <c r="C44" s="39"/>
      <c r="D44" s="67" t="s">
        <v>236</v>
      </c>
      <c r="E44" s="68"/>
      <c r="F44" s="68"/>
      <c r="G44" s="69"/>
      <c r="H44" s="59"/>
      <c r="I44" s="23"/>
      <c r="J44" s="23"/>
      <c r="K44" s="23"/>
      <c r="L44" s="23"/>
      <c r="M44" s="25"/>
    </row>
    <row r="45" spans="1:13" ht="14.1" customHeight="1" x14ac:dyDescent="0.3">
      <c r="A45" s="90">
        <v>22</v>
      </c>
      <c r="B45" s="48"/>
      <c r="C45" s="49"/>
      <c r="D45" s="50"/>
      <c r="E45" s="51"/>
      <c r="F45" s="51"/>
      <c r="G45" s="52"/>
      <c r="H45" s="53"/>
      <c r="I45" s="35"/>
      <c r="J45" s="35"/>
      <c r="K45" s="35"/>
      <c r="L45" s="35"/>
      <c r="M45" s="17"/>
    </row>
    <row r="46" spans="1:13" ht="14.1" customHeight="1" x14ac:dyDescent="0.3">
      <c r="A46" s="92"/>
      <c r="B46" s="45"/>
      <c r="C46" s="46"/>
      <c r="D46" s="67"/>
      <c r="E46" s="68"/>
      <c r="F46" s="68"/>
      <c r="G46" s="69"/>
      <c r="H46" s="59"/>
      <c r="I46" s="23"/>
      <c r="J46" s="23"/>
      <c r="K46" s="23"/>
      <c r="L46" s="23"/>
      <c r="M46" s="25"/>
    </row>
    <row r="47" spans="1:13" ht="14.1" customHeight="1" x14ac:dyDescent="0.3">
      <c r="A47" s="90">
        <v>23</v>
      </c>
      <c r="B47" s="48"/>
      <c r="C47" s="49"/>
      <c r="D47" s="50"/>
      <c r="E47" s="51"/>
      <c r="F47" s="51"/>
      <c r="G47" s="52"/>
      <c r="H47" s="53"/>
      <c r="I47" s="35"/>
      <c r="J47" s="35"/>
      <c r="K47" s="35"/>
      <c r="L47" s="35"/>
      <c r="M47" s="17"/>
    </row>
    <row r="48" spans="1:13" ht="14.1" customHeight="1" thickBot="1" x14ac:dyDescent="0.35">
      <c r="A48" s="91"/>
      <c r="B48" s="27"/>
      <c r="C48" s="28"/>
      <c r="D48" s="29"/>
      <c r="E48" s="30"/>
      <c r="F48" s="30"/>
      <c r="G48" s="31"/>
      <c r="H48" s="44"/>
      <c r="I48" s="24"/>
      <c r="J48" s="24"/>
      <c r="K48" s="24"/>
      <c r="L48" s="24"/>
      <c r="M48" s="26"/>
    </row>
    <row r="49" ht="14.1" customHeight="1" x14ac:dyDescent="0.3"/>
    <row r="50" ht="14.1" customHeight="1" x14ac:dyDescent="0.3"/>
    <row r="51" ht="14.1" customHeight="1" x14ac:dyDescent="0.3"/>
  </sheetData>
  <mergeCells count="25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09DC-C962-4B60-A15B-9EAA55B80C74}">
  <sheetPr>
    <tabColor rgb="FFFF0000"/>
    <pageSetUpPr fitToPage="1"/>
  </sheetPr>
  <dimension ref="A1:M51"/>
  <sheetViews>
    <sheetView topLeftCell="A4" zoomScale="110" zoomScaleNormal="110" workbookViewId="0">
      <selection activeCell="H21" sqref="H21:H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2" t="s">
        <v>266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6">
        <v>1</v>
      </c>
      <c r="B3" s="107" t="s">
        <v>115</v>
      </c>
      <c r="C3" s="108"/>
      <c r="D3" s="82" t="s">
        <v>75</v>
      </c>
      <c r="E3" s="109"/>
      <c r="F3" s="109"/>
      <c r="G3" s="110"/>
      <c r="H3" s="111">
        <v>64</v>
      </c>
      <c r="I3" s="72">
        <f>SUM(H3)+2.5</f>
        <v>66.5</v>
      </c>
      <c r="J3" s="72">
        <f>SUM(I3)+2.5</f>
        <v>69</v>
      </c>
      <c r="K3" s="72"/>
      <c r="L3" s="72"/>
      <c r="M3" s="73"/>
    </row>
    <row r="4" spans="1:13" s="2" customFormat="1" ht="14.1" customHeight="1" x14ac:dyDescent="0.3">
      <c r="A4" s="92"/>
      <c r="B4" s="93" t="s">
        <v>114</v>
      </c>
      <c r="C4" s="94"/>
      <c r="D4" s="83" t="s">
        <v>74</v>
      </c>
      <c r="E4" s="84"/>
      <c r="F4" s="84"/>
      <c r="G4" s="85"/>
      <c r="H4" s="43"/>
      <c r="I4" s="32"/>
      <c r="J4" s="32"/>
      <c r="K4" s="32"/>
      <c r="L4" s="32"/>
      <c r="M4" s="18"/>
    </row>
    <row r="5" spans="1:13" s="2" customFormat="1" ht="14.1" customHeight="1" x14ac:dyDescent="0.3">
      <c r="A5" s="90">
        <v>2</v>
      </c>
      <c r="B5" s="38" t="s">
        <v>113</v>
      </c>
      <c r="C5" s="39"/>
      <c r="D5" s="67"/>
      <c r="E5" s="68"/>
      <c r="F5" s="68"/>
      <c r="G5" s="69"/>
      <c r="H5" s="86"/>
      <c r="I5" s="23"/>
      <c r="J5" s="23"/>
      <c r="K5" s="23"/>
      <c r="L5" s="23"/>
      <c r="M5" s="25"/>
    </row>
    <row r="6" spans="1:13" s="2" customFormat="1" ht="14.1" customHeight="1" x14ac:dyDescent="0.3">
      <c r="A6" s="92"/>
      <c r="B6" s="93" t="s">
        <v>112</v>
      </c>
      <c r="C6" s="94"/>
      <c r="D6" s="83"/>
      <c r="E6" s="84"/>
      <c r="F6" s="84"/>
      <c r="G6" s="85"/>
      <c r="H6" s="43"/>
      <c r="I6" s="32"/>
      <c r="J6" s="32"/>
      <c r="K6" s="32"/>
      <c r="L6" s="32"/>
      <c r="M6" s="18"/>
    </row>
    <row r="7" spans="1:13" s="2" customFormat="1" ht="14.1" customHeight="1" x14ac:dyDescent="0.3">
      <c r="A7" s="90">
        <v>3</v>
      </c>
      <c r="B7" s="38" t="s">
        <v>73</v>
      </c>
      <c r="C7" s="39"/>
      <c r="D7" s="67"/>
      <c r="E7" s="68"/>
      <c r="F7" s="68"/>
      <c r="G7" s="69"/>
      <c r="H7" s="86"/>
      <c r="I7" s="23"/>
      <c r="J7" s="23"/>
      <c r="K7" s="23"/>
      <c r="L7" s="23"/>
      <c r="M7" s="25"/>
    </row>
    <row r="8" spans="1:13" s="2" customFormat="1" ht="14.1" customHeight="1" x14ac:dyDescent="0.3">
      <c r="A8" s="92"/>
      <c r="B8" s="93" t="s">
        <v>111</v>
      </c>
      <c r="C8" s="94"/>
      <c r="D8" s="83"/>
      <c r="E8" s="84"/>
      <c r="F8" s="84"/>
      <c r="G8" s="85"/>
      <c r="H8" s="43"/>
      <c r="I8" s="32"/>
      <c r="J8" s="32"/>
      <c r="K8" s="32"/>
      <c r="L8" s="32"/>
      <c r="M8" s="18"/>
    </row>
    <row r="9" spans="1:13" s="2" customFormat="1" ht="14.1" customHeight="1" x14ac:dyDescent="0.3">
      <c r="A9" s="90">
        <v>4</v>
      </c>
      <c r="B9" s="48" t="s">
        <v>110</v>
      </c>
      <c r="C9" s="49"/>
      <c r="D9" s="103"/>
      <c r="E9" s="104"/>
      <c r="F9" s="104"/>
      <c r="G9" s="105"/>
      <c r="H9" s="86"/>
      <c r="I9" s="23"/>
      <c r="J9" s="23"/>
      <c r="K9" s="23"/>
      <c r="L9" s="23"/>
      <c r="M9" s="25"/>
    </row>
    <row r="10" spans="1:13" s="2" customFormat="1" ht="14.1" customHeight="1" x14ac:dyDescent="0.3">
      <c r="A10" s="92"/>
      <c r="B10" s="93" t="s">
        <v>109</v>
      </c>
      <c r="C10" s="94"/>
      <c r="D10" s="100"/>
      <c r="E10" s="101"/>
      <c r="F10" s="101"/>
      <c r="G10" s="102"/>
      <c r="H10" s="43"/>
      <c r="I10" s="32"/>
      <c r="J10" s="32"/>
      <c r="K10" s="32"/>
      <c r="L10" s="32"/>
      <c r="M10" s="18"/>
    </row>
    <row r="11" spans="1:13" s="2" customFormat="1" ht="14.1" customHeight="1" x14ac:dyDescent="0.3">
      <c r="A11" s="90">
        <v>5</v>
      </c>
      <c r="B11" s="48" t="s">
        <v>85</v>
      </c>
      <c r="C11" s="49"/>
      <c r="D11" s="67"/>
      <c r="E11" s="68"/>
      <c r="F11" s="68"/>
      <c r="G11" s="69"/>
      <c r="H11" s="86">
        <v>86.1</v>
      </c>
      <c r="I11" s="23">
        <f>SUM(H11)+4.5</f>
        <v>90.6</v>
      </c>
      <c r="J11" s="23">
        <f>SUM(I11)+4.5</f>
        <v>95.1</v>
      </c>
      <c r="K11" s="23"/>
      <c r="L11" s="23"/>
      <c r="M11" s="25"/>
    </row>
    <row r="12" spans="1:13" s="2" customFormat="1" ht="14.1" customHeight="1" x14ac:dyDescent="0.3">
      <c r="A12" s="92"/>
      <c r="B12" s="93" t="s">
        <v>108</v>
      </c>
      <c r="C12" s="94"/>
      <c r="D12" s="83"/>
      <c r="E12" s="84"/>
      <c r="F12" s="84"/>
      <c r="G12" s="85"/>
      <c r="H12" s="43"/>
      <c r="I12" s="32"/>
      <c r="J12" s="32"/>
      <c r="K12" s="32"/>
      <c r="L12" s="32"/>
      <c r="M12" s="18"/>
    </row>
    <row r="13" spans="1:13" s="2" customFormat="1" ht="14.1" customHeight="1" x14ac:dyDescent="0.3">
      <c r="A13" s="90">
        <v>6</v>
      </c>
      <c r="B13" s="48" t="s">
        <v>41</v>
      </c>
      <c r="C13" s="49"/>
      <c r="D13" s="56" t="s">
        <v>116</v>
      </c>
      <c r="E13" s="57"/>
      <c r="F13" s="57"/>
      <c r="G13" s="58"/>
      <c r="H13" s="59">
        <v>94.5</v>
      </c>
      <c r="I13" s="35">
        <f>SUM(H13)+5</f>
        <v>99.5</v>
      </c>
      <c r="J13" s="35">
        <f>SUM(I13)+5</f>
        <v>104.5</v>
      </c>
      <c r="K13" s="35"/>
      <c r="L13" s="35"/>
      <c r="M13" s="17"/>
    </row>
    <row r="14" spans="1:13" s="2" customFormat="1" ht="14.1" customHeight="1" x14ac:dyDescent="0.3">
      <c r="A14" s="92"/>
      <c r="B14" s="93" t="s">
        <v>42</v>
      </c>
      <c r="C14" s="94"/>
      <c r="D14" s="83" t="s">
        <v>76</v>
      </c>
      <c r="E14" s="84"/>
      <c r="F14" s="84"/>
      <c r="G14" s="85"/>
      <c r="H14" s="43"/>
      <c r="I14" s="32"/>
      <c r="J14" s="32"/>
      <c r="K14" s="32"/>
      <c r="L14" s="32"/>
      <c r="M14" s="18"/>
    </row>
    <row r="15" spans="1:13" s="2" customFormat="1" ht="14.1" customHeight="1" x14ac:dyDescent="0.3">
      <c r="A15" s="90">
        <v>7</v>
      </c>
      <c r="B15" s="48" t="s">
        <v>107</v>
      </c>
      <c r="C15" s="49"/>
      <c r="D15" s="56"/>
      <c r="E15" s="57"/>
      <c r="F15" s="57"/>
      <c r="G15" s="58"/>
      <c r="H15" s="59">
        <v>19</v>
      </c>
      <c r="I15" s="35">
        <f>SUM(H15)+0.7</f>
        <v>19.7</v>
      </c>
      <c r="J15" s="35">
        <f>SUM(I15)+0.7</f>
        <v>20.399999999999999</v>
      </c>
      <c r="K15" s="35"/>
      <c r="L15" s="55"/>
      <c r="M15" s="95"/>
    </row>
    <row r="16" spans="1:13" s="2" customFormat="1" ht="14.1" customHeight="1" x14ac:dyDescent="0.3">
      <c r="A16" s="92"/>
      <c r="B16" s="93" t="s">
        <v>106</v>
      </c>
      <c r="C16" s="94"/>
      <c r="D16" s="87" t="s">
        <v>105</v>
      </c>
      <c r="E16" s="98"/>
      <c r="F16" s="98"/>
      <c r="G16" s="99"/>
      <c r="H16" s="43"/>
      <c r="I16" s="32"/>
      <c r="J16" s="32"/>
      <c r="K16" s="32"/>
      <c r="L16" s="19"/>
      <c r="M16" s="96"/>
    </row>
    <row r="17" spans="1:13" s="2" customFormat="1" ht="14.1" customHeight="1" x14ac:dyDescent="0.3">
      <c r="A17" s="90">
        <v>8</v>
      </c>
      <c r="B17" s="48" t="s">
        <v>104</v>
      </c>
      <c r="C17" s="49"/>
      <c r="D17" s="56"/>
      <c r="E17" s="57"/>
      <c r="F17" s="57"/>
      <c r="G17" s="58"/>
      <c r="H17" s="59"/>
      <c r="I17" s="35"/>
      <c r="J17" s="35"/>
      <c r="K17" s="35"/>
      <c r="L17" s="55"/>
      <c r="M17" s="95"/>
    </row>
    <row r="18" spans="1:13" s="2" customFormat="1" ht="14.1" customHeight="1" x14ac:dyDescent="0.3">
      <c r="A18" s="92"/>
      <c r="B18" s="93" t="s">
        <v>103</v>
      </c>
      <c r="C18" s="94"/>
      <c r="D18" s="87" t="s">
        <v>102</v>
      </c>
      <c r="E18" s="98"/>
      <c r="F18" s="98"/>
      <c r="G18" s="99"/>
      <c r="H18" s="43"/>
      <c r="I18" s="32"/>
      <c r="J18" s="32"/>
      <c r="K18" s="32"/>
      <c r="L18" s="19"/>
      <c r="M18" s="96"/>
    </row>
    <row r="19" spans="1:13" s="2" customFormat="1" ht="14.1" customHeight="1" x14ac:dyDescent="0.3">
      <c r="A19" s="90">
        <v>9</v>
      </c>
      <c r="B19" s="48" t="s">
        <v>43</v>
      </c>
      <c r="C19" s="49"/>
      <c r="D19" s="56" t="s">
        <v>72</v>
      </c>
      <c r="E19" s="57"/>
      <c r="F19" s="57"/>
      <c r="G19" s="58"/>
      <c r="H19" s="59">
        <v>92</v>
      </c>
      <c r="I19" s="35">
        <f>SUM(H19)+4</f>
        <v>96</v>
      </c>
      <c r="J19" s="35">
        <f>SUM(I19)+4</f>
        <v>100</v>
      </c>
      <c r="K19" s="35"/>
      <c r="L19" s="35"/>
      <c r="M19" s="17"/>
    </row>
    <row r="20" spans="1:13" s="2" customFormat="1" ht="14.1" customHeight="1" x14ac:dyDescent="0.3">
      <c r="A20" s="92"/>
      <c r="B20" s="93" t="s">
        <v>44</v>
      </c>
      <c r="C20" s="94"/>
      <c r="D20" s="83" t="s">
        <v>71</v>
      </c>
      <c r="E20" s="84"/>
      <c r="F20" s="84"/>
      <c r="G20" s="85"/>
      <c r="H20" s="43"/>
      <c r="I20" s="32"/>
      <c r="J20" s="32"/>
      <c r="K20" s="32"/>
      <c r="L20" s="32"/>
      <c r="M20" s="18"/>
    </row>
    <row r="21" spans="1:13" s="2" customFormat="1" ht="14.1" customHeight="1" x14ac:dyDescent="0.3">
      <c r="A21" s="90">
        <v>10</v>
      </c>
      <c r="B21" s="48" t="s">
        <v>84</v>
      </c>
      <c r="C21" s="49"/>
      <c r="D21" s="56" t="s">
        <v>83</v>
      </c>
      <c r="E21" s="57"/>
      <c r="F21" s="57"/>
      <c r="G21" s="58"/>
      <c r="H21" s="59">
        <v>53.6</v>
      </c>
      <c r="I21" s="35">
        <f>SUM(H21)+2.5</f>
        <v>56.1</v>
      </c>
      <c r="J21" s="35">
        <f>SUM(I21)+2.5</f>
        <v>58.6</v>
      </c>
      <c r="K21" s="35"/>
      <c r="L21" s="35"/>
      <c r="M21" s="17"/>
    </row>
    <row r="22" spans="1:13" s="2" customFormat="1" ht="14.1" customHeight="1" x14ac:dyDescent="0.3">
      <c r="A22" s="92"/>
      <c r="B22" s="93" t="s">
        <v>82</v>
      </c>
      <c r="C22" s="94"/>
      <c r="D22" s="20" t="s">
        <v>81</v>
      </c>
      <c r="E22" s="21"/>
      <c r="F22" s="21"/>
      <c r="G22" s="22"/>
      <c r="H22" s="43"/>
      <c r="I22" s="32"/>
      <c r="J22" s="32"/>
      <c r="K22" s="32"/>
      <c r="L22" s="32"/>
      <c r="M22" s="18"/>
    </row>
    <row r="23" spans="1:13" s="2" customFormat="1" ht="14.1" customHeight="1" x14ac:dyDescent="0.3">
      <c r="A23" s="90">
        <v>11</v>
      </c>
      <c r="B23" s="48" t="s">
        <v>45</v>
      </c>
      <c r="C23" s="49"/>
      <c r="D23" s="56" t="s">
        <v>46</v>
      </c>
      <c r="E23" s="57"/>
      <c r="F23" s="57"/>
      <c r="G23" s="58"/>
      <c r="H23" s="59">
        <v>30</v>
      </c>
      <c r="I23" s="35">
        <f>SUM(H23)+1.1</f>
        <v>31.1</v>
      </c>
      <c r="J23" s="35">
        <f>SUM(I23)+1.1</f>
        <v>32.200000000000003</v>
      </c>
      <c r="K23" s="35"/>
      <c r="L23" s="55"/>
      <c r="M23" s="95"/>
    </row>
    <row r="24" spans="1:13" s="2" customFormat="1" ht="14.1" customHeight="1" x14ac:dyDescent="0.3">
      <c r="A24" s="92"/>
      <c r="B24" s="93" t="s">
        <v>47</v>
      </c>
      <c r="C24" s="94"/>
      <c r="D24" s="83" t="s">
        <v>70</v>
      </c>
      <c r="E24" s="84"/>
      <c r="F24" s="84"/>
      <c r="G24" s="85"/>
      <c r="H24" s="43"/>
      <c r="I24" s="32"/>
      <c r="J24" s="32"/>
      <c r="K24" s="32"/>
      <c r="L24" s="19"/>
      <c r="M24" s="96"/>
    </row>
    <row r="25" spans="1:13" s="2" customFormat="1" ht="14.1" customHeight="1" x14ac:dyDescent="0.3">
      <c r="A25" s="90">
        <v>12</v>
      </c>
      <c r="B25" s="48" t="s">
        <v>48</v>
      </c>
      <c r="C25" s="49"/>
      <c r="D25" s="56" t="s">
        <v>46</v>
      </c>
      <c r="E25" s="57"/>
      <c r="F25" s="57"/>
      <c r="G25" s="58"/>
      <c r="H25" s="59">
        <v>39.6</v>
      </c>
      <c r="I25" s="35">
        <f>SUM(H25)+1.3</f>
        <v>40.9</v>
      </c>
      <c r="J25" s="35">
        <f>SUM(I25)+1.3</f>
        <v>42.199999999999996</v>
      </c>
      <c r="K25" s="35"/>
      <c r="L25" s="55"/>
      <c r="M25" s="95"/>
    </row>
    <row r="26" spans="1:13" s="2" customFormat="1" ht="14.1" customHeight="1" x14ac:dyDescent="0.3">
      <c r="A26" s="92"/>
      <c r="B26" s="93" t="s">
        <v>49</v>
      </c>
      <c r="C26" s="94"/>
      <c r="D26" s="83" t="s">
        <v>70</v>
      </c>
      <c r="E26" s="84"/>
      <c r="F26" s="84"/>
      <c r="G26" s="85"/>
      <c r="H26" s="43"/>
      <c r="I26" s="32"/>
      <c r="J26" s="32"/>
      <c r="K26" s="32"/>
      <c r="L26" s="19"/>
      <c r="M26" s="96"/>
    </row>
    <row r="27" spans="1:13" s="2" customFormat="1" ht="14.1" customHeight="1" x14ac:dyDescent="0.3">
      <c r="A27" s="90">
        <v>13</v>
      </c>
      <c r="B27" s="48" t="s">
        <v>50</v>
      </c>
      <c r="C27" s="49"/>
      <c r="D27" s="56" t="s">
        <v>51</v>
      </c>
      <c r="E27" s="57"/>
      <c r="F27" s="57"/>
      <c r="G27" s="58"/>
      <c r="H27" s="59">
        <v>62.8</v>
      </c>
      <c r="I27" s="35">
        <f>SUM(H27)+3.1</f>
        <v>65.899999999999991</v>
      </c>
      <c r="J27" s="35">
        <f>SUM(I27)+3.1</f>
        <v>68.999999999999986</v>
      </c>
      <c r="K27" s="35"/>
      <c r="L27" s="35"/>
      <c r="M27" s="17"/>
    </row>
    <row r="28" spans="1:13" s="2" customFormat="1" ht="14.1" customHeight="1" x14ac:dyDescent="0.3">
      <c r="A28" s="92"/>
      <c r="B28" s="93" t="s">
        <v>52</v>
      </c>
      <c r="C28" s="94"/>
      <c r="D28" s="83" t="s">
        <v>69</v>
      </c>
      <c r="E28" s="84"/>
      <c r="F28" s="84"/>
      <c r="G28" s="85"/>
      <c r="H28" s="43"/>
      <c r="I28" s="32"/>
      <c r="J28" s="32"/>
      <c r="K28" s="32"/>
      <c r="L28" s="32"/>
      <c r="M28" s="18"/>
    </row>
    <row r="29" spans="1:13" s="2" customFormat="1" ht="14.1" customHeight="1" x14ac:dyDescent="0.3">
      <c r="A29" s="90">
        <v>14</v>
      </c>
      <c r="B29" s="48" t="s">
        <v>53</v>
      </c>
      <c r="C29" s="49"/>
      <c r="D29" s="56" t="s">
        <v>54</v>
      </c>
      <c r="E29" s="57"/>
      <c r="F29" s="57"/>
      <c r="G29" s="58"/>
      <c r="H29" s="59">
        <v>64.400000000000006</v>
      </c>
      <c r="I29" s="35">
        <f>SUM(H29)+3</f>
        <v>67.400000000000006</v>
      </c>
      <c r="J29" s="35">
        <f>SUM(I29)+3</f>
        <v>70.400000000000006</v>
      </c>
      <c r="K29" s="35"/>
      <c r="L29" s="35"/>
      <c r="M29" s="17"/>
    </row>
    <row r="30" spans="1:13" s="2" customFormat="1" ht="14.1" customHeight="1" x14ac:dyDescent="0.3">
      <c r="A30" s="92"/>
      <c r="B30" s="93" t="s">
        <v>55</v>
      </c>
      <c r="C30" s="94"/>
      <c r="D30" s="83" t="s">
        <v>68</v>
      </c>
      <c r="E30" s="84"/>
      <c r="F30" s="84"/>
      <c r="G30" s="85"/>
      <c r="H30" s="43"/>
      <c r="I30" s="32"/>
      <c r="J30" s="32"/>
      <c r="K30" s="32"/>
      <c r="L30" s="32"/>
      <c r="M30" s="18"/>
    </row>
    <row r="31" spans="1:13" s="2" customFormat="1" ht="14.1" customHeight="1" x14ac:dyDescent="0.3">
      <c r="A31" s="90">
        <v>15</v>
      </c>
      <c r="B31" s="48" t="s">
        <v>67</v>
      </c>
      <c r="C31" s="49"/>
      <c r="D31" s="56" t="s">
        <v>65</v>
      </c>
      <c r="E31" s="57"/>
      <c r="F31" s="57"/>
      <c r="G31" s="58"/>
      <c r="H31" s="59">
        <v>56.8</v>
      </c>
      <c r="I31" s="35">
        <f>SUM(H31)+2.6</f>
        <v>59.4</v>
      </c>
      <c r="J31" s="35">
        <f>SUM(I31)+2.6</f>
        <v>62</v>
      </c>
      <c r="K31" s="35"/>
      <c r="L31" s="35"/>
      <c r="M31" s="17"/>
    </row>
    <row r="32" spans="1:13" s="2" customFormat="1" ht="14.1" customHeight="1" x14ac:dyDescent="0.3">
      <c r="A32" s="92"/>
      <c r="B32" s="93" t="s">
        <v>66</v>
      </c>
      <c r="C32" s="94"/>
      <c r="D32" s="83" t="s">
        <v>65</v>
      </c>
      <c r="E32" s="84"/>
      <c r="F32" s="84"/>
      <c r="G32" s="85"/>
      <c r="H32" s="43"/>
      <c r="I32" s="32"/>
      <c r="J32" s="32"/>
      <c r="K32" s="32"/>
      <c r="L32" s="32"/>
      <c r="M32" s="18"/>
    </row>
    <row r="33" spans="1:13" s="2" customFormat="1" ht="14.1" customHeight="1" x14ac:dyDescent="0.3">
      <c r="A33" s="90">
        <v>16</v>
      </c>
      <c r="B33" s="48" t="s">
        <v>101</v>
      </c>
      <c r="C33" s="49"/>
      <c r="D33" s="56" t="s">
        <v>100</v>
      </c>
      <c r="E33" s="57"/>
      <c r="F33" s="57"/>
      <c r="G33" s="58"/>
      <c r="H33" s="59">
        <v>50.8</v>
      </c>
      <c r="I33" s="35">
        <f>SUM(H33)+2.1</f>
        <v>52.9</v>
      </c>
      <c r="J33" s="35">
        <f>SUM(I33)+2.1</f>
        <v>55</v>
      </c>
      <c r="K33" s="35"/>
      <c r="L33" s="35"/>
      <c r="M33" s="17"/>
    </row>
    <row r="34" spans="1:13" s="2" customFormat="1" ht="14.1" customHeight="1" x14ac:dyDescent="0.3">
      <c r="A34" s="92"/>
      <c r="B34" s="93" t="s">
        <v>99</v>
      </c>
      <c r="C34" s="94"/>
      <c r="D34" s="83" t="s">
        <v>98</v>
      </c>
      <c r="E34" s="84"/>
      <c r="F34" s="84"/>
      <c r="G34" s="85"/>
      <c r="H34" s="43"/>
      <c r="I34" s="32"/>
      <c r="J34" s="32"/>
      <c r="K34" s="32"/>
      <c r="L34" s="32"/>
      <c r="M34" s="18"/>
    </row>
    <row r="35" spans="1:13" s="2" customFormat="1" ht="14.1" customHeight="1" x14ac:dyDescent="0.3">
      <c r="A35" s="90">
        <v>17</v>
      </c>
      <c r="B35" s="48" t="s">
        <v>124</v>
      </c>
      <c r="C35" s="49"/>
      <c r="D35" s="56" t="s">
        <v>123</v>
      </c>
      <c r="E35" s="57"/>
      <c r="F35" s="57"/>
      <c r="G35" s="58"/>
      <c r="H35" s="53">
        <v>5.7</v>
      </c>
      <c r="I35" s="61">
        <f>SUM(H35)+0.2</f>
        <v>5.9</v>
      </c>
      <c r="J35" s="61">
        <f>SUM(I35)+0.2</f>
        <v>6.1000000000000005</v>
      </c>
      <c r="K35" s="35"/>
      <c r="L35" s="35"/>
      <c r="M35" s="17"/>
    </row>
    <row r="36" spans="1:13" s="2" customFormat="1" ht="14.1" customHeight="1" x14ac:dyDescent="0.3">
      <c r="A36" s="92"/>
      <c r="B36" s="93" t="s">
        <v>122</v>
      </c>
      <c r="C36" s="94"/>
      <c r="D36" s="83" t="s">
        <v>121</v>
      </c>
      <c r="E36" s="84"/>
      <c r="F36" s="84"/>
      <c r="G36" s="85"/>
      <c r="H36" s="53"/>
      <c r="I36" s="61"/>
      <c r="J36" s="61"/>
      <c r="K36" s="32"/>
      <c r="L36" s="32"/>
      <c r="M36" s="18"/>
    </row>
    <row r="37" spans="1:13" ht="14.1" customHeight="1" x14ac:dyDescent="0.3">
      <c r="A37" s="90">
        <v>18</v>
      </c>
      <c r="B37" s="48" t="s">
        <v>120</v>
      </c>
      <c r="C37" s="49"/>
      <c r="D37" s="56" t="s">
        <v>119</v>
      </c>
      <c r="E37" s="57"/>
      <c r="F37" s="57"/>
      <c r="G37" s="58"/>
      <c r="H37" s="59">
        <v>12.2</v>
      </c>
      <c r="I37" s="35">
        <f>SUM(H37)+0.6</f>
        <v>12.799999999999999</v>
      </c>
      <c r="J37" s="35">
        <f>SUM(I37)+0.6</f>
        <v>13.399999999999999</v>
      </c>
      <c r="K37" s="35"/>
      <c r="L37" s="35"/>
      <c r="M37" s="17"/>
    </row>
    <row r="38" spans="1:13" ht="14.1" customHeight="1" x14ac:dyDescent="0.3">
      <c r="A38" s="92"/>
      <c r="B38" s="93" t="s">
        <v>118</v>
      </c>
      <c r="C38" s="94"/>
      <c r="D38" s="83" t="s">
        <v>117</v>
      </c>
      <c r="E38" s="84"/>
      <c r="F38" s="84"/>
      <c r="G38" s="85"/>
      <c r="H38" s="43"/>
      <c r="I38" s="32"/>
      <c r="J38" s="32"/>
      <c r="K38" s="32"/>
      <c r="L38" s="32"/>
      <c r="M38" s="18"/>
    </row>
    <row r="39" spans="1:13" ht="14.1" customHeight="1" x14ac:dyDescent="0.3">
      <c r="A39" s="90">
        <v>19</v>
      </c>
      <c r="B39" s="48" t="s">
        <v>77</v>
      </c>
      <c r="C39" s="49"/>
      <c r="D39" s="60"/>
      <c r="E39" s="60"/>
      <c r="F39" s="60"/>
      <c r="G39" s="60"/>
      <c r="H39" s="59">
        <v>12.5</v>
      </c>
      <c r="I39" s="35">
        <f>SUM(H39)+0.5</f>
        <v>13</v>
      </c>
      <c r="J39" s="35">
        <f>SUM(I39)+0.5</f>
        <v>13.5</v>
      </c>
      <c r="K39" s="35"/>
      <c r="L39" s="35"/>
      <c r="M39" s="17"/>
    </row>
    <row r="40" spans="1:13" ht="14.1" customHeight="1" x14ac:dyDescent="0.3">
      <c r="A40" s="92"/>
      <c r="B40" s="45" t="s">
        <v>78</v>
      </c>
      <c r="C40" s="46"/>
      <c r="D40" s="20"/>
      <c r="E40" s="21"/>
      <c r="F40" s="21"/>
      <c r="G40" s="22"/>
      <c r="H40" s="43"/>
      <c r="I40" s="32"/>
      <c r="J40" s="32"/>
      <c r="K40" s="32"/>
      <c r="L40" s="32"/>
      <c r="M40" s="18"/>
    </row>
    <row r="41" spans="1:13" s="2" customFormat="1" ht="14.1" customHeight="1" x14ac:dyDescent="0.3">
      <c r="A41" s="90">
        <v>20</v>
      </c>
      <c r="B41" s="48" t="s">
        <v>79</v>
      </c>
      <c r="C41" s="49"/>
      <c r="D41" s="60"/>
      <c r="E41" s="60"/>
      <c r="F41" s="60"/>
      <c r="G41" s="60"/>
      <c r="H41" s="59">
        <v>13</v>
      </c>
      <c r="I41" s="35">
        <f>SUM(H41)+0.5</f>
        <v>13.5</v>
      </c>
      <c r="J41" s="35">
        <f>SUM(I41)+0.5</f>
        <v>14</v>
      </c>
      <c r="K41" s="35"/>
      <c r="L41" s="35"/>
      <c r="M41" s="17"/>
    </row>
    <row r="42" spans="1:13" s="2" customFormat="1" ht="14.1" customHeight="1" x14ac:dyDescent="0.3">
      <c r="A42" s="92"/>
      <c r="B42" s="19" t="s">
        <v>80</v>
      </c>
      <c r="C42" s="19"/>
      <c r="D42" s="20"/>
      <c r="E42" s="21"/>
      <c r="F42" s="21"/>
      <c r="G42" s="22"/>
      <c r="H42" s="43"/>
      <c r="I42" s="32"/>
      <c r="J42" s="32"/>
      <c r="K42" s="32"/>
      <c r="L42" s="32"/>
      <c r="M42" s="18"/>
    </row>
    <row r="43" spans="1:13" s="2" customFormat="1" ht="14.1" customHeight="1" x14ac:dyDescent="0.3">
      <c r="A43" s="90">
        <v>21</v>
      </c>
      <c r="B43" s="38" t="s">
        <v>97</v>
      </c>
      <c r="C43" s="39"/>
      <c r="D43" s="40"/>
      <c r="E43" s="41"/>
      <c r="F43" s="41"/>
      <c r="G43" s="42"/>
      <c r="H43" s="43">
        <v>104</v>
      </c>
      <c r="I43" s="23">
        <f>SUM(H43)+2.5</f>
        <v>106.5</v>
      </c>
      <c r="J43" s="23">
        <f>SUM(I43)+2.5</f>
        <v>109</v>
      </c>
      <c r="K43" s="23"/>
      <c r="L43" s="23"/>
      <c r="M43" s="25"/>
    </row>
    <row r="44" spans="1:13" s="2" customFormat="1" ht="14.1" customHeight="1" x14ac:dyDescent="0.3">
      <c r="A44" s="92"/>
      <c r="B44" s="38" t="s">
        <v>96</v>
      </c>
      <c r="C44" s="39"/>
      <c r="D44" s="67" t="s">
        <v>145</v>
      </c>
      <c r="E44" s="68"/>
      <c r="F44" s="68"/>
      <c r="G44" s="69"/>
      <c r="H44" s="59"/>
      <c r="I44" s="23"/>
      <c r="J44" s="23"/>
      <c r="K44" s="23"/>
      <c r="L44" s="23"/>
      <c r="M44" s="25"/>
    </row>
    <row r="45" spans="1:13" ht="14.1" customHeight="1" x14ac:dyDescent="0.3">
      <c r="A45" s="112">
        <v>22</v>
      </c>
      <c r="B45" s="48" t="s">
        <v>131</v>
      </c>
      <c r="C45" s="49"/>
      <c r="D45" s="50"/>
      <c r="E45" s="51"/>
      <c r="F45" s="51"/>
      <c r="G45" s="52"/>
      <c r="H45" s="53">
        <v>1.5</v>
      </c>
      <c r="I45" s="35">
        <f>SUM(H45)</f>
        <v>1.5</v>
      </c>
      <c r="J45" s="35">
        <f>SUM(I45)</f>
        <v>1.5</v>
      </c>
      <c r="K45" s="35"/>
      <c r="L45" s="35"/>
      <c r="M45" s="17"/>
    </row>
    <row r="46" spans="1:13" ht="14.1" customHeight="1" thickBot="1" x14ac:dyDescent="0.35">
      <c r="A46" s="91"/>
      <c r="B46" s="27" t="s">
        <v>130</v>
      </c>
      <c r="C46" s="28"/>
      <c r="D46" s="29" t="s">
        <v>267</v>
      </c>
      <c r="E46" s="30"/>
      <c r="F46" s="30"/>
      <c r="G46" s="31"/>
      <c r="H46" s="44"/>
      <c r="I46" s="24"/>
      <c r="J46" s="24"/>
      <c r="K46" s="24"/>
      <c r="L46" s="24"/>
      <c r="M46" s="26"/>
    </row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45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J41:J42"/>
    <mergeCell ref="K41:K42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  <mergeCell ref="A45:A46"/>
    <mergeCell ref="B45:C45"/>
    <mergeCell ref="D45:G45"/>
    <mergeCell ref="H45:H46"/>
    <mergeCell ref="I45:I46"/>
    <mergeCell ref="A43:A44"/>
    <mergeCell ref="B43:C43"/>
    <mergeCell ref="D43:G43"/>
    <mergeCell ref="H43:H44"/>
    <mergeCell ref="I43:I44"/>
    <mergeCell ref="J45:J46"/>
    <mergeCell ref="K45:K46"/>
    <mergeCell ref="L45:L46"/>
    <mergeCell ref="M45:M46"/>
    <mergeCell ref="B46:C46"/>
    <mergeCell ref="D46:G46"/>
    <mergeCell ref="K43:K44"/>
    <mergeCell ref="L43:L44"/>
    <mergeCell ref="M43:M44"/>
    <mergeCell ref="B44:C44"/>
    <mergeCell ref="D44:G44"/>
    <mergeCell ref="J43:J44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E5EE0-2DD9-4C50-AF64-E469136EFC12}">
  <sheetPr>
    <tabColor rgb="FFFF0000"/>
    <pageSetUpPr fitToPage="1"/>
  </sheetPr>
  <dimension ref="A1:P51"/>
  <sheetViews>
    <sheetView topLeftCell="A10" zoomScale="110" zoomScaleNormal="110" workbookViewId="0">
      <selection activeCell="H19" sqref="H19:H2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2" t="s">
        <v>302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6">
        <v>1</v>
      </c>
      <c r="B3" s="107" t="s">
        <v>115</v>
      </c>
      <c r="C3" s="108"/>
      <c r="D3" s="82" t="s">
        <v>75</v>
      </c>
      <c r="E3" s="109"/>
      <c r="F3" s="109"/>
      <c r="G3" s="110"/>
      <c r="H3" s="111">
        <v>64</v>
      </c>
      <c r="I3" s="72">
        <f>SUM(H3)+2.5</f>
        <v>66.5</v>
      </c>
      <c r="J3" s="72">
        <f>SUM(I3)+2.5</f>
        <v>69</v>
      </c>
      <c r="K3" s="72"/>
      <c r="L3" s="72"/>
      <c r="M3" s="73"/>
    </row>
    <row r="4" spans="1:13" s="2" customFormat="1" ht="14.1" customHeight="1" x14ac:dyDescent="0.3">
      <c r="A4" s="92"/>
      <c r="B4" s="93" t="s">
        <v>114</v>
      </c>
      <c r="C4" s="94"/>
      <c r="D4" s="83" t="s">
        <v>74</v>
      </c>
      <c r="E4" s="84"/>
      <c r="F4" s="84"/>
      <c r="G4" s="85"/>
      <c r="H4" s="43"/>
      <c r="I4" s="32"/>
      <c r="J4" s="32"/>
      <c r="K4" s="32"/>
      <c r="L4" s="32"/>
      <c r="M4" s="18"/>
    </row>
    <row r="5" spans="1:13" s="2" customFormat="1" ht="14.1" customHeight="1" x14ac:dyDescent="0.3">
      <c r="A5" s="90">
        <v>2</v>
      </c>
      <c r="B5" s="38" t="s">
        <v>113</v>
      </c>
      <c r="C5" s="39"/>
      <c r="D5" s="67"/>
      <c r="E5" s="68"/>
      <c r="F5" s="68"/>
      <c r="G5" s="69"/>
      <c r="H5" s="86"/>
      <c r="I5" s="23"/>
      <c r="J5" s="23"/>
      <c r="K5" s="23"/>
      <c r="L5" s="23"/>
      <c r="M5" s="25"/>
    </row>
    <row r="6" spans="1:13" s="2" customFormat="1" ht="14.1" customHeight="1" x14ac:dyDescent="0.3">
      <c r="A6" s="92"/>
      <c r="B6" s="93" t="s">
        <v>112</v>
      </c>
      <c r="C6" s="94"/>
      <c r="D6" s="83"/>
      <c r="E6" s="84"/>
      <c r="F6" s="84"/>
      <c r="G6" s="85"/>
      <c r="H6" s="43"/>
      <c r="I6" s="32"/>
      <c r="J6" s="32"/>
      <c r="K6" s="32"/>
      <c r="L6" s="32"/>
      <c r="M6" s="18"/>
    </row>
    <row r="7" spans="1:13" s="2" customFormat="1" ht="14.1" customHeight="1" x14ac:dyDescent="0.3">
      <c r="A7" s="90">
        <v>3</v>
      </c>
      <c r="B7" s="38" t="s">
        <v>73</v>
      </c>
      <c r="C7" s="39"/>
      <c r="D7" s="67"/>
      <c r="E7" s="68"/>
      <c r="F7" s="68"/>
      <c r="G7" s="69"/>
      <c r="H7" s="86"/>
      <c r="I7" s="23"/>
      <c r="J7" s="23"/>
      <c r="K7" s="23"/>
      <c r="L7" s="23"/>
      <c r="M7" s="25"/>
    </row>
    <row r="8" spans="1:13" s="2" customFormat="1" ht="14.1" customHeight="1" x14ac:dyDescent="0.3">
      <c r="A8" s="92"/>
      <c r="B8" s="93" t="s">
        <v>111</v>
      </c>
      <c r="C8" s="94"/>
      <c r="D8" s="83"/>
      <c r="E8" s="84"/>
      <c r="F8" s="84"/>
      <c r="G8" s="85"/>
      <c r="H8" s="43"/>
      <c r="I8" s="32"/>
      <c r="J8" s="32"/>
      <c r="K8" s="32"/>
      <c r="L8" s="32"/>
      <c r="M8" s="18"/>
    </row>
    <row r="9" spans="1:13" s="2" customFormat="1" ht="14.1" customHeight="1" x14ac:dyDescent="0.3">
      <c r="A9" s="90">
        <v>4</v>
      </c>
      <c r="B9" s="48" t="s">
        <v>110</v>
      </c>
      <c r="C9" s="49"/>
      <c r="D9" s="103"/>
      <c r="E9" s="104"/>
      <c r="F9" s="104"/>
      <c r="G9" s="105"/>
      <c r="H9" s="86"/>
      <c r="I9" s="23"/>
      <c r="J9" s="23"/>
      <c r="K9" s="23"/>
      <c r="L9" s="23"/>
      <c r="M9" s="25"/>
    </row>
    <row r="10" spans="1:13" s="2" customFormat="1" ht="14.1" customHeight="1" x14ac:dyDescent="0.3">
      <c r="A10" s="92"/>
      <c r="B10" s="93" t="s">
        <v>109</v>
      </c>
      <c r="C10" s="94"/>
      <c r="D10" s="100"/>
      <c r="E10" s="101"/>
      <c r="F10" s="101"/>
      <c r="G10" s="102"/>
      <c r="H10" s="43"/>
      <c r="I10" s="32"/>
      <c r="J10" s="32"/>
      <c r="K10" s="32"/>
      <c r="L10" s="32"/>
      <c r="M10" s="18"/>
    </row>
    <row r="11" spans="1:13" s="2" customFormat="1" ht="14.1" customHeight="1" x14ac:dyDescent="0.3">
      <c r="A11" s="90">
        <v>5</v>
      </c>
      <c r="B11" s="48" t="s">
        <v>85</v>
      </c>
      <c r="C11" s="49"/>
      <c r="D11" s="67"/>
      <c r="E11" s="68"/>
      <c r="F11" s="68"/>
      <c r="G11" s="69"/>
      <c r="H11" s="86">
        <v>93.7</v>
      </c>
      <c r="I11" s="23">
        <f>SUM(H11)+4.5</f>
        <v>98.2</v>
      </c>
      <c r="J11" s="23">
        <f>SUM(I11)+4.5</f>
        <v>102.7</v>
      </c>
      <c r="K11" s="23"/>
      <c r="L11" s="23"/>
      <c r="M11" s="25"/>
    </row>
    <row r="12" spans="1:13" s="2" customFormat="1" ht="14.1" customHeight="1" x14ac:dyDescent="0.3">
      <c r="A12" s="92"/>
      <c r="B12" s="93" t="s">
        <v>108</v>
      </c>
      <c r="C12" s="94"/>
      <c r="D12" s="83"/>
      <c r="E12" s="84"/>
      <c r="F12" s="84"/>
      <c r="G12" s="85"/>
      <c r="H12" s="43"/>
      <c r="I12" s="32"/>
      <c r="J12" s="32"/>
      <c r="K12" s="32"/>
      <c r="L12" s="32"/>
      <c r="M12" s="18"/>
    </row>
    <row r="13" spans="1:13" s="2" customFormat="1" ht="14.1" customHeight="1" x14ac:dyDescent="0.3">
      <c r="A13" s="90">
        <v>6</v>
      </c>
      <c r="B13" s="48" t="s">
        <v>41</v>
      </c>
      <c r="C13" s="49"/>
      <c r="D13" s="56" t="s">
        <v>200</v>
      </c>
      <c r="E13" s="57"/>
      <c r="F13" s="57"/>
      <c r="G13" s="58"/>
      <c r="H13" s="59">
        <v>122.1</v>
      </c>
      <c r="I13" s="35">
        <f>SUM(H13)+5</f>
        <v>127.1</v>
      </c>
      <c r="J13" s="35">
        <f>SUM(I13)+5</f>
        <v>132.1</v>
      </c>
      <c r="K13" s="35"/>
      <c r="L13" s="35"/>
      <c r="M13" s="17"/>
    </row>
    <row r="14" spans="1:13" s="2" customFormat="1" ht="14.1" customHeight="1" x14ac:dyDescent="0.3">
      <c r="A14" s="92"/>
      <c r="B14" s="93" t="s">
        <v>42</v>
      </c>
      <c r="C14" s="94"/>
      <c r="D14" s="83" t="s">
        <v>76</v>
      </c>
      <c r="E14" s="84"/>
      <c r="F14" s="84"/>
      <c r="G14" s="85"/>
      <c r="H14" s="43"/>
      <c r="I14" s="32"/>
      <c r="J14" s="32"/>
      <c r="K14" s="32"/>
      <c r="L14" s="32"/>
      <c r="M14" s="18"/>
    </row>
    <row r="15" spans="1:13" s="2" customFormat="1" ht="14.1" customHeight="1" x14ac:dyDescent="0.3">
      <c r="A15" s="90">
        <v>7</v>
      </c>
      <c r="B15" s="48" t="s">
        <v>107</v>
      </c>
      <c r="C15" s="49"/>
      <c r="D15" s="56"/>
      <c r="E15" s="57"/>
      <c r="F15" s="57"/>
      <c r="G15" s="58"/>
      <c r="H15" s="59">
        <v>19</v>
      </c>
      <c r="I15" s="35">
        <f>SUM(H15)+0.7</f>
        <v>19.7</v>
      </c>
      <c r="J15" s="35">
        <f>SUM(I15)+0.7</f>
        <v>20.399999999999999</v>
      </c>
      <c r="K15" s="35"/>
      <c r="L15" s="55"/>
      <c r="M15" s="95"/>
    </row>
    <row r="16" spans="1:13" s="2" customFormat="1" ht="14.1" customHeight="1" x14ac:dyDescent="0.3">
      <c r="A16" s="92"/>
      <c r="B16" s="93" t="s">
        <v>106</v>
      </c>
      <c r="C16" s="94"/>
      <c r="D16" s="87" t="s">
        <v>306</v>
      </c>
      <c r="E16" s="98"/>
      <c r="F16" s="98"/>
      <c r="G16" s="99"/>
      <c r="H16" s="43"/>
      <c r="I16" s="32"/>
      <c r="J16" s="32"/>
      <c r="K16" s="32"/>
      <c r="L16" s="19"/>
      <c r="M16" s="96"/>
    </row>
    <row r="17" spans="1:16" s="2" customFormat="1" ht="14.1" customHeight="1" x14ac:dyDescent="0.3">
      <c r="A17" s="90">
        <v>8</v>
      </c>
      <c r="B17" s="48" t="s">
        <v>104</v>
      </c>
      <c r="C17" s="49"/>
      <c r="D17" s="56"/>
      <c r="E17" s="57"/>
      <c r="F17" s="57"/>
      <c r="G17" s="58"/>
      <c r="H17" s="59"/>
      <c r="I17" s="35"/>
      <c r="J17" s="35"/>
      <c r="K17" s="35"/>
      <c r="L17" s="55"/>
      <c r="M17" s="95"/>
    </row>
    <row r="18" spans="1:16" s="2" customFormat="1" ht="14.1" customHeight="1" x14ac:dyDescent="0.3">
      <c r="A18" s="92"/>
      <c r="B18" s="93" t="s">
        <v>103</v>
      </c>
      <c r="C18" s="94"/>
      <c r="D18" s="87" t="s">
        <v>102</v>
      </c>
      <c r="E18" s="98"/>
      <c r="F18" s="98"/>
      <c r="G18" s="99"/>
      <c r="H18" s="43"/>
      <c r="I18" s="32"/>
      <c r="J18" s="32"/>
      <c r="K18" s="32"/>
      <c r="L18" s="19"/>
      <c r="M18" s="96"/>
    </row>
    <row r="19" spans="1:16" s="2" customFormat="1" ht="14.1" customHeight="1" x14ac:dyDescent="0.3">
      <c r="A19" s="90">
        <v>9</v>
      </c>
      <c r="B19" s="48" t="s">
        <v>43</v>
      </c>
      <c r="C19" s="49"/>
      <c r="D19" s="56" t="s">
        <v>72</v>
      </c>
      <c r="E19" s="57"/>
      <c r="F19" s="57"/>
      <c r="G19" s="58"/>
      <c r="H19" s="59">
        <v>92.6</v>
      </c>
      <c r="I19" s="35">
        <f>SUM(H19)+4</f>
        <v>96.6</v>
      </c>
      <c r="J19" s="35">
        <f>SUM(I19)+4</f>
        <v>100.6</v>
      </c>
      <c r="K19" s="35"/>
      <c r="L19" s="35"/>
      <c r="M19" s="17"/>
    </row>
    <row r="20" spans="1:16" s="2" customFormat="1" ht="14.1" customHeight="1" x14ac:dyDescent="0.3">
      <c r="A20" s="92"/>
      <c r="B20" s="93" t="s">
        <v>44</v>
      </c>
      <c r="C20" s="94"/>
      <c r="D20" s="83" t="s">
        <v>71</v>
      </c>
      <c r="E20" s="84"/>
      <c r="F20" s="84"/>
      <c r="G20" s="85"/>
      <c r="H20" s="43"/>
      <c r="I20" s="32"/>
      <c r="J20" s="32"/>
      <c r="K20" s="32"/>
      <c r="L20" s="32"/>
      <c r="M20" s="18"/>
    </row>
    <row r="21" spans="1:16" s="2" customFormat="1" ht="14.1" customHeight="1" x14ac:dyDescent="0.3">
      <c r="A21" s="90">
        <v>10</v>
      </c>
      <c r="B21" s="48" t="s">
        <v>84</v>
      </c>
      <c r="C21" s="49"/>
      <c r="D21" s="56" t="s">
        <v>83</v>
      </c>
      <c r="E21" s="57"/>
      <c r="F21" s="57"/>
      <c r="G21" s="58"/>
      <c r="H21" s="59">
        <v>56</v>
      </c>
      <c r="I21" s="35">
        <f>SUM(H21)+2.4</f>
        <v>58.4</v>
      </c>
      <c r="J21" s="35">
        <f>SUM(I21)+2.4</f>
        <v>60.8</v>
      </c>
      <c r="K21" s="35"/>
      <c r="L21" s="35"/>
      <c r="M21" s="17"/>
    </row>
    <row r="22" spans="1:16" s="2" customFormat="1" ht="14.1" customHeight="1" x14ac:dyDescent="0.3">
      <c r="A22" s="92"/>
      <c r="B22" s="93" t="s">
        <v>82</v>
      </c>
      <c r="C22" s="94"/>
      <c r="D22" s="20" t="s">
        <v>303</v>
      </c>
      <c r="E22" s="21"/>
      <c r="F22" s="21"/>
      <c r="G22" s="22"/>
      <c r="H22" s="43"/>
      <c r="I22" s="32"/>
      <c r="J22" s="32"/>
      <c r="K22" s="32"/>
      <c r="L22" s="32"/>
      <c r="M22" s="18"/>
    </row>
    <row r="23" spans="1:16" s="2" customFormat="1" ht="14.1" customHeight="1" x14ac:dyDescent="0.3">
      <c r="A23" s="90">
        <v>11</v>
      </c>
      <c r="B23" s="48" t="s">
        <v>45</v>
      </c>
      <c r="C23" s="49"/>
      <c r="D23" s="56" t="s">
        <v>46</v>
      </c>
      <c r="E23" s="57"/>
      <c r="F23" s="57"/>
      <c r="G23" s="58"/>
      <c r="H23" s="59">
        <v>30.4</v>
      </c>
      <c r="I23" s="35">
        <f>SUM(H23)+1.1</f>
        <v>31.5</v>
      </c>
      <c r="J23" s="35">
        <f>SUM(I23)+1.1</f>
        <v>32.6</v>
      </c>
      <c r="K23" s="35"/>
      <c r="L23" s="55"/>
      <c r="M23" s="95"/>
      <c r="P23" s="2" t="s">
        <v>237</v>
      </c>
    </row>
    <row r="24" spans="1:16" s="2" customFormat="1" ht="14.1" customHeight="1" x14ac:dyDescent="0.3">
      <c r="A24" s="92"/>
      <c r="B24" s="93" t="s">
        <v>47</v>
      </c>
      <c r="C24" s="94"/>
      <c r="D24" s="83" t="s">
        <v>70</v>
      </c>
      <c r="E24" s="84"/>
      <c r="F24" s="84"/>
      <c r="G24" s="85"/>
      <c r="H24" s="43"/>
      <c r="I24" s="32"/>
      <c r="J24" s="32"/>
      <c r="K24" s="32"/>
      <c r="L24" s="19"/>
      <c r="M24" s="96"/>
    </row>
    <row r="25" spans="1:16" s="2" customFormat="1" ht="14.1" customHeight="1" x14ac:dyDescent="0.3">
      <c r="A25" s="90">
        <v>12</v>
      </c>
      <c r="B25" s="48" t="s">
        <v>48</v>
      </c>
      <c r="C25" s="49"/>
      <c r="D25" s="56" t="s">
        <v>46</v>
      </c>
      <c r="E25" s="57"/>
      <c r="F25" s="57"/>
      <c r="G25" s="58"/>
      <c r="H25" s="59">
        <v>39.799999999999997</v>
      </c>
      <c r="I25" s="35">
        <f>SUM(H25)+1.3</f>
        <v>41.099999999999994</v>
      </c>
      <c r="J25" s="35">
        <f>SUM(I25)+1.4</f>
        <v>42.499999999999993</v>
      </c>
      <c r="K25" s="35"/>
      <c r="L25" s="55"/>
      <c r="M25" s="95"/>
    </row>
    <row r="26" spans="1:16" s="2" customFormat="1" ht="14.1" customHeight="1" x14ac:dyDescent="0.3">
      <c r="A26" s="92"/>
      <c r="B26" s="93" t="s">
        <v>49</v>
      </c>
      <c r="C26" s="94"/>
      <c r="D26" s="83" t="s">
        <v>70</v>
      </c>
      <c r="E26" s="84"/>
      <c r="F26" s="84"/>
      <c r="G26" s="85"/>
      <c r="H26" s="43"/>
      <c r="I26" s="32"/>
      <c r="J26" s="32"/>
      <c r="K26" s="32"/>
      <c r="L26" s="19"/>
      <c r="M26" s="96"/>
    </row>
    <row r="27" spans="1:16" s="2" customFormat="1" ht="14.1" customHeight="1" x14ac:dyDescent="0.3">
      <c r="A27" s="90">
        <v>13</v>
      </c>
      <c r="B27" s="48" t="s">
        <v>50</v>
      </c>
      <c r="C27" s="49"/>
      <c r="D27" s="56" t="s">
        <v>51</v>
      </c>
      <c r="E27" s="57"/>
      <c r="F27" s="57"/>
      <c r="G27" s="58"/>
      <c r="H27" s="59">
        <v>75.900000000000006</v>
      </c>
      <c r="I27" s="35">
        <f>SUM(H27)+3.2</f>
        <v>79.100000000000009</v>
      </c>
      <c r="J27" s="35">
        <f>SUM(I27)+3.2</f>
        <v>82.300000000000011</v>
      </c>
      <c r="K27" s="35"/>
      <c r="L27" s="35"/>
      <c r="M27" s="17"/>
    </row>
    <row r="28" spans="1:16" s="2" customFormat="1" ht="14.1" customHeight="1" x14ac:dyDescent="0.3">
      <c r="A28" s="92"/>
      <c r="B28" s="93" t="s">
        <v>52</v>
      </c>
      <c r="C28" s="94"/>
      <c r="D28" s="83" t="s">
        <v>69</v>
      </c>
      <c r="E28" s="84"/>
      <c r="F28" s="84"/>
      <c r="G28" s="85"/>
      <c r="H28" s="43"/>
      <c r="I28" s="32"/>
      <c r="J28" s="32"/>
      <c r="K28" s="32"/>
      <c r="L28" s="32"/>
      <c r="M28" s="18"/>
    </row>
    <row r="29" spans="1:16" s="2" customFormat="1" ht="14.1" customHeight="1" x14ac:dyDescent="0.3">
      <c r="A29" s="90">
        <v>14</v>
      </c>
      <c r="B29" s="48" t="s">
        <v>53</v>
      </c>
      <c r="C29" s="49"/>
      <c r="D29" s="56" t="s">
        <v>54</v>
      </c>
      <c r="E29" s="57"/>
      <c r="F29" s="57"/>
      <c r="G29" s="58"/>
      <c r="H29" s="59">
        <v>63.7</v>
      </c>
      <c r="I29" s="35">
        <f>SUM(H29)+3</f>
        <v>66.7</v>
      </c>
      <c r="J29" s="35">
        <f>SUM(I29)+3</f>
        <v>69.7</v>
      </c>
      <c r="K29" s="35"/>
      <c r="L29" s="35"/>
      <c r="M29" s="17"/>
    </row>
    <row r="30" spans="1:16" s="2" customFormat="1" ht="14.1" customHeight="1" x14ac:dyDescent="0.3">
      <c r="A30" s="92"/>
      <c r="B30" s="93" t="s">
        <v>55</v>
      </c>
      <c r="C30" s="94"/>
      <c r="D30" s="83" t="s">
        <v>68</v>
      </c>
      <c r="E30" s="84"/>
      <c r="F30" s="84"/>
      <c r="G30" s="85"/>
      <c r="H30" s="43"/>
      <c r="I30" s="32"/>
      <c r="J30" s="32"/>
      <c r="K30" s="32"/>
      <c r="L30" s="32"/>
      <c r="M30" s="18"/>
    </row>
    <row r="31" spans="1:16" s="2" customFormat="1" ht="14.1" customHeight="1" x14ac:dyDescent="0.3">
      <c r="A31" s="90">
        <v>15</v>
      </c>
      <c r="B31" s="48" t="s">
        <v>67</v>
      </c>
      <c r="C31" s="49"/>
      <c r="D31" s="56" t="s">
        <v>65</v>
      </c>
      <c r="E31" s="57"/>
      <c r="F31" s="57"/>
      <c r="G31" s="58"/>
      <c r="H31" s="59">
        <v>67.599999999999994</v>
      </c>
      <c r="I31" s="35">
        <f>SUM(H31)+2.6</f>
        <v>70.199999999999989</v>
      </c>
      <c r="J31" s="35">
        <f>SUM(I31)+2.6</f>
        <v>72.799999999999983</v>
      </c>
      <c r="K31" s="35"/>
      <c r="L31" s="35"/>
      <c r="M31" s="17"/>
    </row>
    <row r="32" spans="1:16" s="2" customFormat="1" ht="14.1" customHeight="1" x14ac:dyDescent="0.3">
      <c r="A32" s="92"/>
      <c r="B32" s="93" t="s">
        <v>66</v>
      </c>
      <c r="C32" s="94"/>
      <c r="D32" s="87" t="s">
        <v>304</v>
      </c>
      <c r="E32" s="84"/>
      <c r="F32" s="84"/>
      <c r="G32" s="85"/>
      <c r="H32" s="43"/>
      <c r="I32" s="32"/>
      <c r="J32" s="32"/>
      <c r="K32" s="32"/>
      <c r="L32" s="32"/>
      <c r="M32" s="18"/>
    </row>
    <row r="33" spans="1:13" s="2" customFormat="1" ht="14.1" customHeight="1" x14ac:dyDescent="0.3">
      <c r="A33" s="90">
        <v>16</v>
      </c>
      <c r="B33" s="48" t="s">
        <v>101</v>
      </c>
      <c r="C33" s="49"/>
      <c r="D33" s="56" t="s">
        <v>100</v>
      </c>
      <c r="E33" s="57"/>
      <c r="F33" s="57"/>
      <c r="G33" s="58"/>
      <c r="H33" s="59">
        <v>52.8</v>
      </c>
      <c r="I33" s="35">
        <f>SUM(H33)+2.1</f>
        <v>54.9</v>
      </c>
      <c r="J33" s="35">
        <f>SUM(I33)+2.1</f>
        <v>57</v>
      </c>
      <c r="K33" s="35"/>
      <c r="L33" s="35"/>
      <c r="M33" s="17"/>
    </row>
    <row r="34" spans="1:13" s="2" customFormat="1" ht="14.1" customHeight="1" x14ac:dyDescent="0.3">
      <c r="A34" s="92"/>
      <c r="B34" s="93" t="s">
        <v>99</v>
      </c>
      <c r="C34" s="94"/>
      <c r="D34" s="83" t="s">
        <v>98</v>
      </c>
      <c r="E34" s="84"/>
      <c r="F34" s="84"/>
      <c r="G34" s="85"/>
      <c r="H34" s="43"/>
      <c r="I34" s="32"/>
      <c r="J34" s="32"/>
      <c r="K34" s="32"/>
      <c r="L34" s="32"/>
      <c r="M34" s="18"/>
    </row>
    <row r="35" spans="1:13" s="2" customFormat="1" ht="14.1" customHeight="1" x14ac:dyDescent="0.3">
      <c r="A35" s="90">
        <v>17</v>
      </c>
      <c r="B35" s="48" t="s">
        <v>201</v>
      </c>
      <c r="C35" s="49"/>
      <c r="D35" s="56"/>
      <c r="E35" s="57"/>
      <c r="F35" s="57"/>
      <c r="G35" s="58"/>
      <c r="H35" s="53">
        <v>13.5</v>
      </c>
      <c r="I35" s="61">
        <f>SUM(H35)+0.5</f>
        <v>14</v>
      </c>
      <c r="J35" s="61">
        <f>SUM(I35)+0.5</f>
        <v>14.5</v>
      </c>
      <c r="K35" s="35"/>
      <c r="L35" s="35"/>
      <c r="M35" s="17"/>
    </row>
    <row r="36" spans="1:13" s="2" customFormat="1" ht="14.1" customHeight="1" x14ac:dyDescent="0.3">
      <c r="A36" s="92"/>
      <c r="B36" s="93" t="s">
        <v>202</v>
      </c>
      <c r="C36" s="94"/>
      <c r="D36" s="83"/>
      <c r="E36" s="84"/>
      <c r="F36" s="84"/>
      <c r="G36" s="85"/>
      <c r="H36" s="53"/>
      <c r="I36" s="61"/>
      <c r="J36" s="61"/>
      <c r="K36" s="32"/>
      <c r="L36" s="32"/>
      <c r="M36" s="18"/>
    </row>
    <row r="37" spans="1:13" ht="14.1" customHeight="1" x14ac:dyDescent="0.3">
      <c r="A37" s="90">
        <v>18</v>
      </c>
      <c r="B37" s="48" t="s">
        <v>77</v>
      </c>
      <c r="C37" s="49"/>
      <c r="D37" s="60"/>
      <c r="E37" s="60"/>
      <c r="F37" s="60"/>
      <c r="G37" s="60"/>
      <c r="H37" s="59">
        <v>14</v>
      </c>
      <c r="I37" s="35">
        <f>SUM(H37)+0.5</f>
        <v>14.5</v>
      </c>
      <c r="J37" s="35">
        <f>SUM(I37)+0.5</f>
        <v>15</v>
      </c>
      <c r="K37" s="35"/>
      <c r="L37" s="35"/>
      <c r="M37" s="17"/>
    </row>
    <row r="38" spans="1:13" ht="14.1" customHeight="1" x14ac:dyDescent="0.3">
      <c r="A38" s="92"/>
      <c r="B38" s="45" t="s">
        <v>78</v>
      </c>
      <c r="C38" s="46"/>
      <c r="D38" s="20"/>
      <c r="E38" s="21"/>
      <c r="F38" s="21"/>
      <c r="G38" s="22"/>
      <c r="H38" s="43"/>
      <c r="I38" s="32"/>
      <c r="J38" s="32"/>
      <c r="K38" s="32"/>
      <c r="L38" s="32"/>
      <c r="M38" s="18"/>
    </row>
    <row r="39" spans="1:13" ht="14.1" customHeight="1" x14ac:dyDescent="0.3">
      <c r="A39" s="90">
        <v>19</v>
      </c>
      <c r="B39" s="48" t="s">
        <v>79</v>
      </c>
      <c r="C39" s="49"/>
      <c r="D39" s="60"/>
      <c r="E39" s="60"/>
      <c r="F39" s="60"/>
      <c r="G39" s="60"/>
      <c r="H39" s="59">
        <v>14.5</v>
      </c>
      <c r="I39" s="35">
        <f>SUM(H39)+0.5</f>
        <v>15</v>
      </c>
      <c r="J39" s="35">
        <f>SUM(I39)+0.5</f>
        <v>15.5</v>
      </c>
      <c r="K39" s="35"/>
      <c r="L39" s="35"/>
      <c r="M39" s="17"/>
    </row>
    <row r="40" spans="1:13" ht="14.1" customHeight="1" x14ac:dyDescent="0.3">
      <c r="A40" s="92"/>
      <c r="B40" s="19" t="s">
        <v>80</v>
      </c>
      <c r="C40" s="19"/>
      <c r="D40" s="20"/>
      <c r="E40" s="21"/>
      <c r="F40" s="21"/>
      <c r="G40" s="22"/>
      <c r="H40" s="43"/>
      <c r="I40" s="32"/>
      <c r="J40" s="32"/>
      <c r="K40" s="32"/>
      <c r="L40" s="32"/>
      <c r="M40" s="18"/>
    </row>
    <row r="41" spans="1:13" s="2" customFormat="1" ht="14.1" customHeight="1" x14ac:dyDescent="0.3">
      <c r="A41" s="90">
        <v>20</v>
      </c>
      <c r="B41" s="38" t="s">
        <v>97</v>
      </c>
      <c r="C41" s="39"/>
      <c r="D41" s="40"/>
      <c r="E41" s="41"/>
      <c r="F41" s="41"/>
      <c r="G41" s="42"/>
      <c r="H41" s="43">
        <v>100</v>
      </c>
      <c r="I41" s="23">
        <f>SUM(H41)+2.5</f>
        <v>102.5</v>
      </c>
      <c r="J41" s="23">
        <f>SUM(I41)+2.5</f>
        <v>105</v>
      </c>
      <c r="K41" s="23"/>
      <c r="L41" s="23"/>
      <c r="M41" s="25"/>
    </row>
    <row r="42" spans="1:13" s="2" customFormat="1" ht="14.1" customHeight="1" x14ac:dyDescent="0.3">
      <c r="A42" s="92"/>
      <c r="B42" s="38" t="s">
        <v>96</v>
      </c>
      <c r="C42" s="39"/>
      <c r="D42" s="67" t="s">
        <v>203</v>
      </c>
      <c r="E42" s="68"/>
      <c r="F42" s="68"/>
      <c r="G42" s="69"/>
      <c r="H42" s="59"/>
      <c r="I42" s="23"/>
      <c r="J42" s="23"/>
      <c r="K42" s="23"/>
      <c r="L42" s="23"/>
      <c r="M42" s="25"/>
    </row>
    <row r="43" spans="1:13" s="2" customFormat="1" ht="14.1" customHeight="1" x14ac:dyDescent="0.3">
      <c r="A43" s="90">
        <v>21</v>
      </c>
      <c r="B43" s="48" t="s">
        <v>131</v>
      </c>
      <c r="C43" s="49"/>
      <c r="D43" s="50"/>
      <c r="E43" s="51"/>
      <c r="F43" s="51"/>
      <c r="G43" s="52"/>
      <c r="H43" s="53">
        <v>1.5</v>
      </c>
      <c r="I43" s="35">
        <f>SUM(H43)</f>
        <v>1.5</v>
      </c>
      <c r="J43" s="35">
        <f>SUM(I43)</f>
        <v>1.5</v>
      </c>
      <c r="K43" s="35"/>
      <c r="L43" s="35"/>
      <c r="M43" s="17"/>
    </row>
    <row r="44" spans="1:13" s="2" customFormat="1" ht="14.1" customHeight="1" x14ac:dyDescent="0.3">
      <c r="A44" s="92"/>
      <c r="B44" s="38" t="s">
        <v>130</v>
      </c>
      <c r="C44" s="39"/>
      <c r="D44" s="67" t="s">
        <v>305</v>
      </c>
      <c r="E44" s="68"/>
      <c r="F44" s="68"/>
      <c r="G44" s="69"/>
      <c r="H44" s="59"/>
      <c r="I44" s="23"/>
      <c r="J44" s="23"/>
      <c r="K44" s="23"/>
      <c r="L44" s="23"/>
      <c r="M44" s="25"/>
    </row>
    <row r="45" spans="1:13" ht="14.1" customHeight="1" x14ac:dyDescent="0.3">
      <c r="A45" s="90">
        <v>22</v>
      </c>
      <c r="B45" s="48"/>
      <c r="C45" s="49"/>
      <c r="D45" s="50"/>
      <c r="E45" s="51"/>
      <c r="F45" s="51"/>
      <c r="G45" s="52"/>
      <c r="H45" s="53"/>
      <c r="I45" s="35"/>
      <c r="J45" s="35"/>
      <c r="K45" s="35"/>
      <c r="L45" s="35"/>
      <c r="M45" s="17"/>
    </row>
    <row r="46" spans="1:13" ht="14.1" customHeight="1" thickBot="1" x14ac:dyDescent="0.35">
      <c r="A46" s="91"/>
      <c r="B46" s="27"/>
      <c r="C46" s="28"/>
      <c r="D46" s="29"/>
      <c r="E46" s="30"/>
      <c r="F46" s="30"/>
      <c r="G46" s="31"/>
      <c r="H46" s="44"/>
      <c r="I46" s="24"/>
      <c r="J46" s="24"/>
      <c r="K46" s="24"/>
      <c r="L46" s="24"/>
      <c r="M46" s="26"/>
    </row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45">
    <mergeCell ref="J45:J46"/>
    <mergeCell ref="K45:K46"/>
    <mergeCell ref="L45:L46"/>
    <mergeCell ref="M45:M46"/>
    <mergeCell ref="B46:C46"/>
    <mergeCell ref="D46:G46"/>
    <mergeCell ref="K43:K44"/>
    <mergeCell ref="L43:L44"/>
    <mergeCell ref="M43:M44"/>
    <mergeCell ref="B44:C44"/>
    <mergeCell ref="D44:G44"/>
    <mergeCell ref="J43:J44"/>
    <mergeCell ref="A45:A46"/>
    <mergeCell ref="B45:C45"/>
    <mergeCell ref="D45:G45"/>
    <mergeCell ref="H45:H46"/>
    <mergeCell ref="I45:I46"/>
    <mergeCell ref="A43:A44"/>
    <mergeCell ref="B43:C43"/>
    <mergeCell ref="D43:G43"/>
    <mergeCell ref="H43:H44"/>
    <mergeCell ref="I43:I44"/>
    <mergeCell ref="J41:J42"/>
    <mergeCell ref="K41:K42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E943-EE0F-4017-B59C-23B68915F6B8}">
  <sheetPr>
    <tabColor rgb="FFFF0000"/>
    <pageSetUpPr fitToPage="1"/>
  </sheetPr>
  <dimension ref="A1:M51"/>
  <sheetViews>
    <sheetView topLeftCell="A10" zoomScale="110" zoomScaleNormal="110" workbookViewId="0">
      <selection activeCell="O15" sqref="O15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2" t="s">
        <v>300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6">
        <v>1</v>
      </c>
      <c r="B3" s="107" t="s">
        <v>115</v>
      </c>
      <c r="C3" s="108"/>
      <c r="D3" s="82" t="s">
        <v>75</v>
      </c>
      <c r="E3" s="109"/>
      <c r="F3" s="109"/>
      <c r="G3" s="110"/>
      <c r="H3" s="111">
        <v>64</v>
      </c>
      <c r="I3" s="72">
        <f>SUM(H3)+2.5</f>
        <v>66.5</v>
      </c>
      <c r="J3" s="72">
        <f>SUM(I3)+2.5</f>
        <v>69</v>
      </c>
      <c r="K3" s="72"/>
      <c r="L3" s="72"/>
      <c r="M3" s="73"/>
    </row>
    <row r="4" spans="1:13" s="2" customFormat="1" ht="14.1" customHeight="1" x14ac:dyDescent="0.3">
      <c r="A4" s="92"/>
      <c r="B4" s="93" t="s">
        <v>114</v>
      </c>
      <c r="C4" s="94"/>
      <c r="D4" s="83" t="s">
        <v>74</v>
      </c>
      <c r="E4" s="84"/>
      <c r="F4" s="84"/>
      <c r="G4" s="85"/>
      <c r="H4" s="43"/>
      <c r="I4" s="32"/>
      <c r="J4" s="32"/>
      <c r="K4" s="32"/>
      <c r="L4" s="32"/>
      <c r="M4" s="18"/>
    </row>
    <row r="5" spans="1:13" s="2" customFormat="1" ht="14.1" customHeight="1" x14ac:dyDescent="0.3">
      <c r="A5" s="90">
        <v>2</v>
      </c>
      <c r="B5" s="38" t="s">
        <v>113</v>
      </c>
      <c r="C5" s="39"/>
      <c r="D5" s="67"/>
      <c r="E5" s="68"/>
      <c r="F5" s="68"/>
      <c r="G5" s="69"/>
      <c r="H5" s="117">
        <v>30</v>
      </c>
      <c r="I5" s="23">
        <f>SUM(H5)+2.25</f>
        <v>32.25</v>
      </c>
      <c r="J5" s="23">
        <f>SUM(I5)+2.25</f>
        <v>34.5</v>
      </c>
      <c r="K5" s="23"/>
      <c r="L5" s="23"/>
      <c r="M5" s="25"/>
    </row>
    <row r="6" spans="1:13" s="2" customFormat="1" ht="14.1" customHeight="1" x14ac:dyDescent="0.3">
      <c r="A6" s="92"/>
      <c r="B6" s="93" t="s">
        <v>112</v>
      </c>
      <c r="C6" s="94"/>
      <c r="D6" s="83"/>
      <c r="E6" s="84"/>
      <c r="F6" s="84"/>
      <c r="G6" s="85"/>
      <c r="H6" s="118"/>
      <c r="I6" s="32"/>
      <c r="J6" s="32"/>
      <c r="K6" s="32"/>
      <c r="L6" s="32"/>
      <c r="M6" s="18"/>
    </row>
    <row r="7" spans="1:13" s="2" customFormat="1" ht="14.1" customHeight="1" x14ac:dyDescent="0.3">
      <c r="A7" s="90">
        <v>3</v>
      </c>
      <c r="B7" s="38" t="s">
        <v>73</v>
      </c>
      <c r="C7" s="39"/>
      <c r="D7" s="67"/>
      <c r="E7" s="68"/>
      <c r="F7" s="68"/>
      <c r="G7" s="69"/>
      <c r="H7" s="117">
        <v>34</v>
      </c>
      <c r="I7" s="23">
        <f>SUM(H7)+0.25</f>
        <v>34.25</v>
      </c>
      <c r="J7" s="23">
        <f>SUM(I7)+0.25</f>
        <v>34.5</v>
      </c>
      <c r="K7" s="23"/>
      <c r="L7" s="23"/>
      <c r="M7" s="25"/>
    </row>
    <row r="8" spans="1:13" s="2" customFormat="1" ht="14.1" customHeight="1" x14ac:dyDescent="0.3">
      <c r="A8" s="92"/>
      <c r="B8" s="93" t="s">
        <v>111</v>
      </c>
      <c r="C8" s="94"/>
      <c r="D8" s="83"/>
      <c r="E8" s="84"/>
      <c r="F8" s="84"/>
      <c r="G8" s="85"/>
      <c r="H8" s="118"/>
      <c r="I8" s="32"/>
      <c r="J8" s="32"/>
      <c r="K8" s="32"/>
      <c r="L8" s="32"/>
      <c r="M8" s="18"/>
    </row>
    <row r="9" spans="1:13" s="2" customFormat="1" ht="14.1" customHeight="1" x14ac:dyDescent="0.3">
      <c r="A9" s="90">
        <v>4</v>
      </c>
      <c r="B9" s="48" t="s">
        <v>110</v>
      </c>
      <c r="C9" s="49"/>
      <c r="D9" s="103" t="s">
        <v>175</v>
      </c>
      <c r="E9" s="104"/>
      <c r="F9" s="104"/>
      <c r="G9" s="105"/>
      <c r="H9" s="117">
        <v>52</v>
      </c>
      <c r="I9" s="23">
        <f>SUM(H9)+1.3</f>
        <v>53.3</v>
      </c>
      <c r="J9" s="23">
        <f>SUM(I9)+1.3</f>
        <v>54.599999999999994</v>
      </c>
      <c r="K9" s="23"/>
      <c r="L9" s="23"/>
      <c r="M9" s="25"/>
    </row>
    <row r="10" spans="1:13" s="2" customFormat="1" ht="14.1" customHeight="1" x14ac:dyDescent="0.3">
      <c r="A10" s="92"/>
      <c r="B10" s="93" t="s">
        <v>109</v>
      </c>
      <c r="C10" s="94"/>
      <c r="D10" s="100" t="s">
        <v>158</v>
      </c>
      <c r="E10" s="101"/>
      <c r="F10" s="101"/>
      <c r="G10" s="102"/>
      <c r="H10" s="118"/>
      <c r="I10" s="32"/>
      <c r="J10" s="32"/>
      <c r="K10" s="32"/>
      <c r="L10" s="32"/>
      <c r="M10" s="18"/>
    </row>
    <row r="11" spans="1:13" s="2" customFormat="1" ht="14.1" customHeight="1" x14ac:dyDescent="0.3">
      <c r="A11" s="90">
        <v>5</v>
      </c>
      <c r="B11" s="48" t="s">
        <v>85</v>
      </c>
      <c r="C11" s="49"/>
      <c r="D11" s="67"/>
      <c r="E11" s="68"/>
      <c r="F11" s="68"/>
      <c r="G11" s="69"/>
      <c r="H11" s="86">
        <v>80</v>
      </c>
      <c r="I11" s="23">
        <f>SUM(H11)+4.5</f>
        <v>84.5</v>
      </c>
      <c r="J11" s="23">
        <f>SUM(I11)+4.5</f>
        <v>89</v>
      </c>
      <c r="K11" s="23"/>
      <c r="L11" s="23"/>
      <c r="M11" s="25"/>
    </row>
    <row r="12" spans="1:13" s="2" customFormat="1" ht="14.1" customHeight="1" x14ac:dyDescent="0.3">
      <c r="A12" s="92"/>
      <c r="B12" s="93" t="s">
        <v>108</v>
      </c>
      <c r="C12" s="94"/>
      <c r="D12" s="83"/>
      <c r="E12" s="84"/>
      <c r="F12" s="84"/>
      <c r="G12" s="85"/>
      <c r="H12" s="43"/>
      <c r="I12" s="32"/>
      <c r="J12" s="32"/>
      <c r="K12" s="32"/>
      <c r="L12" s="32"/>
      <c r="M12" s="18"/>
    </row>
    <row r="13" spans="1:13" s="2" customFormat="1" ht="14.1" customHeight="1" x14ac:dyDescent="0.3">
      <c r="A13" s="90">
        <v>6</v>
      </c>
      <c r="B13" s="48" t="s">
        <v>41</v>
      </c>
      <c r="C13" s="49"/>
      <c r="D13" s="56" t="s">
        <v>116</v>
      </c>
      <c r="E13" s="57"/>
      <c r="F13" s="57"/>
      <c r="G13" s="58"/>
      <c r="H13" s="59">
        <v>101</v>
      </c>
      <c r="I13" s="35">
        <f>SUM(H13)+5</f>
        <v>106</v>
      </c>
      <c r="J13" s="35">
        <f>SUM(I13)+5</f>
        <v>111</v>
      </c>
      <c r="K13" s="35"/>
      <c r="L13" s="35"/>
      <c r="M13" s="17"/>
    </row>
    <row r="14" spans="1:13" s="2" customFormat="1" ht="14.1" customHeight="1" x14ac:dyDescent="0.3">
      <c r="A14" s="92"/>
      <c r="B14" s="93" t="s">
        <v>301</v>
      </c>
      <c r="C14" s="94"/>
      <c r="D14" s="83" t="s">
        <v>76</v>
      </c>
      <c r="E14" s="84"/>
      <c r="F14" s="84"/>
      <c r="G14" s="85"/>
      <c r="H14" s="43"/>
      <c r="I14" s="32"/>
      <c r="J14" s="32"/>
      <c r="K14" s="32"/>
      <c r="L14" s="32"/>
      <c r="M14" s="18"/>
    </row>
    <row r="15" spans="1:13" s="2" customFormat="1" ht="14.1" customHeight="1" x14ac:dyDescent="0.3">
      <c r="A15" s="90">
        <v>7</v>
      </c>
      <c r="B15" s="48" t="s">
        <v>107</v>
      </c>
      <c r="C15" s="49"/>
      <c r="D15" s="56"/>
      <c r="E15" s="57"/>
      <c r="F15" s="57"/>
      <c r="G15" s="58"/>
      <c r="H15" s="59">
        <v>14</v>
      </c>
      <c r="I15" s="35">
        <f>SUM(H15)+0.7</f>
        <v>14.7</v>
      </c>
      <c r="J15" s="35">
        <f>SUM(I15)+0.7</f>
        <v>15.399999999999999</v>
      </c>
      <c r="K15" s="35"/>
      <c r="L15" s="35"/>
      <c r="M15" s="95"/>
    </row>
    <row r="16" spans="1:13" s="2" customFormat="1" ht="14.1" customHeight="1" x14ac:dyDescent="0.3">
      <c r="A16" s="92"/>
      <c r="B16" s="93" t="s">
        <v>106</v>
      </c>
      <c r="C16" s="94"/>
      <c r="D16" s="87" t="s">
        <v>155</v>
      </c>
      <c r="E16" s="98"/>
      <c r="F16" s="98"/>
      <c r="G16" s="99"/>
      <c r="H16" s="43"/>
      <c r="I16" s="32"/>
      <c r="J16" s="32"/>
      <c r="K16" s="32"/>
      <c r="L16" s="32"/>
      <c r="M16" s="96"/>
    </row>
    <row r="17" spans="1:13" s="2" customFormat="1" ht="14.1" customHeight="1" x14ac:dyDescent="0.3">
      <c r="A17" s="90">
        <v>8</v>
      </c>
      <c r="B17" s="48" t="s">
        <v>104</v>
      </c>
      <c r="C17" s="49"/>
      <c r="D17" s="56"/>
      <c r="E17" s="57"/>
      <c r="F17" s="57"/>
      <c r="G17" s="58"/>
      <c r="H17" s="59">
        <v>14</v>
      </c>
      <c r="I17" s="35">
        <f>SUM(H17)+0.7</f>
        <v>14.7</v>
      </c>
      <c r="J17" s="35">
        <f>SUM(I17)+0.7</f>
        <v>15.399999999999999</v>
      </c>
      <c r="K17" s="115"/>
      <c r="L17" s="115"/>
      <c r="M17" s="95"/>
    </row>
    <row r="18" spans="1:13" s="2" customFormat="1" ht="14.1" customHeight="1" x14ac:dyDescent="0.3">
      <c r="A18" s="92"/>
      <c r="B18" s="93" t="s">
        <v>103</v>
      </c>
      <c r="C18" s="94"/>
      <c r="D18" s="87" t="s">
        <v>102</v>
      </c>
      <c r="E18" s="98"/>
      <c r="F18" s="98"/>
      <c r="G18" s="99"/>
      <c r="H18" s="43"/>
      <c r="I18" s="32"/>
      <c r="J18" s="32"/>
      <c r="K18" s="116"/>
      <c r="L18" s="116"/>
      <c r="M18" s="96"/>
    </row>
    <row r="19" spans="1:13" s="2" customFormat="1" ht="14.1" customHeight="1" x14ac:dyDescent="0.3">
      <c r="A19" s="90">
        <v>9</v>
      </c>
      <c r="B19" s="48" t="s">
        <v>156</v>
      </c>
      <c r="C19" s="49"/>
      <c r="D19" s="56"/>
      <c r="E19" s="57"/>
      <c r="F19" s="57"/>
      <c r="G19" s="58"/>
      <c r="H19" s="59">
        <v>3.5</v>
      </c>
      <c r="I19" s="35">
        <f>SUM(H19)</f>
        <v>3.5</v>
      </c>
      <c r="J19" s="35">
        <f>SUM(I19)</f>
        <v>3.5</v>
      </c>
      <c r="K19" s="115"/>
      <c r="L19" s="115"/>
      <c r="M19" s="17"/>
    </row>
    <row r="20" spans="1:13" s="2" customFormat="1" ht="14.1" customHeight="1" x14ac:dyDescent="0.3">
      <c r="A20" s="92"/>
      <c r="B20" s="93" t="s">
        <v>157</v>
      </c>
      <c r="C20" s="94"/>
      <c r="D20" s="87"/>
      <c r="E20" s="98"/>
      <c r="F20" s="98"/>
      <c r="G20" s="99"/>
      <c r="H20" s="43"/>
      <c r="I20" s="32"/>
      <c r="J20" s="32"/>
      <c r="K20" s="116"/>
      <c r="L20" s="116"/>
      <c r="M20" s="18"/>
    </row>
    <row r="21" spans="1:13" s="2" customFormat="1" ht="14.1" customHeight="1" x14ac:dyDescent="0.3">
      <c r="A21" s="90">
        <v>10</v>
      </c>
      <c r="B21" s="48" t="s">
        <v>43</v>
      </c>
      <c r="C21" s="49"/>
      <c r="D21" s="56" t="s">
        <v>72</v>
      </c>
      <c r="E21" s="57"/>
      <c r="F21" s="57"/>
      <c r="G21" s="58"/>
      <c r="H21" s="59">
        <v>94</v>
      </c>
      <c r="I21" s="35">
        <f>SUM(H21)+4</f>
        <v>98</v>
      </c>
      <c r="J21" s="35">
        <f>SUM(I21)+4</f>
        <v>102</v>
      </c>
      <c r="K21" s="35"/>
      <c r="L21" s="35"/>
      <c r="M21" s="17"/>
    </row>
    <row r="22" spans="1:13" s="2" customFormat="1" ht="14.1" customHeight="1" x14ac:dyDescent="0.3">
      <c r="A22" s="92"/>
      <c r="B22" s="93" t="s">
        <v>44</v>
      </c>
      <c r="C22" s="94"/>
      <c r="D22" s="83" t="s">
        <v>71</v>
      </c>
      <c r="E22" s="84"/>
      <c r="F22" s="84"/>
      <c r="G22" s="85"/>
      <c r="H22" s="43"/>
      <c r="I22" s="32"/>
      <c r="J22" s="32"/>
      <c r="K22" s="32"/>
      <c r="L22" s="32"/>
      <c r="M22" s="18"/>
    </row>
    <row r="23" spans="1:13" s="2" customFormat="1" ht="14.1" customHeight="1" x14ac:dyDescent="0.3">
      <c r="A23" s="90">
        <v>11</v>
      </c>
      <c r="B23" s="48" t="s">
        <v>84</v>
      </c>
      <c r="C23" s="49"/>
      <c r="D23" s="56" t="s">
        <v>83</v>
      </c>
      <c r="E23" s="57"/>
      <c r="F23" s="57"/>
      <c r="G23" s="58"/>
      <c r="H23" s="59">
        <v>46</v>
      </c>
      <c r="I23" s="35">
        <f>SUM(H23)+2.2</f>
        <v>48.2</v>
      </c>
      <c r="J23" s="35">
        <f>SUM(I23)+2.2</f>
        <v>50.400000000000006</v>
      </c>
      <c r="K23" s="35"/>
      <c r="L23" s="35"/>
      <c r="M23" s="17"/>
    </row>
    <row r="24" spans="1:13" s="2" customFormat="1" ht="14.1" customHeight="1" x14ac:dyDescent="0.3">
      <c r="A24" s="92"/>
      <c r="B24" s="93" t="s">
        <v>82</v>
      </c>
      <c r="C24" s="94"/>
      <c r="D24" s="20" t="s">
        <v>81</v>
      </c>
      <c r="E24" s="21"/>
      <c r="F24" s="21"/>
      <c r="G24" s="22"/>
      <c r="H24" s="43"/>
      <c r="I24" s="32"/>
      <c r="J24" s="32"/>
      <c r="K24" s="32"/>
      <c r="L24" s="32"/>
      <c r="M24" s="18"/>
    </row>
    <row r="25" spans="1:13" s="2" customFormat="1" ht="14.1" customHeight="1" x14ac:dyDescent="0.3">
      <c r="A25" s="90">
        <v>12</v>
      </c>
      <c r="B25" s="48" t="s">
        <v>45</v>
      </c>
      <c r="C25" s="49"/>
      <c r="D25" s="56" t="s">
        <v>46</v>
      </c>
      <c r="E25" s="57"/>
      <c r="F25" s="57"/>
      <c r="G25" s="58"/>
      <c r="H25" s="59">
        <v>28</v>
      </c>
      <c r="I25" s="35">
        <f>SUM(H25)+1.1</f>
        <v>29.1</v>
      </c>
      <c r="J25" s="35">
        <f>SUM(I25)+1.1</f>
        <v>30.200000000000003</v>
      </c>
      <c r="K25" s="35"/>
      <c r="L25" s="35"/>
      <c r="M25" s="95"/>
    </row>
    <row r="26" spans="1:13" s="2" customFormat="1" ht="14.1" customHeight="1" x14ac:dyDescent="0.3">
      <c r="A26" s="92"/>
      <c r="B26" s="93" t="s">
        <v>47</v>
      </c>
      <c r="C26" s="94"/>
      <c r="D26" s="83" t="s">
        <v>70</v>
      </c>
      <c r="E26" s="84"/>
      <c r="F26" s="84"/>
      <c r="G26" s="85"/>
      <c r="H26" s="43"/>
      <c r="I26" s="32"/>
      <c r="J26" s="32"/>
      <c r="K26" s="32"/>
      <c r="L26" s="32"/>
      <c r="M26" s="96"/>
    </row>
    <row r="27" spans="1:13" s="2" customFormat="1" ht="14.1" customHeight="1" x14ac:dyDescent="0.3">
      <c r="A27" s="90">
        <v>13</v>
      </c>
      <c r="B27" s="48" t="s">
        <v>48</v>
      </c>
      <c r="C27" s="49"/>
      <c r="D27" s="56" t="s">
        <v>46</v>
      </c>
      <c r="E27" s="57"/>
      <c r="F27" s="57"/>
      <c r="G27" s="58"/>
      <c r="H27" s="59">
        <v>38</v>
      </c>
      <c r="I27" s="35">
        <f>SUM(H27)+1.3</f>
        <v>39.299999999999997</v>
      </c>
      <c r="J27" s="35">
        <f>SUM(I27)+1.3</f>
        <v>40.599999999999994</v>
      </c>
      <c r="K27" s="35"/>
      <c r="L27" s="35"/>
      <c r="M27" s="95"/>
    </row>
    <row r="28" spans="1:13" s="2" customFormat="1" ht="14.1" customHeight="1" x14ac:dyDescent="0.3">
      <c r="A28" s="92"/>
      <c r="B28" s="93" t="s">
        <v>49</v>
      </c>
      <c r="C28" s="94"/>
      <c r="D28" s="83" t="s">
        <v>70</v>
      </c>
      <c r="E28" s="84"/>
      <c r="F28" s="84"/>
      <c r="G28" s="85"/>
      <c r="H28" s="43"/>
      <c r="I28" s="32"/>
      <c r="J28" s="32"/>
      <c r="K28" s="32"/>
      <c r="L28" s="32"/>
      <c r="M28" s="96"/>
    </row>
    <row r="29" spans="1:13" s="2" customFormat="1" ht="14.1" customHeight="1" x14ac:dyDescent="0.3">
      <c r="A29" s="90">
        <v>14</v>
      </c>
      <c r="B29" s="48" t="s">
        <v>50</v>
      </c>
      <c r="C29" s="49"/>
      <c r="D29" s="56" t="s">
        <v>51</v>
      </c>
      <c r="E29" s="57"/>
      <c r="F29" s="57"/>
      <c r="G29" s="58"/>
      <c r="H29" s="59"/>
      <c r="I29" s="35"/>
      <c r="J29" s="35"/>
      <c r="K29" s="35"/>
      <c r="L29" s="35"/>
      <c r="M29" s="17"/>
    </row>
    <row r="30" spans="1:13" s="2" customFormat="1" ht="14.1" customHeight="1" x14ac:dyDescent="0.3">
      <c r="A30" s="92"/>
      <c r="B30" s="93" t="s">
        <v>52</v>
      </c>
      <c r="C30" s="94"/>
      <c r="D30" s="83" t="s">
        <v>69</v>
      </c>
      <c r="E30" s="84"/>
      <c r="F30" s="84"/>
      <c r="G30" s="85"/>
      <c r="H30" s="43"/>
      <c r="I30" s="32"/>
      <c r="J30" s="32"/>
      <c r="K30" s="32"/>
      <c r="L30" s="32"/>
      <c r="M30" s="18"/>
    </row>
    <row r="31" spans="1:13" s="2" customFormat="1" ht="14.1" customHeight="1" x14ac:dyDescent="0.3">
      <c r="A31" s="90">
        <v>15</v>
      </c>
      <c r="B31" s="48" t="s">
        <v>53</v>
      </c>
      <c r="C31" s="49"/>
      <c r="D31" s="56" t="s">
        <v>54</v>
      </c>
      <c r="E31" s="57"/>
      <c r="F31" s="57"/>
      <c r="G31" s="58"/>
      <c r="H31" s="59"/>
      <c r="I31" s="35"/>
      <c r="J31" s="35"/>
      <c r="K31" s="35"/>
      <c r="L31" s="35"/>
      <c r="M31" s="17"/>
    </row>
    <row r="32" spans="1:13" s="2" customFormat="1" ht="14.1" customHeight="1" x14ac:dyDescent="0.3">
      <c r="A32" s="92"/>
      <c r="B32" s="93" t="s">
        <v>55</v>
      </c>
      <c r="C32" s="94"/>
      <c r="D32" s="83" t="s">
        <v>68</v>
      </c>
      <c r="E32" s="84"/>
      <c r="F32" s="84"/>
      <c r="G32" s="85"/>
      <c r="H32" s="43"/>
      <c r="I32" s="32"/>
      <c r="J32" s="32"/>
      <c r="K32" s="32"/>
      <c r="L32" s="32"/>
      <c r="M32" s="18"/>
    </row>
    <row r="33" spans="1:13" s="2" customFormat="1" ht="14.1" customHeight="1" x14ac:dyDescent="0.3">
      <c r="A33" s="90">
        <v>16</v>
      </c>
      <c r="B33" s="48" t="s">
        <v>67</v>
      </c>
      <c r="C33" s="49"/>
      <c r="D33" s="56" t="s">
        <v>65</v>
      </c>
      <c r="E33" s="57"/>
      <c r="F33" s="57"/>
      <c r="G33" s="58"/>
      <c r="H33" s="59"/>
      <c r="I33" s="35"/>
      <c r="J33" s="35"/>
      <c r="K33" s="35"/>
      <c r="L33" s="35"/>
      <c r="M33" s="17"/>
    </row>
    <row r="34" spans="1:13" s="2" customFormat="1" ht="14.1" customHeight="1" x14ac:dyDescent="0.3">
      <c r="A34" s="92"/>
      <c r="B34" s="93" t="s">
        <v>66</v>
      </c>
      <c r="C34" s="94"/>
      <c r="D34" s="83"/>
      <c r="E34" s="84"/>
      <c r="F34" s="84"/>
      <c r="G34" s="85"/>
      <c r="H34" s="43"/>
      <c r="I34" s="32"/>
      <c r="J34" s="32"/>
      <c r="K34" s="32"/>
      <c r="L34" s="32"/>
      <c r="M34" s="18"/>
    </row>
    <row r="35" spans="1:13" s="2" customFormat="1" ht="14.1" customHeight="1" x14ac:dyDescent="0.3">
      <c r="A35" s="90">
        <v>17</v>
      </c>
      <c r="B35" s="48" t="s">
        <v>101</v>
      </c>
      <c r="C35" s="49"/>
      <c r="D35" s="56" t="s">
        <v>100</v>
      </c>
      <c r="E35" s="57"/>
      <c r="F35" s="57"/>
      <c r="G35" s="58"/>
      <c r="H35" s="59"/>
      <c r="I35" s="35"/>
      <c r="J35" s="35"/>
      <c r="K35" s="35"/>
      <c r="L35" s="35"/>
      <c r="M35" s="17"/>
    </row>
    <row r="36" spans="1:13" s="2" customFormat="1" ht="14.1" customHeight="1" x14ac:dyDescent="0.3">
      <c r="A36" s="92"/>
      <c r="B36" s="93" t="s">
        <v>99</v>
      </c>
      <c r="C36" s="94"/>
      <c r="D36" s="83" t="s">
        <v>98</v>
      </c>
      <c r="E36" s="84"/>
      <c r="F36" s="84"/>
      <c r="G36" s="85"/>
      <c r="H36" s="43"/>
      <c r="I36" s="32"/>
      <c r="J36" s="32"/>
      <c r="K36" s="32"/>
      <c r="L36" s="32"/>
      <c r="M36" s="18"/>
    </row>
    <row r="37" spans="1:13" ht="14.1" customHeight="1" x14ac:dyDescent="0.3">
      <c r="A37" s="90">
        <v>18</v>
      </c>
      <c r="B37" s="48" t="s">
        <v>124</v>
      </c>
      <c r="C37" s="49"/>
      <c r="D37" s="56" t="s">
        <v>123</v>
      </c>
      <c r="E37" s="57"/>
      <c r="F37" s="57"/>
      <c r="G37" s="58"/>
      <c r="H37" s="53">
        <v>8</v>
      </c>
      <c r="I37" s="61">
        <f>SUM(H37)+0.4</f>
        <v>8.4</v>
      </c>
      <c r="J37" s="61">
        <f>SUM(I37)+0.4</f>
        <v>8.8000000000000007</v>
      </c>
      <c r="K37" s="35"/>
      <c r="L37" s="35"/>
      <c r="M37" s="17"/>
    </row>
    <row r="38" spans="1:13" ht="14.1" customHeight="1" x14ac:dyDescent="0.3">
      <c r="A38" s="92"/>
      <c r="B38" s="93" t="s">
        <v>122</v>
      </c>
      <c r="C38" s="94"/>
      <c r="D38" s="83" t="s">
        <v>121</v>
      </c>
      <c r="E38" s="84"/>
      <c r="F38" s="84"/>
      <c r="G38" s="85"/>
      <c r="H38" s="53"/>
      <c r="I38" s="61"/>
      <c r="J38" s="61"/>
      <c r="K38" s="32"/>
      <c r="L38" s="32"/>
      <c r="M38" s="18"/>
    </row>
    <row r="39" spans="1:13" ht="14.1" customHeight="1" x14ac:dyDescent="0.3">
      <c r="A39" s="90">
        <v>19</v>
      </c>
      <c r="B39" s="48" t="s">
        <v>120</v>
      </c>
      <c r="C39" s="49"/>
      <c r="D39" s="56" t="s">
        <v>119</v>
      </c>
      <c r="E39" s="57"/>
      <c r="F39" s="57"/>
      <c r="G39" s="58"/>
      <c r="H39" s="59">
        <v>8</v>
      </c>
      <c r="I39" s="35">
        <f>SUM(H39)+0.4</f>
        <v>8.4</v>
      </c>
      <c r="J39" s="35">
        <f>SUM(I39)+0.4</f>
        <v>8.8000000000000007</v>
      </c>
      <c r="K39" s="35"/>
      <c r="L39" s="35"/>
      <c r="M39" s="17"/>
    </row>
    <row r="40" spans="1:13" ht="14.1" customHeight="1" x14ac:dyDescent="0.3">
      <c r="A40" s="92"/>
      <c r="B40" s="93" t="s">
        <v>118</v>
      </c>
      <c r="C40" s="94"/>
      <c r="D40" s="83" t="s">
        <v>117</v>
      </c>
      <c r="E40" s="84"/>
      <c r="F40" s="84"/>
      <c r="G40" s="85"/>
      <c r="H40" s="43"/>
      <c r="I40" s="32"/>
      <c r="J40" s="32"/>
      <c r="K40" s="32"/>
      <c r="L40" s="32"/>
      <c r="M40" s="18"/>
    </row>
    <row r="41" spans="1:13" s="2" customFormat="1" ht="14.1" customHeight="1" x14ac:dyDescent="0.3">
      <c r="A41" s="90">
        <v>20</v>
      </c>
      <c r="B41" s="48" t="s">
        <v>77</v>
      </c>
      <c r="C41" s="49"/>
      <c r="D41" s="60"/>
      <c r="E41" s="60"/>
      <c r="F41" s="60"/>
      <c r="G41" s="60"/>
      <c r="H41" s="59">
        <v>15</v>
      </c>
      <c r="I41" s="35">
        <f>SUM(H41)+0.5</f>
        <v>15.5</v>
      </c>
      <c r="J41" s="35">
        <f>SUM(I41)+0.5</f>
        <v>16</v>
      </c>
      <c r="K41" s="35"/>
      <c r="L41" s="35"/>
      <c r="M41" s="17"/>
    </row>
    <row r="42" spans="1:13" s="2" customFormat="1" ht="14.1" customHeight="1" x14ac:dyDescent="0.3">
      <c r="A42" s="92"/>
      <c r="B42" s="45" t="s">
        <v>78</v>
      </c>
      <c r="C42" s="46"/>
      <c r="D42" s="20"/>
      <c r="E42" s="21"/>
      <c r="F42" s="21"/>
      <c r="G42" s="22"/>
      <c r="H42" s="43"/>
      <c r="I42" s="32"/>
      <c r="J42" s="32"/>
      <c r="K42" s="32"/>
      <c r="L42" s="32"/>
      <c r="M42" s="18"/>
    </row>
    <row r="43" spans="1:13" s="2" customFormat="1" ht="14.1" customHeight="1" x14ac:dyDescent="0.3">
      <c r="A43" s="90">
        <v>21</v>
      </c>
      <c r="B43" s="48" t="s">
        <v>79</v>
      </c>
      <c r="C43" s="49"/>
      <c r="D43" s="60"/>
      <c r="E43" s="60"/>
      <c r="F43" s="60"/>
      <c r="G43" s="60"/>
      <c r="H43" s="59">
        <v>15.5</v>
      </c>
      <c r="I43" s="35">
        <f>SUM(H43)+0.5</f>
        <v>16</v>
      </c>
      <c r="J43" s="35">
        <f>SUM(I43)+0.5</f>
        <v>16.5</v>
      </c>
      <c r="K43" s="35"/>
      <c r="L43" s="35"/>
      <c r="M43" s="17"/>
    </row>
    <row r="44" spans="1:13" s="2" customFormat="1" ht="14.1" customHeight="1" x14ac:dyDescent="0.3">
      <c r="A44" s="90"/>
      <c r="B44" s="79" t="s">
        <v>80</v>
      </c>
      <c r="C44" s="79"/>
      <c r="D44" s="67"/>
      <c r="E44" s="68"/>
      <c r="F44" s="68"/>
      <c r="G44" s="69"/>
      <c r="H44" s="86"/>
      <c r="I44" s="23"/>
      <c r="J44" s="23"/>
      <c r="K44" s="23"/>
      <c r="L44" s="23"/>
      <c r="M44" s="25"/>
    </row>
    <row r="45" spans="1:13" ht="14.1" customHeight="1" x14ac:dyDescent="0.3">
      <c r="A45" s="112">
        <v>22</v>
      </c>
      <c r="B45" s="48"/>
      <c r="C45" s="49"/>
      <c r="D45" s="60"/>
      <c r="E45" s="60"/>
      <c r="F45" s="60"/>
      <c r="G45" s="60"/>
      <c r="H45" s="59"/>
      <c r="I45" s="35"/>
      <c r="J45" s="35"/>
      <c r="K45" s="35"/>
      <c r="L45" s="35"/>
      <c r="M45" s="17"/>
    </row>
    <row r="46" spans="1:13" ht="14.1" customHeight="1" thickBot="1" x14ac:dyDescent="0.35">
      <c r="A46" s="91"/>
      <c r="B46" s="113"/>
      <c r="C46" s="113"/>
      <c r="D46" s="29"/>
      <c r="E46" s="30"/>
      <c r="F46" s="30"/>
      <c r="G46" s="31"/>
      <c r="H46" s="114"/>
      <c r="I46" s="24"/>
      <c r="J46" s="24"/>
      <c r="K46" s="24"/>
      <c r="L46" s="24"/>
      <c r="M46" s="26"/>
    </row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45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B2ED-771E-4497-B83F-F2615E5CC42E}">
  <sheetPr>
    <tabColor rgb="FFFF0000"/>
    <pageSetUpPr fitToPage="1"/>
  </sheetPr>
  <dimension ref="A1:M51"/>
  <sheetViews>
    <sheetView topLeftCell="A7" zoomScale="110" zoomScaleNormal="110" workbookViewId="0">
      <selection activeCell="P15" sqref="P15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2" t="s">
        <v>311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6">
        <v>1</v>
      </c>
      <c r="B3" s="107" t="s">
        <v>115</v>
      </c>
      <c r="C3" s="108"/>
      <c r="D3" s="82" t="s">
        <v>75</v>
      </c>
      <c r="E3" s="109"/>
      <c r="F3" s="109"/>
      <c r="G3" s="110"/>
      <c r="H3" s="111">
        <v>64</v>
      </c>
      <c r="I3" s="72">
        <f>SUM(H3)+2.5</f>
        <v>66.5</v>
      </c>
      <c r="J3" s="72">
        <f>SUM(I3)+2.5</f>
        <v>69</v>
      </c>
      <c r="K3" s="72"/>
      <c r="L3" s="72"/>
      <c r="M3" s="73"/>
    </row>
    <row r="4" spans="1:13" s="2" customFormat="1" ht="14.1" customHeight="1" x14ac:dyDescent="0.3">
      <c r="A4" s="92"/>
      <c r="B4" s="93" t="s">
        <v>114</v>
      </c>
      <c r="C4" s="94"/>
      <c r="D4" s="83" t="s">
        <v>74</v>
      </c>
      <c r="E4" s="84"/>
      <c r="F4" s="84"/>
      <c r="G4" s="85"/>
      <c r="H4" s="43"/>
      <c r="I4" s="32"/>
      <c r="J4" s="32"/>
      <c r="K4" s="32"/>
      <c r="L4" s="32"/>
      <c r="M4" s="18"/>
    </row>
    <row r="5" spans="1:13" s="2" customFormat="1" ht="14.1" customHeight="1" x14ac:dyDescent="0.3">
      <c r="A5" s="90">
        <v>2</v>
      </c>
      <c r="B5" s="38" t="s">
        <v>113</v>
      </c>
      <c r="C5" s="39"/>
      <c r="D5" s="67"/>
      <c r="E5" s="68"/>
      <c r="F5" s="68"/>
      <c r="G5" s="69"/>
      <c r="H5" s="117">
        <v>30</v>
      </c>
      <c r="I5" s="23">
        <f>SUM(H5)+2.25</f>
        <v>32.25</v>
      </c>
      <c r="J5" s="23">
        <f>SUM(I5)+2.25</f>
        <v>34.5</v>
      </c>
      <c r="K5" s="23"/>
      <c r="L5" s="23"/>
      <c r="M5" s="25"/>
    </row>
    <row r="6" spans="1:13" s="2" customFormat="1" ht="14.1" customHeight="1" x14ac:dyDescent="0.3">
      <c r="A6" s="92"/>
      <c r="B6" s="93" t="s">
        <v>112</v>
      </c>
      <c r="C6" s="94"/>
      <c r="D6" s="83"/>
      <c r="E6" s="84"/>
      <c r="F6" s="84"/>
      <c r="G6" s="85"/>
      <c r="H6" s="118"/>
      <c r="I6" s="32"/>
      <c r="J6" s="32"/>
      <c r="K6" s="32"/>
      <c r="L6" s="32"/>
      <c r="M6" s="18"/>
    </row>
    <row r="7" spans="1:13" s="2" customFormat="1" ht="14.1" customHeight="1" x14ac:dyDescent="0.3">
      <c r="A7" s="90">
        <v>3</v>
      </c>
      <c r="B7" s="38" t="s">
        <v>73</v>
      </c>
      <c r="C7" s="39"/>
      <c r="D7" s="67"/>
      <c r="E7" s="68"/>
      <c r="F7" s="68"/>
      <c r="G7" s="69"/>
      <c r="H7" s="117">
        <v>34</v>
      </c>
      <c r="I7" s="23">
        <f>SUM(H7)+0.25</f>
        <v>34.25</v>
      </c>
      <c r="J7" s="23">
        <f>SUM(I7)+0.25</f>
        <v>34.5</v>
      </c>
      <c r="K7" s="23"/>
      <c r="L7" s="23"/>
      <c r="M7" s="25"/>
    </row>
    <row r="8" spans="1:13" s="2" customFormat="1" ht="14.1" customHeight="1" x14ac:dyDescent="0.3">
      <c r="A8" s="92"/>
      <c r="B8" s="93" t="s">
        <v>111</v>
      </c>
      <c r="C8" s="94"/>
      <c r="D8" s="83"/>
      <c r="E8" s="84"/>
      <c r="F8" s="84"/>
      <c r="G8" s="85"/>
      <c r="H8" s="118"/>
      <c r="I8" s="32"/>
      <c r="J8" s="32"/>
      <c r="K8" s="32"/>
      <c r="L8" s="32"/>
      <c r="M8" s="18"/>
    </row>
    <row r="9" spans="1:13" s="2" customFormat="1" ht="14.1" customHeight="1" x14ac:dyDescent="0.3">
      <c r="A9" s="90">
        <v>4</v>
      </c>
      <c r="B9" s="48" t="s">
        <v>110</v>
      </c>
      <c r="C9" s="49"/>
      <c r="D9" s="103" t="s">
        <v>175</v>
      </c>
      <c r="E9" s="104"/>
      <c r="F9" s="104"/>
      <c r="G9" s="105"/>
      <c r="H9" s="117">
        <v>52</v>
      </c>
      <c r="I9" s="23">
        <f>SUM(H9)+1.3</f>
        <v>53.3</v>
      </c>
      <c r="J9" s="23">
        <f>SUM(I9)+1.3</f>
        <v>54.599999999999994</v>
      </c>
      <c r="K9" s="23"/>
      <c r="L9" s="23"/>
      <c r="M9" s="25"/>
    </row>
    <row r="10" spans="1:13" s="2" customFormat="1" ht="14.1" customHeight="1" x14ac:dyDescent="0.3">
      <c r="A10" s="92"/>
      <c r="B10" s="93" t="s">
        <v>109</v>
      </c>
      <c r="C10" s="94"/>
      <c r="D10" s="100" t="s">
        <v>158</v>
      </c>
      <c r="E10" s="101"/>
      <c r="F10" s="101"/>
      <c r="G10" s="102"/>
      <c r="H10" s="118"/>
      <c r="I10" s="32"/>
      <c r="J10" s="32"/>
      <c r="K10" s="32"/>
      <c r="L10" s="32"/>
      <c r="M10" s="18"/>
    </row>
    <row r="11" spans="1:13" s="2" customFormat="1" ht="14.1" customHeight="1" x14ac:dyDescent="0.3">
      <c r="A11" s="90">
        <v>5</v>
      </c>
      <c r="B11" s="48" t="s">
        <v>85</v>
      </c>
      <c r="C11" s="49"/>
      <c r="D11" s="67"/>
      <c r="E11" s="68"/>
      <c r="F11" s="68"/>
      <c r="G11" s="69"/>
      <c r="H11" s="86">
        <v>82</v>
      </c>
      <c r="I11" s="23">
        <f>SUM(H11)+4.5</f>
        <v>86.5</v>
      </c>
      <c r="J11" s="23">
        <f>SUM(I11)+4.5</f>
        <v>91</v>
      </c>
      <c r="K11" s="23"/>
      <c r="L11" s="23"/>
      <c r="M11" s="25"/>
    </row>
    <row r="12" spans="1:13" s="2" customFormat="1" ht="14.1" customHeight="1" x14ac:dyDescent="0.3">
      <c r="A12" s="92"/>
      <c r="B12" s="93" t="s">
        <v>108</v>
      </c>
      <c r="C12" s="94"/>
      <c r="D12" s="83"/>
      <c r="E12" s="84"/>
      <c r="F12" s="84"/>
      <c r="G12" s="85"/>
      <c r="H12" s="43"/>
      <c r="I12" s="32"/>
      <c r="J12" s="32"/>
      <c r="K12" s="32"/>
      <c r="L12" s="32"/>
      <c r="M12" s="18"/>
    </row>
    <row r="13" spans="1:13" s="2" customFormat="1" ht="14.1" customHeight="1" x14ac:dyDescent="0.3">
      <c r="A13" s="90">
        <v>6</v>
      </c>
      <c r="B13" s="48" t="s">
        <v>41</v>
      </c>
      <c r="C13" s="49"/>
      <c r="D13" s="56" t="s">
        <v>116</v>
      </c>
      <c r="E13" s="57"/>
      <c r="F13" s="57"/>
      <c r="G13" s="58"/>
      <c r="H13" s="59">
        <v>101</v>
      </c>
      <c r="I13" s="35">
        <f>SUM(H13)+5</f>
        <v>106</v>
      </c>
      <c r="J13" s="35">
        <f>SUM(I13)+5</f>
        <v>111</v>
      </c>
      <c r="K13" s="35"/>
      <c r="L13" s="35"/>
      <c r="M13" s="17"/>
    </row>
    <row r="14" spans="1:13" s="2" customFormat="1" ht="14.1" customHeight="1" x14ac:dyDescent="0.3">
      <c r="A14" s="92"/>
      <c r="B14" s="93" t="s">
        <v>301</v>
      </c>
      <c r="C14" s="94"/>
      <c r="D14" s="83" t="s">
        <v>76</v>
      </c>
      <c r="E14" s="84"/>
      <c r="F14" s="84"/>
      <c r="G14" s="85"/>
      <c r="H14" s="43"/>
      <c r="I14" s="32"/>
      <c r="J14" s="32"/>
      <c r="K14" s="32"/>
      <c r="L14" s="32"/>
      <c r="M14" s="18"/>
    </row>
    <row r="15" spans="1:13" s="2" customFormat="1" ht="14.1" customHeight="1" x14ac:dyDescent="0.3">
      <c r="A15" s="90">
        <v>7</v>
      </c>
      <c r="B15" s="48" t="s">
        <v>107</v>
      </c>
      <c r="C15" s="49"/>
      <c r="D15" s="56"/>
      <c r="E15" s="57"/>
      <c r="F15" s="57"/>
      <c r="G15" s="58"/>
      <c r="H15" s="59">
        <v>14</v>
      </c>
      <c r="I15" s="35">
        <f>SUM(H15)+0.7</f>
        <v>14.7</v>
      </c>
      <c r="J15" s="35">
        <f>SUM(I15)+0.7</f>
        <v>15.399999999999999</v>
      </c>
      <c r="K15" s="35"/>
      <c r="L15" s="35"/>
      <c r="M15" s="95"/>
    </row>
    <row r="16" spans="1:13" s="2" customFormat="1" ht="14.1" customHeight="1" x14ac:dyDescent="0.3">
      <c r="A16" s="92"/>
      <c r="B16" s="93" t="s">
        <v>106</v>
      </c>
      <c r="C16" s="94"/>
      <c r="D16" s="87" t="s">
        <v>155</v>
      </c>
      <c r="E16" s="98"/>
      <c r="F16" s="98"/>
      <c r="G16" s="99"/>
      <c r="H16" s="43"/>
      <c r="I16" s="32"/>
      <c r="J16" s="32"/>
      <c r="K16" s="32"/>
      <c r="L16" s="32"/>
      <c r="M16" s="96"/>
    </row>
    <row r="17" spans="1:13" s="2" customFormat="1" ht="14.1" customHeight="1" x14ac:dyDescent="0.3">
      <c r="A17" s="90">
        <v>8</v>
      </c>
      <c r="B17" s="48" t="s">
        <v>104</v>
      </c>
      <c r="C17" s="49"/>
      <c r="D17" s="56"/>
      <c r="E17" s="57"/>
      <c r="F17" s="57"/>
      <c r="G17" s="58"/>
      <c r="H17" s="59">
        <v>14</v>
      </c>
      <c r="I17" s="35">
        <f>SUM(H17)+0.7</f>
        <v>14.7</v>
      </c>
      <c r="J17" s="35">
        <f>SUM(I17)+0.7</f>
        <v>15.399999999999999</v>
      </c>
      <c r="K17" s="115"/>
      <c r="L17" s="115"/>
      <c r="M17" s="95"/>
    </row>
    <row r="18" spans="1:13" s="2" customFormat="1" ht="14.1" customHeight="1" x14ac:dyDescent="0.3">
      <c r="A18" s="92"/>
      <c r="B18" s="93" t="s">
        <v>103</v>
      </c>
      <c r="C18" s="94"/>
      <c r="D18" s="87" t="s">
        <v>102</v>
      </c>
      <c r="E18" s="98"/>
      <c r="F18" s="98"/>
      <c r="G18" s="99"/>
      <c r="H18" s="43"/>
      <c r="I18" s="32"/>
      <c r="J18" s="32"/>
      <c r="K18" s="116"/>
      <c r="L18" s="116"/>
      <c r="M18" s="96"/>
    </row>
    <row r="19" spans="1:13" s="2" customFormat="1" ht="14.1" customHeight="1" x14ac:dyDescent="0.3">
      <c r="A19" s="90">
        <v>9</v>
      </c>
      <c r="B19" s="48" t="s">
        <v>156</v>
      </c>
      <c r="C19" s="49"/>
      <c r="D19" s="56"/>
      <c r="E19" s="57"/>
      <c r="F19" s="57"/>
      <c r="G19" s="58"/>
      <c r="H19" s="59">
        <v>3.5</v>
      </c>
      <c r="I19" s="35">
        <f>SUM(H19)</f>
        <v>3.5</v>
      </c>
      <c r="J19" s="35">
        <f>SUM(I19)</f>
        <v>3.5</v>
      </c>
      <c r="K19" s="115"/>
      <c r="L19" s="115"/>
      <c r="M19" s="17"/>
    </row>
    <row r="20" spans="1:13" s="2" customFormat="1" ht="14.1" customHeight="1" x14ac:dyDescent="0.3">
      <c r="A20" s="92"/>
      <c r="B20" s="93" t="s">
        <v>157</v>
      </c>
      <c r="C20" s="94"/>
      <c r="D20" s="87"/>
      <c r="E20" s="98"/>
      <c r="F20" s="98"/>
      <c r="G20" s="99"/>
      <c r="H20" s="43"/>
      <c r="I20" s="32"/>
      <c r="J20" s="32"/>
      <c r="K20" s="116"/>
      <c r="L20" s="116"/>
      <c r="M20" s="18"/>
    </row>
    <row r="21" spans="1:13" s="2" customFormat="1" ht="14.1" customHeight="1" x14ac:dyDescent="0.3">
      <c r="A21" s="90">
        <v>10</v>
      </c>
      <c r="B21" s="48" t="s">
        <v>43</v>
      </c>
      <c r="C21" s="49"/>
      <c r="D21" s="56" t="s">
        <v>72</v>
      </c>
      <c r="E21" s="57"/>
      <c r="F21" s="57"/>
      <c r="G21" s="58"/>
      <c r="H21" s="59">
        <v>92</v>
      </c>
      <c r="I21" s="35">
        <f>SUM(H21)+4</f>
        <v>96</v>
      </c>
      <c r="J21" s="35">
        <f>SUM(I21)+4</f>
        <v>100</v>
      </c>
      <c r="K21" s="35"/>
      <c r="L21" s="35"/>
      <c r="M21" s="17"/>
    </row>
    <row r="22" spans="1:13" s="2" customFormat="1" ht="14.1" customHeight="1" x14ac:dyDescent="0.3">
      <c r="A22" s="92"/>
      <c r="B22" s="93" t="s">
        <v>44</v>
      </c>
      <c r="C22" s="94"/>
      <c r="D22" s="83" t="s">
        <v>71</v>
      </c>
      <c r="E22" s="84"/>
      <c r="F22" s="84"/>
      <c r="G22" s="85"/>
      <c r="H22" s="43"/>
      <c r="I22" s="32"/>
      <c r="J22" s="32"/>
      <c r="K22" s="32"/>
      <c r="L22" s="32"/>
      <c r="M22" s="18"/>
    </row>
    <row r="23" spans="1:13" s="2" customFormat="1" ht="14.1" customHeight="1" x14ac:dyDescent="0.3">
      <c r="A23" s="90">
        <v>11</v>
      </c>
      <c r="B23" s="48" t="s">
        <v>84</v>
      </c>
      <c r="C23" s="49"/>
      <c r="D23" s="56" t="s">
        <v>83</v>
      </c>
      <c r="E23" s="57"/>
      <c r="F23" s="57"/>
      <c r="G23" s="58"/>
      <c r="H23" s="59">
        <v>54</v>
      </c>
      <c r="I23" s="35">
        <f>SUM(H23)+2.4</f>
        <v>56.4</v>
      </c>
      <c r="J23" s="35">
        <f>SUM(I23)+2.4</f>
        <v>58.8</v>
      </c>
      <c r="K23" s="35"/>
      <c r="L23" s="35"/>
      <c r="M23" s="17"/>
    </row>
    <row r="24" spans="1:13" s="2" customFormat="1" ht="14.1" customHeight="1" x14ac:dyDescent="0.3">
      <c r="A24" s="92"/>
      <c r="B24" s="93" t="s">
        <v>82</v>
      </c>
      <c r="C24" s="94"/>
      <c r="D24" s="20" t="s">
        <v>81</v>
      </c>
      <c r="E24" s="21"/>
      <c r="F24" s="21"/>
      <c r="G24" s="22"/>
      <c r="H24" s="43"/>
      <c r="I24" s="32"/>
      <c r="J24" s="32"/>
      <c r="K24" s="32"/>
      <c r="L24" s="32"/>
      <c r="M24" s="18"/>
    </row>
    <row r="25" spans="1:13" s="2" customFormat="1" ht="14.1" customHeight="1" x14ac:dyDescent="0.3">
      <c r="A25" s="90">
        <v>12</v>
      </c>
      <c r="B25" s="48" t="s">
        <v>45</v>
      </c>
      <c r="C25" s="49"/>
      <c r="D25" s="56" t="s">
        <v>46</v>
      </c>
      <c r="E25" s="57"/>
      <c r="F25" s="57"/>
      <c r="G25" s="58"/>
      <c r="H25" s="59">
        <v>28.5</v>
      </c>
      <c r="I25" s="35">
        <f>SUM(H25)+1.1</f>
        <v>29.6</v>
      </c>
      <c r="J25" s="35">
        <f>SUM(I25)+1.1</f>
        <v>30.700000000000003</v>
      </c>
      <c r="K25" s="35"/>
      <c r="L25" s="35"/>
      <c r="M25" s="95"/>
    </row>
    <row r="26" spans="1:13" s="2" customFormat="1" ht="14.1" customHeight="1" x14ac:dyDescent="0.3">
      <c r="A26" s="92"/>
      <c r="B26" s="93" t="s">
        <v>47</v>
      </c>
      <c r="C26" s="94"/>
      <c r="D26" s="83" t="s">
        <v>70</v>
      </c>
      <c r="E26" s="84"/>
      <c r="F26" s="84"/>
      <c r="G26" s="85"/>
      <c r="H26" s="43"/>
      <c r="I26" s="32"/>
      <c r="J26" s="32"/>
      <c r="K26" s="32"/>
      <c r="L26" s="32"/>
      <c r="M26" s="96"/>
    </row>
    <row r="27" spans="1:13" s="2" customFormat="1" ht="14.1" customHeight="1" x14ac:dyDescent="0.3">
      <c r="A27" s="90">
        <v>13</v>
      </c>
      <c r="B27" s="48" t="s">
        <v>48</v>
      </c>
      <c r="C27" s="49"/>
      <c r="D27" s="56" t="s">
        <v>46</v>
      </c>
      <c r="E27" s="57"/>
      <c r="F27" s="57"/>
      <c r="G27" s="58"/>
      <c r="H27" s="59">
        <v>38</v>
      </c>
      <c r="I27" s="35">
        <f>SUM(H27)+1.3</f>
        <v>39.299999999999997</v>
      </c>
      <c r="J27" s="35">
        <f>SUM(I27)+1.3</f>
        <v>40.599999999999994</v>
      </c>
      <c r="K27" s="35"/>
      <c r="L27" s="35"/>
      <c r="M27" s="95"/>
    </row>
    <row r="28" spans="1:13" s="2" customFormat="1" ht="14.1" customHeight="1" x14ac:dyDescent="0.3">
      <c r="A28" s="92"/>
      <c r="B28" s="93" t="s">
        <v>49</v>
      </c>
      <c r="C28" s="94"/>
      <c r="D28" s="83" t="s">
        <v>70</v>
      </c>
      <c r="E28" s="84"/>
      <c r="F28" s="84"/>
      <c r="G28" s="85"/>
      <c r="H28" s="43"/>
      <c r="I28" s="32"/>
      <c r="J28" s="32"/>
      <c r="K28" s="32"/>
      <c r="L28" s="32"/>
      <c r="M28" s="96"/>
    </row>
    <row r="29" spans="1:13" s="2" customFormat="1" ht="14.1" customHeight="1" x14ac:dyDescent="0.3">
      <c r="A29" s="90">
        <v>14</v>
      </c>
      <c r="B29" s="48" t="s">
        <v>50</v>
      </c>
      <c r="C29" s="49"/>
      <c r="D29" s="56" t="s">
        <v>51</v>
      </c>
      <c r="E29" s="57"/>
      <c r="F29" s="57"/>
      <c r="G29" s="58"/>
      <c r="H29" s="59"/>
      <c r="I29" s="35"/>
      <c r="J29" s="35"/>
      <c r="K29" s="35"/>
      <c r="L29" s="35"/>
      <c r="M29" s="17"/>
    </row>
    <row r="30" spans="1:13" s="2" customFormat="1" ht="14.1" customHeight="1" x14ac:dyDescent="0.3">
      <c r="A30" s="92"/>
      <c r="B30" s="93" t="s">
        <v>52</v>
      </c>
      <c r="C30" s="94"/>
      <c r="D30" s="83" t="s">
        <v>69</v>
      </c>
      <c r="E30" s="84"/>
      <c r="F30" s="84"/>
      <c r="G30" s="85"/>
      <c r="H30" s="43"/>
      <c r="I30" s="32"/>
      <c r="J30" s="32"/>
      <c r="K30" s="32"/>
      <c r="L30" s="32"/>
      <c r="M30" s="18"/>
    </row>
    <row r="31" spans="1:13" s="2" customFormat="1" ht="14.1" customHeight="1" x14ac:dyDescent="0.3">
      <c r="A31" s="90">
        <v>15</v>
      </c>
      <c r="B31" s="48" t="s">
        <v>53</v>
      </c>
      <c r="C31" s="49"/>
      <c r="D31" s="56" t="s">
        <v>54</v>
      </c>
      <c r="E31" s="57"/>
      <c r="F31" s="57"/>
      <c r="G31" s="58"/>
      <c r="H31" s="59"/>
      <c r="I31" s="35"/>
      <c r="J31" s="35"/>
      <c r="K31" s="35"/>
      <c r="L31" s="35"/>
      <c r="M31" s="17"/>
    </row>
    <row r="32" spans="1:13" s="2" customFormat="1" ht="14.1" customHeight="1" x14ac:dyDescent="0.3">
      <c r="A32" s="92"/>
      <c r="B32" s="93" t="s">
        <v>55</v>
      </c>
      <c r="C32" s="94"/>
      <c r="D32" s="83" t="s">
        <v>68</v>
      </c>
      <c r="E32" s="84"/>
      <c r="F32" s="84"/>
      <c r="G32" s="85"/>
      <c r="H32" s="43"/>
      <c r="I32" s="32"/>
      <c r="J32" s="32"/>
      <c r="K32" s="32"/>
      <c r="L32" s="32"/>
      <c r="M32" s="18"/>
    </row>
    <row r="33" spans="1:13" s="2" customFormat="1" ht="14.1" customHeight="1" x14ac:dyDescent="0.3">
      <c r="A33" s="90">
        <v>16</v>
      </c>
      <c r="B33" s="48" t="s">
        <v>67</v>
      </c>
      <c r="C33" s="49"/>
      <c r="D33" s="56" t="s">
        <v>65</v>
      </c>
      <c r="E33" s="57"/>
      <c r="F33" s="57"/>
      <c r="G33" s="58"/>
      <c r="H33" s="59"/>
      <c r="I33" s="35"/>
      <c r="J33" s="35"/>
      <c r="K33" s="35"/>
      <c r="L33" s="35"/>
      <c r="M33" s="17"/>
    </row>
    <row r="34" spans="1:13" s="2" customFormat="1" ht="14.1" customHeight="1" x14ac:dyDescent="0.3">
      <c r="A34" s="92"/>
      <c r="B34" s="93" t="s">
        <v>66</v>
      </c>
      <c r="C34" s="94"/>
      <c r="D34" s="83"/>
      <c r="E34" s="84"/>
      <c r="F34" s="84"/>
      <c r="G34" s="85"/>
      <c r="H34" s="43"/>
      <c r="I34" s="32"/>
      <c r="J34" s="32"/>
      <c r="K34" s="32"/>
      <c r="L34" s="32"/>
      <c r="M34" s="18"/>
    </row>
    <row r="35" spans="1:13" s="2" customFormat="1" ht="14.1" customHeight="1" x14ac:dyDescent="0.3">
      <c r="A35" s="90">
        <v>17</v>
      </c>
      <c r="B35" s="48" t="s">
        <v>101</v>
      </c>
      <c r="C35" s="49"/>
      <c r="D35" s="56" t="s">
        <v>100</v>
      </c>
      <c r="E35" s="57"/>
      <c r="F35" s="57"/>
      <c r="G35" s="58"/>
      <c r="H35" s="59"/>
      <c r="I35" s="35"/>
      <c r="J35" s="35"/>
      <c r="K35" s="35"/>
      <c r="L35" s="35"/>
      <c r="M35" s="17"/>
    </row>
    <row r="36" spans="1:13" s="2" customFormat="1" ht="14.1" customHeight="1" x14ac:dyDescent="0.3">
      <c r="A36" s="92"/>
      <c r="B36" s="93" t="s">
        <v>99</v>
      </c>
      <c r="C36" s="94"/>
      <c r="D36" s="83" t="s">
        <v>98</v>
      </c>
      <c r="E36" s="84"/>
      <c r="F36" s="84"/>
      <c r="G36" s="85"/>
      <c r="H36" s="43"/>
      <c r="I36" s="32"/>
      <c r="J36" s="32"/>
      <c r="K36" s="32"/>
      <c r="L36" s="32"/>
      <c r="M36" s="18"/>
    </row>
    <row r="37" spans="1:13" ht="14.1" customHeight="1" x14ac:dyDescent="0.3">
      <c r="A37" s="90">
        <v>18</v>
      </c>
      <c r="B37" s="48" t="s">
        <v>124</v>
      </c>
      <c r="C37" s="49"/>
      <c r="D37" s="56" t="s">
        <v>123</v>
      </c>
      <c r="E37" s="57"/>
      <c r="F37" s="57"/>
      <c r="G37" s="58"/>
      <c r="H37" s="53">
        <v>9</v>
      </c>
      <c r="I37" s="61">
        <f>SUM(H37)+0.5</f>
        <v>9.5</v>
      </c>
      <c r="J37" s="61">
        <f>SUM(I37)+0.5</f>
        <v>10</v>
      </c>
      <c r="K37" s="35"/>
      <c r="L37" s="35"/>
      <c r="M37" s="17"/>
    </row>
    <row r="38" spans="1:13" ht="14.1" customHeight="1" x14ac:dyDescent="0.3">
      <c r="A38" s="92"/>
      <c r="B38" s="93" t="s">
        <v>122</v>
      </c>
      <c r="C38" s="94"/>
      <c r="D38" s="83" t="s">
        <v>121</v>
      </c>
      <c r="E38" s="84"/>
      <c r="F38" s="84"/>
      <c r="G38" s="85"/>
      <c r="H38" s="53"/>
      <c r="I38" s="61"/>
      <c r="J38" s="61"/>
      <c r="K38" s="32"/>
      <c r="L38" s="32"/>
      <c r="M38" s="18"/>
    </row>
    <row r="39" spans="1:13" ht="14.1" customHeight="1" x14ac:dyDescent="0.3">
      <c r="A39" s="90">
        <v>19</v>
      </c>
      <c r="B39" s="48" t="s">
        <v>120</v>
      </c>
      <c r="C39" s="49"/>
      <c r="D39" s="56" t="s">
        <v>119</v>
      </c>
      <c r="E39" s="57"/>
      <c r="F39" s="57"/>
      <c r="G39" s="58"/>
      <c r="H39" s="59">
        <v>6.5</v>
      </c>
      <c r="I39" s="35">
        <f>SUM(H39)+0.3</f>
        <v>6.8</v>
      </c>
      <c r="J39" s="35">
        <f>SUM(I39)+0.3</f>
        <v>7.1</v>
      </c>
      <c r="K39" s="35"/>
      <c r="L39" s="35"/>
      <c r="M39" s="17"/>
    </row>
    <row r="40" spans="1:13" ht="14.1" customHeight="1" x14ac:dyDescent="0.3">
      <c r="A40" s="92"/>
      <c r="B40" s="93" t="s">
        <v>118</v>
      </c>
      <c r="C40" s="94"/>
      <c r="D40" s="83" t="s">
        <v>117</v>
      </c>
      <c r="E40" s="84"/>
      <c r="F40" s="84"/>
      <c r="G40" s="85"/>
      <c r="H40" s="43"/>
      <c r="I40" s="32"/>
      <c r="J40" s="32"/>
      <c r="K40" s="32"/>
      <c r="L40" s="32"/>
      <c r="M40" s="18"/>
    </row>
    <row r="41" spans="1:13" s="2" customFormat="1" ht="14.1" customHeight="1" x14ac:dyDescent="0.3">
      <c r="A41" s="90">
        <v>20</v>
      </c>
      <c r="B41" s="48" t="s">
        <v>77</v>
      </c>
      <c r="C41" s="49"/>
      <c r="D41" s="60"/>
      <c r="E41" s="60"/>
      <c r="F41" s="60"/>
      <c r="G41" s="60"/>
      <c r="H41" s="59">
        <v>14</v>
      </c>
      <c r="I41" s="35">
        <f>SUM(H41)+0.5</f>
        <v>14.5</v>
      </c>
      <c r="J41" s="35">
        <f>SUM(I41)+0.5</f>
        <v>15</v>
      </c>
      <c r="K41" s="35"/>
      <c r="L41" s="35"/>
      <c r="M41" s="17"/>
    </row>
    <row r="42" spans="1:13" s="2" customFormat="1" ht="14.1" customHeight="1" x14ac:dyDescent="0.3">
      <c r="A42" s="92"/>
      <c r="B42" s="45" t="s">
        <v>78</v>
      </c>
      <c r="C42" s="46"/>
      <c r="D42" s="20"/>
      <c r="E42" s="21"/>
      <c r="F42" s="21"/>
      <c r="G42" s="22"/>
      <c r="H42" s="43"/>
      <c r="I42" s="32"/>
      <c r="J42" s="32"/>
      <c r="K42" s="32"/>
      <c r="L42" s="32"/>
      <c r="M42" s="18"/>
    </row>
    <row r="43" spans="1:13" s="2" customFormat="1" ht="14.1" customHeight="1" x14ac:dyDescent="0.3">
      <c r="A43" s="90">
        <v>21</v>
      </c>
      <c r="B43" s="48" t="s">
        <v>79</v>
      </c>
      <c r="C43" s="49"/>
      <c r="D43" s="60"/>
      <c r="E43" s="60"/>
      <c r="F43" s="60"/>
      <c r="G43" s="60"/>
      <c r="H43" s="59">
        <v>14.5</v>
      </c>
      <c r="I43" s="35">
        <f>SUM(H43)+0.5</f>
        <v>15</v>
      </c>
      <c r="J43" s="35">
        <f>SUM(I43)+0.5</f>
        <v>15.5</v>
      </c>
      <c r="K43" s="35"/>
      <c r="L43" s="35"/>
      <c r="M43" s="17"/>
    </row>
    <row r="44" spans="1:13" s="2" customFormat="1" ht="14.1" customHeight="1" x14ac:dyDescent="0.3">
      <c r="A44" s="90"/>
      <c r="B44" s="79" t="s">
        <v>80</v>
      </c>
      <c r="C44" s="79"/>
      <c r="D44" s="67"/>
      <c r="E44" s="68"/>
      <c r="F44" s="68"/>
      <c r="G44" s="69"/>
      <c r="H44" s="86"/>
      <c r="I44" s="23"/>
      <c r="J44" s="23"/>
      <c r="K44" s="23"/>
      <c r="L44" s="23"/>
      <c r="M44" s="25"/>
    </row>
    <row r="45" spans="1:13" ht="14.1" customHeight="1" x14ac:dyDescent="0.3">
      <c r="A45" s="112">
        <v>22</v>
      </c>
      <c r="B45" s="48"/>
      <c r="C45" s="49"/>
      <c r="D45" s="60"/>
      <c r="E45" s="60"/>
      <c r="F45" s="60"/>
      <c r="G45" s="60"/>
      <c r="H45" s="59"/>
      <c r="I45" s="35"/>
      <c r="J45" s="35"/>
      <c r="K45" s="35"/>
      <c r="L45" s="35"/>
      <c r="M45" s="17"/>
    </row>
    <row r="46" spans="1:13" ht="14.1" customHeight="1" thickBot="1" x14ac:dyDescent="0.35">
      <c r="A46" s="91"/>
      <c r="B46" s="113"/>
      <c r="C46" s="113"/>
      <c r="D46" s="29"/>
      <c r="E46" s="30"/>
      <c r="F46" s="30"/>
      <c r="G46" s="31"/>
      <c r="H46" s="114"/>
      <c r="I46" s="24"/>
      <c r="J46" s="24"/>
      <c r="K46" s="24"/>
      <c r="L46" s="24"/>
      <c r="M46" s="26"/>
    </row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45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8668-72E7-4C95-95E9-9011C7E1EF92}">
  <sheetPr>
    <tabColor rgb="FFFF0000"/>
    <pageSetUpPr fitToPage="1"/>
  </sheetPr>
  <dimension ref="A1:M51"/>
  <sheetViews>
    <sheetView zoomScale="110" zoomScaleNormal="110" workbookViewId="0">
      <selection activeCell="O12" sqref="O12"/>
    </sheetView>
  </sheetViews>
  <sheetFormatPr defaultColWidth="8.75" defaultRowHeight="16.5" x14ac:dyDescent="0.3"/>
  <cols>
    <col min="1" max="1" width="3.6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2" t="s">
        <v>256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6">
        <v>1</v>
      </c>
      <c r="B3" s="107" t="s">
        <v>115</v>
      </c>
      <c r="C3" s="108"/>
      <c r="D3" s="82" t="s">
        <v>75</v>
      </c>
      <c r="E3" s="109"/>
      <c r="F3" s="109"/>
      <c r="G3" s="110"/>
      <c r="H3" s="70">
        <v>64</v>
      </c>
      <c r="I3" s="71">
        <f>SUM(H3)+2.5</f>
        <v>66.5</v>
      </c>
      <c r="J3" s="71">
        <f>SUM(I3)+2.5</f>
        <v>69</v>
      </c>
      <c r="K3" s="72"/>
      <c r="L3" s="72"/>
      <c r="M3" s="73"/>
    </row>
    <row r="4" spans="1:13" s="2" customFormat="1" ht="14.1" customHeight="1" x14ac:dyDescent="0.3">
      <c r="A4" s="92"/>
      <c r="B4" s="93" t="s">
        <v>114</v>
      </c>
      <c r="C4" s="94"/>
      <c r="D4" s="83" t="s">
        <v>74</v>
      </c>
      <c r="E4" s="84"/>
      <c r="F4" s="84"/>
      <c r="G4" s="85"/>
      <c r="H4" s="53"/>
      <c r="I4" s="34"/>
      <c r="J4" s="34"/>
      <c r="K4" s="32"/>
      <c r="L4" s="32"/>
      <c r="M4" s="18"/>
    </row>
    <row r="5" spans="1:13" s="2" customFormat="1" ht="14.1" customHeight="1" x14ac:dyDescent="0.3">
      <c r="A5" s="90">
        <v>2</v>
      </c>
      <c r="B5" s="38" t="s">
        <v>113</v>
      </c>
      <c r="C5" s="39"/>
      <c r="D5" s="67"/>
      <c r="E5" s="68"/>
      <c r="F5" s="68"/>
      <c r="G5" s="69"/>
      <c r="H5" s="59">
        <v>22</v>
      </c>
      <c r="I5" s="35">
        <f>SUM(H5)+1.1</f>
        <v>23.1</v>
      </c>
      <c r="J5" s="35">
        <f>SUM(I5)+1.1</f>
        <v>24.200000000000003</v>
      </c>
      <c r="K5" s="23"/>
      <c r="L5" s="23"/>
      <c r="M5" s="25"/>
    </row>
    <row r="6" spans="1:13" s="2" customFormat="1" ht="14.1" customHeight="1" x14ac:dyDescent="0.3">
      <c r="A6" s="92"/>
      <c r="B6" s="93" t="s">
        <v>112</v>
      </c>
      <c r="C6" s="94"/>
      <c r="D6" s="83" t="s">
        <v>257</v>
      </c>
      <c r="E6" s="84"/>
      <c r="F6" s="84"/>
      <c r="G6" s="85"/>
      <c r="H6" s="43"/>
      <c r="I6" s="32"/>
      <c r="J6" s="32"/>
      <c r="K6" s="32"/>
      <c r="L6" s="32"/>
      <c r="M6" s="18"/>
    </row>
    <row r="7" spans="1:13" s="2" customFormat="1" ht="14.1" customHeight="1" x14ac:dyDescent="0.3">
      <c r="A7" s="90">
        <v>3</v>
      </c>
      <c r="B7" s="38" t="s">
        <v>73</v>
      </c>
      <c r="C7" s="39"/>
      <c r="D7" s="67"/>
      <c r="E7" s="68"/>
      <c r="F7" s="68"/>
      <c r="G7" s="69"/>
      <c r="H7" s="59">
        <v>42</v>
      </c>
      <c r="I7" s="35">
        <f>SUM(H7)+1.4</f>
        <v>43.4</v>
      </c>
      <c r="J7" s="35">
        <f>SUM(I7)+1.4</f>
        <v>44.8</v>
      </c>
      <c r="K7" s="23"/>
      <c r="L7" s="23"/>
      <c r="M7" s="25"/>
    </row>
    <row r="8" spans="1:13" s="2" customFormat="1" ht="14.1" customHeight="1" x14ac:dyDescent="0.3">
      <c r="A8" s="92"/>
      <c r="B8" s="93" t="s">
        <v>111</v>
      </c>
      <c r="C8" s="94"/>
      <c r="D8" s="83"/>
      <c r="E8" s="84"/>
      <c r="F8" s="84"/>
      <c r="G8" s="85"/>
      <c r="H8" s="43"/>
      <c r="I8" s="32"/>
      <c r="J8" s="32"/>
      <c r="K8" s="32"/>
      <c r="L8" s="32"/>
      <c r="M8" s="18"/>
    </row>
    <row r="9" spans="1:13" s="2" customFormat="1" ht="14.1" customHeight="1" x14ac:dyDescent="0.3">
      <c r="A9" s="90">
        <v>4</v>
      </c>
      <c r="B9" s="48" t="s">
        <v>110</v>
      </c>
      <c r="C9" s="49"/>
      <c r="D9" s="103"/>
      <c r="E9" s="104"/>
      <c r="F9" s="104"/>
      <c r="G9" s="105"/>
      <c r="H9" s="59"/>
      <c r="I9" s="35"/>
      <c r="J9" s="35"/>
      <c r="K9" s="23"/>
      <c r="L9" s="23"/>
      <c r="M9" s="25"/>
    </row>
    <row r="10" spans="1:13" s="2" customFormat="1" ht="14.1" customHeight="1" x14ac:dyDescent="0.3">
      <c r="A10" s="92"/>
      <c r="B10" s="93" t="s">
        <v>109</v>
      </c>
      <c r="C10" s="94"/>
      <c r="D10" s="100" t="s">
        <v>176</v>
      </c>
      <c r="E10" s="101"/>
      <c r="F10" s="101"/>
      <c r="G10" s="102"/>
      <c r="H10" s="43"/>
      <c r="I10" s="32"/>
      <c r="J10" s="32"/>
      <c r="K10" s="32"/>
      <c r="L10" s="32"/>
      <c r="M10" s="18"/>
    </row>
    <row r="11" spans="1:13" s="2" customFormat="1" ht="14.1" customHeight="1" x14ac:dyDescent="0.3">
      <c r="A11" s="90">
        <v>5</v>
      </c>
      <c r="B11" s="48" t="s">
        <v>85</v>
      </c>
      <c r="C11" s="49"/>
      <c r="D11" s="67"/>
      <c r="E11" s="68"/>
      <c r="F11" s="68"/>
      <c r="G11" s="69"/>
      <c r="H11" s="53">
        <v>88</v>
      </c>
      <c r="I11" s="34">
        <f>SUM(H11)+4.5</f>
        <v>92.5</v>
      </c>
      <c r="J11" s="34">
        <f>SUM(I11)+4.5</f>
        <v>97</v>
      </c>
      <c r="K11" s="23"/>
      <c r="L11" s="23"/>
      <c r="M11" s="25"/>
    </row>
    <row r="12" spans="1:13" s="2" customFormat="1" ht="14.1" customHeight="1" x14ac:dyDescent="0.3">
      <c r="A12" s="92"/>
      <c r="B12" s="93" t="s">
        <v>108</v>
      </c>
      <c r="C12" s="94"/>
      <c r="D12" s="83"/>
      <c r="E12" s="84"/>
      <c r="F12" s="84"/>
      <c r="G12" s="85"/>
      <c r="H12" s="53"/>
      <c r="I12" s="34"/>
      <c r="J12" s="34"/>
      <c r="K12" s="32"/>
      <c r="L12" s="32"/>
      <c r="M12" s="18"/>
    </row>
    <row r="13" spans="1:13" s="2" customFormat="1" ht="14.1" customHeight="1" x14ac:dyDescent="0.3">
      <c r="A13" s="90">
        <v>6</v>
      </c>
      <c r="B13" s="48" t="s">
        <v>177</v>
      </c>
      <c r="C13" s="49"/>
      <c r="D13" s="56" t="s">
        <v>72</v>
      </c>
      <c r="E13" s="57"/>
      <c r="F13" s="57"/>
      <c r="G13" s="58"/>
      <c r="H13" s="53">
        <v>37</v>
      </c>
      <c r="I13" s="34">
        <f>SUM(H13)+1.5</f>
        <v>38.5</v>
      </c>
      <c r="J13" s="34">
        <f>SUM(I13)+1.5</f>
        <v>40</v>
      </c>
      <c r="K13" s="35"/>
      <c r="L13" s="35"/>
      <c r="M13" s="17"/>
    </row>
    <row r="14" spans="1:13" s="2" customFormat="1" ht="14.1" customHeight="1" x14ac:dyDescent="0.3">
      <c r="A14" s="92"/>
      <c r="B14" s="93" t="s">
        <v>178</v>
      </c>
      <c r="C14" s="94"/>
      <c r="D14" s="83" t="s">
        <v>71</v>
      </c>
      <c r="E14" s="84"/>
      <c r="F14" s="84"/>
      <c r="G14" s="85"/>
      <c r="H14" s="53"/>
      <c r="I14" s="34"/>
      <c r="J14" s="34"/>
      <c r="K14" s="32"/>
      <c r="L14" s="32"/>
      <c r="M14" s="18"/>
    </row>
    <row r="15" spans="1:13" s="2" customFormat="1" ht="14.1" customHeight="1" x14ac:dyDescent="0.3">
      <c r="A15" s="90">
        <v>7</v>
      </c>
      <c r="B15" s="48"/>
      <c r="C15" s="49"/>
      <c r="D15" s="56"/>
      <c r="E15" s="57"/>
      <c r="F15" s="57"/>
      <c r="G15" s="58"/>
      <c r="H15" s="53"/>
      <c r="I15" s="34"/>
      <c r="J15" s="34"/>
      <c r="K15" s="35"/>
      <c r="L15" s="35"/>
      <c r="M15" s="17"/>
    </row>
    <row r="16" spans="1:13" s="2" customFormat="1" ht="14.1" customHeight="1" x14ac:dyDescent="0.3">
      <c r="A16" s="92"/>
      <c r="B16" s="93"/>
      <c r="C16" s="94"/>
      <c r="D16" s="83"/>
      <c r="E16" s="84"/>
      <c r="F16" s="84"/>
      <c r="G16" s="85"/>
      <c r="H16" s="53"/>
      <c r="I16" s="34"/>
      <c r="J16" s="34"/>
      <c r="K16" s="32"/>
      <c r="L16" s="32"/>
      <c r="M16" s="18"/>
    </row>
    <row r="17" spans="1:13" s="2" customFormat="1" ht="14.1" customHeight="1" x14ac:dyDescent="0.3">
      <c r="A17" s="90">
        <v>8</v>
      </c>
      <c r="B17" s="48"/>
      <c r="C17" s="49"/>
      <c r="D17" s="56"/>
      <c r="E17" s="57"/>
      <c r="F17" s="57"/>
      <c r="G17" s="58"/>
      <c r="H17" s="53"/>
      <c r="I17" s="34"/>
      <c r="J17" s="34"/>
      <c r="K17" s="35"/>
      <c r="L17" s="35"/>
      <c r="M17" s="17"/>
    </row>
    <row r="18" spans="1:13" s="2" customFormat="1" ht="14.1" customHeight="1" x14ac:dyDescent="0.3">
      <c r="A18" s="90"/>
      <c r="B18" s="38"/>
      <c r="C18" s="39"/>
      <c r="D18" s="67"/>
      <c r="E18" s="68"/>
      <c r="F18" s="68"/>
      <c r="G18" s="69"/>
      <c r="H18" s="53"/>
      <c r="I18" s="34"/>
      <c r="J18" s="34"/>
      <c r="K18" s="23"/>
      <c r="L18" s="23"/>
      <c r="M18" s="25"/>
    </row>
    <row r="19" spans="1:13" s="2" customFormat="1" ht="14.1" customHeight="1" x14ac:dyDescent="0.3">
      <c r="A19" s="112">
        <v>9</v>
      </c>
      <c r="B19" s="48"/>
      <c r="C19" s="49"/>
      <c r="D19" s="56"/>
      <c r="E19" s="57"/>
      <c r="F19" s="57"/>
      <c r="G19" s="58"/>
      <c r="H19" s="53"/>
      <c r="I19" s="34"/>
      <c r="J19" s="34"/>
      <c r="K19" s="35"/>
      <c r="L19" s="35"/>
      <c r="M19" s="17"/>
    </row>
    <row r="20" spans="1:13" s="2" customFormat="1" ht="14.1" customHeight="1" thickBot="1" x14ac:dyDescent="0.35">
      <c r="A20" s="91"/>
      <c r="B20" s="119"/>
      <c r="C20" s="120"/>
      <c r="D20" s="121"/>
      <c r="E20" s="122"/>
      <c r="F20" s="122"/>
      <c r="G20" s="123"/>
      <c r="H20" s="44"/>
      <c r="I20" s="33"/>
      <c r="J20" s="33"/>
      <c r="K20" s="24"/>
      <c r="L20" s="24"/>
      <c r="M20" s="26"/>
    </row>
    <row r="21" spans="1:13" s="2" customFormat="1" ht="14.1" customHeigh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</row>
    <row r="22" spans="1:13" s="2" customFormat="1" ht="14.1" customHeigh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</row>
    <row r="23" spans="1:13" s="2" customFormat="1" ht="14.1" customHeigh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3" s="2" customFormat="1" ht="14.1" customHeigh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 s="2" customFormat="1" ht="14.1" customHeigh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 s="2" customFormat="1" ht="14.1" customHeigh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 s="2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s="2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s="2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2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s="2" customFormat="1" ht="14.1" customHeigh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s="2" customFormat="1" ht="14.1" customHeigh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s="2" customFormat="1" ht="14.1" customHeigh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s="2" customFormat="1" ht="14.1" customHeigh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s="2" customFormat="1" ht="14.1" customHeigh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2" customFormat="1" ht="14.1" customHeigh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s="2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2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s="2" customFormat="1" ht="14.1" customHeigh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s="2" customFormat="1" ht="14.1" customHeigh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02"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8B96-3B54-427F-8C41-435D79762212}">
  <sheetPr>
    <tabColor rgb="FFFF0000"/>
  </sheetPr>
  <dimension ref="A1:M47"/>
  <sheetViews>
    <sheetView tabSelected="1" zoomScale="110" zoomScaleNormal="110" zoomScalePageLayoutView="110" workbookViewId="0">
      <selection activeCell="O19" sqref="O19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8" customWidth="1"/>
    <col min="8" max="13" width="5.5" customWidth="1"/>
  </cols>
  <sheetData>
    <row r="1" spans="1:13" ht="16.5" customHeight="1" thickBot="1" x14ac:dyDescent="0.35">
      <c r="A1" s="62" t="s">
        <v>232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66">
        <v>1</v>
      </c>
      <c r="B3" s="80" t="s">
        <v>64</v>
      </c>
      <c r="C3" s="80"/>
      <c r="D3" s="81" t="s">
        <v>63</v>
      </c>
      <c r="E3" s="81"/>
      <c r="F3" s="81"/>
      <c r="G3" s="82"/>
      <c r="H3" s="70">
        <v>48.6</v>
      </c>
      <c r="I3" s="71">
        <f>SUM(H3)+3</f>
        <v>51.6</v>
      </c>
      <c r="J3" s="71">
        <f>SUM(I3)+3</f>
        <v>54.6</v>
      </c>
      <c r="K3" s="72"/>
      <c r="L3" s="72"/>
      <c r="M3" s="73"/>
    </row>
    <row r="4" spans="1:13" s="2" customFormat="1" ht="14.1" customHeight="1" x14ac:dyDescent="0.3">
      <c r="A4" s="47"/>
      <c r="B4" s="19" t="s">
        <v>62</v>
      </c>
      <c r="C4" s="19"/>
      <c r="D4" s="20" t="s">
        <v>61</v>
      </c>
      <c r="E4" s="21"/>
      <c r="F4" s="21"/>
      <c r="G4" s="22"/>
      <c r="H4" s="53"/>
      <c r="I4" s="34"/>
      <c r="J4" s="34"/>
      <c r="K4" s="32"/>
      <c r="L4" s="32"/>
      <c r="M4" s="18"/>
    </row>
    <row r="5" spans="1:13" s="2" customFormat="1" ht="14.1" customHeight="1" x14ac:dyDescent="0.3">
      <c r="A5" s="47">
        <v>2</v>
      </c>
      <c r="B5" s="48" t="s">
        <v>21</v>
      </c>
      <c r="C5" s="49"/>
      <c r="D5" s="56" t="s">
        <v>22</v>
      </c>
      <c r="E5" s="57"/>
      <c r="F5" s="57"/>
      <c r="G5" s="58"/>
      <c r="H5" s="59">
        <v>33</v>
      </c>
      <c r="I5" s="35">
        <f>SUM(H5)+2.4</f>
        <v>35.4</v>
      </c>
      <c r="J5" s="35">
        <f>SUM(I5)+2.4</f>
        <v>37.799999999999997</v>
      </c>
      <c r="K5" s="34"/>
      <c r="L5" s="34"/>
      <c r="M5" s="54"/>
    </row>
    <row r="6" spans="1:13" s="2" customFormat="1" ht="14.1" customHeight="1" x14ac:dyDescent="0.3">
      <c r="A6" s="47"/>
      <c r="B6" s="45" t="s">
        <v>12</v>
      </c>
      <c r="C6" s="46"/>
      <c r="D6" s="20" t="s">
        <v>25</v>
      </c>
      <c r="E6" s="21"/>
      <c r="F6" s="21"/>
      <c r="G6" s="22"/>
      <c r="H6" s="43"/>
      <c r="I6" s="32"/>
      <c r="J6" s="32"/>
      <c r="K6" s="34"/>
      <c r="L6" s="34"/>
      <c r="M6" s="54"/>
    </row>
    <row r="7" spans="1:13" s="2" customFormat="1" ht="14.1" customHeight="1" x14ac:dyDescent="0.3">
      <c r="A7" s="47">
        <v>3</v>
      </c>
      <c r="B7" s="55" t="s">
        <v>20</v>
      </c>
      <c r="C7" s="55"/>
      <c r="D7" s="60" t="s">
        <v>11</v>
      </c>
      <c r="E7" s="60"/>
      <c r="F7" s="60"/>
      <c r="G7" s="60"/>
      <c r="H7" s="59">
        <v>41</v>
      </c>
      <c r="I7" s="35">
        <f>SUM(H7)+3</f>
        <v>44</v>
      </c>
      <c r="J7" s="35">
        <f>SUM(I7)+3</f>
        <v>47</v>
      </c>
      <c r="K7" s="34"/>
      <c r="L7" s="34"/>
      <c r="M7" s="54"/>
    </row>
    <row r="8" spans="1:13" s="2" customFormat="1" ht="14.1" customHeight="1" x14ac:dyDescent="0.3">
      <c r="A8" s="47"/>
      <c r="B8" s="19" t="s">
        <v>23</v>
      </c>
      <c r="C8" s="19"/>
      <c r="D8" s="20" t="s">
        <v>26</v>
      </c>
      <c r="E8" s="21"/>
      <c r="F8" s="21"/>
      <c r="G8" s="22"/>
      <c r="H8" s="43"/>
      <c r="I8" s="32"/>
      <c r="J8" s="32"/>
      <c r="K8" s="34"/>
      <c r="L8" s="34"/>
      <c r="M8" s="54"/>
    </row>
    <row r="9" spans="1:13" s="2" customFormat="1" ht="14.1" customHeight="1" x14ac:dyDescent="0.3">
      <c r="A9" s="47">
        <v>4</v>
      </c>
      <c r="B9" s="55" t="s">
        <v>24</v>
      </c>
      <c r="C9" s="55"/>
      <c r="D9" s="60" t="s">
        <v>9</v>
      </c>
      <c r="E9" s="60"/>
      <c r="F9" s="60"/>
      <c r="G9" s="60"/>
      <c r="H9" s="59">
        <v>41</v>
      </c>
      <c r="I9" s="35">
        <f>SUM(H9)+3</f>
        <v>44</v>
      </c>
      <c r="J9" s="35">
        <f>SUM(I9)+3</f>
        <v>47</v>
      </c>
      <c r="K9" s="34"/>
      <c r="L9" s="34"/>
      <c r="M9" s="54"/>
    </row>
    <row r="10" spans="1:13" s="2" customFormat="1" ht="14.1" customHeight="1" x14ac:dyDescent="0.3">
      <c r="A10" s="47"/>
      <c r="B10" s="19" t="s">
        <v>13</v>
      </c>
      <c r="C10" s="19"/>
      <c r="D10" s="20" t="s">
        <v>27</v>
      </c>
      <c r="E10" s="21"/>
      <c r="F10" s="21"/>
      <c r="G10" s="22"/>
      <c r="H10" s="43"/>
      <c r="I10" s="32"/>
      <c r="J10" s="32"/>
      <c r="K10" s="34"/>
      <c r="L10" s="34"/>
      <c r="M10" s="54"/>
    </row>
    <row r="11" spans="1:13" s="2" customFormat="1" ht="14.1" customHeight="1" x14ac:dyDescent="0.3">
      <c r="A11" s="47">
        <v>5</v>
      </c>
      <c r="B11" s="55" t="s">
        <v>10</v>
      </c>
      <c r="C11" s="55"/>
      <c r="D11" s="60" t="s">
        <v>0</v>
      </c>
      <c r="E11" s="60"/>
      <c r="F11" s="60"/>
      <c r="G11" s="60"/>
      <c r="H11" s="53">
        <v>16.899999999999999</v>
      </c>
      <c r="I11" s="34">
        <f>SUM(H11)+1</f>
        <v>17.899999999999999</v>
      </c>
      <c r="J11" s="34">
        <f>SUM(I11)+1</f>
        <v>18.899999999999999</v>
      </c>
      <c r="K11" s="34"/>
      <c r="L11" s="34"/>
      <c r="M11" s="54"/>
    </row>
    <row r="12" spans="1:13" s="2" customFormat="1" ht="14.1" customHeight="1" x14ac:dyDescent="0.3">
      <c r="A12" s="47"/>
      <c r="B12" s="19" t="s">
        <v>14</v>
      </c>
      <c r="C12" s="19"/>
      <c r="D12" s="20" t="s">
        <v>28</v>
      </c>
      <c r="E12" s="21"/>
      <c r="F12" s="21"/>
      <c r="G12" s="22"/>
      <c r="H12" s="53"/>
      <c r="I12" s="34"/>
      <c r="J12" s="34"/>
      <c r="K12" s="34"/>
      <c r="L12" s="34"/>
      <c r="M12" s="54"/>
    </row>
    <row r="13" spans="1:13" s="2" customFormat="1" ht="14.1" customHeight="1" x14ac:dyDescent="0.3">
      <c r="A13" s="47">
        <v>6</v>
      </c>
      <c r="B13" s="55" t="s">
        <v>1</v>
      </c>
      <c r="C13" s="55"/>
      <c r="D13" s="60" t="s">
        <v>132</v>
      </c>
      <c r="E13" s="60"/>
      <c r="F13" s="60"/>
      <c r="G13" s="60"/>
      <c r="H13" s="53">
        <v>14.8</v>
      </c>
      <c r="I13" s="34">
        <f>SUM(H13)+0.6</f>
        <v>15.4</v>
      </c>
      <c r="J13" s="34">
        <f>SUM(I13)+0.6</f>
        <v>16</v>
      </c>
      <c r="K13" s="34"/>
      <c r="L13" s="34"/>
      <c r="M13" s="54"/>
    </row>
    <row r="14" spans="1:13" s="2" customFormat="1" ht="14.1" customHeight="1" x14ac:dyDescent="0.3">
      <c r="A14" s="47"/>
      <c r="B14" s="19" t="s">
        <v>15</v>
      </c>
      <c r="C14" s="19"/>
      <c r="D14" s="20" t="s">
        <v>127</v>
      </c>
      <c r="E14" s="21"/>
      <c r="F14" s="21"/>
      <c r="G14" s="22"/>
      <c r="H14" s="53"/>
      <c r="I14" s="34"/>
      <c r="J14" s="34"/>
      <c r="K14" s="34"/>
      <c r="L14" s="34"/>
      <c r="M14" s="54"/>
    </row>
    <row r="15" spans="1:13" s="2" customFormat="1" ht="14.1" customHeight="1" x14ac:dyDescent="0.3">
      <c r="A15" s="47">
        <v>7</v>
      </c>
      <c r="B15" s="55" t="s">
        <v>3</v>
      </c>
      <c r="C15" s="55"/>
      <c r="D15" s="60" t="s">
        <v>4</v>
      </c>
      <c r="E15" s="60"/>
      <c r="F15" s="60"/>
      <c r="G15" s="60"/>
      <c r="H15" s="53">
        <v>6</v>
      </c>
      <c r="I15" s="34">
        <f>SUM(H15)+0.3</f>
        <v>6.3</v>
      </c>
      <c r="J15" s="34">
        <f>SUM(I15)+0.3</f>
        <v>6.6</v>
      </c>
      <c r="K15" s="34"/>
      <c r="L15" s="34"/>
      <c r="M15" s="54"/>
    </row>
    <row r="16" spans="1:13" s="2" customFormat="1" ht="14.1" customHeight="1" x14ac:dyDescent="0.3">
      <c r="A16" s="47"/>
      <c r="B16" s="19" t="s">
        <v>16</v>
      </c>
      <c r="C16" s="19"/>
      <c r="D16" s="20" t="s">
        <v>126</v>
      </c>
      <c r="E16" s="21"/>
      <c r="F16" s="21"/>
      <c r="G16" s="22"/>
      <c r="H16" s="53"/>
      <c r="I16" s="34"/>
      <c r="J16" s="34"/>
      <c r="K16" s="34"/>
      <c r="L16" s="34"/>
      <c r="M16" s="54"/>
    </row>
    <row r="17" spans="1:13" s="2" customFormat="1" ht="14.1" customHeight="1" x14ac:dyDescent="0.3">
      <c r="A17" s="47">
        <v>8</v>
      </c>
      <c r="B17" s="48" t="s">
        <v>56</v>
      </c>
      <c r="C17" s="49"/>
      <c r="D17" s="56" t="s">
        <v>58</v>
      </c>
      <c r="E17" s="57"/>
      <c r="F17" s="57"/>
      <c r="G17" s="58"/>
      <c r="H17" s="53">
        <v>41.2</v>
      </c>
      <c r="I17" s="34">
        <f>SUM(H17)+1.6</f>
        <v>42.800000000000004</v>
      </c>
      <c r="J17" s="34">
        <f>SUM(I17)+1.6</f>
        <v>44.400000000000006</v>
      </c>
      <c r="K17" s="34"/>
      <c r="L17" s="34"/>
      <c r="M17" s="54"/>
    </row>
    <row r="18" spans="1:13" s="2" customFormat="1" ht="14.1" customHeight="1" x14ac:dyDescent="0.3">
      <c r="A18" s="47"/>
      <c r="B18" s="19" t="s">
        <v>57</v>
      </c>
      <c r="C18" s="19"/>
      <c r="D18" s="20" t="s">
        <v>125</v>
      </c>
      <c r="E18" s="21"/>
      <c r="F18" s="21"/>
      <c r="G18" s="22"/>
      <c r="H18" s="53"/>
      <c r="I18" s="34"/>
      <c r="J18" s="34"/>
      <c r="K18" s="34"/>
      <c r="L18" s="34"/>
      <c r="M18" s="54"/>
    </row>
    <row r="19" spans="1:13" s="2" customFormat="1" ht="14.1" customHeight="1" x14ac:dyDescent="0.3">
      <c r="A19" s="47">
        <v>9</v>
      </c>
      <c r="B19" s="55" t="s">
        <v>5</v>
      </c>
      <c r="C19" s="55"/>
      <c r="D19" s="60" t="s">
        <v>6</v>
      </c>
      <c r="E19" s="60"/>
      <c r="F19" s="60"/>
      <c r="G19" s="60"/>
      <c r="H19" s="53">
        <v>53.5</v>
      </c>
      <c r="I19" s="34">
        <f>SUM(H19)+2.8</f>
        <v>56.3</v>
      </c>
      <c r="J19" s="34">
        <f>SUM(I19)+2.8</f>
        <v>59.099999999999994</v>
      </c>
      <c r="K19" s="34"/>
      <c r="L19" s="34"/>
      <c r="M19" s="54"/>
    </row>
    <row r="20" spans="1:13" s="2" customFormat="1" ht="14.1" customHeight="1" x14ac:dyDescent="0.3">
      <c r="A20" s="47"/>
      <c r="B20" s="19" t="s">
        <v>17</v>
      </c>
      <c r="C20" s="19"/>
      <c r="D20" s="20" t="s">
        <v>29</v>
      </c>
      <c r="E20" s="21"/>
      <c r="F20" s="21"/>
      <c r="G20" s="22"/>
      <c r="H20" s="53"/>
      <c r="I20" s="34"/>
      <c r="J20" s="34"/>
      <c r="K20" s="34"/>
      <c r="L20" s="34"/>
      <c r="M20" s="54"/>
    </row>
    <row r="21" spans="1:13" s="2" customFormat="1" ht="14.1" customHeight="1" x14ac:dyDescent="0.3">
      <c r="A21" s="47">
        <v>10</v>
      </c>
      <c r="B21" s="55" t="s">
        <v>7</v>
      </c>
      <c r="C21" s="55"/>
      <c r="D21" s="56" t="s">
        <v>8</v>
      </c>
      <c r="E21" s="57"/>
      <c r="F21" s="57"/>
      <c r="G21" s="58"/>
      <c r="H21" s="53">
        <v>29.4</v>
      </c>
      <c r="I21" s="34">
        <f>SUM(H21)+1.7</f>
        <v>31.099999999999998</v>
      </c>
      <c r="J21" s="34">
        <f>SUM(I21)+1.7</f>
        <v>32.799999999999997</v>
      </c>
      <c r="K21" s="34"/>
      <c r="L21" s="34"/>
      <c r="M21" s="54"/>
    </row>
    <row r="22" spans="1:13" s="2" customFormat="1" ht="14.1" customHeight="1" x14ac:dyDescent="0.3">
      <c r="A22" s="47"/>
      <c r="B22" s="19" t="s">
        <v>18</v>
      </c>
      <c r="C22" s="19"/>
      <c r="D22" s="20" t="s">
        <v>36</v>
      </c>
      <c r="E22" s="21"/>
      <c r="F22" s="21"/>
      <c r="G22" s="22"/>
      <c r="H22" s="53"/>
      <c r="I22" s="34"/>
      <c r="J22" s="34"/>
      <c r="K22" s="34"/>
      <c r="L22" s="34"/>
      <c r="M22" s="54"/>
    </row>
    <row r="23" spans="1:13" s="2" customFormat="1" ht="14.1" customHeight="1" x14ac:dyDescent="0.3">
      <c r="A23" s="47">
        <v>11</v>
      </c>
      <c r="B23" s="48" t="s">
        <v>59</v>
      </c>
      <c r="C23" s="49"/>
      <c r="D23" s="60" t="s">
        <v>37</v>
      </c>
      <c r="E23" s="60"/>
      <c r="F23" s="60"/>
      <c r="G23" s="60"/>
      <c r="H23" s="53">
        <v>20</v>
      </c>
      <c r="I23" s="34">
        <f>SUM(H23)+1</f>
        <v>21</v>
      </c>
      <c r="J23" s="34">
        <f>SUM(I23)+1</f>
        <v>22</v>
      </c>
      <c r="K23" s="34"/>
      <c r="L23" s="34"/>
      <c r="M23" s="54"/>
    </row>
    <row r="24" spans="1:13" s="2" customFormat="1" ht="14.1" customHeight="1" x14ac:dyDescent="0.3">
      <c r="A24" s="47"/>
      <c r="B24" s="19" t="s">
        <v>19</v>
      </c>
      <c r="C24" s="19"/>
      <c r="D24" s="20" t="s">
        <v>38</v>
      </c>
      <c r="E24" s="21"/>
      <c r="F24" s="21"/>
      <c r="G24" s="22"/>
      <c r="H24" s="53"/>
      <c r="I24" s="34"/>
      <c r="J24" s="34"/>
      <c r="K24" s="34"/>
      <c r="L24" s="34"/>
      <c r="M24" s="54"/>
    </row>
    <row r="25" spans="1:13" s="2" customFormat="1" ht="14.1" customHeight="1" x14ac:dyDescent="0.3">
      <c r="A25" s="47">
        <v>12</v>
      </c>
      <c r="B25" s="48"/>
      <c r="C25" s="49"/>
      <c r="D25" s="50"/>
      <c r="E25" s="51"/>
      <c r="F25" s="51"/>
      <c r="G25" s="52"/>
      <c r="H25" s="53"/>
      <c r="I25" s="34"/>
      <c r="J25" s="34"/>
      <c r="K25" s="35"/>
      <c r="L25" s="35"/>
      <c r="M25" s="17"/>
    </row>
    <row r="26" spans="1:13" s="2" customFormat="1" ht="14.1" customHeight="1" thickBot="1" x14ac:dyDescent="0.35">
      <c r="A26" s="47"/>
      <c r="B26" s="38"/>
      <c r="C26" s="39"/>
      <c r="D26" s="67"/>
      <c r="E26" s="68"/>
      <c r="F26" s="68"/>
      <c r="G26" s="69"/>
      <c r="H26" s="59"/>
      <c r="I26" s="35"/>
      <c r="J26" s="35"/>
      <c r="K26" s="23"/>
      <c r="L26" s="23"/>
      <c r="M26" s="25"/>
    </row>
    <row r="27" spans="1:13" s="2" customFormat="1" ht="14.1" customHeight="1" thickTop="1" x14ac:dyDescent="0.3">
      <c r="A27" s="124">
        <v>13</v>
      </c>
      <c r="B27" s="125" t="s">
        <v>228</v>
      </c>
      <c r="C27" s="126"/>
      <c r="D27" s="127"/>
      <c r="E27" s="128"/>
      <c r="F27" s="128"/>
      <c r="G27" s="129"/>
      <c r="H27" s="130">
        <v>28.6</v>
      </c>
      <c r="I27" s="131">
        <f>SUM(H27)+2</f>
        <v>30.6</v>
      </c>
      <c r="J27" s="131">
        <f>SUM(I27)+2</f>
        <v>32.6</v>
      </c>
      <c r="K27" s="132"/>
      <c r="L27" s="132"/>
      <c r="M27" s="133"/>
    </row>
    <row r="28" spans="1:13" s="2" customFormat="1" ht="14.1" customHeight="1" x14ac:dyDescent="0.3">
      <c r="A28" s="47"/>
      <c r="B28" s="45" t="s">
        <v>229</v>
      </c>
      <c r="C28" s="46"/>
      <c r="D28" s="20" t="s">
        <v>181</v>
      </c>
      <c r="E28" s="21"/>
      <c r="F28" s="21"/>
      <c r="G28" s="22"/>
      <c r="H28" s="53"/>
      <c r="I28" s="34"/>
      <c r="J28" s="34"/>
      <c r="K28" s="32"/>
      <c r="L28" s="32"/>
      <c r="M28" s="18"/>
    </row>
    <row r="29" spans="1:13" s="2" customFormat="1" ht="14.1" customHeight="1" x14ac:dyDescent="0.3">
      <c r="A29" s="36">
        <v>14</v>
      </c>
      <c r="B29" s="38" t="s">
        <v>230</v>
      </c>
      <c r="C29" s="39"/>
      <c r="D29" s="134" t="s">
        <v>11</v>
      </c>
      <c r="E29" s="134"/>
      <c r="F29" s="134"/>
      <c r="G29" s="134"/>
      <c r="H29" s="43">
        <v>38</v>
      </c>
      <c r="I29" s="32">
        <f>SUM(H29)+3</f>
        <v>41</v>
      </c>
      <c r="J29" s="32">
        <f>SUM(I29)+3</f>
        <v>44</v>
      </c>
      <c r="K29" s="23"/>
      <c r="L29" s="23"/>
      <c r="M29" s="25"/>
    </row>
    <row r="30" spans="1:13" s="2" customFormat="1" ht="14.1" customHeight="1" x14ac:dyDescent="0.3">
      <c r="A30" s="47"/>
      <c r="B30" s="38" t="s">
        <v>231</v>
      </c>
      <c r="C30" s="39"/>
      <c r="D30" s="20" t="s">
        <v>26</v>
      </c>
      <c r="E30" s="21"/>
      <c r="F30" s="21"/>
      <c r="G30" s="22"/>
      <c r="H30" s="53"/>
      <c r="I30" s="34"/>
      <c r="J30" s="34"/>
      <c r="K30" s="32"/>
      <c r="L30" s="32"/>
      <c r="M30" s="18"/>
    </row>
    <row r="31" spans="1:13" s="2" customFormat="1" ht="14.1" customHeight="1" x14ac:dyDescent="0.3">
      <c r="A31" s="47">
        <v>15</v>
      </c>
      <c r="B31" s="48" t="s">
        <v>131</v>
      </c>
      <c r="C31" s="49"/>
      <c r="D31" s="50"/>
      <c r="E31" s="51"/>
      <c r="F31" s="51"/>
      <c r="G31" s="52"/>
      <c r="H31" s="53">
        <v>6</v>
      </c>
      <c r="I31" s="34">
        <f>SUM(H31)+0.6</f>
        <v>6.6</v>
      </c>
      <c r="J31" s="34">
        <f>SUM(I31)+0.6</f>
        <v>7.1999999999999993</v>
      </c>
      <c r="K31" s="35"/>
      <c r="L31" s="35"/>
      <c r="M31" s="17"/>
    </row>
    <row r="32" spans="1:13" s="2" customFormat="1" ht="14.1" customHeight="1" x14ac:dyDescent="0.3">
      <c r="A32" s="47"/>
      <c r="B32" s="38" t="s">
        <v>130</v>
      </c>
      <c r="C32" s="39"/>
      <c r="D32" s="67" t="s">
        <v>169</v>
      </c>
      <c r="E32" s="68"/>
      <c r="F32" s="68"/>
      <c r="G32" s="69"/>
      <c r="H32" s="59"/>
      <c r="I32" s="35"/>
      <c r="J32" s="35"/>
      <c r="K32" s="23"/>
      <c r="L32" s="23"/>
      <c r="M32" s="25"/>
    </row>
    <row r="33" spans="1:13" s="2" customFormat="1" ht="14.1" customHeight="1" x14ac:dyDescent="0.3">
      <c r="A33" s="47">
        <v>16</v>
      </c>
      <c r="B33" s="48" t="s">
        <v>170</v>
      </c>
      <c r="C33" s="49"/>
      <c r="D33" s="60"/>
      <c r="E33" s="60"/>
      <c r="F33" s="60"/>
      <c r="G33" s="60"/>
      <c r="H33" s="53">
        <v>0.2</v>
      </c>
      <c r="I33" s="34">
        <f>SUM(H33)+0.1</f>
        <v>0.30000000000000004</v>
      </c>
      <c r="J33" s="34">
        <f>SUM(I33)+0.1</f>
        <v>0.4</v>
      </c>
      <c r="K33" s="34"/>
      <c r="L33" s="34"/>
      <c r="M33" s="88"/>
    </row>
    <row r="34" spans="1:13" s="2" customFormat="1" ht="14.1" customHeight="1" thickBot="1" x14ac:dyDescent="0.35">
      <c r="A34" s="37"/>
      <c r="B34" s="27" t="s">
        <v>171</v>
      </c>
      <c r="C34" s="28"/>
      <c r="D34" s="29" t="s">
        <v>233</v>
      </c>
      <c r="E34" s="30"/>
      <c r="F34" s="30"/>
      <c r="G34" s="30"/>
      <c r="H34" s="44"/>
      <c r="I34" s="33"/>
      <c r="J34" s="33"/>
      <c r="K34" s="33"/>
      <c r="L34" s="33"/>
      <c r="M34" s="89"/>
    </row>
    <row r="35" spans="1:13" s="2" customFormat="1" ht="14.1" customHeight="1" x14ac:dyDescent="0.3">
      <c r="A35"/>
      <c r="B35" s="1"/>
      <c r="C35" s="1"/>
      <c r="D35" s="1"/>
      <c r="E35" s="1"/>
      <c r="F35" s="1"/>
      <c r="G35" s="1"/>
      <c r="H35"/>
      <c r="I35"/>
      <c r="J35"/>
      <c r="K35"/>
      <c r="L35"/>
      <c r="M35"/>
    </row>
    <row r="36" spans="1:13" s="2" customFormat="1" ht="14.1" customHeight="1" x14ac:dyDescent="0.3">
      <c r="A36"/>
      <c r="B36" s="1"/>
      <c r="C36" s="1"/>
      <c r="D36" s="1"/>
      <c r="E36" s="1"/>
      <c r="F36" s="1"/>
      <c r="G36" s="1"/>
      <c r="H36"/>
      <c r="I36"/>
      <c r="J36"/>
      <c r="K36"/>
      <c r="L36"/>
      <c r="M36"/>
    </row>
    <row r="37" spans="1:13" ht="14.1" customHeight="1" x14ac:dyDescent="0.3">
      <c r="B37" s="1"/>
      <c r="C37" s="1"/>
      <c r="D37" s="1"/>
      <c r="E37" s="1"/>
      <c r="F37" s="1"/>
      <c r="G37" s="1"/>
    </row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</sheetData>
  <mergeCells count="179">
    <mergeCell ref="J31:J32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5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D311-B4BF-4521-A2E5-A271C7AFB7C9}">
  <sheetPr>
    <tabColor rgb="FFFF0000"/>
    <pageSetUpPr fitToPage="1"/>
  </sheetPr>
  <dimension ref="A1:M58"/>
  <sheetViews>
    <sheetView topLeftCell="A13" zoomScale="110" zoomScaleNormal="110" zoomScalePageLayoutView="30" workbookViewId="0">
      <selection activeCell="O31" sqref="O3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2" t="s">
        <v>260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3.5" customHeight="1" x14ac:dyDescent="0.3">
      <c r="A3" s="66">
        <v>1</v>
      </c>
      <c r="B3" s="80" t="s">
        <v>64</v>
      </c>
      <c r="C3" s="80"/>
      <c r="D3" s="81" t="s">
        <v>63</v>
      </c>
      <c r="E3" s="81"/>
      <c r="F3" s="81"/>
      <c r="G3" s="82"/>
      <c r="H3" s="70">
        <v>60</v>
      </c>
      <c r="I3" s="71">
        <f>SUM(H3)+3</f>
        <v>63</v>
      </c>
      <c r="J3" s="71">
        <f>SUM(I3)+3</f>
        <v>66</v>
      </c>
      <c r="K3" s="71"/>
      <c r="L3" s="72"/>
      <c r="M3" s="73"/>
    </row>
    <row r="4" spans="1:13" s="2" customFormat="1" ht="13.5" customHeight="1" x14ac:dyDescent="0.3">
      <c r="A4" s="47"/>
      <c r="B4" s="79" t="s">
        <v>62</v>
      </c>
      <c r="C4" s="79"/>
      <c r="D4" s="67" t="s">
        <v>61</v>
      </c>
      <c r="E4" s="68"/>
      <c r="F4" s="68"/>
      <c r="G4" s="68"/>
      <c r="H4" s="53"/>
      <c r="I4" s="34"/>
      <c r="J4" s="34"/>
      <c r="K4" s="35"/>
      <c r="L4" s="32"/>
      <c r="M4" s="18"/>
    </row>
    <row r="5" spans="1:13" s="2" customFormat="1" ht="13.5" customHeight="1" x14ac:dyDescent="0.3">
      <c r="A5" s="47">
        <v>2</v>
      </c>
      <c r="B5" s="135" t="s">
        <v>148</v>
      </c>
      <c r="C5" s="136"/>
      <c r="D5" s="56" t="s">
        <v>149</v>
      </c>
      <c r="E5" s="57"/>
      <c r="F5" s="57"/>
      <c r="G5" s="58"/>
      <c r="H5" s="59">
        <v>74</v>
      </c>
      <c r="I5" s="35">
        <f>SUM(H5)+4</f>
        <v>78</v>
      </c>
      <c r="J5" s="35">
        <f>SUM(I5)+4</f>
        <v>82</v>
      </c>
      <c r="K5" s="34"/>
      <c r="L5" s="34"/>
      <c r="M5" s="54"/>
    </row>
    <row r="6" spans="1:13" s="2" customFormat="1" ht="13.5" customHeight="1" x14ac:dyDescent="0.3">
      <c r="A6" s="47"/>
      <c r="B6" s="45" t="s">
        <v>150</v>
      </c>
      <c r="C6" s="46"/>
      <c r="D6" s="20" t="s">
        <v>151</v>
      </c>
      <c r="E6" s="21"/>
      <c r="F6" s="21"/>
      <c r="G6" s="22"/>
      <c r="H6" s="43"/>
      <c r="I6" s="32"/>
      <c r="J6" s="32"/>
      <c r="K6" s="34"/>
      <c r="L6" s="34"/>
      <c r="M6" s="54"/>
    </row>
    <row r="7" spans="1:13" s="2" customFormat="1" ht="13.5" customHeight="1" x14ac:dyDescent="0.3">
      <c r="A7" s="47">
        <v>3</v>
      </c>
      <c r="B7" s="55" t="s">
        <v>20</v>
      </c>
      <c r="C7" s="55"/>
      <c r="D7" s="60" t="s">
        <v>11</v>
      </c>
      <c r="E7" s="60"/>
      <c r="F7" s="60"/>
      <c r="G7" s="60"/>
      <c r="H7" s="59">
        <v>53</v>
      </c>
      <c r="I7" s="35">
        <f>SUM(H7)+4</f>
        <v>57</v>
      </c>
      <c r="J7" s="35">
        <f>SUM(I7)+4</f>
        <v>61</v>
      </c>
      <c r="K7" s="34"/>
      <c r="L7" s="61"/>
      <c r="M7" s="54"/>
    </row>
    <row r="8" spans="1:13" s="2" customFormat="1" ht="13.5" customHeight="1" x14ac:dyDescent="0.3">
      <c r="A8" s="47"/>
      <c r="B8" s="19" t="s">
        <v>23</v>
      </c>
      <c r="C8" s="19"/>
      <c r="D8" s="20" t="s">
        <v>26</v>
      </c>
      <c r="E8" s="21"/>
      <c r="F8" s="21"/>
      <c r="G8" s="22"/>
      <c r="H8" s="43"/>
      <c r="I8" s="32"/>
      <c r="J8" s="32"/>
      <c r="K8" s="34"/>
      <c r="L8" s="61"/>
      <c r="M8" s="54"/>
    </row>
    <row r="9" spans="1:13" s="2" customFormat="1" ht="13.5" customHeight="1" x14ac:dyDescent="0.3">
      <c r="A9" s="47">
        <v>4</v>
      </c>
      <c r="B9" s="55" t="s">
        <v>24</v>
      </c>
      <c r="C9" s="55"/>
      <c r="D9" s="60" t="s">
        <v>9</v>
      </c>
      <c r="E9" s="60"/>
      <c r="F9" s="60"/>
      <c r="G9" s="60"/>
      <c r="H9" s="59">
        <v>40</v>
      </c>
      <c r="I9" s="35">
        <f>SUM(H9)+3</f>
        <v>43</v>
      </c>
      <c r="J9" s="35">
        <f>SUM(I9)+3</f>
        <v>46</v>
      </c>
      <c r="K9" s="34"/>
      <c r="L9" s="34"/>
      <c r="M9" s="54"/>
    </row>
    <row r="10" spans="1:13" s="2" customFormat="1" ht="13.5" customHeight="1" x14ac:dyDescent="0.3">
      <c r="A10" s="47"/>
      <c r="B10" s="19" t="s">
        <v>13</v>
      </c>
      <c r="C10" s="19"/>
      <c r="D10" s="20" t="s">
        <v>27</v>
      </c>
      <c r="E10" s="21"/>
      <c r="F10" s="21"/>
      <c r="G10" s="22"/>
      <c r="H10" s="43"/>
      <c r="I10" s="32"/>
      <c r="J10" s="32"/>
      <c r="K10" s="34"/>
      <c r="L10" s="34"/>
      <c r="M10" s="54"/>
    </row>
    <row r="11" spans="1:13" s="2" customFormat="1" ht="13.5" customHeight="1" x14ac:dyDescent="0.3">
      <c r="A11" s="47">
        <v>5</v>
      </c>
      <c r="B11" s="55" t="s">
        <v>10</v>
      </c>
      <c r="C11" s="55"/>
      <c r="D11" s="60" t="s">
        <v>0</v>
      </c>
      <c r="E11" s="60"/>
      <c r="F11" s="60"/>
      <c r="G11" s="60"/>
      <c r="H11" s="53"/>
      <c r="I11" s="34"/>
      <c r="J11" s="34"/>
      <c r="K11" s="34"/>
      <c r="L11" s="34"/>
      <c r="M11" s="54"/>
    </row>
    <row r="12" spans="1:13" s="2" customFormat="1" ht="13.5" customHeight="1" x14ac:dyDescent="0.3">
      <c r="A12" s="47"/>
      <c r="B12" s="19" t="s">
        <v>14</v>
      </c>
      <c r="C12" s="19"/>
      <c r="D12" s="20" t="s">
        <v>28</v>
      </c>
      <c r="E12" s="21"/>
      <c r="F12" s="21"/>
      <c r="G12" s="22"/>
      <c r="H12" s="53"/>
      <c r="I12" s="34"/>
      <c r="J12" s="34"/>
      <c r="K12" s="34"/>
      <c r="L12" s="34"/>
      <c r="M12" s="54"/>
    </row>
    <row r="13" spans="1:13" s="2" customFormat="1" ht="13.5" customHeight="1" x14ac:dyDescent="0.3">
      <c r="A13" s="47">
        <v>6</v>
      </c>
      <c r="B13" s="55" t="s">
        <v>1</v>
      </c>
      <c r="C13" s="55"/>
      <c r="D13" s="60" t="s">
        <v>132</v>
      </c>
      <c r="E13" s="60"/>
      <c r="F13" s="60"/>
      <c r="G13" s="60"/>
      <c r="H13" s="53">
        <v>21</v>
      </c>
      <c r="I13" s="34">
        <f>SUM(H13)+0.6</f>
        <v>21.6</v>
      </c>
      <c r="J13" s="34">
        <f>SUM(I13)+0.6</f>
        <v>22.200000000000003</v>
      </c>
      <c r="K13" s="34"/>
      <c r="L13" s="34"/>
      <c r="M13" s="54"/>
    </row>
    <row r="14" spans="1:13" s="2" customFormat="1" ht="13.5" customHeight="1" x14ac:dyDescent="0.3">
      <c r="A14" s="47"/>
      <c r="B14" s="19" t="s">
        <v>15</v>
      </c>
      <c r="C14" s="19"/>
      <c r="D14" s="20" t="s">
        <v>258</v>
      </c>
      <c r="E14" s="21"/>
      <c r="F14" s="21"/>
      <c r="G14" s="22"/>
      <c r="H14" s="53"/>
      <c r="I14" s="34"/>
      <c r="J14" s="34"/>
      <c r="K14" s="34"/>
      <c r="L14" s="34"/>
      <c r="M14" s="54"/>
    </row>
    <row r="15" spans="1:13" s="2" customFormat="1" ht="13.5" customHeight="1" x14ac:dyDescent="0.3">
      <c r="A15" s="47">
        <v>7</v>
      </c>
      <c r="B15" s="55" t="s">
        <v>3</v>
      </c>
      <c r="C15" s="55"/>
      <c r="D15" s="60" t="s">
        <v>4</v>
      </c>
      <c r="E15" s="60"/>
      <c r="F15" s="60"/>
      <c r="G15" s="60"/>
      <c r="H15" s="53">
        <v>8.8000000000000007</v>
      </c>
      <c r="I15" s="34">
        <f>SUM(H15)+0.3</f>
        <v>9.1000000000000014</v>
      </c>
      <c r="J15" s="34">
        <f>SUM(I15)+0.3</f>
        <v>9.4000000000000021</v>
      </c>
      <c r="K15" s="34"/>
      <c r="L15" s="34"/>
      <c r="M15" s="54"/>
    </row>
    <row r="16" spans="1:13" s="2" customFormat="1" ht="13.5" customHeight="1" x14ac:dyDescent="0.3">
      <c r="A16" s="47"/>
      <c r="B16" s="19" t="s">
        <v>16</v>
      </c>
      <c r="C16" s="19"/>
      <c r="D16" s="20" t="s">
        <v>259</v>
      </c>
      <c r="E16" s="21"/>
      <c r="F16" s="21"/>
      <c r="G16" s="22"/>
      <c r="H16" s="53"/>
      <c r="I16" s="34"/>
      <c r="J16" s="34"/>
      <c r="K16" s="34"/>
      <c r="L16" s="34"/>
      <c r="M16" s="54"/>
    </row>
    <row r="17" spans="1:13" s="2" customFormat="1" ht="13.5" customHeight="1" x14ac:dyDescent="0.3">
      <c r="A17" s="47">
        <v>8</v>
      </c>
      <c r="B17" s="48" t="s">
        <v>56</v>
      </c>
      <c r="C17" s="49"/>
      <c r="D17" s="56" t="s">
        <v>58</v>
      </c>
      <c r="E17" s="57"/>
      <c r="F17" s="57"/>
      <c r="G17" s="58"/>
      <c r="H17" s="53">
        <v>53.2</v>
      </c>
      <c r="I17" s="34">
        <f>SUM(H17)+1.6</f>
        <v>54.800000000000004</v>
      </c>
      <c r="J17" s="34">
        <f>SUM(I17)+1.6</f>
        <v>56.400000000000006</v>
      </c>
      <c r="K17" s="34"/>
      <c r="L17" s="34"/>
      <c r="M17" s="54"/>
    </row>
    <row r="18" spans="1:13" s="2" customFormat="1" ht="13.5" customHeight="1" x14ac:dyDescent="0.3">
      <c r="A18" s="47"/>
      <c r="B18" s="19" t="s">
        <v>57</v>
      </c>
      <c r="C18" s="19"/>
      <c r="D18" s="20" t="s">
        <v>239</v>
      </c>
      <c r="E18" s="21"/>
      <c r="F18" s="21"/>
      <c r="G18" s="22"/>
      <c r="H18" s="53"/>
      <c r="I18" s="34"/>
      <c r="J18" s="34"/>
      <c r="K18" s="34"/>
      <c r="L18" s="34"/>
      <c r="M18" s="54"/>
    </row>
    <row r="19" spans="1:13" s="2" customFormat="1" ht="13.5" customHeight="1" x14ac:dyDescent="0.3">
      <c r="A19" s="47">
        <v>9</v>
      </c>
      <c r="B19" s="55" t="s">
        <v>5</v>
      </c>
      <c r="C19" s="55"/>
      <c r="D19" s="60" t="s">
        <v>6</v>
      </c>
      <c r="E19" s="60"/>
      <c r="F19" s="60"/>
      <c r="G19" s="60"/>
      <c r="H19" s="53"/>
      <c r="I19" s="34"/>
      <c r="J19" s="34"/>
      <c r="K19" s="34"/>
      <c r="L19" s="34"/>
      <c r="M19" s="54"/>
    </row>
    <row r="20" spans="1:13" s="2" customFormat="1" ht="13.5" customHeight="1" x14ac:dyDescent="0.3">
      <c r="A20" s="47"/>
      <c r="B20" s="19" t="s">
        <v>17</v>
      </c>
      <c r="C20" s="19"/>
      <c r="D20" s="20" t="s">
        <v>29</v>
      </c>
      <c r="E20" s="21"/>
      <c r="F20" s="21"/>
      <c r="G20" s="22"/>
      <c r="H20" s="53"/>
      <c r="I20" s="34"/>
      <c r="J20" s="34"/>
      <c r="K20" s="34"/>
      <c r="L20" s="34"/>
      <c r="M20" s="54"/>
    </row>
    <row r="21" spans="1:13" s="2" customFormat="1" ht="13.5" customHeight="1" x14ac:dyDescent="0.3">
      <c r="A21" s="47">
        <v>10</v>
      </c>
      <c r="B21" s="55" t="s">
        <v>7</v>
      </c>
      <c r="C21" s="55"/>
      <c r="D21" s="56" t="s">
        <v>8</v>
      </c>
      <c r="E21" s="57"/>
      <c r="F21" s="57"/>
      <c r="G21" s="58"/>
      <c r="H21" s="53">
        <v>41</v>
      </c>
      <c r="I21" s="34">
        <f>SUM(H21)+2</f>
        <v>43</v>
      </c>
      <c r="J21" s="34">
        <f>SUM(I21)+2</f>
        <v>45</v>
      </c>
      <c r="K21" s="34"/>
      <c r="L21" s="34"/>
      <c r="M21" s="54"/>
    </row>
    <row r="22" spans="1:13" s="2" customFormat="1" ht="13.5" customHeight="1" x14ac:dyDescent="0.3">
      <c r="A22" s="47"/>
      <c r="B22" s="19" t="s">
        <v>18</v>
      </c>
      <c r="C22" s="19"/>
      <c r="D22" s="20" t="s">
        <v>36</v>
      </c>
      <c r="E22" s="21"/>
      <c r="F22" s="21"/>
      <c r="G22" s="22"/>
      <c r="H22" s="53"/>
      <c r="I22" s="34"/>
      <c r="J22" s="34"/>
      <c r="K22" s="34"/>
      <c r="L22" s="34"/>
      <c r="M22" s="54"/>
    </row>
    <row r="23" spans="1:13" s="2" customFormat="1" ht="13.5" customHeight="1" x14ac:dyDescent="0.3">
      <c r="A23" s="47">
        <v>11</v>
      </c>
      <c r="B23" s="48" t="s">
        <v>59</v>
      </c>
      <c r="C23" s="49"/>
      <c r="D23" s="60" t="s">
        <v>37</v>
      </c>
      <c r="E23" s="60"/>
      <c r="F23" s="60"/>
      <c r="G23" s="60"/>
      <c r="H23" s="53">
        <v>17</v>
      </c>
      <c r="I23" s="34">
        <f>SUM(H23)+0.8</f>
        <v>17.8</v>
      </c>
      <c r="J23" s="34">
        <f>SUM(I23)+0.8</f>
        <v>18.600000000000001</v>
      </c>
      <c r="K23" s="34"/>
      <c r="L23" s="34"/>
      <c r="M23" s="54"/>
    </row>
    <row r="24" spans="1:13" s="2" customFormat="1" ht="13.5" customHeight="1" x14ac:dyDescent="0.3">
      <c r="A24" s="47"/>
      <c r="B24" s="19" t="s">
        <v>19</v>
      </c>
      <c r="C24" s="19"/>
      <c r="D24" s="20" t="s">
        <v>38</v>
      </c>
      <c r="E24" s="21"/>
      <c r="F24" s="21"/>
      <c r="G24" s="22"/>
      <c r="H24" s="53"/>
      <c r="I24" s="34"/>
      <c r="J24" s="34"/>
      <c r="K24" s="34"/>
      <c r="L24" s="34"/>
      <c r="M24" s="54"/>
    </row>
    <row r="25" spans="1:13" ht="13.5" customHeight="1" x14ac:dyDescent="0.3">
      <c r="A25" s="47">
        <v>12</v>
      </c>
      <c r="B25" s="48" t="s">
        <v>136</v>
      </c>
      <c r="C25" s="49"/>
      <c r="D25" s="60"/>
      <c r="E25" s="60"/>
      <c r="F25" s="60"/>
      <c r="G25" s="60"/>
      <c r="H25" s="59">
        <v>32</v>
      </c>
      <c r="I25" s="35">
        <f>SUM(H25)+2.6</f>
        <v>34.6</v>
      </c>
      <c r="J25" s="35">
        <f>SUM(I25)+2.6</f>
        <v>37.200000000000003</v>
      </c>
      <c r="K25" s="35"/>
      <c r="L25" s="35"/>
      <c r="M25" s="17"/>
    </row>
    <row r="26" spans="1:13" ht="13.5" customHeight="1" x14ac:dyDescent="0.3">
      <c r="A26" s="47"/>
      <c r="B26" s="45" t="s">
        <v>135</v>
      </c>
      <c r="C26" s="46"/>
      <c r="D26" s="20" t="s">
        <v>153</v>
      </c>
      <c r="E26" s="21"/>
      <c r="F26" s="21"/>
      <c r="G26" s="22"/>
      <c r="H26" s="43"/>
      <c r="I26" s="32"/>
      <c r="J26" s="32"/>
      <c r="K26" s="32"/>
      <c r="L26" s="32"/>
      <c r="M26" s="18"/>
    </row>
    <row r="27" spans="1:13" ht="13.5" customHeight="1" x14ac:dyDescent="0.3">
      <c r="A27" s="47">
        <v>13</v>
      </c>
      <c r="B27" s="48" t="s">
        <v>134</v>
      </c>
      <c r="C27" s="49"/>
      <c r="D27" s="60"/>
      <c r="E27" s="60"/>
      <c r="F27" s="60"/>
      <c r="G27" s="60"/>
      <c r="H27" s="59">
        <v>19</v>
      </c>
      <c r="I27" s="35">
        <f>SUM(H27)+1.5</f>
        <v>20.5</v>
      </c>
      <c r="J27" s="35">
        <f>SUM(I27)+1.5</f>
        <v>22</v>
      </c>
      <c r="K27" s="35"/>
      <c r="L27" s="35"/>
      <c r="M27" s="17"/>
    </row>
    <row r="28" spans="1:13" ht="13.5" customHeight="1" x14ac:dyDescent="0.3">
      <c r="A28" s="47"/>
      <c r="B28" s="19" t="s">
        <v>133</v>
      </c>
      <c r="C28" s="19"/>
      <c r="D28" s="20"/>
      <c r="E28" s="21"/>
      <c r="F28" s="21"/>
      <c r="G28" s="22"/>
      <c r="H28" s="43"/>
      <c r="I28" s="32"/>
      <c r="J28" s="32"/>
      <c r="K28" s="32"/>
      <c r="L28" s="32"/>
      <c r="M28" s="18"/>
    </row>
    <row r="29" spans="1:13" s="2" customFormat="1" ht="13.5" customHeight="1" x14ac:dyDescent="0.3">
      <c r="A29" s="47">
        <v>14</v>
      </c>
      <c r="B29" s="55" t="s">
        <v>144</v>
      </c>
      <c r="C29" s="55"/>
      <c r="D29" s="56" t="s">
        <v>143</v>
      </c>
      <c r="E29" s="57"/>
      <c r="F29" s="57"/>
      <c r="G29" s="58"/>
      <c r="H29" s="59">
        <v>38.5</v>
      </c>
      <c r="I29" s="35">
        <f>SUM(H29)+1</f>
        <v>39.5</v>
      </c>
      <c r="J29" s="35">
        <f>SUM(I29)+1</f>
        <v>40.5</v>
      </c>
      <c r="K29" s="35"/>
      <c r="L29" s="34"/>
      <c r="M29" s="54"/>
    </row>
    <row r="30" spans="1:13" s="2" customFormat="1" ht="13.5" customHeight="1" x14ac:dyDescent="0.3">
      <c r="A30" s="47"/>
      <c r="B30" s="19" t="s">
        <v>142</v>
      </c>
      <c r="C30" s="19"/>
      <c r="D30" s="20" t="s">
        <v>141</v>
      </c>
      <c r="E30" s="21"/>
      <c r="F30" s="21"/>
      <c r="G30" s="22"/>
      <c r="H30" s="43"/>
      <c r="I30" s="32"/>
      <c r="J30" s="32"/>
      <c r="K30" s="32"/>
      <c r="L30" s="34"/>
      <c r="M30" s="54"/>
    </row>
    <row r="31" spans="1:13" s="2" customFormat="1" ht="13.5" customHeight="1" x14ac:dyDescent="0.3">
      <c r="A31" s="47">
        <v>15</v>
      </c>
      <c r="B31" s="55" t="s">
        <v>140</v>
      </c>
      <c r="C31" s="55"/>
      <c r="D31" s="56" t="s">
        <v>139</v>
      </c>
      <c r="E31" s="57"/>
      <c r="F31" s="57"/>
      <c r="G31" s="58"/>
      <c r="H31" s="59">
        <v>27.6</v>
      </c>
      <c r="I31" s="35">
        <f>SUM(H31)+0.8</f>
        <v>28.400000000000002</v>
      </c>
      <c r="J31" s="35">
        <f>SUM(I31)+0.8</f>
        <v>29.200000000000003</v>
      </c>
      <c r="K31" s="35"/>
      <c r="L31" s="35"/>
      <c r="M31" s="17"/>
    </row>
    <row r="32" spans="1:13" s="2" customFormat="1" ht="13.5" customHeight="1" x14ac:dyDescent="0.3">
      <c r="A32" s="47"/>
      <c r="B32" s="19" t="s">
        <v>138</v>
      </c>
      <c r="C32" s="19"/>
      <c r="D32" s="20" t="s">
        <v>137</v>
      </c>
      <c r="E32" s="21"/>
      <c r="F32" s="21"/>
      <c r="G32" s="22"/>
      <c r="H32" s="43"/>
      <c r="I32" s="32"/>
      <c r="J32" s="32"/>
      <c r="K32" s="32"/>
      <c r="L32" s="32"/>
      <c r="M32" s="18"/>
    </row>
    <row r="33" spans="1:13" s="2" customFormat="1" ht="13.5" customHeight="1" x14ac:dyDescent="0.3">
      <c r="A33" s="47">
        <v>16</v>
      </c>
      <c r="B33" s="48" t="s">
        <v>131</v>
      </c>
      <c r="C33" s="49"/>
      <c r="D33" s="50"/>
      <c r="E33" s="51"/>
      <c r="F33" s="51"/>
      <c r="G33" s="52"/>
      <c r="H33" s="53">
        <v>5</v>
      </c>
      <c r="I33" s="34">
        <f>SUM(H33)+0.2</f>
        <v>5.2</v>
      </c>
      <c r="J33" s="34">
        <f>SUM(I33)+0.2</f>
        <v>5.4</v>
      </c>
      <c r="K33" s="34"/>
      <c r="L33" s="35"/>
      <c r="M33" s="17"/>
    </row>
    <row r="34" spans="1:13" s="2" customFormat="1" ht="13.5" customHeight="1" x14ac:dyDescent="0.3">
      <c r="A34" s="47"/>
      <c r="B34" s="38" t="s">
        <v>130</v>
      </c>
      <c r="C34" s="39"/>
      <c r="D34" s="67" t="s">
        <v>261</v>
      </c>
      <c r="E34" s="68"/>
      <c r="F34" s="68"/>
      <c r="G34" s="69"/>
      <c r="H34" s="53"/>
      <c r="I34" s="34"/>
      <c r="J34" s="34"/>
      <c r="K34" s="34"/>
      <c r="L34" s="32"/>
      <c r="M34" s="18"/>
    </row>
    <row r="35" spans="1:13" s="2" customFormat="1" ht="13.5" customHeight="1" x14ac:dyDescent="0.3">
      <c r="A35" s="47">
        <v>17</v>
      </c>
      <c r="B35" s="48" t="s">
        <v>218</v>
      </c>
      <c r="C35" s="49"/>
      <c r="D35" s="60"/>
      <c r="E35" s="60"/>
      <c r="F35" s="60"/>
      <c r="G35" s="60"/>
      <c r="H35" s="59">
        <v>11</v>
      </c>
      <c r="I35" s="35">
        <f>SUM(H35)+0.6</f>
        <v>11.6</v>
      </c>
      <c r="J35" s="35">
        <f>SUM(I35)+0.6</f>
        <v>12.2</v>
      </c>
      <c r="K35" s="34"/>
      <c r="L35" s="35"/>
      <c r="M35" s="17"/>
    </row>
    <row r="36" spans="1:13" s="2" customFormat="1" ht="13.5" customHeight="1" x14ac:dyDescent="0.3">
      <c r="A36" s="75"/>
      <c r="B36" s="45" t="s">
        <v>263</v>
      </c>
      <c r="C36" s="46"/>
      <c r="D36" s="87" t="s">
        <v>262</v>
      </c>
      <c r="E36" s="21"/>
      <c r="F36" s="21"/>
      <c r="G36" s="22"/>
      <c r="H36" s="43"/>
      <c r="I36" s="32"/>
      <c r="J36" s="32"/>
      <c r="K36" s="35"/>
      <c r="L36" s="23"/>
      <c r="M36" s="25"/>
    </row>
    <row r="37" spans="1:13" s="2" customFormat="1" ht="13.5" customHeight="1" x14ac:dyDescent="0.3">
      <c r="A37" s="47">
        <v>18</v>
      </c>
      <c r="B37" s="48" t="s">
        <v>128</v>
      </c>
      <c r="C37" s="49"/>
      <c r="D37" s="60"/>
      <c r="E37" s="60"/>
      <c r="F37" s="60"/>
      <c r="G37" s="60"/>
      <c r="H37" s="59">
        <v>109</v>
      </c>
      <c r="I37" s="35">
        <f>SUM(H37)+2</f>
        <v>111</v>
      </c>
      <c r="J37" s="35">
        <f>SUM(I37)+2</f>
        <v>113</v>
      </c>
      <c r="K37" s="34"/>
      <c r="L37" s="35"/>
      <c r="M37" s="17"/>
    </row>
    <row r="38" spans="1:13" s="2" customFormat="1" ht="13.5" customHeight="1" thickBot="1" x14ac:dyDescent="0.35">
      <c r="A38" s="37"/>
      <c r="B38" s="27" t="s">
        <v>129</v>
      </c>
      <c r="C38" s="28"/>
      <c r="D38" s="29" t="s">
        <v>264</v>
      </c>
      <c r="E38" s="30"/>
      <c r="F38" s="30"/>
      <c r="G38" s="31"/>
      <c r="H38" s="114"/>
      <c r="I38" s="24"/>
      <c r="J38" s="24"/>
      <c r="K38" s="33"/>
      <c r="L38" s="24"/>
      <c r="M38" s="26"/>
    </row>
    <row r="39" spans="1:13" ht="14.1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4.1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4.1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4.1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4.1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4.1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4.1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4.1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4.1" customHeight="1" x14ac:dyDescent="0.3"/>
    <row r="48" spans="1:13" ht="14.1" customHeight="1" x14ac:dyDescent="0.3"/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/>
    <row r="55" spans="2:7" x14ac:dyDescent="0.3">
      <c r="B55" s="1"/>
      <c r="C55" s="1"/>
      <c r="D55" s="1"/>
      <c r="E55" s="1"/>
      <c r="F55" s="1"/>
      <c r="G55" s="1"/>
    </row>
    <row r="56" spans="2:7" x14ac:dyDescent="0.3">
      <c r="B56" s="1"/>
      <c r="C56" s="1"/>
      <c r="D56" s="1"/>
      <c r="E56" s="1"/>
      <c r="F56" s="1"/>
      <c r="G56" s="1"/>
    </row>
    <row r="57" spans="2:7" x14ac:dyDescent="0.3">
      <c r="B57" s="1"/>
      <c r="C57" s="1"/>
      <c r="D57" s="1"/>
      <c r="E57" s="1"/>
      <c r="F57" s="1"/>
      <c r="G57" s="1"/>
    </row>
    <row r="58" spans="2:7" x14ac:dyDescent="0.3">
      <c r="B58" s="1"/>
      <c r="C58" s="1"/>
      <c r="D58" s="1"/>
      <c r="E58" s="1"/>
      <c r="F58" s="1"/>
      <c r="G58" s="1"/>
    </row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9FCB2-B4EC-4CBB-9AD5-AC7779FAE014}">
  <sheetPr>
    <tabColor rgb="FFFF0000"/>
  </sheetPr>
  <dimension ref="A1:M47"/>
  <sheetViews>
    <sheetView zoomScale="110" zoomScaleNormal="110" zoomScalePageLayoutView="110" workbookViewId="0">
      <selection activeCell="B25" sqref="B25:G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8" customWidth="1"/>
    <col min="8" max="13" width="5.5" customWidth="1"/>
  </cols>
  <sheetData>
    <row r="1" spans="1:13" ht="16.5" customHeight="1" thickBot="1" x14ac:dyDescent="0.35">
      <c r="A1" s="62" t="s">
        <v>268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66">
        <v>1</v>
      </c>
      <c r="B3" s="80" t="s">
        <v>64</v>
      </c>
      <c r="C3" s="80"/>
      <c r="D3" s="81" t="s">
        <v>63</v>
      </c>
      <c r="E3" s="81"/>
      <c r="F3" s="81"/>
      <c r="G3" s="82"/>
      <c r="H3" s="70">
        <v>51.7</v>
      </c>
      <c r="I3" s="71">
        <f>SUM(H3)+3</f>
        <v>54.7</v>
      </c>
      <c r="J3" s="71">
        <f>SUM(I3)+3</f>
        <v>57.7</v>
      </c>
      <c r="K3" s="72"/>
      <c r="L3" s="72"/>
      <c r="M3" s="73"/>
    </row>
    <row r="4" spans="1:13" s="2" customFormat="1" ht="14.1" customHeight="1" x14ac:dyDescent="0.3">
      <c r="A4" s="47"/>
      <c r="B4" s="79" t="s">
        <v>62</v>
      </c>
      <c r="C4" s="79"/>
      <c r="D4" s="67" t="s">
        <v>270</v>
      </c>
      <c r="E4" s="68"/>
      <c r="F4" s="68"/>
      <c r="G4" s="69"/>
      <c r="H4" s="53"/>
      <c r="I4" s="34"/>
      <c r="J4" s="34"/>
      <c r="K4" s="32"/>
      <c r="L4" s="32"/>
      <c r="M4" s="18"/>
    </row>
    <row r="5" spans="1:13" s="2" customFormat="1" ht="14.1" customHeight="1" x14ac:dyDescent="0.3">
      <c r="A5" s="75">
        <v>2</v>
      </c>
      <c r="B5" s="48" t="s">
        <v>228</v>
      </c>
      <c r="C5" s="49"/>
      <c r="D5" s="60" t="s">
        <v>63</v>
      </c>
      <c r="E5" s="60"/>
      <c r="F5" s="60"/>
      <c r="G5" s="60"/>
      <c r="H5" s="59">
        <v>45.7</v>
      </c>
      <c r="I5" s="35">
        <f>SUM(H5)+2.5</f>
        <v>48.2</v>
      </c>
      <c r="J5" s="35">
        <f>SUM(I5)+2.5</f>
        <v>50.7</v>
      </c>
      <c r="K5" s="35"/>
      <c r="L5" s="35"/>
      <c r="M5" s="17"/>
    </row>
    <row r="6" spans="1:13" s="2" customFormat="1" ht="14.1" customHeight="1" x14ac:dyDescent="0.3">
      <c r="A6" s="36"/>
      <c r="B6" s="45" t="s">
        <v>229</v>
      </c>
      <c r="C6" s="46"/>
      <c r="D6" s="20" t="s">
        <v>269</v>
      </c>
      <c r="E6" s="21"/>
      <c r="F6" s="21"/>
      <c r="G6" s="22"/>
      <c r="H6" s="43"/>
      <c r="I6" s="32"/>
      <c r="J6" s="32"/>
      <c r="K6" s="32"/>
      <c r="L6" s="32"/>
      <c r="M6" s="18"/>
    </row>
    <row r="7" spans="1:13" s="2" customFormat="1" ht="14.1" customHeight="1" x14ac:dyDescent="0.3">
      <c r="A7" s="75">
        <v>3</v>
      </c>
      <c r="B7" s="48" t="s">
        <v>21</v>
      </c>
      <c r="C7" s="49"/>
      <c r="D7" s="56" t="s">
        <v>22</v>
      </c>
      <c r="E7" s="57"/>
      <c r="F7" s="57"/>
      <c r="G7" s="58"/>
      <c r="H7" s="59">
        <v>49.5</v>
      </c>
      <c r="I7" s="35">
        <f>SUM(H7)+4.4</f>
        <v>53.9</v>
      </c>
      <c r="J7" s="35">
        <f>SUM(I7)+4.4</f>
        <v>58.3</v>
      </c>
      <c r="K7" s="35"/>
      <c r="L7" s="35"/>
      <c r="M7" s="17"/>
    </row>
    <row r="8" spans="1:13" s="2" customFormat="1" ht="14.1" customHeight="1" x14ac:dyDescent="0.3">
      <c r="A8" s="36"/>
      <c r="B8" s="45" t="s">
        <v>12</v>
      </c>
      <c r="C8" s="46"/>
      <c r="D8" s="20" t="s">
        <v>25</v>
      </c>
      <c r="E8" s="21"/>
      <c r="F8" s="21"/>
      <c r="G8" s="22"/>
      <c r="H8" s="43"/>
      <c r="I8" s="32"/>
      <c r="J8" s="32"/>
      <c r="K8" s="32"/>
      <c r="L8" s="32"/>
      <c r="M8" s="18"/>
    </row>
    <row r="9" spans="1:13" s="2" customFormat="1" ht="14.1" customHeight="1" x14ac:dyDescent="0.3">
      <c r="A9" s="75">
        <v>4</v>
      </c>
      <c r="B9" s="55" t="s">
        <v>20</v>
      </c>
      <c r="C9" s="55"/>
      <c r="D9" s="60" t="s">
        <v>11</v>
      </c>
      <c r="E9" s="60"/>
      <c r="F9" s="60"/>
      <c r="G9" s="60"/>
      <c r="H9" s="59">
        <v>45</v>
      </c>
      <c r="I9" s="35">
        <f>SUM(H9)+4</f>
        <v>49</v>
      </c>
      <c r="J9" s="35">
        <f>SUM(I9)+4</f>
        <v>53</v>
      </c>
      <c r="K9" s="34"/>
      <c r="L9" s="34"/>
      <c r="M9" s="54"/>
    </row>
    <row r="10" spans="1:13" s="2" customFormat="1" ht="14.1" customHeight="1" x14ac:dyDescent="0.3">
      <c r="A10" s="36"/>
      <c r="B10" s="19" t="s">
        <v>23</v>
      </c>
      <c r="C10" s="19"/>
      <c r="D10" s="20" t="s">
        <v>26</v>
      </c>
      <c r="E10" s="21"/>
      <c r="F10" s="21"/>
      <c r="G10" s="22"/>
      <c r="H10" s="43"/>
      <c r="I10" s="32"/>
      <c r="J10" s="32"/>
      <c r="K10" s="34"/>
      <c r="L10" s="34"/>
      <c r="M10" s="54"/>
    </row>
    <row r="11" spans="1:13" s="2" customFormat="1" ht="14.1" customHeight="1" x14ac:dyDescent="0.3">
      <c r="A11" s="75">
        <v>5</v>
      </c>
      <c r="B11" s="55" t="s">
        <v>24</v>
      </c>
      <c r="C11" s="55"/>
      <c r="D11" s="60" t="s">
        <v>9</v>
      </c>
      <c r="E11" s="60"/>
      <c r="F11" s="60"/>
      <c r="G11" s="60"/>
      <c r="H11" s="59">
        <v>45</v>
      </c>
      <c r="I11" s="35">
        <f>SUM(H11)+4</f>
        <v>49</v>
      </c>
      <c r="J11" s="35">
        <f>SUM(I11)+4</f>
        <v>53</v>
      </c>
      <c r="K11" s="34"/>
      <c r="L11" s="34"/>
      <c r="M11" s="54"/>
    </row>
    <row r="12" spans="1:13" s="2" customFormat="1" ht="14.1" customHeight="1" x14ac:dyDescent="0.3">
      <c r="A12" s="36"/>
      <c r="B12" s="19" t="s">
        <v>13</v>
      </c>
      <c r="C12" s="19"/>
      <c r="D12" s="20" t="s">
        <v>27</v>
      </c>
      <c r="E12" s="21"/>
      <c r="F12" s="21"/>
      <c r="G12" s="22"/>
      <c r="H12" s="43"/>
      <c r="I12" s="32"/>
      <c r="J12" s="32"/>
      <c r="K12" s="34"/>
      <c r="L12" s="34"/>
      <c r="M12" s="54"/>
    </row>
    <row r="13" spans="1:13" s="2" customFormat="1" ht="14.1" customHeight="1" x14ac:dyDescent="0.3">
      <c r="A13" s="75">
        <v>6</v>
      </c>
      <c r="B13" s="55" t="s">
        <v>10</v>
      </c>
      <c r="C13" s="55"/>
      <c r="D13" s="60" t="s">
        <v>0</v>
      </c>
      <c r="E13" s="60"/>
      <c r="F13" s="60"/>
      <c r="G13" s="60"/>
      <c r="H13" s="53">
        <v>20</v>
      </c>
      <c r="I13" s="34">
        <f>SUM(H13)+1</f>
        <v>21</v>
      </c>
      <c r="J13" s="34">
        <f>SUM(I13)+1</f>
        <v>22</v>
      </c>
      <c r="K13" s="34"/>
      <c r="L13" s="34"/>
      <c r="M13" s="54"/>
    </row>
    <row r="14" spans="1:13" s="2" customFormat="1" ht="14.1" customHeight="1" x14ac:dyDescent="0.3">
      <c r="A14" s="36"/>
      <c r="B14" s="19" t="s">
        <v>14</v>
      </c>
      <c r="C14" s="19"/>
      <c r="D14" s="20" t="s">
        <v>28</v>
      </c>
      <c r="E14" s="21"/>
      <c r="F14" s="21"/>
      <c r="G14" s="22"/>
      <c r="H14" s="53"/>
      <c r="I14" s="34"/>
      <c r="J14" s="34"/>
      <c r="K14" s="34"/>
      <c r="L14" s="34"/>
      <c r="M14" s="54"/>
    </row>
    <row r="15" spans="1:13" s="2" customFormat="1" ht="14.1" customHeight="1" x14ac:dyDescent="0.3">
      <c r="A15" s="75">
        <v>7</v>
      </c>
      <c r="B15" s="55" t="s">
        <v>1</v>
      </c>
      <c r="C15" s="55"/>
      <c r="D15" s="60" t="s">
        <v>132</v>
      </c>
      <c r="E15" s="60"/>
      <c r="F15" s="60"/>
      <c r="G15" s="60"/>
      <c r="H15" s="53">
        <v>13</v>
      </c>
      <c r="I15" s="34">
        <f>SUM(H15)+0.6</f>
        <v>13.6</v>
      </c>
      <c r="J15" s="34">
        <f>SUM(I15)+0.6</f>
        <v>14.2</v>
      </c>
      <c r="K15" s="34"/>
      <c r="L15" s="34"/>
      <c r="M15" s="54"/>
    </row>
    <row r="16" spans="1:13" s="2" customFormat="1" ht="14.1" customHeight="1" x14ac:dyDescent="0.3">
      <c r="A16" s="36"/>
      <c r="B16" s="19" t="s">
        <v>272</v>
      </c>
      <c r="C16" s="19"/>
      <c r="D16" s="20" t="s">
        <v>273</v>
      </c>
      <c r="E16" s="21"/>
      <c r="F16" s="21"/>
      <c r="G16" s="22"/>
      <c r="H16" s="53"/>
      <c r="I16" s="34"/>
      <c r="J16" s="34"/>
      <c r="K16" s="34"/>
      <c r="L16" s="34"/>
      <c r="M16" s="54"/>
    </row>
    <row r="17" spans="1:13" s="2" customFormat="1" ht="14.1" customHeight="1" x14ac:dyDescent="0.3">
      <c r="A17" s="75">
        <v>8</v>
      </c>
      <c r="B17" s="55" t="s">
        <v>3</v>
      </c>
      <c r="C17" s="55"/>
      <c r="D17" s="60" t="s">
        <v>4</v>
      </c>
      <c r="E17" s="60"/>
      <c r="F17" s="60"/>
      <c r="G17" s="60"/>
      <c r="H17" s="53">
        <v>7</v>
      </c>
      <c r="I17" s="34">
        <f>SUM(H17)+0.3</f>
        <v>7.3</v>
      </c>
      <c r="J17" s="34">
        <f>SUM(I17)+0.3</f>
        <v>7.6</v>
      </c>
      <c r="K17" s="34"/>
      <c r="L17" s="34"/>
      <c r="M17" s="54"/>
    </row>
    <row r="18" spans="1:13" s="2" customFormat="1" ht="14.1" customHeight="1" x14ac:dyDescent="0.3">
      <c r="A18" s="36"/>
      <c r="B18" s="19" t="s">
        <v>16</v>
      </c>
      <c r="C18" s="19"/>
      <c r="D18" s="20" t="s">
        <v>274</v>
      </c>
      <c r="E18" s="21"/>
      <c r="F18" s="21"/>
      <c r="G18" s="22"/>
      <c r="H18" s="53"/>
      <c r="I18" s="34"/>
      <c r="J18" s="34"/>
      <c r="K18" s="34"/>
      <c r="L18" s="34"/>
      <c r="M18" s="54"/>
    </row>
    <row r="19" spans="1:13" s="2" customFormat="1" ht="14.1" customHeight="1" x14ac:dyDescent="0.3">
      <c r="A19" s="75">
        <v>9</v>
      </c>
      <c r="B19" s="48" t="s">
        <v>56</v>
      </c>
      <c r="C19" s="49"/>
      <c r="D19" s="56" t="s">
        <v>58</v>
      </c>
      <c r="E19" s="57"/>
      <c r="F19" s="57"/>
      <c r="G19" s="58"/>
      <c r="H19" s="53">
        <v>43</v>
      </c>
      <c r="I19" s="34">
        <f>SUM(H19)+1.6</f>
        <v>44.6</v>
      </c>
      <c r="J19" s="34">
        <f>SUM(I19)+1.6</f>
        <v>46.2</v>
      </c>
      <c r="K19" s="34"/>
      <c r="L19" s="34"/>
      <c r="M19" s="54"/>
    </row>
    <row r="20" spans="1:13" s="2" customFormat="1" ht="14.1" customHeight="1" x14ac:dyDescent="0.3">
      <c r="A20" s="36"/>
      <c r="B20" s="19" t="s">
        <v>275</v>
      </c>
      <c r="C20" s="19"/>
      <c r="D20" s="20" t="s">
        <v>125</v>
      </c>
      <c r="E20" s="21"/>
      <c r="F20" s="21"/>
      <c r="G20" s="22"/>
      <c r="H20" s="53"/>
      <c r="I20" s="34"/>
      <c r="J20" s="34"/>
      <c r="K20" s="34"/>
      <c r="L20" s="34"/>
      <c r="M20" s="54"/>
    </row>
    <row r="21" spans="1:13" s="2" customFormat="1" ht="14.1" customHeight="1" x14ac:dyDescent="0.3">
      <c r="A21" s="75">
        <v>10</v>
      </c>
      <c r="B21" s="55" t="s">
        <v>5</v>
      </c>
      <c r="C21" s="55"/>
      <c r="D21" s="60" t="s">
        <v>6</v>
      </c>
      <c r="E21" s="60"/>
      <c r="F21" s="60"/>
      <c r="G21" s="60"/>
      <c r="H21" s="53">
        <v>48.5</v>
      </c>
      <c r="I21" s="34">
        <f>SUM(H21)+1.8</f>
        <v>50.3</v>
      </c>
      <c r="J21" s="34">
        <f>SUM(I21)+1.8</f>
        <v>52.099999999999994</v>
      </c>
      <c r="K21" s="34"/>
      <c r="L21" s="34"/>
      <c r="M21" s="54"/>
    </row>
    <row r="22" spans="1:13" s="2" customFormat="1" ht="14.1" customHeight="1" x14ac:dyDescent="0.3">
      <c r="A22" s="36"/>
      <c r="B22" s="19" t="s">
        <v>17</v>
      </c>
      <c r="C22" s="19"/>
      <c r="D22" s="20" t="s">
        <v>29</v>
      </c>
      <c r="E22" s="21"/>
      <c r="F22" s="21"/>
      <c r="G22" s="22"/>
      <c r="H22" s="53"/>
      <c r="I22" s="34"/>
      <c r="J22" s="34"/>
      <c r="K22" s="34"/>
      <c r="L22" s="34"/>
      <c r="M22" s="54"/>
    </row>
    <row r="23" spans="1:13" s="2" customFormat="1" ht="14.1" customHeight="1" x14ac:dyDescent="0.3">
      <c r="A23" s="75">
        <v>11</v>
      </c>
      <c r="B23" s="55" t="s">
        <v>7</v>
      </c>
      <c r="C23" s="55"/>
      <c r="D23" s="56" t="s">
        <v>8</v>
      </c>
      <c r="E23" s="57"/>
      <c r="F23" s="57"/>
      <c r="G23" s="58"/>
      <c r="H23" s="53">
        <v>39.5</v>
      </c>
      <c r="I23" s="34">
        <f>SUM(H23)+2</f>
        <v>41.5</v>
      </c>
      <c r="J23" s="34">
        <f>SUM(I23)+2</f>
        <v>43.5</v>
      </c>
      <c r="K23" s="34"/>
      <c r="L23" s="34"/>
      <c r="M23" s="54"/>
    </row>
    <row r="24" spans="1:13" s="2" customFormat="1" ht="14.1" customHeight="1" x14ac:dyDescent="0.3">
      <c r="A24" s="36"/>
      <c r="B24" s="19" t="s">
        <v>18</v>
      </c>
      <c r="C24" s="19"/>
      <c r="D24" s="20" t="s">
        <v>36</v>
      </c>
      <c r="E24" s="21"/>
      <c r="F24" s="21"/>
      <c r="G24" s="22"/>
      <c r="H24" s="53"/>
      <c r="I24" s="34"/>
      <c r="J24" s="34"/>
      <c r="K24" s="34"/>
      <c r="L24" s="34"/>
      <c r="M24" s="54"/>
    </row>
    <row r="25" spans="1:13" s="2" customFormat="1" ht="14.1" customHeight="1" x14ac:dyDescent="0.3">
      <c r="A25" s="75">
        <v>12</v>
      </c>
      <c r="B25" s="48" t="s">
        <v>59</v>
      </c>
      <c r="C25" s="49"/>
      <c r="D25" s="60" t="s">
        <v>37</v>
      </c>
      <c r="E25" s="60"/>
      <c r="F25" s="60"/>
      <c r="G25" s="60"/>
      <c r="H25" s="53">
        <v>19</v>
      </c>
      <c r="I25" s="34">
        <f>SUM(H25)+0.8</f>
        <v>19.8</v>
      </c>
      <c r="J25" s="34">
        <f>SUM(I25)+0.8</f>
        <v>20.6</v>
      </c>
      <c r="K25" s="34"/>
      <c r="L25" s="34"/>
      <c r="M25" s="54"/>
    </row>
    <row r="26" spans="1:13" s="2" customFormat="1" ht="14.1" customHeight="1" x14ac:dyDescent="0.3">
      <c r="A26" s="36"/>
      <c r="B26" s="19" t="s">
        <v>19</v>
      </c>
      <c r="C26" s="19"/>
      <c r="D26" s="20" t="s">
        <v>38</v>
      </c>
      <c r="E26" s="21"/>
      <c r="F26" s="21"/>
      <c r="G26" s="22"/>
      <c r="H26" s="53"/>
      <c r="I26" s="34"/>
      <c r="J26" s="34"/>
      <c r="K26" s="34"/>
      <c r="L26" s="34"/>
      <c r="M26" s="54"/>
    </row>
    <row r="27" spans="1:13" s="2" customFormat="1" ht="14.1" customHeight="1" x14ac:dyDescent="0.3">
      <c r="A27" s="75">
        <v>13</v>
      </c>
      <c r="B27" s="48" t="s">
        <v>131</v>
      </c>
      <c r="C27" s="49"/>
      <c r="D27" s="50"/>
      <c r="E27" s="51"/>
      <c r="F27" s="51"/>
      <c r="G27" s="52"/>
      <c r="H27" s="53">
        <v>3.5</v>
      </c>
      <c r="I27" s="34">
        <f>SUM(H27)</f>
        <v>3.5</v>
      </c>
      <c r="J27" s="34">
        <f>SUM(I27)</f>
        <v>3.5</v>
      </c>
      <c r="K27" s="35"/>
      <c r="L27" s="35"/>
      <c r="M27" s="17"/>
    </row>
    <row r="28" spans="1:13" s="2" customFormat="1" ht="14.1" customHeight="1" x14ac:dyDescent="0.3">
      <c r="A28" s="36"/>
      <c r="B28" s="38" t="s">
        <v>130</v>
      </c>
      <c r="C28" s="39"/>
      <c r="D28" s="67" t="s">
        <v>271</v>
      </c>
      <c r="E28" s="68"/>
      <c r="F28" s="68"/>
      <c r="G28" s="69"/>
      <c r="H28" s="59"/>
      <c r="I28" s="35"/>
      <c r="J28" s="35"/>
      <c r="K28" s="23"/>
      <c r="L28" s="23"/>
      <c r="M28" s="25"/>
    </row>
    <row r="29" spans="1:13" s="2" customFormat="1" ht="14.1" customHeight="1" x14ac:dyDescent="0.3">
      <c r="A29" s="75">
        <v>14</v>
      </c>
      <c r="B29" s="48"/>
      <c r="C29" s="49"/>
      <c r="D29" s="50"/>
      <c r="E29" s="51"/>
      <c r="F29" s="51"/>
      <c r="G29" s="52"/>
      <c r="H29" s="53"/>
      <c r="I29" s="34"/>
      <c r="J29" s="34"/>
      <c r="K29" s="35"/>
      <c r="L29" s="35"/>
      <c r="M29" s="17"/>
    </row>
    <row r="30" spans="1:13" s="2" customFormat="1" ht="14.1" customHeight="1" x14ac:dyDescent="0.3">
      <c r="A30" s="36"/>
      <c r="B30" s="45"/>
      <c r="C30" s="46"/>
      <c r="D30" s="20"/>
      <c r="E30" s="21"/>
      <c r="F30" s="21"/>
      <c r="G30" s="22"/>
      <c r="H30" s="53"/>
      <c r="I30" s="34"/>
      <c r="J30" s="34"/>
      <c r="K30" s="32"/>
      <c r="L30" s="32"/>
      <c r="M30" s="18"/>
    </row>
    <row r="31" spans="1:13" s="2" customFormat="1" ht="14.1" customHeight="1" x14ac:dyDescent="0.3">
      <c r="A31" s="75">
        <v>15</v>
      </c>
      <c r="B31" s="38"/>
      <c r="C31" s="39"/>
      <c r="D31" s="134"/>
      <c r="E31" s="134"/>
      <c r="F31" s="134"/>
      <c r="G31" s="134"/>
      <c r="H31" s="43"/>
      <c r="I31" s="32"/>
      <c r="J31" s="32"/>
      <c r="K31" s="23"/>
      <c r="L31" s="23"/>
      <c r="M31" s="25"/>
    </row>
    <row r="32" spans="1:13" s="2" customFormat="1" ht="14.1" customHeight="1" x14ac:dyDescent="0.3">
      <c r="A32" s="36"/>
      <c r="B32" s="38"/>
      <c r="C32" s="39"/>
      <c r="D32" s="20"/>
      <c r="E32" s="21"/>
      <c r="F32" s="21"/>
      <c r="G32" s="22"/>
      <c r="H32" s="53"/>
      <c r="I32" s="34"/>
      <c r="J32" s="34"/>
      <c r="K32" s="32"/>
      <c r="L32" s="32"/>
      <c r="M32" s="18"/>
    </row>
    <row r="33" spans="1:13" s="2" customFormat="1" ht="14.1" customHeight="1" x14ac:dyDescent="0.3">
      <c r="A33" s="75">
        <v>16</v>
      </c>
      <c r="B33" s="48"/>
      <c r="C33" s="49"/>
      <c r="D33" s="50"/>
      <c r="E33" s="51"/>
      <c r="F33" s="51"/>
      <c r="G33" s="52"/>
      <c r="H33" s="53"/>
      <c r="I33" s="34"/>
      <c r="J33" s="34"/>
      <c r="K33" s="35"/>
      <c r="L33" s="35"/>
      <c r="M33" s="17"/>
    </row>
    <row r="34" spans="1:13" s="2" customFormat="1" ht="14.1" customHeight="1" x14ac:dyDescent="0.3">
      <c r="A34" s="36"/>
      <c r="B34" s="38"/>
      <c r="C34" s="39"/>
      <c r="D34" s="67"/>
      <c r="E34" s="68"/>
      <c r="F34" s="68"/>
      <c r="G34" s="69"/>
      <c r="H34" s="59"/>
      <c r="I34" s="35"/>
      <c r="J34" s="35"/>
      <c r="K34" s="23"/>
      <c r="L34" s="23"/>
      <c r="M34" s="25"/>
    </row>
    <row r="35" spans="1:13" s="2" customFormat="1" ht="14.1" customHeight="1" x14ac:dyDescent="0.3">
      <c r="A35" s="47">
        <v>17</v>
      </c>
      <c r="B35" s="48"/>
      <c r="C35" s="49"/>
      <c r="D35" s="60"/>
      <c r="E35" s="60"/>
      <c r="F35" s="60"/>
      <c r="G35" s="60"/>
      <c r="H35" s="53"/>
      <c r="I35" s="34"/>
      <c r="J35" s="34"/>
      <c r="K35" s="34"/>
      <c r="L35" s="34"/>
      <c r="M35" s="88"/>
    </row>
    <row r="36" spans="1:13" s="2" customFormat="1" ht="14.1" customHeight="1" thickBot="1" x14ac:dyDescent="0.35">
      <c r="A36" s="37"/>
      <c r="B36" s="27"/>
      <c r="C36" s="28"/>
      <c r="D36" s="29"/>
      <c r="E36" s="30"/>
      <c r="F36" s="30"/>
      <c r="G36" s="30"/>
      <c r="H36" s="44"/>
      <c r="I36" s="33"/>
      <c r="J36" s="33"/>
      <c r="K36" s="33"/>
      <c r="L36" s="33"/>
      <c r="M36" s="89"/>
    </row>
    <row r="37" spans="1:13" ht="14.1" customHeight="1" x14ac:dyDescent="0.3">
      <c r="B37" s="1"/>
      <c r="C37" s="1"/>
      <c r="D37" s="1"/>
      <c r="E37" s="1"/>
      <c r="F37" s="1"/>
      <c r="G37" s="1"/>
    </row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9:J10"/>
    <mergeCell ref="K9:K10"/>
    <mergeCell ref="L9:L10"/>
    <mergeCell ref="M9:M10"/>
    <mergeCell ref="B10:C10"/>
    <mergeCell ref="D10:G10"/>
    <mergeCell ref="K7:K8"/>
    <mergeCell ref="L7:L8"/>
    <mergeCell ref="M7:M8"/>
    <mergeCell ref="A7:A8"/>
    <mergeCell ref="B7:C7"/>
    <mergeCell ref="D7:G7"/>
    <mergeCell ref="H7:H8"/>
    <mergeCell ref="I7:I8"/>
    <mergeCell ref="J7:J8"/>
    <mergeCell ref="B8:C8"/>
    <mergeCell ref="D8:G8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3:J14"/>
    <mergeCell ref="K13:K14"/>
    <mergeCell ref="L13:L14"/>
    <mergeCell ref="M13:M14"/>
    <mergeCell ref="B14:C14"/>
    <mergeCell ref="D14:G14"/>
    <mergeCell ref="K11:K12"/>
    <mergeCell ref="L11:L12"/>
    <mergeCell ref="M11:M12"/>
    <mergeCell ref="B12:C12"/>
    <mergeCell ref="D12:G12"/>
    <mergeCell ref="J11:J12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</mergeCells>
  <phoneticPr fontId="15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E29E-DE1C-4A2B-91BC-BEB2BE1970F6}">
  <sheetPr>
    <tabColor rgb="FFFF0000"/>
  </sheetPr>
  <dimension ref="A1:P59"/>
  <sheetViews>
    <sheetView topLeftCell="A4" zoomScale="110" zoomScaleNormal="110" zoomScalePageLayoutView="110" workbookViewId="0">
      <selection activeCell="K33" sqref="K33:K3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8" width="5.375" customWidth="1"/>
    <col min="9" max="15" width="5.5" customWidth="1"/>
  </cols>
  <sheetData>
    <row r="1" spans="1:16" ht="16.5" customHeight="1" thickBot="1" x14ac:dyDescent="0.35">
      <c r="A1" s="14" t="s">
        <v>265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6" ht="16.5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13" t="s">
        <v>276</v>
      </c>
      <c r="I2" s="4" t="s">
        <v>33</v>
      </c>
      <c r="J2" s="5" t="s">
        <v>34</v>
      </c>
      <c r="K2" s="5" t="s">
        <v>35</v>
      </c>
      <c r="L2" s="5"/>
      <c r="M2" s="5"/>
    </row>
    <row r="3" spans="1:16" s="2" customFormat="1" ht="14.1" customHeight="1" x14ac:dyDescent="0.3">
      <c r="A3" s="66">
        <v>1</v>
      </c>
      <c r="B3" s="80" t="s">
        <v>64</v>
      </c>
      <c r="C3" s="80"/>
      <c r="D3" s="81" t="s">
        <v>63</v>
      </c>
      <c r="E3" s="81"/>
      <c r="F3" s="81"/>
      <c r="G3" s="82"/>
      <c r="H3" s="71">
        <f>SUM(I3)-3</f>
        <v>46</v>
      </c>
      <c r="I3" s="70">
        <v>49</v>
      </c>
      <c r="J3" s="71">
        <f>SUM(I3)+3</f>
        <v>52</v>
      </c>
      <c r="K3" s="71">
        <f>SUM(J3)+3</f>
        <v>55</v>
      </c>
      <c r="L3" s="72"/>
      <c r="M3" s="73"/>
    </row>
    <row r="4" spans="1:16" s="2" customFormat="1" ht="14.1" customHeight="1" x14ac:dyDescent="0.3">
      <c r="A4" s="47"/>
      <c r="B4" s="19" t="s">
        <v>62</v>
      </c>
      <c r="C4" s="19"/>
      <c r="D4" s="20" t="s">
        <v>61</v>
      </c>
      <c r="E4" s="21"/>
      <c r="F4" s="21"/>
      <c r="G4" s="21"/>
      <c r="H4" s="34"/>
      <c r="I4" s="53"/>
      <c r="J4" s="34"/>
      <c r="K4" s="34"/>
      <c r="L4" s="32"/>
      <c r="M4" s="18"/>
    </row>
    <row r="5" spans="1:16" s="2" customFormat="1" ht="14.1" customHeight="1" x14ac:dyDescent="0.3">
      <c r="A5" s="47">
        <v>2</v>
      </c>
      <c r="B5" s="135" t="s">
        <v>148</v>
      </c>
      <c r="C5" s="136"/>
      <c r="D5" s="56" t="s">
        <v>149</v>
      </c>
      <c r="E5" s="57"/>
      <c r="F5" s="57"/>
      <c r="G5" s="58"/>
      <c r="H5" s="35">
        <f>SUM(I5)-4</f>
        <v>68</v>
      </c>
      <c r="I5" s="59">
        <v>72</v>
      </c>
      <c r="J5" s="35">
        <f>SUM(I5)+4</f>
        <v>76</v>
      </c>
      <c r="K5" s="35">
        <f>SUM(J5)+4</f>
        <v>80</v>
      </c>
      <c r="L5" s="34"/>
      <c r="M5" s="54"/>
    </row>
    <row r="6" spans="1:16" s="2" customFormat="1" ht="14.1" customHeight="1" x14ac:dyDescent="0.3">
      <c r="A6" s="47"/>
      <c r="B6" s="45" t="s">
        <v>150</v>
      </c>
      <c r="C6" s="46"/>
      <c r="D6" s="20" t="s">
        <v>151</v>
      </c>
      <c r="E6" s="21"/>
      <c r="F6" s="21"/>
      <c r="G6" s="22"/>
      <c r="H6" s="32"/>
      <c r="I6" s="43"/>
      <c r="J6" s="32"/>
      <c r="K6" s="32"/>
      <c r="L6" s="34"/>
      <c r="M6" s="54"/>
    </row>
    <row r="7" spans="1:16" s="2" customFormat="1" ht="14.1" customHeight="1" x14ac:dyDescent="0.3">
      <c r="A7" s="47">
        <v>3</v>
      </c>
      <c r="B7" s="55" t="s">
        <v>20</v>
      </c>
      <c r="C7" s="55"/>
      <c r="D7" s="60" t="s">
        <v>11</v>
      </c>
      <c r="E7" s="60"/>
      <c r="F7" s="60"/>
      <c r="G7" s="60"/>
      <c r="H7" s="35">
        <f>SUM(I7)-3</f>
        <v>35</v>
      </c>
      <c r="I7" s="59">
        <v>38</v>
      </c>
      <c r="J7" s="35">
        <f>SUM(I7)+3</f>
        <v>41</v>
      </c>
      <c r="K7" s="35">
        <f>SUM(J7)+3</f>
        <v>44</v>
      </c>
      <c r="L7" s="34"/>
      <c r="M7" s="54"/>
    </row>
    <row r="8" spans="1:16" s="2" customFormat="1" ht="14.1" customHeight="1" x14ac:dyDescent="0.3">
      <c r="A8" s="47"/>
      <c r="B8" s="19" t="s">
        <v>23</v>
      </c>
      <c r="C8" s="19"/>
      <c r="D8" s="20" t="s">
        <v>26</v>
      </c>
      <c r="E8" s="21"/>
      <c r="F8" s="21"/>
      <c r="G8" s="22"/>
      <c r="H8" s="32"/>
      <c r="I8" s="43"/>
      <c r="J8" s="32"/>
      <c r="K8" s="32"/>
      <c r="L8" s="34"/>
      <c r="M8" s="54"/>
    </row>
    <row r="9" spans="1:16" s="2" customFormat="1" ht="14.1" customHeight="1" x14ac:dyDescent="0.3">
      <c r="A9" s="47">
        <v>4</v>
      </c>
      <c r="B9" s="55" t="s">
        <v>24</v>
      </c>
      <c r="C9" s="55"/>
      <c r="D9" s="60" t="s">
        <v>9</v>
      </c>
      <c r="E9" s="60"/>
      <c r="F9" s="60"/>
      <c r="G9" s="60"/>
      <c r="H9" s="35">
        <f>SUM(I9)-3</f>
        <v>35</v>
      </c>
      <c r="I9" s="59">
        <v>38</v>
      </c>
      <c r="J9" s="35">
        <f>SUM(I9)+3</f>
        <v>41</v>
      </c>
      <c r="K9" s="35">
        <f>SUM(J9)+3</f>
        <v>44</v>
      </c>
      <c r="L9" s="34"/>
      <c r="M9" s="54"/>
      <c r="P9" s="2" t="s">
        <v>168</v>
      </c>
    </row>
    <row r="10" spans="1:16" s="2" customFormat="1" ht="14.1" customHeight="1" x14ac:dyDescent="0.3">
      <c r="A10" s="47"/>
      <c r="B10" s="19" t="s">
        <v>13</v>
      </c>
      <c r="C10" s="19"/>
      <c r="D10" s="20" t="s">
        <v>27</v>
      </c>
      <c r="E10" s="21"/>
      <c r="F10" s="21"/>
      <c r="G10" s="22"/>
      <c r="H10" s="32"/>
      <c r="I10" s="43"/>
      <c r="J10" s="32"/>
      <c r="K10" s="32"/>
      <c r="L10" s="34"/>
      <c r="M10" s="54"/>
    </row>
    <row r="11" spans="1:16" s="2" customFormat="1" ht="14.1" customHeight="1" x14ac:dyDescent="0.3">
      <c r="A11" s="47">
        <v>5</v>
      </c>
      <c r="B11" s="55" t="s">
        <v>10</v>
      </c>
      <c r="C11" s="55"/>
      <c r="D11" s="60" t="s">
        <v>0</v>
      </c>
      <c r="E11" s="60"/>
      <c r="F11" s="60"/>
      <c r="G11" s="60"/>
      <c r="H11" s="34"/>
      <c r="I11" s="53"/>
      <c r="J11" s="34"/>
      <c r="K11" s="34"/>
      <c r="L11" s="34"/>
      <c r="M11" s="54"/>
    </row>
    <row r="12" spans="1:16" s="2" customFormat="1" ht="14.1" customHeight="1" x14ac:dyDescent="0.3">
      <c r="A12" s="47"/>
      <c r="B12" s="19" t="s">
        <v>14</v>
      </c>
      <c r="C12" s="19"/>
      <c r="D12" s="20" t="s">
        <v>28</v>
      </c>
      <c r="E12" s="21"/>
      <c r="F12" s="21"/>
      <c r="G12" s="22"/>
      <c r="H12" s="34"/>
      <c r="I12" s="53"/>
      <c r="J12" s="34"/>
      <c r="K12" s="34"/>
      <c r="L12" s="34"/>
      <c r="M12" s="54"/>
    </row>
    <row r="13" spans="1:16" s="2" customFormat="1" ht="14.1" customHeight="1" x14ac:dyDescent="0.3">
      <c r="A13" s="47">
        <v>6</v>
      </c>
      <c r="B13" s="55" t="s">
        <v>1</v>
      </c>
      <c r="C13" s="55"/>
      <c r="D13" s="60" t="s">
        <v>132</v>
      </c>
      <c r="E13" s="60"/>
      <c r="F13" s="60"/>
      <c r="G13" s="60"/>
      <c r="H13" s="34">
        <f>SUM(I13)-0.6</f>
        <v>17.399999999999999</v>
      </c>
      <c r="I13" s="53">
        <v>18</v>
      </c>
      <c r="J13" s="34">
        <f>SUM(I13)+0.6</f>
        <v>18.600000000000001</v>
      </c>
      <c r="K13" s="34">
        <f>SUM(J13)+0.6</f>
        <v>19.200000000000003</v>
      </c>
      <c r="L13" s="34"/>
      <c r="M13" s="54"/>
    </row>
    <row r="14" spans="1:16" s="2" customFormat="1" ht="14.1" customHeight="1" x14ac:dyDescent="0.3">
      <c r="A14" s="47"/>
      <c r="B14" s="19" t="s">
        <v>15</v>
      </c>
      <c r="C14" s="19"/>
      <c r="D14" s="20" t="s">
        <v>127</v>
      </c>
      <c r="E14" s="21"/>
      <c r="F14" s="21"/>
      <c r="G14" s="22"/>
      <c r="H14" s="34"/>
      <c r="I14" s="53"/>
      <c r="J14" s="34"/>
      <c r="K14" s="34"/>
      <c r="L14" s="34"/>
      <c r="M14" s="54"/>
    </row>
    <row r="15" spans="1:16" s="2" customFormat="1" ht="14.1" customHeight="1" x14ac:dyDescent="0.3">
      <c r="A15" s="47">
        <v>7</v>
      </c>
      <c r="B15" s="55" t="s">
        <v>3</v>
      </c>
      <c r="C15" s="55"/>
      <c r="D15" s="60" t="s">
        <v>4</v>
      </c>
      <c r="E15" s="60"/>
      <c r="F15" s="60"/>
      <c r="G15" s="60"/>
      <c r="H15" s="34">
        <f>SUM(I15)-0.3</f>
        <v>5.7</v>
      </c>
      <c r="I15" s="53">
        <v>6</v>
      </c>
      <c r="J15" s="34">
        <f>SUM(I15)+0.3</f>
        <v>6.3</v>
      </c>
      <c r="K15" s="34">
        <f>SUM(J15)+0.3</f>
        <v>6.6</v>
      </c>
      <c r="L15" s="34"/>
      <c r="M15" s="54"/>
    </row>
    <row r="16" spans="1:16" s="2" customFormat="1" ht="14.1" customHeight="1" x14ac:dyDescent="0.3">
      <c r="A16" s="47"/>
      <c r="B16" s="19" t="s">
        <v>16</v>
      </c>
      <c r="C16" s="19"/>
      <c r="D16" s="20" t="s">
        <v>126</v>
      </c>
      <c r="E16" s="21"/>
      <c r="F16" s="21"/>
      <c r="G16" s="22"/>
      <c r="H16" s="34"/>
      <c r="I16" s="53"/>
      <c r="J16" s="34"/>
      <c r="K16" s="34"/>
      <c r="L16" s="34"/>
      <c r="M16" s="54"/>
    </row>
    <row r="17" spans="1:13" s="2" customFormat="1" ht="14.1" customHeight="1" x14ac:dyDescent="0.3">
      <c r="A17" s="47">
        <v>8</v>
      </c>
      <c r="B17" s="48" t="s">
        <v>56</v>
      </c>
      <c r="C17" s="49"/>
      <c r="D17" s="56" t="s">
        <v>58</v>
      </c>
      <c r="E17" s="57"/>
      <c r="F17" s="57"/>
      <c r="G17" s="58"/>
      <c r="H17" s="34">
        <f>SUM(I17)-1.6</f>
        <v>42.4</v>
      </c>
      <c r="I17" s="53">
        <v>44</v>
      </c>
      <c r="J17" s="34">
        <f>SUM(I17)+1.6</f>
        <v>45.6</v>
      </c>
      <c r="K17" s="34">
        <f>SUM(J17)+1.6</f>
        <v>47.2</v>
      </c>
      <c r="L17" s="34"/>
      <c r="M17" s="54"/>
    </row>
    <row r="18" spans="1:13" s="2" customFormat="1" ht="14.1" customHeight="1" x14ac:dyDescent="0.3">
      <c r="A18" s="47"/>
      <c r="B18" s="19" t="s">
        <v>57</v>
      </c>
      <c r="C18" s="19"/>
      <c r="D18" s="20" t="s">
        <v>125</v>
      </c>
      <c r="E18" s="21"/>
      <c r="F18" s="21"/>
      <c r="G18" s="22"/>
      <c r="H18" s="34"/>
      <c r="I18" s="53"/>
      <c r="J18" s="34"/>
      <c r="K18" s="34"/>
      <c r="L18" s="34"/>
      <c r="M18" s="54"/>
    </row>
    <row r="19" spans="1:13" s="2" customFormat="1" ht="14.1" customHeight="1" x14ac:dyDescent="0.3">
      <c r="A19" s="47">
        <v>9</v>
      </c>
      <c r="B19" s="55" t="s">
        <v>5</v>
      </c>
      <c r="C19" s="55"/>
      <c r="D19" s="60" t="s">
        <v>6</v>
      </c>
      <c r="E19" s="60"/>
      <c r="F19" s="60"/>
      <c r="G19" s="60"/>
      <c r="H19" s="34">
        <f>SUM(I19)-3</f>
        <v>47.8</v>
      </c>
      <c r="I19" s="53">
        <v>50.8</v>
      </c>
      <c r="J19" s="34">
        <f>SUM(I19)+3</f>
        <v>53.8</v>
      </c>
      <c r="K19" s="34">
        <f>SUM(J19)+3</f>
        <v>56.8</v>
      </c>
      <c r="L19" s="34"/>
      <c r="M19" s="54"/>
    </row>
    <row r="20" spans="1:13" s="2" customFormat="1" ht="14.1" customHeight="1" x14ac:dyDescent="0.3">
      <c r="A20" s="47"/>
      <c r="B20" s="19" t="s">
        <v>17</v>
      </c>
      <c r="C20" s="19"/>
      <c r="D20" s="20" t="s">
        <v>29</v>
      </c>
      <c r="E20" s="21"/>
      <c r="F20" s="21"/>
      <c r="G20" s="22"/>
      <c r="H20" s="34"/>
      <c r="I20" s="53"/>
      <c r="J20" s="34"/>
      <c r="K20" s="34"/>
      <c r="L20" s="34"/>
      <c r="M20" s="54"/>
    </row>
    <row r="21" spans="1:13" s="2" customFormat="1" ht="14.1" customHeight="1" x14ac:dyDescent="0.3">
      <c r="A21" s="47">
        <v>10</v>
      </c>
      <c r="B21" s="55" t="s">
        <v>7</v>
      </c>
      <c r="C21" s="55"/>
      <c r="D21" s="56" t="s">
        <v>8</v>
      </c>
      <c r="E21" s="57"/>
      <c r="F21" s="57"/>
      <c r="G21" s="58"/>
      <c r="H21" s="34">
        <f>SUM(I21)-1.6</f>
        <v>28</v>
      </c>
      <c r="I21" s="53">
        <v>29.6</v>
      </c>
      <c r="J21" s="34">
        <f>SUM(I21)+1.6</f>
        <v>31.200000000000003</v>
      </c>
      <c r="K21" s="34">
        <f>SUM(J21)+1.6</f>
        <v>32.800000000000004</v>
      </c>
      <c r="L21" s="34"/>
      <c r="M21" s="54"/>
    </row>
    <row r="22" spans="1:13" s="2" customFormat="1" ht="14.1" customHeight="1" x14ac:dyDescent="0.3">
      <c r="A22" s="47"/>
      <c r="B22" s="19" t="s">
        <v>18</v>
      </c>
      <c r="C22" s="19"/>
      <c r="D22" s="20" t="s">
        <v>36</v>
      </c>
      <c r="E22" s="21"/>
      <c r="F22" s="21"/>
      <c r="G22" s="22"/>
      <c r="H22" s="34"/>
      <c r="I22" s="53"/>
      <c r="J22" s="34"/>
      <c r="K22" s="34"/>
      <c r="L22" s="34"/>
      <c r="M22" s="54"/>
    </row>
    <row r="23" spans="1:13" s="2" customFormat="1" ht="14.1" customHeight="1" x14ac:dyDescent="0.3">
      <c r="A23" s="47">
        <v>11</v>
      </c>
      <c r="B23" s="48" t="s">
        <v>59</v>
      </c>
      <c r="C23" s="49"/>
      <c r="D23" s="60" t="s">
        <v>37</v>
      </c>
      <c r="E23" s="60"/>
      <c r="F23" s="60"/>
      <c r="G23" s="60"/>
      <c r="H23" s="34">
        <f>SUM(I23)-0.8</f>
        <v>16.2</v>
      </c>
      <c r="I23" s="53">
        <v>17</v>
      </c>
      <c r="J23" s="34">
        <f>SUM(I23)+0.8</f>
        <v>17.8</v>
      </c>
      <c r="K23" s="34">
        <f>SUM(J23)+0.8</f>
        <v>18.600000000000001</v>
      </c>
      <c r="L23" s="34"/>
      <c r="M23" s="54"/>
    </row>
    <row r="24" spans="1:13" s="2" customFormat="1" ht="14.1" customHeight="1" x14ac:dyDescent="0.3">
      <c r="A24" s="47"/>
      <c r="B24" s="19" t="s">
        <v>19</v>
      </c>
      <c r="C24" s="19"/>
      <c r="D24" s="20" t="s">
        <v>38</v>
      </c>
      <c r="E24" s="21"/>
      <c r="F24" s="21"/>
      <c r="G24" s="22"/>
      <c r="H24" s="34"/>
      <c r="I24" s="53"/>
      <c r="J24" s="34"/>
      <c r="K24" s="34"/>
      <c r="L24" s="34"/>
      <c r="M24" s="54"/>
    </row>
    <row r="25" spans="1:13" s="2" customFormat="1" ht="14.1" customHeight="1" x14ac:dyDescent="0.3">
      <c r="A25" s="47">
        <v>12</v>
      </c>
      <c r="B25" s="48" t="s">
        <v>179</v>
      </c>
      <c r="C25" s="49"/>
      <c r="D25" s="50"/>
      <c r="E25" s="51"/>
      <c r="F25" s="51"/>
      <c r="G25" s="52"/>
      <c r="H25" s="34">
        <f>SUM(I25)-0.3</f>
        <v>4.2</v>
      </c>
      <c r="I25" s="53">
        <v>4.5</v>
      </c>
      <c r="J25" s="34">
        <f>SUM(I25)+0.3</f>
        <v>4.8</v>
      </c>
      <c r="K25" s="34">
        <f>SUM(J25)+0.3</f>
        <v>5.0999999999999996</v>
      </c>
      <c r="L25" s="35"/>
      <c r="M25" s="17"/>
    </row>
    <row r="26" spans="1:13" s="2" customFormat="1" ht="13.5" customHeight="1" x14ac:dyDescent="0.3">
      <c r="A26" s="75"/>
      <c r="B26" s="38" t="s">
        <v>180</v>
      </c>
      <c r="C26" s="39"/>
      <c r="D26" s="67" t="s">
        <v>181</v>
      </c>
      <c r="E26" s="68"/>
      <c r="F26" s="68"/>
      <c r="G26" s="69"/>
      <c r="H26" s="35"/>
      <c r="I26" s="59"/>
      <c r="J26" s="35"/>
      <c r="K26" s="35"/>
      <c r="L26" s="23"/>
      <c r="M26" s="25"/>
    </row>
    <row r="27" spans="1:13" s="2" customFormat="1" ht="14.1" customHeight="1" x14ac:dyDescent="0.3">
      <c r="A27" s="47">
        <v>13</v>
      </c>
      <c r="B27" s="48" t="s">
        <v>165</v>
      </c>
      <c r="C27" s="49"/>
      <c r="D27" s="50"/>
      <c r="E27" s="51"/>
      <c r="F27" s="51"/>
      <c r="G27" s="52"/>
      <c r="H27" s="34">
        <f>SUM(I27)-0.5</f>
        <v>8.9</v>
      </c>
      <c r="I27" s="53">
        <v>9.4</v>
      </c>
      <c r="J27" s="34">
        <f>SUM(I27)+0.5</f>
        <v>9.9</v>
      </c>
      <c r="K27" s="34">
        <f>SUM(J27)+0.5</f>
        <v>10.4</v>
      </c>
      <c r="L27" s="35"/>
      <c r="M27" s="17"/>
    </row>
    <row r="28" spans="1:13" s="2" customFormat="1" ht="14.1" customHeight="1" x14ac:dyDescent="0.3">
      <c r="A28" s="75"/>
      <c r="B28" s="38" t="s">
        <v>166</v>
      </c>
      <c r="C28" s="39"/>
      <c r="D28" s="67" t="s">
        <v>167</v>
      </c>
      <c r="E28" s="68"/>
      <c r="F28" s="68"/>
      <c r="G28" s="69"/>
      <c r="H28" s="35"/>
      <c r="I28" s="59"/>
      <c r="J28" s="35"/>
      <c r="K28" s="35"/>
      <c r="L28" s="23"/>
      <c r="M28" s="25"/>
    </row>
    <row r="29" spans="1:13" s="2" customFormat="1" ht="14.1" customHeight="1" x14ac:dyDescent="0.3">
      <c r="A29" s="47">
        <v>14</v>
      </c>
      <c r="B29" s="48" t="s">
        <v>131</v>
      </c>
      <c r="C29" s="49"/>
      <c r="D29" s="50"/>
      <c r="E29" s="51"/>
      <c r="F29" s="51"/>
      <c r="G29" s="52"/>
      <c r="H29" s="34">
        <f>SUM(I29)-0.6</f>
        <v>5.9</v>
      </c>
      <c r="I29" s="53">
        <v>6.5</v>
      </c>
      <c r="J29" s="34">
        <f>SUM(I29)+0.6</f>
        <v>7.1</v>
      </c>
      <c r="K29" s="34">
        <f>SUM(J29)+0.6</f>
        <v>7.6999999999999993</v>
      </c>
      <c r="L29" s="34"/>
      <c r="M29" s="54"/>
    </row>
    <row r="30" spans="1:13" s="2" customFormat="1" ht="14.1" customHeight="1" x14ac:dyDescent="0.3">
      <c r="A30" s="47"/>
      <c r="B30" s="38" t="s">
        <v>130</v>
      </c>
      <c r="C30" s="39"/>
      <c r="D30" s="67"/>
      <c r="E30" s="68"/>
      <c r="F30" s="68"/>
      <c r="G30" s="69"/>
      <c r="H30" s="35"/>
      <c r="I30" s="59"/>
      <c r="J30" s="35"/>
      <c r="K30" s="35"/>
      <c r="L30" s="34"/>
      <c r="M30" s="54"/>
    </row>
    <row r="31" spans="1:13" ht="14.1" customHeight="1" x14ac:dyDescent="0.3">
      <c r="A31" s="47">
        <v>15</v>
      </c>
      <c r="B31" s="48" t="s">
        <v>170</v>
      </c>
      <c r="C31" s="49"/>
      <c r="D31" s="56"/>
      <c r="E31" s="57"/>
      <c r="F31" s="57"/>
      <c r="G31" s="58"/>
      <c r="H31" s="34">
        <f>SUM(I31)-0.3</f>
        <v>2.7</v>
      </c>
      <c r="I31" s="53">
        <v>3</v>
      </c>
      <c r="J31" s="34">
        <f>SUM(I31)+0.3</f>
        <v>3.3</v>
      </c>
      <c r="K31" s="34">
        <f>SUM(J31)+0.3</f>
        <v>3.5999999999999996</v>
      </c>
      <c r="L31" s="35"/>
      <c r="M31" s="17"/>
    </row>
    <row r="32" spans="1:13" ht="14.1" customHeight="1" x14ac:dyDescent="0.3">
      <c r="A32" s="47"/>
      <c r="B32" s="38" t="s">
        <v>171</v>
      </c>
      <c r="C32" s="39"/>
      <c r="D32" s="20"/>
      <c r="E32" s="21"/>
      <c r="F32" s="21"/>
      <c r="G32" s="22"/>
      <c r="H32" s="35"/>
      <c r="I32" s="59"/>
      <c r="J32" s="35"/>
      <c r="K32" s="35"/>
      <c r="L32" s="32"/>
      <c r="M32" s="18"/>
    </row>
    <row r="33" spans="1:14" ht="14.1" customHeight="1" x14ac:dyDescent="0.3">
      <c r="A33" s="47">
        <v>16</v>
      </c>
      <c r="B33" s="48"/>
      <c r="C33" s="49"/>
      <c r="D33" s="50"/>
      <c r="E33" s="51"/>
      <c r="F33" s="51"/>
      <c r="G33" s="52"/>
      <c r="H33" s="12"/>
      <c r="I33" s="53"/>
      <c r="J33" s="34"/>
      <c r="K33" s="34"/>
      <c r="L33" s="35"/>
      <c r="M33" s="17"/>
    </row>
    <row r="34" spans="1:14" ht="14.1" customHeight="1" x14ac:dyDescent="0.3">
      <c r="A34" s="47"/>
      <c r="B34" s="45"/>
      <c r="C34" s="46"/>
      <c r="D34" s="20"/>
      <c r="E34" s="21"/>
      <c r="F34" s="21"/>
      <c r="G34" s="22"/>
      <c r="H34" s="9"/>
      <c r="I34" s="53"/>
      <c r="J34" s="34"/>
      <c r="K34" s="34"/>
      <c r="L34" s="32"/>
      <c r="M34" s="18"/>
    </row>
    <row r="35" spans="1:14" s="2" customFormat="1" ht="14.1" customHeight="1" x14ac:dyDescent="0.3">
      <c r="A35" s="36">
        <v>17</v>
      </c>
      <c r="B35" s="38"/>
      <c r="C35" s="39"/>
      <c r="D35" s="40"/>
      <c r="E35" s="41"/>
      <c r="F35" s="41"/>
      <c r="G35" s="42"/>
      <c r="H35" s="11"/>
      <c r="I35" s="43"/>
      <c r="J35" s="116"/>
      <c r="K35" s="32"/>
      <c r="L35" s="23"/>
      <c r="M35" s="25"/>
    </row>
    <row r="36" spans="1:14" s="2" customFormat="1" ht="14.1" customHeight="1" thickBot="1" x14ac:dyDescent="0.35">
      <c r="A36" s="37"/>
      <c r="B36" s="27"/>
      <c r="C36" s="28"/>
      <c r="D36" s="29"/>
      <c r="E36" s="30"/>
      <c r="F36" s="30"/>
      <c r="G36" s="31"/>
      <c r="H36" s="10"/>
      <c r="I36" s="44"/>
      <c r="J36" s="77"/>
      <c r="K36" s="33"/>
      <c r="L36" s="24"/>
      <c r="M36" s="26"/>
    </row>
    <row r="37" spans="1:14" s="2" customFormat="1" ht="14.1" customHeight="1" x14ac:dyDescent="0.3"/>
    <row r="38" spans="1:14" s="2" customFormat="1" ht="14.1" customHeight="1" x14ac:dyDescent="0.3"/>
    <row r="39" spans="1:14" s="2" customFormat="1" ht="14.1" customHeight="1" x14ac:dyDescent="0.3"/>
    <row r="40" spans="1:14" s="2" customFormat="1" ht="14.1" customHeight="1" x14ac:dyDescent="0.3"/>
    <row r="41" spans="1:14" s="2" customFormat="1" ht="14.1" customHeight="1" x14ac:dyDescent="0.3"/>
    <row r="42" spans="1:14" s="2" customFormat="1" ht="14.1" customHeight="1" x14ac:dyDescent="0.3"/>
    <row r="43" spans="1:14" s="2" customFormat="1" ht="14.1" customHeight="1" x14ac:dyDescent="0.3"/>
    <row r="44" spans="1:14" s="2" customFormat="1" ht="14.1" customHeight="1" x14ac:dyDescent="0.3"/>
    <row r="45" spans="1:14" s="2" customFormat="1" ht="14.1" customHeight="1" x14ac:dyDescent="0.3"/>
    <row r="46" spans="1:14" s="2" customFormat="1" ht="14.1" customHeight="1" x14ac:dyDescent="0.3"/>
    <row r="47" spans="1:14" s="2" customFormat="1" ht="14.1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s="2" customFormat="1" ht="14.1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2:8" ht="14.1" customHeight="1" x14ac:dyDescent="0.3"/>
    <row r="50" spans="2:8" ht="14.1" customHeight="1" x14ac:dyDescent="0.3"/>
    <row r="51" spans="2:8" ht="14.1" customHeight="1" x14ac:dyDescent="0.3"/>
    <row r="52" spans="2:8" ht="14.1" customHeight="1" x14ac:dyDescent="0.3"/>
    <row r="53" spans="2:8" ht="14.1" customHeight="1" x14ac:dyDescent="0.3"/>
    <row r="54" spans="2:8" ht="14.1" customHeight="1" x14ac:dyDescent="0.3"/>
    <row r="55" spans="2:8" ht="14.1" customHeight="1" x14ac:dyDescent="0.3">
      <c r="B55" s="1"/>
      <c r="C55" s="1"/>
      <c r="D55" s="1"/>
      <c r="E55" s="1"/>
      <c r="F55" s="1"/>
      <c r="G55" s="1"/>
      <c r="H55" s="1"/>
    </row>
    <row r="56" spans="2:8" ht="14.1" customHeight="1" x14ac:dyDescent="0.3">
      <c r="B56" s="1"/>
      <c r="C56" s="1"/>
      <c r="D56" s="1"/>
      <c r="E56" s="1"/>
      <c r="F56" s="1"/>
      <c r="G56" s="1"/>
      <c r="H56" s="1"/>
    </row>
    <row r="57" spans="2:8" ht="14.1" customHeight="1" x14ac:dyDescent="0.3">
      <c r="B57" s="1"/>
      <c r="C57" s="1"/>
      <c r="D57" s="1"/>
      <c r="E57" s="1"/>
      <c r="F57" s="1"/>
      <c r="G57" s="1"/>
      <c r="H57" s="1"/>
    </row>
    <row r="58" spans="2:8" ht="14.1" customHeight="1" x14ac:dyDescent="0.3">
      <c r="B58" s="1"/>
      <c r="C58" s="1"/>
      <c r="D58" s="1"/>
      <c r="E58" s="1"/>
      <c r="F58" s="1"/>
      <c r="G58" s="1"/>
      <c r="H58" s="1"/>
    </row>
    <row r="59" spans="2:8" ht="14.1" customHeight="1" x14ac:dyDescent="0.3"/>
  </sheetData>
  <mergeCells count="187">
    <mergeCell ref="K35:K36"/>
    <mergeCell ref="L35:L36"/>
    <mergeCell ref="M35:M36"/>
    <mergeCell ref="B36:C36"/>
    <mergeCell ref="D36:G36"/>
    <mergeCell ref="L33:L34"/>
    <mergeCell ref="M33:M34"/>
    <mergeCell ref="B34:C34"/>
    <mergeCell ref="D34:G34"/>
    <mergeCell ref="K33:K34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K31:K32"/>
    <mergeCell ref="L31:L32"/>
    <mergeCell ref="M31:M32"/>
    <mergeCell ref="B32:C32"/>
    <mergeCell ref="D32:G32"/>
    <mergeCell ref="L29:L30"/>
    <mergeCell ref="M29:M30"/>
    <mergeCell ref="B30:C30"/>
    <mergeCell ref="D30:G30"/>
    <mergeCell ref="K29:K30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H29:H30"/>
    <mergeCell ref="H31:H32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H25:H26"/>
    <mergeCell ref="H27:H28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H21:H22"/>
    <mergeCell ref="H23:H24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H17:H18"/>
    <mergeCell ref="H19:H20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H13:H14"/>
    <mergeCell ref="H15:H16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M3:M4"/>
    <mergeCell ref="B4:C4"/>
    <mergeCell ref="D4:G4"/>
    <mergeCell ref="H3:H4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B2:C2"/>
    <mergeCell ref="D2:G2"/>
    <mergeCell ref="A3:A4"/>
    <mergeCell ref="B3:C3"/>
    <mergeCell ref="D3:G3"/>
    <mergeCell ref="I3:I4"/>
    <mergeCell ref="J3:J4"/>
    <mergeCell ref="K3:K4"/>
    <mergeCell ref="L3:L4"/>
  </mergeCells>
  <phoneticPr fontId="15" type="noConversion"/>
  <pageMargins left="0.46875" right="0.46875" top="0.75" bottom="0.75" header="0.3" footer="0.3"/>
  <pageSetup paperSize="9" scale="9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2309-D351-43CA-A287-A7373DF8FB6B}">
  <sheetPr>
    <tabColor rgb="FFFF0000"/>
  </sheetPr>
  <dimension ref="A1:P60"/>
  <sheetViews>
    <sheetView topLeftCell="A7" zoomScale="110" zoomScaleNormal="110" zoomScalePageLayoutView="110" workbookViewId="0">
      <selection sqref="A1:M3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 x14ac:dyDescent="0.35">
      <c r="A1" s="62" t="s">
        <v>310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6" ht="16.5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6" s="2" customFormat="1" ht="14.1" customHeight="1" x14ac:dyDescent="0.3">
      <c r="A3" s="66">
        <v>1</v>
      </c>
      <c r="B3" s="80" t="s">
        <v>64</v>
      </c>
      <c r="C3" s="80"/>
      <c r="D3" s="81" t="s">
        <v>63</v>
      </c>
      <c r="E3" s="81"/>
      <c r="F3" s="81"/>
      <c r="G3" s="82"/>
      <c r="H3" s="70">
        <v>52</v>
      </c>
      <c r="I3" s="71">
        <f>SUM(H3)+3</f>
        <v>55</v>
      </c>
      <c r="J3" s="71">
        <f>SUM(I3)+3</f>
        <v>58</v>
      </c>
      <c r="K3" s="72"/>
      <c r="L3" s="72"/>
      <c r="M3" s="73"/>
    </row>
    <row r="4" spans="1:16" s="2" customFormat="1" ht="14.1" customHeight="1" x14ac:dyDescent="0.3">
      <c r="A4" s="75"/>
      <c r="B4" s="79" t="s">
        <v>62</v>
      </c>
      <c r="C4" s="79"/>
      <c r="D4" s="67" t="s">
        <v>61</v>
      </c>
      <c r="E4" s="68"/>
      <c r="F4" s="68"/>
      <c r="G4" s="68"/>
      <c r="H4" s="59"/>
      <c r="I4" s="35"/>
      <c r="J4" s="35"/>
      <c r="K4" s="23"/>
      <c r="L4" s="23"/>
      <c r="M4" s="25"/>
    </row>
    <row r="5" spans="1:16" s="2" customFormat="1" ht="14.1" customHeight="1" x14ac:dyDescent="0.3">
      <c r="A5" s="47">
        <v>2</v>
      </c>
      <c r="B5" s="48" t="s">
        <v>21</v>
      </c>
      <c r="C5" s="49"/>
      <c r="D5" s="56" t="s">
        <v>22</v>
      </c>
      <c r="E5" s="57"/>
      <c r="F5" s="57"/>
      <c r="G5" s="58"/>
      <c r="H5" s="59">
        <v>56</v>
      </c>
      <c r="I5" s="35">
        <f>SUM(H5)+4.2</f>
        <v>60.2</v>
      </c>
      <c r="J5" s="35">
        <f>SUM(I5)+4.2</f>
        <v>64.400000000000006</v>
      </c>
      <c r="K5" s="34"/>
      <c r="L5" s="34"/>
      <c r="M5" s="54"/>
    </row>
    <row r="6" spans="1:16" s="2" customFormat="1" ht="14.1" customHeight="1" x14ac:dyDescent="0.3">
      <c r="A6" s="47"/>
      <c r="B6" s="45" t="s">
        <v>12</v>
      </c>
      <c r="C6" s="46"/>
      <c r="D6" s="20" t="s">
        <v>25</v>
      </c>
      <c r="E6" s="21"/>
      <c r="F6" s="21"/>
      <c r="G6" s="22"/>
      <c r="H6" s="43"/>
      <c r="I6" s="32"/>
      <c r="J6" s="32"/>
      <c r="K6" s="34"/>
      <c r="L6" s="34"/>
      <c r="M6" s="54"/>
    </row>
    <row r="7" spans="1:16" s="2" customFormat="1" ht="14.1" customHeight="1" x14ac:dyDescent="0.3">
      <c r="A7" s="47">
        <v>3</v>
      </c>
      <c r="B7" s="55" t="s">
        <v>20</v>
      </c>
      <c r="C7" s="55"/>
      <c r="D7" s="60" t="s">
        <v>11</v>
      </c>
      <c r="E7" s="60"/>
      <c r="F7" s="60"/>
      <c r="G7" s="60"/>
      <c r="H7" s="59">
        <v>53</v>
      </c>
      <c r="I7" s="35">
        <f>SUM(H7)+4</f>
        <v>57</v>
      </c>
      <c r="J7" s="35">
        <f>SUM(I7)+4</f>
        <v>61</v>
      </c>
      <c r="K7" s="34"/>
      <c r="L7" s="34"/>
      <c r="M7" s="54"/>
    </row>
    <row r="8" spans="1:16" s="2" customFormat="1" ht="14.1" customHeight="1" x14ac:dyDescent="0.3">
      <c r="A8" s="47"/>
      <c r="B8" s="19" t="s">
        <v>23</v>
      </c>
      <c r="C8" s="19"/>
      <c r="D8" s="20" t="s">
        <v>26</v>
      </c>
      <c r="E8" s="21"/>
      <c r="F8" s="21"/>
      <c r="G8" s="22"/>
      <c r="H8" s="43"/>
      <c r="I8" s="32"/>
      <c r="J8" s="32"/>
      <c r="K8" s="34"/>
      <c r="L8" s="34"/>
      <c r="M8" s="54"/>
    </row>
    <row r="9" spans="1:16" s="2" customFormat="1" ht="14.1" customHeight="1" x14ac:dyDescent="0.3">
      <c r="A9" s="47">
        <v>4</v>
      </c>
      <c r="B9" s="55" t="s">
        <v>24</v>
      </c>
      <c r="C9" s="55"/>
      <c r="D9" s="60" t="s">
        <v>309</v>
      </c>
      <c r="E9" s="60"/>
      <c r="F9" s="60"/>
      <c r="G9" s="60"/>
      <c r="H9" s="59">
        <v>94</v>
      </c>
      <c r="I9" s="35">
        <f>SUM(H9)+8</f>
        <v>102</v>
      </c>
      <c r="J9" s="35">
        <f>SUM(I9)+8</f>
        <v>110</v>
      </c>
      <c r="K9" s="34"/>
      <c r="L9" s="34"/>
      <c r="M9" s="54"/>
      <c r="P9" s="2" t="s">
        <v>168</v>
      </c>
    </row>
    <row r="10" spans="1:16" s="2" customFormat="1" ht="14.1" customHeight="1" x14ac:dyDescent="0.3">
      <c r="A10" s="47"/>
      <c r="B10" s="19" t="s">
        <v>13</v>
      </c>
      <c r="C10" s="19"/>
      <c r="D10" s="20" t="s">
        <v>27</v>
      </c>
      <c r="E10" s="21"/>
      <c r="F10" s="21"/>
      <c r="G10" s="22"/>
      <c r="H10" s="43"/>
      <c r="I10" s="32"/>
      <c r="J10" s="32"/>
      <c r="K10" s="34"/>
      <c r="L10" s="34"/>
      <c r="M10" s="54"/>
    </row>
    <row r="11" spans="1:16" s="2" customFormat="1" ht="14.1" customHeight="1" x14ac:dyDescent="0.3">
      <c r="A11" s="47">
        <v>5</v>
      </c>
      <c r="B11" s="55" t="s">
        <v>10</v>
      </c>
      <c r="C11" s="55"/>
      <c r="D11" s="60" t="s">
        <v>0</v>
      </c>
      <c r="E11" s="60"/>
      <c r="F11" s="60"/>
      <c r="G11" s="60"/>
      <c r="H11" s="53">
        <v>22</v>
      </c>
      <c r="I11" s="34">
        <f>SUM(H11)+1</f>
        <v>23</v>
      </c>
      <c r="J11" s="34">
        <f>SUM(I11)+1</f>
        <v>24</v>
      </c>
      <c r="K11" s="34"/>
      <c r="L11" s="34"/>
      <c r="M11" s="54"/>
    </row>
    <row r="12" spans="1:16" s="2" customFormat="1" ht="14.1" customHeight="1" x14ac:dyDescent="0.3">
      <c r="A12" s="47"/>
      <c r="B12" s="19" t="s">
        <v>14</v>
      </c>
      <c r="C12" s="19"/>
      <c r="D12" s="20" t="s">
        <v>28</v>
      </c>
      <c r="E12" s="21"/>
      <c r="F12" s="21"/>
      <c r="G12" s="22"/>
      <c r="H12" s="53"/>
      <c r="I12" s="34"/>
      <c r="J12" s="34"/>
      <c r="K12" s="34"/>
      <c r="L12" s="34"/>
      <c r="M12" s="54"/>
    </row>
    <row r="13" spans="1:16" s="2" customFormat="1" ht="14.1" customHeight="1" x14ac:dyDescent="0.3">
      <c r="A13" s="47">
        <v>6</v>
      </c>
      <c r="B13" s="55" t="s">
        <v>1</v>
      </c>
      <c r="C13" s="55"/>
      <c r="D13" s="60" t="s">
        <v>132</v>
      </c>
      <c r="E13" s="60"/>
      <c r="F13" s="60"/>
      <c r="G13" s="60"/>
      <c r="H13" s="53">
        <v>17.100000000000001</v>
      </c>
      <c r="I13" s="34">
        <f>SUM(H13)+0.6</f>
        <v>17.700000000000003</v>
      </c>
      <c r="J13" s="34">
        <f>SUM(I13)+0.6</f>
        <v>18.300000000000004</v>
      </c>
      <c r="K13" s="34"/>
      <c r="L13" s="34"/>
      <c r="M13" s="54"/>
    </row>
    <row r="14" spans="1:16" s="2" customFormat="1" ht="14.1" customHeight="1" x14ac:dyDescent="0.3">
      <c r="A14" s="47"/>
      <c r="B14" s="19" t="s">
        <v>15</v>
      </c>
      <c r="C14" s="19"/>
      <c r="D14" s="20" t="s">
        <v>258</v>
      </c>
      <c r="E14" s="21"/>
      <c r="F14" s="21"/>
      <c r="G14" s="22"/>
      <c r="H14" s="53"/>
      <c r="I14" s="34"/>
      <c r="J14" s="34"/>
      <c r="K14" s="34"/>
      <c r="L14" s="34"/>
      <c r="M14" s="54"/>
    </row>
    <row r="15" spans="1:16" s="2" customFormat="1" ht="14.1" customHeight="1" x14ac:dyDescent="0.3">
      <c r="A15" s="47">
        <v>7</v>
      </c>
      <c r="B15" s="55" t="s">
        <v>3</v>
      </c>
      <c r="C15" s="55"/>
      <c r="D15" s="60" t="s">
        <v>4</v>
      </c>
      <c r="E15" s="60"/>
      <c r="F15" s="60"/>
      <c r="G15" s="60"/>
      <c r="H15" s="53">
        <v>8.1999999999999993</v>
      </c>
      <c r="I15" s="34">
        <f>SUM(H15)+0.3</f>
        <v>8.5</v>
      </c>
      <c r="J15" s="34">
        <f>SUM(I15)+0.3</f>
        <v>8.8000000000000007</v>
      </c>
      <c r="K15" s="34"/>
      <c r="L15" s="34"/>
      <c r="M15" s="54"/>
    </row>
    <row r="16" spans="1:16" s="2" customFormat="1" ht="14.1" customHeight="1" x14ac:dyDescent="0.3">
      <c r="A16" s="47"/>
      <c r="B16" s="19" t="s">
        <v>16</v>
      </c>
      <c r="C16" s="19"/>
      <c r="D16" s="20" t="s">
        <v>259</v>
      </c>
      <c r="E16" s="21"/>
      <c r="F16" s="21"/>
      <c r="G16" s="22"/>
      <c r="H16" s="53"/>
      <c r="I16" s="34"/>
      <c r="J16" s="34"/>
      <c r="K16" s="34"/>
      <c r="L16" s="34"/>
      <c r="M16" s="54"/>
    </row>
    <row r="17" spans="1:13" s="2" customFormat="1" ht="14.1" customHeight="1" x14ac:dyDescent="0.3">
      <c r="A17" s="47">
        <v>8</v>
      </c>
      <c r="B17" s="48" t="s">
        <v>56</v>
      </c>
      <c r="C17" s="49"/>
      <c r="D17" s="56" t="s">
        <v>58</v>
      </c>
      <c r="E17" s="57"/>
      <c r="F17" s="57"/>
      <c r="G17" s="58"/>
      <c r="H17" s="53">
        <v>45.7</v>
      </c>
      <c r="I17" s="34">
        <f>SUM(H17)+1.6</f>
        <v>47.300000000000004</v>
      </c>
      <c r="J17" s="34">
        <f>SUM(I17)+1.6</f>
        <v>48.900000000000006</v>
      </c>
      <c r="K17" s="34"/>
      <c r="L17" s="34"/>
      <c r="M17" s="54"/>
    </row>
    <row r="18" spans="1:13" s="2" customFormat="1" ht="14.1" customHeight="1" x14ac:dyDescent="0.3">
      <c r="A18" s="47"/>
      <c r="B18" s="19" t="s">
        <v>57</v>
      </c>
      <c r="C18" s="19"/>
      <c r="D18" s="20" t="s">
        <v>239</v>
      </c>
      <c r="E18" s="21"/>
      <c r="F18" s="21"/>
      <c r="G18" s="22"/>
      <c r="H18" s="53"/>
      <c r="I18" s="34"/>
      <c r="J18" s="34"/>
      <c r="K18" s="34"/>
      <c r="L18" s="34"/>
      <c r="M18" s="54"/>
    </row>
    <row r="19" spans="1:13" s="2" customFormat="1" ht="14.1" customHeight="1" x14ac:dyDescent="0.3">
      <c r="A19" s="47">
        <v>9</v>
      </c>
      <c r="B19" s="145" t="s">
        <v>182</v>
      </c>
      <c r="C19" s="49"/>
      <c r="D19" s="56"/>
      <c r="E19" s="57"/>
      <c r="F19" s="57"/>
      <c r="G19" s="58"/>
      <c r="H19" s="59">
        <v>6</v>
      </c>
      <c r="I19" s="35">
        <f>SUM(H19)+0.2</f>
        <v>6.2</v>
      </c>
      <c r="J19" s="35">
        <f t="shared" ref="J19" si="0">SUM(I19)+0.2</f>
        <v>6.4</v>
      </c>
      <c r="K19" s="140"/>
      <c r="L19" s="140"/>
      <c r="M19" s="142"/>
    </row>
    <row r="20" spans="1:13" s="2" customFormat="1" ht="14.1" customHeight="1" x14ac:dyDescent="0.3">
      <c r="A20" s="47"/>
      <c r="B20" s="144" t="s">
        <v>183</v>
      </c>
      <c r="C20" s="46"/>
      <c r="D20" s="20" t="s">
        <v>184</v>
      </c>
      <c r="E20" s="21"/>
      <c r="F20" s="21"/>
      <c r="G20" s="22"/>
      <c r="H20" s="43"/>
      <c r="I20" s="32"/>
      <c r="J20" s="32"/>
      <c r="K20" s="141"/>
      <c r="L20" s="141"/>
      <c r="M20" s="143"/>
    </row>
    <row r="21" spans="1:13" s="2" customFormat="1" ht="14.1" customHeight="1" x14ac:dyDescent="0.3">
      <c r="A21" s="47">
        <v>10</v>
      </c>
      <c r="B21" s="55" t="s">
        <v>5</v>
      </c>
      <c r="C21" s="55"/>
      <c r="D21" s="60" t="s">
        <v>6</v>
      </c>
      <c r="E21" s="60"/>
      <c r="F21" s="60"/>
      <c r="G21" s="60"/>
      <c r="H21" s="53">
        <v>43</v>
      </c>
      <c r="I21" s="34">
        <f>SUM(H21)+1.9</f>
        <v>44.9</v>
      </c>
      <c r="J21" s="34">
        <f>SUM(I21)+1.9</f>
        <v>46.8</v>
      </c>
      <c r="K21" s="34"/>
      <c r="L21" s="34"/>
      <c r="M21" s="54"/>
    </row>
    <row r="22" spans="1:13" s="2" customFormat="1" ht="14.1" customHeight="1" x14ac:dyDescent="0.3">
      <c r="A22" s="47"/>
      <c r="B22" s="19" t="s">
        <v>17</v>
      </c>
      <c r="C22" s="19"/>
      <c r="D22" s="20" t="s">
        <v>29</v>
      </c>
      <c r="E22" s="21"/>
      <c r="F22" s="21"/>
      <c r="G22" s="22"/>
      <c r="H22" s="53"/>
      <c r="I22" s="34"/>
      <c r="J22" s="34"/>
      <c r="K22" s="34"/>
      <c r="L22" s="34"/>
      <c r="M22" s="54"/>
    </row>
    <row r="23" spans="1:13" s="2" customFormat="1" ht="14.1" customHeight="1" x14ac:dyDescent="0.3">
      <c r="A23" s="47">
        <v>11</v>
      </c>
      <c r="B23" s="55" t="s">
        <v>7</v>
      </c>
      <c r="C23" s="55"/>
      <c r="D23" s="56" t="s">
        <v>8</v>
      </c>
      <c r="E23" s="57"/>
      <c r="F23" s="57"/>
      <c r="G23" s="58"/>
      <c r="H23" s="53">
        <v>44</v>
      </c>
      <c r="I23" s="34">
        <f>SUM(H23)+2</f>
        <v>46</v>
      </c>
      <c r="J23" s="34">
        <f>SUM(I23)+2</f>
        <v>48</v>
      </c>
      <c r="K23" s="34"/>
      <c r="L23" s="34"/>
      <c r="M23" s="54"/>
    </row>
    <row r="24" spans="1:13" s="2" customFormat="1" ht="14.1" customHeight="1" x14ac:dyDescent="0.3">
      <c r="A24" s="47"/>
      <c r="B24" s="19" t="s">
        <v>18</v>
      </c>
      <c r="C24" s="19"/>
      <c r="D24" s="20" t="s">
        <v>36</v>
      </c>
      <c r="E24" s="21"/>
      <c r="F24" s="21"/>
      <c r="G24" s="22"/>
      <c r="H24" s="53"/>
      <c r="I24" s="34"/>
      <c r="J24" s="34"/>
      <c r="K24" s="34"/>
      <c r="L24" s="34"/>
      <c r="M24" s="54"/>
    </row>
    <row r="25" spans="1:13" s="2" customFormat="1" ht="14.1" customHeight="1" x14ac:dyDescent="0.3">
      <c r="A25" s="47">
        <v>12</v>
      </c>
      <c r="B25" s="48" t="s">
        <v>59</v>
      </c>
      <c r="C25" s="49"/>
      <c r="D25" s="60" t="s">
        <v>37</v>
      </c>
      <c r="E25" s="60"/>
      <c r="F25" s="60"/>
      <c r="G25" s="60"/>
      <c r="H25" s="53">
        <v>22</v>
      </c>
      <c r="I25" s="34">
        <f>SUM(H25)+1</f>
        <v>23</v>
      </c>
      <c r="J25" s="34">
        <f>SUM(I25)+1</f>
        <v>24</v>
      </c>
      <c r="K25" s="34"/>
      <c r="L25" s="34"/>
      <c r="M25" s="54"/>
    </row>
    <row r="26" spans="1:13" s="2" customFormat="1" ht="14.1" customHeight="1" x14ac:dyDescent="0.3">
      <c r="A26" s="47"/>
      <c r="B26" s="19" t="s">
        <v>19</v>
      </c>
      <c r="C26" s="19"/>
      <c r="D26" s="20" t="s">
        <v>307</v>
      </c>
      <c r="E26" s="21"/>
      <c r="F26" s="21"/>
      <c r="G26" s="22"/>
      <c r="H26" s="53"/>
      <c r="I26" s="34"/>
      <c r="J26" s="34"/>
      <c r="K26" s="34"/>
      <c r="L26" s="34"/>
      <c r="M26" s="54"/>
    </row>
    <row r="27" spans="1:13" s="2" customFormat="1" ht="14.1" customHeight="1" x14ac:dyDescent="0.3">
      <c r="A27" s="47">
        <v>13</v>
      </c>
      <c r="B27" s="48" t="s">
        <v>201</v>
      </c>
      <c r="C27" s="49"/>
      <c r="D27" s="50"/>
      <c r="E27" s="51"/>
      <c r="F27" s="51"/>
      <c r="G27" s="52"/>
      <c r="H27" s="53">
        <v>14.5</v>
      </c>
      <c r="I27" s="34">
        <f>SUM(H27)+0.6</f>
        <v>15.1</v>
      </c>
      <c r="J27" s="34">
        <f>SUM(I27)+0.6</f>
        <v>15.7</v>
      </c>
      <c r="K27" s="35"/>
      <c r="L27" s="35"/>
      <c r="M27" s="137"/>
    </row>
    <row r="28" spans="1:13" s="2" customFormat="1" ht="14.1" customHeight="1" x14ac:dyDescent="0.3">
      <c r="A28" s="47"/>
      <c r="B28" s="93" t="s">
        <v>202</v>
      </c>
      <c r="C28" s="94"/>
      <c r="D28" s="20"/>
      <c r="E28" s="21"/>
      <c r="F28" s="21"/>
      <c r="G28" s="22"/>
      <c r="H28" s="53"/>
      <c r="I28" s="34"/>
      <c r="J28" s="34"/>
      <c r="K28" s="32"/>
      <c r="L28" s="32"/>
      <c r="M28" s="139"/>
    </row>
    <row r="29" spans="1:13" s="2" customFormat="1" ht="14.1" customHeight="1" x14ac:dyDescent="0.3">
      <c r="A29" s="47">
        <v>14</v>
      </c>
      <c r="B29" s="48" t="s">
        <v>285</v>
      </c>
      <c r="C29" s="49"/>
      <c r="D29" s="60"/>
      <c r="E29" s="60"/>
      <c r="F29" s="60"/>
      <c r="G29" s="60"/>
      <c r="H29" s="53">
        <v>19</v>
      </c>
      <c r="I29" s="34">
        <f>SUM(H29)+0.5</f>
        <v>19.5</v>
      </c>
      <c r="J29" s="34">
        <f>SUM(I29)+0.5</f>
        <v>20</v>
      </c>
      <c r="K29" s="35"/>
      <c r="L29" s="35"/>
      <c r="M29" s="137"/>
    </row>
    <row r="30" spans="1:13" s="2" customFormat="1" ht="14.1" customHeight="1" x14ac:dyDescent="0.3">
      <c r="A30" s="47"/>
      <c r="B30" s="19" t="s">
        <v>286</v>
      </c>
      <c r="C30" s="19"/>
      <c r="D30" s="20"/>
      <c r="E30" s="21"/>
      <c r="F30" s="21"/>
      <c r="G30" s="22"/>
      <c r="H30" s="53"/>
      <c r="I30" s="34"/>
      <c r="J30" s="34"/>
      <c r="K30" s="32"/>
      <c r="L30" s="32"/>
      <c r="M30" s="139"/>
    </row>
    <row r="31" spans="1:13" ht="14.1" customHeight="1" x14ac:dyDescent="0.3">
      <c r="A31" s="47">
        <v>15</v>
      </c>
      <c r="B31" s="48" t="s">
        <v>131</v>
      </c>
      <c r="C31" s="49"/>
      <c r="D31" s="50"/>
      <c r="E31" s="51"/>
      <c r="F31" s="51"/>
      <c r="G31" s="52"/>
      <c r="H31" s="43">
        <v>13.5</v>
      </c>
      <c r="I31" s="34">
        <f>SUM(H31)+0.6</f>
        <v>14.1</v>
      </c>
      <c r="J31" s="34">
        <f>SUM(I31)+0.6</f>
        <v>14.7</v>
      </c>
      <c r="K31" s="32"/>
      <c r="L31" s="32"/>
      <c r="M31" s="139"/>
    </row>
    <row r="32" spans="1:13" ht="14.1" customHeight="1" x14ac:dyDescent="0.3">
      <c r="A32" s="47"/>
      <c r="B32" s="38" t="s">
        <v>130</v>
      </c>
      <c r="C32" s="39"/>
      <c r="D32" s="67" t="s">
        <v>289</v>
      </c>
      <c r="E32" s="68"/>
      <c r="F32" s="68"/>
      <c r="G32" s="69"/>
      <c r="H32" s="59"/>
      <c r="I32" s="34"/>
      <c r="J32" s="34"/>
      <c r="K32" s="34"/>
      <c r="L32" s="34"/>
      <c r="M32" s="88"/>
    </row>
    <row r="33" spans="1:13" ht="14.1" customHeight="1" x14ac:dyDescent="0.3">
      <c r="A33" s="47">
        <v>16</v>
      </c>
      <c r="B33" s="48" t="s">
        <v>170</v>
      </c>
      <c r="C33" s="49"/>
      <c r="D33" s="50"/>
      <c r="E33" s="51"/>
      <c r="F33" s="51"/>
      <c r="G33" s="52"/>
      <c r="H33" s="53">
        <v>6.5</v>
      </c>
      <c r="I33" s="34">
        <f>SUM(H33)+0.7</f>
        <v>7.2</v>
      </c>
      <c r="J33" s="34">
        <f>SUM(I33)+0.7</f>
        <v>7.9</v>
      </c>
      <c r="K33" s="35"/>
      <c r="L33" s="35"/>
      <c r="M33" s="137"/>
    </row>
    <row r="34" spans="1:13" ht="14.1" customHeight="1" thickBot="1" x14ac:dyDescent="0.35">
      <c r="A34" s="37"/>
      <c r="B34" s="27" t="s">
        <v>171</v>
      </c>
      <c r="C34" s="28"/>
      <c r="D34" s="29" t="s">
        <v>308</v>
      </c>
      <c r="E34" s="30"/>
      <c r="F34" s="30"/>
      <c r="G34" s="31"/>
      <c r="H34" s="44"/>
      <c r="I34" s="33"/>
      <c r="J34" s="33"/>
      <c r="K34" s="24"/>
      <c r="L34" s="24"/>
      <c r="M34" s="138"/>
    </row>
    <row r="35" spans="1:13" s="2" customFormat="1" ht="14.1" customHeight="1" x14ac:dyDescent="0.3"/>
    <row r="36" spans="1:13" s="2" customFormat="1" ht="14.1" customHeight="1" x14ac:dyDescent="0.3"/>
    <row r="37" spans="1:13" s="2" customFormat="1" ht="14.1" customHeight="1" x14ac:dyDescent="0.3"/>
    <row r="38" spans="1:13" s="2" customFormat="1" ht="14.1" customHeight="1" x14ac:dyDescent="0.3"/>
    <row r="39" spans="1:13" s="2" customFormat="1" ht="14.1" customHeight="1" x14ac:dyDescent="0.3"/>
    <row r="40" spans="1:13" s="2" customFormat="1" ht="14.1" customHeight="1" x14ac:dyDescent="0.3"/>
    <row r="41" spans="1:13" s="2" customFormat="1" ht="14.1" customHeight="1" x14ac:dyDescent="0.3"/>
    <row r="42" spans="1:13" s="2" customFormat="1" ht="14.1" customHeight="1" x14ac:dyDescent="0.3"/>
    <row r="43" spans="1:13" s="2" customFormat="1" ht="14.1" customHeight="1" x14ac:dyDescent="0.3"/>
    <row r="44" spans="1:13" s="2" customFormat="1" ht="14.1" customHeight="1" x14ac:dyDescent="0.3"/>
    <row r="45" spans="1:13" s="2" customFormat="1" ht="14.1" customHeight="1" x14ac:dyDescent="0.3"/>
    <row r="46" spans="1:13" s="2" customFormat="1" ht="14.1" customHeight="1" x14ac:dyDescent="0.3"/>
    <row r="47" spans="1:13" s="2" customFormat="1" ht="14.1" customHeight="1" x14ac:dyDescent="0.3"/>
    <row r="48" spans="1:13" s="2" customFormat="1" ht="14.1" customHeight="1" x14ac:dyDescent="0.3"/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/>
    <row r="54" spans="2:7" ht="14.1" customHeight="1" x14ac:dyDescent="0.3"/>
    <row r="55" spans="2:7" ht="14.1" customHeight="1" x14ac:dyDescent="0.3"/>
    <row r="56" spans="2:7" ht="14.1" customHeight="1" x14ac:dyDescent="0.3"/>
    <row r="57" spans="2:7" ht="14.1" customHeight="1" x14ac:dyDescent="0.3">
      <c r="B57" s="1"/>
      <c r="C57" s="1"/>
      <c r="D57" s="1"/>
      <c r="E57" s="1"/>
      <c r="F57" s="1"/>
      <c r="G57" s="1"/>
    </row>
    <row r="58" spans="2:7" ht="14.1" customHeight="1" x14ac:dyDescent="0.3">
      <c r="B58" s="1"/>
      <c r="C58" s="1"/>
      <c r="D58" s="1"/>
      <c r="E58" s="1"/>
      <c r="F58" s="1"/>
      <c r="G58" s="1"/>
    </row>
    <row r="59" spans="2:7" ht="14.1" customHeight="1" x14ac:dyDescent="0.3">
      <c r="B59" s="1"/>
      <c r="C59" s="1"/>
      <c r="D59" s="1"/>
      <c r="E59" s="1"/>
      <c r="F59" s="1"/>
      <c r="G59" s="1"/>
    </row>
    <row r="60" spans="2:7" x14ac:dyDescent="0.3">
      <c r="B60" s="1"/>
      <c r="C60" s="1"/>
      <c r="D60" s="1"/>
      <c r="E60" s="1"/>
      <c r="F60" s="1"/>
      <c r="G60" s="1"/>
    </row>
  </sheetData>
  <mergeCells count="179">
    <mergeCell ref="L3:L4"/>
    <mergeCell ref="M3:M4"/>
    <mergeCell ref="B4:C4"/>
    <mergeCell ref="D4:G4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B6:C6"/>
    <mergeCell ref="D6:G6"/>
    <mergeCell ref="A5:A6"/>
    <mergeCell ref="B5:C5"/>
    <mergeCell ref="D5:G5"/>
    <mergeCell ref="H5:H6"/>
    <mergeCell ref="I5:I6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9:J10"/>
    <mergeCell ref="K9:K10"/>
    <mergeCell ref="L9:L10"/>
    <mergeCell ref="M9:M10"/>
    <mergeCell ref="B10:C10"/>
    <mergeCell ref="D10:G10"/>
    <mergeCell ref="K7:K8"/>
    <mergeCell ref="L7:L8"/>
    <mergeCell ref="M7:M8"/>
    <mergeCell ref="B8:C8"/>
    <mergeCell ref="D8:G8"/>
    <mergeCell ref="J7:J8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J13:J14"/>
    <mergeCell ref="K13:K14"/>
    <mergeCell ref="L13:L14"/>
    <mergeCell ref="M13:M14"/>
    <mergeCell ref="B14:C14"/>
    <mergeCell ref="D14:G14"/>
    <mergeCell ref="K11:K12"/>
    <mergeCell ref="L11:L12"/>
    <mergeCell ref="M11:M12"/>
    <mergeCell ref="B12:C12"/>
    <mergeCell ref="D12:G12"/>
    <mergeCell ref="J11:J12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15" type="noConversion"/>
  <pageMargins left="0.46875" right="0.46875" top="0.75" bottom="0.75" header="0.3" footer="0.3"/>
  <pageSetup paperSize="9" scale="9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352BA-3245-40C9-93BA-D8EECCB90DF6}">
  <sheetPr>
    <tabColor rgb="FFFF0000"/>
  </sheetPr>
  <dimension ref="A1:M47"/>
  <sheetViews>
    <sheetView topLeftCell="A7" zoomScale="110" zoomScaleNormal="110" zoomScalePageLayoutView="110" workbookViewId="0">
      <selection activeCell="B25" sqref="B25:G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8" customWidth="1"/>
    <col min="8" max="13" width="5.5" customWidth="1"/>
  </cols>
  <sheetData>
    <row r="1" spans="1:13" ht="16.5" customHeight="1" thickBot="1" x14ac:dyDescent="0.35">
      <c r="A1" s="62" t="s">
        <v>277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66">
        <v>1</v>
      </c>
      <c r="B3" s="80" t="s">
        <v>64</v>
      </c>
      <c r="C3" s="80"/>
      <c r="D3" s="81" t="s">
        <v>63</v>
      </c>
      <c r="E3" s="81"/>
      <c r="F3" s="81"/>
      <c r="G3" s="82"/>
      <c r="H3" s="70">
        <v>49</v>
      </c>
      <c r="I3" s="71">
        <f>SUM(H3)+3</f>
        <v>52</v>
      </c>
      <c r="J3" s="71">
        <f>SUM(I3)+3</f>
        <v>55</v>
      </c>
      <c r="K3" s="72"/>
      <c r="L3" s="72"/>
      <c r="M3" s="73"/>
    </row>
    <row r="4" spans="1:13" s="2" customFormat="1" ht="14.1" customHeight="1" x14ac:dyDescent="0.3">
      <c r="A4" s="47"/>
      <c r="B4" s="19" t="s">
        <v>62</v>
      </c>
      <c r="C4" s="19"/>
      <c r="D4" s="20" t="s">
        <v>61</v>
      </c>
      <c r="E4" s="21"/>
      <c r="F4" s="21"/>
      <c r="G4" s="22"/>
      <c r="H4" s="53"/>
      <c r="I4" s="34"/>
      <c r="J4" s="34"/>
      <c r="K4" s="32"/>
      <c r="L4" s="32"/>
      <c r="M4" s="18"/>
    </row>
    <row r="5" spans="1:13" s="2" customFormat="1" ht="14.1" customHeight="1" x14ac:dyDescent="0.3">
      <c r="A5" s="47">
        <v>2</v>
      </c>
      <c r="B5" s="48" t="s">
        <v>21</v>
      </c>
      <c r="C5" s="49"/>
      <c r="D5" s="56" t="s">
        <v>22</v>
      </c>
      <c r="E5" s="57"/>
      <c r="F5" s="57"/>
      <c r="G5" s="58"/>
      <c r="H5" s="59">
        <v>33</v>
      </c>
      <c r="I5" s="35">
        <f>SUM(H5)+2.6</f>
        <v>35.6</v>
      </c>
      <c r="J5" s="35">
        <f>SUM(I5)+2.6</f>
        <v>38.200000000000003</v>
      </c>
      <c r="K5" s="34"/>
      <c r="L5" s="34"/>
      <c r="M5" s="54"/>
    </row>
    <row r="6" spans="1:13" s="2" customFormat="1" ht="14.1" customHeight="1" x14ac:dyDescent="0.3">
      <c r="A6" s="47"/>
      <c r="B6" s="45" t="s">
        <v>12</v>
      </c>
      <c r="C6" s="46"/>
      <c r="D6" s="20" t="s">
        <v>25</v>
      </c>
      <c r="E6" s="21"/>
      <c r="F6" s="21"/>
      <c r="G6" s="22"/>
      <c r="H6" s="43"/>
      <c r="I6" s="32"/>
      <c r="J6" s="32"/>
      <c r="K6" s="34"/>
      <c r="L6" s="34"/>
      <c r="M6" s="54"/>
    </row>
    <row r="7" spans="1:13" s="2" customFormat="1" ht="14.1" customHeight="1" x14ac:dyDescent="0.3">
      <c r="A7" s="47">
        <v>3</v>
      </c>
      <c r="B7" s="55" t="s">
        <v>20</v>
      </c>
      <c r="C7" s="55"/>
      <c r="D7" s="60" t="s">
        <v>11</v>
      </c>
      <c r="E7" s="60"/>
      <c r="F7" s="60"/>
      <c r="G7" s="60"/>
      <c r="H7" s="59">
        <v>38</v>
      </c>
      <c r="I7" s="35">
        <f>SUM(H7)+3</f>
        <v>41</v>
      </c>
      <c r="J7" s="35">
        <f>SUM(I7)+3</f>
        <v>44</v>
      </c>
      <c r="K7" s="34"/>
      <c r="L7" s="34"/>
      <c r="M7" s="54"/>
    </row>
    <row r="8" spans="1:13" s="2" customFormat="1" ht="14.1" customHeight="1" x14ac:dyDescent="0.3">
      <c r="A8" s="47"/>
      <c r="B8" s="19" t="s">
        <v>23</v>
      </c>
      <c r="C8" s="19"/>
      <c r="D8" s="20" t="s">
        <v>26</v>
      </c>
      <c r="E8" s="21"/>
      <c r="F8" s="21"/>
      <c r="G8" s="22"/>
      <c r="H8" s="43"/>
      <c r="I8" s="32"/>
      <c r="J8" s="32"/>
      <c r="K8" s="34"/>
      <c r="L8" s="34"/>
      <c r="M8" s="54"/>
    </row>
    <row r="9" spans="1:13" s="2" customFormat="1" ht="14.1" customHeight="1" x14ac:dyDescent="0.3">
      <c r="A9" s="47">
        <v>4</v>
      </c>
      <c r="B9" s="55" t="s">
        <v>24</v>
      </c>
      <c r="C9" s="55"/>
      <c r="D9" s="60" t="s">
        <v>9</v>
      </c>
      <c r="E9" s="60"/>
      <c r="F9" s="60"/>
      <c r="G9" s="60"/>
      <c r="H9" s="59">
        <v>38</v>
      </c>
      <c r="I9" s="35">
        <f>SUM(H9)+3</f>
        <v>41</v>
      </c>
      <c r="J9" s="35">
        <f>SUM(I9)+3</f>
        <v>44</v>
      </c>
      <c r="K9" s="34"/>
      <c r="L9" s="34"/>
      <c r="M9" s="54"/>
    </row>
    <row r="10" spans="1:13" s="2" customFormat="1" ht="14.1" customHeight="1" x14ac:dyDescent="0.3">
      <c r="A10" s="47"/>
      <c r="B10" s="19" t="s">
        <v>13</v>
      </c>
      <c r="C10" s="19"/>
      <c r="D10" s="20" t="s">
        <v>27</v>
      </c>
      <c r="E10" s="21"/>
      <c r="F10" s="21"/>
      <c r="G10" s="22"/>
      <c r="H10" s="43"/>
      <c r="I10" s="32"/>
      <c r="J10" s="32"/>
      <c r="K10" s="34"/>
      <c r="L10" s="34"/>
      <c r="M10" s="54"/>
    </row>
    <row r="11" spans="1:13" s="2" customFormat="1" ht="14.1" customHeight="1" x14ac:dyDescent="0.3">
      <c r="A11" s="47">
        <v>5</v>
      </c>
      <c r="B11" s="55" t="s">
        <v>10</v>
      </c>
      <c r="C11" s="55"/>
      <c r="D11" s="60" t="s">
        <v>0</v>
      </c>
      <c r="E11" s="60"/>
      <c r="F11" s="60"/>
      <c r="G11" s="60"/>
      <c r="H11" s="53">
        <v>16.2</v>
      </c>
      <c r="I11" s="34">
        <f>SUM(H11)+1</f>
        <v>17.2</v>
      </c>
      <c r="J11" s="34">
        <f>SUM(I11)+1</f>
        <v>18.2</v>
      </c>
      <c r="K11" s="34"/>
      <c r="L11" s="34"/>
      <c r="M11" s="54"/>
    </row>
    <row r="12" spans="1:13" s="2" customFormat="1" ht="14.1" customHeight="1" x14ac:dyDescent="0.3">
      <c r="A12" s="47"/>
      <c r="B12" s="19" t="s">
        <v>14</v>
      </c>
      <c r="C12" s="19"/>
      <c r="D12" s="20" t="s">
        <v>28</v>
      </c>
      <c r="E12" s="21"/>
      <c r="F12" s="21"/>
      <c r="G12" s="22"/>
      <c r="H12" s="53"/>
      <c r="I12" s="34"/>
      <c r="J12" s="34"/>
      <c r="K12" s="34"/>
      <c r="L12" s="34"/>
      <c r="M12" s="54"/>
    </row>
    <row r="13" spans="1:13" s="2" customFormat="1" ht="14.1" customHeight="1" x14ac:dyDescent="0.3">
      <c r="A13" s="47">
        <v>6</v>
      </c>
      <c r="B13" s="55" t="s">
        <v>1</v>
      </c>
      <c r="C13" s="55"/>
      <c r="D13" s="60" t="s">
        <v>132</v>
      </c>
      <c r="E13" s="60"/>
      <c r="F13" s="60"/>
      <c r="G13" s="60"/>
      <c r="H13" s="53">
        <v>16.5</v>
      </c>
      <c r="I13" s="34">
        <f>SUM(H13)+0.6</f>
        <v>17.100000000000001</v>
      </c>
      <c r="J13" s="34">
        <f>SUM(I13)+0.6</f>
        <v>17.700000000000003</v>
      </c>
      <c r="K13" s="34"/>
      <c r="L13" s="34"/>
      <c r="M13" s="54"/>
    </row>
    <row r="14" spans="1:13" s="2" customFormat="1" ht="14.1" customHeight="1" x14ac:dyDescent="0.3">
      <c r="A14" s="47"/>
      <c r="B14" s="19" t="s">
        <v>15</v>
      </c>
      <c r="C14" s="19"/>
      <c r="D14" s="20" t="s">
        <v>127</v>
      </c>
      <c r="E14" s="21"/>
      <c r="F14" s="21"/>
      <c r="G14" s="22"/>
      <c r="H14" s="53"/>
      <c r="I14" s="34"/>
      <c r="J14" s="34"/>
      <c r="K14" s="34"/>
      <c r="L14" s="34"/>
      <c r="M14" s="54"/>
    </row>
    <row r="15" spans="1:13" s="2" customFormat="1" ht="14.1" customHeight="1" x14ac:dyDescent="0.3">
      <c r="A15" s="47">
        <v>7</v>
      </c>
      <c r="B15" s="55" t="s">
        <v>3</v>
      </c>
      <c r="C15" s="55"/>
      <c r="D15" s="60" t="s">
        <v>4</v>
      </c>
      <c r="E15" s="60"/>
      <c r="F15" s="60"/>
      <c r="G15" s="60"/>
      <c r="H15" s="53">
        <v>6.6</v>
      </c>
      <c r="I15" s="34">
        <f>SUM(H15)+0.3</f>
        <v>6.8999999999999995</v>
      </c>
      <c r="J15" s="34">
        <f>SUM(I15)+0.3</f>
        <v>7.1999999999999993</v>
      </c>
      <c r="K15" s="34"/>
      <c r="L15" s="34"/>
      <c r="M15" s="54"/>
    </row>
    <row r="16" spans="1:13" s="2" customFormat="1" ht="14.1" customHeight="1" x14ac:dyDescent="0.3">
      <c r="A16" s="47"/>
      <c r="B16" s="19" t="s">
        <v>16</v>
      </c>
      <c r="C16" s="19"/>
      <c r="D16" s="20" t="s">
        <v>126</v>
      </c>
      <c r="E16" s="21"/>
      <c r="F16" s="21"/>
      <c r="G16" s="22"/>
      <c r="H16" s="53"/>
      <c r="I16" s="34"/>
      <c r="J16" s="34"/>
      <c r="K16" s="34"/>
      <c r="L16" s="34"/>
      <c r="M16" s="54"/>
    </row>
    <row r="17" spans="1:13" s="2" customFormat="1" ht="14.1" customHeight="1" x14ac:dyDescent="0.3">
      <c r="A17" s="47">
        <v>8</v>
      </c>
      <c r="B17" s="48" t="s">
        <v>56</v>
      </c>
      <c r="C17" s="49"/>
      <c r="D17" s="56" t="s">
        <v>58</v>
      </c>
      <c r="E17" s="57"/>
      <c r="F17" s="57"/>
      <c r="G17" s="58"/>
      <c r="H17" s="53">
        <v>44</v>
      </c>
      <c r="I17" s="34">
        <f>SUM(H17)+1.6</f>
        <v>45.6</v>
      </c>
      <c r="J17" s="34">
        <f>SUM(I17)+1.6</f>
        <v>47.2</v>
      </c>
      <c r="K17" s="34"/>
      <c r="L17" s="34"/>
      <c r="M17" s="54"/>
    </row>
    <row r="18" spans="1:13" s="2" customFormat="1" ht="14.1" customHeight="1" x14ac:dyDescent="0.3">
      <c r="A18" s="47"/>
      <c r="B18" s="19" t="s">
        <v>57</v>
      </c>
      <c r="C18" s="19"/>
      <c r="D18" s="20" t="s">
        <v>125</v>
      </c>
      <c r="E18" s="21"/>
      <c r="F18" s="21"/>
      <c r="G18" s="22"/>
      <c r="H18" s="53"/>
      <c r="I18" s="34"/>
      <c r="J18" s="34"/>
      <c r="K18" s="34"/>
      <c r="L18" s="34"/>
      <c r="M18" s="54"/>
    </row>
    <row r="19" spans="1:13" s="2" customFormat="1" ht="14.1" customHeight="1" x14ac:dyDescent="0.3">
      <c r="A19" s="47">
        <v>9</v>
      </c>
      <c r="B19" s="55" t="s">
        <v>5</v>
      </c>
      <c r="C19" s="55"/>
      <c r="D19" s="60" t="s">
        <v>6</v>
      </c>
      <c r="E19" s="60"/>
      <c r="F19" s="60"/>
      <c r="G19" s="60"/>
      <c r="H19" s="53">
        <v>54</v>
      </c>
      <c r="I19" s="34">
        <f>SUM(H19)+2.7</f>
        <v>56.7</v>
      </c>
      <c r="J19" s="34">
        <f>SUM(I19)+2.7</f>
        <v>59.400000000000006</v>
      </c>
      <c r="K19" s="34"/>
      <c r="L19" s="34"/>
      <c r="M19" s="54"/>
    </row>
    <row r="20" spans="1:13" s="2" customFormat="1" ht="14.1" customHeight="1" x14ac:dyDescent="0.3">
      <c r="A20" s="47"/>
      <c r="B20" s="19" t="s">
        <v>17</v>
      </c>
      <c r="C20" s="19"/>
      <c r="D20" s="20" t="s">
        <v>29</v>
      </c>
      <c r="E20" s="21"/>
      <c r="F20" s="21"/>
      <c r="G20" s="22"/>
      <c r="H20" s="53"/>
      <c r="I20" s="34"/>
      <c r="J20" s="34"/>
      <c r="K20" s="34"/>
      <c r="L20" s="34"/>
      <c r="M20" s="54"/>
    </row>
    <row r="21" spans="1:13" s="2" customFormat="1" ht="14.1" customHeight="1" x14ac:dyDescent="0.3">
      <c r="A21" s="47">
        <v>10</v>
      </c>
      <c r="B21" s="55" t="s">
        <v>7</v>
      </c>
      <c r="C21" s="55"/>
      <c r="D21" s="56" t="s">
        <v>8</v>
      </c>
      <c r="E21" s="57"/>
      <c r="F21" s="57"/>
      <c r="G21" s="58"/>
      <c r="H21" s="53">
        <v>27.4</v>
      </c>
      <c r="I21" s="34">
        <f>SUM(H21)+1.7</f>
        <v>29.099999999999998</v>
      </c>
      <c r="J21" s="34">
        <f>SUM(I21)+1.7</f>
        <v>30.799999999999997</v>
      </c>
      <c r="K21" s="34"/>
      <c r="L21" s="34"/>
      <c r="M21" s="54"/>
    </row>
    <row r="22" spans="1:13" s="2" customFormat="1" ht="14.1" customHeight="1" x14ac:dyDescent="0.3">
      <c r="A22" s="47"/>
      <c r="B22" s="19" t="s">
        <v>18</v>
      </c>
      <c r="C22" s="19"/>
      <c r="D22" s="20" t="s">
        <v>36</v>
      </c>
      <c r="E22" s="21"/>
      <c r="F22" s="21"/>
      <c r="G22" s="22"/>
      <c r="H22" s="53"/>
      <c r="I22" s="34"/>
      <c r="J22" s="34"/>
      <c r="K22" s="34"/>
      <c r="L22" s="34"/>
      <c r="M22" s="54"/>
    </row>
    <row r="23" spans="1:13" s="2" customFormat="1" ht="14.1" customHeight="1" x14ac:dyDescent="0.3">
      <c r="A23" s="47">
        <v>11</v>
      </c>
      <c r="B23" s="48" t="s">
        <v>59</v>
      </c>
      <c r="C23" s="49"/>
      <c r="D23" s="60" t="s">
        <v>37</v>
      </c>
      <c r="E23" s="60"/>
      <c r="F23" s="60"/>
      <c r="G23" s="60"/>
      <c r="H23" s="53">
        <v>18</v>
      </c>
      <c r="I23" s="34">
        <f>SUM(H23)+0.8</f>
        <v>18.8</v>
      </c>
      <c r="J23" s="34">
        <f>SUM(I23)+0.8</f>
        <v>19.600000000000001</v>
      </c>
      <c r="K23" s="34"/>
      <c r="L23" s="34"/>
      <c r="M23" s="54"/>
    </row>
    <row r="24" spans="1:13" s="2" customFormat="1" ht="14.1" customHeight="1" x14ac:dyDescent="0.3">
      <c r="A24" s="47"/>
      <c r="B24" s="19" t="s">
        <v>19</v>
      </c>
      <c r="C24" s="19"/>
      <c r="D24" s="20" t="s">
        <v>38</v>
      </c>
      <c r="E24" s="21"/>
      <c r="F24" s="21"/>
      <c r="G24" s="22"/>
      <c r="H24" s="53"/>
      <c r="I24" s="34"/>
      <c r="J24" s="34"/>
      <c r="K24" s="34"/>
      <c r="L24" s="34"/>
      <c r="M24" s="54"/>
    </row>
    <row r="25" spans="1:13" s="2" customFormat="1" ht="14.1" customHeight="1" x14ac:dyDescent="0.3">
      <c r="A25" s="47">
        <v>12</v>
      </c>
      <c r="B25" s="48" t="s">
        <v>285</v>
      </c>
      <c r="C25" s="49"/>
      <c r="D25" s="60"/>
      <c r="E25" s="60"/>
      <c r="F25" s="60"/>
      <c r="G25" s="60"/>
      <c r="H25" s="53">
        <v>9</v>
      </c>
      <c r="I25" s="34">
        <f>SUM(H25)+0.2</f>
        <v>9.1999999999999993</v>
      </c>
      <c r="J25" s="34">
        <f>SUM(I25)+0.2</f>
        <v>9.3999999999999986</v>
      </c>
      <c r="K25" s="34"/>
      <c r="L25" s="34"/>
      <c r="M25" s="54"/>
    </row>
    <row r="26" spans="1:13" s="2" customFormat="1" ht="14.1" customHeight="1" x14ac:dyDescent="0.3">
      <c r="A26" s="47"/>
      <c r="B26" s="19" t="s">
        <v>286</v>
      </c>
      <c r="C26" s="19"/>
      <c r="D26" s="20"/>
      <c r="E26" s="21"/>
      <c r="F26" s="21"/>
      <c r="G26" s="22"/>
      <c r="H26" s="53"/>
      <c r="I26" s="34"/>
      <c r="J26" s="34"/>
      <c r="K26" s="34"/>
      <c r="L26" s="34"/>
      <c r="M26" s="54"/>
    </row>
    <row r="27" spans="1:13" s="2" customFormat="1" ht="14.1" customHeight="1" x14ac:dyDescent="0.3">
      <c r="A27" s="47">
        <v>13</v>
      </c>
      <c r="B27" s="48"/>
      <c r="C27" s="49"/>
      <c r="D27" s="50"/>
      <c r="E27" s="51"/>
      <c r="F27" s="51"/>
      <c r="G27" s="52"/>
      <c r="H27" s="53"/>
      <c r="I27" s="34"/>
      <c r="J27" s="34"/>
      <c r="K27" s="35"/>
      <c r="L27" s="35"/>
      <c r="M27" s="17"/>
    </row>
    <row r="28" spans="1:13" s="2" customFormat="1" ht="14.1" customHeight="1" thickBot="1" x14ac:dyDescent="0.35">
      <c r="A28" s="47"/>
      <c r="B28" s="38"/>
      <c r="C28" s="39"/>
      <c r="D28" s="67"/>
      <c r="E28" s="68"/>
      <c r="F28" s="68"/>
      <c r="G28" s="69"/>
      <c r="H28" s="59"/>
      <c r="I28" s="35"/>
      <c r="J28" s="35"/>
      <c r="K28" s="23"/>
      <c r="L28" s="23"/>
      <c r="M28" s="25"/>
    </row>
    <row r="29" spans="1:13" s="2" customFormat="1" ht="14.1" customHeight="1" thickTop="1" x14ac:dyDescent="0.3">
      <c r="A29" s="124">
        <v>14</v>
      </c>
      <c r="B29" s="125" t="s">
        <v>281</v>
      </c>
      <c r="C29" s="126"/>
      <c r="D29" s="127"/>
      <c r="E29" s="128"/>
      <c r="F29" s="128"/>
      <c r="G29" s="129"/>
      <c r="H29" s="130">
        <v>28.4</v>
      </c>
      <c r="I29" s="131">
        <f>SUM(H29)+2.1</f>
        <v>30.5</v>
      </c>
      <c r="J29" s="131">
        <f>SUM(I29)+2.1</f>
        <v>32.6</v>
      </c>
      <c r="K29" s="132"/>
      <c r="L29" s="132"/>
      <c r="M29" s="133"/>
    </row>
    <row r="30" spans="1:13" s="2" customFormat="1" ht="14.1" customHeight="1" x14ac:dyDescent="0.3">
      <c r="A30" s="47"/>
      <c r="B30" s="45" t="s">
        <v>278</v>
      </c>
      <c r="C30" s="46"/>
      <c r="D30" s="20" t="s">
        <v>181</v>
      </c>
      <c r="E30" s="21"/>
      <c r="F30" s="21"/>
      <c r="G30" s="22"/>
      <c r="H30" s="53"/>
      <c r="I30" s="34"/>
      <c r="J30" s="34"/>
      <c r="K30" s="32"/>
      <c r="L30" s="32"/>
      <c r="M30" s="18"/>
    </row>
    <row r="31" spans="1:13" s="2" customFormat="1" ht="14.1" customHeight="1" x14ac:dyDescent="0.3">
      <c r="A31" s="36">
        <v>15</v>
      </c>
      <c r="B31" s="38" t="s">
        <v>280</v>
      </c>
      <c r="C31" s="39"/>
      <c r="D31" s="40"/>
      <c r="E31" s="41"/>
      <c r="F31" s="41"/>
      <c r="G31" s="42"/>
      <c r="H31" s="43">
        <v>33.5</v>
      </c>
      <c r="I31" s="32">
        <f>SUM(H31)+2.4</f>
        <v>35.9</v>
      </c>
      <c r="J31" s="32">
        <f>SUM(I31)+2.4</f>
        <v>38.299999999999997</v>
      </c>
      <c r="K31" s="23"/>
      <c r="L31" s="23"/>
      <c r="M31" s="25"/>
    </row>
    <row r="32" spans="1:13" s="2" customFormat="1" ht="14.1" customHeight="1" x14ac:dyDescent="0.3">
      <c r="A32" s="47"/>
      <c r="B32" s="45" t="s">
        <v>279</v>
      </c>
      <c r="C32" s="46"/>
      <c r="D32" s="20" t="s">
        <v>167</v>
      </c>
      <c r="E32" s="21"/>
      <c r="F32" s="21"/>
      <c r="G32" s="22"/>
      <c r="H32" s="53"/>
      <c r="I32" s="34"/>
      <c r="J32" s="34"/>
      <c r="K32" s="32"/>
      <c r="L32" s="32"/>
      <c r="M32" s="18"/>
    </row>
    <row r="33" spans="1:13" s="2" customFormat="1" ht="14.1" customHeight="1" x14ac:dyDescent="0.3">
      <c r="A33" s="47">
        <v>16</v>
      </c>
      <c r="B33" s="48" t="s">
        <v>282</v>
      </c>
      <c r="C33" s="49"/>
      <c r="D33" s="60"/>
      <c r="E33" s="60"/>
      <c r="F33" s="60"/>
      <c r="G33" s="60"/>
      <c r="H33" s="53">
        <v>20.8</v>
      </c>
      <c r="I33" s="34">
        <f>SUM(H33)+1.1</f>
        <v>21.900000000000002</v>
      </c>
      <c r="J33" s="34">
        <f>SUM(I33)+1.1</f>
        <v>23.000000000000004</v>
      </c>
      <c r="K33" s="35"/>
      <c r="L33" s="35"/>
      <c r="M33" s="17"/>
    </row>
    <row r="34" spans="1:13" s="2" customFormat="1" ht="14.1" customHeight="1" x14ac:dyDescent="0.3">
      <c r="A34" s="47"/>
      <c r="B34" s="45" t="s">
        <v>283</v>
      </c>
      <c r="C34" s="46"/>
      <c r="D34" s="20" t="s">
        <v>284</v>
      </c>
      <c r="E34" s="21"/>
      <c r="F34" s="21"/>
      <c r="G34" s="22"/>
      <c r="H34" s="53"/>
      <c r="I34" s="34"/>
      <c r="J34" s="34"/>
      <c r="K34" s="32"/>
      <c r="L34" s="32"/>
      <c r="M34" s="18"/>
    </row>
    <row r="35" spans="1:13" s="2" customFormat="1" ht="14.1" customHeight="1" x14ac:dyDescent="0.3">
      <c r="A35" s="36">
        <v>17</v>
      </c>
      <c r="B35" s="38" t="s">
        <v>230</v>
      </c>
      <c r="C35" s="39"/>
      <c r="D35" s="134" t="s">
        <v>11</v>
      </c>
      <c r="E35" s="134"/>
      <c r="F35" s="134"/>
      <c r="G35" s="134"/>
      <c r="H35" s="43">
        <v>38</v>
      </c>
      <c r="I35" s="32">
        <f>SUM(H35)+3</f>
        <v>41</v>
      </c>
      <c r="J35" s="32">
        <f>SUM(I35)+3</f>
        <v>44</v>
      </c>
      <c r="K35" s="23"/>
      <c r="L35" s="23"/>
      <c r="M35" s="25"/>
    </row>
    <row r="36" spans="1:13" s="2" customFormat="1" ht="14.1" customHeight="1" x14ac:dyDescent="0.3">
      <c r="A36" s="47"/>
      <c r="B36" s="38" t="s">
        <v>231</v>
      </c>
      <c r="C36" s="39"/>
      <c r="D36" s="20" t="s">
        <v>26</v>
      </c>
      <c r="E36" s="21"/>
      <c r="F36" s="21"/>
      <c r="G36" s="22"/>
      <c r="H36" s="53"/>
      <c r="I36" s="34"/>
      <c r="J36" s="34"/>
      <c r="K36" s="32"/>
      <c r="L36" s="32"/>
      <c r="M36" s="18"/>
    </row>
    <row r="37" spans="1:13" ht="14.1" customHeight="1" x14ac:dyDescent="0.3">
      <c r="A37" s="75">
        <v>18</v>
      </c>
      <c r="B37" s="48" t="s">
        <v>131</v>
      </c>
      <c r="C37" s="49"/>
      <c r="D37" s="50"/>
      <c r="E37" s="51"/>
      <c r="F37" s="51"/>
      <c r="G37" s="52"/>
      <c r="H37" s="59">
        <v>6.5</v>
      </c>
      <c r="I37" s="35">
        <f>SUM(H37)+0.6</f>
        <v>7.1</v>
      </c>
      <c r="J37" s="35">
        <f>SUM(I37)+0.6</f>
        <v>7.6999999999999993</v>
      </c>
      <c r="K37" s="35"/>
      <c r="L37" s="35"/>
      <c r="M37" s="17"/>
    </row>
    <row r="38" spans="1:13" ht="14.1" customHeight="1" x14ac:dyDescent="0.3">
      <c r="A38" s="36"/>
      <c r="B38" s="45" t="s">
        <v>130</v>
      </c>
      <c r="C38" s="46"/>
      <c r="D38" s="20"/>
      <c r="E38" s="21"/>
      <c r="F38" s="21"/>
      <c r="G38" s="22"/>
      <c r="H38" s="43"/>
      <c r="I38" s="32"/>
      <c r="J38" s="32"/>
      <c r="K38" s="32"/>
      <c r="L38" s="32"/>
      <c r="M38" s="18"/>
    </row>
    <row r="39" spans="1:13" ht="14.1" customHeight="1" x14ac:dyDescent="0.3">
      <c r="A39" s="47">
        <v>19</v>
      </c>
      <c r="B39" s="48" t="s">
        <v>170</v>
      </c>
      <c r="C39" s="49"/>
      <c r="D39" s="60"/>
      <c r="E39" s="60"/>
      <c r="F39" s="60"/>
      <c r="G39" s="60"/>
      <c r="H39" s="53">
        <v>4.5</v>
      </c>
      <c r="I39" s="34">
        <f>SUM(H39)+0.4</f>
        <v>4.9000000000000004</v>
      </c>
      <c r="J39" s="34">
        <f>SUM(I39)+0.4</f>
        <v>5.3000000000000007</v>
      </c>
      <c r="K39" s="34"/>
      <c r="L39" s="34"/>
      <c r="M39" s="88"/>
    </row>
    <row r="40" spans="1:13" ht="14.1" customHeight="1" thickBot="1" x14ac:dyDescent="0.35">
      <c r="A40" s="37"/>
      <c r="B40" s="27" t="s">
        <v>171</v>
      </c>
      <c r="C40" s="28"/>
      <c r="D40" s="29"/>
      <c r="E40" s="30"/>
      <c r="F40" s="30"/>
      <c r="G40" s="30"/>
      <c r="H40" s="44"/>
      <c r="I40" s="33"/>
      <c r="J40" s="33"/>
      <c r="K40" s="33"/>
      <c r="L40" s="33"/>
      <c r="M40" s="89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>
      <c r="B42" s="1"/>
      <c r="C42" s="1"/>
      <c r="D42" s="1"/>
      <c r="E42" s="1"/>
      <c r="F42" s="1"/>
      <c r="G42" s="1"/>
    </row>
    <row r="43" spans="1:13" ht="14.1" customHeight="1" x14ac:dyDescent="0.3">
      <c r="B43" s="1"/>
      <c r="C43" s="1"/>
      <c r="D43" s="1"/>
      <c r="E43" s="1"/>
      <c r="F43" s="1"/>
      <c r="G43" s="1"/>
    </row>
    <row r="44" spans="1:13" ht="14.1" customHeight="1" x14ac:dyDescent="0.3">
      <c r="B44" s="1"/>
      <c r="C44" s="1"/>
      <c r="D44" s="1"/>
      <c r="E44" s="1"/>
      <c r="F44" s="1"/>
      <c r="G44" s="1"/>
    </row>
    <row r="45" spans="1:13" ht="14.1" customHeight="1" x14ac:dyDescent="0.3"/>
    <row r="46" spans="1:13" ht="14.1" customHeight="1" x14ac:dyDescent="0.3"/>
    <row r="47" spans="1:13" ht="14.1" customHeight="1" x14ac:dyDescent="0.3"/>
  </sheetData>
  <mergeCells count="212">
    <mergeCell ref="K35:K36"/>
    <mergeCell ref="L35:L36"/>
    <mergeCell ref="M35:M36"/>
    <mergeCell ref="B36:C36"/>
    <mergeCell ref="D36:G36"/>
    <mergeCell ref="K25:K26"/>
    <mergeCell ref="L25:L26"/>
    <mergeCell ref="M25:M26"/>
    <mergeCell ref="B26:C26"/>
    <mergeCell ref="D26:G26"/>
    <mergeCell ref="J25:J26"/>
    <mergeCell ref="J33:J34"/>
    <mergeCell ref="K33:K34"/>
    <mergeCell ref="L33:L34"/>
    <mergeCell ref="M33:M34"/>
    <mergeCell ref="K31:K32"/>
    <mergeCell ref="L31:L32"/>
    <mergeCell ref="M31:M32"/>
    <mergeCell ref="J29:J30"/>
    <mergeCell ref="K29:K30"/>
    <mergeCell ref="L29:L30"/>
    <mergeCell ref="M29:M30"/>
    <mergeCell ref="K27:K28"/>
    <mergeCell ref="L27:L28"/>
    <mergeCell ref="A25:A26"/>
    <mergeCell ref="B25:C25"/>
    <mergeCell ref="D25:G25"/>
    <mergeCell ref="H25:H26"/>
    <mergeCell ref="I25:I26"/>
    <mergeCell ref="B34:C34"/>
    <mergeCell ref="D34:G34"/>
    <mergeCell ref="B32:C32"/>
    <mergeCell ref="D32:G32"/>
    <mergeCell ref="B30:C30"/>
    <mergeCell ref="D30:G30"/>
    <mergeCell ref="K39:K40"/>
    <mergeCell ref="L39:L40"/>
    <mergeCell ref="M39:M40"/>
    <mergeCell ref="B40:C40"/>
    <mergeCell ref="D40:G40"/>
    <mergeCell ref="A33:A34"/>
    <mergeCell ref="B33:C33"/>
    <mergeCell ref="D33:G33"/>
    <mergeCell ref="H33:H34"/>
    <mergeCell ref="I33:I34"/>
    <mergeCell ref="A39:A40"/>
    <mergeCell ref="B39:C39"/>
    <mergeCell ref="D39:G39"/>
    <mergeCell ref="H39:H40"/>
    <mergeCell ref="I39:I40"/>
    <mergeCell ref="J39:J40"/>
    <mergeCell ref="J37:J38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A31:A32"/>
    <mergeCell ref="B31:C31"/>
    <mergeCell ref="D31:G31"/>
    <mergeCell ref="H31:H32"/>
    <mergeCell ref="I31:I32"/>
    <mergeCell ref="J31:J32"/>
    <mergeCell ref="A35:A36"/>
    <mergeCell ref="B35:C35"/>
    <mergeCell ref="D35:G35"/>
    <mergeCell ref="H35:H36"/>
    <mergeCell ref="I35:I36"/>
    <mergeCell ref="J35:J36"/>
    <mergeCell ref="M27:M28"/>
    <mergeCell ref="B28:C28"/>
    <mergeCell ref="D28:G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7:J28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5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B2E9-6DC0-4394-837A-E45B184A4CF3}">
  <sheetPr>
    <tabColor rgb="FFFF0000"/>
  </sheetPr>
  <dimension ref="A1:P47"/>
  <sheetViews>
    <sheetView zoomScale="110" zoomScaleNormal="110" zoomScalePageLayoutView="110" workbookViewId="0">
      <selection activeCell="B29" sqref="B29:G3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6" width="8.125" customWidth="1"/>
    <col min="7" max="7" width="8" customWidth="1"/>
    <col min="8" max="13" width="5.5" customWidth="1"/>
  </cols>
  <sheetData>
    <row r="1" spans="1:13" ht="16.5" customHeight="1" thickBot="1" x14ac:dyDescent="0.35">
      <c r="A1" s="62" t="s">
        <v>287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 x14ac:dyDescent="0.35">
      <c r="A2" s="3" t="s">
        <v>30</v>
      </c>
      <c r="B2" s="65" t="s">
        <v>31</v>
      </c>
      <c r="C2" s="65"/>
      <c r="D2" s="65" t="s">
        <v>32</v>
      </c>
      <c r="E2" s="65"/>
      <c r="F2" s="65"/>
      <c r="G2" s="65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66">
        <v>1</v>
      </c>
      <c r="B3" s="80" t="s">
        <v>64</v>
      </c>
      <c r="C3" s="80"/>
      <c r="D3" s="81" t="s">
        <v>63</v>
      </c>
      <c r="E3" s="81"/>
      <c r="F3" s="81"/>
      <c r="G3" s="82"/>
      <c r="H3" s="70">
        <v>51</v>
      </c>
      <c r="I3" s="71">
        <f>SUM(H3)+3</f>
        <v>54</v>
      </c>
      <c r="J3" s="71">
        <f>SUM(I3)+3</f>
        <v>57</v>
      </c>
      <c r="K3" s="72"/>
      <c r="L3" s="72"/>
      <c r="M3" s="73"/>
    </row>
    <row r="4" spans="1:13" s="2" customFormat="1" ht="14.1" customHeight="1" x14ac:dyDescent="0.3">
      <c r="A4" s="75"/>
      <c r="B4" s="79" t="s">
        <v>62</v>
      </c>
      <c r="C4" s="79"/>
      <c r="D4" s="67" t="s">
        <v>61</v>
      </c>
      <c r="E4" s="68"/>
      <c r="F4" s="68"/>
      <c r="G4" s="69"/>
      <c r="H4" s="59"/>
      <c r="I4" s="35"/>
      <c r="J4" s="35"/>
      <c r="K4" s="23"/>
      <c r="L4" s="23"/>
      <c r="M4" s="25"/>
    </row>
    <row r="5" spans="1:13" s="2" customFormat="1" ht="14.1" customHeight="1" x14ac:dyDescent="0.3">
      <c r="A5" s="75">
        <v>2</v>
      </c>
      <c r="B5" s="48" t="s">
        <v>228</v>
      </c>
      <c r="C5" s="49"/>
      <c r="D5" s="60"/>
      <c r="E5" s="60"/>
      <c r="F5" s="60"/>
      <c r="G5" s="56"/>
      <c r="H5" s="59">
        <v>47</v>
      </c>
      <c r="I5" s="35">
        <f>SUM(H5)+3</f>
        <v>50</v>
      </c>
      <c r="J5" s="35">
        <f>SUM(I5)+3</f>
        <v>53</v>
      </c>
      <c r="K5" s="35"/>
      <c r="L5" s="35"/>
      <c r="M5" s="17"/>
    </row>
    <row r="6" spans="1:13" s="2" customFormat="1" ht="14.1" customHeight="1" x14ac:dyDescent="0.3">
      <c r="A6" s="36"/>
      <c r="B6" s="45" t="s">
        <v>229</v>
      </c>
      <c r="C6" s="46"/>
      <c r="D6" s="20" t="s">
        <v>288</v>
      </c>
      <c r="E6" s="21"/>
      <c r="F6" s="21"/>
      <c r="G6" s="22"/>
      <c r="H6" s="43"/>
      <c r="I6" s="32"/>
      <c r="J6" s="32"/>
      <c r="K6" s="32"/>
      <c r="L6" s="32"/>
      <c r="M6" s="18"/>
    </row>
    <row r="7" spans="1:13" s="2" customFormat="1" ht="14.1" customHeight="1" x14ac:dyDescent="0.3">
      <c r="A7" s="75">
        <v>3</v>
      </c>
      <c r="B7" s="48" t="s">
        <v>21</v>
      </c>
      <c r="C7" s="49"/>
      <c r="D7" s="56" t="s">
        <v>22</v>
      </c>
      <c r="E7" s="57"/>
      <c r="F7" s="57"/>
      <c r="G7" s="58"/>
      <c r="H7" s="59">
        <v>35</v>
      </c>
      <c r="I7" s="35">
        <f>SUM(H7)+2.6</f>
        <v>37.6</v>
      </c>
      <c r="J7" s="35">
        <f>SUM(I7)+2.6</f>
        <v>40.200000000000003</v>
      </c>
      <c r="K7" s="35"/>
      <c r="L7" s="35"/>
      <c r="M7" s="17"/>
    </row>
    <row r="8" spans="1:13" s="2" customFormat="1" ht="14.1" customHeight="1" x14ac:dyDescent="0.3">
      <c r="A8" s="36"/>
      <c r="B8" s="45" t="s">
        <v>12</v>
      </c>
      <c r="C8" s="46"/>
      <c r="D8" s="20" t="s">
        <v>25</v>
      </c>
      <c r="E8" s="21"/>
      <c r="F8" s="21"/>
      <c r="G8" s="22"/>
      <c r="H8" s="43"/>
      <c r="I8" s="32"/>
      <c r="J8" s="32"/>
      <c r="K8" s="32"/>
      <c r="L8" s="32"/>
      <c r="M8" s="18"/>
    </row>
    <row r="9" spans="1:13" s="2" customFormat="1" ht="14.1" customHeight="1" x14ac:dyDescent="0.3">
      <c r="A9" s="75">
        <v>4</v>
      </c>
      <c r="B9" s="55" t="s">
        <v>20</v>
      </c>
      <c r="C9" s="55"/>
      <c r="D9" s="60" t="s">
        <v>11</v>
      </c>
      <c r="E9" s="60"/>
      <c r="F9" s="60"/>
      <c r="G9" s="60"/>
      <c r="H9" s="59">
        <v>41.5</v>
      </c>
      <c r="I9" s="35">
        <f>SUM(H9)+3</f>
        <v>44.5</v>
      </c>
      <c r="J9" s="35">
        <f>SUM(I9)+3</f>
        <v>47.5</v>
      </c>
      <c r="K9" s="34"/>
      <c r="L9" s="34"/>
      <c r="M9" s="54"/>
    </row>
    <row r="10" spans="1:13" s="2" customFormat="1" ht="14.1" customHeight="1" x14ac:dyDescent="0.3">
      <c r="A10" s="36"/>
      <c r="B10" s="19" t="s">
        <v>23</v>
      </c>
      <c r="C10" s="19"/>
      <c r="D10" s="20" t="s">
        <v>26</v>
      </c>
      <c r="E10" s="21"/>
      <c r="F10" s="21"/>
      <c r="G10" s="22"/>
      <c r="H10" s="43"/>
      <c r="I10" s="32"/>
      <c r="J10" s="32"/>
      <c r="K10" s="34"/>
      <c r="L10" s="34"/>
      <c r="M10" s="54"/>
    </row>
    <row r="11" spans="1:13" s="2" customFormat="1" ht="14.1" customHeight="1" x14ac:dyDescent="0.3">
      <c r="A11" s="75">
        <v>5</v>
      </c>
      <c r="B11" s="55" t="s">
        <v>24</v>
      </c>
      <c r="C11" s="55"/>
      <c r="D11" s="60" t="s">
        <v>9</v>
      </c>
      <c r="E11" s="60"/>
      <c r="F11" s="60"/>
      <c r="G11" s="60"/>
      <c r="H11" s="59">
        <v>41.5</v>
      </c>
      <c r="I11" s="35">
        <f>SUM(H11)+3</f>
        <v>44.5</v>
      </c>
      <c r="J11" s="35">
        <f>SUM(I11)+3</f>
        <v>47.5</v>
      </c>
      <c r="K11" s="34"/>
      <c r="L11" s="34"/>
      <c r="M11" s="54"/>
    </row>
    <row r="12" spans="1:13" s="2" customFormat="1" ht="14.1" customHeight="1" x14ac:dyDescent="0.3">
      <c r="A12" s="36"/>
      <c r="B12" s="19" t="s">
        <v>13</v>
      </c>
      <c r="C12" s="19"/>
      <c r="D12" s="20" t="s">
        <v>27</v>
      </c>
      <c r="E12" s="21"/>
      <c r="F12" s="21"/>
      <c r="G12" s="22"/>
      <c r="H12" s="43"/>
      <c r="I12" s="32"/>
      <c r="J12" s="32"/>
      <c r="K12" s="34"/>
      <c r="L12" s="34"/>
      <c r="M12" s="54"/>
    </row>
    <row r="13" spans="1:13" s="2" customFormat="1" ht="14.1" customHeight="1" x14ac:dyDescent="0.3">
      <c r="A13" s="75">
        <v>6</v>
      </c>
      <c r="B13" s="55" t="s">
        <v>10</v>
      </c>
      <c r="C13" s="55"/>
      <c r="D13" s="60" t="s">
        <v>0</v>
      </c>
      <c r="E13" s="60"/>
      <c r="F13" s="60"/>
      <c r="G13" s="60"/>
      <c r="H13" s="53">
        <v>16.8</v>
      </c>
      <c r="I13" s="34">
        <f>SUM(H13)+1</f>
        <v>17.8</v>
      </c>
      <c r="J13" s="34">
        <f>SUM(I13)+1</f>
        <v>18.8</v>
      </c>
      <c r="K13" s="34"/>
      <c r="L13" s="34"/>
      <c r="M13" s="54"/>
    </row>
    <row r="14" spans="1:13" s="2" customFormat="1" ht="14.1" customHeight="1" x14ac:dyDescent="0.3">
      <c r="A14" s="36"/>
      <c r="B14" s="19" t="s">
        <v>14</v>
      </c>
      <c r="C14" s="19"/>
      <c r="D14" s="20" t="s">
        <v>28</v>
      </c>
      <c r="E14" s="21"/>
      <c r="F14" s="21"/>
      <c r="G14" s="22"/>
      <c r="H14" s="53"/>
      <c r="I14" s="34"/>
      <c r="J14" s="34"/>
      <c r="K14" s="34"/>
      <c r="L14" s="34"/>
      <c r="M14" s="54"/>
    </row>
    <row r="15" spans="1:13" s="2" customFormat="1" ht="14.1" customHeight="1" x14ac:dyDescent="0.3">
      <c r="A15" s="75">
        <v>7</v>
      </c>
      <c r="B15" s="55" t="s">
        <v>1</v>
      </c>
      <c r="C15" s="55"/>
      <c r="D15" s="60" t="s">
        <v>132</v>
      </c>
      <c r="E15" s="60"/>
      <c r="F15" s="60"/>
      <c r="G15" s="60"/>
      <c r="H15" s="53">
        <v>16</v>
      </c>
      <c r="I15" s="34">
        <f>SUM(H15)+0.6</f>
        <v>16.600000000000001</v>
      </c>
      <c r="J15" s="34">
        <f>SUM(I15)+0.6</f>
        <v>17.200000000000003</v>
      </c>
      <c r="K15" s="34"/>
      <c r="L15" s="34"/>
      <c r="M15" s="54"/>
    </row>
    <row r="16" spans="1:13" s="2" customFormat="1" ht="14.1" customHeight="1" x14ac:dyDescent="0.3">
      <c r="A16" s="36"/>
      <c r="B16" s="19" t="s">
        <v>272</v>
      </c>
      <c r="C16" s="19"/>
      <c r="D16" s="20" t="s">
        <v>127</v>
      </c>
      <c r="E16" s="21"/>
      <c r="F16" s="21"/>
      <c r="G16" s="22"/>
      <c r="H16" s="53"/>
      <c r="I16" s="34"/>
      <c r="J16" s="34"/>
      <c r="K16" s="34"/>
      <c r="L16" s="34"/>
      <c r="M16" s="54"/>
    </row>
    <row r="17" spans="1:16" s="2" customFormat="1" ht="14.1" customHeight="1" x14ac:dyDescent="0.3">
      <c r="A17" s="75">
        <v>8</v>
      </c>
      <c r="B17" s="55" t="s">
        <v>3</v>
      </c>
      <c r="C17" s="55"/>
      <c r="D17" s="60" t="s">
        <v>4</v>
      </c>
      <c r="E17" s="60"/>
      <c r="F17" s="60"/>
      <c r="G17" s="60"/>
      <c r="H17" s="53">
        <v>7.8</v>
      </c>
      <c r="I17" s="34">
        <f>SUM(H17)+0.3</f>
        <v>8.1</v>
      </c>
      <c r="J17" s="34">
        <f>SUM(I17)+0.3</f>
        <v>8.4</v>
      </c>
      <c r="K17" s="34"/>
      <c r="L17" s="34"/>
      <c r="M17" s="54"/>
    </row>
    <row r="18" spans="1:16" s="2" customFormat="1" ht="14.1" customHeight="1" x14ac:dyDescent="0.3">
      <c r="A18" s="36"/>
      <c r="B18" s="19" t="s">
        <v>16</v>
      </c>
      <c r="C18" s="19"/>
      <c r="D18" s="20" t="s">
        <v>126</v>
      </c>
      <c r="E18" s="21"/>
      <c r="F18" s="21"/>
      <c r="G18" s="22"/>
      <c r="H18" s="53"/>
      <c r="I18" s="34"/>
      <c r="J18" s="34"/>
      <c r="K18" s="34"/>
      <c r="L18" s="34"/>
      <c r="M18" s="54"/>
    </row>
    <row r="19" spans="1:16" s="2" customFormat="1" ht="14.1" customHeight="1" x14ac:dyDescent="0.3">
      <c r="A19" s="75">
        <v>9</v>
      </c>
      <c r="B19" s="48" t="s">
        <v>56</v>
      </c>
      <c r="C19" s="49"/>
      <c r="D19" s="56" t="s">
        <v>58</v>
      </c>
      <c r="E19" s="57"/>
      <c r="F19" s="57"/>
      <c r="G19" s="58"/>
      <c r="H19" s="53">
        <v>47</v>
      </c>
      <c r="I19" s="34">
        <f>SUM(H19)+1.6</f>
        <v>48.6</v>
      </c>
      <c r="J19" s="34">
        <f>SUM(I19)+1.6</f>
        <v>50.2</v>
      </c>
      <c r="K19" s="34"/>
      <c r="L19" s="34"/>
      <c r="M19" s="54"/>
    </row>
    <row r="20" spans="1:16" s="2" customFormat="1" ht="14.1" customHeight="1" x14ac:dyDescent="0.3">
      <c r="A20" s="36"/>
      <c r="B20" s="19" t="s">
        <v>291</v>
      </c>
      <c r="C20" s="19"/>
      <c r="D20" s="20" t="s">
        <v>125</v>
      </c>
      <c r="E20" s="21"/>
      <c r="F20" s="21"/>
      <c r="G20" s="22"/>
      <c r="H20" s="53"/>
      <c r="I20" s="34"/>
      <c r="J20" s="34"/>
      <c r="K20" s="34"/>
      <c r="L20" s="34"/>
      <c r="M20" s="54"/>
    </row>
    <row r="21" spans="1:16" s="2" customFormat="1" ht="14.1" customHeight="1" x14ac:dyDescent="0.3">
      <c r="A21" s="75">
        <v>10</v>
      </c>
      <c r="B21" s="55" t="s">
        <v>5</v>
      </c>
      <c r="C21" s="55"/>
      <c r="D21" s="60" t="s">
        <v>6</v>
      </c>
      <c r="E21" s="60"/>
      <c r="F21" s="60"/>
      <c r="G21" s="60"/>
      <c r="H21" s="53">
        <v>53.5</v>
      </c>
      <c r="I21" s="34">
        <f>SUM(H21)+2.7</f>
        <v>56.2</v>
      </c>
      <c r="J21" s="34">
        <f>SUM(I21)+2.7</f>
        <v>58.900000000000006</v>
      </c>
      <c r="K21" s="34"/>
      <c r="L21" s="34"/>
      <c r="M21" s="54"/>
    </row>
    <row r="22" spans="1:16" s="2" customFormat="1" ht="14.1" customHeight="1" x14ac:dyDescent="0.3">
      <c r="A22" s="36"/>
      <c r="B22" s="19" t="s">
        <v>17</v>
      </c>
      <c r="C22" s="19"/>
      <c r="D22" s="20" t="s">
        <v>29</v>
      </c>
      <c r="E22" s="21"/>
      <c r="F22" s="21"/>
      <c r="G22" s="22"/>
      <c r="H22" s="53"/>
      <c r="I22" s="34"/>
      <c r="J22" s="34"/>
      <c r="K22" s="34"/>
      <c r="L22" s="34"/>
      <c r="M22" s="54"/>
    </row>
    <row r="23" spans="1:16" s="2" customFormat="1" ht="14.1" customHeight="1" x14ac:dyDescent="0.3">
      <c r="A23" s="75">
        <v>11</v>
      </c>
      <c r="B23" s="55" t="s">
        <v>7</v>
      </c>
      <c r="C23" s="55"/>
      <c r="D23" s="56" t="s">
        <v>8</v>
      </c>
      <c r="E23" s="57"/>
      <c r="F23" s="57"/>
      <c r="G23" s="58"/>
      <c r="H23" s="53">
        <v>29</v>
      </c>
      <c r="I23" s="34">
        <f>SUM(H23)+1.7</f>
        <v>30.7</v>
      </c>
      <c r="J23" s="34">
        <f>SUM(I23)+1.7</f>
        <v>32.4</v>
      </c>
      <c r="K23" s="34"/>
      <c r="L23" s="34"/>
      <c r="M23" s="54"/>
      <c r="P23" s="2" t="s">
        <v>294</v>
      </c>
    </row>
    <row r="24" spans="1:16" s="2" customFormat="1" ht="14.1" customHeight="1" x14ac:dyDescent="0.3">
      <c r="A24" s="36"/>
      <c r="B24" s="19" t="s">
        <v>18</v>
      </c>
      <c r="C24" s="19"/>
      <c r="D24" s="20" t="s">
        <v>36</v>
      </c>
      <c r="E24" s="21"/>
      <c r="F24" s="21"/>
      <c r="G24" s="22"/>
      <c r="H24" s="53"/>
      <c r="I24" s="34"/>
      <c r="J24" s="34"/>
      <c r="K24" s="34"/>
      <c r="L24" s="34"/>
      <c r="M24" s="54"/>
      <c r="P24" s="2">
        <f>SUM(H27+H27+I27+I27+J27+J27)</f>
        <v>51</v>
      </c>
    </row>
    <row r="25" spans="1:16" s="2" customFormat="1" ht="14.1" customHeight="1" x14ac:dyDescent="0.3">
      <c r="A25" s="75">
        <v>12</v>
      </c>
      <c r="B25" s="48" t="s">
        <v>59</v>
      </c>
      <c r="C25" s="49"/>
      <c r="D25" s="60" t="s">
        <v>37</v>
      </c>
      <c r="E25" s="60"/>
      <c r="F25" s="60"/>
      <c r="G25" s="60"/>
      <c r="H25" s="53">
        <v>21</v>
      </c>
      <c r="I25" s="34">
        <f>SUM(H25)+0.8</f>
        <v>21.8</v>
      </c>
      <c r="J25" s="34">
        <f>SUM(I25)+0.8</f>
        <v>22.6</v>
      </c>
      <c r="K25" s="34"/>
      <c r="L25" s="34"/>
      <c r="M25" s="54"/>
      <c r="P25" s="2">
        <f>SUM(P24/91.44/3*1.08)</f>
        <v>0.20078740157480315</v>
      </c>
    </row>
    <row r="26" spans="1:16" s="2" customFormat="1" ht="14.1" customHeight="1" x14ac:dyDescent="0.3">
      <c r="A26" s="36"/>
      <c r="B26" s="19" t="s">
        <v>19</v>
      </c>
      <c r="C26" s="19"/>
      <c r="D26" s="20" t="s">
        <v>38</v>
      </c>
      <c r="E26" s="21"/>
      <c r="F26" s="21"/>
      <c r="G26" s="22"/>
      <c r="H26" s="53"/>
      <c r="I26" s="34"/>
      <c r="J26" s="34"/>
      <c r="K26" s="34"/>
      <c r="L26" s="34"/>
      <c r="M26" s="54"/>
    </row>
    <row r="27" spans="1:16" s="2" customFormat="1" ht="14.1" customHeight="1" x14ac:dyDescent="0.3">
      <c r="A27" s="75">
        <v>13</v>
      </c>
      <c r="B27" s="48" t="s">
        <v>292</v>
      </c>
      <c r="C27" s="49"/>
      <c r="D27" s="50"/>
      <c r="E27" s="51"/>
      <c r="F27" s="51"/>
      <c r="G27" s="52"/>
      <c r="H27" s="53">
        <v>8</v>
      </c>
      <c r="I27" s="34">
        <f>SUM(H27)+0.5</f>
        <v>8.5</v>
      </c>
      <c r="J27" s="34">
        <f>SUM(I27)+0.5</f>
        <v>9</v>
      </c>
      <c r="K27" s="35"/>
      <c r="L27" s="35"/>
      <c r="M27" s="17"/>
    </row>
    <row r="28" spans="1:16" s="2" customFormat="1" ht="14.1" customHeight="1" x14ac:dyDescent="0.3">
      <c r="A28" s="36"/>
      <c r="B28" s="38" t="s">
        <v>293</v>
      </c>
      <c r="C28" s="39"/>
      <c r="D28" s="67"/>
      <c r="E28" s="68"/>
      <c r="F28" s="68"/>
      <c r="G28" s="69"/>
      <c r="H28" s="59"/>
      <c r="I28" s="35"/>
      <c r="J28" s="35"/>
      <c r="K28" s="23"/>
      <c r="L28" s="23"/>
      <c r="M28" s="25"/>
    </row>
    <row r="29" spans="1:16" s="2" customFormat="1" ht="14.1" customHeight="1" x14ac:dyDescent="0.3">
      <c r="A29" s="75">
        <v>14</v>
      </c>
      <c r="B29" s="48" t="s">
        <v>131</v>
      </c>
      <c r="C29" s="49"/>
      <c r="D29" s="50"/>
      <c r="E29" s="51"/>
      <c r="F29" s="51"/>
      <c r="G29" s="52"/>
      <c r="H29" s="53">
        <v>15</v>
      </c>
      <c r="I29" s="34">
        <f>SUM(H29)+0.7</f>
        <v>15.7</v>
      </c>
      <c r="J29" s="34">
        <f>SUM(I29)+0.7</f>
        <v>16.399999999999999</v>
      </c>
      <c r="K29" s="35"/>
      <c r="L29" s="35"/>
      <c r="M29" s="17"/>
    </row>
    <row r="30" spans="1:16" s="2" customFormat="1" ht="14.1" customHeight="1" x14ac:dyDescent="0.3">
      <c r="A30" s="36"/>
      <c r="B30" s="38" t="s">
        <v>130</v>
      </c>
      <c r="C30" s="39"/>
      <c r="D30" s="67" t="s">
        <v>289</v>
      </c>
      <c r="E30" s="68"/>
      <c r="F30" s="68"/>
      <c r="G30" s="69"/>
      <c r="H30" s="59"/>
      <c r="I30" s="35"/>
      <c r="J30" s="35"/>
      <c r="K30" s="32"/>
      <c r="L30" s="32"/>
      <c r="M30" s="18"/>
    </row>
    <row r="31" spans="1:16" s="2" customFormat="1" ht="14.1" customHeight="1" x14ac:dyDescent="0.3">
      <c r="A31" s="78">
        <v>15</v>
      </c>
      <c r="B31" s="48" t="s">
        <v>170</v>
      </c>
      <c r="C31" s="49"/>
      <c r="D31" s="50"/>
      <c r="E31" s="51"/>
      <c r="F31" s="51"/>
      <c r="G31" s="52"/>
      <c r="H31" s="53">
        <v>6.4</v>
      </c>
      <c r="I31" s="34">
        <f>SUM(H31)+0.5</f>
        <v>6.9</v>
      </c>
      <c r="J31" s="34">
        <f>SUM(I31)+0.5</f>
        <v>7.4</v>
      </c>
      <c r="K31" s="23"/>
      <c r="L31" s="23"/>
      <c r="M31" s="25"/>
    </row>
    <row r="32" spans="1:16" s="2" customFormat="1" ht="14.1" customHeight="1" x14ac:dyDescent="0.3">
      <c r="A32" s="36"/>
      <c r="B32" s="45" t="s">
        <v>171</v>
      </c>
      <c r="C32" s="46"/>
      <c r="D32" s="20" t="s">
        <v>290</v>
      </c>
      <c r="E32" s="21"/>
      <c r="F32" s="21"/>
      <c r="G32" s="22"/>
      <c r="H32" s="53"/>
      <c r="I32" s="34"/>
      <c r="J32" s="34"/>
      <c r="K32" s="32"/>
      <c r="L32" s="32"/>
      <c r="M32" s="18"/>
    </row>
    <row r="33" spans="1:13" s="2" customFormat="1" ht="14.1" customHeight="1" x14ac:dyDescent="0.3">
      <c r="A33" s="75">
        <v>16</v>
      </c>
      <c r="B33" s="48"/>
      <c r="C33" s="49"/>
      <c r="D33" s="50"/>
      <c r="E33" s="51"/>
      <c r="F33" s="51"/>
      <c r="G33" s="52"/>
      <c r="H33" s="53"/>
      <c r="I33" s="34"/>
      <c r="J33" s="34"/>
      <c r="K33" s="35"/>
      <c r="L33" s="35"/>
      <c r="M33" s="17"/>
    </row>
    <row r="34" spans="1:13" s="2" customFormat="1" ht="14.1" customHeight="1" x14ac:dyDescent="0.3">
      <c r="A34" s="36"/>
      <c r="B34" s="38"/>
      <c r="C34" s="39"/>
      <c r="D34" s="67"/>
      <c r="E34" s="68"/>
      <c r="F34" s="68"/>
      <c r="G34" s="69"/>
      <c r="H34" s="59"/>
      <c r="I34" s="35"/>
      <c r="J34" s="35"/>
      <c r="K34" s="23"/>
      <c r="L34" s="23"/>
      <c r="M34" s="25"/>
    </row>
    <row r="35" spans="1:13" s="2" customFormat="1" ht="14.1" customHeight="1" x14ac:dyDescent="0.3">
      <c r="A35" s="47">
        <v>17</v>
      </c>
      <c r="B35" s="48"/>
      <c r="C35" s="49"/>
      <c r="D35" s="60"/>
      <c r="E35" s="60"/>
      <c r="F35" s="60"/>
      <c r="G35" s="60"/>
      <c r="H35" s="53"/>
      <c r="I35" s="34"/>
      <c r="J35" s="34"/>
      <c r="K35" s="34"/>
      <c r="L35" s="34"/>
      <c r="M35" s="88"/>
    </row>
    <row r="36" spans="1:13" s="2" customFormat="1" ht="14.1" customHeight="1" thickBot="1" x14ac:dyDescent="0.35">
      <c r="A36" s="37"/>
      <c r="B36" s="27"/>
      <c r="C36" s="28"/>
      <c r="D36" s="29"/>
      <c r="E36" s="30"/>
      <c r="F36" s="30"/>
      <c r="G36" s="30"/>
      <c r="H36" s="44"/>
      <c r="I36" s="33"/>
      <c r="J36" s="33"/>
      <c r="K36" s="33"/>
      <c r="L36" s="33"/>
      <c r="M36" s="89"/>
    </row>
    <row r="37" spans="1:13" ht="14.1" customHeight="1" x14ac:dyDescent="0.3">
      <c r="B37" s="1"/>
      <c r="C37" s="1"/>
      <c r="D37" s="1"/>
      <c r="E37" s="1"/>
      <c r="F37" s="1"/>
      <c r="G37" s="1"/>
    </row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15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20</vt:i4>
      </vt:variant>
      <vt:variant>
        <vt:lpstr>이름 지정된 범위</vt:lpstr>
      </vt:variant>
      <vt:variant>
        <vt:i4>20</vt:i4>
      </vt:variant>
    </vt:vector>
  </HeadingPairs>
  <TitlesOfParts>
    <vt:vector size="40" baseType="lpstr">
      <vt:lpstr>OU01</vt:lpstr>
      <vt:lpstr>OU02</vt:lpstr>
      <vt:lpstr>OU03(니트)</vt:lpstr>
      <vt:lpstr>OU04</vt:lpstr>
      <vt:lpstr>OU05</vt:lpstr>
      <vt:lpstr>OU06(니트)</vt:lpstr>
      <vt:lpstr>PT01</vt:lpstr>
      <vt:lpstr>PT02</vt:lpstr>
      <vt:lpstr>PT03</vt:lpstr>
      <vt:lpstr>PT04</vt:lpstr>
      <vt:lpstr>PT05(완사입)</vt:lpstr>
      <vt:lpstr>PT06(완사입)</vt:lpstr>
      <vt:lpstr>SK01</vt:lpstr>
      <vt:lpstr>TO01</vt:lpstr>
      <vt:lpstr>TO02</vt:lpstr>
      <vt:lpstr>TO03</vt:lpstr>
      <vt:lpstr>TO04</vt:lpstr>
      <vt:lpstr>TO05</vt:lpstr>
      <vt:lpstr>TO06</vt:lpstr>
      <vt:lpstr>TO07</vt:lpstr>
      <vt:lpstr>'OU01'!Print_Area</vt:lpstr>
      <vt:lpstr>'OU02'!Print_Area</vt:lpstr>
      <vt:lpstr>'OU03(니트)'!Print_Area</vt:lpstr>
      <vt:lpstr>'OU04'!Print_Area</vt:lpstr>
      <vt:lpstr>'OU05'!Print_Area</vt:lpstr>
      <vt:lpstr>'OU06(니트)'!Print_Area</vt:lpstr>
      <vt:lpstr>'PT01'!Print_Area</vt:lpstr>
      <vt:lpstr>'PT02'!Print_Area</vt:lpstr>
      <vt:lpstr>'PT03'!Print_Area</vt:lpstr>
      <vt:lpstr>'PT04'!Print_Area</vt:lpstr>
      <vt:lpstr>'PT05(완사입)'!Print_Area</vt:lpstr>
      <vt:lpstr>'PT06(완사입)'!Print_Area</vt:lpstr>
      <vt:lpstr>'SK01'!Print_Area</vt:lpstr>
      <vt:lpstr>'TO01'!Print_Area</vt:lpstr>
      <vt:lpstr>'TO02'!Print_Area</vt:lpstr>
      <vt:lpstr>'TO03'!Print_Area</vt:lpstr>
      <vt:lpstr>'TO04'!Print_Area</vt:lpstr>
      <vt:lpstr>'TO05'!Print_Area</vt:lpstr>
      <vt:lpstr>'TO06'!Print_Area</vt:lpstr>
      <vt:lpstr>'TO07'!Print_Area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2026-07-08T05:34:00Z</cp:lastPrinted>
  <dcterms:created xsi:type="dcterms:W3CDTF">2018-05-14T06:17:18Z</dcterms:created>
  <dcterms:modified xsi:type="dcterms:W3CDTF">2026-07-08T05:36:03Z</dcterms:modified>
</cp:coreProperties>
</file>