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c221212\Documents\EZMessenger 받은 파일\"/>
    </mc:Choice>
  </mc:AlternateContent>
  <xr:revisionPtr revIDLastSave="0" documentId="8_{28AFA827-498E-44FE-8976-2A40AEE642CC}" xr6:coauthVersionLast="47" xr6:coauthVersionMax="47" xr10:uidLastSave="{00000000-0000-0000-0000-000000000000}"/>
  <bookViews>
    <workbookView xWindow="3255" yWindow="195" windowWidth="19515" windowHeight="15330" tabRatio="772" activeTab="1" xr2:uid="{248B8E69-6C34-46C8-9649-87D2B01A7065}"/>
  </bookViews>
  <sheets>
    <sheet name="OP05" sheetId="2534" r:id="rId1"/>
    <sheet name="SE09" sheetId="2526" r:id="rId2"/>
  </sheets>
  <definedNames>
    <definedName name="_xlnm.Print_Area" localSheetId="0">'OP05'!$A$1:$M$38</definedName>
    <definedName name="_xlnm.Print_Area" localSheetId="1">'SE09'!$A$1:$M$40</definedName>
  </definedNames>
  <calcPr calcId="191029"/>
</workbook>
</file>

<file path=xl/calcChain.xml><?xml version="1.0" encoding="utf-8"?>
<calcChain xmlns="http://schemas.openxmlformats.org/spreadsheetml/2006/main">
  <c r="K35" i="2534" l="1"/>
  <c r="L35" i="2534" s="1"/>
  <c r="M35" i="2534" s="1"/>
  <c r="I35" i="2534"/>
  <c r="H35" i="2534" s="1"/>
  <c r="K33" i="2534"/>
  <c r="L33" i="2534" s="1"/>
  <c r="M33" i="2534" s="1"/>
  <c r="I33" i="2534"/>
  <c r="H33" i="2534"/>
  <c r="K31" i="2534"/>
  <c r="L31" i="2534" s="1"/>
  <c r="M31" i="2534" s="1"/>
  <c r="I31" i="2534"/>
  <c r="H31" i="2534"/>
  <c r="K29" i="2534"/>
  <c r="L29" i="2534" s="1"/>
  <c r="M29" i="2534" s="1"/>
  <c r="I29" i="2534"/>
  <c r="H29" i="2534" s="1"/>
  <c r="K27" i="2534"/>
  <c r="L27" i="2534" s="1"/>
  <c r="M27" i="2534" s="1"/>
  <c r="I27" i="2534"/>
  <c r="H27" i="2534"/>
  <c r="K25" i="2534"/>
  <c r="L25" i="2534" s="1"/>
  <c r="M25" i="2534" s="1"/>
  <c r="I25" i="2534"/>
  <c r="H25" i="2534" s="1"/>
  <c r="K23" i="2534"/>
  <c r="L23" i="2534" s="1"/>
  <c r="M23" i="2534" s="1"/>
  <c r="I23" i="2534"/>
  <c r="H23" i="2534"/>
  <c r="K19" i="2534"/>
  <c r="L19" i="2534" s="1"/>
  <c r="M19" i="2534" s="1"/>
  <c r="I19" i="2534"/>
  <c r="H19" i="2534"/>
  <c r="K17" i="2534"/>
  <c r="L17" i="2534" s="1"/>
  <c r="M17" i="2534" s="1"/>
  <c r="I17" i="2534"/>
  <c r="H17" i="2534"/>
  <c r="K15" i="2534"/>
  <c r="L15" i="2534" s="1"/>
  <c r="M15" i="2534" s="1"/>
  <c r="I15" i="2534"/>
  <c r="H15" i="2534"/>
  <c r="K13" i="2534"/>
  <c r="L13" i="2534" s="1"/>
  <c r="M13" i="2534" s="1"/>
  <c r="I13" i="2534"/>
  <c r="H13" i="2534" s="1"/>
  <c r="K11" i="2534"/>
  <c r="L11" i="2534" s="1"/>
  <c r="M11" i="2534" s="1"/>
  <c r="I11" i="2534"/>
  <c r="H11" i="2534"/>
  <c r="K7" i="2534"/>
  <c r="L7" i="2534" s="1"/>
  <c r="M7" i="2534" s="1"/>
  <c r="I7" i="2534"/>
  <c r="H7" i="2534" s="1"/>
  <c r="K5" i="2534"/>
  <c r="L5" i="2534" s="1"/>
  <c r="M5" i="2534" s="1"/>
  <c r="I5" i="2534"/>
  <c r="H5" i="2534"/>
  <c r="K3" i="2534"/>
  <c r="L3" i="2534" s="1"/>
  <c r="M3" i="2534" s="1"/>
  <c r="I3" i="2534"/>
  <c r="H3" i="2534"/>
  <c r="K55" i="2526" l="1"/>
  <c r="L55" i="2526" s="1"/>
  <c r="M55" i="2526" s="1"/>
  <c r="I55" i="2526"/>
  <c r="H55" i="2526"/>
  <c r="K53" i="2526"/>
  <c r="L53" i="2526" s="1"/>
  <c r="M53" i="2526" s="1"/>
  <c r="I53" i="2526"/>
  <c r="H53" i="2526"/>
  <c r="K47" i="2526"/>
  <c r="L47" i="2526" s="1"/>
  <c r="M47" i="2526" s="1"/>
  <c r="I47" i="2526"/>
  <c r="H47" i="2526"/>
  <c r="K45" i="2526"/>
  <c r="L45" i="2526" s="1"/>
  <c r="M45" i="2526" s="1"/>
  <c r="I45" i="2526"/>
  <c r="H45" i="2526"/>
  <c r="K43" i="2526"/>
  <c r="L43" i="2526" s="1"/>
  <c r="M43" i="2526" s="1"/>
  <c r="I43" i="2526"/>
  <c r="H43" i="2526"/>
  <c r="K41" i="2526"/>
  <c r="L41" i="2526" s="1"/>
  <c r="M41" i="2526" s="1"/>
  <c r="I41" i="2526"/>
  <c r="H41" i="2526"/>
  <c r="L39" i="2526"/>
  <c r="M39" i="2526" s="1"/>
  <c r="K39" i="2526"/>
  <c r="I39" i="2526"/>
  <c r="H39" i="2526"/>
  <c r="K37" i="2526"/>
  <c r="L37" i="2526" s="1"/>
  <c r="M37" i="2526" s="1"/>
  <c r="I37" i="2526"/>
  <c r="H37" i="2526"/>
  <c r="K33" i="2526"/>
  <c r="L33" i="2526" s="1"/>
  <c r="M33" i="2526" s="1"/>
  <c r="I33" i="2526"/>
  <c r="H33" i="2526"/>
  <c r="K31" i="2526"/>
  <c r="L31" i="2526" s="1"/>
  <c r="M31" i="2526" s="1"/>
  <c r="I31" i="2526"/>
  <c r="H31" i="2526"/>
  <c r="K29" i="2526"/>
  <c r="L29" i="2526" s="1"/>
  <c r="M29" i="2526" s="1"/>
  <c r="I29" i="2526"/>
  <c r="H29" i="2526"/>
  <c r="K27" i="2526"/>
  <c r="L27" i="2526" s="1"/>
  <c r="M27" i="2526" s="1"/>
  <c r="I27" i="2526"/>
  <c r="H27" i="2526"/>
  <c r="K17" i="2526"/>
  <c r="L17" i="2526" s="1"/>
  <c r="M17" i="2526" s="1"/>
  <c r="I17" i="2526"/>
  <c r="H17" i="2526" s="1"/>
  <c r="K15" i="2526"/>
  <c r="L15" i="2526" s="1"/>
  <c r="M15" i="2526" s="1"/>
  <c r="I15" i="2526"/>
  <c r="H15" i="2526"/>
  <c r="K13" i="2526"/>
  <c r="L13" i="2526" s="1"/>
  <c r="M13" i="2526" s="1"/>
  <c r="I13" i="2526"/>
  <c r="H13" i="2526"/>
  <c r="K11" i="2526"/>
  <c r="L11" i="2526" s="1"/>
  <c r="M11" i="2526" s="1"/>
  <c r="I11" i="2526"/>
  <c r="H11" i="2526"/>
  <c r="K9" i="2526"/>
  <c r="L9" i="2526" s="1"/>
  <c r="M9" i="2526" s="1"/>
  <c r="I9" i="2526"/>
  <c r="H9" i="2526"/>
  <c r="K7" i="2526"/>
  <c r="L7" i="2526" s="1"/>
  <c r="M7" i="2526" s="1"/>
  <c r="I7" i="2526"/>
  <c r="H7" i="2526"/>
  <c r="K5" i="2526"/>
  <c r="L5" i="2526" s="1"/>
  <c r="M5" i="2526" s="1"/>
  <c r="I5" i="2526"/>
  <c r="H5" i="2526"/>
  <c r="K3" i="2526"/>
  <c r="L3" i="2526" s="1"/>
  <c r="M3" i="2526" s="1"/>
  <c r="I3" i="2526"/>
  <c r="H3" i="2526"/>
</calcChain>
</file>

<file path=xl/sharedStrings.xml><?xml version="1.0" encoding="utf-8"?>
<sst xmlns="http://schemas.openxmlformats.org/spreadsheetml/2006/main" count="180" uniqueCount="137">
  <si>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</si>
  <si>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</si>
  <si>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</si>
  <si>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</si>
  <si>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</si>
  <si>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</si>
  <si>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</si>
  <si>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</si>
  <si>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 xml:space="preserve">ARMHOLE </t>
  </si>
  <si>
    <t>어깨너비</t>
  </si>
  <si>
    <t>암홀길이(직선)</t>
  </si>
  <si>
    <t>옆목너비</t>
  </si>
  <si>
    <t>앞목깊이</t>
  </si>
  <si>
    <t>소매기장</t>
  </si>
  <si>
    <t>소매통</t>
  </si>
  <si>
    <t>소매부리</t>
  </si>
  <si>
    <t>목둘레</t>
  </si>
  <si>
    <t>CHEST (1/2)</t>
    <phoneticPr fontId="2" type="noConversion"/>
  </si>
  <si>
    <t xml:space="preserve">ACROSS SHOULDER </t>
    <phoneticPr fontId="2" type="noConversion"/>
  </si>
  <si>
    <t>가슴(상동)</t>
    <phoneticPr fontId="1" type="noConversion"/>
  </si>
  <si>
    <t>암홀 겨드랑이 지점에서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</si>
  <si>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</si>
  <si>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</si>
  <si>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</si>
  <si>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</si>
  <si>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</si>
  <si>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</si>
  <si>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</si>
  <si>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</si>
  <si>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</si>
  <si>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</si>
  <si>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</si>
  <si>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</si>
  <si>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</si>
  <si>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</si>
  <si>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</si>
  <si>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 xml:space="preserve">CUFFS OPENING </t>
    <phoneticPr fontId="2" type="noConversion"/>
  </si>
  <si>
    <t>목라인(NECK LINE)을 따라 잰 곡선의 둘레길이</t>
    <phoneticPr fontId="1" type="noConversion"/>
  </si>
  <si>
    <t>3XL</t>
    <phoneticPr fontId="1" type="noConversion"/>
  </si>
  <si>
    <t>2XL</t>
    <phoneticPr fontId="1" type="noConversion"/>
  </si>
  <si>
    <t>WITHOUT NECK BAND</t>
    <phoneticPr fontId="2" type="noConversion"/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</si>
  <si>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</si>
  <si>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</si>
  <si>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STYLE NO: JYUSE09-W#Y36</t>
    <phoneticPr fontId="1" type="noConversion"/>
  </si>
  <si>
    <t>TOTAL LENGTH (C/B)</t>
    <phoneticPr fontId="2" type="noConversion"/>
  </si>
  <si>
    <t>FROM CENTER BACK TO BOTTOM STRIGHT</t>
    <phoneticPr fontId="2" type="noConversion"/>
  </si>
  <si>
    <t>총기장(뒷목)</t>
  </si>
  <si>
    <t>뒷목 중심에서 밑단끝까지 직선길이</t>
    <phoneticPr fontId="1" type="noConversion"/>
  </si>
  <si>
    <t xml:space="preserve">POINT TO POINT </t>
    <phoneticPr fontId="2" type="noConversion"/>
  </si>
  <si>
    <t>어깨 양끝점을 수평으로 잰 길이</t>
    <phoneticPr fontId="1" type="noConversion"/>
  </si>
  <si>
    <t>암홀 겨드랑이 지점에서 수평으로 잰 길이(주름펴서)</t>
    <phoneticPr fontId="1" type="noConversion"/>
  </si>
  <si>
    <t>BOTTOM SWEEP (1/2)</t>
    <phoneticPr fontId="2" type="noConversion"/>
  </si>
  <si>
    <t>STRIGHT (1/2)</t>
    <phoneticPr fontId="2" type="noConversion"/>
  </si>
  <si>
    <t>밑단둘레(반품)</t>
  </si>
  <si>
    <t>와끼선의 밑단 양끝점을 수평으로 잰 길이(주름펴서)</t>
    <phoneticPr fontId="1" type="noConversion"/>
  </si>
  <si>
    <t xml:space="preserve">BACK NECK DROP </t>
    <phoneticPr fontId="2" type="noConversion"/>
  </si>
  <si>
    <t>MAKE IMAGE LINE TO CENTER NECK BACK</t>
    <phoneticPr fontId="2" type="noConversion"/>
  </si>
  <si>
    <t>뒷목깊이</t>
    <phoneticPr fontId="10" type="noConversion"/>
  </si>
  <si>
    <t xml:space="preserve">옆목점에서 뒷목중심의 수직 길이 </t>
    <phoneticPr fontId="1" type="noConversion"/>
  </si>
  <si>
    <r>
      <t xml:space="preserve">옆목점에서 앞목중심의 수직 길이 </t>
    </r>
    <r>
      <rPr>
        <sz val="7.5"/>
        <color rgb="FFFF0000"/>
        <rFont val="맑은 고딕"/>
        <family val="3"/>
        <charset val="129"/>
        <scheme val="minor"/>
      </rPr>
      <t>(겹치는부분)</t>
    </r>
    <phoneticPr fontId="1" type="noConversion"/>
  </si>
  <si>
    <t>TOTAL WAIST</t>
    <phoneticPr fontId="1" type="noConversion"/>
  </si>
  <si>
    <t xml:space="preserve">FLAT,FRONT AND BACK WAIST LINE MATCH STRIGHT </t>
    <phoneticPr fontId="1" type="noConversion"/>
  </si>
  <si>
    <t>허리완성사이즈</t>
    <phoneticPr fontId="1" type="noConversion"/>
  </si>
  <si>
    <t>오비를 일자 상태로 만든 후 수평으로 잰 길이</t>
    <phoneticPr fontId="1" type="noConversion"/>
  </si>
  <si>
    <t>WAIST SIZE</t>
    <phoneticPr fontId="1" type="noConversion"/>
  </si>
  <si>
    <t>몸판 허리 둘레</t>
    <phoneticPr fontId="1" type="noConversion"/>
  </si>
  <si>
    <t xml:space="preserve">HIP </t>
  </si>
  <si>
    <t xml:space="preserve">BASED ON ZIPPER FLY OUT LINE ,STRIGHT </t>
    <phoneticPr fontId="1" type="noConversion"/>
  </si>
  <si>
    <t>엉덩이둘레</t>
  </si>
  <si>
    <t>앞 댕고 스테치를 기준점으로 하여 양쪽 수평선의 길이</t>
    <phoneticPr fontId="1" type="noConversion"/>
  </si>
  <si>
    <t>HIP POINT</t>
    <phoneticPr fontId="1" type="noConversion"/>
  </si>
  <si>
    <t>엉덩이 위치(프릴제외)</t>
    <phoneticPr fontId="1" type="noConversion"/>
  </si>
  <si>
    <t>오비포함 와끼 기준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</si>
  <si>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</si>
  <si>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</si>
  <si>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</si>
  <si>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 xml:space="preserve">TOTAL LENGTH </t>
  </si>
  <si>
    <t>바지기장(프릴제외)</t>
    <phoneticPr fontId="10" type="noConversion"/>
  </si>
  <si>
    <t>와끼선을 기준으로 오비끝에서 바지 밑단 끝까지의 길이</t>
    <phoneticPr fontId="1" type="noConversion"/>
  </si>
  <si>
    <t xml:space="preserve">BOTTOM OPENING </t>
  </si>
  <si>
    <t xml:space="preserve">CIRCLE ROUND </t>
  </si>
  <si>
    <t>바지부리</t>
  </si>
  <si>
    <t>바지 밑단의 둘레길이</t>
    <phoneticPr fontId="2" type="noConversion"/>
  </si>
  <si>
    <t xml:space="preserve">FRONT RISE </t>
  </si>
  <si>
    <t xml:space="preserve">INCLUDE WAIST BAND TO EDGE </t>
  </si>
  <si>
    <t>앞밑위(프릴제외)</t>
    <phoneticPr fontId="10" type="noConversion"/>
  </si>
  <si>
    <t>오비끝에서 인심 시작점까지의 길이(오비 포함)</t>
    <phoneticPr fontId="1" type="noConversion"/>
  </si>
  <si>
    <t>BACK RISE</t>
  </si>
  <si>
    <t>뒤밑위(프릴제외)</t>
    <phoneticPr fontId="10" type="noConversion"/>
  </si>
  <si>
    <t xml:space="preserve">TIGHT </t>
  </si>
  <si>
    <t xml:space="preserve">FROM CROCH  3cm BELOW . WIDE STRIGHT </t>
  </si>
  <si>
    <t>허벅지둘레</t>
  </si>
  <si>
    <t>인심 시작점에서 3cm 밑을 기준점으로 양쪽 수평 길이</t>
    <phoneticPr fontId="1" type="noConversion"/>
  </si>
  <si>
    <t>INSEAM</t>
  </si>
  <si>
    <t xml:space="preserve">CROCH TO EDGE </t>
  </si>
  <si>
    <t>인심길이</t>
  </si>
  <si>
    <t>바지 안 쪽에서 봉제선을 따라 바지밑단 끝까지의 길이</t>
    <phoneticPr fontId="1" type="noConversion"/>
  </si>
  <si>
    <t>KNEE</t>
    <phoneticPr fontId="1" type="noConversion"/>
  </si>
  <si>
    <t xml:space="preserve"> </t>
    <phoneticPr fontId="1" type="noConversion"/>
  </si>
  <si>
    <t>무릎둘레</t>
    <phoneticPr fontId="1" type="noConversion"/>
  </si>
  <si>
    <t>KNEE POINT</t>
    <phoneticPr fontId="1" type="noConversion"/>
  </si>
  <si>
    <t>VERTICALLY AT THE WAIST</t>
    <phoneticPr fontId="1" type="noConversion"/>
  </si>
  <si>
    <t>무릎위치</t>
    <phoneticPr fontId="1" type="noConversion"/>
  </si>
  <si>
    <t>허리에서 수직으로 (오비포함)</t>
    <phoneticPr fontId="1" type="noConversion"/>
  </si>
  <si>
    <t xml:space="preserve">FRONT POCKET WIDE </t>
    <phoneticPr fontId="1" type="noConversion"/>
  </si>
  <si>
    <t xml:space="preserve">FROM EDGE STITCHES </t>
  </si>
  <si>
    <t>앞주머니가로</t>
  </si>
  <si>
    <t>오비 와끼끝에서 주머니입구 까지의 가로길이</t>
    <phoneticPr fontId="1" type="noConversion"/>
  </si>
  <si>
    <t xml:space="preserve">FRONT POCKET VERTICAL </t>
    <phoneticPr fontId="1" type="noConversion"/>
  </si>
  <si>
    <t xml:space="preserve">FROM SIDE SEAM TO STRIGHT </t>
  </si>
  <si>
    <t>앞주머니세로</t>
  </si>
  <si>
    <t>오비 와끼끝에서 주머니입구 까지의 세로길이</t>
    <phoneticPr fontId="1" type="noConversion"/>
  </si>
  <si>
    <t>TOTAL LENGTH</t>
    <phoneticPr fontId="2" type="noConversion"/>
  </si>
  <si>
    <t>총기장(옆목)</t>
    <phoneticPr fontId="2" type="noConversion"/>
  </si>
  <si>
    <t>옆목점에서 밑단까지의 직선길이</t>
    <phoneticPr fontId="1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</si>
  <si>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</si>
  <si>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STYLE NO: JYUOP05-W#Y10</t>
    <phoneticPr fontId="1" type="noConversion"/>
  </si>
  <si>
    <t>밑단길이</t>
    <phoneticPr fontId="10" type="noConversion"/>
  </si>
  <si>
    <t xml:space="preserve"> SLEEVE LENGTH</t>
    <phoneticPr fontId="2" type="noConversion"/>
  </si>
  <si>
    <t>소매기장</t>
    <phoneticPr fontId="10" type="noConversion"/>
  </si>
  <si>
    <t>FRONT YOKE LENGTH</t>
    <phoneticPr fontId="10" type="noConversion"/>
  </si>
  <si>
    <t>앞요크길이</t>
    <phoneticPr fontId="10" type="noConversion"/>
  </si>
  <si>
    <t>앞중심</t>
    <phoneticPr fontId="10" type="noConversion"/>
  </si>
  <si>
    <t>BACK YOKE LENGTH</t>
    <phoneticPr fontId="10" type="noConversion"/>
  </si>
  <si>
    <t>뒤요크길이</t>
    <phoneticPr fontId="10" type="noConversion"/>
  </si>
  <si>
    <t>뒤중심</t>
    <phoneticPr fontId="10" type="noConversion"/>
  </si>
  <si>
    <t xml:space="preserve">1ST SKIRT LENGTH </t>
    <phoneticPr fontId="1" type="noConversion"/>
  </si>
  <si>
    <t>1단치마 기장</t>
    <phoneticPr fontId="1" type="noConversion"/>
  </si>
  <si>
    <t>중심,보이는분분</t>
    <phoneticPr fontId="10" type="noConversion"/>
  </si>
  <si>
    <t xml:space="preserve">2ND SKIRT LENGTH </t>
    <phoneticPr fontId="1" type="noConversion"/>
  </si>
  <si>
    <t>2단치마 기장</t>
    <phoneticPr fontId="1" type="noConversion"/>
  </si>
  <si>
    <t xml:space="preserve">3RD SKIRT LENGTH </t>
    <phoneticPr fontId="1" type="noConversion"/>
  </si>
  <si>
    <t>3단치마 기장</t>
    <phoneticPr fontId="1" type="noConversion"/>
  </si>
  <si>
    <t xml:space="preserve">4TH SKIRT LENGTH </t>
    <phoneticPr fontId="1" type="noConversion"/>
  </si>
  <si>
    <t>4단치마 기장</t>
    <phoneticPr fontId="1" type="noConversion"/>
  </si>
  <si>
    <t>BACK ZIPPER LENGTH</t>
    <phoneticPr fontId="1" type="noConversion"/>
  </si>
  <si>
    <t>뒤지퍼 길이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</si>
</sst>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indexed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>
      <alignment vertical="center"/>
    </xf>
  </cellStyleXfs>
  <cellXfs count="8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37" xfId="0" applyFont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C8D1-5C77-4435-8025-C0773C43D8F8}">
  <sheetPr>
    <tabColor rgb="FFFF0000"/>
    <pageSetUpPr fitToPage="1"/>
  </sheetPr>
  <dimension ref="A1:N49"/>
  <sheetViews>
    <sheetView topLeftCell="A10" zoomScale="110" zoomScaleNormal="110" workbookViewId="0">
      <selection activeCell="P14" sqref="P14"/>
    </sheetView>
  </sheetViews>
  <sheetFormatPr defaultColWidth="8.75" defaultRowHeight="16.5" x14ac:dyDescent="0.3"/>
  <cols>
    <col min="1" max="1" width="3.625" bestFit="1" customWidth="1"/>
    <col min="2" max="3" width="8.75" customWidth="1"/>
    <col min="4" max="6" width="8.125" customWidth="1"/>
    <col min="7" max="7" width="9.625" customWidth="1"/>
    <col min="8" max="13" width="5.5" customWidth="1"/>
  </cols>
  <sheetData>
    <row r="1" spans="1:13" ht="16.5" customHeight="1" thickBot="1" x14ac:dyDescent="0.35">
      <c r="A1" s="49" t="s">
        <v>116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2" t="s">
        <v>23</v>
      </c>
      <c r="B2" s="52" t="s">
        <v>24</v>
      </c>
      <c r="C2" s="52"/>
      <c r="D2" s="52" t="s">
        <v>25</v>
      </c>
      <c r="E2" s="52"/>
      <c r="F2" s="52"/>
      <c r="G2" s="52"/>
      <c r="H2" s="4" t="s">
        <v>26</v>
      </c>
      <c r="I2" s="4" t="s">
        <v>27</v>
      </c>
      <c r="J2" s="3" t="s">
        <v>28</v>
      </c>
      <c r="K2" s="4" t="s">
        <v>29</v>
      </c>
      <c r="L2" s="4" t="s">
        <v>39</v>
      </c>
      <c r="M2" s="4" t="s">
        <v>38</v>
      </c>
    </row>
    <row r="3" spans="1:13" s="1" customFormat="1" ht="14.1" customHeight="1" x14ac:dyDescent="0.3">
      <c r="A3" s="53">
        <v>1</v>
      </c>
      <c r="B3" s="55" t="s">
        <v>112</v>
      </c>
      <c r="C3" s="55"/>
      <c r="D3" s="56" t="s">
        <v>115</v>
      </c>
      <c r="E3" s="56"/>
      <c r="F3" s="56"/>
      <c r="G3" s="57"/>
      <c r="H3" s="22">
        <f>SUM(I3)-5</f>
        <v>58</v>
      </c>
      <c r="I3" s="22">
        <f>SUM(J3)-5</f>
        <v>63</v>
      </c>
      <c r="J3" s="26">
        <v>68</v>
      </c>
      <c r="K3" s="22">
        <f>SUM(J3)+5</f>
        <v>73</v>
      </c>
      <c r="L3" s="22">
        <f>SUM(K3)+5</f>
        <v>78</v>
      </c>
      <c r="M3" s="27">
        <f>SUM(L3)+5</f>
        <v>83</v>
      </c>
    </row>
    <row r="4" spans="1:13" s="1" customFormat="1" ht="14.1" customHeight="1" x14ac:dyDescent="0.3">
      <c r="A4" s="54"/>
      <c r="B4" s="37" t="s">
        <v>113</v>
      </c>
      <c r="C4" s="37"/>
      <c r="D4" s="38" t="s">
        <v>114</v>
      </c>
      <c r="E4" s="39"/>
      <c r="F4" s="39"/>
      <c r="G4" s="39"/>
      <c r="H4" s="42"/>
      <c r="I4" s="42"/>
      <c r="J4" s="43"/>
      <c r="K4" s="42"/>
      <c r="L4" s="42"/>
      <c r="M4" s="44"/>
    </row>
    <row r="5" spans="1:13" s="1" customFormat="1" ht="14.1" customHeight="1" x14ac:dyDescent="0.3">
      <c r="A5" s="15">
        <v>2</v>
      </c>
      <c r="B5" s="45" t="s">
        <v>18</v>
      </c>
      <c r="C5" s="45"/>
      <c r="D5" s="41" t="s">
        <v>48</v>
      </c>
      <c r="E5" s="41"/>
      <c r="F5" s="41"/>
      <c r="G5" s="41"/>
      <c r="H5" s="22">
        <f>SUM(I5)-1.8</f>
        <v>22</v>
      </c>
      <c r="I5" s="22">
        <f>SUM(J5)-1.8</f>
        <v>23.8</v>
      </c>
      <c r="J5" s="26">
        <v>25.6</v>
      </c>
      <c r="K5" s="22">
        <f>SUM(J5)+1.6</f>
        <v>27.200000000000003</v>
      </c>
      <c r="L5" s="22">
        <f>SUM(K5)+1.6</f>
        <v>28.800000000000004</v>
      </c>
      <c r="M5" s="27">
        <f>SUM(L5)+1.6</f>
        <v>30.400000000000006</v>
      </c>
    </row>
    <row r="6" spans="1:13" s="1" customFormat="1" ht="14.1" customHeight="1" x14ac:dyDescent="0.3">
      <c r="A6" s="15"/>
      <c r="B6" s="37" t="s">
        <v>9</v>
      </c>
      <c r="C6" s="37"/>
      <c r="D6" s="38" t="s">
        <v>49</v>
      </c>
      <c r="E6" s="39"/>
      <c r="F6" s="39"/>
      <c r="G6" s="40"/>
      <c r="H6" s="42"/>
      <c r="I6" s="42"/>
      <c r="J6" s="43"/>
      <c r="K6" s="42"/>
      <c r="L6" s="42"/>
      <c r="M6" s="44"/>
    </row>
    <row r="7" spans="1:13" s="1" customFormat="1" ht="14.1" customHeight="1" x14ac:dyDescent="0.3">
      <c r="A7" s="15">
        <v>3</v>
      </c>
      <c r="B7" s="45" t="s">
        <v>17</v>
      </c>
      <c r="C7" s="45"/>
      <c r="D7" s="41" t="s">
        <v>33</v>
      </c>
      <c r="E7" s="41"/>
      <c r="F7" s="41"/>
      <c r="G7" s="41"/>
      <c r="H7" s="22">
        <f>SUM(I7)-2.25</f>
        <v>29.5</v>
      </c>
      <c r="I7" s="22">
        <f>SUM(J7)-2.25</f>
        <v>31.75</v>
      </c>
      <c r="J7" s="26">
        <v>34</v>
      </c>
      <c r="K7" s="22">
        <f>SUM(J7)+2</f>
        <v>36</v>
      </c>
      <c r="L7" s="22">
        <f>SUM(K7)+2</f>
        <v>38</v>
      </c>
      <c r="M7" s="27">
        <f>SUM(L7)+2</f>
        <v>40</v>
      </c>
    </row>
    <row r="8" spans="1:13" s="1" customFormat="1" ht="14.1" customHeight="1" x14ac:dyDescent="0.3">
      <c r="A8" s="15"/>
      <c r="B8" s="37" t="s">
        <v>19</v>
      </c>
      <c r="C8" s="37"/>
      <c r="D8" s="38" t="s">
        <v>20</v>
      </c>
      <c r="E8" s="39"/>
      <c r="F8" s="39"/>
      <c r="G8" s="40"/>
      <c r="H8" s="42"/>
      <c r="I8" s="42"/>
      <c r="J8" s="43"/>
      <c r="K8" s="42"/>
      <c r="L8" s="42"/>
      <c r="M8" s="44"/>
    </row>
    <row r="9" spans="1:13" s="1" customFormat="1" ht="14.1" customHeight="1" x14ac:dyDescent="0.3">
      <c r="A9" s="15">
        <v>4</v>
      </c>
      <c r="B9" s="45" t="s">
        <v>51</v>
      </c>
      <c r="C9" s="45"/>
      <c r="D9" s="41" t="s">
        <v>52</v>
      </c>
      <c r="E9" s="41"/>
      <c r="F9" s="41"/>
      <c r="G9" s="41"/>
      <c r="H9" s="22"/>
      <c r="I9" s="22"/>
      <c r="J9" s="26"/>
      <c r="K9" s="22"/>
      <c r="L9" s="22"/>
      <c r="M9" s="27"/>
    </row>
    <row r="10" spans="1:13" s="1" customFormat="1" ht="14.1" customHeight="1" x14ac:dyDescent="0.3">
      <c r="A10" s="15"/>
      <c r="B10" s="37" t="s">
        <v>53</v>
      </c>
      <c r="C10" s="37"/>
      <c r="D10" s="38" t="s">
        <v>117</v>
      </c>
      <c r="E10" s="39"/>
      <c r="F10" s="39"/>
      <c r="G10" s="40"/>
      <c r="H10" s="42"/>
      <c r="I10" s="42"/>
      <c r="J10" s="43"/>
      <c r="K10" s="42"/>
      <c r="L10" s="42"/>
      <c r="M10" s="44"/>
    </row>
    <row r="11" spans="1:13" s="1" customFormat="1" ht="14.1" customHeight="1" x14ac:dyDescent="0.3">
      <c r="A11" s="15">
        <v>5</v>
      </c>
      <c r="B11" s="45" t="s">
        <v>8</v>
      </c>
      <c r="C11" s="45"/>
      <c r="D11" s="41" t="s">
        <v>0</v>
      </c>
      <c r="E11" s="41"/>
      <c r="F11" s="41"/>
      <c r="G11" s="41"/>
      <c r="H11" s="22">
        <f>SUM(I11)-0.8</f>
        <v>15.399999999999999</v>
      </c>
      <c r="I11" s="22">
        <f>SUM(J11)-0.8</f>
        <v>16.2</v>
      </c>
      <c r="J11" s="24">
        <v>17</v>
      </c>
      <c r="K11" s="6">
        <f>SUM(J11)+0.8</f>
        <v>17.8</v>
      </c>
      <c r="L11" s="6">
        <f>SUM(K11)+0.8</f>
        <v>18.600000000000001</v>
      </c>
      <c r="M11" s="8">
        <f>SUM(L11)+0.9</f>
        <v>19.5</v>
      </c>
    </row>
    <row r="12" spans="1:13" s="1" customFormat="1" ht="14.1" customHeight="1" x14ac:dyDescent="0.3">
      <c r="A12" s="15"/>
      <c r="B12" s="37" t="s">
        <v>10</v>
      </c>
      <c r="C12" s="37"/>
      <c r="D12" s="38" t="s">
        <v>21</v>
      </c>
      <c r="E12" s="39"/>
      <c r="F12" s="39"/>
      <c r="G12" s="40"/>
      <c r="H12" s="42"/>
      <c r="I12" s="42"/>
      <c r="J12" s="24"/>
      <c r="K12" s="6"/>
      <c r="L12" s="6"/>
      <c r="M12" s="8"/>
    </row>
    <row r="13" spans="1:13" s="1" customFormat="1" ht="14.1" customHeight="1" x14ac:dyDescent="0.3">
      <c r="A13" s="15">
        <v>6</v>
      </c>
      <c r="B13" s="45" t="s">
        <v>1</v>
      </c>
      <c r="C13" s="45"/>
      <c r="D13" s="41" t="s">
        <v>40</v>
      </c>
      <c r="E13" s="41"/>
      <c r="F13" s="41"/>
      <c r="G13" s="41"/>
      <c r="H13" s="22">
        <f>SUM(I13)-0.6</f>
        <v>15.3</v>
      </c>
      <c r="I13" s="22">
        <f>SUM(J13)-0.6</f>
        <v>15.9</v>
      </c>
      <c r="J13" s="24">
        <v>16.5</v>
      </c>
      <c r="K13" s="6">
        <f>SUM(J13)+0.6</f>
        <v>17.100000000000001</v>
      </c>
      <c r="L13" s="6">
        <f>SUM(K13)+0.6</f>
        <v>17.700000000000003</v>
      </c>
      <c r="M13" s="8">
        <f>SUM(L13)+0.6</f>
        <v>18.300000000000004</v>
      </c>
    </row>
    <row r="14" spans="1:13" s="1" customFormat="1" ht="14.1" customHeight="1" x14ac:dyDescent="0.3">
      <c r="A14" s="15"/>
      <c r="B14" s="37" t="s">
        <v>11</v>
      </c>
      <c r="C14" s="37"/>
      <c r="D14" s="38" t="s">
        <v>41</v>
      </c>
      <c r="E14" s="39"/>
      <c r="F14" s="39"/>
      <c r="G14" s="40"/>
      <c r="H14" s="42"/>
      <c r="I14" s="42"/>
      <c r="J14" s="24"/>
      <c r="K14" s="6"/>
      <c r="L14" s="6"/>
      <c r="M14" s="8"/>
    </row>
    <row r="15" spans="1:13" s="1" customFormat="1" ht="14.1" customHeight="1" x14ac:dyDescent="0.3">
      <c r="A15" s="15">
        <v>7</v>
      </c>
      <c r="B15" s="45" t="s">
        <v>2</v>
      </c>
      <c r="C15" s="45"/>
      <c r="D15" s="41" t="s">
        <v>3</v>
      </c>
      <c r="E15" s="41"/>
      <c r="F15" s="41"/>
      <c r="G15" s="41"/>
      <c r="H15" s="22">
        <f>SUM(I15)-0.3</f>
        <v>6.8000000000000007</v>
      </c>
      <c r="I15" s="22">
        <f>SUM(J15)-0.3</f>
        <v>7.1000000000000005</v>
      </c>
      <c r="J15" s="24">
        <v>7.4</v>
      </c>
      <c r="K15" s="6">
        <f>SUM(J15)+0.3</f>
        <v>7.7</v>
      </c>
      <c r="L15" s="6">
        <f>SUM(K15)+0.3</f>
        <v>8</v>
      </c>
      <c r="M15" s="8">
        <f>SUM(L15)+0.3</f>
        <v>8.3000000000000007</v>
      </c>
    </row>
    <row r="16" spans="1:13" s="1" customFormat="1" ht="14.1" customHeight="1" x14ac:dyDescent="0.3">
      <c r="A16" s="15"/>
      <c r="B16" s="37" t="s">
        <v>12</v>
      </c>
      <c r="C16" s="37"/>
      <c r="D16" s="38" t="s">
        <v>42</v>
      </c>
      <c r="E16" s="39"/>
      <c r="F16" s="39"/>
      <c r="G16" s="40"/>
      <c r="H16" s="42"/>
      <c r="I16" s="42"/>
      <c r="J16" s="24"/>
      <c r="K16" s="6"/>
      <c r="L16" s="6"/>
      <c r="M16" s="8"/>
    </row>
    <row r="17" spans="1:14" s="1" customFormat="1" ht="14.1" customHeight="1" x14ac:dyDescent="0.3">
      <c r="A17" s="15">
        <v>8</v>
      </c>
      <c r="B17" s="17" t="s">
        <v>34</v>
      </c>
      <c r="C17" s="18"/>
      <c r="D17" s="46" t="s">
        <v>35</v>
      </c>
      <c r="E17" s="47"/>
      <c r="F17" s="47"/>
      <c r="G17" s="48"/>
      <c r="H17" s="22">
        <f>SUM(I17)-1.6</f>
        <v>39.699999999999996</v>
      </c>
      <c r="I17" s="22">
        <f>SUM(J17)-1.6</f>
        <v>41.3</v>
      </c>
      <c r="J17" s="24">
        <v>42.9</v>
      </c>
      <c r="K17" s="6">
        <f>SUM(J17)+1.6</f>
        <v>44.5</v>
      </c>
      <c r="L17" s="6">
        <f>SUM(K17)+1.6</f>
        <v>46.1</v>
      </c>
      <c r="M17" s="8">
        <f>SUM(L17)+1.6</f>
        <v>47.7</v>
      </c>
    </row>
    <row r="18" spans="1:14" s="1" customFormat="1" ht="14.1" customHeight="1" x14ac:dyDescent="0.3">
      <c r="A18" s="15"/>
      <c r="B18" s="37" t="s">
        <v>16</v>
      </c>
      <c r="C18" s="37"/>
      <c r="D18" s="38" t="s">
        <v>37</v>
      </c>
      <c r="E18" s="39"/>
      <c r="F18" s="39"/>
      <c r="G18" s="40"/>
      <c r="H18" s="42"/>
      <c r="I18" s="42"/>
      <c r="J18" s="24"/>
      <c r="K18" s="6"/>
      <c r="L18" s="6"/>
      <c r="M18" s="8"/>
    </row>
    <row r="19" spans="1:14" s="1" customFormat="1" ht="14.1" customHeight="1" x14ac:dyDescent="0.3">
      <c r="A19" s="15">
        <v>9</v>
      </c>
      <c r="B19" s="45" t="s">
        <v>118</v>
      </c>
      <c r="C19" s="45"/>
      <c r="D19" s="41" t="s">
        <v>5</v>
      </c>
      <c r="E19" s="41"/>
      <c r="F19" s="41"/>
      <c r="G19" s="41"/>
      <c r="H19" s="22">
        <f>SUM(I19)-0.5</f>
        <v>6</v>
      </c>
      <c r="I19" s="22">
        <f>SUM(J19)-0.5</f>
        <v>6.5</v>
      </c>
      <c r="J19" s="26">
        <v>7</v>
      </c>
      <c r="K19" s="22">
        <f>SUM(J19)+0.5</f>
        <v>7.5</v>
      </c>
      <c r="L19" s="22">
        <f>SUM(K19)+0.5</f>
        <v>8</v>
      </c>
      <c r="M19" s="27">
        <f>SUM(L19)+0.5</f>
        <v>8.5</v>
      </c>
    </row>
    <row r="20" spans="1:14" s="1" customFormat="1" ht="14.1" customHeight="1" x14ac:dyDescent="0.3">
      <c r="A20" s="15"/>
      <c r="B20" s="37" t="s">
        <v>119</v>
      </c>
      <c r="C20" s="37"/>
      <c r="D20" s="38" t="s">
        <v>22</v>
      </c>
      <c r="E20" s="39"/>
      <c r="F20" s="39"/>
      <c r="G20" s="40"/>
      <c r="H20" s="42"/>
      <c r="I20" s="42"/>
      <c r="J20" s="43"/>
      <c r="K20" s="42"/>
      <c r="L20" s="42"/>
      <c r="M20" s="44"/>
    </row>
    <row r="21" spans="1:14" s="1" customFormat="1" ht="14.1" customHeight="1" x14ac:dyDescent="0.3">
      <c r="A21" s="15">
        <v>10</v>
      </c>
      <c r="B21" s="17" t="s">
        <v>36</v>
      </c>
      <c r="C21" s="18"/>
      <c r="D21" s="41" t="s">
        <v>31</v>
      </c>
      <c r="E21" s="41"/>
      <c r="F21" s="41"/>
      <c r="G21" s="41"/>
      <c r="H21" s="22"/>
      <c r="I21" s="22"/>
      <c r="J21" s="24"/>
      <c r="K21" s="6"/>
      <c r="L21" s="6"/>
      <c r="M21" s="8"/>
    </row>
    <row r="22" spans="1:14" s="1" customFormat="1" ht="14.1" customHeight="1" x14ac:dyDescent="0.3">
      <c r="A22" s="15"/>
      <c r="B22" s="37" t="s">
        <v>15</v>
      </c>
      <c r="C22" s="37"/>
      <c r="D22" s="38" t="s">
        <v>32</v>
      </c>
      <c r="E22" s="39"/>
      <c r="F22" s="39"/>
      <c r="G22" s="40"/>
      <c r="H22" s="42"/>
      <c r="I22" s="42"/>
      <c r="J22" s="24"/>
      <c r="K22" s="6"/>
      <c r="L22" s="6"/>
      <c r="M22" s="8"/>
    </row>
    <row r="23" spans="1:14" s="1" customFormat="1" ht="14.1" customHeight="1" x14ac:dyDescent="0.3">
      <c r="A23" s="15">
        <v>11</v>
      </c>
      <c r="B23" s="17" t="s">
        <v>120</v>
      </c>
      <c r="C23" s="18"/>
      <c r="D23" s="19"/>
      <c r="E23" s="20"/>
      <c r="F23" s="20"/>
      <c r="G23" s="21"/>
      <c r="H23" s="22">
        <f>SUM(I23)-0.3</f>
        <v>3.6000000000000005</v>
      </c>
      <c r="I23" s="22">
        <f>SUM(J23)-0.3</f>
        <v>3.9000000000000004</v>
      </c>
      <c r="J23" s="24">
        <v>4.2</v>
      </c>
      <c r="K23" s="6">
        <f>SUM(J23)+0.3</f>
        <v>4.5</v>
      </c>
      <c r="L23" s="6">
        <f>SUM(K23)+0.3</f>
        <v>4.8</v>
      </c>
      <c r="M23" s="8">
        <f>SUM(L23)+0.3</f>
        <v>5.0999999999999996</v>
      </c>
    </row>
    <row r="24" spans="1:14" s="1" customFormat="1" ht="14.1" customHeight="1" x14ac:dyDescent="0.3">
      <c r="A24" s="35"/>
      <c r="B24" s="33" t="s">
        <v>121</v>
      </c>
      <c r="C24" s="34"/>
      <c r="D24" s="30" t="s">
        <v>122</v>
      </c>
      <c r="E24" s="31"/>
      <c r="F24" s="31"/>
      <c r="G24" s="32"/>
      <c r="H24" s="36"/>
      <c r="I24" s="36"/>
      <c r="J24" s="26"/>
      <c r="K24" s="22"/>
      <c r="L24" s="22"/>
      <c r="M24" s="27"/>
    </row>
    <row r="25" spans="1:14" s="1" customFormat="1" ht="14.1" customHeight="1" x14ac:dyDescent="0.3">
      <c r="A25" s="15">
        <v>12</v>
      </c>
      <c r="B25" s="17" t="s">
        <v>123</v>
      </c>
      <c r="C25" s="18"/>
      <c r="D25" s="19"/>
      <c r="E25" s="20"/>
      <c r="F25" s="20"/>
      <c r="G25" s="21"/>
      <c r="H25" s="22">
        <f>SUM(I25)-0.5</f>
        <v>7.6</v>
      </c>
      <c r="I25" s="22">
        <f>SUM(J25)-0.5</f>
        <v>8.1</v>
      </c>
      <c r="J25" s="24">
        <v>8.6</v>
      </c>
      <c r="K25" s="6">
        <f>SUM(J25)+0.5</f>
        <v>9.1</v>
      </c>
      <c r="L25" s="6">
        <f>SUM(K25)+0.5</f>
        <v>9.6</v>
      </c>
      <c r="M25" s="8">
        <f>SUM(L25)+0.5</f>
        <v>10.1</v>
      </c>
    </row>
    <row r="26" spans="1:14" s="1" customFormat="1" ht="14.1" customHeight="1" x14ac:dyDescent="0.3">
      <c r="A26" s="35"/>
      <c r="B26" s="33" t="s">
        <v>124</v>
      </c>
      <c r="C26" s="34"/>
      <c r="D26" s="30" t="s">
        <v>125</v>
      </c>
      <c r="E26" s="31"/>
      <c r="F26" s="31"/>
      <c r="G26" s="32"/>
      <c r="H26" s="36"/>
      <c r="I26" s="36"/>
      <c r="J26" s="26"/>
      <c r="K26" s="22"/>
      <c r="L26" s="22"/>
      <c r="M26" s="27"/>
    </row>
    <row r="27" spans="1:14" s="1" customFormat="1" ht="14.1" customHeight="1" x14ac:dyDescent="0.3">
      <c r="A27" s="15">
        <v>13</v>
      </c>
      <c r="B27" s="17" t="s">
        <v>126</v>
      </c>
      <c r="C27" s="18"/>
      <c r="D27" s="19"/>
      <c r="E27" s="20"/>
      <c r="F27" s="20"/>
      <c r="G27" s="21"/>
      <c r="H27" s="22">
        <f>SUM(I27)-0.8</f>
        <v>8.7999999999999989</v>
      </c>
      <c r="I27" s="22">
        <f>SUM(J27)-0.8</f>
        <v>9.6</v>
      </c>
      <c r="J27" s="24">
        <v>10.4</v>
      </c>
      <c r="K27" s="6">
        <f>SUM(J27)+0.8</f>
        <v>11.200000000000001</v>
      </c>
      <c r="L27" s="6">
        <f>SUM(K27)+0.8</f>
        <v>12.000000000000002</v>
      </c>
      <c r="M27" s="8">
        <f>SUM(L27)+0.8</f>
        <v>12.800000000000002</v>
      </c>
    </row>
    <row r="28" spans="1:14" s="1" customFormat="1" ht="14.1" customHeight="1" x14ac:dyDescent="0.3">
      <c r="A28" s="35"/>
      <c r="B28" s="33" t="s">
        <v>127</v>
      </c>
      <c r="C28" s="34"/>
      <c r="D28" s="30" t="s">
        <v>128</v>
      </c>
      <c r="E28" s="31"/>
      <c r="F28" s="31"/>
      <c r="G28" s="32"/>
      <c r="H28" s="36"/>
      <c r="I28" s="36"/>
      <c r="J28" s="26"/>
      <c r="K28" s="22"/>
      <c r="L28" s="22"/>
      <c r="M28" s="27"/>
    </row>
    <row r="29" spans="1:14" ht="14.1" customHeight="1" x14ac:dyDescent="0.3">
      <c r="A29" s="15">
        <v>14</v>
      </c>
      <c r="B29" s="17" t="s">
        <v>129</v>
      </c>
      <c r="C29" s="18"/>
      <c r="D29" s="19"/>
      <c r="E29" s="20"/>
      <c r="F29" s="20"/>
      <c r="G29" s="21"/>
      <c r="H29" s="22">
        <f>SUM(I29)-0.9</f>
        <v>10.199999999999999</v>
      </c>
      <c r="I29" s="22">
        <f>SUM(J29)-0.9</f>
        <v>11.1</v>
      </c>
      <c r="J29" s="24">
        <v>12</v>
      </c>
      <c r="K29" s="6">
        <f>SUM(J29)+0.9</f>
        <v>12.9</v>
      </c>
      <c r="L29" s="6">
        <f>SUM(K29)+0.9</f>
        <v>13.8</v>
      </c>
      <c r="M29" s="8">
        <f>SUM(L29)+0.9</f>
        <v>14.700000000000001</v>
      </c>
      <c r="N29" s="1"/>
    </row>
    <row r="30" spans="1:14" ht="14.1" customHeight="1" x14ac:dyDescent="0.3">
      <c r="A30" s="35"/>
      <c r="B30" s="33" t="s">
        <v>130</v>
      </c>
      <c r="C30" s="34"/>
      <c r="D30" s="30" t="s">
        <v>128</v>
      </c>
      <c r="E30" s="31"/>
      <c r="F30" s="31"/>
      <c r="G30" s="32"/>
      <c r="H30" s="36"/>
      <c r="I30" s="36"/>
      <c r="J30" s="26"/>
      <c r="K30" s="22"/>
      <c r="L30" s="22"/>
      <c r="M30" s="27"/>
      <c r="N30" s="1"/>
    </row>
    <row r="31" spans="1:14" ht="14.1" customHeight="1" x14ac:dyDescent="0.3">
      <c r="A31" s="15">
        <v>15</v>
      </c>
      <c r="B31" s="17" t="s">
        <v>131</v>
      </c>
      <c r="C31" s="18"/>
      <c r="D31" s="19"/>
      <c r="E31" s="20"/>
      <c r="F31" s="20"/>
      <c r="G31" s="21"/>
      <c r="H31" s="22">
        <f>SUM(I31)-1.3</f>
        <v>13.899999999999999</v>
      </c>
      <c r="I31" s="22">
        <f>SUM(J31)-1.3</f>
        <v>15.2</v>
      </c>
      <c r="J31" s="24">
        <v>16.5</v>
      </c>
      <c r="K31" s="6">
        <f>SUM(J31)+1.3</f>
        <v>17.8</v>
      </c>
      <c r="L31" s="6">
        <f>SUM(K31)+1.3</f>
        <v>19.100000000000001</v>
      </c>
      <c r="M31" s="8">
        <f>SUM(L31)+1.3</f>
        <v>20.400000000000002</v>
      </c>
    </row>
    <row r="32" spans="1:14" ht="14.1" customHeight="1" x14ac:dyDescent="0.3">
      <c r="A32" s="35"/>
      <c r="B32" s="33" t="s">
        <v>132</v>
      </c>
      <c r="C32" s="34"/>
      <c r="D32" s="30" t="s">
        <v>128</v>
      </c>
      <c r="E32" s="31"/>
      <c r="F32" s="31"/>
      <c r="G32" s="32"/>
      <c r="H32" s="36"/>
      <c r="I32" s="36"/>
      <c r="J32" s="26"/>
      <c r="K32" s="22"/>
      <c r="L32" s="22"/>
      <c r="M32" s="27"/>
    </row>
    <row r="33" spans="1:13" ht="14.1" customHeight="1" x14ac:dyDescent="0.3">
      <c r="A33" s="15">
        <v>16</v>
      </c>
      <c r="B33" s="17" t="s">
        <v>133</v>
      </c>
      <c r="C33" s="18"/>
      <c r="D33" s="19"/>
      <c r="E33" s="20"/>
      <c r="F33" s="20"/>
      <c r="G33" s="21"/>
      <c r="H33" s="22">
        <f>SUM(I33)-1.4</f>
        <v>15.700000000000001</v>
      </c>
      <c r="I33" s="22">
        <f>SUM(J33)-1.4</f>
        <v>17.100000000000001</v>
      </c>
      <c r="J33" s="24">
        <v>18.5</v>
      </c>
      <c r="K33" s="6">
        <f>SUM(J33)+1.4</f>
        <v>19.899999999999999</v>
      </c>
      <c r="L33" s="6">
        <f>SUM(K33)+1.4</f>
        <v>21.299999999999997</v>
      </c>
      <c r="M33" s="8">
        <f>SUM(L33)+1.4</f>
        <v>22.699999999999996</v>
      </c>
    </row>
    <row r="34" spans="1:13" ht="14.1" customHeight="1" x14ac:dyDescent="0.3">
      <c r="A34" s="35"/>
      <c r="B34" s="33" t="s">
        <v>134</v>
      </c>
      <c r="C34" s="34"/>
      <c r="D34" s="30" t="s">
        <v>128</v>
      </c>
      <c r="E34" s="31"/>
      <c r="F34" s="31"/>
      <c r="G34" s="32"/>
      <c r="H34" s="36"/>
      <c r="I34" s="36"/>
      <c r="J34" s="26"/>
      <c r="K34" s="22"/>
      <c r="L34" s="22"/>
      <c r="M34" s="27"/>
    </row>
    <row r="35" spans="1:13" ht="14.1" customHeight="1" x14ac:dyDescent="0.3">
      <c r="A35" s="15">
        <v>17</v>
      </c>
      <c r="B35" s="17" t="s">
        <v>135</v>
      </c>
      <c r="C35" s="18"/>
      <c r="D35" s="19"/>
      <c r="E35" s="20"/>
      <c r="F35" s="20"/>
      <c r="G35" s="21"/>
      <c r="H35" s="22">
        <f>SUM(I35)-2.4</f>
        <v>27.200000000000003</v>
      </c>
      <c r="I35" s="22">
        <f>SUM(J35)-2.4</f>
        <v>29.6</v>
      </c>
      <c r="J35" s="24">
        <v>32</v>
      </c>
      <c r="K35" s="6">
        <f>SUM(J35)+2.4</f>
        <v>34.4</v>
      </c>
      <c r="L35" s="6">
        <f>SUM(K35)+2.4</f>
        <v>36.799999999999997</v>
      </c>
      <c r="M35" s="8">
        <f>SUM(L35)+2.4</f>
        <v>39.199999999999996</v>
      </c>
    </row>
    <row r="36" spans="1:13" ht="14.1" customHeight="1" x14ac:dyDescent="0.3">
      <c r="A36" s="35"/>
      <c r="B36" s="28" t="s">
        <v>136</v>
      </c>
      <c r="C36" s="29"/>
      <c r="D36" s="30"/>
      <c r="E36" s="31"/>
      <c r="F36" s="31"/>
      <c r="G36" s="32"/>
      <c r="H36" s="36"/>
      <c r="I36" s="36"/>
      <c r="J36" s="26"/>
      <c r="K36" s="22"/>
      <c r="L36" s="22"/>
      <c r="M36" s="27"/>
    </row>
    <row r="37" spans="1:13" ht="14.1" customHeight="1" x14ac:dyDescent="0.3">
      <c r="A37" s="15">
        <v>18</v>
      </c>
      <c r="B37" s="17"/>
      <c r="C37" s="18"/>
      <c r="D37" s="19"/>
      <c r="E37" s="20"/>
      <c r="F37" s="20"/>
      <c r="G37" s="21"/>
      <c r="H37" s="22"/>
      <c r="I37" s="22"/>
      <c r="J37" s="24"/>
      <c r="K37" s="6"/>
      <c r="L37" s="6"/>
      <c r="M37" s="8"/>
    </row>
    <row r="38" spans="1:13" ht="14.1" customHeight="1" thickBot="1" x14ac:dyDescent="0.35">
      <c r="A38" s="16"/>
      <c r="B38" s="10"/>
      <c r="C38" s="11"/>
      <c r="D38" s="12"/>
      <c r="E38" s="13"/>
      <c r="F38" s="13"/>
      <c r="G38" s="14"/>
      <c r="H38" s="23"/>
      <c r="I38" s="23"/>
      <c r="J38" s="25"/>
      <c r="K38" s="7"/>
      <c r="L38" s="7"/>
      <c r="M38" s="9"/>
    </row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8881-27FA-424A-B866-1E20D4AD1612}">
  <sheetPr>
    <tabColor rgb="FFFF0000"/>
    <pageSetUpPr fitToPage="1"/>
  </sheetPr>
  <dimension ref="A1:N70"/>
  <sheetViews>
    <sheetView tabSelected="1" zoomScale="110" zoomScaleNormal="110" workbookViewId="0">
      <selection activeCell="P19" sqref="P19"/>
    </sheetView>
  </sheetViews>
  <sheetFormatPr defaultColWidth="8.75" defaultRowHeight="16.5" x14ac:dyDescent="0.3"/>
  <cols>
    <col min="1" max="1" width="3.625" bestFit="1" customWidth="1"/>
    <col min="2" max="3" width="8.75" customWidth="1"/>
    <col min="4" max="6" width="8.125" customWidth="1"/>
    <col min="7" max="7" width="9.625" customWidth="1"/>
    <col min="8" max="13" width="5.5" customWidth="1"/>
  </cols>
  <sheetData>
    <row r="1" spans="1:13" ht="16.5" customHeight="1" thickBot="1" x14ac:dyDescent="0.35">
      <c r="A1" s="49" t="s">
        <v>43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 ht="16.5" customHeight="1" thickBot="1" x14ac:dyDescent="0.35">
      <c r="A2" s="5" t="s">
        <v>23</v>
      </c>
      <c r="B2" s="52" t="s">
        <v>24</v>
      </c>
      <c r="C2" s="52"/>
      <c r="D2" s="52" t="s">
        <v>25</v>
      </c>
      <c r="E2" s="52"/>
      <c r="F2" s="52"/>
      <c r="G2" s="52"/>
      <c r="H2" s="4" t="s">
        <v>26</v>
      </c>
      <c r="I2" s="4" t="s">
        <v>27</v>
      </c>
      <c r="J2" s="3" t="s">
        <v>28</v>
      </c>
      <c r="K2" s="4" t="s">
        <v>29</v>
      </c>
      <c r="L2" s="4" t="s">
        <v>39</v>
      </c>
      <c r="M2" s="4" t="s">
        <v>38</v>
      </c>
    </row>
    <row r="3" spans="1:13" s="1" customFormat="1" ht="14.1" customHeight="1" x14ac:dyDescent="0.3">
      <c r="A3" s="53">
        <v>1</v>
      </c>
      <c r="B3" s="28" t="s">
        <v>44</v>
      </c>
      <c r="C3" s="29"/>
      <c r="D3" s="30" t="s">
        <v>45</v>
      </c>
      <c r="E3" s="31"/>
      <c r="F3" s="31"/>
      <c r="G3" s="32"/>
      <c r="H3" s="22">
        <f>SUM(I3)-2.8</f>
        <v>22.4</v>
      </c>
      <c r="I3" s="22">
        <f>SUM(J3)-2.8</f>
        <v>25.2</v>
      </c>
      <c r="J3" s="26">
        <v>28</v>
      </c>
      <c r="K3" s="22">
        <f>SUM(J3)+2.3</f>
        <v>30.3</v>
      </c>
      <c r="L3" s="22">
        <f>SUM(K3)+2.3</f>
        <v>32.6</v>
      </c>
      <c r="M3" s="66">
        <f>SUM(L3)+2.3</f>
        <v>34.9</v>
      </c>
    </row>
    <row r="4" spans="1:13" s="1" customFormat="1" ht="14.1" customHeight="1" x14ac:dyDescent="0.3">
      <c r="A4" s="54"/>
      <c r="B4" s="37" t="s">
        <v>46</v>
      </c>
      <c r="C4" s="37"/>
      <c r="D4" s="38" t="s">
        <v>47</v>
      </c>
      <c r="E4" s="39"/>
      <c r="F4" s="39"/>
      <c r="G4" s="39"/>
      <c r="H4" s="42"/>
      <c r="I4" s="42"/>
      <c r="J4" s="43"/>
      <c r="K4" s="42"/>
      <c r="L4" s="42"/>
      <c r="M4" s="67"/>
    </row>
    <row r="5" spans="1:13" s="1" customFormat="1" ht="14.1" customHeight="1" x14ac:dyDescent="0.3">
      <c r="A5" s="15">
        <v>2</v>
      </c>
      <c r="B5" s="45" t="s">
        <v>18</v>
      </c>
      <c r="C5" s="45"/>
      <c r="D5" s="41" t="s">
        <v>48</v>
      </c>
      <c r="E5" s="41"/>
      <c r="F5" s="41"/>
      <c r="G5" s="41"/>
      <c r="H5" s="22">
        <f>SUM(I5)-1.8</f>
        <v>22.4</v>
      </c>
      <c r="I5" s="22">
        <f>SUM(J5)-1.8</f>
        <v>24.2</v>
      </c>
      <c r="J5" s="26">
        <v>26</v>
      </c>
      <c r="K5" s="22">
        <f>SUM(J5)+1.6</f>
        <v>27.6</v>
      </c>
      <c r="L5" s="22">
        <f t="shared" ref="L5:M5" si="0">SUM(K5)+1.6</f>
        <v>29.200000000000003</v>
      </c>
      <c r="M5" s="69">
        <f t="shared" si="0"/>
        <v>30.800000000000004</v>
      </c>
    </row>
    <row r="6" spans="1:13" s="1" customFormat="1" ht="14.1" customHeight="1" x14ac:dyDescent="0.3">
      <c r="A6" s="15"/>
      <c r="B6" s="37" t="s">
        <v>9</v>
      </c>
      <c r="C6" s="37"/>
      <c r="D6" s="38" t="s">
        <v>49</v>
      </c>
      <c r="E6" s="39"/>
      <c r="F6" s="39"/>
      <c r="G6" s="40"/>
      <c r="H6" s="42"/>
      <c r="I6" s="42"/>
      <c r="J6" s="43"/>
      <c r="K6" s="42"/>
      <c r="L6" s="42"/>
      <c r="M6" s="67"/>
    </row>
    <row r="7" spans="1:13" s="1" customFormat="1" ht="14.1" customHeight="1" x14ac:dyDescent="0.3">
      <c r="A7" s="15">
        <v>3</v>
      </c>
      <c r="B7" s="45" t="s">
        <v>17</v>
      </c>
      <c r="C7" s="45"/>
      <c r="D7" s="41" t="s">
        <v>33</v>
      </c>
      <c r="E7" s="41"/>
      <c r="F7" s="41"/>
      <c r="G7" s="41"/>
      <c r="H7" s="22">
        <f>SUM(I7)-2.25</f>
        <v>33.700000000000003</v>
      </c>
      <c r="I7" s="22">
        <f>SUM(J7)-2.25</f>
        <v>35.950000000000003</v>
      </c>
      <c r="J7" s="26">
        <v>38.200000000000003</v>
      </c>
      <c r="K7" s="22">
        <f>SUM(J7)+2</f>
        <v>40.200000000000003</v>
      </c>
      <c r="L7" s="22">
        <f>SUM(K7)+2</f>
        <v>42.2</v>
      </c>
      <c r="M7" s="69">
        <f>SUM(L7)+2</f>
        <v>44.2</v>
      </c>
    </row>
    <row r="8" spans="1:13" s="1" customFormat="1" ht="14.1" customHeight="1" x14ac:dyDescent="0.3">
      <c r="A8" s="15"/>
      <c r="B8" s="37" t="s">
        <v>19</v>
      </c>
      <c r="C8" s="37"/>
      <c r="D8" s="38" t="s">
        <v>50</v>
      </c>
      <c r="E8" s="39"/>
      <c r="F8" s="39"/>
      <c r="G8" s="40"/>
      <c r="H8" s="42"/>
      <c r="I8" s="42"/>
      <c r="J8" s="43"/>
      <c r="K8" s="42"/>
      <c r="L8" s="42"/>
      <c r="M8" s="67"/>
    </row>
    <row r="9" spans="1:13" s="1" customFormat="1" ht="14.1" customHeight="1" x14ac:dyDescent="0.3">
      <c r="A9" s="15">
        <v>4</v>
      </c>
      <c r="B9" s="45" t="s">
        <v>51</v>
      </c>
      <c r="C9" s="45"/>
      <c r="D9" s="41" t="s">
        <v>52</v>
      </c>
      <c r="E9" s="41"/>
      <c r="F9" s="41"/>
      <c r="G9" s="41"/>
      <c r="H9" s="22">
        <f>SUM(I9)-2.3</f>
        <v>34.400000000000006</v>
      </c>
      <c r="I9" s="22">
        <f>SUM(J9)-2.3</f>
        <v>36.700000000000003</v>
      </c>
      <c r="J9" s="26">
        <v>39</v>
      </c>
      <c r="K9" s="22">
        <f>SUM(J9)+2.1</f>
        <v>41.1</v>
      </c>
      <c r="L9" s="22">
        <f>SUM(K9)+2.1</f>
        <v>43.2</v>
      </c>
      <c r="M9" s="69">
        <f>SUM(L9)+2.1</f>
        <v>45.300000000000004</v>
      </c>
    </row>
    <row r="10" spans="1:13" s="1" customFormat="1" ht="14.1" customHeight="1" x14ac:dyDescent="0.3">
      <c r="A10" s="15"/>
      <c r="B10" s="37" t="s">
        <v>53</v>
      </c>
      <c r="C10" s="37"/>
      <c r="D10" s="38" t="s">
        <v>54</v>
      </c>
      <c r="E10" s="39"/>
      <c r="F10" s="39"/>
      <c r="G10" s="40"/>
      <c r="H10" s="42"/>
      <c r="I10" s="42"/>
      <c r="J10" s="43"/>
      <c r="K10" s="42"/>
      <c r="L10" s="42"/>
      <c r="M10" s="67"/>
    </row>
    <row r="11" spans="1:13" s="1" customFormat="1" ht="14.1" customHeight="1" x14ac:dyDescent="0.3">
      <c r="A11" s="15">
        <v>5</v>
      </c>
      <c r="B11" s="45" t="s">
        <v>8</v>
      </c>
      <c r="C11" s="45"/>
      <c r="D11" s="41" t="s">
        <v>0</v>
      </c>
      <c r="E11" s="41"/>
      <c r="F11" s="41"/>
      <c r="G11" s="41"/>
      <c r="H11" s="45">
        <f>SUM(I11)-0.8</f>
        <v>14.2</v>
      </c>
      <c r="I11" s="45">
        <f>SUM(J11)-0.8</f>
        <v>15</v>
      </c>
      <c r="J11" s="82">
        <v>15.8</v>
      </c>
      <c r="K11" s="83">
        <f>SUM(J11)+0.8</f>
        <v>16.600000000000001</v>
      </c>
      <c r="L11" s="83">
        <f>SUM(K11)+0.8</f>
        <v>17.400000000000002</v>
      </c>
      <c r="M11" s="70">
        <f>SUM(L11)+0.8</f>
        <v>18.200000000000003</v>
      </c>
    </row>
    <row r="12" spans="1:13" s="1" customFormat="1" ht="14.1" customHeight="1" x14ac:dyDescent="0.3">
      <c r="A12" s="15"/>
      <c r="B12" s="37" t="s">
        <v>10</v>
      </c>
      <c r="C12" s="37"/>
      <c r="D12" s="38" t="s">
        <v>21</v>
      </c>
      <c r="E12" s="39"/>
      <c r="F12" s="39"/>
      <c r="G12" s="40"/>
      <c r="H12" s="37"/>
      <c r="I12" s="37"/>
      <c r="J12" s="82"/>
      <c r="K12" s="83"/>
      <c r="L12" s="83"/>
      <c r="M12" s="70"/>
    </row>
    <row r="13" spans="1:13" s="1" customFormat="1" ht="14.1" customHeight="1" x14ac:dyDescent="0.3">
      <c r="A13" s="15">
        <v>6</v>
      </c>
      <c r="B13" s="45" t="s">
        <v>1</v>
      </c>
      <c r="C13" s="45"/>
      <c r="D13" s="41" t="s">
        <v>40</v>
      </c>
      <c r="E13" s="41"/>
      <c r="F13" s="41"/>
      <c r="G13" s="41"/>
      <c r="H13" s="22">
        <f>SUM(I13)-0.6</f>
        <v>17.299999999999997</v>
      </c>
      <c r="I13" s="22">
        <f>SUM(J13)-0.6</f>
        <v>17.899999999999999</v>
      </c>
      <c r="J13" s="24">
        <v>18.5</v>
      </c>
      <c r="K13" s="6">
        <f>SUM(J13)+0.6</f>
        <v>19.100000000000001</v>
      </c>
      <c r="L13" s="6">
        <f>SUM(K13)+0.6</f>
        <v>19.700000000000003</v>
      </c>
      <c r="M13" s="70">
        <f>SUM(L13)+0.6</f>
        <v>20.300000000000004</v>
      </c>
    </row>
    <row r="14" spans="1:13" s="1" customFormat="1" ht="14.1" customHeight="1" x14ac:dyDescent="0.3">
      <c r="A14" s="15"/>
      <c r="B14" s="37" t="s">
        <v>11</v>
      </c>
      <c r="C14" s="37"/>
      <c r="D14" s="38" t="s">
        <v>41</v>
      </c>
      <c r="E14" s="39"/>
      <c r="F14" s="39"/>
      <c r="G14" s="40"/>
      <c r="H14" s="42"/>
      <c r="I14" s="42"/>
      <c r="J14" s="24"/>
      <c r="K14" s="6"/>
      <c r="L14" s="6"/>
      <c r="M14" s="70"/>
    </row>
    <row r="15" spans="1:13" s="1" customFormat="1" ht="14.1" customHeight="1" x14ac:dyDescent="0.3">
      <c r="A15" s="15">
        <v>7</v>
      </c>
      <c r="B15" s="45" t="s">
        <v>55</v>
      </c>
      <c r="C15" s="45"/>
      <c r="D15" s="41" t="s">
        <v>56</v>
      </c>
      <c r="E15" s="41"/>
      <c r="F15" s="41"/>
      <c r="G15" s="41"/>
      <c r="H15" s="22">
        <f>SUM(I15)-0.2</f>
        <v>5.3</v>
      </c>
      <c r="I15" s="22">
        <f>SUM(J15)-0.2</f>
        <v>5.5</v>
      </c>
      <c r="J15" s="24">
        <v>5.7</v>
      </c>
      <c r="K15" s="6">
        <f>SUM(J15)+0.2</f>
        <v>5.9</v>
      </c>
      <c r="L15" s="6">
        <f>SUM(K15)+0.2</f>
        <v>6.1000000000000005</v>
      </c>
      <c r="M15" s="70">
        <f>SUM(L15)+0.2</f>
        <v>6.3000000000000007</v>
      </c>
    </row>
    <row r="16" spans="1:13" s="1" customFormat="1" ht="14.1" customHeight="1" x14ac:dyDescent="0.3">
      <c r="A16" s="15"/>
      <c r="B16" s="37" t="s">
        <v>57</v>
      </c>
      <c r="C16" s="37"/>
      <c r="D16" s="38" t="s">
        <v>58</v>
      </c>
      <c r="E16" s="39"/>
      <c r="F16" s="39"/>
      <c r="G16" s="40"/>
      <c r="H16" s="42"/>
      <c r="I16" s="42"/>
      <c r="J16" s="24"/>
      <c r="K16" s="6"/>
      <c r="L16" s="6"/>
      <c r="M16" s="70"/>
    </row>
    <row r="17" spans="1:14" s="1" customFormat="1" ht="14.1" customHeight="1" x14ac:dyDescent="0.3">
      <c r="A17" s="15">
        <v>8</v>
      </c>
      <c r="B17" s="45" t="s">
        <v>2</v>
      </c>
      <c r="C17" s="45"/>
      <c r="D17" s="41" t="s">
        <v>3</v>
      </c>
      <c r="E17" s="41"/>
      <c r="F17" s="41"/>
      <c r="G17" s="41"/>
      <c r="H17" s="22">
        <f>SUM(I17)-0.3</f>
        <v>7.8</v>
      </c>
      <c r="I17" s="22">
        <f>SUM(J17)-0.3</f>
        <v>8.1</v>
      </c>
      <c r="J17" s="24">
        <v>8.4</v>
      </c>
      <c r="K17" s="6">
        <f>SUM(J17)+0.3</f>
        <v>8.7000000000000011</v>
      </c>
      <c r="L17" s="6">
        <f>SUM(K17)+0.3</f>
        <v>9.0000000000000018</v>
      </c>
      <c r="M17" s="70">
        <f>SUM(L17)+0.3</f>
        <v>9.3000000000000025</v>
      </c>
    </row>
    <row r="18" spans="1:14" s="1" customFormat="1" ht="14.1" customHeight="1" x14ac:dyDescent="0.3">
      <c r="A18" s="15"/>
      <c r="B18" s="37" t="s">
        <v>12</v>
      </c>
      <c r="C18" s="37"/>
      <c r="D18" s="38" t="s">
        <v>59</v>
      </c>
      <c r="E18" s="39"/>
      <c r="F18" s="39"/>
      <c r="G18" s="40"/>
      <c r="H18" s="42"/>
      <c r="I18" s="42"/>
      <c r="J18" s="24"/>
      <c r="K18" s="6"/>
      <c r="L18" s="6"/>
      <c r="M18" s="70"/>
    </row>
    <row r="19" spans="1:14" s="1" customFormat="1" ht="14.1" customHeight="1" x14ac:dyDescent="0.3">
      <c r="A19" s="15">
        <v>9</v>
      </c>
      <c r="B19" s="45" t="s">
        <v>4</v>
      </c>
      <c r="C19" s="45"/>
      <c r="D19" s="41" t="s">
        <v>5</v>
      </c>
      <c r="E19" s="41"/>
      <c r="F19" s="41"/>
      <c r="G19" s="41"/>
      <c r="H19" s="22"/>
      <c r="I19" s="22"/>
      <c r="J19" s="26"/>
      <c r="K19" s="22"/>
      <c r="L19" s="22"/>
      <c r="M19" s="69"/>
    </row>
    <row r="20" spans="1:14" s="1" customFormat="1" ht="14.1" customHeight="1" x14ac:dyDescent="0.3">
      <c r="A20" s="15"/>
      <c r="B20" s="37" t="s">
        <v>13</v>
      </c>
      <c r="C20" s="37"/>
      <c r="D20" s="38" t="s">
        <v>22</v>
      </c>
      <c r="E20" s="39"/>
      <c r="F20" s="39"/>
      <c r="G20" s="40"/>
      <c r="H20" s="42"/>
      <c r="I20" s="42"/>
      <c r="J20" s="43"/>
      <c r="K20" s="42"/>
      <c r="L20" s="42"/>
      <c r="M20" s="67"/>
    </row>
    <row r="21" spans="1:14" s="1" customFormat="1" ht="14.1" customHeight="1" x14ac:dyDescent="0.3">
      <c r="A21" s="15">
        <v>10</v>
      </c>
      <c r="B21" s="45" t="s">
        <v>6</v>
      </c>
      <c r="C21" s="45"/>
      <c r="D21" s="46" t="s">
        <v>7</v>
      </c>
      <c r="E21" s="47"/>
      <c r="F21" s="47"/>
      <c r="G21" s="48"/>
      <c r="H21" s="22"/>
      <c r="I21" s="22"/>
      <c r="J21" s="24"/>
      <c r="K21" s="6"/>
      <c r="L21" s="6"/>
      <c r="M21" s="70"/>
    </row>
    <row r="22" spans="1:14" s="1" customFormat="1" ht="14.1" customHeight="1" x14ac:dyDescent="0.3">
      <c r="A22" s="15"/>
      <c r="B22" s="37" t="s">
        <v>14</v>
      </c>
      <c r="C22" s="37"/>
      <c r="D22" s="38" t="s">
        <v>30</v>
      </c>
      <c r="E22" s="39"/>
      <c r="F22" s="39"/>
      <c r="G22" s="40"/>
      <c r="H22" s="42"/>
      <c r="I22" s="42"/>
      <c r="J22" s="24"/>
      <c r="K22" s="6"/>
      <c r="L22" s="6"/>
      <c r="M22" s="70"/>
    </row>
    <row r="23" spans="1:14" s="1" customFormat="1" ht="14.1" customHeight="1" x14ac:dyDescent="0.3">
      <c r="A23" s="15">
        <v>11</v>
      </c>
      <c r="B23" s="17" t="s">
        <v>36</v>
      </c>
      <c r="C23" s="18"/>
      <c r="D23" s="41" t="s">
        <v>31</v>
      </c>
      <c r="E23" s="41"/>
      <c r="F23" s="41"/>
      <c r="G23" s="41"/>
      <c r="H23" s="22"/>
      <c r="I23" s="22"/>
      <c r="J23" s="24"/>
      <c r="K23" s="6"/>
      <c r="L23" s="6"/>
      <c r="M23" s="70"/>
    </row>
    <row r="24" spans="1:14" s="1" customFormat="1" ht="14.1" customHeight="1" x14ac:dyDescent="0.3">
      <c r="A24" s="15"/>
      <c r="B24" s="37" t="s">
        <v>15</v>
      </c>
      <c r="C24" s="37"/>
      <c r="D24" s="38" t="s">
        <v>32</v>
      </c>
      <c r="E24" s="39"/>
      <c r="F24" s="39"/>
      <c r="G24" s="40"/>
      <c r="H24" s="42"/>
      <c r="I24" s="42"/>
      <c r="J24" s="24"/>
      <c r="K24" s="6"/>
      <c r="L24" s="6"/>
      <c r="M24" s="70"/>
    </row>
    <row r="25" spans="1:14" s="1" customFormat="1" ht="14.1" customHeight="1" x14ac:dyDescent="0.3">
      <c r="A25" s="15">
        <v>12</v>
      </c>
      <c r="B25" s="17"/>
      <c r="C25" s="18"/>
      <c r="D25" s="19"/>
      <c r="E25" s="20"/>
      <c r="F25" s="20"/>
      <c r="G25" s="21"/>
      <c r="H25" s="22"/>
      <c r="I25" s="22"/>
      <c r="J25" s="24"/>
      <c r="K25" s="6"/>
      <c r="L25" s="6"/>
      <c r="M25" s="70"/>
    </row>
    <row r="26" spans="1:14" s="1" customFormat="1" ht="14.1" customHeight="1" thickBot="1" x14ac:dyDescent="0.35">
      <c r="A26" s="35"/>
      <c r="B26" s="28"/>
      <c r="C26" s="29"/>
      <c r="D26" s="30"/>
      <c r="E26" s="31"/>
      <c r="F26" s="31"/>
      <c r="G26" s="32"/>
      <c r="H26" s="36"/>
      <c r="I26" s="36"/>
      <c r="J26" s="26"/>
      <c r="K26" s="22"/>
      <c r="L26" s="22"/>
      <c r="M26" s="69"/>
    </row>
    <row r="27" spans="1:14" s="1" customFormat="1" ht="14.1" customHeight="1" thickTop="1" x14ac:dyDescent="0.3">
      <c r="A27" s="75">
        <v>13</v>
      </c>
      <c r="B27" s="76" t="s">
        <v>60</v>
      </c>
      <c r="C27" s="77"/>
      <c r="D27" s="78" t="s">
        <v>61</v>
      </c>
      <c r="E27" s="79"/>
      <c r="F27" s="79"/>
      <c r="G27" s="80"/>
      <c r="H27" s="81">
        <f>SUM(I27)-3</f>
        <v>45</v>
      </c>
      <c r="I27" s="73">
        <f>SUM(J27)-3</f>
        <v>48</v>
      </c>
      <c r="J27" s="72">
        <v>51</v>
      </c>
      <c r="K27" s="73">
        <f>SUM(J27)+3</f>
        <v>54</v>
      </c>
      <c r="L27" s="73">
        <f>SUM(K27)+3</f>
        <v>57</v>
      </c>
      <c r="M27" s="74">
        <f>SUM(L27)+3</f>
        <v>60</v>
      </c>
    </row>
    <row r="28" spans="1:14" s="1" customFormat="1" ht="14.1" customHeight="1" x14ac:dyDescent="0.3">
      <c r="A28" s="15"/>
      <c r="B28" s="33" t="s">
        <v>62</v>
      </c>
      <c r="C28" s="34"/>
      <c r="D28" s="59" t="s">
        <v>63</v>
      </c>
      <c r="E28" s="60"/>
      <c r="F28" s="60"/>
      <c r="G28" s="61"/>
      <c r="H28" s="37"/>
      <c r="I28" s="42"/>
      <c r="J28" s="43"/>
      <c r="K28" s="42"/>
      <c r="L28" s="42"/>
      <c r="M28" s="67"/>
    </row>
    <row r="29" spans="1:14" ht="14.1" customHeight="1" x14ac:dyDescent="0.3">
      <c r="A29" s="15">
        <v>14</v>
      </c>
      <c r="B29" s="17" t="s">
        <v>64</v>
      </c>
      <c r="C29" s="18"/>
      <c r="D29" s="30"/>
      <c r="E29" s="31"/>
      <c r="F29" s="31"/>
      <c r="G29" s="32"/>
      <c r="H29" s="22">
        <f>SUM(I29)-4.5</f>
        <v>66</v>
      </c>
      <c r="I29" s="22">
        <f>SUM(J29)-4.5</f>
        <v>70.5</v>
      </c>
      <c r="J29" s="58">
        <v>75</v>
      </c>
      <c r="K29" s="36">
        <f>SUM(J29)+4.5</f>
        <v>79.5</v>
      </c>
      <c r="L29" s="36">
        <f t="shared" ref="L29:M29" si="1">SUM(K29)+4.5</f>
        <v>84</v>
      </c>
      <c r="M29" s="68">
        <f t="shared" si="1"/>
        <v>88.5</v>
      </c>
      <c r="N29" s="1"/>
    </row>
    <row r="30" spans="1:14" ht="14.1" customHeight="1" x14ac:dyDescent="0.3">
      <c r="A30" s="15"/>
      <c r="B30" s="33" t="s">
        <v>65</v>
      </c>
      <c r="C30" s="34"/>
      <c r="D30" s="59"/>
      <c r="E30" s="60"/>
      <c r="F30" s="60"/>
      <c r="G30" s="61"/>
      <c r="H30" s="42"/>
      <c r="I30" s="42"/>
      <c r="J30" s="43"/>
      <c r="K30" s="42"/>
      <c r="L30" s="42"/>
      <c r="M30" s="67"/>
      <c r="N30" s="1"/>
    </row>
    <row r="31" spans="1:14" ht="14.1" customHeight="1" x14ac:dyDescent="0.3">
      <c r="A31" s="15">
        <v>15</v>
      </c>
      <c r="B31" s="17" t="s">
        <v>66</v>
      </c>
      <c r="C31" s="18"/>
      <c r="D31" s="46" t="s">
        <v>67</v>
      </c>
      <c r="E31" s="47"/>
      <c r="F31" s="47"/>
      <c r="G31" s="48"/>
      <c r="H31" s="22">
        <f>SUM(I31)-5</f>
        <v>70</v>
      </c>
      <c r="I31" s="22">
        <f>SUM(J31)-5</f>
        <v>75</v>
      </c>
      <c r="J31" s="26">
        <v>80</v>
      </c>
      <c r="K31" s="22">
        <f>SUM(J31)+5</f>
        <v>85</v>
      </c>
      <c r="L31" s="22">
        <f t="shared" ref="L31:M31" si="2">SUM(K31)+5</f>
        <v>90</v>
      </c>
      <c r="M31" s="69">
        <f t="shared" si="2"/>
        <v>95</v>
      </c>
    </row>
    <row r="32" spans="1:14" ht="14.1" customHeight="1" x14ac:dyDescent="0.3">
      <c r="A32" s="15"/>
      <c r="B32" s="33" t="s">
        <v>68</v>
      </c>
      <c r="C32" s="34"/>
      <c r="D32" s="59" t="s">
        <v>69</v>
      </c>
      <c r="E32" s="60"/>
      <c r="F32" s="60"/>
      <c r="G32" s="61"/>
      <c r="H32" s="42"/>
      <c r="I32" s="42"/>
      <c r="J32" s="43"/>
      <c r="K32" s="42"/>
      <c r="L32" s="42"/>
      <c r="M32" s="67"/>
    </row>
    <row r="33" spans="1:13" ht="14.1" customHeight="1" x14ac:dyDescent="0.3">
      <c r="A33" s="15">
        <v>16</v>
      </c>
      <c r="B33" s="17" t="s">
        <v>70</v>
      </c>
      <c r="C33" s="18"/>
      <c r="D33" s="46"/>
      <c r="E33" s="47"/>
      <c r="F33" s="47"/>
      <c r="G33" s="48"/>
      <c r="H33" s="45">
        <f>SUM(I33)-0.7</f>
        <v>14.000000000000002</v>
      </c>
      <c r="I33" s="22">
        <f>SUM(J33)-0.7</f>
        <v>14.700000000000001</v>
      </c>
      <c r="J33" s="26">
        <v>15.4</v>
      </c>
      <c r="K33" s="22">
        <f>SUM(J33)+1.2</f>
        <v>16.600000000000001</v>
      </c>
      <c r="L33" s="22">
        <f>SUM(K33)+0.7</f>
        <v>17.3</v>
      </c>
      <c r="M33" s="69">
        <f>SUM(L33)+0.7</f>
        <v>18</v>
      </c>
    </row>
    <row r="34" spans="1:13" ht="14.1" customHeight="1" x14ac:dyDescent="0.3">
      <c r="A34" s="15"/>
      <c r="B34" s="33" t="s">
        <v>71</v>
      </c>
      <c r="C34" s="34"/>
      <c r="D34" s="62" t="s">
        <v>72</v>
      </c>
      <c r="E34" s="63"/>
      <c r="F34" s="63"/>
      <c r="G34" s="64"/>
      <c r="H34" s="37"/>
      <c r="I34" s="42"/>
      <c r="J34" s="43"/>
      <c r="K34" s="42"/>
      <c r="L34" s="42"/>
      <c r="M34" s="67"/>
    </row>
    <row r="35" spans="1:13" ht="14.1" customHeight="1" x14ac:dyDescent="0.3">
      <c r="A35" s="15">
        <v>17</v>
      </c>
      <c r="B35" s="17" t="s">
        <v>73</v>
      </c>
      <c r="C35" s="18"/>
      <c r="D35" s="46"/>
      <c r="E35" s="47"/>
      <c r="F35" s="47"/>
      <c r="G35" s="48"/>
      <c r="H35" s="45"/>
      <c r="I35" s="22"/>
      <c r="J35" s="26"/>
      <c r="K35" s="22"/>
      <c r="L35" s="22"/>
      <c r="M35" s="69"/>
    </row>
    <row r="36" spans="1:13" ht="14.1" customHeight="1" x14ac:dyDescent="0.3">
      <c r="A36" s="15"/>
      <c r="B36" s="33" t="s">
        <v>74</v>
      </c>
      <c r="C36" s="34"/>
      <c r="D36" s="62" t="s">
        <v>75</v>
      </c>
      <c r="E36" s="63"/>
      <c r="F36" s="63"/>
      <c r="G36" s="64"/>
      <c r="H36" s="37"/>
      <c r="I36" s="42"/>
      <c r="J36" s="43"/>
      <c r="K36" s="42"/>
      <c r="L36" s="42"/>
      <c r="M36" s="67"/>
    </row>
    <row r="37" spans="1:13" ht="14.1" customHeight="1" x14ac:dyDescent="0.3">
      <c r="A37" s="15">
        <v>18</v>
      </c>
      <c r="B37" s="17" t="s">
        <v>76</v>
      </c>
      <c r="C37" s="18"/>
      <c r="D37" s="46" t="s">
        <v>33</v>
      </c>
      <c r="E37" s="47"/>
      <c r="F37" s="47"/>
      <c r="G37" s="48"/>
      <c r="H37" s="22">
        <f>SUM(I37)-6</f>
        <v>48</v>
      </c>
      <c r="I37" s="22">
        <f>SUM(J37)-6</f>
        <v>54</v>
      </c>
      <c r="J37" s="26">
        <v>60</v>
      </c>
      <c r="K37" s="22">
        <f>SUM(J37)+5</f>
        <v>65</v>
      </c>
      <c r="L37" s="22">
        <f>SUM(K37)+5</f>
        <v>70</v>
      </c>
      <c r="M37" s="69">
        <f>SUM(L37)+5</f>
        <v>75</v>
      </c>
    </row>
    <row r="38" spans="1:13" ht="14.1" customHeight="1" x14ac:dyDescent="0.3">
      <c r="A38" s="15"/>
      <c r="B38" s="33" t="s">
        <v>77</v>
      </c>
      <c r="C38" s="34"/>
      <c r="D38" s="59" t="s">
        <v>78</v>
      </c>
      <c r="E38" s="60"/>
      <c r="F38" s="60"/>
      <c r="G38" s="61"/>
      <c r="H38" s="42"/>
      <c r="I38" s="42"/>
      <c r="J38" s="43"/>
      <c r="K38" s="42"/>
      <c r="L38" s="42"/>
      <c r="M38" s="67"/>
    </row>
    <row r="39" spans="1:13" ht="14.1" customHeight="1" x14ac:dyDescent="0.3">
      <c r="A39" s="15">
        <v>19</v>
      </c>
      <c r="B39" s="17" t="s">
        <v>79</v>
      </c>
      <c r="C39" s="18"/>
      <c r="D39" s="46" t="s">
        <v>80</v>
      </c>
      <c r="E39" s="47"/>
      <c r="F39" s="47"/>
      <c r="G39" s="48"/>
      <c r="H39" s="22">
        <f>SUM(I39)-2.2</f>
        <v>41.599999999999994</v>
      </c>
      <c r="I39" s="22">
        <f>SUM(J39)-2.2</f>
        <v>43.8</v>
      </c>
      <c r="J39" s="26">
        <v>46</v>
      </c>
      <c r="K39" s="22">
        <f>SUM(J39)+2.2</f>
        <v>48.2</v>
      </c>
      <c r="L39" s="22">
        <f>SUM(K39)+2.2</f>
        <v>50.400000000000006</v>
      </c>
      <c r="M39" s="69">
        <f>SUM(L39)+2.2</f>
        <v>52.600000000000009</v>
      </c>
    </row>
    <row r="40" spans="1:13" ht="14.1" customHeight="1" x14ac:dyDescent="0.3">
      <c r="A40" s="15"/>
      <c r="B40" s="33" t="s">
        <v>81</v>
      </c>
      <c r="C40" s="34"/>
      <c r="D40" s="38" t="s">
        <v>82</v>
      </c>
      <c r="E40" s="39"/>
      <c r="F40" s="39"/>
      <c r="G40" s="40"/>
      <c r="H40" s="42"/>
      <c r="I40" s="42"/>
      <c r="J40" s="43"/>
      <c r="K40" s="42"/>
      <c r="L40" s="42"/>
      <c r="M40" s="67"/>
    </row>
    <row r="41" spans="1:13" ht="14.1" customHeight="1" x14ac:dyDescent="0.3">
      <c r="A41" s="15">
        <v>20</v>
      </c>
      <c r="B41" s="17" t="s">
        <v>83</v>
      </c>
      <c r="C41" s="18"/>
      <c r="D41" s="46" t="s">
        <v>84</v>
      </c>
      <c r="E41" s="47"/>
      <c r="F41" s="47"/>
      <c r="G41" s="48"/>
      <c r="H41" s="45">
        <f>SUM(I41)-1.1</f>
        <v>21.599999999999998</v>
      </c>
      <c r="I41" s="22">
        <f>SUM(J41)-1.1</f>
        <v>22.7</v>
      </c>
      <c r="J41" s="26">
        <v>23.8</v>
      </c>
      <c r="K41" s="22">
        <f>SUM(J41)+1.6</f>
        <v>25.400000000000002</v>
      </c>
      <c r="L41" s="22">
        <f>SUM(K41)+1.1</f>
        <v>26.500000000000004</v>
      </c>
      <c r="M41" s="69">
        <f>SUM(L41)+1.1</f>
        <v>27.600000000000005</v>
      </c>
    </row>
    <row r="42" spans="1:13" ht="14.1" customHeight="1" x14ac:dyDescent="0.3">
      <c r="A42" s="15"/>
      <c r="B42" s="33" t="s">
        <v>85</v>
      </c>
      <c r="C42" s="34"/>
      <c r="D42" s="59" t="s">
        <v>86</v>
      </c>
      <c r="E42" s="60"/>
      <c r="F42" s="60"/>
      <c r="G42" s="61"/>
      <c r="H42" s="37"/>
      <c r="I42" s="42"/>
      <c r="J42" s="43"/>
      <c r="K42" s="42"/>
      <c r="L42" s="42"/>
      <c r="M42" s="67"/>
    </row>
    <row r="43" spans="1:13" ht="14.1" customHeight="1" x14ac:dyDescent="0.3">
      <c r="A43" s="15">
        <v>21</v>
      </c>
      <c r="B43" s="17" t="s">
        <v>87</v>
      </c>
      <c r="C43" s="18"/>
      <c r="D43" s="46" t="s">
        <v>84</v>
      </c>
      <c r="E43" s="47"/>
      <c r="F43" s="47"/>
      <c r="G43" s="48"/>
      <c r="H43" s="45">
        <f>SUM(I43)-1.3</f>
        <v>29.4</v>
      </c>
      <c r="I43" s="22">
        <f>SUM(J43)-1.3</f>
        <v>30.7</v>
      </c>
      <c r="J43" s="26">
        <v>32</v>
      </c>
      <c r="K43" s="22">
        <f>SUM(J43)+1.8</f>
        <v>33.799999999999997</v>
      </c>
      <c r="L43" s="22">
        <f>SUM(K43)+1.3</f>
        <v>35.099999999999994</v>
      </c>
      <c r="M43" s="69">
        <f>SUM(L43)+1.3</f>
        <v>36.399999999999991</v>
      </c>
    </row>
    <row r="44" spans="1:13" ht="14.1" customHeight="1" x14ac:dyDescent="0.3">
      <c r="A44" s="15"/>
      <c r="B44" s="33" t="s">
        <v>88</v>
      </c>
      <c r="C44" s="34"/>
      <c r="D44" s="59" t="s">
        <v>86</v>
      </c>
      <c r="E44" s="60"/>
      <c r="F44" s="60"/>
      <c r="G44" s="61"/>
      <c r="H44" s="37"/>
      <c r="I44" s="42"/>
      <c r="J44" s="43"/>
      <c r="K44" s="42"/>
      <c r="L44" s="42"/>
      <c r="M44" s="67"/>
    </row>
    <row r="45" spans="1:13" ht="14.1" customHeight="1" x14ac:dyDescent="0.3">
      <c r="A45" s="15">
        <v>22</v>
      </c>
      <c r="B45" s="17" t="s">
        <v>89</v>
      </c>
      <c r="C45" s="18"/>
      <c r="D45" s="46" t="s">
        <v>90</v>
      </c>
      <c r="E45" s="47"/>
      <c r="F45" s="47"/>
      <c r="G45" s="48"/>
      <c r="H45" s="45">
        <f>SUM(I45)-3.1</f>
        <v>44.699999999999996</v>
      </c>
      <c r="I45" s="22">
        <f>SUM(J45)-3.1</f>
        <v>47.8</v>
      </c>
      <c r="J45" s="26">
        <v>50.9</v>
      </c>
      <c r="K45" s="22">
        <f>SUM(J45)+3.1</f>
        <v>54</v>
      </c>
      <c r="L45" s="22">
        <f>SUM(K45)+3.1</f>
        <v>57.1</v>
      </c>
      <c r="M45" s="69">
        <f>SUM(L45)+3.1</f>
        <v>60.2</v>
      </c>
    </row>
    <row r="46" spans="1:13" ht="14.1" customHeight="1" x14ac:dyDescent="0.3">
      <c r="A46" s="15"/>
      <c r="B46" s="33" t="s">
        <v>91</v>
      </c>
      <c r="C46" s="34"/>
      <c r="D46" s="59" t="s">
        <v>92</v>
      </c>
      <c r="E46" s="60"/>
      <c r="F46" s="60"/>
      <c r="G46" s="61"/>
      <c r="H46" s="37"/>
      <c r="I46" s="42"/>
      <c r="J46" s="43"/>
      <c r="K46" s="42"/>
      <c r="L46" s="42"/>
      <c r="M46" s="67"/>
    </row>
    <row r="47" spans="1:13" ht="14.1" customHeight="1" x14ac:dyDescent="0.3">
      <c r="A47" s="15">
        <v>23</v>
      </c>
      <c r="B47" s="17" t="s">
        <v>93</v>
      </c>
      <c r="C47" s="18"/>
      <c r="D47" s="46" t="s">
        <v>94</v>
      </c>
      <c r="E47" s="47"/>
      <c r="F47" s="47"/>
      <c r="G47" s="48"/>
      <c r="H47" s="45">
        <f>SUM(I47)-5</f>
        <v>27.5</v>
      </c>
      <c r="I47" s="22">
        <f>SUM(J47)-5</f>
        <v>32.5</v>
      </c>
      <c r="J47" s="26">
        <v>37.5</v>
      </c>
      <c r="K47" s="22">
        <f>SUM(J47)+3.5</f>
        <v>41</v>
      </c>
      <c r="L47" s="22">
        <f>SUM(K47)+4</f>
        <v>45</v>
      </c>
      <c r="M47" s="69">
        <f>SUM(L47)+4</f>
        <v>49</v>
      </c>
    </row>
    <row r="48" spans="1:13" ht="13.5" customHeight="1" x14ac:dyDescent="0.3">
      <c r="A48" s="15"/>
      <c r="B48" s="33" t="s">
        <v>95</v>
      </c>
      <c r="C48" s="34"/>
      <c r="D48" s="59" t="s">
        <v>96</v>
      </c>
      <c r="E48" s="60"/>
      <c r="F48" s="60"/>
      <c r="G48" s="61"/>
      <c r="H48" s="37"/>
      <c r="I48" s="42"/>
      <c r="J48" s="43"/>
      <c r="K48" s="42"/>
      <c r="L48" s="42"/>
      <c r="M48" s="67"/>
    </row>
    <row r="49" spans="1:13" ht="13.5" customHeight="1" x14ac:dyDescent="0.3">
      <c r="A49" s="15">
        <v>24</v>
      </c>
      <c r="B49" s="17" t="s">
        <v>97</v>
      </c>
      <c r="C49" s="18"/>
      <c r="D49" s="46" t="s">
        <v>98</v>
      </c>
      <c r="E49" s="47"/>
      <c r="F49" s="47"/>
      <c r="G49" s="48"/>
      <c r="H49" s="22"/>
      <c r="I49" s="22"/>
      <c r="J49" s="26"/>
      <c r="K49" s="22"/>
      <c r="L49" s="22"/>
      <c r="M49" s="69"/>
    </row>
    <row r="50" spans="1:13" ht="13.5" customHeight="1" x14ac:dyDescent="0.3">
      <c r="A50" s="15"/>
      <c r="B50" s="33" t="s">
        <v>99</v>
      </c>
      <c r="C50" s="34"/>
      <c r="D50" s="59" t="s">
        <v>98</v>
      </c>
      <c r="E50" s="60"/>
      <c r="F50" s="60"/>
      <c r="G50" s="61"/>
      <c r="H50" s="42"/>
      <c r="I50" s="42"/>
      <c r="J50" s="43"/>
      <c r="K50" s="42"/>
      <c r="L50" s="42"/>
      <c r="M50" s="67"/>
    </row>
    <row r="51" spans="1:13" ht="13.5" customHeight="1" x14ac:dyDescent="0.3">
      <c r="A51" s="15">
        <v>25</v>
      </c>
      <c r="B51" s="17" t="s">
        <v>100</v>
      </c>
      <c r="C51" s="18"/>
      <c r="D51" s="46" t="s">
        <v>101</v>
      </c>
      <c r="E51" s="47"/>
      <c r="F51" s="47"/>
      <c r="G51" s="48"/>
      <c r="H51" s="22"/>
      <c r="I51" s="22"/>
      <c r="J51" s="26"/>
      <c r="K51" s="22"/>
      <c r="L51" s="22"/>
      <c r="M51" s="69"/>
    </row>
    <row r="52" spans="1:13" ht="13.5" customHeight="1" x14ac:dyDescent="0.3">
      <c r="A52" s="15"/>
      <c r="B52" s="33" t="s">
        <v>102</v>
      </c>
      <c r="C52" s="34"/>
      <c r="D52" s="59" t="s">
        <v>103</v>
      </c>
      <c r="E52" s="60"/>
      <c r="F52" s="60"/>
      <c r="G52" s="61"/>
      <c r="H52" s="42"/>
      <c r="I52" s="42"/>
      <c r="J52" s="43"/>
      <c r="K52" s="42"/>
      <c r="L52" s="42"/>
      <c r="M52" s="67"/>
    </row>
    <row r="53" spans="1:13" ht="13.5" customHeight="1" x14ac:dyDescent="0.3">
      <c r="A53" s="15">
        <v>26</v>
      </c>
      <c r="B53" s="17" t="s">
        <v>104</v>
      </c>
      <c r="C53" s="18"/>
      <c r="D53" s="46" t="s">
        <v>105</v>
      </c>
      <c r="E53" s="47"/>
      <c r="F53" s="47"/>
      <c r="G53" s="48"/>
      <c r="H53" s="22">
        <f>SUM(I53)-0.2</f>
        <v>4.5999999999999996</v>
      </c>
      <c r="I53" s="22">
        <f>SUM(J53)-0.2</f>
        <v>4.8</v>
      </c>
      <c r="J53" s="24">
        <v>5</v>
      </c>
      <c r="K53" s="6">
        <f>SUM(J53)+0.2</f>
        <v>5.2</v>
      </c>
      <c r="L53" s="6">
        <f>SUM(K53)+0.2</f>
        <v>5.4</v>
      </c>
      <c r="M53" s="70">
        <f>SUM(L53)+0.2</f>
        <v>5.6000000000000005</v>
      </c>
    </row>
    <row r="54" spans="1:13" ht="13.5" customHeight="1" x14ac:dyDescent="0.3">
      <c r="A54" s="15"/>
      <c r="B54" s="33" t="s">
        <v>106</v>
      </c>
      <c r="C54" s="34"/>
      <c r="D54" s="59" t="s">
        <v>107</v>
      </c>
      <c r="E54" s="60"/>
      <c r="F54" s="60"/>
      <c r="G54" s="61"/>
      <c r="H54" s="42"/>
      <c r="I54" s="42"/>
      <c r="J54" s="24"/>
      <c r="K54" s="6"/>
      <c r="L54" s="6"/>
      <c r="M54" s="70"/>
    </row>
    <row r="55" spans="1:13" ht="13.5" customHeight="1" x14ac:dyDescent="0.3">
      <c r="A55" s="15">
        <v>27</v>
      </c>
      <c r="B55" s="17" t="s">
        <v>108</v>
      </c>
      <c r="C55" s="18"/>
      <c r="D55" s="46" t="s">
        <v>109</v>
      </c>
      <c r="E55" s="47"/>
      <c r="F55" s="47"/>
      <c r="G55" s="48"/>
      <c r="H55" s="22">
        <f>SUM(I55)-0.6</f>
        <v>9.9</v>
      </c>
      <c r="I55" s="22">
        <f>SUM(J55)-0.6</f>
        <v>10.5</v>
      </c>
      <c r="J55" s="24">
        <v>11.1</v>
      </c>
      <c r="K55" s="6">
        <f>SUM(J55)+0.6</f>
        <v>11.7</v>
      </c>
      <c r="L55" s="6">
        <f>SUM(K55)+0.6</f>
        <v>12.299999999999999</v>
      </c>
      <c r="M55" s="70">
        <f>SUM(L55)+0.6</f>
        <v>12.899999999999999</v>
      </c>
    </row>
    <row r="56" spans="1:13" ht="13.5" customHeight="1" x14ac:dyDescent="0.3">
      <c r="A56" s="15"/>
      <c r="B56" s="33" t="s">
        <v>110</v>
      </c>
      <c r="C56" s="34"/>
      <c r="D56" s="59" t="s">
        <v>111</v>
      </c>
      <c r="E56" s="60"/>
      <c r="F56" s="60"/>
      <c r="G56" s="61"/>
      <c r="H56" s="42"/>
      <c r="I56" s="42"/>
      <c r="J56" s="24"/>
      <c r="K56" s="6"/>
      <c r="L56" s="6"/>
      <c r="M56" s="70"/>
    </row>
    <row r="57" spans="1:13" ht="13.5" customHeight="1" x14ac:dyDescent="0.3">
      <c r="A57" s="15">
        <v>28</v>
      </c>
      <c r="B57" s="17"/>
      <c r="C57" s="18"/>
      <c r="D57" s="41"/>
      <c r="E57" s="41"/>
      <c r="F57" s="41"/>
      <c r="G57" s="41"/>
      <c r="H57" s="22"/>
      <c r="I57" s="22"/>
      <c r="J57" s="24"/>
      <c r="K57" s="6"/>
      <c r="L57" s="6"/>
      <c r="M57" s="70"/>
    </row>
    <row r="58" spans="1:13" ht="13.5" customHeight="1" thickBot="1" x14ac:dyDescent="0.35">
      <c r="A58" s="16"/>
      <c r="B58" s="65"/>
      <c r="C58" s="65"/>
      <c r="D58" s="12"/>
      <c r="E58" s="13"/>
      <c r="F58" s="13"/>
      <c r="G58" s="14"/>
      <c r="H58" s="23"/>
      <c r="I58" s="23"/>
      <c r="J58" s="25"/>
      <c r="K58" s="7"/>
      <c r="L58" s="7"/>
      <c r="M58" s="71"/>
    </row>
    <row r="59" spans="1:13" ht="13.5" customHeight="1" x14ac:dyDescent="0.3"/>
    <row r="60" spans="1:13" ht="13.5" customHeight="1" x14ac:dyDescent="0.3"/>
    <row r="61" spans="1:13" ht="13.5" customHeight="1" x14ac:dyDescent="0.3"/>
    <row r="62" spans="1:13" ht="13.5" customHeight="1" x14ac:dyDescent="0.3"/>
    <row r="63" spans="1:13" ht="13.5" customHeight="1" x14ac:dyDescent="0.3"/>
    <row r="64" spans="1:13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</sheetData>
  <mergeCells count="311">
    <mergeCell ref="K57:K58"/>
    <mergeCell ref="L57:L58"/>
    <mergeCell ref="M57:M58"/>
    <mergeCell ref="B58:C58"/>
    <mergeCell ref="D58:G58"/>
    <mergeCell ref="A57:A58"/>
    <mergeCell ref="B57:C57"/>
    <mergeCell ref="D57:G57"/>
    <mergeCell ref="H57:H58"/>
    <mergeCell ref="I57:I58"/>
    <mergeCell ref="J57:J58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OP05</vt:lpstr>
      <vt:lpstr>SE09</vt:lpstr>
      <vt:lpstr>'OP05'!Print_Area</vt:lpstr>
      <vt:lpstr>'SE09'!Print_Area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DAHEE KIM</cp:lastModifiedBy>
  <cp:lastPrinted>2026-03-04T08:51:28Z</cp:lastPrinted>
  <dcterms:created xsi:type="dcterms:W3CDTF">2018-05-14T06:17:18Z</dcterms:created>
  <dcterms:modified xsi:type="dcterms:W3CDTF">2026-03-11T08:22:06Z</dcterms:modified>
</cp:coreProperties>
</file>