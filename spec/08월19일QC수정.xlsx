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8월19일\"/>
    </mc:Choice>
  </mc:AlternateContent>
  <xr:revisionPtr revIDLastSave="0" documentId="13_ncr:1_{5E53B3B4-FFDF-420C-8C38-91469DD84FE5}" xr6:coauthVersionLast="47" xr6:coauthVersionMax="47" xr10:uidLastSave="{00000000-0000-0000-0000-000000000000}"/>
  <bookViews>
    <workbookView xWindow="37425" yWindow="1215" windowWidth="19635" windowHeight="14145" tabRatio="772" activeTab="2" xr2:uid="{248B8E69-6C34-46C8-9649-87D2B01A7065}"/>
  </bookViews>
  <sheets>
    <sheet name="WOU63" sheetId="2807" r:id="rId1"/>
    <sheet name="PT63" sheetId="2808" r:id="rId2"/>
    <sheet name="PT69(완사입)" sheetId="2806" r:id="rId3"/>
    <sheet name="GPT04" sheetId="2809" r:id="rId4"/>
  </sheets>
  <definedNames>
    <definedName name="_xlnm.Print_Area" localSheetId="3">'GPT04'!$A$1:$M$46</definedName>
    <definedName name="_xlnm.Print_Area" localSheetId="1">'PT63'!$A$1:$M$48</definedName>
    <definedName name="_xlnm.Print_Area" localSheetId="2">'PT69(완사입)'!$A$1:$M$52</definedName>
    <definedName name="_xlnm.Print_Area" localSheetId="0">'WOU63'!$A$1:$M$44</definedName>
  </definedNames>
  <calcPr calcId="191029"/>
</workbook>
</file>

<file path=xl/calcChain.xml><?xml version="1.0" encoding="utf-8"?>
<calcChain xmlns="http://schemas.openxmlformats.org/spreadsheetml/2006/main">
  <c r="I43" i="2809" l="1"/>
  <c r="J43" i="2809" s="1"/>
  <c r="I41" i="2809"/>
  <c r="J41" i="2809" s="1"/>
  <c r="I39" i="2809"/>
  <c r="J39" i="2809" s="1"/>
  <c r="I37" i="2809"/>
  <c r="J37" i="2809" s="1"/>
  <c r="I35" i="2809"/>
  <c r="J35" i="2809" s="1"/>
  <c r="I33" i="2809"/>
  <c r="J33" i="2809" s="1"/>
  <c r="I31" i="2809"/>
  <c r="J31" i="2809" s="1"/>
  <c r="I29" i="2809"/>
  <c r="J29" i="2809" s="1"/>
  <c r="I27" i="2809"/>
  <c r="J27" i="2809" s="1"/>
  <c r="I25" i="2809"/>
  <c r="J25" i="2809" s="1"/>
  <c r="I23" i="2809"/>
  <c r="J23" i="2809" s="1"/>
  <c r="I21" i="2809"/>
  <c r="J21" i="2809" s="1"/>
  <c r="I19" i="2809"/>
  <c r="J19" i="2809" s="1"/>
  <c r="I15" i="2809"/>
  <c r="J15" i="2809" s="1"/>
  <c r="I13" i="2809"/>
  <c r="J13" i="2809" s="1"/>
  <c r="I11" i="2809"/>
  <c r="J11" i="2809" s="1"/>
  <c r="I3" i="2809"/>
  <c r="J3" i="2809" s="1"/>
  <c r="J47" i="2808"/>
  <c r="K47" i="2808" s="1"/>
  <c r="L47" i="2808" s="1"/>
  <c r="M47" i="2808" s="1"/>
  <c r="H47" i="2808"/>
  <c r="J45" i="2808"/>
  <c r="K45" i="2808" s="1"/>
  <c r="L45" i="2808" s="1"/>
  <c r="M45" i="2808" s="1"/>
  <c r="H45" i="2808"/>
  <c r="J43" i="2808"/>
  <c r="K43" i="2808" s="1"/>
  <c r="L43" i="2808" s="1"/>
  <c r="M43" i="2808" s="1"/>
  <c r="H43" i="2808"/>
  <c r="J41" i="2808"/>
  <c r="K41" i="2808" s="1"/>
  <c r="L41" i="2808" s="1"/>
  <c r="M41" i="2808" s="1"/>
  <c r="H41" i="2808"/>
  <c r="J39" i="2808"/>
  <c r="K39" i="2808" s="1"/>
  <c r="L39" i="2808" s="1"/>
  <c r="M39" i="2808" s="1"/>
  <c r="H39" i="2808"/>
  <c r="J37" i="2808"/>
  <c r="K37" i="2808" s="1"/>
  <c r="L37" i="2808" s="1"/>
  <c r="M37" i="2808" s="1"/>
  <c r="H37" i="2808"/>
  <c r="J35" i="2808"/>
  <c r="K35" i="2808" s="1"/>
  <c r="L35" i="2808" s="1"/>
  <c r="M35" i="2808" s="1"/>
  <c r="H35" i="2808"/>
  <c r="J33" i="2808"/>
  <c r="K33" i="2808" s="1"/>
  <c r="L33" i="2808" s="1"/>
  <c r="M33" i="2808" s="1"/>
  <c r="H33" i="2808"/>
  <c r="J31" i="2808"/>
  <c r="K31" i="2808" s="1"/>
  <c r="L31" i="2808" s="1"/>
  <c r="M31" i="2808" s="1"/>
  <c r="H31" i="2808"/>
  <c r="J29" i="2808"/>
  <c r="K29" i="2808" s="1"/>
  <c r="L29" i="2808" s="1"/>
  <c r="M29" i="2808" s="1"/>
  <c r="H29" i="2808"/>
  <c r="J27" i="2808"/>
  <c r="K27" i="2808" s="1"/>
  <c r="L27" i="2808" s="1"/>
  <c r="M27" i="2808" s="1"/>
  <c r="H27" i="2808"/>
  <c r="J25" i="2808"/>
  <c r="K25" i="2808" s="1"/>
  <c r="L25" i="2808" s="1"/>
  <c r="M25" i="2808" s="1"/>
  <c r="H25" i="2808"/>
  <c r="J23" i="2808"/>
  <c r="K23" i="2808" s="1"/>
  <c r="L23" i="2808" s="1"/>
  <c r="M23" i="2808" s="1"/>
  <c r="H23" i="2808"/>
  <c r="J21" i="2808"/>
  <c r="K21" i="2808" s="1"/>
  <c r="L21" i="2808" s="1"/>
  <c r="M21" i="2808" s="1"/>
  <c r="H21" i="2808"/>
  <c r="J15" i="2808"/>
  <c r="K15" i="2808" s="1"/>
  <c r="L15" i="2808" s="1"/>
  <c r="M15" i="2808" s="1"/>
  <c r="H15" i="2808"/>
  <c r="J13" i="2808"/>
  <c r="K13" i="2808" s="1"/>
  <c r="L13" i="2808" s="1"/>
  <c r="M13" i="2808" s="1"/>
  <c r="H13" i="2808"/>
  <c r="J11" i="2808"/>
  <c r="K11" i="2808" s="1"/>
  <c r="L11" i="2808" s="1"/>
  <c r="M11" i="2808" s="1"/>
  <c r="H11" i="2808"/>
  <c r="J3" i="2808"/>
  <c r="K3" i="2808" s="1"/>
  <c r="L3" i="2808" s="1"/>
  <c r="M3" i="2808" s="1"/>
  <c r="H3" i="2808"/>
  <c r="K35" i="2807"/>
  <c r="L35" i="2807" s="1"/>
  <c r="M35" i="2807" s="1"/>
  <c r="I35" i="2807"/>
  <c r="H35" i="2807" s="1"/>
  <c r="K33" i="2807"/>
  <c r="L33" i="2807" s="1"/>
  <c r="M33" i="2807" s="1"/>
  <c r="I33" i="2807"/>
  <c r="H33" i="2807"/>
  <c r="K29" i="2807"/>
  <c r="L29" i="2807" s="1"/>
  <c r="M29" i="2807" s="1"/>
  <c r="I29" i="2807"/>
  <c r="H29" i="2807"/>
  <c r="K27" i="2807"/>
  <c r="L27" i="2807" s="1"/>
  <c r="M27" i="2807" s="1"/>
  <c r="I27" i="2807"/>
  <c r="H27" i="2807"/>
  <c r="K25" i="2807"/>
  <c r="L25" i="2807" s="1"/>
  <c r="M25" i="2807" s="1"/>
  <c r="I25" i="2807"/>
  <c r="H25" i="2807"/>
  <c r="K23" i="2807"/>
  <c r="L23" i="2807" s="1"/>
  <c r="M23" i="2807" s="1"/>
  <c r="I23" i="2807"/>
  <c r="H23" i="2807" s="1"/>
  <c r="K21" i="2807"/>
  <c r="L21" i="2807" s="1"/>
  <c r="M21" i="2807" s="1"/>
  <c r="I21" i="2807"/>
  <c r="H21" i="2807"/>
  <c r="K19" i="2807"/>
  <c r="L19" i="2807" s="1"/>
  <c r="M19" i="2807" s="1"/>
  <c r="I19" i="2807"/>
  <c r="H19" i="2807"/>
  <c r="K17" i="2807"/>
  <c r="L17" i="2807" s="1"/>
  <c r="M17" i="2807" s="1"/>
  <c r="I17" i="2807"/>
  <c r="H17" i="2807"/>
  <c r="K15" i="2807"/>
  <c r="L15" i="2807" s="1"/>
  <c r="M15" i="2807" s="1"/>
  <c r="I15" i="2807"/>
  <c r="H15" i="2807"/>
  <c r="K13" i="2807"/>
  <c r="L13" i="2807" s="1"/>
  <c r="M13" i="2807" s="1"/>
  <c r="I13" i="2807"/>
  <c r="H13" i="2807"/>
  <c r="K11" i="2807"/>
  <c r="L11" i="2807" s="1"/>
  <c r="M11" i="2807" s="1"/>
  <c r="I11" i="2807"/>
  <c r="H11" i="2807" s="1"/>
  <c r="K9" i="2807"/>
  <c r="L9" i="2807" s="1"/>
  <c r="M9" i="2807" s="1"/>
  <c r="I9" i="2807"/>
  <c r="H9" i="2807" s="1"/>
  <c r="K7" i="2807"/>
  <c r="L7" i="2807" s="1"/>
  <c r="M7" i="2807" s="1"/>
  <c r="I7" i="2807"/>
  <c r="H7" i="2807"/>
  <c r="K5" i="2807"/>
  <c r="L5" i="2807" s="1"/>
  <c r="M5" i="2807" s="1"/>
  <c r="I5" i="2807"/>
  <c r="H5" i="2807"/>
  <c r="K3" i="2807"/>
  <c r="L3" i="2807" s="1"/>
  <c r="M3" i="2807" s="1"/>
  <c r="I3" i="2807"/>
  <c r="H3" i="2807"/>
  <c r="M23" i="2806"/>
  <c r="L23" i="2806"/>
  <c r="K23" i="2806"/>
  <c r="H23" i="2806"/>
  <c r="I23" i="2806"/>
  <c r="M39" i="2806"/>
  <c r="L39" i="2806"/>
  <c r="K39" i="2806"/>
  <c r="H39" i="2806"/>
  <c r="I39" i="2806"/>
  <c r="M37" i="2806"/>
  <c r="L37" i="2806"/>
  <c r="K37" i="2806"/>
  <c r="H37" i="2806"/>
  <c r="I37" i="2806"/>
  <c r="K43" i="2806"/>
  <c r="L43" i="2806" s="1"/>
  <c r="M43" i="2806" s="1"/>
  <c r="I43" i="2806"/>
  <c r="H43" i="2806"/>
  <c r="K41" i="2806"/>
  <c r="L41" i="2806" s="1"/>
  <c r="M41" i="2806" s="1"/>
  <c r="I41" i="2806"/>
  <c r="H41" i="2806"/>
  <c r="K27" i="2806"/>
  <c r="L27" i="2806" s="1"/>
  <c r="M27" i="2806" s="1"/>
  <c r="I27" i="2806"/>
  <c r="H27" i="2806" s="1"/>
  <c r="K25" i="2806"/>
  <c r="L25" i="2806" s="1"/>
  <c r="M25" i="2806" s="1"/>
  <c r="I25" i="2806"/>
  <c r="H25" i="2806"/>
  <c r="L21" i="2806"/>
  <c r="M21" i="2806" s="1"/>
  <c r="K21" i="2806"/>
  <c r="I21" i="2806"/>
  <c r="H21" i="2806" s="1"/>
  <c r="K19" i="2806"/>
  <c r="L19" i="2806" s="1"/>
  <c r="M19" i="2806" s="1"/>
  <c r="I19" i="2806"/>
  <c r="H19" i="2806"/>
  <c r="K17" i="2806"/>
  <c r="L17" i="2806" s="1"/>
  <c r="M17" i="2806" s="1"/>
  <c r="I17" i="2806"/>
  <c r="H17" i="2806"/>
  <c r="K15" i="2806"/>
  <c r="L15" i="2806" s="1"/>
  <c r="M15" i="2806" s="1"/>
  <c r="I15" i="2806"/>
  <c r="H15" i="2806"/>
  <c r="K13" i="2806"/>
  <c r="L13" i="2806" s="1"/>
  <c r="M13" i="2806" s="1"/>
  <c r="I13" i="2806"/>
  <c r="H13" i="2806"/>
  <c r="K11" i="2806"/>
  <c r="L11" i="2806" s="1"/>
  <c r="M11" i="2806" s="1"/>
  <c r="I11" i="2806"/>
  <c r="H11" i="2806" s="1"/>
  <c r="K9" i="2806"/>
  <c r="L9" i="2806" s="1"/>
  <c r="M9" i="2806" s="1"/>
  <c r="I9" i="2806"/>
  <c r="H9" i="2806" s="1"/>
  <c r="K3" i="2806"/>
  <c r="L3" i="2806" s="1"/>
  <c r="M3" i="2806" s="1"/>
  <c r="I3" i="2806"/>
  <c r="H3" i="2806"/>
</calcChain>
</file>

<file path=xl/sharedStrings.xml><?xml version="1.0" encoding="utf-8"?>
<sst xmlns="http://schemas.openxmlformats.org/spreadsheetml/2006/main" count="311" uniqueCount="159">
  <si>
    <t xml:space="preserve">TOTAL LENGTH </t>
  </si>
  <si>
    <t xml:space="preserve">HIP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</si>
  <si>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</si>
  <si>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</si>
  <si>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</si>
  <si>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</si>
  <si>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</si>
  <si>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</si>
  <si>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</si>
  <si>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</si>
  <si>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</si>
  <si>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</si>
  <si>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</si>
  <si>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</si>
  <si>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</si>
  <si>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</si>
  <si>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</si>
  <si>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</si>
  <si>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</si>
  <si>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</si>
  <si>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</si>
  <si>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</si>
  <si>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</si>
  <si>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</si>
  <si>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</si>
  <si>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</si>
  <si>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</si>
  <si>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</si>
  <si>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</si>
  <si>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</si>
  <si>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</si>
  <si>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</si>
  <si>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허리완성사이즈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</si>
  <si>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</si>
  <si>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</si>
  <si>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</si>
  <si>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</si>
  <si>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</si>
  <si>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</si>
  <si>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</si>
  <si>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</si>
  <si>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</si>
  <si>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</si>
  <si>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</si>
  <si>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</si>
  <si>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</si>
  <si>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</si>
  <si>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</si>
  <si>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</si>
  <si>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</si>
  <si>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</si>
  <si>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</si>
  <si>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</si>
  <si>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</si>
  <si>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</si>
  <si>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</si>
  <si>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</si>
  <si>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</si>
  <si>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t>WAIST SIZE</t>
    <phoneticPr fontId="1" type="noConversion"/>
  </si>
  <si>
    <t>몸판 허리 둘레</t>
    <phoneticPr fontId="1" type="noConversion"/>
  </si>
  <si>
    <t>허리에서 수직으로 (오비포함)</t>
    <phoneticPr fontId="1" type="noConversion"/>
  </si>
  <si>
    <t>나나밴드</t>
    <phoneticPr fontId="1" type="noConversion"/>
  </si>
  <si>
    <t>ADIJUSTABLE BAND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</si>
  <si>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</si>
  <si>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</si>
  <si>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</si>
  <si>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</si>
  <si>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</si>
  <si>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</si>
  <si>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</si>
  <si>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</si>
  <si>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중심</t>
    <phoneticPr fontId="12" type="noConversion"/>
  </si>
  <si>
    <t>BASED ON ZIPPER FLY OUT LINE ,STRIGHT</t>
    <phoneticPr fontId="1" type="noConversion"/>
  </si>
  <si>
    <t>XS</t>
    <phoneticPr fontId="1" type="noConversion"/>
  </si>
  <si>
    <t>2XS</t>
    <phoneticPr fontId="1" type="noConversion"/>
  </si>
  <si>
    <t>여유분=4cm, 단추에서 단추사이 11cm</t>
    <phoneticPr fontId="12" type="noConversion"/>
  </si>
  <si>
    <t>S 사이즈</t>
    <phoneticPr fontId="12" type="noConversion"/>
  </si>
  <si>
    <t>STYLE NO: JYWPT69-D#A21 (인디고)</t>
    <phoneticPr fontId="1" type="noConversion"/>
  </si>
  <si>
    <t>하트 입구</t>
    <phoneticPr fontId="12" type="noConversion"/>
  </si>
  <si>
    <t>STYLE NO: JYWOU63-W#A20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</si>
  <si>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</si>
  <si>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</si>
  <si>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</si>
  <si>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</si>
  <si>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ACROSS SHOULDER </t>
    <phoneticPr fontId="2" type="noConversion"/>
  </si>
  <si>
    <t xml:space="preserve">POINT TO POINT </t>
    <phoneticPr fontId="2" type="noConversion"/>
  </si>
  <si>
    <t>어깨너비</t>
  </si>
  <si>
    <t>어깨 양끝점을 수평으로 잰 길이</t>
    <phoneticPr fontId="1" type="noConversion"/>
  </si>
  <si>
    <t>CHEST (1/2)</t>
    <phoneticPr fontId="2" type="noConversion"/>
  </si>
  <si>
    <t>가슴(상동)</t>
    <phoneticPr fontId="1" type="noConversion"/>
  </si>
  <si>
    <t>암홀 겨드랑이 지점에서 수평으로 잰 길이</t>
    <phoneticPr fontId="1" type="noConversion"/>
  </si>
  <si>
    <t>BOTTOM 20mm BAND</t>
    <phoneticPr fontId="2" type="noConversion"/>
  </si>
  <si>
    <t>STRIGHT (1/2)</t>
    <phoneticPr fontId="2" type="noConversion"/>
  </si>
  <si>
    <t>밑단20mm고무줄</t>
    <phoneticPr fontId="12" type="noConversion"/>
  </si>
  <si>
    <t>와끼선의 밑단 양끝점을 수평으로 잰 길이</t>
    <phoneticPr fontId="1" type="noConversion"/>
  </si>
  <si>
    <t xml:space="preserve">ARMHOLE </t>
  </si>
  <si>
    <t xml:space="preserve">STRIGHT </t>
    <phoneticPr fontId="2" type="noConversion"/>
  </si>
  <si>
    <t>암홀길이(직선)</t>
  </si>
  <si>
    <t>어깨끝점과 겨드랑이 점을 직선으로 잰 길이</t>
    <phoneticPr fontId="1" type="noConversion"/>
  </si>
  <si>
    <t>NECK WIDTH</t>
    <phoneticPr fontId="2" type="noConversion"/>
  </si>
  <si>
    <t>WITHOUT NECK BAND</t>
    <phoneticPr fontId="2" type="noConversion"/>
  </si>
  <si>
    <t>옆목너비</t>
  </si>
  <si>
    <t>옆목점을 수평으로 잰 길이</t>
    <phoneticPr fontId="1" type="noConversion"/>
  </si>
  <si>
    <t xml:space="preserve">FRONT NECK DROP </t>
    <phoneticPr fontId="2" type="noConversion"/>
  </si>
  <si>
    <t>앞목깊이</t>
  </si>
  <si>
    <t>옆목점에서 첫번째걸고리까지 수직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</si>
  <si>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</si>
  <si>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</si>
  <si>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목둘레</t>
  </si>
  <si>
    <t>목라인(NECK LINE)을 따라 잰 곡선의 둘레길이</t>
    <phoneticPr fontId="1" type="noConversion"/>
  </si>
  <si>
    <t>SLEEVE LENGTH</t>
    <phoneticPr fontId="2" type="noConversion"/>
  </si>
  <si>
    <t xml:space="preserve">FROM SHOULDER POINT TO EDGE </t>
    <phoneticPr fontId="2" type="noConversion"/>
  </si>
  <si>
    <t>소매기장</t>
  </si>
  <si>
    <t>어깨 끝점에서 소매 부리(밑단) 끝까지의 직선 길이</t>
    <phoneticPr fontId="1" type="noConversion"/>
  </si>
  <si>
    <t>BICEP</t>
    <phoneticPr fontId="2" type="noConversion"/>
  </si>
  <si>
    <t>FROM ARMHOLE JOINING POINT ,CIRCLE ROUND</t>
    <phoneticPr fontId="2" type="noConversion"/>
  </si>
  <si>
    <t>소매통</t>
  </si>
  <si>
    <t>암홀 겨드랑이 지점에서 소매중심의 수직 길이(둘레)</t>
    <phoneticPr fontId="1" type="noConversion"/>
  </si>
  <si>
    <t>SLEEVE 20mm BAND</t>
    <phoneticPr fontId="2" type="noConversion"/>
  </si>
  <si>
    <t xml:space="preserve">CIRCLE ROUND </t>
    <phoneticPr fontId="2" type="noConversion"/>
  </si>
  <si>
    <t>소매20mm고무줄</t>
    <phoneticPr fontId="12" type="noConversion"/>
  </si>
  <si>
    <t>소매 밑단(시보리 밑단)의 둘레 길이</t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</si>
  <si>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</si>
  <si>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</si>
  <si>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</si>
  <si>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</si>
  <si>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</si>
  <si>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</si>
  <si>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</si>
  <si>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</si>
  <si>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t>FRONT POCKET LENGTH</t>
    <phoneticPr fontId="12" type="noConversion"/>
  </si>
  <si>
    <t>앞주머니입구</t>
    <phoneticPr fontId="12" type="noConversion"/>
  </si>
  <si>
    <t>FRONT ZIPPER LENGTH</t>
    <phoneticPr fontId="1" type="noConversion"/>
  </si>
  <si>
    <t>앞지퍼길이</t>
    <phoneticPr fontId="1" type="noConversion"/>
  </si>
  <si>
    <t>패턴-1cm( YKK )</t>
    <phoneticPr fontId="1" type="noConversion"/>
  </si>
  <si>
    <t>POINT A</t>
    <phoneticPr fontId="1" type="noConversion"/>
  </si>
  <si>
    <t>위치 A</t>
    <phoneticPr fontId="1" type="noConversion"/>
  </si>
  <si>
    <t>옆목점에서 수직</t>
    <phoneticPr fontId="12" type="noConversion"/>
  </si>
  <si>
    <t>POINT B</t>
    <phoneticPr fontId="1" type="noConversion"/>
  </si>
  <si>
    <t>위치 B</t>
    <phoneticPr fontId="1" type="noConversion"/>
  </si>
  <si>
    <t>앞중심에서 (지퍼포함)</t>
    <phoneticPr fontId="12" type="noConversion"/>
  </si>
  <si>
    <t>STYLE NO: JYWPT63-K#Y25</t>
    <phoneticPr fontId="1" type="noConversion"/>
  </si>
  <si>
    <t>오비포함 와끼 기준</t>
    <phoneticPr fontId="1" type="noConversion"/>
  </si>
  <si>
    <t xml:space="preserve">BACK POCKET WIDE </t>
    <phoneticPr fontId="1" type="noConversion"/>
  </si>
  <si>
    <t>뒤주머니가로</t>
    <phoneticPr fontId="12" type="noConversion"/>
  </si>
  <si>
    <t xml:space="preserve">BACK POCKET VERTICAL </t>
    <phoneticPr fontId="1" type="noConversion"/>
  </si>
  <si>
    <t>뒤주머니세로</t>
    <phoneticPr fontId="12" type="noConversion"/>
  </si>
  <si>
    <r>
      <rPr>
        <sz val="7.5"/>
        <color theme="1"/>
        <rFont val="맑은 고딕"/>
        <family val="3"/>
        <charset val="129"/>
        <scheme val="minor"/>
      </rPr>
      <t>밑단에서 수직으로 잰 길이</t>
    </r>
    <r>
      <rPr>
        <sz val="7.5"/>
        <color rgb="FFFF0000"/>
        <rFont val="맑은 고딕"/>
        <family val="3"/>
        <charset val="129"/>
        <scheme val="minor"/>
      </rPr>
      <t>(립제외,직자수-양쪽 위치 동일)</t>
    </r>
    <phoneticPr fontId="12" type="noConversion"/>
  </si>
  <si>
    <r>
      <rPr>
        <sz val="7.5"/>
        <color theme="1"/>
        <rFont val="맑은 고딕"/>
        <family val="3"/>
        <charset val="129"/>
        <scheme val="minor"/>
      </rPr>
      <t>와끼에서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(직자수-양쪽 위치 동일)</t>
    </r>
    <phoneticPr fontId="12" type="noConversion"/>
  </si>
  <si>
    <t>STYLE NO: GYWPT04-K#R22</t>
    <phoneticPr fontId="1" type="noConversion"/>
  </si>
  <si>
    <r>
      <t xml:space="preserve">BASED ON ZIPPER FLY OUT LINE ,STRIGHT 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" type="noConversion"/>
  </si>
  <si>
    <t>오비포함 앞절개선 와끼기준</t>
    <phoneticPr fontId="1" type="noConversion"/>
  </si>
  <si>
    <r>
      <t xml:space="preserve">바지 밑단의 둘레길이 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2" type="noConversion"/>
  </si>
  <si>
    <t>턱펼친상태</t>
    <phoneticPr fontId="1" type="noConversion"/>
  </si>
  <si>
    <t>FRONT POCKET LENGTH</t>
    <phoneticPr fontId="1" type="noConversion"/>
  </si>
  <si>
    <t>WAIST STRING</t>
    <phoneticPr fontId="1" type="noConversion"/>
  </si>
  <si>
    <t>허리스트링</t>
    <phoneticPr fontId="1" type="noConversion"/>
  </si>
  <si>
    <t>노출길이=18cm</t>
    <phoneticPr fontId="1" type="noConversion"/>
  </si>
  <si>
    <t>앞주머니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</si>
</sst>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11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A4AF-AC93-46D6-9076-FE1CDFE1E705}">
  <sheetPr>
    <tabColor theme="5"/>
    <pageSetUpPr fitToPage="1"/>
  </sheetPr>
  <dimension ref="A1:M52"/>
  <sheetViews>
    <sheetView zoomScale="110" zoomScaleNormal="110" workbookViewId="0">
      <selection activeCell="P44" sqref="P4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61" t="s">
        <v>79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16.5" customHeight="1" thickBot="1" x14ac:dyDescent="0.35">
      <c r="A2" s="6" t="s">
        <v>22</v>
      </c>
      <c r="B2" s="64" t="s">
        <v>23</v>
      </c>
      <c r="C2" s="64"/>
      <c r="D2" s="64" t="s">
        <v>24</v>
      </c>
      <c r="E2" s="64"/>
      <c r="F2" s="64"/>
      <c r="G2" s="64"/>
      <c r="H2" s="4" t="s">
        <v>74</v>
      </c>
      <c r="I2" s="4" t="s">
        <v>73</v>
      </c>
      <c r="J2" s="3" t="s">
        <v>25</v>
      </c>
      <c r="K2" s="4" t="s">
        <v>26</v>
      </c>
      <c r="L2" s="4" t="s">
        <v>27</v>
      </c>
      <c r="M2" s="4" t="s">
        <v>28</v>
      </c>
    </row>
    <row r="3" spans="1:13" s="1" customFormat="1" ht="14.1" customHeight="1" x14ac:dyDescent="0.3">
      <c r="A3" s="65">
        <v>1</v>
      </c>
      <c r="B3" s="27" t="s">
        <v>80</v>
      </c>
      <c r="C3" s="28"/>
      <c r="D3" s="43" t="s">
        <v>81</v>
      </c>
      <c r="E3" s="44"/>
      <c r="F3" s="44"/>
      <c r="G3" s="45"/>
      <c r="H3" s="32">
        <f>SUM(I3)-2.9</f>
        <v>33.200000000000003</v>
      </c>
      <c r="I3" s="34">
        <f>SUM(J3)-2.9</f>
        <v>36.1</v>
      </c>
      <c r="J3" s="24">
        <v>39</v>
      </c>
      <c r="K3" s="34">
        <f>SUM(J3)+3.4</f>
        <v>42.4</v>
      </c>
      <c r="L3" s="34">
        <f>SUM(K3)+3.4</f>
        <v>45.8</v>
      </c>
      <c r="M3" s="54">
        <f>SUM(L3)+2.9</f>
        <v>48.699999999999996</v>
      </c>
    </row>
    <row r="4" spans="1:13" s="1" customFormat="1" ht="14.1" customHeight="1" x14ac:dyDescent="0.3">
      <c r="A4" s="48"/>
      <c r="B4" s="58" t="s">
        <v>82</v>
      </c>
      <c r="C4" s="58"/>
      <c r="D4" s="21" t="s">
        <v>83</v>
      </c>
      <c r="E4" s="22"/>
      <c r="F4" s="22"/>
      <c r="G4" s="22"/>
      <c r="H4" s="41"/>
      <c r="I4" s="42"/>
      <c r="J4" s="47"/>
      <c r="K4" s="42"/>
      <c r="L4" s="42"/>
      <c r="M4" s="46"/>
    </row>
    <row r="5" spans="1:13" s="1" customFormat="1" ht="14.1" customHeight="1" x14ac:dyDescent="0.3">
      <c r="A5" s="25">
        <v>2</v>
      </c>
      <c r="B5" s="59" t="s">
        <v>84</v>
      </c>
      <c r="C5" s="59"/>
      <c r="D5" s="60" t="s">
        <v>85</v>
      </c>
      <c r="E5" s="60"/>
      <c r="F5" s="60"/>
      <c r="G5" s="60"/>
      <c r="H5" s="32">
        <f>SUM(I5)-2</f>
        <v>31</v>
      </c>
      <c r="I5" s="34">
        <f>SUM(J5)-2</f>
        <v>33</v>
      </c>
      <c r="J5" s="24">
        <v>35</v>
      </c>
      <c r="K5" s="34">
        <f>SUM(J5)+2</f>
        <v>37</v>
      </c>
      <c r="L5" s="34">
        <f>SUM(K5)+2</f>
        <v>39</v>
      </c>
      <c r="M5" s="54">
        <f>SUM(L5)+1.8</f>
        <v>40.799999999999997</v>
      </c>
    </row>
    <row r="6" spans="1:13" s="1" customFormat="1" ht="14.1" customHeight="1" x14ac:dyDescent="0.3">
      <c r="A6" s="25"/>
      <c r="B6" s="58" t="s">
        <v>86</v>
      </c>
      <c r="C6" s="58"/>
      <c r="D6" s="21" t="s">
        <v>87</v>
      </c>
      <c r="E6" s="22"/>
      <c r="F6" s="22"/>
      <c r="G6" s="23"/>
      <c r="H6" s="41"/>
      <c r="I6" s="42"/>
      <c r="J6" s="47"/>
      <c r="K6" s="42"/>
      <c r="L6" s="42"/>
      <c r="M6" s="46"/>
    </row>
    <row r="7" spans="1:13" s="1" customFormat="1" ht="14.1" customHeight="1" x14ac:dyDescent="0.3">
      <c r="A7" s="25">
        <v>3</v>
      </c>
      <c r="B7" s="59" t="s">
        <v>88</v>
      </c>
      <c r="C7" s="59"/>
      <c r="D7" s="60" t="s">
        <v>31</v>
      </c>
      <c r="E7" s="60"/>
      <c r="F7" s="60"/>
      <c r="G7" s="60"/>
      <c r="H7" s="32">
        <f>SUM(I7)-2.25</f>
        <v>35</v>
      </c>
      <c r="I7" s="34">
        <f>SUM(J7)-2.25</f>
        <v>37.25</v>
      </c>
      <c r="J7" s="24">
        <v>39.5</v>
      </c>
      <c r="K7" s="34">
        <f>SUM(J7)+2.25</f>
        <v>41.75</v>
      </c>
      <c r="L7" s="34">
        <f>SUM(K7)+2.25</f>
        <v>44</v>
      </c>
      <c r="M7" s="54">
        <f>SUM(L7)+2</f>
        <v>46</v>
      </c>
    </row>
    <row r="8" spans="1:13" s="1" customFormat="1" ht="14.1" customHeight="1" x14ac:dyDescent="0.3">
      <c r="A8" s="25"/>
      <c r="B8" s="58" t="s">
        <v>89</v>
      </c>
      <c r="C8" s="58"/>
      <c r="D8" s="21" t="s">
        <v>90</v>
      </c>
      <c r="E8" s="22"/>
      <c r="F8" s="22"/>
      <c r="G8" s="23"/>
      <c r="H8" s="41"/>
      <c r="I8" s="42"/>
      <c r="J8" s="47"/>
      <c r="K8" s="42"/>
      <c r="L8" s="42"/>
      <c r="M8" s="46"/>
    </row>
    <row r="9" spans="1:13" s="1" customFormat="1" ht="14.1" customHeight="1" x14ac:dyDescent="0.3">
      <c r="A9" s="25">
        <v>4</v>
      </c>
      <c r="B9" s="59" t="s">
        <v>91</v>
      </c>
      <c r="C9" s="59"/>
      <c r="D9" s="60" t="s">
        <v>92</v>
      </c>
      <c r="E9" s="60"/>
      <c r="F9" s="60"/>
      <c r="G9" s="60"/>
      <c r="H9" s="32">
        <f>SUM(I9)-3.5</f>
        <v>57</v>
      </c>
      <c r="I9" s="34">
        <f>SUM(J9)-3.5</f>
        <v>60.5</v>
      </c>
      <c r="J9" s="24">
        <v>64</v>
      </c>
      <c r="K9" s="34">
        <f>SUM(J9)+3.5</f>
        <v>67.5</v>
      </c>
      <c r="L9" s="34">
        <f>SUM(K9)+3.5</f>
        <v>71</v>
      </c>
      <c r="M9" s="54">
        <f>SUM(L9)+3.2</f>
        <v>74.2</v>
      </c>
    </row>
    <row r="10" spans="1:13" s="1" customFormat="1" ht="14.1" customHeight="1" x14ac:dyDescent="0.3">
      <c r="A10" s="25"/>
      <c r="B10" s="58" t="s">
        <v>93</v>
      </c>
      <c r="C10" s="58"/>
      <c r="D10" s="21" t="s">
        <v>94</v>
      </c>
      <c r="E10" s="22"/>
      <c r="F10" s="22"/>
      <c r="G10" s="23"/>
      <c r="H10" s="41"/>
      <c r="I10" s="42"/>
      <c r="J10" s="47"/>
      <c r="K10" s="42"/>
      <c r="L10" s="42"/>
      <c r="M10" s="46"/>
    </row>
    <row r="11" spans="1:13" s="1" customFormat="1" ht="14.1" customHeight="1" x14ac:dyDescent="0.3">
      <c r="A11" s="25">
        <v>5</v>
      </c>
      <c r="B11" s="59" t="s">
        <v>95</v>
      </c>
      <c r="C11" s="59"/>
      <c r="D11" s="60" t="s">
        <v>96</v>
      </c>
      <c r="E11" s="60"/>
      <c r="F11" s="60"/>
      <c r="G11" s="60"/>
      <c r="H11" s="32">
        <f>SUM(I11)-0.8</f>
        <v>15.899999999999999</v>
      </c>
      <c r="I11" s="34">
        <f>SUM(J11)-0.8</f>
        <v>16.7</v>
      </c>
      <c r="J11" s="8">
        <v>17.5</v>
      </c>
      <c r="K11" s="10">
        <f>SUM(J11)+0.8</f>
        <v>18.3</v>
      </c>
      <c r="L11" s="10">
        <f>SUM(K11)+0.8</f>
        <v>19.100000000000001</v>
      </c>
      <c r="M11" s="12">
        <f>SUM(L11)+0.8</f>
        <v>19.900000000000002</v>
      </c>
    </row>
    <row r="12" spans="1:13" s="1" customFormat="1" ht="14.1" customHeight="1" x14ac:dyDescent="0.3">
      <c r="A12" s="25"/>
      <c r="B12" s="58" t="s">
        <v>97</v>
      </c>
      <c r="C12" s="58"/>
      <c r="D12" s="21" t="s">
        <v>98</v>
      </c>
      <c r="E12" s="22"/>
      <c r="F12" s="22"/>
      <c r="G12" s="23"/>
      <c r="H12" s="41"/>
      <c r="I12" s="42"/>
      <c r="J12" s="8"/>
      <c r="K12" s="10"/>
      <c r="L12" s="10"/>
      <c r="M12" s="12"/>
    </row>
    <row r="13" spans="1:13" s="1" customFormat="1" ht="14.1" customHeight="1" x14ac:dyDescent="0.3">
      <c r="A13" s="25">
        <v>6</v>
      </c>
      <c r="B13" s="59" t="s">
        <v>99</v>
      </c>
      <c r="C13" s="59"/>
      <c r="D13" s="60" t="s">
        <v>100</v>
      </c>
      <c r="E13" s="60"/>
      <c r="F13" s="60"/>
      <c r="G13" s="60"/>
      <c r="H13" s="32">
        <f>SUM(I13)-0.6</f>
        <v>12.600000000000001</v>
      </c>
      <c r="I13" s="34">
        <f>SUM(J13)-0.6</f>
        <v>13.200000000000001</v>
      </c>
      <c r="J13" s="8">
        <v>13.8</v>
      </c>
      <c r="K13" s="10">
        <f>SUM(J13)+0.6</f>
        <v>14.4</v>
      </c>
      <c r="L13" s="10">
        <f>SUM(K13)+0.6</f>
        <v>15</v>
      </c>
      <c r="M13" s="12">
        <f>SUM(L13)+0.6</f>
        <v>15.6</v>
      </c>
    </row>
    <row r="14" spans="1:13" s="1" customFormat="1" ht="14.1" customHeight="1" x14ac:dyDescent="0.3">
      <c r="A14" s="25"/>
      <c r="B14" s="58" t="s">
        <v>101</v>
      </c>
      <c r="C14" s="58"/>
      <c r="D14" s="21" t="s">
        <v>102</v>
      </c>
      <c r="E14" s="22"/>
      <c r="F14" s="22"/>
      <c r="G14" s="23"/>
      <c r="H14" s="41"/>
      <c r="I14" s="42"/>
      <c r="J14" s="8"/>
      <c r="K14" s="10"/>
      <c r="L14" s="10"/>
      <c r="M14" s="12"/>
    </row>
    <row r="15" spans="1:13" s="1" customFormat="1" ht="14.1" customHeight="1" x14ac:dyDescent="0.3">
      <c r="A15" s="25">
        <v>7</v>
      </c>
      <c r="B15" s="59" t="s">
        <v>103</v>
      </c>
      <c r="C15" s="59"/>
      <c r="D15" s="60"/>
      <c r="E15" s="60"/>
      <c r="F15" s="60"/>
      <c r="G15" s="60"/>
      <c r="H15" s="32">
        <f>SUM(I15)-0.3</f>
        <v>6.5</v>
      </c>
      <c r="I15" s="34">
        <f>SUM(J15)-0.3</f>
        <v>6.8</v>
      </c>
      <c r="J15" s="8">
        <v>7.1</v>
      </c>
      <c r="K15" s="10">
        <f>SUM(J15)+0.3</f>
        <v>7.3999999999999995</v>
      </c>
      <c r="L15" s="10">
        <f>SUM(K15)+0.3</f>
        <v>7.6999999999999993</v>
      </c>
      <c r="M15" s="12">
        <f>SUM(L15)+0.3</f>
        <v>7.9999999999999991</v>
      </c>
    </row>
    <row r="16" spans="1:13" s="1" customFormat="1" ht="14.1" customHeight="1" x14ac:dyDescent="0.3">
      <c r="A16" s="25"/>
      <c r="B16" s="58" t="s">
        <v>104</v>
      </c>
      <c r="C16" s="58"/>
      <c r="D16" s="21" t="s">
        <v>105</v>
      </c>
      <c r="E16" s="22"/>
      <c r="F16" s="22"/>
      <c r="G16" s="23"/>
      <c r="H16" s="41"/>
      <c r="I16" s="42"/>
      <c r="J16" s="8"/>
      <c r="K16" s="10"/>
      <c r="L16" s="10"/>
      <c r="M16" s="12"/>
    </row>
    <row r="17" spans="1:13" s="1" customFormat="1" ht="14.1" customHeight="1" x14ac:dyDescent="0.3">
      <c r="A17" s="25">
        <v>8</v>
      </c>
      <c r="B17" s="36" t="s">
        <v>106</v>
      </c>
      <c r="C17" s="37"/>
      <c r="D17" s="51" t="s">
        <v>107</v>
      </c>
      <c r="E17" s="52"/>
      <c r="F17" s="52"/>
      <c r="G17" s="53"/>
      <c r="H17" s="32">
        <f>SUM(I17)-1.6</f>
        <v>33.199999999999996</v>
      </c>
      <c r="I17" s="34">
        <f>SUM(J17)-1.6</f>
        <v>34.799999999999997</v>
      </c>
      <c r="J17" s="8">
        <v>36.4</v>
      </c>
      <c r="K17" s="10">
        <f>SUM(J17)+1.6</f>
        <v>38</v>
      </c>
      <c r="L17" s="10">
        <f>SUM(K17)+1.6</f>
        <v>39.6</v>
      </c>
      <c r="M17" s="12">
        <f>SUM(L17)+1.6</f>
        <v>41.2</v>
      </c>
    </row>
    <row r="18" spans="1:13" s="1" customFormat="1" ht="14.1" customHeight="1" x14ac:dyDescent="0.3">
      <c r="A18" s="25"/>
      <c r="B18" s="58" t="s">
        <v>108</v>
      </c>
      <c r="C18" s="58"/>
      <c r="D18" s="21" t="s">
        <v>109</v>
      </c>
      <c r="E18" s="22"/>
      <c r="F18" s="22"/>
      <c r="G18" s="23"/>
      <c r="H18" s="41"/>
      <c r="I18" s="42"/>
      <c r="J18" s="8"/>
      <c r="K18" s="10"/>
      <c r="L18" s="10"/>
      <c r="M18" s="12"/>
    </row>
    <row r="19" spans="1:13" s="1" customFormat="1" ht="14.1" customHeight="1" x14ac:dyDescent="0.3">
      <c r="A19" s="25">
        <v>9</v>
      </c>
      <c r="B19" s="59" t="s">
        <v>110</v>
      </c>
      <c r="C19" s="59"/>
      <c r="D19" s="60" t="s">
        <v>111</v>
      </c>
      <c r="E19" s="60"/>
      <c r="F19" s="60"/>
      <c r="G19" s="60"/>
      <c r="H19" s="32">
        <f>SUM(I19)-3.5</f>
        <v>22</v>
      </c>
      <c r="I19" s="34">
        <f>SUM(J19)-3.5</f>
        <v>25.5</v>
      </c>
      <c r="J19" s="8">
        <v>29</v>
      </c>
      <c r="K19" s="10">
        <f>SUM(J19)+3.5</f>
        <v>32.5</v>
      </c>
      <c r="L19" s="10">
        <f>SUM(K19)+3.5</f>
        <v>36</v>
      </c>
      <c r="M19" s="12">
        <f>SUM(L19)+3.6</f>
        <v>39.6</v>
      </c>
    </row>
    <row r="20" spans="1:13" s="1" customFormat="1" ht="14.1" customHeight="1" x14ac:dyDescent="0.3">
      <c r="A20" s="25"/>
      <c r="B20" s="58" t="s">
        <v>112</v>
      </c>
      <c r="C20" s="58"/>
      <c r="D20" s="21" t="s">
        <v>113</v>
      </c>
      <c r="E20" s="22"/>
      <c r="F20" s="22"/>
      <c r="G20" s="23"/>
      <c r="H20" s="41"/>
      <c r="I20" s="42"/>
      <c r="J20" s="8"/>
      <c r="K20" s="10"/>
      <c r="L20" s="10"/>
      <c r="M20" s="12"/>
    </row>
    <row r="21" spans="1:13" s="1" customFormat="1" ht="14.1" customHeight="1" x14ac:dyDescent="0.3">
      <c r="A21" s="25">
        <v>10</v>
      </c>
      <c r="B21" s="59" t="s">
        <v>114</v>
      </c>
      <c r="C21" s="59"/>
      <c r="D21" s="51" t="s">
        <v>115</v>
      </c>
      <c r="E21" s="52"/>
      <c r="F21" s="52"/>
      <c r="G21" s="53"/>
      <c r="H21" s="32">
        <f>SUM(I21)-1.5</f>
        <v>30</v>
      </c>
      <c r="I21" s="34">
        <f>SUM(J21)-1.5</f>
        <v>31.5</v>
      </c>
      <c r="J21" s="8">
        <v>33</v>
      </c>
      <c r="K21" s="10">
        <f>SUM(J21)+1.5</f>
        <v>34.5</v>
      </c>
      <c r="L21" s="10">
        <f>SUM(K21)+1.5</f>
        <v>36</v>
      </c>
      <c r="M21" s="12">
        <f>SUM(L21)+1.5</f>
        <v>37.5</v>
      </c>
    </row>
    <row r="22" spans="1:13" s="1" customFormat="1" ht="14.1" customHeight="1" x14ac:dyDescent="0.3">
      <c r="A22" s="25"/>
      <c r="B22" s="58" t="s">
        <v>116</v>
      </c>
      <c r="C22" s="58"/>
      <c r="D22" s="21" t="s">
        <v>117</v>
      </c>
      <c r="E22" s="22"/>
      <c r="F22" s="22"/>
      <c r="G22" s="23"/>
      <c r="H22" s="41"/>
      <c r="I22" s="42"/>
      <c r="J22" s="8"/>
      <c r="K22" s="10"/>
      <c r="L22" s="10"/>
      <c r="M22" s="12"/>
    </row>
    <row r="23" spans="1:13" s="1" customFormat="1" ht="14.1" customHeight="1" x14ac:dyDescent="0.3">
      <c r="A23" s="25">
        <v>11</v>
      </c>
      <c r="B23" s="36" t="s">
        <v>118</v>
      </c>
      <c r="C23" s="37"/>
      <c r="D23" s="60" t="s">
        <v>119</v>
      </c>
      <c r="E23" s="60"/>
      <c r="F23" s="60"/>
      <c r="G23" s="60"/>
      <c r="H23" s="32">
        <f>SUM(I23)-0.6</f>
        <v>14.8</v>
      </c>
      <c r="I23" s="34">
        <f>SUM(J23)-0.6</f>
        <v>15.4</v>
      </c>
      <c r="J23" s="8">
        <v>16</v>
      </c>
      <c r="K23" s="10">
        <f>SUM(J23)+0.6</f>
        <v>16.600000000000001</v>
      </c>
      <c r="L23" s="10">
        <f>SUM(K23)+0.6</f>
        <v>17.200000000000003</v>
      </c>
      <c r="M23" s="12">
        <f>SUM(L23)+0.6</f>
        <v>17.800000000000004</v>
      </c>
    </row>
    <row r="24" spans="1:13" s="1" customFormat="1" ht="14.1" customHeight="1" x14ac:dyDescent="0.3">
      <c r="A24" s="25"/>
      <c r="B24" s="58" t="s">
        <v>120</v>
      </c>
      <c r="C24" s="58"/>
      <c r="D24" s="21" t="s">
        <v>121</v>
      </c>
      <c r="E24" s="22"/>
      <c r="F24" s="22"/>
      <c r="G24" s="23"/>
      <c r="H24" s="41"/>
      <c r="I24" s="42"/>
      <c r="J24" s="8"/>
      <c r="K24" s="10"/>
      <c r="L24" s="10"/>
      <c r="M24" s="12"/>
    </row>
    <row r="25" spans="1:13" s="1" customFormat="1" ht="14.1" customHeight="1" x14ac:dyDescent="0.3">
      <c r="A25" s="25">
        <v>12</v>
      </c>
      <c r="B25" s="59" t="s">
        <v>122</v>
      </c>
      <c r="C25" s="59"/>
      <c r="D25" s="51" t="s">
        <v>123</v>
      </c>
      <c r="E25" s="52"/>
      <c r="F25" s="52"/>
      <c r="G25" s="53"/>
      <c r="H25" s="32">
        <f>SUM(I25)-1</f>
        <v>29</v>
      </c>
      <c r="I25" s="34">
        <f>SUM(J25)-1</f>
        <v>30</v>
      </c>
      <c r="J25" s="8">
        <v>31</v>
      </c>
      <c r="K25" s="10">
        <f>SUM(J25)+1</f>
        <v>32</v>
      </c>
      <c r="L25" s="10">
        <f>SUM(K25)+1</f>
        <v>33</v>
      </c>
      <c r="M25" s="12">
        <f>SUM(L25)+1</f>
        <v>34</v>
      </c>
    </row>
    <row r="26" spans="1:13" s="1" customFormat="1" ht="14.1" customHeight="1" x14ac:dyDescent="0.3">
      <c r="A26" s="25"/>
      <c r="B26" s="58" t="s">
        <v>124</v>
      </c>
      <c r="C26" s="58"/>
      <c r="D26" s="21" t="s">
        <v>125</v>
      </c>
      <c r="E26" s="22"/>
      <c r="F26" s="22"/>
      <c r="G26" s="23"/>
      <c r="H26" s="41"/>
      <c r="I26" s="42"/>
      <c r="J26" s="8"/>
      <c r="K26" s="10"/>
      <c r="L26" s="10"/>
      <c r="M26" s="12"/>
    </row>
    <row r="27" spans="1:13" s="1" customFormat="1" ht="14.1" customHeight="1" x14ac:dyDescent="0.3">
      <c r="A27" s="25">
        <v>13</v>
      </c>
      <c r="B27" s="59" t="s">
        <v>126</v>
      </c>
      <c r="C27" s="59"/>
      <c r="D27" s="51" t="s">
        <v>127</v>
      </c>
      <c r="E27" s="52"/>
      <c r="F27" s="52"/>
      <c r="G27" s="53"/>
      <c r="H27" s="32">
        <f>SUM(I27)-0.8</f>
        <v>20</v>
      </c>
      <c r="I27" s="34">
        <f>SUM(J27)-0.8</f>
        <v>20.8</v>
      </c>
      <c r="J27" s="8">
        <v>21.6</v>
      </c>
      <c r="K27" s="10">
        <f>SUM(J27)+0.8</f>
        <v>22.400000000000002</v>
      </c>
      <c r="L27" s="10">
        <f>SUM(K27)+0.8</f>
        <v>23.200000000000003</v>
      </c>
      <c r="M27" s="12">
        <f>SUM(L27)+0.8</f>
        <v>24.000000000000004</v>
      </c>
    </row>
    <row r="28" spans="1:13" s="1" customFormat="1" ht="14.1" customHeight="1" x14ac:dyDescent="0.3">
      <c r="A28" s="25"/>
      <c r="B28" s="58" t="s">
        <v>128</v>
      </c>
      <c r="C28" s="58"/>
      <c r="D28" s="21" t="s">
        <v>129</v>
      </c>
      <c r="E28" s="22"/>
      <c r="F28" s="22"/>
      <c r="G28" s="23"/>
      <c r="H28" s="41"/>
      <c r="I28" s="42"/>
      <c r="J28" s="8"/>
      <c r="K28" s="10"/>
      <c r="L28" s="10"/>
      <c r="M28" s="12"/>
    </row>
    <row r="29" spans="1:13" s="1" customFormat="1" ht="14.1" customHeight="1" x14ac:dyDescent="0.3">
      <c r="A29" s="25">
        <v>14</v>
      </c>
      <c r="B29" s="36" t="s">
        <v>130</v>
      </c>
      <c r="C29" s="37"/>
      <c r="D29" s="51"/>
      <c r="E29" s="52"/>
      <c r="F29" s="52"/>
      <c r="G29" s="53"/>
      <c r="H29" s="32">
        <f>SUM(I29)-0.5</f>
        <v>9.5</v>
      </c>
      <c r="I29" s="34">
        <f>SUM(J29)-0.5</f>
        <v>10</v>
      </c>
      <c r="J29" s="24">
        <v>10.5</v>
      </c>
      <c r="K29" s="34">
        <f>SUM(J29)+0.5</f>
        <v>11</v>
      </c>
      <c r="L29" s="34">
        <f>SUM(K29)+0.5</f>
        <v>11.5</v>
      </c>
      <c r="M29" s="54">
        <f>SUM(L29)+0.5</f>
        <v>12</v>
      </c>
    </row>
    <row r="30" spans="1:13" s="1" customFormat="1" ht="14.1" customHeight="1" x14ac:dyDescent="0.3">
      <c r="A30" s="25"/>
      <c r="B30" s="19" t="s">
        <v>131</v>
      </c>
      <c r="C30" s="20"/>
      <c r="D30" s="55"/>
      <c r="E30" s="56"/>
      <c r="F30" s="56"/>
      <c r="G30" s="57"/>
      <c r="H30" s="41"/>
      <c r="I30" s="42"/>
      <c r="J30" s="47"/>
      <c r="K30" s="42"/>
      <c r="L30" s="42"/>
      <c r="M30" s="46"/>
    </row>
    <row r="31" spans="1:13" s="1" customFormat="1" ht="14.1" customHeight="1" x14ac:dyDescent="0.3">
      <c r="A31" s="25">
        <v>15</v>
      </c>
      <c r="B31" s="36" t="s">
        <v>132</v>
      </c>
      <c r="C31" s="37"/>
      <c r="D31" s="38"/>
      <c r="E31" s="39"/>
      <c r="F31" s="39"/>
      <c r="G31" s="40"/>
      <c r="H31" s="32">
        <v>27.5</v>
      </c>
      <c r="I31" s="34">
        <v>30.5</v>
      </c>
      <c r="J31" s="24">
        <v>33</v>
      </c>
      <c r="K31" s="34">
        <v>36</v>
      </c>
      <c r="L31" s="34">
        <v>39.5</v>
      </c>
      <c r="M31" s="54">
        <v>42</v>
      </c>
    </row>
    <row r="32" spans="1:13" s="1" customFormat="1" ht="14.1" customHeight="1" x14ac:dyDescent="0.3">
      <c r="A32" s="25"/>
      <c r="B32" s="27" t="s">
        <v>133</v>
      </c>
      <c r="C32" s="28"/>
      <c r="D32" s="43" t="s">
        <v>134</v>
      </c>
      <c r="E32" s="44"/>
      <c r="F32" s="44"/>
      <c r="G32" s="45"/>
      <c r="H32" s="41"/>
      <c r="I32" s="42"/>
      <c r="J32" s="47"/>
      <c r="K32" s="42"/>
      <c r="L32" s="42"/>
      <c r="M32" s="46"/>
    </row>
    <row r="33" spans="1:13" s="1" customFormat="1" ht="14.1" customHeight="1" x14ac:dyDescent="0.3">
      <c r="A33" s="25">
        <v>16</v>
      </c>
      <c r="B33" s="36" t="s">
        <v>135</v>
      </c>
      <c r="C33" s="37"/>
      <c r="D33" s="52"/>
      <c r="E33" s="52"/>
      <c r="F33" s="52"/>
      <c r="G33" s="52"/>
      <c r="H33" s="32">
        <f>SUM(I33)-0.7</f>
        <v>8.1000000000000014</v>
      </c>
      <c r="I33" s="34">
        <f>SUM(J33)-0.7</f>
        <v>8.8000000000000007</v>
      </c>
      <c r="J33" s="8">
        <v>9.5</v>
      </c>
      <c r="K33" s="10">
        <f>SUM(J33)+0.7</f>
        <v>10.199999999999999</v>
      </c>
      <c r="L33" s="10">
        <f>SUM(K33)+0.7</f>
        <v>10.899999999999999</v>
      </c>
      <c r="M33" s="12">
        <f>SUM(L33)+0.7</f>
        <v>11.599999999999998</v>
      </c>
    </row>
    <row r="34" spans="1:13" s="1" customFormat="1" ht="14.1" customHeight="1" x14ac:dyDescent="0.3">
      <c r="A34" s="25"/>
      <c r="B34" s="19" t="s">
        <v>136</v>
      </c>
      <c r="C34" s="20"/>
      <c r="D34" s="21" t="s">
        <v>137</v>
      </c>
      <c r="E34" s="22"/>
      <c r="F34" s="22"/>
      <c r="G34" s="23"/>
      <c r="H34" s="41"/>
      <c r="I34" s="42"/>
      <c r="J34" s="24"/>
      <c r="K34" s="10"/>
      <c r="L34" s="10"/>
      <c r="M34" s="12"/>
    </row>
    <row r="35" spans="1:13" s="1" customFormat="1" ht="14.1" customHeight="1" x14ac:dyDescent="0.3">
      <c r="A35" s="25">
        <v>17</v>
      </c>
      <c r="B35" s="36" t="s">
        <v>138</v>
      </c>
      <c r="C35" s="37"/>
      <c r="D35" s="51"/>
      <c r="E35" s="52"/>
      <c r="F35" s="52"/>
      <c r="G35" s="53"/>
      <c r="H35" s="32">
        <f>SUM(I35)-0.5</f>
        <v>4.5999999999999996</v>
      </c>
      <c r="I35" s="34">
        <f>SUM(J35)-0.5</f>
        <v>5.0999999999999996</v>
      </c>
      <c r="J35" s="8">
        <v>5.6</v>
      </c>
      <c r="K35" s="10">
        <f>SUM(J35)+0.5</f>
        <v>6.1</v>
      </c>
      <c r="L35" s="10">
        <f t="shared" ref="L35:M35" si="0">SUM(K35)+0.5</f>
        <v>6.6</v>
      </c>
      <c r="M35" s="12">
        <f t="shared" si="0"/>
        <v>7.1</v>
      </c>
    </row>
    <row r="36" spans="1:13" s="1" customFormat="1" ht="14.1" customHeight="1" x14ac:dyDescent="0.3">
      <c r="A36" s="25"/>
      <c r="B36" s="19" t="s">
        <v>139</v>
      </c>
      <c r="C36" s="20"/>
      <c r="D36" s="21" t="s">
        <v>140</v>
      </c>
      <c r="E36" s="22"/>
      <c r="F36" s="22"/>
      <c r="G36" s="23"/>
      <c r="H36" s="41"/>
      <c r="I36" s="42"/>
      <c r="J36" s="8"/>
      <c r="K36" s="10"/>
      <c r="L36" s="10"/>
      <c r="M36" s="12"/>
    </row>
    <row r="37" spans="1:13" s="1" customFormat="1" ht="14.1" customHeight="1" x14ac:dyDescent="0.3">
      <c r="A37" s="48">
        <v>18</v>
      </c>
      <c r="B37" s="27"/>
      <c r="C37" s="28"/>
      <c r="D37" s="43"/>
      <c r="E37" s="44"/>
      <c r="F37" s="44"/>
      <c r="G37" s="45"/>
      <c r="H37" s="49"/>
      <c r="I37" s="50"/>
      <c r="J37" s="47"/>
      <c r="K37" s="42"/>
      <c r="L37" s="42"/>
      <c r="M37" s="46"/>
    </row>
    <row r="38" spans="1:13" s="1" customFormat="1" ht="14.1" customHeight="1" x14ac:dyDescent="0.3">
      <c r="A38" s="25"/>
      <c r="B38" s="19"/>
      <c r="C38" s="20"/>
      <c r="D38" s="21"/>
      <c r="E38" s="22"/>
      <c r="F38" s="22"/>
      <c r="G38" s="23"/>
      <c r="H38" s="41"/>
      <c r="I38" s="42"/>
      <c r="J38" s="8"/>
      <c r="K38" s="10"/>
      <c r="L38" s="10"/>
      <c r="M38" s="12"/>
    </row>
    <row r="39" spans="1:13" s="1" customFormat="1" ht="14.1" customHeight="1" x14ac:dyDescent="0.3">
      <c r="A39" s="25">
        <v>19</v>
      </c>
      <c r="B39" s="36"/>
      <c r="C39" s="37"/>
      <c r="D39" s="38"/>
      <c r="E39" s="39"/>
      <c r="F39" s="39"/>
      <c r="G39" s="40"/>
      <c r="H39" s="32"/>
      <c r="I39" s="34"/>
      <c r="J39" s="8"/>
      <c r="K39" s="10"/>
      <c r="L39" s="10"/>
      <c r="M39" s="12"/>
    </row>
    <row r="40" spans="1:13" s="1" customFormat="1" ht="14.1" customHeight="1" x14ac:dyDescent="0.3">
      <c r="A40" s="25"/>
      <c r="B40" s="27"/>
      <c r="C40" s="28"/>
      <c r="D40" s="43"/>
      <c r="E40" s="44"/>
      <c r="F40" s="44"/>
      <c r="G40" s="45"/>
      <c r="H40" s="41"/>
      <c r="I40" s="42"/>
      <c r="J40" s="24"/>
      <c r="K40" s="10"/>
      <c r="L40" s="10"/>
      <c r="M40" s="12"/>
    </row>
    <row r="41" spans="1:13" s="1" customFormat="1" ht="14.1" customHeight="1" x14ac:dyDescent="0.3">
      <c r="A41" s="25">
        <v>20</v>
      </c>
      <c r="B41" s="36"/>
      <c r="C41" s="37"/>
      <c r="D41" s="38"/>
      <c r="E41" s="39"/>
      <c r="F41" s="39"/>
      <c r="G41" s="40"/>
      <c r="H41" s="32"/>
      <c r="I41" s="34"/>
      <c r="J41" s="8"/>
      <c r="K41" s="10"/>
      <c r="L41" s="10"/>
      <c r="M41" s="12"/>
    </row>
    <row r="42" spans="1:13" s="1" customFormat="1" ht="14.1" customHeight="1" x14ac:dyDescent="0.3">
      <c r="A42" s="25"/>
      <c r="B42" s="19"/>
      <c r="C42" s="20"/>
      <c r="D42" s="21"/>
      <c r="E42" s="22"/>
      <c r="F42" s="22"/>
      <c r="G42" s="23"/>
      <c r="H42" s="41"/>
      <c r="I42" s="42"/>
      <c r="J42" s="24"/>
      <c r="K42" s="10"/>
      <c r="L42" s="10"/>
      <c r="M42" s="12"/>
    </row>
    <row r="43" spans="1:13" s="1" customFormat="1" ht="14.1" customHeight="1" x14ac:dyDescent="0.3">
      <c r="A43" s="25">
        <v>21</v>
      </c>
      <c r="B43" s="27"/>
      <c r="C43" s="28"/>
      <c r="D43" s="29"/>
      <c r="E43" s="30"/>
      <c r="F43" s="30"/>
      <c r="G43" s="31"/>
      <c r="H43" s="32"/>
      <c r="I43" s="34"/>
      <c r="J43" s="8"/>
      <c r="K43" s="10"/>
      <c r="L43" s="10"/>
      <c r="M43" s="12"/>
    </row>
    <row r="44" spans="1:13" s="1" customFormat="1" ht="14.1" customHeight="1" thickBot="1" x14ac:dyDescent="0.35">
      <c r="A44" s="26"/>
      <c r="B44" s="14"/>
      <c r="C44" s="15"/>
      <c r="D44" s="16"/>
      <c r="E44" s="17"/>
      <c r="F44" s="17"/>
      <c r="G44" s="18"/>
      <c r="H44" s="33"/>
      <c r="I44" s="35"/>
      <c r="J44" s="9"/>
      <c r="K44" s="11"/>
      <c r="L44" s="11"/>
      <c r="M44" s="13"/>
    </row>
    <row r="45" spans="1:13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3.5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</mergeCells>
  <phoneticPr fontId="1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F781-AF71-450E-A824-05DACD670990}">
  <sheetPr>
    <tabColor theme="5"/>
    <pageSetUpPr fitToPage="1"/>
  </sheetPr>
  <dimension ref="A1:M52"/>
  <sheetViews>
    <sheetView zoomScale="110" zoomScaleNormal="110" workbookViewId="0">
      <selection activeCell="P46" sqref="P4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61" t="s">
        <v>141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16.5" customHeight="1" thickBot="1" x14ac:dyDescent="0.35">
      <c r="A2" s="2" t="s">
        <v>22</v>
      </c>
      <c r="B2" s="64" t="s">
        <v>23</v>
      </c>
      <c r="C2" s="64"/>
      <c r="D2" s="64" t="s">
        <v>24</v>
      </c>
      <c r="E2" s="64"/>
      <c r="F2" s="64"/>
      <c r="G2" s="64"/>
      <c r="H2" s="4" t="s">
        <v>74</v>
      </c>
      <c r="I2" s="3" t="s">
        <v>73</v>
      </c>
      <c r="J2" s="4" t="s">
        <v>25</v>
      </c>
      <c r="K2" s="4" t="s">
        <v>26</v>
      </c>
      <c r="L2" s="7" t="s">
        <v>27</v>
      </c>
      <c r="M2" s="4" t="s">
        <v>28</v>
      </c>
    </row>
    <row r="3" spans="1:13" s="1" customFormat="1" ht="14.1" customHeight="1" x14ac:dyDescent="0.3">
      <c r="A3" s="66">
        <v>1</v>
      </c>
      <c r="B3" s="68" t="s">
        <v>57</v>
      </c>
      <c r="C3" s="69"/>
      <c r="D3" s="70" t="s">
        <v>29</v>
      </c>
      <c r="E3" s="71"/>
      <c r="F3" s="71"/>
      <c r="G3" s="72"/>
      <c r="H3" s="59">
        <f>SUM(I3)-1</f>
        <v>42</v>
      </c>
      <c r="I3" s="73">
        <v>43</v>
      </c>
      <c r="J3" s="59">
        <f>SUM(I3)+2</f>
        <v>45</v>
      </c>
      <c r="K3" s="59">
        <f t="shared" ref="K3:M3" si="0">SUM(J3)+3</f>
        <v>48</v>
      </c>
      <c r="L3" s="59">
        <f t="shared" si="0"/>
        <v>51</v>
      </c>
      <c r="M3" s="54">
        <f t="shared" si="0"/>
        <v>54</v>
      </c>
    </row>
    <row r="4" spans="1:13" s="1" customFormat="1" ht="14.1" customHeight="1" x14ac:dyDescent="0.3">
      <c r="A4" s="67"/>
      <c r="B4" s="76" t="s">
        <v>32</v>
      </c>
      <c r="C4" s="77"/>
      <c r="D4" s="55" t="s">
        <v>30</v>
      </c>
      <c r="E4" s="56"/>
      <c r="F4" s="56"/>
      <c r="G4" s="57"/>
      <c r="H4" s="58"/>
      <c r="I4" s="47"/>
      <c r="J4" s="58"/>
      <c r="K4" s="58"/>
      <c r="L4" s="58"/>
      <c r="M4" s="46"/>
    </row>
    <row r="5" spans="1:13" s="1" customFormat="1" ht="14.1" customHeight="1" x14ac:dyDescent="0.3">
      <c r="A5" s="74">
        <v>2</v>
      </c>
      <c r="B5" s="27" t="s">
        <v>64</v>
      </c>
      <c r="C5" s="28"/>
      <c r="D5" s="43"/>
      <c r="E5" s="44"/>
      <c r="F5" s="44"/>
      <c r="G5" s="45"/>
      <c r="H5" s="59"/>
      <c r="I5" s="75"/>
      <c r="J5" s="59"/>
      <c r="K5" s="34"/>
      <c r="L5" s="78"/>
      <c r="M5" s="80"/>
    </row>
    <row r="6" spans="1:13" s="1" customFormat="1" ht="14.1" customHeight="1" x14ac:dyDescent="0.3">
      <c r="A6" s="67"/>
      <c r="B6" s="76" t="s">
        <v>63</v>
      </c>
      <c r="C6" s="77"/>
      <c r="D6" s="55"/>
      <c r="E6" s="56"/>
      <c r="F6" s="56"/>
      <c r="G6" s="57"/>
      <c r="H6" s="58"/>
      <c r="I6" s="47"/>
      <c r="J6" s="58"/>
      <c r="K6" s="42"/>
      <c r="L6" s="79"/>
      <c r="M6" s="46"/>
    </row>
    <row r="7" spans="1:13" s="1" customFormat="1" ht="14.1" customHeight="1" x14ac:dyDescent="0.3">
      <c r="A7" s="74">
        <v>3</v>
      </c>
      <c r="B7" s="27" t="s">
        <v>56</v>
      </c>
      <c r="C7" s="28"/>
      <c r="D7" s="43"/>
      <c r="E7" s="44"/>
      <c r="F7" s="44"/>
      <c r="G7" s="45"/>
      <c r="H7" s="59"/>
      <c r="I7" s="75"/>
      <c r="J7" s="59"/>
      <c r="K7" s="34"/>
      <c r="L7" s="78"/>
      <c r="M7" s="80"/>
    </row>
    <row r="8" spans="1:13" s="1" customFormat="1" ht="14.1" customHeight="1" x14ac:dyDescent="0.3">
      <c r="A8" s="67"/>
      <c r="B8" s="76" t="s">
        <v>55</v>
      </c>
      <c r="C8" s="77"/>
      <c r="D8" s="55"/>
      <c r="E8" s="56"/>
      <c r="F8" s="56"/>
      <c r="G8" s="57"/>
      <c r="H8" s="58"/>
      <c r="I8" s="47"/>
      <c r="J8" s="58"/>
      <c r="K8" s="42"/>
      <c r="L8" s="79"/>
      <c r="M8" s="46"/>
    </row>
    <row r="9" spans="1:13" s="1" customFormat="1" ht="14.1" customHeight="1" x14ac:dyDescent="0.3">
      <c r="A9" s="74">
        <v>4</v>
      </c>
      <c r="B9" s="36" t="s">
        <v>62</v>
      </c>
      <c r="C9" s="37"/>
      <c r="D9" s="81"/>
      <c r="E9" s="82"/>
      <c r="F9" s="82"/>
      <c r="G9" s="83"/>
      <c r="H9" s="34"/>
      <c r="I9" s="75"/>
      <c r="J9" s="34"/>
      <c r="K9" s="34"/>
      <c r="L9" s="78"/>
      <c r="M9" s="80"/>
    </row>
    <row r="10" spans="1:13" s="1" customFormat="1" ht="14.1" customHeight="1" x14ac:dyDescent="0.3">
      <c r="A10" s="67"/>
      <c r="B10" s="76" t="s">
        <v>61</v>
      </c>
      <c r="C10" s="77"/>
      <c r="D10" s="84"/>
      <c r="E10" s="85"/>
      <c r="F10" s="85"/>
      <c r="G10" s="86"/>
      <c r="H10" s="42"/>
      <c r="I10" s="47"/>
      <c r="J10" s="42"/>
      <c r="K10" s="42"/>
      <c r="L10" s="79"/>
      <c r="M10" s="46"/>
    </row>
    <row r="11" spans="1:13" s="1" customFormat="1" ht="14.1" customHeight="1" x14ac:dyDescent="0.3">
      <c r="A11" s="74">
        <v>5</v>
      </c>
      <c r="B11" s="36" t="s">
        <v>58</v>
      </c>
      <c r="C11" s="37"/>
      <c r="D11" s="43"/>
      <c r="E11" s="44"/>
      <c r="F11" s="44"/>
      <c r="G11" s="45"/>
      <c r="H11" s="34">
        <f>SUM(I11)-3.5</f>
        <v>62.5</v>
      </c>
      <c r="I11" s="75">
        <v>66</v>
      </c>
      <c r="J11" s="34">
        <f>SUM(I11)+3.5</f>
        <v>69.5</v>
      </c>
      <c r="K11" s="34">
        <f t="shared" ref="K11:M11" si="1">SUM(J11)+3.5</f>
        <v>73</v>
      </c>
      <c r="L11" s="34">
        <f t="shared" si="1"/>
        <v>76.5</v>
      </c>
      <c r="M11" s="54">
        <f t="shared" si="1"/>
        <v>80</v>
      </c>
    </row>
    <row r="12" spans="1:13" s="1" customFormat="1" ht="14.1" customHeight="1" x14ac:dyDescent="0.3">
      <c r="A12" s="67"/>
      <c r="B12" s="76" t="s">
        <v>59</v>
      </c>
      <c r="C12" s="77"/>
      <c r="D12" s="55"/>
      <c r="E12" s="56"/>
      <c r="F12" s="56"/>
      <c r="G12" s="57"/>
      <c r="H12" s="42"/>
      <c r="I12" s="47"/>
      <c r="J12" s="42"/>
      <c r="K12" s="42"/>
      <c r="L12" s="42"/>
      <c r="M12" s="46"/>
    </row>
    <row r="13" spans="1:13" s="1" customFormat="1" ht="14.1" customHeight="1" x14ac:dyDescent="0.3">
      <c r="A13" s="74">
        <v>6</v>
      </c>
      <c r="B13" s="36" t="s">
        <v>1</v>
      </c>
      <c r="C13" s="37"/>
      <c r="D13" s="51" t="s">
        <v>72</v>
      </c>
      <c r="E13" s="52"/>
      <c r="F13" s="52"/>
      <c r="G13" s="53"/>
      <c r="H13" s="34">
        <f>SUM(I13)-4</f>
        <v>64</v>
      </c>
      <c r="I13" s="24">
        <v>68</v>
      </c>
      <c r="J13" s="34">
        <f>SUM(I13)+4</f>
        <v>72</v>
      </c>
      <c r="K13" s="34">
        <f t="shared" ref="K13:M13" si="2">SUM(J13)+4</f>
        <v>76</v>
      </c>
      <c r="L13" s="34">
        <f t="shared" si="2"/>
        <v>80</v>
      </c>
      <c r="M13" s="54">
        <f t="shared" si="2"/>
        <v>84</v>
      </c>
    </row>
    <row r="14" spans="1:13" s="1" customFormat="1" ht="14.1" customHeight="1" x14ac:dyDescent="0.3">
      <c r="A14" s="67"/>
      <c r="B14" s="76" t="s">
        <v>13</v>
      </c>
      <c r="C14" s="77"/>
      <c r="D14" s="55" t="s">
        <v>44</v>
      </c>
      <c r="E14" s="56"/>
      <c r="F14" s="56"/>
      <c r="G14" s="57"/>
      <c r="H14" s="42"/>
      <c r="I14" s="47"/>
      <c r="J14" s="42"/>
      <c r="K14" s="42"/>
      <c r="L14" s="42"/>
      <c r="M14" s="46"/>
    </row>
    <row r="15" spans="1:13" s="1" customFormat="1" ht="14.1" customHeight="1" x14ac:dyDescent="0.3">
      <c r="A15" s="74">
        <v>7</v>
      </c>
      <c r="B15" s="36" t="s">
        <v>54</v>
      </c>
      <c r="C15" s="37"/>
      <c r="D15" s="51"/>
      <c r="E15" s="52"/>
      <c r="F15" s="52"/>
      <c r="G15" s="53"/>
      <c r="H15" s="59">
        <f>SUM(I15)-0.7</f>
        <v>11</v>
      </c>
      <c r="I15" s="24">
        <v>11.7</v>
      </c>
      <c r="J15" s="59">
        <f>SUM(I15)+0.7</f>
        <v>12.399999999999999</v>
      </c>
      <c r="K15" s="59">
        <f t="shared" ref="K15:L15" si="3">SUM(J15)+0.7</f>
        <v>13.099999999999998</v>
      </c>
      <c r="L15" s="59">
        <f t="shared" si="3"/>
        <v>13.799999999999997</v>
      </c>
      <c r="M15" s="54">
        <f>SUM(L15)+1.2</f>
        <v>14.999999999999996</v>
      </c>
    </row>
    <row r="16" spans="1:13" s="1" customFormat="1" ht="14.1" customHeight="1" x14ac:dyDescent="0.3">
      <c r="A16" s="67"/>
      <c r="B16" s="76" t="s">
        <v>53</v>
      </c>
      <c r="C16" s="77"/>
      <c r="D16" s="87" t="s">
        <v>142</v>
      </c>
      <c r="E16" s="88"/>
      <c r="F16" s="88"/>
      <c r="G16" s="89"/>
      <c r="H16" s="58"/>
      <c r="I16" s="47"/>
      <c r="J16" s="58"/>
      <c r="K16" s="58"/>
      <c r="L16" s="58"/>
      <c r="M16" s="46"/>
    </row>
    <row r="17" spans="1:13" s="1" customFormat="1" ht="14.1" customHeight="1" x14ac:dyDescent="0.3">
      <c r="A17" s="74">
        <v>8</v>
      </c>
      <c r="B17" s="36" t="s">
        <v>65</v>
      </c>
      <c r="C17" s="37"/>
      <c r="D17" s="51"/>
      <c r="E17" s="52"/>
      <c r="F17" s="52"/>
      <c r="G17" s="53"/>
      <c r="H17" s="59"/>
      <c r="I17" s="24"/>
      <c r="J17" s="59"/>
      <c r="K17" s="34"/>
      <c r="L17" s="90"/>
      <c r="M17" s="54"/>
    </row>
    <row r="18" spans="1:13" s="1" customFormat="1" ht="14.1" customHeight="1" x14ac:dyDescent="0.3">
      <c r="A18" s="67"/>
      <c r="B18" s="76" t="s">
        <v>66</v>
      </c>
      <c r="C18" s="77"/>
      <c r="D18" s="87" t="s">
        <v>67</v>
      </c>
      <c r="E18" s="88"/>
      <c r="F18" s="88"/>
      <c r="G18" s="89"/>
      <c r="H18" s="58"/>
      <c r="I18" s="47"/>
      <c r="J18" s="58"/>
      <c r="K18" s="42"/>
      <c r="L18" s="79"/>
      <c r="M18" s="46"/>
    </row>
    <row r="19" spans="1:13" s="1" customFormat="1" ht="14.1" customHeight="1" x14ac:dyDescent="0.3">
      <c r="A19" s="74">
        <v>9</v>
      </c>
      <c r="B19" s="36" t="s">
        <v>69</v>
      </c>
      <c r="C19" s="37"/>
      <c r="D19" s="51"/>
      <c r="E19" s="52"/>
      <c r="F19" s="52"/>
      <c r="G19" s="53"/>
      <c r="H19" s="34"/>
      <c r="I19" s="24"/>
      <c r="J19" s="34"/>
      <c r="K19" s="34"/>
      <c r="L19" s="90"/>
      <c r="M19" s="54"/>
    </row>
    <row r="20" spans="1:13" s="1" customFormat="1" ht="14.1" customHeight="1" x14ac:dyDescent="0.3">
      <c r="A20" s="67"/>
      <c r="B20" s="76" t="s">
        <v>68</v>
      </c>
      <c r="C20" s="77"/>
      <c r="D20" s="87"/>
      <c r="E20" s="88"/>
      <c r="F20" s="88"/>
      <c r="G20" s="89"/>
      <c r="H20" s="42"/>
      <c r="I20" s="47"/>
      <c r="J20" s="42"/>
      <c r="K20" s="42"/>
      <c r="L20" s="79"/>
      <c r="M20" s="46"/>
    </row>
    <row r="21" spans="1:13" s="1" customFormat="1" ht="14.1" customHeight="1" x14ac:dyDescent="0.3">
      <c r="A21" s="74">
        <v>10</v>
      </c>
      <c r="B21" s="36" t="s">
        <v>0</v>
      </c>
      <c r="C21" s="37"/>
      <c r="D21" s="51" t="s">
        <v>31</v>
      </c>
      <c r="E21" s="52"/>
      <c r="F21" s="52"/>
      <c r="G21" s="53"/>
      <c r="H21" s="34">
        <f>SUM(I21)-7</f>
        <v>39.5</v>
      </c>
      <c r="I21" s="24">
        <v>46.5</v>
      </c>
      <c r="J21" s="34">
        <f>SUM(I21)+7</f>
        <v>53.5</v>
      </c>
      <c r="K21" s="34">
        <f t="shared" ref="K21:L21" si="4">SUM(J21)+7</f>
        <v>60.5</v>
      </c>
      <c r="L21" s="34">
        <f t="shared" si="4"/>
        <v>67.5</v>
      </c>
      <c r="M21" s="54">
        <f>SUM(L21)+6</f>
        <v>73.5</v>
      </c>
    </row>
    <row r="22" spans="1:13" s="1" customFormat="1" ht="14.1" customHeight="1" x14ac:dyDescent="0.3">
      <c r="A22" s="67"/>
      <c r="B22" s="76" t="s">
        <v>14</v>
      </c>
      <c r="C22" s="77"/>
      <c r="D22" s="55" t="s">
        <v>43</v>
      </c>
      <c r="E22" s="56"/>
      <c r="F22" s="56"/>
      <c r="G22" s="57"/>
      <c r="H22" s="42"/>
      <c r="I22" s="47"/>
      <c r="J22" s="42"/>
      <c r="K22" s="42"/>
      <c r="L22" s="42"/>
      <c r="M22" s="46"/>
    </row>
    <row r="23" spans="1:13" s="1" customFormat="1" ht="14.1" customHeight="1" x14ac:dyDescent="0.3">
      <c r="A23" s="74">
        <v>11</v>
      </c>
      <c r="B23" s="36" t="s">
        <v>3</v>
      </c>
      <c r="C23" s="37"/>
      <c r="D23" s="51" t="s">
        <v>4</v>
      </c>
      <c r="E23" s="52"/>
      <c r="F23" s="52"/>
      <c r="G23" s="53"/>
      <c r="H23" s="34">
        <f>SUM(I23)-1</f>
        <v>17</v>
      </c>
      <c r="I23" s="24">
        <v>18</v>
      </c>
      <c r="J23" s="34">
        <f>SUM(I23)+1</f>
        <v>19</v>
      </c>
      <c r="K23" s="34">
        <f t="shared" ref="K23:M23" si="5">SUM(J23)+1</f>
        <v>20</v>
      </c>
      <c r="L23" s="34">
        <f t="shared" si="5"/>
        <v>21</v>
      </c>
      <c r="M23" s="54">
        <f t="shared" si="5"/>
        <v>22</v>
      </c>
    </row>
    <row r="24" spans="1:13" s="1" customFormat="1" ht="14.1" customHeight="1" x14ac:dyDescent="0.3">
      <c r="A24" s="67"/>
      <c r="B24" s="76" t="s">
        <v>15</v>
      </c>
      <c r="C24" s="77"/>
      <c r="D24" s="21" t="s">
        <v>42</v>
      </c>
      <c r="E24" s="22"/>
      <c r="F24" s="22"/>
      <c r="G24" s="23"/>
      <c r="H24" s="42"/>
      <c r="I24" s="47"/>
      <c r="J24" s="42"/>
      <c r="K24" s="42"/>
      <c r="L24" s="42"/>
      <c r="M24" s="46"/>
    </row>
    <row r="25" spans="1:13" s="1" customFormat="1" ht="14.1" customHeight="1" x14ac:dyDescent="0.3">
      <c r="A25" s="74">
        <v>12</v>
      </c>
      <c r="B25" s="36" t="s">
        <v>5</v>
      </c>
      <c r="C25" s="37"/>
      <c r="D25" s="51" t="s">
        <v>2</v>
      </c>
      <c r="E25" s="52"/>
      <c r="F25" s="52"/>
      <c r="G25" s="53"/>
      <c r="H25" s="59">
        <f>SUM(I25)-1.1</f>
        <v>19.399999999999999</v>
      </c>
      <c r="I25" s="24">
        <v>20.5</v>
      </c>
      <c r="J25" s="59">
        <f>SUM(I25)+1.1</f>
        <v>21.6</v>
      </c>
      <c r="K25" s="59">
        <f t="shared" ref="K25:L25" si="6">SUM(J25)+1.1</f>
        <v>22.700000000000003</v>
      </c>
      <c r="L25" s="59">
        <f t="shared" si="6"/>
        <v>23.800000000000004</v>
      </c>
      <c r="M25" s="54">
        <f>SUM(L25)+1.6</f>
        <v>25.400000000000006</v>
      </c>
    </row>
    <row r="26" spans="1:13" s="1" customFormat="1" ht="14.1" customHeight="1" x14ac:dyDescent="0.3">
      <c r="A26" s="67"/>
      <c r="B26" s="76" t="s">
        <v>21</v>
      </c>
      <c r="C26" s="77"/>
      <c r="D26" s="55" t="s">
        <v>41</v>
      </c>
      <c r="E26" s="56"/>
      <c r="F26" s="56"/>
      <c r="G26" s="57"/>
      <c r="H26" s="58"/>
      <c r="I26" s="47"/>
      <c r="J26" s="58"/>
      <c r="K26" s="58"/>
      <c r="L26" s="58"/>
      <c r="M26" s="46"/>
    </row>
    <row r="27" spans="1:13" s="1" customFormat="1" ht="14.1" customHeight="1" x14ac:dyDescent="0.3">
      <c r="A27" s="74">
        <v>13</v>
      </c>
      <c r="B27" s="36" t="s">
        <v>6</v>
      </c>
      <c r="C27" s="37"/>
      <c r="D27" s="51" t="s">
        <v>2</v>
      </c>
      <c r="E27" s="52"/>
      <c r="F27" s="52"/>
      <c r="G27" s="53"/>
      <c r="H27" s="59">
        <f>SUM(I27)-1.3</f>
        <v>25.2</v>
      </c>
      <c r="I27" s="24">
        <v>26.5</v>
      </c>
      <c r="J27" s="59">
        <f>SUM(I27)+1.3</f>
        <v>27.8</v>
      </c>
      <c r="K27" s="59">
        <f t="shared" ref="K27:L27" si="7">SUM(J27)+1.3</f>
        <v>29.1</v>
      </c>
      <c r="L27" s="59">
        <f t="shared" si="7"/>
        <v>30.400000000000002</v>
      </c>
      <c r="M27" s="54">
        <f>SUM(L27)+1.8</f>
        <v>32.200000000000003</v>
      </c>
    </row>
    <row r="28" spans="1:13" s="1" customFormat="1" ht="14.1" customHeight="1" x14ac:dyDescent="0.3">
      <c r="A28" s="67"/>
      <c r="B28" s="76" t="s">
        <v>20</v>
      </c>
      <c r="C28" s="77"/>
      <c r="D28" s="55" t="s">
        <v>41</v>
      </c>
      <c r="E28" s="56"/>
      <c r="F28" s="56"/>
      <c r="G28" s="57"/>
      <c r="H28" s="58"/>
      <c r="I28" s="47"/>
      <c r="J28" s="58"/>
      <c r="K28" s="58"/>
      <c r="L28" s="58"/>
      <c r="M28" s="46"/>
    </row>
    <row r="29" spans="1:13" s="1" customFormat="1" ht="14.1" customHeight="1" x14ac:dyDescent="0.3">
      <c r="A29" s="74">
        <v>14</v>
      </c>
      <c r="B29" s="36" t="s">
        <v>7</v>
      </c>
      <c r="C29" s="37"/>
      <c r="D29" s="51" t="s">
        <v>8</v>
      </c>
      <c r="E29" s="52"/>
      <c r="F29" s="52"/>
      <c r="G29" s="53"/>
      <c r="H29" s="34">
        <f>SUM(I29)-2.8</f>
        <v>38</v>
      </c>
      <c r="I29" s="24">
        <v>40.799999999999997</v>
      </c>
      <c r="J29" s="34">
        <f>SUM(I29)+2.7</f>
        <v>43.5</v>
      </c>
      <c r="K29" s="34">
        <f t="shared" ref="K29:L29" si="8">SUM(J29)+2.7</f>
        <v>46.2</v>
      </c>
      <c r="L29" s="34">
        <f t="shared" si="8"/>
        <v>48.900000000000006</v>
      </c>
      <c r="M29" s="54">
        <f>SUM(L29)+2.6</f>
        <v>51.500000000000007</v>
      </c>
    </row>
    <row r="30" spans="1:13" s="1" customFormat="1" ht="14.1" customHeight="1" x14ac:dyDescent="0.3">
      <c r="A30" s="67"/>
      <c r="B30" s="76" t="s">
        <v>19</v>
      </c>
      <c r="C30" s="77"/>
      <c r="D30" s="55" t="s">
        <v>40</v>
      </c>
      <c r="E30" s="56"/>
      <c r="F30" s="56"/>
      <c r="G30" s="57"/>
      <c r="H30" s="42"/>
      <c r="I30" s="47"/>
      <c r="J30" s="42"/>
      <c r="K30" s="42"/>
      <c r="L30" s="42"/>
      <c r="M30" s="46"/>
    </row>
    <row r="31" spans="1:13" s="1" customFormat="1" ht="14.1" customHeight="1" x14ac:dyDescent="0.3">
      <c r="A31" s="74">
        <v>15</v>
      </c>
      <c r="B31" s="36" t="s">
        <v>9</v>
      </c>
      <c r="C31" s="37"/>
      <c r="D31" s="51" t="s">
        <v>10</v>
      </c>
      <c r="E31" s="52"/>
      <c r="F31" s="52"/>
      <c r="G31" s="53"/>
      <c r="H31" s="34">
        <f>SUM(I31)-6</f>
        <v>20.7</v>
      </c>
      <c r="I31" s="24">
        <v>26.7</v>
      </c>
      <c r="J31" s="34">
        <f>SUM(I31)+6</f>
        <v>32.700000000000003</v>
      </c>
      <c r="K31" s="34">
        <f t="shared" ref="K31:L31" si="9">SUM(J31)+6</f>
        <v>38.700000000000003</v>
      </c>
      <c r="L31" s="34">
        <f t="shared" si="9"/>
        <v>44.7</v>
      </c>
      <c r="M31" s="54">
        <f>SUM(L31)+4.5</f>
        <v>49.2</v>
      </c>
    </row>
    <row r="32" spans="1:13" s="1" customFormat="1" ht="14.1" customHeight="1" x14ac:dyDescent="0.3">
      <c r="A32" s="67"/>
      <c r="B32" s="76" t="s">
        <v>18</v>
      </c>
      <c r="C32" s="77"/>
      <c r="D32" s="55" t="s">
        <v>39</v>
      </c>
      <c r="E32" s="56"/>
      <c r="F32" s="56"/>
      <c r="G32" s="57"/>
      <c r="H32" s="42"/>
      <c r="I32" s="47"/>
      <c r="J32" s="42"/>
      <c r="K32" s="42"/>
      <c r="L32" s="42"/>
      <c r="M32" s="46"/>
    </row>
    <row r="33" spans="1:13" s="1" customFormat="1" ht="14.1" customHeight="1" x14ac:dyDescent="0.3">
      <c r="A33" s="74">
        <v>16</v>
      </c>
      <c r="B33" s="36" t="s">
        <v>38</v>
      </c>
      <c r="C33" s="37"/>
      <c r="D33" s="51" t="s">
        <v>36</v>
      </c>
      <c r="E33" s="52"/>
      <c r="F33" s="52"/>
      <c r="G33" s="53"/>
      <c r="H33" s="34">
        <f>SUM(I33)-1.8</f>
        <v>34.800000000000004</v>
      </c>
      <c r="I33" s="24">
        <v>36.6</v>
      </c>
      <c r="J33" s="34">
        <f>SUM(I33)+1.8</f>
        <v>38.4</v>
      </c>
      <c r="K33" s="34">
        <f>SUM(J33)+1.9</f>
        <v>40.299999999999997</v>
      </c>
      <c r="L33" s="34">
        <f t="shared" ref="L33" si="10">SUM(K33)+1.8</f>
        <v>42.099999999999994</v>
      </c>
      <c r="M33" s="54">
        <f>SUM(L33)+1.9</f>
        <v>43.999999999999993</v>
      </c>
    </row>
    <row r="34" spans="1:13" s="1" customFormat="1" ht="14.1" customHeight="1" x14ac:dyDescent="0.3">
      <c r="A34" s="67"/>
      <c r="B34" s="76" t="s">
        <v>37</v>
      </c>
      <c r="C34" s="77"/>
      <c r="D34" s="55" t="s">
        <v>36</v>
      </c>
      <c r="E34" s="56"/>
      <c r="F34" s="56"/>
      <c r="G34" s="57"/>
      <c r="H34" s="42"/>
      <c r="I34" s="47"/>
      <c r="J34" s="42"/>
      <c r="K34" s="42"/>
      <c r="L34" s="42"/>
      <c r="M34" s="46"/>
    </row>
    <row r="35" spans="1:13" s="1" customFormat="1" ht="14.1" customHeight="1" x14ac:dyDescent="0.3">
      <c r="A35" s="74">
        <v>17</v>
      </c>
      <c r="B35" s="36" t="s">
        <v>35</v>
      </c>
      <c r="C35" s="37"/>
      <c r="D35" s="51" t="s">
        <v>34</v>
      </c>
      <c r="E35" s="52"/>
      <c r="F35" s="52"/>
      <c r="G35" s="53"/>
      <c r="H35" s="34">
        <f>SUM(I35)-3.2</f>
        <v>26</v>
      </c>
      <c r="I35" s="24">
        <v>29.2</v>
      </c>
      <c r="J35" s="34">
        <f>SUM(I35)+3.2</f>
        <v>32.4</v>
      </c>
      <c r="K35" s="34">
        <f t="shared" ref="K35:L35" si="11">SUM(J35)+3.2</f>
        <v>35.6</v>
      </c>
      <c r="L35" s="34">
        <f t="shared" si="11"/>
        <v>38.800000000000004</v>
      </c>
      <c r="M35" s="54">
        <f>SUM(L35)+3.2</f>
        <v>42.000000000000007</v>
      </c>
    </row>
    <row r="36" spans="1:13" s="1" customFormat="1" ht="14.1" customHeight="1" x14ac:dyDescent="0.3">
      <c r="A36" s="67"/>
      <c r="B36" s="91" t="s">
        <v>33</v>
      </c>
      <c r="C36" s="92"/>
      <c r="D36" s="93" t="s">
        <v>60</v>
      </c>
      <c r="E36" s="94"/>
      <c r="F36" s="94"/>
      <c r="G36" s="95"/>
      <c r="H36" s="50"/>
      <c r="I36" s="47"/>
      <c r="J36" s="50"/>
      <c r="K36" s="50"/>
      <c r="L36" s="50"/>
      <c r="M36" s="80"/>
    </row>
    <row r="37" spans="1:13" s="1" customFormat="1" ht="14.1" customHeight="1" x14ac:dyDescent="0.3">
      <c r="A37" s="74">
        <v>18</v>
      </c>
      <c r="B37" s="36" t="s">
        <v>52</v>
      </c>
      <c r="C37" s="37"/>
      <c r="D37" s="51" t="s">
        <v>11</v>
      </c>
      <c r="E37" s="52"/>
      <c r="F37" s="52"/>
      <c r="G37" s="53"/>
      <c r="H37" s="90">
        <f>SUM(I37)-0.2</f>
        <v>5.3</v>
      </c>
      <c r="I37" s="24">
        <v>5.5</v>
      </c>
      <c r="J37" s="34">
        <f>SUM(I37)+0.2</f>
        <v>5.7</v>
      </c>
      <c r="K37" s="34">
        <f t="shared" ref="K37:M37" si="12">SUM(J37)+0.2</f>
        <v>5.9</v>
      </c>
      <c r="L37" s="34">
        <f t="shared" si="12"/>
        <v>6.1000000000000005</v>
      </c>
      <c r="M37" s="54">
        <f t="shared" si="12"/>
        <v>6.3000000000000007</v>
      </c>
    </row>
    <row r="38" spans="1:13" s="1" customFormat="1" ht="14.1" customHeight="1" x14ac:dyDescent="0.3">
      <c r="A38" s="67"/>
      <c r="B38" s="76" t="s">
        <v>17</v>
      </c>
      <c r="C38" s="77"/>
      <c r="D38" s="55" t="s">
        <v>51</v>
      </c>
      <c r="E38" s="56"/>
      <c r="F38" s="56"/>
      <c r="G38" s="57"/>
      <c r="H38" s="79"/>
      <c r="I38" s="47"/>
      <c r="J38" s="42"/>
      <c r="K38" s="42"/>
      <c r="L38" s="42"/>
      <c r="M38" s="46"/>
    </row>
    <row r="39" spans="1:13" s="1" customFormat="1" ht="14.1" customHeight="1" x14ac:dyDescent="0.3">
      <c r="A39" s="74">
        <v>19</v>
      </c>
      <c r="B39" s="36" t="s">
        <v>50</v>
      </c>
      <c r="C39" s="37"/>
      <c r="D39" s="51" t="s">
        <v>12</v>
      </c>
      <c r="E39" s="52"/>
      <c r="F39" s="52"/>
      <c r="G39" s="53"/>
      <c r="H39" s="78">
        <f>SUM(I39)-0.6</f>
        <v>6.9</v>
      </c>
      <c r="I39" s="24">
        <v>7.5</v>
      </c>
      <c r="J39" s="34">
        <f>SUM(I39)+0.6</f>
        <v>8.1</v>
      </c>
      <c r="K39" s="34">
        <f t="shared" ref="K39:M39" si="13">SUM(J39)+0.6</f>
        <v>8.6999999999999993</v>
      </c>
      <c r="L39" s="34">
        <f t="shared" si="13"/>
        <v>9.2999999999999989</v>
      </c>
      <c r="M39" s="54">
        <f t="shared" si="13"/>
        <v>9.8999999999999986</v>
      </c>
    </row>
    <row r="40" spans="1:13" s="1" customFormat="1" ht="14.1" customHeight="1" x14ac:dyDescent="0.3">
      <c r="A40" s="67"/>
      <c r="B40" s="76" t="s">
        <v>16</v>
      </c>
      <c r="C40" s="77"/>
      <c r="D40" s="55" t="s">
        <v>49</v>
      </c>
      <c r="E40" s="56"/>
      <c r="F40" s="56"/>
      <c r="G40" s="57"/>
      <c r="H40" s="79"/>
      <c r="I40" s="47"/>
      <c r="J40" s="42"/>
      <c r="K40" s="42"/>
      <c r="L40" s="42"/>
      <c r="M40" s="46"/>
    </row>
    <row r="41" spans="1:13" s="1" customFormat="1" ht="14.1" customHeight="1" x14ac:dyDescent="0.3">
      <c r="A41" s="74">
        <v>20</v>
      </c>
      <c r="B41" s="36" t="s">
        <v>143</v>
      </c>
      <c r="C41" s="37"/>
      <c r="D41" s="51"/>
      <c r="E41" s="52"/>
      <c r="F41" s="52"/>
      <c r="G41" s="53"/>
      <c r="H41" s="90">
        <f>SUM(I41)-0.5</f>
        <v>9.5</v>
      </c>
      <c r="I41" s="24">
        <v>10</v>
      </c>
      <c r="J41" s="34">
        <f>SUM(I41)+0.5</f>
        <v>10.5</v>
      </c>
      <c r="K41" s="34">
        <f t="shared" ref="K41:M41" si="14">SUM(J41)+0.5</f>
        <v>11</v>
      </c>
      <c r="L41" s="34">
        <f t="shared" si="14"/>
        <v>11.5</v>
      </c>
      <c r="M41" s="54">
        <f t="shared" si="14"/>
        <v>12</v>
      </c>
    </row>
    <row r="42" spans="1:13" s="1" customFormat="1" ht="14.1" customHeight="1" x14ac:dyDescent="0.3">
      <c r="A42" s="67"/>
      <c r="B42" s="76" t="s">
        <v>144</v>
      </c>
      <c r="C42" s="77"/>
      <c r="D42" s="55"/>
      <c r="E42" s="56"/>
      <c r="F42" s="56"/>
      <c r="G42" s="57"/>
      <c r="H42" s="79"/>
      <c r="I42" s="47"/>
      <c r="J42" s="42"/>
      <c r="K42" s="42"/>
      <c r="L42" s="42"/>
      <c r="M42" s="46"/>
    </row>
    <row r="43" spans="1:13" s="1" customFormat="1" ht="14.1" customHeight="1" x14ac:dyDescent="0.3">
      <c r="A43" s="74">
        <v>21</v>
      </c>
      <c r="B43" s="36" t="s">
        <v>145</v>
      </c>
      <c r="C43" s="37"/>
      <c r="D43" s="51"/>
      <c r="E43" s="52"/>
      <c r="F43" s="52"/>
      <c r="G43" s="53"/>
      <c r="H43" s="90">
        <f>SUM(I43)-0.5</f>
        <v>9.5</v>
      </c>
      <c r="I43" s="24">
        <v>10</v>
      </c>
      <c r="J43" s="34">
        <f>SUM(I43)+0.5</f>
        <v>10.5</v>
      </c>
      <c r="K43" s="34">
        <f t="shared" ref="K43:M43" si="15">SUM(J43)+0.5</f>
        <v>11</v>
      </c>
      <c r="L43" s="34">
        <f t="shared" si="15"/>
        <v>11.5</v>
      </c>
      <c r="M43" s="54">
        <f t="shared" si="15"/>
        <v>12</v>
      </c>
    </row>
    <row r="44" spans="1:13" s="1" customFormat="1" ht="14.1" customHeight="1" x14ac:dyDescent="0.3">
      <c r="A44" s="67"/>
      <c r="B44" s="91" t="s">
        <v>146</v>
      </c>
      <c r="C44" s="92"/>
      <c r="D44" s="93"/>
      <c r="E44" s="94"/>
      <c r="F44" s="94"/>
      <c r="G44" s="95"/>
      <c r="H44" s="78"/>
      <c r="I44" s="75"/>
      <c r="J44" s="50"/>
      <c r="K44" s="50"/>
      <c r="L44" s="50"/>
      <c r="M44" s="80"/>
    </row>
    <row r="45" spans="1:13" s="1" customFormat="1" ht="14.1" customHeight="1" x14ac:dyDescent="0.3">
      <c r="A45" s="74">
        <v>22</v>
      </c>
      <c r="B45" s="36" t="s">
        <v>135</v>
      </c>
      <c r="C45" s="37"/>
      <c r="D45" s="38"/>
      <c r="E45" s="39"/>
      <c r="F45" s="39"/>
      <c r="G45" s="40"/>
      <c r="H45" s="90">
        <f>SUM(I45)-2.2</f>
        <v>3.8</v>
      </c>
      <c r="I45" s="24">
        <v>6</v>
      </c>
      <c r="J45" s="34">
        <f>SUM(I45)+2.2</f>
        <v>8.1999999999999993</v>
      </c>
      <c r="K45" s="34">
        <f t="shared" ref="K45:M45" si="16">SUM(J45)+2.2</f>
        <v>10.399999999999999</v>
      </c>
      <c r="L45" s="34">
        <f t="shared" si="16"/>
        <v>12.599999999999998</v>
      </c>
      <c r="M45" s="54">
        <f t="shared" si="16"/>
        <v>14.799999999999997</v>
      </c>
    </row>
    <row r="46" spans="1:13" ht="14.1" customHeight="1" x14ac:dyDescent="0.3">
      <c r="A46" s="67"/>
      <c r="B46" s="19" t="s">
        <v>136</v>
      </c>
      <c r="C46" s="20"/>
      <c r="D46" s="87" t="s">
        <v>147</v>
      </c>
      <c r="E46" s="22"/>
      <c r="F46" s="22"/>
      <c r="G46" s="23"/>
      <c r="H46" s="79"/>
      <c r="I46" s="47"/>
      <c r="J46" s="42"/>
      <c r="K46" s="42"/>
      <c r="L46" s="42"/>
      <c r="M46" s="46"/>
    </row>
    <row r="47" spans="1:13" ht="14.1" customHeight="1" x14ac:dyDescent="0.3">
      <c r="A47" s="74">
        <v>23</v>
      </c>
      <c r="B47" s="36" t="s">
        <v>138</v>
      </c>
      <c r="C47" s="37"/>
      <c r="D47" s="38"/>
      <c r="E47" s="39"/>
      <c r="F47" s="39"/>
      <c r="G47" s="40"/>
      <c r="H47" s="90">
        <f>SUM(I47)-0.2</f>
        <v>2.8</v>
      </c>
      <c r="I47" s="24">
        <v>3</v>
      </c>
      <c r="J47" s="34">
        <f>SUM(I47)+0.2</f>
        <v>3.2</v>
      </c>
      <c r="K47" s="34">
        <f t="shared" ref="K47:M47" si="17">SUM(J47)+0.2</f>
        <v>3.4000000000000004</v>
      </c>
      <c r="L47" s="34">
        <f t="shared" si="17"/>
        <v>3.6000000000000005</v>
      </c>
      <c r="M47" s="54">
        <f t="shared" si="17"/>
        <v>3.8000000000000007</v>
      </c>
    </row>
    <row r="48" spans="1:13" ht="14.1" customHeight="1" thickBot="1" x14ac:dyDescent="0.35">
      <c r="A48" s="96"/>
      <c r="B48" s="14" t="s">
        <v>139</v>
      </c>
      <c r="C48" s="15"/>
      <c r="D48" s="100" t="s">
        <v>148</v>
      </c>
      <c r="E48" s="17"/>
      <c r="F48" s="17"/>
      <c r="G48" s="18"/>
      <c r="H48" s="97"/>
      <c r="I48" s="98"/>
      <c r="J48" s="35"/>
      <c r="K48" s="35"/>
      <c r="L48" s="35"/>
      <c r="M48" s="99"/>
    </row>
    <row r="49" ht="14.1" customHeight="1" x14ac:dyDescent="0.3"/>
    <row r="50" ht="14.1" customHeight="1" x14ac:dyDescent="0.3"/>
    <row r="51" ht="14.1" customHeight="1" x14ac:dyDescent="0.3"/>
    <row r="52" ht="13.5" customHeight="1" x14ac:dyDescent="0.3"/>
  </sheetData>
  <mergeCells count="256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3C5-B99E-4703-938C-9E2D13A8ACA2}">
  <sheetPr>
    <tabColor theme="5"/>
    <pageSetUpPr fitToPage="1"/>
  </sheetPr>
  <dimension ref="A1:M52"/>
  <sheetViews>
    <sheetView tabSelected="1" zoomScale="110" zoomScaleNormal="110" workbookViewId="0">
      <selection activeCell="P8" sqref="P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61" t="s">
        <v>77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16.5" customHeight="1" thickBot="1" x14ac:dyDescent="0.35">
      <c r="A2" s="2" t="s">
        <v>22</v>
      </c>
      <c r="B2" s="64" t="s">
        <v>23</v>
      </c>
      <c r="C2" s="64"/>
      <c r="D2" s="64" t="s">
        <v>24</v>
      </c>
      <c r="E2" s="64"/>
      <c r="F2" s="64"/>
      <c r="G2" s="64"/>
      <c r="H2" s="4" t="s">
        <v>74</v>
      </c>
      <c r="I2" s="4" t="s">
        <v>73</v>
      </c>
      <c r="J2" s="3" t="s">
        <v>25</v>
      </c>
      <c r="K2" s="4" t="s">
        <v>26</v>
      </c>
      <c r="L2" s="4" t="s">
        <v>27</v>
      </c>
      <c r="M2" s="5" t="s">
        <v>28</v>
      </c>
    </row>
    <row r="3" spans="1:13" s="1" customFormat="1" ht="14.1" customHeight="1" x14ac:dyDescent="0.3">
      <c r="A3" s="66">
        <v>1</v>
      </c>
      <c r="B3" s="68" t="s">
        <v>57</v>
      </c>
      <c r="C3" s="69"/>
      <c r="D3" s="70" t="s">
        <v>29</v>
      </c>
      <c r="E3" s="71"/>
      <c r="F3" s="71"/>
      <c r="G3" s="72"/>
      <c r="H3" s="59">
        <f>SUM(I3)-2</f>
        <v>41</v>
      </c>
      <c r="I3" s="34">
        <f>SUM(J3)-2</f>
        <v>43</v>
      </c>
      <c r="J3" s="73">
        <v>45</v>
      </c>
      <c r="K3" s="111">
        <f>SUM(J3)+3</f>
        <v>48</v>
      </c>
      <c r="L3" s="111">
        <f>SUM(K3)+3</f>
        <v>51</v>
      </c>
      <c r="M3" s="112">
        <f>SUM(L3)+3</f>
        <v>54</v>
      </c>
    </row>
    <row r="4" spans="1:13" s="1" customFormat="1" ht="14.1" customHeight="1" x14ac:dyDescent="0.3">
      <c r="A4" s="67"/>
      <c r="B4" s="76" t="s">
        <v>32</v>
      </c>
      <c r="C4" s="77"/>
      <c r="D4" s="55" t="s">
        <v>30</v>
      </c>
      <c r="E4" s="56"/>
      <c r="F4" s="56"/>
      <c r="G4" s="57"/>
      <c r="H4" s="58"/>
      <c r="I4" s="42"/>
      <c r="J4" s="47"/>
      <c r="K4" s="42"/>
      <c r="L4" s="42"/>
      <c r="M4" s="107"/>
    </row>
    <row r="5" spans="1:13" s="1" customFormat="1" ht="14.1" customHeight="1" x14ac:dyDescent="0.3">
      <c r="A5" s="74">
        <v>2</v>
      </c>
      <c r="B5" s="27" t="s">
        <v>64</v>
      </c>
      <c r="C5" s="28"/>
      <c r="D5" s="43"/>
      <c r="E5" s="44"/>
      <c r="F5" s="44"/>
      <c r="G5" s="45"/>
      <c r="H5" s="59"/>
      <c r="I5" s="34"/>
      <c r="J5" s="75"/>
      <c r="K5" s="50"/>
      <c r="L5" s="50"/>
      <c r="M5" s="104"/>
    </row>
    <row r="6" spans="1:13" s="1" customFormat="1" ht="14.1" customHeight="1" x14ac:dyDescent="0.3">
      <c r="A6" s="67"/>
      <c r="B6" s="76" t="s">
        <v>63</v>
      </c>
      <c r="C6" s="77"/>
      <c r="D6" s="55"/>
      <c r="E6" s="56"/>
      <c r="F6" s="56"/>
      <c r="G6" s="57"/>
      <c r="H6" s="58"/>
      <c r="I6" s="42"/>
      <c r="J6" s="47"/>
      <c r="K6" s="42"/>
      <c r="L6" s="42"/>
      <c r="M6" s="107"/>
    </row>
    <row r="7" spans="1:13" s="1" customFormat="1" ht="14.1" customHeight="1" x14ac:dyDescent="0.3">
      <c r="A7" s="74">
        <v>3</v>
      </c>
      <c r="B7" s="27" t="s">
        <v>56</v>
      </c>
      <c r="C7" s="28"/>
      <c r="D7" s="43"/>
      <c r="E7" s="44"/>
      <c r="F7" s="44"/>
      <c r="G7" s="45"/>
      <c r="H7" s="59"/>
      <c r="I7" s="34"/>
      <c r="J7" s="75"/>
      <c r="K7" s="50"/>
      <c r="L7" s="50"/>
      <c r="M7" s="104"/>
    </row>
    <row r="8" spans="1:13" s="1" customFormat="1" ht="14.1" customHeight="1" x14ac:dyDescent="0.3">
      <c r="A8" s="67"/>
      <c r="B8" s="76" t="s">
        <v>55</v>
      </c>
      <c r="C8" s="77"/>
      <c r="D8" s="55"/>
      <c r="E8" s="56"/>
      <c r="F8" s="56"/>
      <c r="G8" s="57"/>
      <c r="H8" s="58"/>
      <c r="I8" s="42"/>
      <c r="J8" s="47"/>
      <c r="K8" s="42"/>
      <c r="L8" s="42"/>
      <c r="M8" s="107"/>
    </row>
    <row r="9" spans="1:13" s="1" customFormat="1" ht="14.1" customHeight="1" x14ac:dyDescent="0.3">
      <c r="A9" s="74">
        <v>4</v>
      </c>
      <c r="B9" s="36" t="s">
        <v>62</v>
      </c>
      <c r="C9" s="37"/>
      <c r="D9" s="81" t="s">
        <v>76</v>
      </c>
      <c r="E9" s="82"/>
      <c r="F9" s="82"/>
      <c r="G9" s="83"/>
      <c r="H9" s="34">
        <f>SUM(I9)-1.5</f>
        <v>35</v>
      </c>
      <c r="I9" s="34">
        <f>SUM(J9)-1.5</f>
        <v>36.5</v>
      </c>
      <c r="J9" s="75">
        <v>38</v>
      </c>
      <c r="K9" s="50">
        <f>SUM(J9)+2.2</f>
        <v>40.200000000000003</v>
      </c>
      <c r="L9" s="50">
        <f>SUM(K9)+2.2</f>
        <v>42.400000000000006</v>
      </c>
      <c r="M9" s="104">
        <f>SUM(L9)+2.2</f>
        <v>44.600000000000009</v>
      </c>
    </row>
    <row r="10" spans="1:13" s="1" customFormat="1" ht="14.1" customHeight="1" x14ac:dyDescent="0.3">
      <c r="A10" s="67"/>
      <c r="B10" s="76" t="s">
        <v>61</v>
      </c>
      <c r="C10" s="77"/>
      <c r="D10" s="84" t="s">
        <v>75</v>
      </c>
      <c r="E10" s="85"/>
      <c r="F10" s="85"/>
      <c r="G10" s="86"/>
      <c r="H10" s="42"/>
      <c r="I10" s="42"/>
      <c r="J10" s="47"/>
      <c r="K10" s="42"/>
      <c r="L10" s="42"/>
      <c r="M10" s="107"/>
    </row>
    <row r="11" spans="1:13" s="1" customFormat="1" ht="14.1" customHeight="1" x14ac:dyDescent="0.3">
      <c r="A11" s="74">
        <v>5</v>
      </c>
      <c r="B11" s="36" t="s">
        <v>58</v>
      </c>
      <c r="C11" s="37"/>
      <c r="D11" s="43"/>
      <c r="E11" s="44"/>
      <c r="F11" s="44"/>
      <c r="G11" s="45"/>
      <c r="H11" s="59">
        <f>SUM(I11)-4.5</f>
        <v>55</v>
      </c>
      <c r="I11" s="34">
        <f>SUM(J11)-4.5</f>
        <v>59.5</v>
      </c>
      <c r="J11" s="75">
        <v>64</v>
      </c>
      <c r="K11" s="50">
        <f>SUM(J11)+4.5</f>
        <v>68.5</v>
      </c>
      <c r="L11" s="50">
        <f>SUM(K11)+4.5</f>
        <v>73</v>
      </c>
      <c r="M11" s="104">
        <f>SUM(L11)+4.5</f>
        <v>77.5</v>
      </c>
    </row>
    <row r="12" spans="1:13" s="1" customFormat="1" ht="14.1" customHeight="1" x14ac:dyDescent="0.3">
      <c r="A12" s="67"/>
      <c r="B12" s="76" t="s">
        <v>59</v>
      </c>
      <c r="C12" s="77"/>
      <c r="D12" s="55"/>
      <c r="E12" s="56"/>
      <c r="F12" s="56"/>
      <c r="G12" s="57"/>
      <c r="H12" s="58"/>
      <c r="I12" s="42"/>
      <c r="J12" s="47"/>
      <c r="K12" s="42"/>
      <c r="L12" s="42"/>
      <c r="M12" s="107"/>
    </row>
    <row r="13" spans="1:13" s="1" customFormat="1" ht="14.1" customHeight="1" x14ac:dyDescent="0.3">
      <c r="A13" s="74">
        <v>6</v>
      </c>
      <c r="B13" s="36" t="s">
        <v>1</v>
      </c>
      <c r="C13" s="37"/>
      <c r="D13" s="51" t="s">
        <v>72</v>
      </c>
      <c r="E13" s="52"/>
      <c r="F13" s="52"/>
      <c r="G13" s="53"/>
      <c r="H13" s="59">
        <f>SUM(I13)-5</f>
        <v>60</v>
      </c>
      <c r="I13" s="34">
        <f>SUM(J13)-5</f>
        <v>65</v>
      </c>
      <c r="J13" s="24">
        <v>70</v>
      </c>
      <c r="K13" s="34">
        <f>SUM(J13)+5</f>
        <v>75</v>
      </c>
      <c r="L13" s="34">
        <f>SUM(K13)+5</f>
        <v>80</v>
      </c>
      <c r="M13" s="101">
        <f>SUM(L13)+5</f>
        <v>85</v>
      </c>
    </row>
    <row r="14" spans="1:13" s="1" customFormat="1" ht="14.1" customHeight="1" x14ac:dyDescent="0.3">
      <c r="A14" s="67"/>
      <c r="B14" s="76" t="s">
        <v>13</v>
      </c>
      <c r="C14" s="77"/>
      <c r="D14" s="55" t="s">
        <v>44</v>
      </c>
      <c r="E14" s="56"/>
      <c r="F14" s="56"/>
      <c r="G14" s="57"/>
      <c r="H14" s="58"/>
      <c r="I14" s="42"/>
      <c r="J14" s="47"/>
      <c r="K14" s="42"/>
      <c r="L14" s="42"/>
      <c r="M14" s="107"/>
    </row>
    <row r="15" spans="1:13" s="1" customFormat="1" ht="14.1" customHeight="1" x14ac:dyDescent="0.3">
      <c r="A15" s="74">
        <v>7</v>
      </c>
      <c r="B15" s="36" t="s">
        <v>54</v>
      </c>
      <c r="C15" s="37"/>
      <c r="D15" s="51"/>
      <c r="E15" s="52"/>
      <c r="F15" s="52"/>
      <c r="G15" s="53"/>
      <c r="H15" s="59">
        <f>SUM(I15)-0.7</f>
        <v>7.6000000000000005</v>
      </c>
      <c r="I15" s="34">
        <f>SUM(J15)-0.7</f>
        <v>8.3000000000000007</v>
      </c>
      <c r="J15" s="24">
        <v>9</v>
      </c>
      <c r="K15" s="34">
        <f>SUM(J15)+0.7</f>
        <v>9.6999999999999993</v>
      </c>
      <c r="L15" s="34">
        <f>SUM(K15)+0.7</f>
        <v>10.399999999999999</v>
      </c>
      <c r="M15" s="109">
        <f>SUM(L15)+0.7</f>
        <v>11.099999999999998</v>
      </c>
    </row>
    <row r="16" spans="1:13" s="1" customFormat="1" ht="14.1" customHeight="1" x14ac:dyDescent="0.3">
      <c r="A16" s="67"/>
      <c r="B16" s="76" t="s">
        <v>53</v>
      </c>
      <c r="C16" s="77"/>
      <c r="D16" s="87" t="s">
        <v>70</v>
      </c>
      <c r="E16" s="88"/>
      <c r="F16" s="88"/>
      <c r="G16" s="89"/>
      <c r="H16" s="58"/>
      <c r="I16" s="42"/>
      <c r="J16" s="47"/>
      <c r="K16" s="42"/>
      <c r="L16" s="42"/>
      <c r="M16" s="110"/>
    </row>
    <row r="17" spans="1:13" s="1" customFormat="1" ht="14.1" customHeight="1" x14ac:dyDescent="0.3">
      <c r="A17" s="74">
        <v>8</v>
      </c>
      <c r="B17" s="36" t="s">
        <v>65</v>
      </c>
      <c r="C17" s="37"/>
      <c r="D17" s="51"/>
      <c r="E17" s="52"/>
      <c r="F17" s="52"/>
      <c r="G17" s="53"/>
      <c r="H17" s="59">
        <f>SUM(I17)-0.7</f>
        <v>7.6000000000000005</v>
      </c>
      <c r="I17" s="34">
        <f>SUM(J17)-0.7</f>
        <v>8.3000000000000007</v>
      </c>
      <c r="J17" s="24">
        <v>9</v>
      </c>
      <c r="K17" s="34">
        <f>SUM(J17)+0.7</f>
        <v>9.6999999999999993</v>
      </c>
      <c r="L17" s="34">
        <f>SUM(K17)+0.7</f>
        <v>10.399999999999999</v>
      </c>
      <c r="M17" s="109">
        <f>SUM(L17)+0.7</f>
        <v>11.099999999999998</v>
      </c>
    </row>
    <row r="18" spans="1:13" s="1" customFormat="1" ht="14.1" customHeight="1" x14ac:dyDescent="0.3">
      <c r="A18" s="67"/>
      <c r="B18" s="76" t="s">
        <v>66</v>
      </c>
      <c r="C18" s="77"/>
      <c r="D18" s="87" t="s">
        <v>67</v>
      </c>
      <c r="E18" s="88"/>
      <c r="F18" s="88"/>
      <c r="G18" s="89"/>
      <c r="H18" s="58"/>
      <c r="I18" s="42"/>
      <c r="J18" s="47"/>
      <c r="K18" s="42"/>
      <c r="L18" s="42"/>
      <c r="M18" s="110"/>
    </row>
    <row r="19" spans="1:13" s="1" customFormat="1" ht="14.1" customHeight="1" x14ac:dyDescent="0.3">
      <c r="A19" s="74">
        <v>9</v>
      </c>
      <c r="B19" s="36" t="s">
        <v>69</v>
      </c>
      <c r="C19" s="37"/>
      <c r="D19" s="51"/>
      <c r="E19" s="52"/>
      <c r="F19" s="52"/>
      <c r="G19" s="53"/>
      <c r="H19" s="34">
        <f>SUM(I19)-0</f>
        <v>2.8</v>
      </c>
      <c r="I19" s="34">
        <f>SUM(J19)-0</f>
        <v>2.8</v>
      </c>
      <c r="J19" s="24">
        <v>2.8</v>
      </c>
      <c r="K19" s="34">
        <f>SUM(J19)+0</f>
        <v>2.8</v>
      </c>
      <c r="L19" s="34">
        <f>SUM(K19)+0</f>
        <v>2.8</v>
      </c>
      <c r="M19" s="101">
        <f>SUM(L19)+0.5</f>
        <v>3.3</v>
      </c>
    </row>
    <row r="20" spans="1:13" s="1" customFormat="1" ht="14.1" customHeight="1" x14ac:dyDescent="0.3">
      <c r="A20" s="67"/>
      <c r="B20" s="76" t="s">
        <v>68</v>
      </c>
      <c r="C20" s="77"/>
      <c r="D20" s="87"/>
      <c r="E20" s="88"/>
      <c r="F20" s="88"/>
      <c r="G20" s="89"/>
      <c r="H20" s="42"/>
      <c r="I20" s="42"/>
      <c r="J20" s="47"/>
      <c r="K20" s="42"/>
      <c r="L20" s="42"/>
      <c r="M20" s="107"/>
    </row>
    <row r="21" spans="1:13" s="1" customFormat="1" ht="14.1" customHeight="1" x14ac:dyDescent="0.3">
      <c r="A21" s="74">
        <v>10</v>
      </c>
      <c r="B21" s="36" t="s">
        <v>0</v>
      </c>
      <c r="C21" s="37"/>
      <c r="D21" s="51" t="s">
        <v>31</v>
      </c>
      <c r="E21" s="52"/>
      <c r="F21" s="52"/>
      <c r="G21" s="53"/>
      <c r="H21" s="34">
        <f>SUM(I21)-7</f>
        <v>38</v>
      </c>
      <c r="I21" s="34">
        <f>SUM(J21)-7</f>
        <v>45</v>
      </c>
      <c r="J21" s="24">
        <v>52</v>
      </c>
      <c r="K21" s="34">
        <f>SUM(J21)+7</f>
        <v>59</v>
      </c>
      <c r="L21" s="34">
        <f>SUM(K21)+7</f>
        <v>66</v>
      </c>
      <c r="M21" s="101">
        <f>SUM(L21)+6</f>
        <v>72</v>
      </c>
    </row>
    <row r="22" spans="1:13" s="1" customFormat="1" ht="14.1" customHeight="1" x14ac:dyDescent="0.3">
      <c r="A22" s="67"/>
      <c r="B22" s="76" t="s">
        <v>14</v>
      </c>
      <c r="C22" s="77"/>
      <c r="D22" s="55" t="s">
        <v>43</v>
      </c>
      <c r="E22" s="56"/>
      <c r="F22" s="56"/>
      <c r="G22" s="57"/>
      <c r="H22" s="42"/>
      <c r="I22" s="42"/>
      <c r="J22" s="47"/>
      <c r="K22" s="42"/>
      <c r="L22" s="42"/>
      <c r="M22" s="107"/>
    </row>
    <row r="23" spans="1:13" s="1" customFormat="1" ht="14.1" customHeight="1" x14ac:dyDescent="0.3">
      <c r="A23" s="74">
        <v>11</v>
      </c>
      <c r="B23" s="36" t="s">
        <v>3</v>
      </c>
      <c r="C23" s="37"/>
      <c r="D23" s="51" t="s">
        <v>4</v>
      </c>
      <c r="E23" s="52"/>
      <c r="F23" s="52"/>
      <c r="G23" s="53"/>
      <c r="H23" s="34">
        <f>SUM(I23)-1.8</f>
        <v>28.4</v>
      </c>
      <c r="I23" s="34">
        <f>SUM(J23)-1.8</f>
        <v>30.2</v>
      </c>
      <c r="J23" s="24">
        <v>32</v>
      </c>
      <c r="K23" s="34">
        <f>SUM(J23)+1.8</f>
        <v>33.799999999999997</v>
      </c>
      <c r="L23" s="34">
        <f>SUM(K23)+1.8</f>
        <v>35.599999999999994</v>
      </c>
      <c r="M23" s="101">
        <f>SUM(L23)+1.8</f>
        <v>37.399999999999991</v>
      </c>
    </row>
    <row r="24" spans="1:13" s="1" customFormat="1" ht="14.1" customHeight="1" x14ac:dyDescent="0.3">
      <c r="A24" s="67"/>
      <c r="B24" s="76" t="s">
        <v>15</v>
      </c>
      <c r="C24" s="77"/>
      <c r="D24" s="21" t="s">
        <v>42</v>
      </c>
      <c r="E24" s="22"/>
      <c r="F24" s="22"/>
      <c r="G24" s="23"/>
      <c r="H24" s="42"/>
      <c r="I24" s="42"/>
      <c r="J24" s="47"/>
      <c r="K24" s="42"/>
      <c r="L24" s="42"/>
      <c r="M24" s="107"/>
    </row>
    <row r="25" spans="1:13" s="1" customFormat="1" ht="14.1" customHeight="1" x14ac:dyDescent="0.3">
      <c r="A25" s="74">
        <v>12</v>
      </c>
      <c r="B25" s="36" t="s">
        <v>5</v>
      </c>
      <c r="C25" s="37"/>
      <c r="D25" s="51" t="s">
        <v>2</v>
      </c>
      <c r="E25" s="52"/>
      <c r="F25" s="52"/>
      <c r="G25" s="53"/>
      <c r="H25" s="59">
        <f>SUM(I25)-1.1</f>
        <v>18.299999999999997</v>
      </c>
      <c r="I25" s="34">
        <f>SUM(J25)-1.1</f>
        <v>19.399999999999999</v>
      </c>
      <c r="J25" s="24">
        <v>20.5</v>
      </c>
      <c r="K25" s="34">
        <f>SUM(J25)+1.1</f>
        <v>21.6</v>
      </c>
      <c r="L25" s="34">
        <f>SUM(K25)+1.1</f>
        <v>22.700000000000003</v>
      </c>
      <c r="M25" s="109">
        <f>SUM(L25)+1.6</f>
        <v>24.300000000000004</v>
      </c>
    </row>
    <row r="26" spans="1:13" s="1" customFormat="1" ht="14.1" customHeight="1" x14ac:dyDescent="0.3">
      <c r="A26" s="67"/>
      <c r="B26" s="76" t="s">
        <v>21</v>
      </c>
      <c r="C26" s="77"/>
      <c r="D26" s="55" t="s">
        <v>41</v>
      </c>
      <c r="E26" s="56"/>
      <c r="F26" s="56"/>
      <c r="G26" s="57"/>
      <c r="H26" s="58"/>
      <c r="I26" s="42"/>
      <c r="J26" s="47"/>
      <c r="K26" s="42"/>
      <c r="L26" s="42"/>
      <c r="M26" s="110"/>
    </row>
    <row r="27" spans="1:13" s="1" customFormat="1" ht="14.1" customHeight="1" x14ac:dyDescent="0.3">
      <c r="A27" s="74">
        <v>13</v>
      </c>
      <c r="B27" s="36" t="s">
        <v>6</v>
      </c>
      <c r="C27" s="37"/>
      <c r="D27" s="51" t="s">
        <v>2</v>
      </c>
      <c r="E27" s="52"/>
      <c r="F27" s="52"/>
      <c r="G27" s="53"/>
      <c r="H27" s="59">
        <f>SUM(I27)-1.3</f>
        <v>24.4</v>
      </c>
      <c r="I27" s="34">
        <f>SUM(J27)-1.3</f>
        <v>25.7</v>
      </c>
      <c r="J27" s="24">
        <v>27</v>
      </c>
      <c r="K27" s="34">
        <f>SUM(J27)+1.3</f>
        <v>28.3</v>
      </c>
      <c r="L27" s="34">
        <f>SUM(K27)+1.3</f>
        <v>29.6</v>
      </c>
      <c r="M27" s="109">
        <f>SUM(L27)+1.8</f>
        <v>31.400000000000002</v>
      </c>
    </row>
    <row r="28" spans="1:13" s="1" customFormat="1" ht="14.1" customHeight="1" x14ac:dyDescent="0.3">
      <c r="A28" s="67"/>
      <c r="B28" s="76" t="s">
        <v>20</v>
      </c>
      <c r="C28" s="77"/>
      <c r="D28" s="55" t="s">
        <v>41</v>
      </c>
      <c r="E28" s="56"/>
      <c r="F28" s="56"/>
      <c r="G28" s="57"/>
      <c r="H28" s="58"/>
      <c r="I28" s="42"/>
      <c r="J28" s="47"/>
      <c r="K28" s="42"/>
      <c r="L28" s="42"/>
      <c r="M28" s="110"/>
    </row>
    <row r="29" spans="1:13" s="1" customFormat="1" ht="14.1" customHeight="1" x14ac:dyDescent="0.3">
      <c r="A29" s="74">
        <v>14</v>
      </c>
      <c r="B29" s="36" t="s">
        <v>7</v>
      </c>
      <c r="C29" s="37"/>
      <c r="D29" s="51" t="s">
        <v>8</v>
      </c>
      <c r="E29" s="52"/>
      <c r="F29" s="52"/>
      <c r="G29" s="53"/>
      <c r="H29" s="34"/>
      <c r="I29" s="34"/>
      <c r="J29" s="24"/>
      <c r="K29" s="34"/>
      <c r="L29" s="34"/>
      <c r="M29" s="101"/>
    </row>
    <row r="30" spans="1:13" s="1" customFormat="1" ht="14.1" customHeight="1" x14ac:dyDescent="0.3">
      <c r="A30" s="67"/>
      <c r="B30" s="76" t="s">
        <v>19</v>
      </c>
      <c r="C30" s="77"/>
      <c r="D30" s="55" t="s">
        <v>40</v>
      </c>
      <c r="E30" s="56"/>
      <c r="F30" s="56"/>
      <c r="G30" s="57"/>
      <c r="H30" s="42"/>
      <c r="I30" s="42"/>
      <c r="J30" s="47"/>
      <c r="K30" s="42"/>
      <c r="L30" s="42"/>
      <c r="M30" s="107"/>
    </row>
    <row r="31" spans="1:13" s="1" customFormat="1" ht="14.1" customHeight="1" x14ac:dyDescent="0.3">
      <c r="A31" s="74">
        <v>15</v>
      </c>
      <c r="B31" s="36" t="s">
        <v>9</v>
      </c>
      <c r="C31" s="37"/>
      <c r="D31" s="51" t="s">
        <v>10</v>
      </c>
      <c r="E31" s="52"/>
      <c r="F31" s="52"/>
      <c r="G31" s="53"/>
      <c r="H31" s="34"/>
      <c r="I31" s="34"/>
      <c r="J31" s="24"/>
      <c r="K31" s="34"/>
      <c r="L31" s="34"/>
      <c r="M31" s="101"/>
    </row>
    <row r="32" spans="1:13" s="1" customFormat="1" ht="14.1" customHeight="1" x14ac:dyDescent="0.3">
      <c r="A32" s="67"/>
      <c r="B32" s="76" t="s">
        <v>18</v>
      </c>
      <c r="C32" s="77"/>
      <c r="D32" s="55" t="s">
        <v>39</v>
      </c>
      <c r="E32" s="56"/>
      <c r="F32" s="56"/>
      <c r="G32" s="57"/>
      <c r="H32" s="42"/>
      <c r="I32" s="42"/>
      <c r="J32" s="47"/>
      <c r="K32" s="42"/>
      <c r="L32" s="42"/>
      <c r="M32" s="107"/>
    </row>
    <row r="33" spans="1:13" s="1" customFormat="1" ht="14.1" customHeight="1" x14ac:dyDescent="0.3">
      <c r="A33" s="74">
        <v>16</v>
      </c>
      <c r="B33" s="36" t="s">
        <v>38</v>
      </c>
      <c r="C33" s="37"/>
      <c r="D33" s="51" t="s">
        <v>36</v>
      </c>
      <c r="E33" s="52"/>
      <c r="F33" s="52"/>
      <c r="G33" s="53"/>
      <c r="H33" s="59"/>
      <c r="I33" s="34"/>
      <c r="J33" s="24"/>
      <c r="K33" s="34"/>
      <c r="L33" s="34"/>
      <c r="M33" s="109"/>
    </row>
    <row r="34" spans="1:13" s="1" customFormat="1" ht="14.1" customHeight="1" x14ac:dyDescent="0.3">
      <c r="A34" s="67"/>
      <c r="B34" s="76" t="s">
        <v>37</v>
      </c>
      <c r="C34" s="77"/>
      <c r="D34" s="55" t="s">
        <v>36</v>
      </c>
      <c r="E34" s="56"/>
      <c r="F34" s="56"/>
      <c r="G34" s="57"/>
      <c r="H34" s="58"/>
      <c r="I34" s="42"/>
      <c r="J34" s="47"/>
      <c r="K34" s="42"/>
      <c r="L34" s="42"/>
      <c r="M34" s="110"/>
    </row>
    <row r="35" spans="1:13" s="1" customFormat="1" ht="14.1" customHeight="1" x14ac:dyDescent="0.3">
      <c r="A35" s="74">
        <v>17</v>
      </c>
      <c r="B35" s="36" t="s">
        <v>35</v>
      </c>
      <c r="C35" s="37"/>
      <c r="D35" s="51" t="s">
        <v>34</v>
      </c>
      <c r="E35" s="52"/>
      <c r="F35" s="52"/>
      <c r="G35" s="53"/>
      <c r="H35" s="34"/>
      <c r="I35" s="34"/>
      <c r="J35" s="24"/>
      <c r="K35" s="34"/>
      <c r="L35" s="34"/>
      <c r="M35" s="101"/>
    </row>
    <row r="36" spans="1:13" s="1" customFormat="1" ht="14.1" customHeight="1" x14ac:dyDescent="0.3">
      <c r="A36" s="67"/>
      <c r="B36" s="76" t="s">
        <v>33</v>
      </c>
      <c r="C36" s="77"/>
      <c r="D36" s="55" t="s">
        <v>60</v>
      </c>
      <c r="E36" s="56"/>
      <c r="F36" s="56"/>
      <c r="G36" s="57"/>
      <c r="H36" s="42"/>
      <c r="I36" s="42"/>
      <c r="J36" s="47"/>
      <c r="K36" s="42"/>
      <c r="L36" s="42"/>
      <c r="M36" s="107"/>
    </row>
    <row r="37" spans="1:13" s="1" customFormat="1" ht="14.1" customHeight="1" x14ac:dyDescent="0.3">
      <c r="A37" s="74">
        <v>18</v>
      </c>
      <c r="B37" s="36" t="s">
        <v>52</v>
      </c>
      <c r="C37" s="37"/>
      <c r="D37" s="51" t="s">
        <v>11</v>
      </c>
      <c r="E37" s="52"/>
      <c r="F37" s="52"/>
      <c r="G37" s="53"/>
      <c r="H37" s="34">
        <f>SUM(I37)-0.5</f>
        <v>6</v>
      </c>
      <c r="I37" s="34">
        <f>SUM(J37)-0.5</f>
        <v>6.5</v>
      </c>
      <c r="J37" s="8">
        <v>7</v>
      </c>
      <c r="K37" s="10">
        <f>SUM(J37)+0.5</f>
        <v>7.5</v>
      </c>
      <c r="L37" s="10">
        <f>SUM(K37)+0.5</f>
        <v>8</v>
      </c>
      <c r="M37" s="108">
        <f>SUM(L37)+0.5</f>
        <v>8.5</v>
      </c>
    </row>
    <row r="38" spans="1:13" s="1" customFormat="1" ht="14.1" customHeight="1" x14ac:dyDescent="0.3">
      <c r="A38" s="67"/>
      <c r="B38" s="76" t="s">
        <v>17</v>
      </c>
      <c r="C38" s="77"/>
      <c r="D38" s="55" t="s">
        <v>51</v>
      </c>
      <c r="E38" s="56"/>
      <c r="F38" s="56"/>
      <c r="G38" s="57"/>
      <c r="H38" s="42"/>
      <c r="I38" s="42"/>
      <c r="J38" s="8"/>
      <c r="K38" s="10"/>
      <c r="L38" s="10"/>
      <c r="M38" s="108"/>
    </row>
    <row r="39" spans="1:13" s="1" customFormat="1" ht="14.1" customHeight="1" x14ac:dyDescent="0.3">
      <c r="A39" s="74">
        <v>19</v>
      </c>
      <c r="B39" s="36" t="s">
        <v>50</v>
      </c>
      <c r="C39" s="37"/>
      <c r="D39" s="51" t="s">
        <v>12</v>
      </c>
      <c r="E39" s="52"/>
      <c r="F39" s="52"/>
      <c r="G39" s="53"/>
      <c r="H39" s="34">
        <f>SUM(I39)-0.3</f>
        <v>4.4000000000000004</v>
      </c>
      <c r="I39" s="34">
        <f>SUM(J39)-0.3</f>
        <v>4.7</v>
      </c>
      <c r="J39" s="24">
        <v>5</v>
      </c>
      <c r="K39" s="34">
        <f>SUM(J39)+0.3</f>
        <v>5.3</v>
      </c>
      <c r="L39" s="34">
        <f>SUM(K39)+0.3</f>
        <v>5.6</v>
      </c>
      <c r="M39" s="101">
        <f>SUM(L39)+0.3</f>
        <v>5.8999999999999995</v>
      </c>
    </row>
    <row r="40" spans="1:13" s="1" customFormat="1" ht="14.1" customHeight="1" x14ac:dyDescent="0.3">
      <c r="A40" s="67"/>
      <c r="B40" s="76" t="s">
        <v>16</v>
      </c>
      <c r="C40" s="77"/>
      <c r="D40" s="55" t="s">
        <v>49</v>
      </c>
      <c r="E40" s="56"/>
      <c r="F40" s="56"/>
      <c r="G40" s="57"/>
      <c r="H40" s="42"/>
      <c r="I40" s="42"/>
      <c r="J40" s="47"/>
      <c r="K40" s="42"/>
      <c r="L40" s="42"/>
      <c r="M40" s="107"/>
    </row>
    <row r="41" spans="1:13" s="1" customFormat="1" ht="14.1" customHeight="1" x14ac:dyDescent="0.3">
      <c r="A41" s="74">
        <v>20</v>
      </c>
      <c r="B41" s="36" t="s">
        <v>48</v>
      </c>
      <c r="C41" s="37"/>
      <c r="D41" s="60"/>
      <c r="E41" s="60"/>
      <c r="F41" s="60"/>
      <c r="G41" s="60"/>
      <c r="H41" s="34">
        <f>SUM(I41)-0.5</f>
        <v>8.5</v>
      </c>
      <c r="I41" s="34">
        <f>SUM(J41)-0.5</f>
        <v>9</v>
      </c>
      <c r="J41" s="24">
        <v>9.5</v>
      </c>
      <c r="K41" s="34">
        <f>SUM(J41)+0.5</f>
        <v>10</v>
      </c>
      <c r="L41" s="34">
        <f>SUM(K41)+0.5</f>
        <v>10.5</v>
      </c>
      <c r="M41" s="101">
        <f>SUM(L41)+0.5</f>
        <v>11</v>
      </c>
    </row>
    <row r="42" spans="1:13" s="1" customFormat="1" ht="14.1" customHeight="1" x14ac:dyDescent="0.3">
      <c r="A42" s="67"/>
      <c r="B42" s="19" t="s">
        <v>47</v>
      </c>
      <c r="C42" s="20"/>
      <c r="D42" s="21" t="s">
        <v>78</v>
      </c>
      <c r="E42" s="22"/>
      <c r="F42" s="22"/>
      <c r="G42" s="23"/>
      <c r="H42" s="42"/>
      <c r="I42" s="42"/>
      <c r="J42" s="47"/>
      <c r="K42" s="42"/>
      <c r="L42" s="42"/>
      <c r="M42" s="107"/>
    </row>
    <row r="43" spans="1:13" s="1" customFormat="1" ht="14.1" customHeight="1" x14ac:dyDescent="0.3">
      <c r="A43" s="74">
        <v>21</v>
      </c>
      <c r="B43" s="36" t="s">
        <v>46</v>
      </c>
      <c r="C43" s="37"/>
      <c r="D43" s="60"/>
      <c r="E43" s="60"/>
      <c r="F43" s="60"/>
      <c r="G43" s="60"/>
      <c r="H43" s="34">
        <f>SUM(I43)-0.5</f>
        <v>8.5</v>
      </c>
      <c r="I43" s="34">
        <f>SUM(J43)-0.5</f>
        <v>9</v>
      </c>
      <c r="J43" s="24">
        <v>9.5</v>
      </c>
      <c r="K43" s="34">
        <f>SUM(J43)+0.5</f>
        <v>10</v>
      </c>
      <c r="L43" s="34">
        <f>SUM(K43)+0.5</f>
        <v>10.5</v>
      </c>
      <c r="M43" s="101">
        <f>SUM(L43)+0.5</f>
        <v>11</v>
      </c>
    </row>
    <row r="44" spans="1:13" s="1" customFormat="1" ht="14.1" customHeight="1" x14ac:dyDescent="0.3">
      <c r="A44" s="74"/>
      <c r="B44" s="105" t="s">
        <v>45</v>
      </c>
      <c r="C44" s="105"/>
      <c r="D44" s="43" t="s">
        <v>71</v>
      </c>
      <c r="E44" s="44"/>
      <c r="F44" s="44"/>
      <c r="G44" s="45"/>
      <c r="H44" s="50"/>
      <c r="I44" s="50"/>
      <c r="J44" s="75"/>
      <c r="K44" s="50"/>
      <c r="L44" s="50"/>
      <c r="M44" s="104"/>
    </row>
    <row r="45" spans="1:13" s="1" customFormat="1" ht="14.1" customHeight="1" x14ac:dyDescent="0.3">
      <c r="A45" s="106">
        <v>22</v>
      </c>
      <c r="B45" s="36"/>
      <c r="C45" s="37"/>
      <c r="D45" s="60"/>
      <c r="E45" s="60"/>
      <c r="F45" s="60"/>
      <c r="G45" s="60"/>
      <c r="H45" s="59"/>
      <c r="I45" s="34"/>
      <c r="J45" s="24"/>
      <c r="K45" s="34"/>
      <c r="L45" s="34"/>
      <c r="M45" s="101"/>
    </row>
    <row r="46" spans="1:13" ht="14.1" customHeight="1" x14ac:dyDescent="0.3">
      <c r="A46" s="67"/>
      <c r="B46" s="19"/>
      <c r="C46" s="20"/>
      <c r="D46" s="21"/>
      <c r="E46" s="22"/>
      <c r="F46" s="22"/>
      <c r="G46" s="23"/>
      <c r="H46" s="58"/>
      <c r="I46" s="42"/>
      <c r="J46" s="47"/>
      <c r="K46" s="42"/>
      <c r="L46" s="42"/>
      <c r="M46" s="107"/>
    </row>
    <row r="47" spans="1:13" ht="14.1" customHeight="1" x14ac:dyDescent="0.3">
      <c r="A47" s="74">
        <v>23</v>
      </c>
      <c r="B47" s="36"/>
      <c r="C47" s="37"/>
      <c r="D47" s="60"/>
      <c r="E47" s="60"/>
      <c r="F47" s="60"/>
      <c r="G47" s="60"/>
      <c r="H47" s="34"/>
      <c r="I47" s="34"/>
      <c r="J47" s="24"/>
      <c r="K47" s="34"/>
      <c r="L47" s="34"/>
      <c r="M47" s="101"/>
    </row>
    <row r="48" spans="1:13" ht="14.1" customHeight="1" x14ac:dyDescent="0.3">
      <c r="A48" s="67"/>
      <c r="B48" s="105"/>
      <c r="C48" s="105"/>
      <c r="D48" s="43"/>
      <c r="E48" s="44"/>
      <c r="F48" s="44"/>
      <c r="G48" s="45"/>
      <c r="H48" s="50"/>
      <c r="I48" s="50"/>
      <c r="J48" s="75"/>
      <c r="K48" s="50"/>
      <c r="L48" s="50"/>
      <c r="M48" s="104"/>
    </row>
    <row r="49" spans="1:13" ht="14.1" customHeight="1" x14ac:dyDescent="0.3">
      <c r="A49" s="74">
        <v>24</v>
      </c>
      <c r="B49" s="36"/>
      <c r="C49" s="37"/>
      <c r="D49" s="60"/>
      <c r="E49" s="60"/>
      <c r="F49" s="60"/>
      <c r="G49" s="60"/>
      <c r="H49" s="34"/>
      <c r="I49" s="34"/>
      <c r="J49" s="24"/>
      <c r="K49" s="34"/>
      <c r="L49" s="34"/>
      <c r="M49" s="101"/>
    </row>
    <row r="50" spans="1:13" ht="14.1" customHeight="1" x14ac:dyDescent="0.3">
      <c r="A50" s="74"/>
      <c r="B50" s="105"/>
      <c r="C50" s="105"/>
      <c r="D50" s="43"/>
      <c r="E50" s="44"/>
      <c r="F50" s="44"/>
      <c r="G50" s="45"/>
      <c r="H50" s="50"/>
      <c r="I50" s="50"/>
      <c r="J50" s="75"/>
      <c r="K50" s="50"/>
      <c r="L50" s="50"/>
      <c r="M50" s="104"/>
    </row>
    <row r="51" spans="1:13" ht="14.1" customHeight="1" x14ac:dyDescent="0.3">
      <c r="A51" s="106">
        <v>25</v>
      </c>
      <c r="B51" s="36"/>
      <c r="C51" s="37"/>
      <c r="D51" s="60"/>
      <c r="E51" s="60"/>
      <c r="F51" s="60"/>
      <c r="G51" s="60"/>
      <c r="H51" s="34"/>
      <c r="I51" s="34"/>
      <c r="J51" s="24"/>
      <c r="K51" s="34"/>
      <c r="L51" s="34"/>
      <c r="M51" s="101"/>
    </row>
    <row r="52" spans="1:13" ht="13.5" customHeight="1" thickBot="1" x14ac:dyDescent="0.35">
      <c r="A52" s="96"/>
      <c r="B52" s="103"/>
      <c r="C52" s="103"/>
      <c r="D52" s="16"/>
      <c r="E52" s="17"/>
      <c r="F52" s="17"/>
      <c r="G52" s="18"/>
      <c r="H52" s="35"/>
      <c r="I52" s="35"/>
      <c r="J52" s="98"/>
      <c r="K52" s="35"/>
      <c r="L52" s="35"/>
      <c r="M52" s="102"/>
    </row>
  </sheetData>
  <mergeCells count="27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</mergeCells>
  <phoneticPr fontId="1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B478-454C-4C5D-A59A-A374A1C43FAC}">
  <sheetPr>
    <tabColor theme="5"/>
    <pageSetUpPr fitToPage="1"/>
  </sheetPr>
  <dimension ref="A1:M52"/>
  <sheetViews>
    <sheetView zoomScale="110" zoomScaleNormal="110" workbookViewId="0">
      <selection activeCell="P43" sqref="P43:P4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61" t="s">
        <v>149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16.5" customHeight="1" thickBot="1" x14ac:dyDescent="0.35">
      <c r="A2" s="2" t="s">
        <v>22</v>
      </c>
      <c r="B2" s="64" t="s">
        <v>23</v>
      </c>
      <c r="C2" s="64"/>
      <c r="D2" s="64" t="s">
        <v>24</v>
      </c>
      <c r="E2" s="64"/>
      <c r="F2" s="64"/>
      <c r="G2" s="64"/>
      <c r="H2" s="3" t="s">
        <v>25</v>
      </c>
      <c r="I2" s="4" t="s">
        <v>26</v>
      </c>
      <c r="J2" s="4" t="s">
        <v>27</v>
      </c>
      <c r="K2" s="4"/>
      <c r="L2" s="4"/>
      <c r="M2" s="4"/>
    </row>
    <row r="3" spans="1:13" s="1" customFormat="1" ht="14.1" customHeight="1" x14ac:dyDescent="0.3">
      <c r="A3" s="66">
        <v>1</v>
      </c>
      <c r="B3" s="68" t="s">
        <v>57</v>
      </c>
      <c r="C3" s="69"/>
      <c r="D3" s="70" t="s">
        <v>29</v>
      </c>
      <c r="E3" s="71"/>
      <c r="F3" s="71"/>
      <c r="G3" s="72"/>
      <c r="H3" s="73">
        <v>64</v>
      </c>
      <c r="I3" s="111">
        <f>SUM(H3)+2.5</f>
        <v>66.5</v>
      </c>
      <c r="J3" s="111">
        <f>SUM(I3)+2.5</f>
        <v>69</v>
      </c>
      <c r="K3" s="111"/>
      <c r="L3" s="111"/>
      <c r="M3" s="112"/>
    </row>
    <row r="4" spans="1:13" s="1" customFormat="1" ht="14.1" customHeight="1" x14ac:dyDescent="0.3">
      <c r="A4" s="67"/>
      <c r="B4" s="76" t="s">
        <v>32</v>
      </c>
      <c r="C4" s="77"/>
      <c r="D4" s="55" t="s">
        <v>30</v>
      </c>
      <c r="E4" s="56"/>
      <c r="F4" s="56"/>
      <c r="G4" s="57"/>
      <c r="H4" s="47"/>
      <c r="I4" s="42"/>
      <c r="J4" s="42"/>
      <c r="K4" s="42"/>
      <c r="L4" s="42"/>
      <c r="M4" s="107"/>
    </row>
    <row r="5" spans="1:13" s="1" customFormat="1" ht="14.1" customHeight="1" x14ac:dyDescent="0.3">
      <c r="A5" s="74">
        <v>2</v>
      </c>
      <c r="B5" s="27" t="s">
        <v>64</v>
      </c>
      <c r="C5" s="28"/>
      <c r="D5" s="43"/>
      <c r="E5" s="44"/>
      <c r="F5" s="44"/>
      <c r="G5" s="45"/>
      <c r="H5" s="75"/>
      <c r="I5" s="50"/>
      <c r="J5" s="50"/>
      <c r="K5" s="50"/>
      <c r="L5" s="50"/>
      <c r="M5" s="104"/>
    </row>
    <row r="6" spans="1:13" s="1" customFormat="1" ht="14.1" customHeight="1" x14ac:dyDescent="0.3">
      <c r="A6" s="67"/>
      <c r="B6" s="76" t="s">
        <v>63</v>
      </c>
      <c r="C6" s="77"/>
      <c r="D6" s="55"/>
      <c r="E6" s="56"/>
      <c r="F6" s="56"/>
      <c r="G6" s="57"/>
      <c r="H6" s="47"/>
      <c r="I6" s="42"/>
      <c r="J6" s="42"/>
      <c r="K6" s="42"/>
      <c r="L6" s="42"/>
      <c r="M6" s="107"/>
    </row>
    <row r="7" spans="1:13" s="1" customFormat="1" ht="14.1" customHeight="1" x14ac:dyDescent="0.3">
      <c r="A7" s="74">
        <v>3</v>
      </c>
      <c r="B7" s="27" t="s">
        <v>56</v>
      </c>
      <c r="C7" s="28"/>
      <c r="D7" s="43"/>
      <c r="E7" s="44"/>
      <c r="F7" s="44"/>
      <c r="G7" s="45"/>
      <c r="H7" s="75"/>
      <c r="I7" s="50"/>
      <c r="J7" s="50"/>
      <c r="K7" s="50"/>
      <c r="L7" s="50"/>
      <c r="M7" s="104"/>
    </row>
    <row r="8" spans="1:13" s="1" customFormat="1" ht="14.1" customHeight="1" x14ac:dyDescent="0.3">
      <c r="A8" s="67"/>
      <c r="B8" s="76" t="s">
        <v>55</v>
      </c>
      <c r="C8" s="77"/>
      <c r="D8" s="55"/>
      <c r="E8" s="56"/>
      <c r="F8" s="56"/>
      <c r="G8" s="57"/>
      <c r="H8" s="47"/>
      <c r="I8" s="42"/>
      <c r="J8" s="42"/>
      <c r="K8" s="42"/>
      <c r="L8" s="42"/>
      <c r="M8" s="107"/>
    </row>
    <row r="9" spans="1:13" s="1" customFormat="1" ht="14.1" customHeight="1" x14ac:dyDescent="0.3">
      <c r="A9" s="74">
        <v>4</v>
      </c>
      <c r="B9" s="36" t="s">
        <v>62</v>
      </c>
      <c r="C9" s="37"/>
      <c r="D9" s="81"/>
      <c r="E9" s="82"/>
      <c r="F9" s="82"/>
      <c r="G9" s="83"/>
      <c r="H9" s="75"/>
      <c r="I9" s="50"/>
      <c r="J9" s="50"/>
      <c r="K9" s="50"/>
      <c r="L9" s="50"/>
      <c r="M9" s="104"/>
    </row>
    <row r="10" spans="1:13" s="1" customFormat="1" ht="14.1" customHeight="1" x14ac:dyDescent="0.3">
      <c r="A10" s="67"/>
      <c r="B10" s="76" t="s">
        <v>61</v>
      </c>
      <c r="C10" s="77"/>
      <c r="D10" s="84"/>
      <c r="E10" s="85"/>
      <c r="F10" s="85"/>
      <c r="G10" s="86"/>
      <c r="H10" s="47"/>
      <c r="I10" s="42"/>
      <c r="J10" s="42"/>
      <c r="K10" s="42"/>
      <c r="L10" s="42"/>
      <c r="M10" s="107"/>
    </row>
    <row r="11" spans="1:13" s="1" customFormat="1" ht="14.1" customHeight="1" x14ac:dyDescent="0.3">
      <c r="A11" s="74">
        <v>5</v>
      </c>
      <c r="B11" s="36" t="s">
        <v>58</v>
      </c>
      <c r="C11" s="37"/>
      <c r="D11" s="43"/>
      <c r="E11" s="44"/>
      <c r="F11" s="44"/>
      <c r="G11" s="45"/>
      <c r="H11" s="75">
        <v>93.7</v>
      </c>
      <c r="I11" s="50">
        <f>SUM(H11)+4.5</f>
        <v>98.2</v>
      </c>
      <c r="J11" s="50">
        <f>SUM(I11)+4.5</f>
        <v>102.7</v>
      </c>
      <c r="K11" s="50"/>
      <c r="L11" s="50"/>
      <c r="M11" s="104"/>
    </row>
    <row r="12" spans="1:13" s="1" customFormat="1" ht="14.1" customHeight="1" x14ac:dyDescent="0.3">
      <c r="A12" s="67"/>
      <c r="B12" s="76" t="s">
        <v>59</v>
      </c>
      <c r="C12" s="77"/>
      <c r="D12" s="55"/>
      <c r="E12" s="56"/>
      <c r="F12" s="56"/>
      <c r="G12" s="57"/>
      <c r="H12" s="47"/>
      <c r="I12" s="42"/>
      <c r="J12" s="42"/>
      <c r="K12" s="42"/>
      <c r="L12" s="42"/>
      <c r="M12" s="107"/>
    </row>
    <row r="13" spans="1:13" s="1" customFormat="1" ht="14.1" customHeight="1" x14ac:dyDescent="0.3">
      <c r="A13" s="74">
        <v>6</v>
      </c>
      <c r="B13" s="36" t="s">
        <v>1</v>
      </c>
      <c r="C13" s="37"/>
      <c r="D13" s="51" t="s">
        <v>150</v>
      </c>
      <c r="E13" s="52"/>
      <c r="F13" s="52"/>
      <c r="G13" s="53"/>
      <c r="H13" s="24">
        <v>121.5</v>
      </c>
      <c r="I13" s="34">
        <f>SUM(H13)+5</f>
        <v>126.5</v>
      </c>
      <c r="J13" s="34">
        <f>SUM(I13)+5</f>
        <v>131.5</v>
      </c>
      <c r="K13" s="34"/>
      <c r="L13" s="34"/>
      <c r="M13" s="101"/>
    </row>
    <row r="14" spans="1:13" s="1" customFormat="1" ht="14.1" customHeight="1" x14ac:dyDescent="0.3">
      <c r="A14" s="67"/>
      <c r="B14" s="76" t="s">
        <v>13</v>
      </c>
      <c r="C14" s="77"/>
      <c r="D14" s="55" t="s">
        <v>44</v>
      </c>
      <c r="E14" s="56"/>
      <c r="F14" s="56"/>
      <c r="G14" s="57"/>
      <c r="H14" s="47"/>
      <c r="I14" s="42"/>
      <c r="J14" s="42"/>
      <c r="K14" s="42"/>
      <c r="L14" s="42"/>
      <c r="M14" s="107"/>
    </row>
    <row r="15" spans="1:13" s="1" customFormat="1" ht="14.1" customHeight="1" x14ac:dyDescent="0.3">
      <c r="A15" s="74">
        <v>7</v>
      </c>
      <c r="B15" s="36" t="s">
        <v>54</v>
      </c>
      <c r="C15" s="37"/>
      <c r="D15" s="51"/>
      <c r="E15" s="52"/>
      <c r="F15" s="52"/>
      <c r="G15" s="53"/>
      <c r="H15" s="24">
        <v>19</v>
      </c>
      <c r="I15" s="34">
        <f>SUM(H15)+0.7</f>
        <v>19.7</v>
      </c>
      <c r="J15" s="34">
        <f>SUM(I15)+0.7</f>
        <v>20.399999999999999</v>
      </c>
      <c r="K15" s="34"/>
      <c r="L15" s="59"/>
      <c r="M15" s="109"/>
    </row>
    <row r="16" spans="1:13" s="1" customFormat="1" ht="14.1" customHeight="1" x14ac:dyDescent="0.3">
      <c r="A16" s="67"/>
      <c r="B16" s="76" t="s">
        <v>53</v>
      </c>
      <c r="C16" s="77"/>
      <c r="D16" s="87" t="s">
        <v>151</v>
      </c>
      <c r="E16" s="88"/>
      <c r="F16" s="88"/>
      <c r="G16" s="89"/>
      <c r="H16" s="47"/>
      <c r="I16" s="42"/>
      <c r="J16" s="42"/>
      <c r="K16" s="42"/>
      <c r="L16" s="58"/>
      <c r="M16" s="110"/>
    </row>
    <row r="17" spans="1:13" s="1" customFormat="1" ht="14.1" customHeight="1" x14ac:dyDescent="0.3">
      <c r="A17" s="74">
        <v>8</v>
      </c>
      <c r="B17" s="36" t="s">
        <v>65</v>
      </c>
      <c r="C17" s="37"/>
      <c r="D17" s="51"/>
      <c r="E17" s="52"/>
      <c r="F17" s="52"/>
      <c r="G17" s="53"/>
      <c r="H17" s="24"/>
      <c r="I17" s="34"/>
      <c r="J17" s="34"/>
      <c r="K17" s="34"/>
      <c r="L17" s="59"/>
      <c r="M17" s="109"/>
    </row>
    <row r="18" spans="1:13" s="1" customFormat="1" ht="14.1" customHeight="1" x14ac:dyDescent="0.3">
      <c r="A18" s="67"/>
      <c r="B18" s="76" t="s">
        <v>66</v>
      </c>
      <c r="C18" s="77"/>
      <c r="D18" s="87" t="s">
        <v>67</v>
      </c>
      <c r="E18" s="88"/>
      <c r="F18" s="88"/>
      <c r="G18" s="89"/>
      <c r="H18" s="47"/>
      <c r="I18" s="42"/>
      <c r="J18" s="42"/>
      <c r="K18" s="42"/>
      <c r="L18" s="58"/>
      <c r="M18" s="110"/>
    </row>
    <row r="19" spans="1:13" s="1" customFormat="1" ht="14.1" customHeight="1" x14ac:dyDescent="0.3">
      <c r="A19" s="74">
        <v>9</v>
      </c>
      <c r="B19" s="36" t="s">
        <v>0</v>
      </c>
      <c r="C19" s="37"/>
      <c r="D19" s="51" t="s">
        <v>31</v>
      </c>
      <c r="E19" s="52"/>
      <c r="F19" s="52"/>
      <c r="G19" s="53"/>
      <c r="H19" s="24">
        <v>92.6</v>
      </c>
      <c r="I19" s="34">
        <f>SUM(H19)+4</f>
        <v>96.6</v>
      </c>
      <c r="J19" s="34">
        <f>SUM(I19)+4</f>
        <v>100.6</v>
      </c>
      <c r="K19" s="34"/>
      <c r="L19" s="34"/>
      <c r="M19" s="101"/>
    </row>
    <row r="20" spans="1:13" s="1" customFormat="1" ht="14.1" customHeight="1" x14ac:dyDescent="0.3">
      <c r="A20" s="67"/>
      <c r="B20" s="76" t="s">
        <v>14</v>
      </c>
      <c r="C20" s="77"/>
      <c r="D20" s="55" t="s">
        <v>43</v>
      </c>
      <c r="E20" s="56"/>
      <c r="F20" s="56"/>
      <c r="G20" s="57"/>
      <c r="H20" s="47"/>
      <c r="I20" s="42"/>
      <c r="J20" s="42"/>
      <c r="K20" s="42"/>
      <c r="L20" s="42"/>
      <c r="M20" s="107"/>
    </row>
    <row r="21" spans="1:13" s="1" customFormat="1" ht="14.1" customHeight="1" x14ac:dyDescent="0.3">
      <c r="A21" s="74">
        <v>10</v>
      </c>
      <c r="B21" s="36" t="s">
        <v>3</v>
      </c>
      <c r="C21" s="37"/>
      <c r="D21" s="51" t="s">
        <v>4</v>
      </c>
      <c r="E21" s="52"/>
      <c r="F21" s="52"/>
      <c r="G21" s="53"/>
      <c r="H21" s="24">
        <v>54</v>
      </c>
      <c r="I21" s="34">
        <f>SUM(H21)+2.4</f>
        <v>56.4</v>
      </c>
      <c r="J21" s="34">
        <f>SUM(I21)+2.4</f>
        <v>58.8</v>
      </c>
      <c r="K21" s="34"/>
      <c r="L21" s="34"/>
      <c r="M21" s="101"/>
    </row>
    <row r="22" spans="1:13" s="1" customFormat="1" ht="14.1" customHeight="1" x14ac:dyDescent="0.3">
      <c r="A22" s="67"/>
      <c r="B22" s="76" t="s">
        <v>15</v>
      </c>
      <c r="C22" s="77"/>
      <c r="D22" s="21" t="s">
        <v>152</v>
      </c>
      <c r="E22" s="22"/>
      <c r="F22" s="22"/>
      <c r="G22" s="23"/>
      <c r="H22" s="47"/>
      <c r="I22" s="42"/>
      <c r="J22" s="42"/>
      <c r="K22" s="42"/>
      <c r="L22" s="42"/>
      <c r="M22" s="107"/>
    </row>
    <row r="23" spans="1:13" s="1" customFormat="1" ht="14.1" customHeight="1" x14ac:dyDescent="0.3">
      <c r="A23" s="74">
        <v>11</v>
      </c>
      <c r="B23" s="36" t="s">
        <v>5</v>
      </c>
      <c r="C23" s="37"/>
      <c r="D23" s="51" t="s">
        <v>2</v>
      </c>
      <c r="E23" s="52"/>
      <c r="F23" s="52"/>
      <c r="G23" s="53"/>
      <c r="H23" s="24">
        <v>30.4</v>
      </c>
      <c r="I23" s="34">
        <f>SUM(H23)+1.1</f>
        <v>31.5</v>
      </c>
      <c r="J23" s="34">
        <f>SUM(I23)+1.1</f>
        <v>32.6</v>
      </c>
      <c r="K23" s="34"/>
      <c r="L23" s="59"/>
      <c r="M23" s="109"/>
    </row>
    <row r="24" spans="1:13" s="1" customFormat="1" ht="14.1" customHeight="1" x14ac:dyDescent="0.3">
      <c r="A24" s="67"/>
      <c r="B24" s="76" t="s">
        <v>21</v>
      </c>
      <c r="C24" s="77"/>
      <c r="D24" s="55" t="s">
        <v>41</v>
      </c>
      <c r="E24" s="56"/>
      <c r="F24" s="56"/>
      <c r="G24" s="57"/>
      <c r="H24" s="47"/>
      <c r="I24" s="42"/>
      <c r="J24" s="42"/>
      <c r="K24" s="42"/>
      <c r="L24" s="58"/>
      <c r="M24" s="110"/>
    </row>
    <row r="25" spans="1:13" s="1" customFormat="1" ht="14.1" customHeight="1" x14ac:dyDescent="0.3">
      <c r="A25" s="74">
        <v>12</v>
      </c>
      <c r="B25" s="36" t="s">
        <v>6</v>
      </c>
      <c r="C25" s="37"/>
      <c r="D25" s="51" t="s">
        <v>2</v>
      </c>
      <c r="E25" s="52"/>
      <c r="F25" s="52"/>
      <c r="G25" s="53"/>
      <c r="H25" s="24">
        <v>39.799999999999997</v>
      </c>
      <c r="I25" s="34">
        <f>SUM(H25)+1.3</f>
        <v>41.099999999999994</v>
      </c>
      <c r="J25" s="34">
        <f>SUM(I25)+1.4</f>
        <v>42.499999999999993</v>
      </c>
      <c r="K25" s="34"/>
      <c r="L25" s="59"/>
      <c r="M25" s="109"/>
    </row>
    <row r="26" spans="1:13" s="1" customFormat="1" ht="14.1" customHeight="1" x14ac:dyDescent="0.3">
      <c r="A26" s="67"/>
      <c r="B26" s="76" t="s">
        <v>20</v>
      </c>
      <c r="C26" s="77"/>
      <c r="D26" s="55" t="s">
        <v>41</v>
      </c>
      <c r="E26" s="56"/>
      <c r="F26" s="56"/>
      <c r="G26" s="57"/>
      <c r="H26" s="47"/>
      <c r="I26" s="42"/>
      <c r="J26" s="42"/>
      <c r="K26" s="42"/>
      <c r="L26" s="58"/>
      <c r="M26" s="110"/>
    </row>
    <row r="27" spans="1:13" s="1" customFormat="1" ht="14.1" customHeight="1" x14ac:dyDescent="0.3">
      <c r="A27" s="74">
        <v>13</v>
      </c>
      <c r="B27" s="36" t="s">
        <v>7</v>
      </c>
      <c r="C27" s="37"/>
      <c r="D27" s="51" t="s">
        <v>8</v>
      </c>
      <c r="E27" s="52"/>
      <c r="F27" s="52"/>
      <c r="G27" s="53"/>
      <c r="H27" s="24">
        <v>75</v>
      </c>
      <c r="I27" s="34">
        <f>SUM(H27)+3.2</f>
        <v>78.2</v>
      </c>
      <c r="J27" s="34">
        <f>SUM(I27)+3.2</f>
        <v>81.400000000000006</v>
      </c>
      <c r="K27" s="34"/>
      <c r="L27" s="34"/>
      <c r="M27" s="101"/>
    </row>
    <row r="28" spans="1:13" s="1" customFormat="1" ht="14.1" customHeight="1" x14ac:dyDescent="0.3">
      <c r="A28" s="67"/>
      <c r="B28" s="76" t="s">
        <v>19</v>
      </c>
      <c r="C28" s="77"/>
      <c r="D28" s="55" t="s">
        <v>40</v>
      </c>
      <c r="E28" s="56"/>
      <c r="F28" s="56"/>
      <c r="G28" s="57"/>
      <c r="H28" s="47"/>
      <c r="I28" s="42"/>
      <c r="J28" s="42"/>
      <c r="K28" s="42"/>
      <c r="L28" s="42"/>
      <c r="M28" s="107"/>
    </row>
    <row r="29" spans="1:13" s="1" customFormat="1" ht="14.1" customHeight="1" x14ac:dyDescent="0.3">
      <c r="A29" s="74">
        <v>14</v>
      </c>
      <c r="B29" s="36" t="s">
        <v>9</v>
      </c>
      <c r="C29" s="37"/>
      <c r="D29" s="51" t="s">
        <v>10</v>
      </c>
      <c r="E29" s="52"/>
      <c r="F29" s="52"/>
      <c r="G29" s="53"/>
      <c r="H29" s="24">
        <v>63.7</v>
      </c>
      <c r="I29" s="34">
        <f>SUM(H29)+3</f>
        <v>66.7</v>
      </c>
      <c r="J29" s="34">
        <f>SUM(I29)+3</f>
        <v>69.7</v>
      </c>
      <c r="K29" s="34"/>
      <c r="L29" s="34"/>
      <c r="M29" s="101"/>
    </row>
    <row r="30" spans="1:13" s="1" customFormat="1" ht="14.1" customHeight="1" x14ac:dyDescent="0.3">
      <c r="A30" s="67"/>
      <c r="B30" s="76" t="s">
        <v>18</v>
      </c>
      <c r="C30" s="77"/>
      <c r="D30" s="55" t="s">
        <v>39</v>
      </c>
      <c r="E30" s="56"/>
      <c r="F30" s="56"/>
      <c r="G30" s="57"/>
      <c r="H30" s="47"/>
      <c r="I30" s="42"/>
      <c r="J30" s="42"/>
      <c r="K30" s="42"/>
      <c r="L30" s="42"/>
      <c r="M30" s="107"/>
    </row>
    <row r="31" spans="1:13" s="1" customFormat="1" ht="14.1" customHeight="1" x14ac:dyDescent="0.3">
      <c r="A31" s="74">
        <v>15</v>
      </c>
      <c r="B31" s="36" t="s">
        <v>38</v>
      </c>
      <c r="C31" s="37"/>
      <c r="D31" s="51" t="s">
        <v>36</v>
      </c>
      <c r="E31" s="52"/>
      <c r="F31" s="52"/>
      <c r="G31" s="53"/>
      <c r="H31" s="24">
        <v>66.5</v>
      </c>
      <c r="I31" s="34">
        <f>SUM(H31)+2.6</f>
        <v>69.099999999999994</v>
      </c>
      <c r="J31" s="34">
        <f>SUM(I31)+2.6</f>
        <v>71.699999999999989</v>
      </c>
      <c r="K31" s="34"/>
      <c r="L31" s="34"/>
      <c r="M31" s="101"/>
    </row>
    <row r="32" spans="1:13" s="1" customFormat="1" ht="14.1" customHeight="1" x14ac:dyDescent="0.3">
      <c r="A32" s="67"/>
      <c r="B32" s="76" t="s">
        <v>37</v>
      </c>
      <c r="C32" s="77"/>
      <c r="D32" s="87" t="s">
        <v>153</v>
      </c>
      <c r="E32" s="56"/>
      <c r="F32" s="56"/>
      <c r="G32" s="57"/>
      <c r="H32" s="47"/>
      <c r="I32" s="42"/>
      <c r="J32" s="42"/>
      <c r="K32" s="42"/>
      <c r="L32" s="42"/>
      <c r="M32" s="107"/>
    </row>
    <row r="33" spans="1:13" s="1" customFormat="1" ht="14.1" customHeight="1" x14ac:dyDescent="0.3">
      <c r="A33" s="74">
        <v>16</v>
      </c>
      <c r="B33" s="36" t="s">
        <v>35</v>
      </c>
      <c r="C33" s="37"/>
      <c r="D33" s="51" t="s">
        <v>34</v>
      </c>
      <c r="E33" s="52"/>
      <c r="F33" s="52"/>
      <c r="G33" s="53"/>
      <c r="H33" s="24">
        <v>52.8</v>
      </c>
      <c r="I33" s="34">
        <f>SUM(H33)+2.1</f>
        <v>54.9</v>
      </c>
      <c r="J33" s="34">
        <f>SUM(I33)+2.1</f>
        <v>57</v>
      </c>
      <c r="K33" s="34"/>
      <c r="L33" s="34"/>
      <c r="M33" s="101"/>
    </row>
    <row r="34" spans="1:13" s="1" customFormat="1" ht="14.1" customHeight="1" x14ac:dyDescent="0.3">
      <c r="A34" s="67"/>
      <c r="B34" s="76" t="s">
        <v>33</v>
      </c>
      <c r="C34" s="77"/>
      <c r="D34" s="55" t="s">
        <v>60</v>
      </c>
      <c r="E34" s="56"/>
      <c r="F34" s="56"/>
      <c r="G34" s="57"/>
      <c r="H34" s="47"/>
      <c r="I34" s="42"/>
      <c r="J34" s="42"/>
      <c r="K34" s="42"/>
      <c r="L34" s="42"/>
      <c r="M34" s="107"/>
    </row>
    <row r="35" spans="1:13" s="1" customFormat="1" ht="14.1" customHeight="1" x14ac:dyDescent="0.3">
      <c r="A35" s="74">
        <v>17</v>
      </c>
      <c r="B35" s="36" t="s">
        <v>154</v>
      </c>
      <c r="C35" s="37"/>
      <c r="D35" s="51"/>
      <c r="E35" s="52"/>
      <c r="F35" s="52"/>
      <c r="G35" s="53"/>
      <c r="H35" s="8">
        <v>13.5</v>
      </c>
      <c r="I35" s="113">
        <f>SUM(H35)+0.5</f>
        <v>14</v>
      </c>
      <c r="J35" s="113">
        <f>SUM(I35)+0.5</f>
        <v>14.5</v>
      </c>
      <c r="K35" s="34"/>
      <c r="L35" s="34"/>
      <c r="M35" s="101"/>
    </row>
    <row r="36" spans="1:13" s="1" customFormat="1" ht="14.1" customHeight="1" x14ac:dyDescent="0.3">
      <c r="A36" s="67"/>
      <c r="B36" s="76" t="s">
        <v>131</v>
      </c>
      <c r="C36" s="77"/>
      <c r="D36" s="55"/>
      <c r="E36" s="56"/>
      <c r="F36" s="56"/>
      <c r="G36" s="57"/>
      <c r="H36" s="8"/>
      <c r="I36" s="113"/>
      <c r="J36" s="113"/>
      <c r="K36" s="42"/>
      <c r="L36" s="42"/>
      <c r="M36" s="107"/>
    </row>
    <row r="37" spans="1:13" s="1" customFormat="1" ht="14.1" customHeight="1" x14ac:dyDescent="0.3">
      <c r="A37" s="74">
        <v>18</v>
      </c>
      <c r="B37" s="36" t="s">
        <v>48</v>
      </c>
      <c r="C37" s="37"/>
      <c r="D37" s="60"/>
      <c r="E37" s="60"/>
      <c r="F37" s="60"/>
      <c r="G37" s="60"/>
      <c r="H37" s="24">
        <v>14</v>
      </c>
      <c r="I37" s="34">
        <f>SUM(H37)+0.5</f>
        <v>14.5</v>
      </c>
      <c r="J37" s="34">
        <f>SUM(I37)+0.5</f>
        <v>15</v>
      </c>
      <c r="K37" s="34"/>
      <c r="L37" s="34"/>
      <c r="M37" s="101"/>
    </row>
    <row r="38" spans="1:13" s="1" customFormat="1" ht="14.1" customHeight="1" x14ac:dyDescent="0.3">
      <c r="A38" s="67"/>
      <c r="B38" s="19" t="s">
        <v>47</v>
      </c>
      <c r="C38" s="20"/>
      <c r="D38" s="21"/>
      <c r="E38" s="22"/>
      <c r="F38" s="22"/>
      <c r="G38" s="23"/>
      <c r="H38" s="47"/>
      <c r="I38" s="42"/>
      <c r="J38" s="42"/>
      <c r="K38" s="42"/>
      <c r="L38" s="42"/>
      <c r="M38" s="107"/>
    </row>
    <row r="39" spans="1:13" s="1" customFormat="1" ht="14.1" customHeight="1" x14ac:dyDescent="0.3">
      <c r="A39" s="74">
        <v>19</v>
      </c>
      <c r="B39" s="36" t="s">
        <v>46</v>
      </c>
      <c r="C39" s="37"/>
      <c r="D39" s="60"/>
      <c r="E39" s="60"/>
      <c r="F39" s="60"/>
      <c r="G39" s="60"/>
      <c r="H39" s="24">
        <v>14.5</v>
      </c>
      <c r="I39" s="34">
        <f>SUM(H39)+0.5</f>
        <v>15</v>
      </c>
      <c r="J39" s="34">
        <f>SUM(I39)+0.5</f>
        <v>15.5</v>
      </c>
      <c r="K39" s="34"/>
      <c r="L39" s="34"/>
      <c r="M39" s="101"/>
    </row>
    <row r="40" spans="1:13" s="1" customFormat="1" ht="14.1" customHeight="1" x14ac:dyDescent="0.3">
      <c r="A40" s="67"/>
      <c r="B40" s="58" t="s">
        <v>45</v>
      </c>
      <c r="C40" s="58"/>
      <c r="D40" s="21"/>
      <c r="E40" s="22"/>
      <c r="F40" s="22"/>
      <c r="G40" s="23"/>
      <c r="H40" s="47"/>
      <c r="I40" s="42"/>
      <c r="J40" s="42"/>
      <c r="K40" s="42"/>
      <c r="L40" s="42"/>
      <c r="M40" s="107"/>
    </row>
    <row r="41" spans="1:13" s="1" customFormat="1" ht="14.1" customHeight="1" x14ac:dyDescent="0.3">
      <c r="A41" s="74">
        <v>20</v>
      </c>
      <c r="B41" s="27" t="s">
        <v>155</v>
      </c>
      <c r="C41" s="28"/>
      <c r="D41" s="29"/>
      <c r="E41" s="30"/>
      <c r="F41" s="30"/>
      <c r="G41" s="31"/>
      <c r="H41" s="47">
        <v>100</v>
      </c>
      <c r="I41" s="50">
        <f>SUM(H41)+2.5</f>
        <v>102.5</v>
      </c>
      <c r="J41" s="50">
        <f>SUM(I41)+2.5</f>
        <v>105</v>
      </c>
      <c r="K41" s="50"/>
      <c r="L41" s="50"/>
      <c r="M41" s="104"/>
    </row>
    <row r="42" spans="1:13" s="1" customFormat="1" ht="14.1" customHeight="1" x14ac:dyDescent="0.3">
      <c r="A42" s="67"/>
      <c r="B42" s="27" t="s">
        <v>156</v>
      </c>
      <c r="C42" s="28"/>
      <c r="D42" s="43" t="s">
        <v>157</v>
      </c>
      <c r="E42" s="44"/>
      <c r="F42" s="44"/>
      <c r="G42" s="45"/>
      <c r="H42" s="24"/>
      <c r="I42" s="50"/>
      <c r="J42" s="50"/>
      <c r="K42" s="50"/>
      <c r="L42" s="50"/>
      <c r="M42" s="104"/>
    </row>
    <row r="43" spans="1:13" s="1" customFormat="1" ht="14.1" customHeight="1" x14ac:dyDescent="0.3">
      <c r="A43" s="74">
        <v>21</v>
      </c>
      <c r="B43" s="36" t="s">
        <v>135</v>
      </c>
      <c r="C43" s="37"/>
      <c r="D43" s="38"/>
      <c r="E43" s="39"/>
      <c r="F43" s="39"/>
      <c r="G43" s="40"/>
      <c r="H43" s="8">
        <v>1.5</v>
      </c>
      <c r="I43" s="34">
        <f>SUM(H43)</f>
        <v>1.5</v>
      </c>
      <c r="J43" s="34">
        <f>SUM(I43)</f>
        <v>1.5</v>
      </c>
      <c r="K43" s="34"/>
      <c r="L43" s="34"/>
      <c r="M43" s="101"/>
    </row>
    <row r="44" spans="1:13" s="1" customFormat="1" ht="14.1" customHeight="1" x14ac:dyDescent="0.3">
      <c r="A44" s="67"/>
      <c r="B44" s="27" t="s">
        <v>136</v>
      </c>
      <c r="C44" s="28"/>
      <c r="D44" s="43" t="s">
        <v>158</v>
      </c>
      <c r="E44" s="44"/>
      <c r="F44" s="44"/>
      <c r="G44" s="45"/>
      <c r="H44" s="24"/>
      <c r="I44" s="50"/>
      <c r="J44" s="50"/>
      <c r="K44" s="50"/>
      <c r="L44" s="50"/>
      <c r="M44" s="104"/>
    </row>
    <row r="45" spans="1:13" s="1" customFormat="1" ht="14.1" customHeight="1" x14ac:dyDescent="0.3">
      <c r="A45" s="74">
        <v>22</v>
      </c>
      <c r="B45" s="36"/>
      <c r="C45" s="37"/>
      <c r="D45" s="38"/>
      <c r="E45" s="39"/>
      <c r="F45" s="39"/>
      <c r="G45" s="40"/>
      <c r="H45" s="8"/>
      <c r="I45" s="34"/>
      <c r="J45" s="34"/>
      <c r="K45" s="34"/>
      <c r="L45" s="34"/>
      <c r="M45" s="101"/>
    </row>
    <row r="46" spans="1:13" ht="14.1" customHeight="1" thickBot="1" x14ac:dyDescent="0.35">
      <c r="A46" s="96"/>
      <c r="B46" s="14"/>
      <c r="C46" s="15"/>
      <c r="D46" s="16"/>
      <c r="E46" s="17"/>
      <c r="F46" s="17"/>
      <c r="G46" s="18"/>
      <c r="H46" s="9"/>
      <c r="I46" s="35"/>
      <c r="J46" s="35"/>
      <c r="K46" s="35"/>
      <c r="L46" s="35"/>
      <c r="M46" s="102"/>
    </row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3.5" customHeight="1" x14ac:dyDescent="0.3"/>
  </sheetData>
  <mergeCells count="24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</mergeCells>
  <phoneticPr fontId="1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WOU63</vt:lpstr>
      <vt:lpstr>PT63</vt:lpstr>
      <vt:lpstr>PT69(완사입)</vt:lpstr>
      <vt:lpstr>GPT04</vt:lpstr>
      <vt:lpstr>'GPT04'!Print_Area</vt:lpstr>
      <vt:lpstr>'PT63'!Print_Area</vt:lpstr>
      <vt:lpstr>'PT69(완사입)'!Print_Area</vt:lpstr>
      <vt:lpstr>'WOU63'!Print_Area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2026-08-19T05:13:54Z</cp:lastPrinted>
  <dcterms:created xsi:type="dcterms:W3CDTF">2018-05-14T06:17:18Z</dcterms:created>
  <dcterms:modified xsi:type="dcterms:W3CDTF">2026-08-19T05:13:56Z</dcterms:modified>
</cp:coreProperties>
</file>