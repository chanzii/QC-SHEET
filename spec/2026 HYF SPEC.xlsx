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본공장풀패턴\2026\2026가을잠옷풀패턴\"/>
    </mc:Choice>
  </mc:AlternateContent>
  <xr:revisionPtr revIDLastSave="0" documentId="13_ncr:1_{3A3CC79C-2EF8-4F3E-A115-4ABDF5BC8E8E}" xr6:coauthVersionLast="47" xr6:coauthVersionMax="47" xr10:uidLastSave="{00000000-0000-0000-0000-000000000000}"/>
  <bookViews>
    <workbookView xWindow="35295" yWindow="1005" windowWidth="19620" windowHeight="14145" tabRatio="778" xr2:uid="{00000000-000D-0000-FFFF-FFFF00000000}"/>
  </bookViews>
  <sheets>
    <sheet name="FSL02" sheetId="1176" r:id="rId1"/>
    <sheet name="FSL03" sheetId="1177" r:id="rId2"/>
  </sheets>
  <definedNames>
    <definedName name="_xlnm.Print_Area" localSheetId="0">'FSL02'!$A$1:$M$58</definedName>
    <definedName name="_xlnm.Print_Area" localSheetId="1">'FSL03'!$A$1:$M$34</definedName>
  </definedNames>
  <calcPr calcId="191029"/>
</workbook>
</file>

<file path=xl/calcChain.xml><?xml version="1.0" encoding="utf-8"?>
<calcChain xmlns="http://schemas.openxmlformats.org/spreadsheetml/2006/main">
  <c r="I29" i="1177" l="1"/>
  <c r="H29" i="1177" s="1"/>
  <c r="K29" i="1177"/>
  <c r="L29" i="1177" s="1"/>
  <c r="M29" i="1177" s="1"/>
  <c r="K25" i="1177"/>
  <c r="L25" i="1177" s="1"/>
  <c r="M25" i="1177" s="1"/>
  <c r="I25" i="1177"/>
  <c r="H25" i="1177" s="1"/>
  <c r="K21" i="1177"/>
  <c r="L21" i="1177" s="1"/>
  <c r="M21" i="1177" s="1"/>
  <c r="I21" i="1177"/>
  <c r="H21" i="1177" s="1"/>
  <c r="K19" i="1177"/>
  <c r="L19" i="1177" s="1"/>
  <c r="M19" i="1177" s="1"/>
  <c r="I19" i="1177"/>
  <c r="H19" i="1177" s="1"/>
  <c r="K17" i="1177"/>
  <c r="L17" i="1177" s="1"/>
  <c r="M17" i="1177" s="1"/>
  <c r="I17" i="1177"/>
  <c r="H17" i="1177" s="1"/>
  <c r="K15" i="1177"/>
  <c r="L15" i="1177" s="1"/>
  <c r="M15" i="1177" s="1"/>
  <c r="I15" i="1177"/>
  <c r="H15" i="1177" s="1"/>
  <c r="K11" i="1177"/>
  <c r="L11" i="1177" s="1"/>
  <c r="M11" i="1177" s="1"/>
  <c r="I11" i="1177"/>
  <c r="H11" i="1177" s="1"/>
  <c r="K9" i="1177"/>
  <c r="L9" i="1177" s="1"/>
  <c r="M9" i="1177" s="1"/>
  <c r="I9" i="1177"/>
  <c r="H9" i="1177" s="1"/>
  <c r="K7" i="1177"/>
  <c r="L7" i="1177" s="1"/>
  <c r="M7" i="1177" s="1"/>
  <c r="I7" i="1177"/>
  <c r="H7" i="1177" s="1"/>
  <c r="K5" i="1177"/>
  <c r="L5" i="1177" s="1"/>
  <c r="M5" i="1177" s="1"/>
  <c r="I5" i="1177"/>
  <c r="H5" i="1177" s="1"/>
  <c r="K27" i="1177"/>
  <c r="L27" i="1177" s="1"/>
  <c r="M27" i="1177" s="1"/>
  <c r="I27" i="1177"/>
  <c r="H27" i="1177" s="1"/>
  <c r="K13" i="1177"/>
  <c r="L13" i="1177" s="1"/>
  <c r="M13" i="1177" s="1"/>
  <c r="I13" i="1177"/>
  <c r="H13" i="1177" s="1"/>
  <c r="K3" i="1177"/>
  <c r="L3" i="1177" s="1"/>
  <c r="M3" i="1177" s="1"/>
  <c r="I3" i="1177"/>
  <c r="H3" i="1177" s="1"/>
  <c r="K53" i="1176"/>
  <c r="L53" i="1176" s="1"/>
  <c r="M53" i="1176" s="1"/>
  <c r="I53" i="1176"/>
  <c r="H53" i="1176" s="1"/>
  <c r="H45" i="1176"/>
  <c r="K45" i="1176"/>
  <c r="L45" i="1176" s="1"/>
  <c r="M45" i="1176" s="1"/>
  <c r="I45" i="1176"/>
  <c r="K43" i="1176"/>
  <c r="L43" i="1176" s="1"/>
  <c r="M43" i="1176" s="1"/>
  <c r="I43" i="1176"/>
  <c r="H43" i="1176" s="1"/>
  <c r="I35" i="1176"/>
  <c r="H35" i="1176"/>
  <c r="K35" i="1176"/>
  <c r="L35" i="1176"/>
  <c r="M35" i="1176"/>
  <c r="K31" i="1176" l="1"/>
  <c r="L31" i="1176" s="1"/>
  <c r="M31" i="1176" s="1"/>
  <c r="I31" i="1176"/>
  <c r="H31" i="1176" s="1"/>
  <c r="K29" i="1176"/>
  <c r="L29" i="1176" s="1"/>
  <c r="M29" i="1176" s="1"/>
  <c r="I29" i="1176"/>
  <c r="H29" i="1176" s="1"/>
  <c r="K27" i="1176"/>
  <c r="L27" i="1176"/>
  <c r="M27" i="1176" s="1"/>
  <c r="I27" i="1176"/>
  <c r="H27" i="1176" s="1"/>
  <c r="K23" i="1176"/>
  <c r="L23" i="1176" s="1"/>
  <c r="M23" i="1176" s="1"/>
  <c r="I23" i="1176"/>
  <c r="H23" i="1176" s="1"/>
  <c r="K19" i="1176"/>
  <c r="L19" i="1176" s="1"/>
  <c r="M19" i="1176" s="1"/>
  <c r="I19" i="1176"/>
  <c r="H19" i="1176" s="1"/>
  <c r="K15" i="1176"/>
  <c r="L15" i="1176" s="1"/>
  <c r="M15" i="1176" s="1"/>
  <c r="I15" i="1176"/>
  <c r="H15" i="1176" s="1"/>
  <c r="K9" i="1176"/>
  <c r="L9" i="1176" s="1"/>
  <c r="M9" i="1176" s="1"/>
  <c r="I9" i="1176"/>
  <c r="H9" i="1176" s="1"/>
  <c r="I7" i="1176"/>
  <c r="H7" i="1176" s="1"/>
  <c r="K7" i="1176"/>
  <c r="L7" i="1176" s="1"/>
  <c r="M7" i="1176" s="1"/>
  <c r="K5" i="1176"/>
  <c r="L5" i="1176" s="1"/>
  <c r="M5" i="1176" s="1"/>
  <c r="I5" i="1176"/>
  <c r="H5" i="1176" s="1"/>
  <c r="K25" i="1176"/>
  <c r="L25" i="1176" s="1"/>
  <c r="M25" i="1176" s="1"/>
  <c r="I25" i="1176"/>
  <c r="H25" i="1176" s="1"/>
  <c r="K51" i="1176"/>
  <c r="L51" i="1176" s="1"/>
  <c r="M51" i="1176" s="1"/>
  <c r="I51" i="1176"/>
  <c r="H51" i="1176" s="1"/>
  <c r="K49" i="1176"/>
  <c r="L49" i="1176" s="1"/>
  <c r="M49" i="1176" s="1"/>
  <c r="I49" i="1176"/>
  <c r="H49" i="1176" s="1"/>
  <c r="K47" i="1176"/>
  <c r="L47" i="1176" s="1"/>
  <c r="M47" i="1176" s="1"/>
  <c r="I47" i="1176"/>
  <c r="H47" i="1176" s="1"/>
  <c r="K41" i="1176"/>
  <c r="L41" i="1176" s="1"/>
  <c r="M41" i="1176" s="1"/>
  <c r="I41" i="1176"/>
  <c r="H41" i="1176" s="1"/>
  <c r="K39" i="1176"/>
  <c r="L39" i="1176" s="1"/>
  <c r="M39" i="1176" s="1"/>
  <c r="I39" i="1176"/>
  <c r="H39" i="1176" s="1"/>
  <c r="K37" i="1176"/>
  <c r="L37" i="1176" s="1"/>
  <c r="M37" i="1176" s="1"/>
  <c r="I37" i="1176"/>
  <c r="H37" i="1176" s="1"/>
  <c r="K13" i="1176"/>
  <c r="L13" i="1176" s="1"/>
  <c r="M13" i="1176" s="1"/>
  <c r="I13" i="1176"/>
  <c r="H13" i="1176" s="1"/>
  <c r="K11" i="1176"/>
  <c r="L11" i="1176" s="1"/>
  <c r="M11" i="1176" s="1"/>
  <c r="I11" i="1176"/>
  <c r="H11" i="1176"/>
  <c r="K3" i="1176"/>
  <c r="L3" i="1176" s="1"/>
  <c r="M3" i="1176" s="1"/>
  <c r="I3" i="1176"/>
  <c r="H3" i="1176" s="1"/>
</calcChain>
</file>

<file path=xl/sharedStrings.xml><?xml version="1.0" encoding="utf-8"?>
<sst xmlns="http://schemas.openxmlformats.org/spreadsheetml/2006/main" count="163" uniqueCount="118">
  <si>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</si>
  <si>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</si>
  <si>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</si>
  <si>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</si>
  <si>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</si>
  <si>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</si>
  <si>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</si>
  <si>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</si>
  <si>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어깨너비</t>
  </si>
  <si>
    <t>밑단둘레(반품)</t>
  </si>
  <si>
    <t>암홀길이(직선)</t>
  </si>
  <si>
    <t>옆목너비</t>
  </si>
  <si>
    <t>앞목깊이</t>
  </si>
  <si>
    <t>소매통</t>
  </si>
  <si>
    <t>총기장(뒷목)</t>
  </si>
  <si>
    <t>목둘레</t>
  </si>
  <si>
    <t>CHEST (1/2)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</si>
  <si>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</si>
  <si>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</si>
  <si>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</si>
  <si>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</si>
  <si>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</si>
  <si>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</si>
  <si>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어깨끝점과 겨드랑이 점을 직선으로 잰 길이</t>
    <phoneticPr fontId="1" type="noConversion"/>
  </si>
  <si>
    <t>옆목점을 수평으로 잰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</si>
  <si>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</si>
  <si>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</si>
  <si>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</si>
  <si>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</si>
  <si>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</si>
  <si>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</si>
  <si>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</si>
  <si>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</si>
  <si>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t>뒤요크 기장</t>
  </si>
  <si>
    <t>암홀 겨드랑이 지점에서 소매중심의 수직 길이(둘레)</t>
    <phoneticPr fontId="1" type="noConversion"/>
  </si>
  <si>
    <t>옆목점에서 앞목중심의 수직 길이</t>
    <phoneticPr fontId="1" type="noConversion"/>
  </si>
  <si>
    <t>뒷목점에서 절개까지 직선으로 잰 길이</t>
    <phoneticPr fontId="1" type="noConversion"/>
  </si>
  <si>
    <t xml:space="preserve">FROM BACK NECK TO CUTTING LINE </t>
    <phoneticPr fontId="1" type="noConversion"/>
  </si>
  <si>
    <t>BACK YOKE LENGTH</t>
    <phoneticPr fontId="2" type="noConversion"/>
  </si>
  <si>
    <t>NECK</t>
    <phoneticPr fontId="2" type="noConversion"/>
  </si>
  <si>
    <t>앞단작길이</t>
    <phoneticPr fontId="2" type="noConversion"/>
  </si>
  <si>
    <t>FRONT PLACKET</t>
    <phoneticPr fontId="2" type="noConversion"/>
  </si>
  <si>
    <t>TOTAL LENGTH (C/B)</t>
    <phoneticPr fontId="2" type="noConversion"/>
  </si>
  <si>
    <t>FROM CENTER BACK TO BOTTOM STRIGHT</t>
    <phoneticPr fontId="2" type="noConversion"/>
  </si>
  <si>
    <t>뒷목 중심에서 밑단끝까지 직선길이</t>
    <phoneticPr fontId="1" type="noConversion"/>
  </si>
  <si>
    <t xml:space="preserve">ROUND ,@ NECK SEWING  LINE </t>
    <phoneticPr fontId="1" type="noConversion"/>
  </si>
  <si>
    <t>목라인(NECK LINE)을 따라 잰 곡선의 둘레길이</t>
    <phoneticPr fontId="1" type="noConversion"/>
  </si>
  <si>
    <t>FRONT YOKE LENGTH</t>
    <phoneticPr fontId="2" type="noConversion"/>
  </si>
  <si>
    <t>앞목점에서 절개까지 직선으로 잰 길이</t>
    <phoneticPr fontId="1" type="noConversion"/>
  </si>
  <si>
    <t>밑단프릴기장</t>
    <phoneticPr fontId="8" type="noConversion"/>
  </si>
  <si>
    <t>바지 안 쪽에서 봉제선을 따라 바지밑단 끝까지의 길이</t>
    <phoneticPr fontId="1" type="noConversion"/>
  </si>
  <si>
    <t>인심길이</t>
  </si>
  <si>
    <t xml:space="preserve">CROCH TO EDGE </t>
  </si>
  <si>
    <t>INSEAM</t>
  </si>
  <si>
    <t>인심 시작점에서 3cm 밑을 기준점으로 양쪽 수평 길이</t>
    <phoneticPr fontId="1" type="noConversion"/>
  </si>
  <si>
    <t>허벅지둘레</t>
  </si>
  <si>
    <t xml:space="preserve">FROM CROCH  3cm BELOW . WIDE STRIGHT </t>
  </si>
  <si>
    <t xml:space="preserve">TIGHT </t>
  </si>
  <si>
    <t>오비끝에서 인심 시작점까지의 길이(오비 포함)</t>
    <phoneticPr fontId="1" type="noConversion"/>
  </si>
  <si>
    <t>뒤밑위</t>
  </si>
  <si>
    <t xml:space="preserve">INCLUDE WAIST BAND TO EDGE </t>
  </si>
  <si>
    <t>BACK RISE</t>
  </si>
  <si>
    <t>앞밑위</t>
  </si>
  <si>
    <t xml:space="preserve">FRONT RISE </t>
  </si>
  <si>
    <t>와끼선을 기준으로 오비끝에서 바지 밑단 끝까지의 길이</t>
    <phoneticPr fontId="1" type="noConversion"/>
  </si>
  <si>
    <t>바지기장</t>
  </si>
  <si>
    <t xml:space="preserve">INCLUDE WAIST BAND TO EDGE </t>
    <phoneticPr fontId="1" type="noConversion"/>
  </si>
  <si>
    <t xml:space="preserve">TOTAL LENGTH </t>
  </si>
  <si>
    <t>엉덩이 위치</t>
    <phoneticPr fontId="1" type="noConversion"/>
  </si>
  <si>
    <t>HIP POINT</t>
    <phoneticPr fontId="1" type="noConversion"/>
  </si>
  <si>
    <t>앞 댕고 스테치를 기준점으로 하여 양쪽 수평선의 길이</t>
    <phoneticPr fontId="1" type="noConversion"/>
  </si>
  <si>
    <t>엉덩이둘레</t>
  </si>
  <si>
    <t xml:space="preserve">HIP </t>
  </si>
  <si>
    <t>오비를 일자 상태로 만든 후 수평으로 잰 길이</t>
    <phoneticPr fontId="1" type="noConversion"/>
  </si>
  <si>
    <t>허리완성사이즈</t>
    <phoneticPr fontId="1" type="noConversion"/>
  </si>
  <si>
    <t xml:space="preserve">FLAT,FRONT AND BACK WAIST LINE MATCH STRIGHT </t>
    <phoneticPr fontId="1" type="noConversion"/>
  </si>
  <si>
    <t>TOTAL WAIST</t>
    <phoneticPr fontId="1" type="noConversion"/>
  </si>
  <si>
    <t>소매기장</t>
  </si>
  <si>
    <t xml:space="preserve">ARMHOLE </t>
  </si>
  <si>
    <t>STRIGHT (1/2)</t>
    <phoneticPr fontId="2" type="noConversion"/>
  </si>
  <si>
    <t>WAIST SIZE</t>
    <phoneticPr fontId="1" type="noConversion"/>
  </si>
  <si>
    <t xml:space="preserve">FROM FRONT NECT TO CUTTING LINE </t>
    <phoneticPr fontId="1" type="noConversion"/>
  </si>
  <si>
    <t>앞요크 기장</t>
    <phoneticPr fontId="1" type="noConversion"/>
  </si>
  <si>
    <t>3XL</t>
    <phoneticPr fontId="1" type="noConversion"/>
  </si>
  <si>
    <t>2XL</t>
    <phoneticPr fontId="1" type="noConversion"/>
  </si>
  <si>
    <t>WITHOUT NECK BAND (INSIDE)</t>
    <phoneticPr fontId="2" type="noConversion"/>
  </si>
  <si>
    <t>BOTTOM FRILL</t>
    <phoneticPr fontId="1" type="noConversion"/>
  </si>
  <si>
    <t>밑단 프릴 폭</t>
    <phoneticPr fontId="1" type="noConversion"/>
  </si>
  <si>
    <t>와끼</t>
    <phoneticPr fontId="1" type="noConversion"/>
  </si>
  <si>
    <t>프릴절개선 라인을 따라서 잰 길이</t>
    <phoneticPr fontId="1" type="noConversion"/>
  </si>
  <si>
    <t>ROUND (1/2)</t>
    <phoneticPr fontId="8" type="noConversion"/>
  </si>
  <si>
    <t>BOTTOM FRILL LENGTH</t>
    <phoneticPr fontId="8" type="noConversion"/>
  </si>
  <si>
    <t>TOTAL LENGTH</t>
    <phoneticPr fontId="2" type="noConversion"/>
  </si>
  <si>
    <r>
      <t xml:space="preserve">HPS TO BOTTOM EDGE </t>
    </r>
    <r>
      <rPr>
        <sz val="7.5"/>
        <color indexed="10"/>
        <rFont val="맑은 고딕"/>
        <family val="3"/>
        <charset val="129"/>
      </rPr>
      <t xml:space="preserve">(EXCLUDE NECK BAND) </t>
    </r>
    <phoneticPr fontId="2" type="noConversion"/>
  </si>
  <si>
    <t>총기장(옆목)</t>
    <phoneticPr fontId="2" type="noConversion"/>
  </si>
  <si>
    <t>옆목점에서 밑단까지의 직선길이</t>
    <phoneticPr fontId="1" type="noConversion"/>
  </si>
  <si>
    <t>WITHOUT NECK BAND</t>
    <phoneticPr fontId="2" type="noConversion"/>
  </si>
  <si>
    <t>몸판 허리 둘레</t>
    <phoneticPr fontId="1" type="noConversion"/>
  </si>
  <si>
    <t xml:space="preserve">BASED ON ZIPPER FLY OUT LINE ,STRIGHT </t>
    <phoneticPr fontId="1" type="noConversion"/>
  </si>
  <si>
    <t>오비포함 와끼 기준</t>
    <phoneticPr fontId="1" type="noConversion"/>
  </si>
  <si>
    <r>
      <t>암홀 겨드랑이 지점에서 수평으로 잰 길이</t>
    </r>
    <r>
      <rPr>
        <sz val="7.5"/>
        <color rgb="FFFF0000"/>
        <rFont val="맑은 고딕"/>
        <family val="3"/>
        <charset val="129"/>
        <scheme val="minor"/>
      </rPr>
      <t>(셔링폈을때)</t>
    </r>
    <phoneticPr fontId="1" type="noConversion"/>
  </si>
  <si>
    <t>CUFFS OPENING 4G BAND</t>
    <phoneticPr fontId="2" type="noConversion"/>
  </si>
  <si>
    <t>소매부리 4골 밴드</t>
    <phoneticPr fontId="8" type="noConversion"/>
  </si>
  <si>
    <t>완성사이즈</t>
    <phoneticPr fontId="8" type="noConversion"/>
  </si>
  <si>
    <t>뒤 4골밴드</t>
    <phoneticPr fontId="8" type="noConversion"/>
  </si>
  <si>
    <t>BACK NECK 4G-BAND</t>
    <phoneticPr fontId="2" type="noConversion"/>
  </si>
  <si>
    <t>BOTTOM OPENING 4G BAND</t>
    <phoneticPr fontId="8" type="noConversion"/>
  </si>
  <si>
    <t>바지부리 4골 밴드</t>
    <phoneticPr fontId="8" type="noConversion"/>
  </si>
  <si>
    <t>STYLE NO: HYFSL02-W#Y24</t>
    <phoneticPr fontId="1" type="noConversion"/>
  </si>
  <si>
    <t>STYLE NO: HYFSL03-W#A09</t>
    <phoneticPr fontId="1" type="noConversion"/>
  </si>
  <si>
    <t>FRONT COLLAR</t>
    <phoneticPr fontId="2" type="noConversion"/>
  </si>
  <si>
    <t>앞 카라폭</t>
    <phoneticPr fontId="8" type="noConversion"/>
  </si>
  <si>
    <r>
      <t xml:space="preserve">옆목점에서 어깨선을 따라 잰 길이 </t>
    </r>
    <r>
      <rPr>
        <sz val="7.5"/>
        <color rgb="FFFF0000"/>
        <rFont val="맑은 고딕"/>
        <family val="3"/>
        <charset val="129"/>
        <scheme val="minor"/>
      </rPr>
      <t>(레이스제외)</t>
    </r>
    <phoneticPr fontId="8" type="noConversion"/>
  </si>
  <si>
    <t>CUFF OPENING 4G BAND</t>
    <phoneticPr fontId="2" type="noConversion"/>
  </si>
  <si>
    <t>소매부리 4골밴드</t>
    <phoneticPr fontId="8" type="noConversion"/>
  </si>
  <si>
    <t>완성사이즈</t>
    <phoneticPr fontId="1" type="noConversion"/>
  </si>
  <si>
    <t>프릴달림선스티치 라인을 따라서 잰 길이</t>
    <phoneticPr fontId="1" type="noConversion"/>
  </si>
  <si>
    <r>
      <t xml:space="preserve">FROM SHOULDER POINT TO EDGE </t>
    </r>
    <r>
      <rPr>
        <sz val="7.5"/>
        <color rgb="FFFF0000"/>
        <rFont val="맑은 고딕"/>
        <family val="3"/>
        <charset val="129"/>
        <scheme val="minor"/>
      </rPr>
      <t>(레이스제외)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</si>
</sst>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7.5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7.5"/>
      <color indexed="1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5" fillId="0" borderId="0">
      <alignment vertical="center"/>
    </xf>
    <xf numFmtId="0" fontId="5" fillId="0" borderId="0">
      <alignment vertical="center"/>
    </xf>
  </cellStyleXfs>
  <cellXfs count="100">
    <xf numFmtId="0" fontId="0" fillId="0" borderId="0" xfId="0">
      <alignment vertical="center"/>
    </xf>
    <xf numFmtId="0" fontId="6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7" fillId="0" borderId="18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4" fillId="0" borderId="11" xfId="3" applyFont="1" applyBorder="1" applyAlignment="1">
      <alignment horizontal="center" vertical="center"/>
    </xf>
    <xf numFmtId="0" fontId="4" fillId="0" borderId="12" xfId="3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4" fillId="0" borderId="14" xfId="3" applyFont="1" applyBorder="1" applyAlignment="1">
      <alignment horizontal="center" vertical="center"/>
    </xf>
    <xf numFmtId="0" fontId="4" fillId="0" borderId="16" xfId="3" applyFont="1" applyBorder="1" applyAlignment="1">
      <alignment horizontal="left" vertical="center"/>
    </xf>
    <xf numFmtId="0" fontId="4" fillId="0" borderId="17" xfId="3" applyFont="1" applyBorder="1" applyAlignment="1">
      <alignment horizontal="left" vertical="center"/>
    </xf>
    <xf numFmtId="0" fontId="4" fillId="0" borderId="18" xfId="3" applyFont="1" applyBorder="1" applyAlignment="1">
      <alignment horizontal="left" vertical="center"/>
    </xf>
    <xf numFmtId="0" fontId="4" fillId="0" borderId="16" xfId="3" applyFont="1" applyBorder="1" applyAlignment="1">
      <alignment horizontal="center" vertical="center"/>
    </xf>
    <xf numFmtId="0" fontId="4" fillId="0" borderId="18" xfId="3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4" fillId="0" borderId="11" xfId="3" applyFont="1" applyBorder="1" applyAlignment="1">
      <alignment horizontal="left" vertical="center"/>
    </xf>
    <xf numFmtId="0" fontId="4" fillId="0" borderId="13" xfId="3" applyFont="1" applyBorder="1" applyAlignment="1">
      <alignment horizontal="left" vertical="center"/>
    </xf>
    <xf numFmtId="0" fontId="4" fillId="0" borderId="12" xfId="3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6" xfId="3" applyFont="1" applyBorder="1" applyAlignment="1">
      <alignment horizontal="center" vertical="center"/>
    </xf>
    <xf numFmtId="0" fontId="4" fillId="0" borderId="7" xfId="3" applyFont="1" applyBorder="1" applyAlignment="1">
      <alignment horizontal="center" vertical="center"/>
    </xf>
    <xf numFmtId="0" fontId="4" fillId="0" borderId="6" xfId="3" applyFont="1" applyBorder="1" applyAlignment="1">
      <alignment horizontal="left" vertical="center"/>
    </xf>
    <xf numFmtId="0" fontId="4" fillId="0" borderId="8" xfId="3" applyFont="1" applyBorder="1" applyAlignment="1">
      <alignment horizontal="left" vertical="center"/>
    </xf>
    <xf numFmtId="0" fontId="4" fillId="0" borderId="7" xfId="3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6" fillId="2" borderId="24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/>
    </xf>
    <xf numFmtId="0" fontId="7" fillId="0" borderId="33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1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2" borderId="34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7" fillId="0" borderId="24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38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</cellXfs>
  <cellStyles count="4">
    <cellStyle name="표준" xfId="0" builtinId="0"/>
    <cellStyle name="표준 2" xfId="1" xr:uid="{00000000-0005-0000-0000-000001000000}"/>
    <cellStyle name="표준 2 2" xfId="2" xr:uid="{00000000-0005-0000-0000-000002000000}"/>
    <cellStyle name="표준 2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183D-ED3E-4C3E-9AFC-20CA1B438142}">
  <sheetPr>
    <tabColor theme="9"/>
    <pageSetUpPr fitToPage="1"/>
  </sheetPr>
  <dimension ref="A1:M70"/>
  <sheetViews>
    <sheetView tabSelected="1" zoomScale="110" zoomScaleNormal="110" workbookViewId="0">
      <selection activeCell="O19" sqref="O19"/>
    </sheetView>
  </sheetViews>
  <sheetFormatPr defaultColWidth="8.75" defaultRowHeight="16.5"/>
  <cols>
    <col min="1" max="1" width="3.625" bestFit="1" customWidth="1"/>
    <col min="2" max="3" width="8.75" customWidth="1"/>
    <col min="4" max="7" width="8.125" customWidth="1"/>
    <col min="8" max="12" width="5.5" customWidth="1"/>
    <col min="13" max="13" width="5.5" style="5" customWidth="1"/>
  </cols>
  <sheetData>
    <row r="1" spans="1:13" ht="16.5" customHeight="1" thickBot="1">
      <c r="A1" s="7" t="s">
        <v>108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pans="1:13" ht="16.5" customHeight="1" thickBot="1">
      <c r="A2" s="6" t="s">
        <v>26</v>
      </c>
      <c r="B2" s="10" t="s">
        <v>27</v>
      </c>
      <c r="C2" s="10"/>
      <c r="D2" s="10" t="s">
        <v>28</v>
      </c>
      <c r="E2" s="10"/>
      <c r="F2" s="10"/>
      <c r="G2" s="10"/>
      <c r="H2" s="2" t="s">
        <v>29</v>
      </c>
      <c r="I2" s="2" t="s">
        <v>30</v>
      </c>
      <c r="J2" s="3" t="s">
        <v>31</v>
      </c>
      <c r="K2" s="2" t="s">
        <v>32</v>
      </c>
      <c r="L2" s="2" t="s">
        <v>84</v>
      </c>
      <c r="M2" s="2" t="s">
        <v>83</v>
      </c>
    </row>
    <row r="3" spans="1:13" s="1" customFormat="1" ht="14.1" customHeight="1">
      <c r="A3" s="81">
        <v>1</v>
      </c>
      <c r="B3" s="13" t="s">
        <v>42</v>
      </c>
      <c r="C3" s="14"/>
      <c r="D3" s="15" t="s">
        <v>43</v>
      </c>
      <c r="E3" s="16"/>
      <c r="F3" s="16"/>
      <c r="G3" s="17"/>
      <c r="H3" s="18">
        <f>SUM(I3)-3.4</f>
        <v>36.700000000000003</v>
      </c>
      <c r="I3" s="18">
        <f>SUM(J3)-3.4</f>
        <v>40.1</v>
      </c>
      <c r="J3" s="82">
        <v>43.5</v>
      </c>
      <c r="K3" s="83">
        <f>SUM(J3)+2.9</f>
        <v>46.4</v>
      </c>
      <c r="L3" s="83">
        <f>SUM(K3)+2.9</f>
        <v>49.3</v>
      </c>
      <c r="M3" s="84">
        <f>SUM(L3)+2.9</f>
        <v>52.199999999999996</v>
      </c>
    </row>
    <row r="4" spans="1:13" s="1" customFormat="1" ht="14.1" customHeight="1">
      <c r="A4" s="11"/>
      <c r="B4" s="24" t="s">
        <v>14</v>
      </c>
      <c r="C4" s="24"/>
      <c r="D4" s="25" t="s">
        <v>44</v>
      </c>
      <c r="E4" s="26"/>
      <c r="F4" s="26"/>
      <c r="G4" s="26"/>
      <c r="H4" s="19"/>
      <c r="I4" s="19"/>
      <c r="J4" s="20"/>
      <c r="K4" s="18"/>
      <c r="L4" s="18"/>
      <c r="M4" s="22"/>
    </row>
    <row r="5" spans="1:13" s="1" customFormat="1" ht="14.1" customHeight="1">
      <c r="A5" s="12">
        <v>2</v>
      </c>
      <c r="B5" s="28" t="s">
        <v>17</v>
      </c>
      <c r="C5" s="28"/>
      <c r="D5" s="29" t="s">
        <v>18</v>
      </c>
      <c r="E5" s="29"/>
      <c r="F5" s="29"/>
      <c r="G5" s="29"/>
      <c r="H5" s="18">
        <f>SUM(I5)-1.8</f>
        <v>26</v>
      </c>
      <c r="I5" s="18">
        <f>SUM(J5)-1.8</f>
        <v>27.8</v>
      </c>
      <c r="J5" s="20">
        <v>29.6</v>
      </c>
      <c r="K5" s="18">
        <f>SUM(J5)+1.6</f>
        <v>31.200000000000003</v>
      </c>
      <c r="L5" s="18">
        <f t="shared" ref="L5:M5" si="0">SUM(K5)+1.6</f>
        <v>32.800000000000004</v>
      </c>
      <c r="M5" s="22">
        <f t="shared" si="0"/>
        <v>34.400000000000006</v>
      </c>
    </row>
    <row r="6" spans="1:13" s="1" customFormat="1" ht="14.1" customHeight="1">
      <c r="A6" s="12"/>
      <c r="B6" s="24" t="s">
        <v>8</v>
      </c>
      <c r="C6" s="24"/>
      <c r="D6" s="25" t="s">
        <v>21</v>
      </c>
      <c r="E6" s="26"/>
      <c r="F6" s="26"/>
      <c r="G6" s="27"/>
      <c r="H6" s="19"/>
      <c r="I6" s="19"/>
      <c r="J6" s="21"/>
      <c r="K6" s="19"/>
      <c r="L6" s="19"/>
      <c r="M6" s="23"/>
    </row>
    <row r="7" spans="1:13" s="1" customFormat="1" ht="14.1" customHeight="1">
      <c r="A7" s="12">
        <v>3</v>
      </c>
      <c r="B7" s="28" t="s">
        <v>16</v>
      </c>
      <c r="C7" s="28"/>
      <c r="D7" s="29" t="s">
        <v>66</v>
      </c>
      <c r="E7" s="29"/>
      <c r="F7" s="29"/>
      <c r="G7" s="29"/>
      <c r="H7" s="18">
        <f>SUM(I7)-3.4</f>
        <v>49.2</v>
      </c>
      <c r="I7" s="18">
        <f>SUM(J7)-3.4</f>
        <v>52.6</v>
      </c>
      <c r="J7" s="20">
        <v>56</v>
      </c>
      <c r="K7" s="18">
        <f>SUM(J7)+3</f>
        <v>59</v>
      </c>
      <c r="L7" s="18">
        <f t="shared" ref="L7:M7" si="1">SUM(K7)+3</f>
        <v>62</v>
      </c>
      <c r="M7" s="22">
        <f t="shared" si="1"/>
        <v>65</v>
      </c>
    </row>
    <row r="8" spans="1:13" s="1" customFormat="1" ht="14.1" customHeight="1">
      <c r="A8" s="12"/>
      <c r="B8" s="24" t="s">
        <v>19</v>
      </c>
      <c r="C8" s="24"/>
      <c r="D8" s="25" t="s">
        <v>100</v>
      </c>
      <c r="E8" s="26"/>
      <c r="F8" s="26"/>
      <c r="G8" s="27"/>
      <c r="H8" s="19"/>
      <c r="I8" s="19"/>
      <c r="J8" s="21"/>
      <c r="K8" s="19"/>
      <c r="L8" s="19"/>
      <c r="M8" s="23"/>
    </row>
    <row r="9" spans="1:13" s="1" customFormat="1" ht="14.1" customHeight="1">
      <c r="A9" s="12">
        <v>4</v>
      </c>
      <c r="B9" s="28" t="s">
        <v>20</v>
      </c>
      <c r="C9" s="28"/>
      <c r="D9" s="29" t="s">
        <v>79</v>
      </c>
      <c r="E9" s="29"/>
      <c r="F9" s="29"/>
      <c r="G9" s="29"/>
      <c r="H9" s="18">
        <f>SUM(I9)-3.4</f>
        <v>49.2</v>
      </c>
      <c r="I9" s="18">
        <f>SUM(J9)-3.4</f>
        <v>52.6</v>
      </c>
      <c r="J9" s="20">
        <v>56</v>
      </c>
      <c r="K9" s="18">
        <f>SUM(J9)+3</f>
        <v>59</v>
      </c>
      <c r="L9" s="18">
        <f t="shared" ref="L9:M9" si="2">SUM(K9)+3</f>
        <v>62</v>
      </c>
      <c r="M9" s="22">
        <f t="shared" si="2"/>
        <v>65</v>
      </c>
    </row>
    <row r="10" spans="1:13" s="1" customFormat="1" ht="14.1" customHeight="1">
      <c r="A10" s="12"/>
      <c r="B10" s="24" t="s">
        <v>9</v>
      </c>
      <c r="C10" s="24"/>
      <c r="D10" s="25" t="s">
        <v>89</v>
      </c>
      <c r="E10" s="26"/>
      <c r="F10" s="26"/>
      <c r="G10" s="27"/>
      <c r="H10" s="19"/>
      <c r="I10" s="19"/>
      <c r="J10" s="21"/>
      <c r="K10" s="19"/>
      <c r="L10" s="19"/>
      <c r="M10" s="23"/>
    </row>
    <row r="11" spans="1:13" s="1" customFormat="1" ht="14.1" customHeight="1">
      <c r="A11" s="12">
        <v>5</v>
      </c>
      <c r="B11" s="28" t="s">
        <v>78</v>
      </c>
      <c r="C11" s="28"/>
      <c r="D11" s="29" t="s">
        <v>0</v>
      </c>
      <c r="E11" s="29"/>
      <c r="F11" s="29"/>
      <c r="G11" s="29"/>
      <c r="H11" s="28">
        <f>SUM(I11)-0.9</f>
        <v>14.799999999999999</v>
      </c>
      <c r="I11" s="28">
        <f>SUM(J11)-0.8</f>
        <v>15.7</v>
      </c>
      <c r="J11" s="85">
        <v>16.5</v>
      </c>
      <c r="K11" s="86">
        <f>SUM(J11)+0.8</f>
        <v>17.3</v>
      </c>
      <c r="L11" s="86">
        <f>SUM(K11)+0.9</f>
        <v>18.2</v>
      </c>
      <c r="M11" s="87">
        <f>SUM(L11)+0.9</f>
        <v>19.099999999999998</v>
      </c>
    </row>
    <row r="12" spans="1:13" s="1" customFormat="1" ht="14.1" customHeight="1">
      <c r="A12" s="12"/>
      <c r="B12" s="24" t="s">
        <v>10</v>
      </c>
      <c r="C12" s="24"/>
      <c r="D12" s="25" t="s">
        <v>23</v>
      </c>
      <c r="E12" s="26"/>
      <c r="F12" s="26"/>
      <c r="G12" s="27"/>
      <c r="H12" s="24"/>
      <c r="I12" s="24"/>
      <c r="J12" s="85"/>
      <c r="K12" s="86"/>
      <c r="L12" s="86"/>
      <c r="M12" s="87"/>
    </row>
    <row r="13" spans="1:13" s="1" customFormat="1" ht="14.1" customHeight="1">
      <c r="A13" s="12">
        <v>6</v>
      </c>
      <c r="B13" s="28" t="s">
        <v>1</v>
      </c>
      <c r="C13" s="28"/>
      <c r="D13" s="29" t="s">
        <v>96</v>
      </c>
      <c r="E13" s="29"/>
      <c r="F13" s="29"/>
      <c r="G13" s="29"/>
      <c r="H13" s="18">
        <f>SUM(I13)-0.6</f>
        <v>17.199999999999996</v>
      </c>
      <c r="I13" s="18">
        <f>SUM(J13)-0.6</f>
        <v>17.799999999999997</v>
      </c>
      <c r="J13" s="53">
        <v>18.399999999999999</v>
      </c>
      <c r="K13" s="88">
        <f>SUM(J13)+0.6</f>
        <v>19</v>
      </c>
      <c r="L13" s="88">
        <f>SUM(K13)+0.6</f>
        <v>19.600000000000001</v>
      </c>
      <c r="M13" s="89">
        <f>SUM(L13)+0.6</f>
        <v>20.200000000000003</v>
      </c>
    </row>
    <row r="14" spans="1:13" s="1" customFormat="1" ht="14.1" customHeight="1">
      <c r="A14" s="12"/>
      <c r="B14" s="24" t="s">
        <v>11</v>
      </c>
      <c r="C14" s="24"/>
      <c r="D14" s="25" t="s">
        <v>24</v>
      </c>
      <c r="E14" s="26"/>
      <c r="F14" s="26"/>
      <c r="G14" s="27"/>
      <c r="H14" s="19"/>
      <c r="I14" s="19"/>
      <c r="J14" s="53"/>
      <c r="K14" s="88"/>
      <c r="L14" s="88"/>
      <c r="M14" s="89"/>
    </row>
    <row r="15" spans="1:13" s="1" customFormat="1" ht="14.1" customHeight="1">
      <c r="A15" s="12">
        <v>7</v>
      </c>
      <c r="B15" s="28" t="s">
        <v>2</v>
      </c>
      <c r="C15" s="28"/>
      <c r="D15" s="29" t="s">
        <v>3</v>
      </c>
      <c r="E15" s="29"/>
      <c r="F15" s="29"/>
      <c r="G15" s="29"/>
      <c r="H15" s="18">
        <f>SUM(I15)-0.3</f>
        <v>6.1000000000000005</v>
      </c>
      <c r="I15" s="18">
        <f>SUM(J15)-0.3</f>
        <v>6.4</v>
      </c>
      <c r="J15" s="53">
        <v>6.7</v>
      </c>
      <c r="K15" s="88">
        <f>SUM(J15)+0.3</f>
        <v>7</v>
      </c>
      <c r="L15" s="88">
        <f t="shared" ref="L15:M15" si="3">SUM(K15)+0.3</f>
        <v>7.3</v>
      </c>
      <c r="M15" s="89">
        <f t="shared" si="3"/>
        <v>7.6</v>
      </c>
    </row>
    <row r="16" spans="1:13" s="1" customFormat="1" ht="14.1" customHeight="1">
      <c r="A16" s="12"/>
      <c r="B16" s="24" t="s">
        <v>12</v>
      </c>
      <c r="C16" s="24"/>
      <c r="D16" s="25" t="s">
        <v>35</v>
      </c>
      <c r="E16" s="26"/>
      <c r="F16" s="26"/>
      <c r="G16" s="27"/>
      <c r="H16" s="19"/>
      <c r="I16" s="19"/>
      <c r="J16" s="53"/>
      <c r="K16" s="88"/>
      <c r="L16" s="88"/>
      <c r="M16" s="89"/>
    </row>
    <row r="17" spans="1:13" s="1" customFormat="1" ht="14.1" customHeight="1">
      <c r="A17" s="12">
        <v>8</v>
      </c>
      <c r="B17" s="32" t="s">
        <v>39</v>
      </c>
      <c r="C17" s="33"/>
      <c r="D17" s="34" t="s">
        <v>45</v>
      </c>
      <c r="E17" s="35"/>
      <c r="F17" s="35"/>
      <c r="G17" s="36"/>
      <c r="H17" s="18"/>
      <c r="I17" s="18"/>
      <c r="J17" s="53"/>
      <c r="K17" s="88"/>
      <c r="L17" s="88"/>
      <c r="M17" s="89"/>
    </row>
    <row r="18" spans="1:13" s="1" customFormat="1" ht="14.1" customHeight="1">
      <c r="A18" s="12"/>
      <c r="B18" s="24" t="s">
        <v>15</v>
      </c>
      <c r="C18" s="24"/>
      <c r="D18" s="25" t="s">
        <v>46</v>
      </c>
      <c r="E18" s="26"/>
      <c r="F18" s="26"/>
      <c r="G18" s="27"/>
      <c r="H18" s="19"/>
      <c r="I18" s="19"/>
      <c r="J18" s="53"/>
      <c r="K18" s="88"/>
      <c r="L18" s="88"/>
      <c r="M18" s="89"/>
    </row>
    <row r="19" spans="1:13" s="1" customFormat="1" ht="14.1" customHeight="1">
      <c r="A19" s="12">
        <v>9</v>
      </c>
      <c r="B19" s="28" t="s">
        <v>4</v>
      </c>
      <c r="C19" s="28"/>
      <c r="D19" s="29" t="s">
        <v>5</v>
      </c>
      <c r="E19" s="29"/>
      <c r="F19" s="29"/>
      <c r="G19" s="29"/>
      <c r="H19" s="18">
        <f>SUM(I19)-3.6</f>
        <v>31.299999999999997</v>
      </c>
      <c r="I19" s="18">
        <f>SUM(J19)-3.6</f>
        <v>34.9</v>
      </c>
      <c r="J19" s="20">
        <v>38.5</v>
      </c>
      <c r="K19" s="18">
        <f>SUM(J19)+3.7</f>
        <v>42.2</v>
      </c>
      <c r="L19" s="18">
        <f t="shared" ref="L19:M19" si="4">SUM(K19)+3.7</f>
        <v>45.900000000000006</v>
      </c>
      <c r="M19" s="22">
        <f t="shared" si="4"/>
        <v>49.600000000000009</v>
      </c>
    </row>
    <row r="20" spans="1:13" s="1" customFormat="1" ht="14.1" customHeight="1">
      <c r="A20" s="12"/>
      <c r="B20" s="24" t="s">
        <v>77</v>
      </c>
      <c r="C20" s="24"/>
      <c r="D20" s="25" t="s">
        <v>25</v>
      </c>
      <c r="E20" s="26"/>
      <c r="F20" s="26"/>
      <c r="G20" s="27"/>
      <c r="H20" s="19"/>
      <c r="I20" s="19"/>
      <c r="J20" s="21"/>
      <c r="K20" s="19"/>
      <c r="L20" s="19"/>
      <c r="M20" s="23"/>
    </row>
    <row r="21" spans="1:13" s="1" customFormat="1" ht="14.1" customHeight="1">
      <c r="A21" s="12">
        <v>10</v>
      </c>
      <c r="B21" s="28" t="s">
        <v>6</v>
      </c>
      <c r="C21" s="28"/>
      <c r="D21" s="34" t="s">
        <v>7</v>
      </c>
      <c r="E21" s="35"/>
      <c r="F21" s="35"/>
      <c r="G21" s="36"/>
      <c r="H21" s="18"/>
      <c r="I21" s="18"/>
      <c r="J21" s="20"/>
      <c r="K21" s="18"/>
      <c r="L21" s="18"/>
      <c r="M21" s="22"/>
    </row>
    <row r="22" spans="1:13" s="1" customFormat="1" ht="14.1" customHeight="1">
      <c r="A22" s="12"/>
      <c r="B22" s="24" t="s">
        <v>13</v>
      </c>
      <c r="C22" s="24"/>
      <c r="D22" s="25" t="s">
        <v>34</v>
      </c>
      <c r="E22" s="26"/>
      <c r="F22" s="26"/>
      <c r="G22" s="27"/>
      <c r="H22" s="19"/>
      <c r="I22" s="19"/>
      <c r="J22" s="21"/>
      <c r="K22" s="19"/>
      <c r="L22" s="19"/>
      <c r="M22" s="23"/>
    </row>
    <row r="23" spans="1:13" s="1" customFormat="1" ht="14.1" customHeight="1">
      <c r="A23" s="12">
        <v>11</v>
      </c>
      <c r="B23" s="32" t="s">
        <v>101</v>
      </c>
      <c r="C23" s="33"/>
      <c r="D23" s="29"/>
      <c r="E23" s="29"/>
      <c r="F23" s="29"/>
      <c r="G23" s="29"/>
      <c r="H23" s="18">
        <f>SUM(I23)-0.6</f>
        <v>17.799999999999997</v>
      </c>
      <c r="I23" s="18">
        <f>SUM(J23)-0.6</f>
        <v>18.399999999999999</v>
      </c>
      <c r="J23" s="53">
        <v>19</v>
      </c>
      <c r="K23" s="88">
        <f>SUM(J23)+0.6</f>
        <v>19.600000000000001</v>
      </c>
      <c r="L23" s="88">
        <f t="shared" ref="L23" si="5">SUM(K23)+0.6</f>
        <v>20.200000000000003</v>
      </c>
      <c r="M23" s="89">
        <f t="shared" ref="M23" si="6">SUM(L23)+0.6</f>
        <v>20.800000000000004</v>
      </c>
    </row>
    <row r="24" spans="1:13" s="1" customFormat="1" ht="14.1" customHeight="1">
      <c r="A24" s="12"/>
      <c r="B24" s="24" t="s">
        <v>102</v>
      </c>
      <c r="C24" s="24"/>
      <c r="D24" s="25" t="s">
        <v>103</v>
      </c>
      <c r="E24" s="26"/>
      <c r="F24" s="26"/>
      <c r="G24" s="27"/>
      <c r="H24" s="61"/>
      <c r="I24" s="61"/>
      <c r="J24" s="20"/>
      <c r="K24" s="18"/>
      <c r="L24" s="18"/>
      <c r="M24" s="22"/>
    </row>
    <row r="25" spans="1:13" s="1" customFormat="1" ht="14.1" customHeight="1">
      <c r="A25" s="12">
        <v>12</v>
      </c>
      <c r="B25" s="32" t="s">
        <v>105</v>
      </c>
      <c r="C25" s="33"/>
      <c r="D25" s="35"/>
      <c r="E25" s="35"/>
      <c r="F25" s="35"/>
      <c r="G25" s="35"/>
      <c r="H25" s="18">
        <f>SUM(I25)-0.6</f>
        <v>19.799999999999997</v>
      </c>
      <c r="I25" s="18">
        <f>SUM(J25)-0.6</f>
        <v>20.399999999999999</v>
      </c>
      <c r="J25" s="53">
        <v>21</v>
      </c>
      <c r="K25" s="88">
        <f>SUM(J25)+0.6</f>
        <v>21.6</v>
      </c>
      <c r="L25" s="88">
        <f t="shared" ref="L25" si="7">SUM(K25)+0.6</f>
        <v>22.200000000000003</v>
      </c>
      <c r="M25" s="89">
        <f t="shared" ref="M25" si="8">SUM(L25)+0.6</f>
        <v>22.800000000000004</v>
      </c>
    </row>
    <row r="26" spans="1:13" s="1" customFormat="1" ht="14.1" customHeight="1">
      <c r="A26" s="12"/>
      <c r="B26" s="93" t="s">
        <v>104</v>
      </c>
      <c r="C26" s="93"/>
      <c r="D26" s="15" t="s">
        <v>103</v>
      </c>
      <c r="E26" s="16"/>
      <c r="F26" s="16"/>
      <c r="G26" s="17"/>
      <c r="H26" s="61"/>
      <c r="I26" s="61"/>
      <c r="J26" s="20"/>
      <c r="K26" s="18"/>
      <c r="L26" s="18"/>
      <c r="M26" s="22"/>
    </row>
    <row r="27" spans="1:13" ht="14.1" customHeight="1">
      <c r="A27" s="12">
        <v>13</v>
      </c>
      <c r="B27" s="32" t="s">
        <v>86</v>
      </c>
      <c r="C27" s="33"/>
      <c r="D27" s="34"/>
      <c r="E27" s="35"/>
      <c r="F27" s="35"/>
      <c r="G27" s="36"/>
      <c r="H27" s="18">
        <f>SUM(I27)-0.5</f>
        <v>5</v>
      </c>
      <c r="I27" s="18">
        <f>SUM(J27)-0.5</f>
        <v>5.5</v>
      </c>
      <c r="J27" s="20">
        <v>6</v>
      </c>
      <c r="K27" s="18">
        <f>SUM(J27)+0.4</f>
        <v>6.4</v>
      </c>
      <c r="L27" s="18">
        <f t="shared" ref="L27:M27" si="9">SUM(K27)+0.4</f>
        <v>6.8000000000000007</v>
      </c>
      <c r="M27" s="22">
        <f t="shared" si="9"/>
        <v>7.2000000000000011</v>
      </c>
    </row>
    <row r="28" spans="1:13" ht="14.1" customHeight="1">
      <c r="A28" s="12"/>
      <c r="B28" s="73" t="s">
        <v>87</v>
      </c>
      <c r="C28" s="74"/>
      <c r="D28" s="75" t="s">
        <v>88</v>
      </c>
      <c r="E28" s="76"/>
      <c r="F28" s="76"/>
      <c r="G28" s="77"/>
      <c r="H28" s="19"/>
      <c r="I28" s="19"/>
      <c r="J28" s="21"/>
      <c r="K28" s="19"/>
      <c r="L28" s="19"/>
      <c r="M28" s="23"/>
    </row>
    <row r="29" spans="1:13" ht="14.1" customHeight="1">
      <c r="A29" s="12">
        <v>14</v>
      </c>
      <c r="B29" s="37" t="s">
        <v>47</v>
      </c>
      <c r="C29" s="38"/>
      <c r="D29" s="63" t="s">
        <v>81</v>
      </c>
      <c r="E29" s="63"/>
      <c r="F29" s="63"/>
      <c r="G29" s="63"/>
      <c r="H29" s="18">
        <f>SUM(I29)-0.6</f>
        <v>8.4</v>
      </c>
      <c r="I29" s="18">
        <f>SUM(J29)-0.6</f>
        <v>9</v>
      </c>
      <c r="J29" s="20">
        <v>9.6</v>
      </c>
      <c r="K29" s="18">
        <f>SUM(J29)+0.6</f>
        <v>10.199999999999999</v>
      </c>
      <c r="L29" s="18">
        <f t="shared" ref="L29:M29" si="10">SUM(K29)+0.6</f>
        <v>10.799999999999999</v>
      </c>
      <c r="M29" s="22">
        <f t="shared" si="10"/>
        <v>11.399999999999999</v>
      </c>
    </row>
    <row r="30" spans="1:13" ht="14.1" customHeight="1">
      <c r="A30" s="12"/>
      <c r="B30" s="41" t="s">
        <v>82</v>
      </c>
      <c r="C30" s="41"/>
      <c r="D30" s="42" t="s">
        <v>48</v>
      </c>
      <c r="E30" s="43"/>
      <c r="F30" s="43"/>
      <c r="G30" s="44"/>
      <c r="H30" s="19"/>
      <c r="I30" s="19"/>
      <c r="J30" s="21"/>
      <c r="K30" s="19"/>
      <c r="L30" s="19"/>
      <c r="M30" s="23"/>
    </row>
    <row r="31" spans="1:13" ht="14.1" customHeight="1">
      <c r="A31" s="12">
        <v>15</v>
      </c>
      <c r="B31" s="37" t="s">
        <v>38</v>
      </c>
      <c r="C31" s="38"/>
      <c r="D31" s="63" t="s">
        <v>37</v>
      </c>
      <c r="E31" s="63"/>
      <c r="F31" s="63"/>
      <c r="G31" s="63"/>
      <c r="H31" s="18">
        <f>SUM(I31)-0.7</f>
        <v>9.2000000000000011</v>
      </c>
      <c r="I31" s="18">
        <f>SUM(J31)-0.7</f>
        <v>9.9</v>
      </c>
      <c r="J31" s="20">
        <v>10.6</v>
      </c>
      <c r="K31" s="18">
        <f>SUM(J31)+0.7</f>
        <v>11.299999999999999</v>
      </c>
      <c r="L31" s="18">
        <f t="shared" ref="L31:M31" si="11">SUM(K31)+0.7</f>
        <v>11.999999999999998</v>
      </c>
      <c r="M31" s="22">
        <f t="shared" si="11"/>
        <v>12.699999999999998</v>
      </c>
    </row>
    <row r="32" spans="1:13" ht="14.1" customHeight="1">
      <c r="A32" s="12"/>
      <c r="B32" s="41" t="s">
        <v>33</v>
      </c>
      <c r="C32" s="41"/>
      <c r="D32" s="42" t="s">
        <v>36</v>
      </c>
      <c r="E32" s="43"/>
      <c r="F32" s="43"/>
      <c r="G32" s="44"/>
      <c r="H32" s="19"/>
      <c r="I32" s="19"/>
      <c r="J32" s="21"/>
      <c r="K32" s="19"/>
      <c r="L32" s="19"/>
      <c r="M32" s="23"/>
    </row>
    <row r="33" spans="1:13" ht="14.1" customHeight="1">
      <c r="A33" s="12">
        <v>16</v>
      </c>
      <c r="B33" s="32"/>
      <c r="C33" s="33"/>
      <c r="D33" s="35"/>
      <c r="E33" s="35"/>
      <c r="F33" s="35"/>
      <c r="G33" s="35"/>
      <c r="H33" s="18"/>
      <c r="I33" s="18"/>
      <c r="J33" s="53"/>
      <c r="K33" s="88"/>
      <c r="L33" s="88"/>
      <c r="M33" s="89"/>
    </row>
    <row r="34" spans="1:13" ht="14.1" customHeight="1" thickBot="1">
      <c r="A34" s="47"/>
      <c r="B34" s="93"/>
      <c r="C34" s="93"/>
      <c r="D34" s="15"/>
      <c r="E34" s="16"/>
      <c r="F34" s="16"/>
      <c r="G34" s="17"/>
      <c r="H34" s="61"/>
      <c r="I34" s="61"/>
      <c r="J34" s="20"/>
      <c r="K34" s="18"/>
      <c r="L34" s="18"/>
      <c r="M34" s="22"/>
    </row>
    <row r="35" spans="1:13" ht="14.1" customHeight="1" thickTop="1">
      <c r="A35" s="94">
        <v>17</v>
      </c>
      <c r="B35" s="95" t="s">
        <v>76</v>
      </c>
      <c r="C35" s="96"/>
      <c r="D35" s="97" t="s">
        <v>75</v>
      </c>
      <c r="E35" s="98"/>
      <c r="F35" s="98"/>
      <c r="G35" s="99"/>
      <c r="H35" s="79">
        <f>SUM(I35)-2.5</f>
        <v>44</v>
      </c>
      <c r="I35" s="79">
        <f>SUM(J35)-2.5</f>
        <v>46.5</v>
      </c>
      <c r="J35" s="78">
        <v>49</v>
      </c>
      <c r="K35" s="79">
        <f>SUM(J35)+2.5</f>
        <v>51.5</v>
      </c>
      <c r="L35" s="79">
        <f t="shared" ref="L35:M35" si="12">SUM(K35)+2.5</f>
        <v>54</v>
      </c>
      <c r="M35" s="80">
        <f t="shared" si="12"/>
        <v>56.5</v>
      </c>
    </row>
    <row r="36" spans="1:13" ht="14.1" customHeight="1">
      <c r="A36" s="12"/>
      <c r="B36" s="73" t="s">
        <v>74</v>
      </c>
      <c r="C36" s="74"/>
      <c r="D36" s="75" t="s">
        <v>73</v>
      </c>
      <c r="E36" s="76"/>
      <c r="F36" s="76"/>
      <c r="G36" s="77"/>
      <c r="H36" s="19"/>
      <c r="I36" s="19"/>
      <c r="J36" s="21"/>
      <c r="K36" s="19"/>
      <c r="L36" s="19"/>
      <c r="M36" s="23"/>
    </row>
    <row r="37" spans="1:13" ht="14.1" customHeight="1">
      <c r="A37" s="12">
        <v>18</v>
      </c>
      <c r="B37" s="32" t="s">
        <v>80</v>
      </c>
      <c r="C37" s="33"/>
      <c r="D37" s="15"/>
      <c r="E37" s="16"/>
      <c r="F37" s="16"/>
      <c r="G37" s="17"/>
      <c r="H37" s="18">
        <f>SUM(I37)-4.5</f>
        <v>68</v>
      </c>
      <c r="I37" s="18">
        <f>SUM(J37)-4.5</f>
        <v>72.5</v>
      </c>
      <c r="J37" s="64">
        <v>77</v>
      </c>
      <c r="K37" s="61">
        <f>SUM(J37)+4.5</f>
        <v>81.5</v>
      </c>
      <c r="L37" s="61">
        <f t="shared" ref="L37:M37" si="13">SUM(K37)+4.5</f>
        <v>86</v>
      </c>
      <c r="M37" s="62">
        <f t="shared" si="13"/>
        <v>90.5</v>
      </c>
    </row>
    <row r="38" spans="1:13" ht="14.1" customHeight="1">
      <c r="A38" s="12"/>
      <c r="B38" s="73" t="s">
        <v>97</v>
      </c>
      <c r="C38" s="74"/>
      <c r="D38" s="75"/>
      <c r="E38" s="76"/>
      <c r="F38" s="76"/>
      <c r="G38" s="77"/>
      <c r="H38" s="19"/>
      <c r="I38" s="19"/>
      <c r="J38" s="21"/>
      <c r="K38" s="19"/>
      <c r="L38" s="19"/>
      <c r="M38" s="23"/>
    </row>
    <row r="39" spans="1:13" ht="14.1" customHeight="1">
      <c r="A39" s="12">
        <v>19</v>
      </c>
      <c r="B39" s="32" t="s">
        <v>72</v>
      </c>
      <c r="C39" s="33"/>
      <c r="D39" s="34" t="s">
        <v>98</v>
      </c>
      <c r="E39" s="35"/>
      <c r="F39" s="35"/>
      <c r="G39" s="36"/>
      <c r="H39" s="18">
        <f>SUM(I39)-5</f>
        <v>72.400000000000006</v>
      </c>
      <c r="I39" s="18">
        <f>SUM(J39)-5</f>
        <v>77.400000000000006</v>
      </c>
      <c r="J39" s="20">
        <v>82.4</v>
      </c>
      <c r="K39" s="18">
        <f>SUM(J39)+5</f>
        <v>87.4</v>
      </c>
      <c r="L39" s="18">
        <f t="shared" ref="L39:M39" si="14">SUM(K39)+5</f>
        <v>92.4</v>
      </c>
      <c r="M39" s="22">
        <f t="shared" si="14"/>
        <v>97.4</v>
      </c>
    </row>
    <row r="40" spans="1:13" ht="14.1" customHeight="1">
      <c r="A40" s="12"/>
      <c r="B40" s="73" t="s">
        <v>71</v>
      </c>
      <c r="C40" s="74"/>
      <c r="D40" s="75" t="s">
        <v>70</v>
      </c>
      <c r="E40" s="76"/>
      <c r="F40" s="76"/>
      <c r="G40" s="77"/>
      <c r="H40" s="19"/>
      <c r="I40" s="19"/>
      <c r="J40" s="21"/>
      <c r="K40" s="19"/>
      <c r="L40" s="19"/>
      <c r="M40" s="23"/>
    </row>
    <row r="41" spans="1:13" ht="14.1" customHeight="1">
      <c r="A41" s="12">
        <v>20</v>
      </c>
      <c r="B41" s="32" t="s">
        <v>69</v>
      </c>
      <c r="C41" s="33"/>
      <c r="D41" s="34"/>
      <c r="E41" s="35"/>
      <c r="F41" s="35"/>
      <c r="G41" s="36"/>
      <c r="H41" s="28">
        <f>SUM(I41)-0.7</f>
        <v>12.8</v>
      </c>
      <c r="I41" s="18">
        <f>SUM(J41)-0.7</f>
        <v>13.5</v>
      </c>
      <c r="J41" s="20">
        <v>14.2</v>
      </c>
      <c r="K41" s="18">
        <f>SUM(J41)+1.2</f>
        <v>15.399999999999999</v>
      </c>
      <c r="L41" s="18">
        <f>SUM(K41)+0.7</f>
        <v>16.099999999999998</v>
      </c>
      <c r="M41" s="30">
        <f>SUM(L41)+0.7</f>
        <v>16.799999999999997</v>
      </c>
    </row>
    <row r="42" spans="1:13" ht="14.1" customHeight="1">
      <c r="A42" s="12"/>
      <c r="B42" s="73" t="s">
        <v>68</v>
      </c>
      <c r="C42" s="74"/>
      <c r="D42" s="90" t="s">
        <v>99</v>
      </c>
      <c r="E42" s="91"/>
      <c r="F42" s="91"/>
      <c r="G42" s="92"/>
      <c r="H42" s="24"/>
      <c r="I42" s="19"/>
      <c r="J42" s="21"/>
      <c r="K42" s="19"/>
      <c r="L42" s="19"/>
      <c r="M42" s="31"/>
    </row>
    <row r="43" spans="1:13" ht="14.1" customHeight="1">
      <c r="A43" s="12">
        <v>21</v>
      </c>
      <c r="B43" s="32" t="s">
        <v>67</v>
      </c>
      <c r="C43" s="33"/>
      <c r="D43" s="34" t="s">
        <v>66</v>
      </c>
      <c r="E43" s="35"/>
      <c r="F43" s="35"/>
      <c r="G43" s="36"/>
      <c r="H43" s="18">
        <f>SUM(I43)-7</f>
        <v>52.3</v>
      </c>
      <c r="I43" s="18">
        <f>SUM(J43)-7</f>
        <v>59.3</v>
      </c>
      <c r="J43" s="20">
        <v>66.3</v>
      </c>
      <c r="K43" s="18">
        <f>SUM(J43)+6</f>
        <v>72.3</v>
      </c>
      <c r="L43" s="18">
        <f t="shared" ref="L43:M43" si="15">SUM(K43)+6</f>
        <v>78.3</v>
      </c>
      <c r="M43" s="22">
        <f t="shared" si="15"/>
        <v>84.3</v>
      </c>
    </row>
    <row r="44" spans="1:13" ht="14.1" customHeight="1">
      <c r="A44" s="12"/>
      <c r="B44" s="73" t="s">
        <v>65</v>
      </c>
      <c r="C44" s="74"/>
      <c r="D44" s="75" t="s">
        <v>64</v>
      </c>
      <c r="E44" s="76"/>
      <c r="F44" s="76"/>
      <c r="G44" s="77"/>
      <c r="H44" s="19"/>
      <c r="I44" s="19"/>
      <c r="J44" s="21"/>
      <c r="K44" s="19"/>
      <c r="L44" s="19"/>
      <c r="M44" s="23"/>
    </row>
    <row r="45" spans="1:13" ht="14.1" customHeight="1">
      <c r="A45" s="12">
        <v>22</v>
      </c>
      <c r="B45" s="32" t="s">
        <v>106</v>
      </c>
      <c r="C45" s="33"/>
      <c r="D45" s="34"/>
      <c r="E45" s="35"/>
      <c r="F45" s="35"/>
      <c r="G45" s="36"/>
      <c r="H45" s="18">
        <f>SUM(I45)-1</f>
        <v>23</v>
      </c>
      <c r="I45" s="18">
        <f>SUM(J45)-1</f>
        <v>24</v>
      </c>
      <c r="J45" s="20">
        <v>25</v>
      </c>
      <c r="K45" s="18">
        <f>SUM(J45)+1</f>
        <v>26</v>
      </c>
      <c r="L45" s="18">
        <f t="shared" ref="L45:M45" si="16">SUM(K45)+1</f>
        <v>27</v>
      </c>
      <c r="M45" s="22">
        <f t="shared" si="16"/>
        <v>28</v>
      </c>
    </row>
    <row r="46" spans="1:13" ht="14.1" customHeight="1">
      <c r="A46" s="12"/>
      <c r="B46" s="73" t="s">
        <v>107</v>
      </c>
      <c r="C46" s="74"/>
      <c r="D46" s="25" t="s">
        <v>103</v>
      </c>
      <c r="E46" s="26"/>
      <c r="F46" s="26"/>
      <c r="G46" s="27"/>
      <c r="H46" s="19"/>
      <c r="I46" s="19"/>
      <c r="J46" s="21"/>
      <c r="K46" s="19"/>
      <c r="L46" s="19"/>
      <c r="M46" s="23"/>
    </row>
    <row r="47" spans="1:13" ht="14.1" customHeight="1">
      <c r="A47" s="12">
        <v>23</v>
      </c>
      <c r="B47" s="32" t="s">
        <v>63</v>
      </c>
      <c r="C47" s="33"/>
      <c r="D47" s="34" t="s">
        <v>60</v>
      </c>
      <c r="E47" s="35"/>
      <c r="F47" s="35"/>
      <c r="G47" s="36"/>
      <c r="H47" s="28">
        <f>SUM(I47)-1.1</f>
        <v>22.799999999999997</v>
      </c>
      <c r="I47" s="18">
        <f>SUM(J47)-1.1</f>
        <v>23.9</v>
      </c>
      <c r="J47" s="20">
        <v>25</v>
      </c>
      <c r="K47" s="18">
        <f>SUM(J47)+1.6</f>
        <v>26.6</v>
      </c>
      <c r="L47" s="18">
        <f>SUM(K47)+1.1</f>
        <v>27.700000000000003</v>
      </c>
      <c r="M47" s="30">
        <f>SUM(L47)+1.1</f>
        <v>28.800000000000004</v>
      </c>
    </row>
    <row r="48" spans="1:13" ht="14.1" customHeight="1">
      <c r="A48" s="12"/>
      <c r="B48" s="73" t="s">
        <v>62</v>
      </c>
      <c r="C48" s="74"/>
      <c r="D48" s="75" t="s">
        <v>58</v>
      </c>
      <c r="E48" s="76"/>
      <c r="F48" s="76"/>
      <c r="G48" s="77"/>
      <c r="H48" s="24"/>
      <c r="I48" s="19"/>
      <c r="J48" s="21"/>
      <c r="K48" s="19"/>
      <c r="L48" s="19"/>
      <c r="M48" s="31"/>
    </row>
    <row r="49" spans="1:13" ht="14.1" customHeight="1">
      <c r="A49" s="12">
        <v>24</v>
      </c>
      <c r="B49" s="32" t="s">
        <v>61</v>
      </c>
      <c r="C49" s="33"/>
      <c r="D49" s="34" t="s">
        <v>60</v>
      </c>
      <c r="E49" s="35"/>
      <c r="F49" s="35"/>
      <c r="G49" s="36"/>
      <c r="H49" s="28">
        <f>SUM(I49)-1.3</f>
        <v>28.9</v>
      </c>
      <c r="I49" s="18">
        <f>SUM(J49)-1.3</f>
        <v>30.2</v>
      </c>
      <c r="J49" s="20">
        <v>31.5</v>
      </c>
      <c r="K49" s="18">
        <f>SUM(J49)+1.8</f>
        <v>33.299999999999997</v>
      </c>
      <c r="L49" s="18">
        <f>SUM(K49)+1.3</f>
        <v>34.599999999999994</v>
      </c>
      <c r="M49" s="30">
        <f>SUM(L49)+1.3</f>
        <v>35.899999999999991</v>
      </c>
    </row>
    <row r="50" spans="1:13" ht="14.1" customHeight="1">
      <c r="A50" s="12"/>
      <c r="B50" s="73" t="s">
        <v>59</v>
      </c>
      <c r="C50" s="74"/>
      <c r="D50" s="75" t="s">
        <v>58</v>
      </c>
      <c r="E50" s="76"/>
      <c r="F50" s="76"/>
      <c r="G50" s="77"/>
      <c r="H50" s="24"/>
      <c r="I50" s="19"/>
      <c r="J50" s="21"/>
      <c r="K50" s="19"/>
      <c r="L50" s="19"/>
      <c r="M50" s="31"/>
    </row>
    <row r="51" spans="1:13" ht="14.1" customHeight="1">
      <c r="A51" s="12">
        <v>25</v>
      </c>
      <c r="B51" s="32" t="s">
        <v>57</v>
      </c>
      <c r="C51" s="33"/>
      <c r="D51" s="34" t="s">
        <v>56</v>
      </c>
      <c r="E51" s="35"/>
      <c r="F51" s="35"/>
      <c r="G51" s="36"/>
      <c r="H51" s="18">
        <f>SUM(I51)-3</f>
        <v>45.3</v>
      </c>
      <c r="I51" s="18">
        <f>SUM(J51)-3</f>
        <v>48.3</v>
      </c>
      <c r="J51" s="20">
        <v>51.3</v>
      </c>
      <c r="K51" s="18">
        <f>SUM(J51)+3</f>
        <v>54.3</v>
      </c>
      <c r="L51" s="18">
        <f t="shared" ref="L51:M51" si="17">SUM(K51)+3</f>
        <v>57.3</v>
      </c>
      <c r="M51" s="22">
        <f t="shared" si="17"/>
        <v>60.3</v>
      </c>
    </row>
    <row r="52" spans="1:13" ht="13.5" customHeight="1">
      <c r="A52" s="12"/>
      <c r="B52" s="73" t="s">
        <v>55</v>
      </c>
      <c r="C52" s="74"/>
      <c r="D52" s="75" t="s">
        <v>54</v>
      </c>
      <c r="E52" s="76"/>
      <c r="F52" s="76"/>
      <c r="G52" s="77"/>
      <c r="H52" s="19"/>
      <c r="I52" s="19"/>
      <c r="J52" s="21"/>
      <c r="K52" s="19"/>
      <c r="L52" s="19"/>
      <c r="M52" s="23"/>
    </row>
    <row r="53" spans="1:13" ht="13.5" customHeight="1">
      <c r="A53" s="12">
        <v>26</v>
      </c>
      <c r="B53" s="32" t="s">
        <v>53</v>
      </c>
      <c r="C53" s="33"/>
      <c r="D53" s="34" t="s">
        <v>52</v>
      </c>
      <c r="E53" s="35"/>
      <c r="F53" s="35"/>
      <c r="G53" s="36"/>
      <c r="H53" s="18">
        <f>SUM(I53)-6</f>
        <v>30.6</v>
      </c>
      <c r="I53" s="18">
        <f>SUM(J53)-6</f>
        <v>36.6</v>
      </c>
      <c r="J53" s="20">
        <v>42.6</v>
      </c>
      <c r="K53" s="18">
        <f>SUM(J53)+4.5</f>
        <v>47.1</v>
      </c>
      <c r="L53" s="18">
        <f>SUM(K53)+5</f>
        <v>52.1</v>
      </c>
      <c r="M53" s="22">
        <f>SUM(L53)+5</f>
        <v>57.1</v>
      </c>
    </row>
    <row r="54" spans="1:13" ht="13.5" customHeight="1">
      <c r="A54" s="12"/>
      <c r="B54" s="73" t="s">
        <v>51</v>
      </c>
      <c r="C54" s="74"/>
      <c r="D54" s="75" t="s">
        <v>50</v>
      </c>
      <c r="E54" s="76"/>
      <c r="F54" s="76"/>
      <c r="G54" s="77"/>
      <c r="H54" s="19"/>
      <c r="I54" s="19"/>
      <c r="J54" s="21"/>
      <c r="K54" s="19"/>
      <c r="L54" s="19"/>
      <c r="M54" s="23"/>
    </row>
    <row r="55" spans="1:13" ht="13.5" customHeight="1">
      <c r="A55" s="12">
        <v>27</v>
      </c>
      <c r="B55" s="32"/>
      <c r="C55" s="33"/>
      <c r="D55" s="34"/>
      <c r="E55" s="35"/>
      <c r="F55" s="35"/>
      <c r="G55" s="36"/>
      <c r="H55" s="18"/>
      <c r="I55" s="18"/>
      <c r="J55" s="20"/>
      <c r="K55" s="18"/>
      <c r="L55" s="18"/>
      <c r="M55" s="22"/>
    </row>
    <row r="56" spans="1:13" ht="13.5" customHeight="1">
      <c r="A56" s="12"/>
      <c r="B56" s="73"/>
      <c r="C56" s="74"/>
      <c r="D56" s="75"/>
      <c r="E56" s="76"/>
      <c r="F56" s="76"/>
      <c r="G56" s="77"/>
      <c r="H56" s="19"/>
      <c r="I56" s="19"/>
      <c r="J56" s="21"/>
      <c r="K56" s="19"/>
      <c r="L56" s="19"/>
      <c r="M56" s="23"/>
    </row>
    <row r="57" spans="1:13" ht="13.5" customHeight="1">
      <c r="A57" s="12">
        <v>28</v>
      </c>
      <c r="B57" s="32"/>
      <c r="C57" s="33"/>
      <c r="D57" s="34"/>
      <c r="E57" s="35"/>
      <c r="F57" s="35"/>
      <c r="G57" s="36"/>
      <c r="H57" s="18"/>
      <c r="I57" s="18"/>
      <c r="J57" s="20"/>
      <c r="K57" s="18"/>
      <c r="L57" s="18"/>
      <c r="M57" s="22"/>
    </row>
    <row r="58" spans="1:13" ht="13.5" customHeight="1" thickBot="1">
      <c r="A58" s="51"/>
      <c r="B58" s="68"/>
      <c r="C58" s="69"/>
      <c r="D58" s="70"/>
      <c r="E58" s="71"/>
      <c r="F58" s="71"/>
      <c r="G58" s="72"/>
      <c r="H58" s="52"/>
      <c r="I58" s="52"/>
      <c r="J58" s="54"/>
      <c r="K58" s="52"/>
      <c r="L58" s="52"/>
      <c r="M58" s="55"/>
    </row>
    <row r="59" spans="1:13" ht="13.5" customHeight="1"/>
    <row r="60" spans="1:13" ht="13.5" customHeight="1"/>
    <row r="61" spans="1:13" ht="13.5" customHeight="1"/>
    <row r="62" spans="1:13" ht="13.5" customHeight="1"/>
    <row r="63" spans="1:13" ht="13.5" customHeight="1"/>
    <row r="64" spans="1:13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</sheetData>
  <mergeCells count="311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K21:K22"/>
    <mergeCell ref="L21:L22"/>
    <mergeCell ref="M21:M22"/>
    <mergeCell ref="B22:C22"/>
    <mergeCell ref="D22:G22"/>
    <mergeCell ref="A25:A26"/>
    <mergeCell ref="B25:C25"/>
    <mergeCell ref="D25:G25"/>
    <mergeCell ref="H25:H26"/>
    <mergeCell ref="I25:I26"/>
    <mergeCell ref="A21:A22"/>
    <mergeCell ref="B21:C21"/>
    <mergeCell ref="D21:G21"/>
    <mergeCell ref="H21:H22"/>
    <mergeCell ref="I21:I22"/>
    <mergeCell ref="J21:J22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43:A44"/>
    <mergeCell ref="B43:C43"/>
    <mergeCell ref="D43:G43"/>
    <mergeCell ref="H43:H44"/>
    <mergeCell ref="I43:I44"/>
    <mergeCell ref="A41:A42"/>
    <mergeCell ref="B41:C41"/>
    <mergeCell ref="D41:G41"/>
    <mergeCell ref="H41:H42"/>
    <mergeCell ref="I41:I42"/>
    <mergeCell ref="J43:J44"/>
    <mergeCell ref="K43:K44"/>
    <mergeCell ref="L43:L44"/>
    <mergeCell ref="M43:M44"/>
    <mergeCell ref="B44:C44"/>
    <mergeCell ref="D44:G44"/>
    <mergeCell ref="K41:K42"/>
    <mergeCell ref="L41:L42"/>
    <mergeCell ref="M41:M42"/>
    <mergeCell ref="B42:C42"/>
    <mergeCell ref="D42:G42"/>
    <mergeCell ref="J41:J42"/>
    <mergeCell ref="A47:A48"/>
    <mergeCell ref="B47:C47"/>
    <mergeCell ref="D47:G47"/>
    <mergeCell ref="H47:H48"/>
    <mergeCell ref="I47:I48"/>
    <mergeCell ref="A45:A46"/>
    <mergeCell ref="B45:C45"/>
    <mergeCell ref="D45:G45"/>
    <mergeCell ref="H45:H46"/>
    <mergeCell ref="I45:I46"/>
    <mergeCell ref="J47:J48"/>
    <mergeCell ref="K47:K48"/>
    <mergeCell ref="L47:L48"/>
    <mergeCell ref="M47:M48"/>
    <mergeCell ref="B48:C48"/>
    <mergeCell ref="D48:G48"/>
    <mergeCell ref="K45:K46"/>
    <mergeCell ref="L45:L46"/>
    <mergeCell ref="M45:M46"/>
    <mergeCell ref="B46:C46"/>
    <mergeCell ref="D46:G46"/>
    <mergeCell ref="J45:J46"/>
    <mergeCell ref="A51:A52"/>
    <mergeCell ref="B51:C51"/>
    <mergeCell ref="D51:G51"/>
    <mergeCell ref="H51:H52"/>
    <mergeCell ref="I51:I52"/>
    <mergeCell ref="A49:A50"/>
    <mergeCell ref="B49:C49"/>
    <mergeCell ref="D49:G49"/>
    <mergeCell ref="H49:H50"/>
    <mergeCell ref="I49:I50"/>
    <mergeCell ref="J51:J52"/>
    <mergeCell ref="K51:K52"/>
    <mergeCell ref="L51:L52"/>
    <mergeCell ref="M51:M52"/>
    <mergeCell ref="B52:C52"/>
    <mergeCell ref="D52:G52"/>
    <mergeCell ref="K49:K50"/>
    <mergeCell ref="L49:L50"/>
    <mergeCell ref="M49:M50"/>
    <mergeCell ref="B50:C50"/>
    <mergeCell ref="D50:G50"/>
    <mergeCell ref="J49:J50"/>
    <mergeCell ref="A55:A56"/>
    <mergeCell ref="B55:C55"/>
    <mergeCell ref="D55:G55"/>
    <mergeCell ref="H55:H56"/>
    <mergeCell ref="I55:I56"/>
    <mergeCell ref="A53:A54"/>
    <mergeCell ref="B53:C53"/>
    <mergeCell ref="D53:G53"/>
    <mergeCell ref="H53:H54"/>
    <mergeCell ref="I53:I54"/>
    <mergeCell ref="J55:J56"/>
    <mergeCell ref="K55:K56"/>
    <mergeCell ref="L55:L56"/>
    <mergeCell ref="M55:M56"/>
    <mergeCell ref="B56:C56"/>
    <mergeCell ref="D56:G56"/>
    <mergeCell ref="K53:K54"/>
    <mergeCell ref="L53:L54"/>
    <mergeCell ref="M53:M54"/>
    <mergeCell ref="B54:C54"/>
    <mergeCell ref="D54:G54"/>
    <mergeCell ref="J53:J54"/>
    <mergeCell ref="A57:A58"/>
    <mergeCell ref="K57:K58"/>
    <mergeCell ref="L57:L58"/>
    <mergeCell ref="M57:M58"/>
    <mergeCell ref="B58:C58"/>
    <mergeCell ref="D58:G58"/>
    <mergeCell ref="B57:C57"/>
    <mergeCell ref="D57:G57"/>
    <mergeCell ref="H57:H58"/>
    <mergeCell ref="I57:I58"/>
    <mergeCell ref="J57:J58"/>
    <mergeCell ref="A27:A28"/>
    <mergeCell ref="B27:C27"/>
    <mergeCell ref="D27:G27"/>
    <mergeCell ref="H27:H28"/>
    <mergeCell ref="I27:I28"/>
    <mergeCell ref="A23:A24"/>
    <mergeCell ref="B23:C23"/>
    <mergeCell ref="D23:G23"/>
    <mergeCell ref="H23:H24"/>
    <mergeCell ref="I23:I24"/>
    <mergeCell ref="B26:C26"/>
    <mergeCell ref="D26:G26"/>
    <mergeCell ref="J27:J28"/>
    <mergeCell ref="K27:K28"/>
    <mergeCell ref="L27:L28"/>
    <mergeCell ref="M27:M28"/>
    <mergeCell ref="B28:C28"/>
    <mergeCell ref="D28:G28"/>
    <mergeCell ref="K23:K24"/>
    <mergeCell ref="L23:L24"/>
    <mergeCell ref="M23:M24"/>
    <mergeCell ref="B24:C24"/>
    <mergeCell ref="D24:G24"/>
    <mergeCell ref="J23:J24"/>
    <mergeCell ref="J25:J26"/>
    <mergeCell ref="K25:K26"/>
    <mergeCell ref="L25:L26"/>
    <mergeCell ref="M25:M26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</mergeCells>
  <phoneticPr fontId="8" type="noConversion"/>
  <printOptions horizontalCentered="1"/>
  <pageMargins left="0" right="0" top="0.74803149606299213" bottom="0.74803149606299213" header="0.31496062992125984" footer="0.31496062992125984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F4A9A-599D-4637-A6F0-457A6684D545}">
  <sheetPr>
    <tabColor theme="9"/>
  </sheetPr>
  <dimension ref="A1:M70"/>
  <sheetViews>
    <sheetView zoomScale="110" zoomScaleNormal="110" workbookViewId="0">
      <selection activeCell="O13" sqref="O13:O14"/>
    </sheetView>
  </sheetViews>
  <sheetFormatPr defaultColWidth="8.75" defaultRowHeight="16.5"/>
  <cols>
    <col min="1" max="1" width="3.625" bestFit="1" customWidth="1"/>
    <col min="2" max="3" width="8.75" customWidth="1"/>
    <col min="4" max="7" width="8.125" customWidth="1"/>
    <col min="8" max="13" width="5.5" customWidth="1"/>
  </cols>
  <sheetData>
    <row r="1" spans="1:13" ht="16.5" customHeight="1" thickBot="1">
      <c r="A1" s="7" t="s">
        <v>109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9"/>
    </row>
    <row r="2" spans="1:13" ht="16.5" customHeight="1" thickBot="1">
      <c r="A2" s="4" t="s">
        <v>26</v>
      </c>
      <c r="B2" s="10" t="s">
        <v>27</v>
      </c>
      <c r="C2" s="10"/>
      <c r="D2" s="10" t="s">
        <v>28</v>
      </c>
      <c r="E2" s="10"/>
      <c r="F2" s="10"/>
      <c r="G2" s="10"/>
      <c r="H2" s="2" t="s">
        <v>29</v>
      </c>
      <c r="I2" s="2" t="s">
        <v>30</v>
      </c>
      <c r="J2" s="3" t="s">
        <v>31</v>
      </c>
      <c r="K2" s="2" t="s">
        <v>32</v>
      </c>
      <c r="L2" s="2" t="s">
        <v>84</v>
      </c>
      <c r="M2" s="2" t="s">
        <v>83</v>
      </c>
    </row>
    <row r="3" spans="1:13" s="1" customFormat="1" ht="14.1" customHeight="1">
      <c r="A3" s="11">
        <v>1</v>
      </c>
      <c r="B3" s="65" t="s">
        <v>92</v>
      </c>
      <c r="C3" s="65"/>
      <c r="D3" s="66" t="s">
        <v>93</v>
      </c>
      <c r="E3" s="66"/>
      <c r="F3" s="66"/>
      <c r="G3" s="67"/>
      <c r="H3" s="18">
        <f>SUM(I3)-6</f>
        <v>67.099999999999994</v>
      </c>
      <c r="I3" s="18">
        <f>SUM(J3)-6</f>
        <v>73.099999999999994</v>
      </c>
      <c r="J3" s="20">
        <v>79.099999999999994</v>
      </c>
      <c r="K3" s="18">
        <f>SUM(J3)+6</f>
        <v>85.1</v>
      </c>
      <c r="L3" s="18">
        <f>SUM(K3)+6</f>
        <v>91.1</v>
      </c>
      <c r="M3" s="22">
        <f>SUM(L3)+6</f>
        <v>97.1</v>
      </c>
    </row>
    <row r="4" spans="1:13" s="1" customFormat="1" ht="14.1" customHeight="1">
      <c r="A4" s="12"/>
      <c r="B4" s="24" t="s">
        <v>94</v>
      </c>
      <c r="C4" s="24"/>
      <c r="D4" s="25" t="s">
        <v>95</v>
      </c>
      <c r="E4" s="26"/>
      <c r="F4" s="26"/>
      <c r="G4" s="26"/>
      <c r="H4" s="19"/>
      <c r="I4" s="19"/>
      <c r="J4" s="21"/>
      <c r="K4" s="19"/>
      <c r="L4" s="19"/>
      <c r="M4" s="23"/>
    </row>
    <row r="5" spans="1:13" s="1" customFormat="1" ht="14.1" customHeight="1">
      <c r="A5" s="12">
        <v>2</v>
      </c>
      <c r="B5" s="28" t="s">
        <v>17</v>
      </c>
      <c r="C5" s="28"/>
      <c r="D5" s="29" t="s">
        <v>18</v>
      </c>
      <c r="E5" s="29"/>
      <c r="F5" s="29"/>
      <c r="G5" s="29"/>
      <c r="H5" s="18">
        <f>SUM(I5)-1.6</f>
        <v>24.599999999999998</v>
      </c>
      <c r="I5" s="18">
        <f>SUM(J5)-1.6</f>
        <v>26.2</v>
      </c>
      <c r="J5" s="20">
        <v>27.8</v>
      </c>
      <c r="K5" s="18">
        <f>SUM(J5)+1.4</f>
        <v>29.2</v>
      </c>
      <c r="L5" s="18">
        <f t="shared" ref="L5:M5" si="0">SUM(K5)+1.4</f>
        <v>30.599999999999998</v>
      </c>
      <c r="M5" s="22">
        <f t="shared" si="0"/>
        <v>31.999999999999996</v>
      </c>
    </row>
    <row r="6" spans="1:13" s="1" customFormat="1" ht="14.1" customHeight="1">
      <c r="A6" s="12"/>
      <c r="B6" s="24" t="s">
        <v>8</v>
      </c>
      <c r="C6" s="24"/>
      <c r="D6" s="25" t="s">
        <v>21</v>
      </c>
      <c r="E6" s="26"/>
      <c r="F6" s="26"/>
      <c r="G6" s="27"/>
      <c r="H6" s="19"/>
      <c r="I6" s="19"/>
      <c r="J6" s="21"/>
      <c r="K6" s="19"/>
      <c r="L6" s="19"/>
      <c r="M6" s="23"/>
    </row>
    <row r="7" spans="1:13" s="1" customFormat="1" ht="14.1" customHeight="1">
      <c r="A7" s="12">
        <v>3</v>
      </c>
      <c r="B7" s="28" t="s">
        <v>16</v>
      </c>
      <c r="C7" s="28"/>
      <c r="D7" s="29" t="s">
        <v>66</v>
      </c>
      <c r="E7" s="29"/>
      <c r="F7" s="29"/>
      <c r="G7" s="29"/>
      <c r="H7" s="18">
        <f>SUM(I7)-2.25</f>
        <v>35.5</v>
      </c>
      <c r="I7" s="18">
        <f>SUM(J7)-2.25</f>
        <v>37.75</v>
      </c>
      <c r="J7" s="20">
        <v>40</v>
      </c>
      <c r="K7" s="18">
        <f>SUM(J7)+2</f>
        <v>42</v>
      </c>
      <c r="L7" s="18">
        <f t="shared" ref="L7:M7" si="1">SUM(K7)+2</f>
        <v>44</v>
      </c>
      <c r="M7" s="22">
        <f t="shared" si="1"/>
        <v>46</v>
      </c>
    </row>
    <row r="8" spans="1:13" s="1" customFormat="1" ht="14.1" customHeight="1">
      <c r="A8" s="12"/>
      <c r="B8" s="24" t="s">
        <v>19</v>
      </c>
      <c r="C8" s="24"/>
      <c r="D8" s="25" t="s">
        <v>22</v>
      </c>
      <c r="E8" s="26"/>
      <c r="F8" s="26"/>
      <c r="G8" s="27"/>
      <c r="H8" s="19"/>
      <c r="I8" s="19"/>
      <c r="J8" s="21"/>
      <c r="K8" s="19"/>
      <c r="L8" s="19"/>
      <c r="M8" s="23"/>
    </row>
    <row r="9" spans="1:13" s="1" customFormat="1" ht="14.1" customHeight="1">
      <c r="A9" s="12">
        <v>4</v>
      </c>
      <c r="B9" s="28" t="s">
        <v>20</v>
      </c>
      <c r="C9" s="28"/>
      <c r="D9" s="29" t="s">
        <v>90</v>
      </c>
      <c r="E9" s="29"/>
      <c r="F9" s="29"/>
      <c r="G9" s="29"/>
      <c r="H9" s="18">
        <f>SUM(I9)-4</f>
        <v>54</v>
      </c>
      <c r="I9" s="18">
        <f>SUM(J9)-4</f>
        <v>58</v>
      </c>
      <c r="J9" s="20">
        <v>62</v>
      </c>
      <c r="K9" s="18">
        <f>SUM(J9)+3.8</f>
        <v>65.8</v>
      </c>
      <c r="L9" s="18">
        <f t="shared" ref="L9:M9" si="2">SUM(K9)+3.8</f>
        <v>69.599999999999994</v>
      </c>
      <c r="M9" s="22">
        <f t="shared" si="2"/>
        <v>73.399999999999991</v>
      </c>
    </row>
    <row r="10" spans="1:13" s="1" customFormat="1" ht="14.1" customHeight="1">
      <c r="A10" s="12"/>
      <c r="B10" s="24" t="s">
        <v>9</v>
      </c>
      <c r="C10" s="24"/>
      <c r="D10" s="25" t="s">
        <v>116</v>
      </c>
      <c r="E10" s="26"/>
      <c r="F10" s="26"/>
      <c r="G10" s="27"/>
      <c r="H10" s="19"/>
      <c r="I10" s="19"/>
      <c r="J10" s="21"/>
      <c r="K10" s="19"/>
      <c r="L10" s="19"/>
      <c r="M10" s="23"/>
    </row>
    <row r="11" spans="1:13" s="1" customFormat="1" ht="14.1" customHeight="1">
      <c r="A11" s="12">
        <v>5</v>
      </c>
      <c r="B11" s="28" t="s">
        <v>78</v>
      </c>
      <c r="C11" s="28"/>
      <c r="D11" s="29" t="s">
        <v>0</v>
      </c>
      <c r="E11" s="29"/>
      <c r="F11" s="29"/>
      <c r="G11" s="29"/>
      <c r="H11" s="18">
        <f>SUM(I11)-0.9</f>
        <v>14.8</v>
      </c>
      <c r="I11" s="18">
        <f>SUM(J11)-0.9</f>
        <v>15.700000000000001</v>
      </c>
      <c r="J11" s="20">
        <v>16.600000000000001</v>
      </c>
      <c r="K11" s="18">
        <f>SUM(J11)+0.9</f>
        <v>17.5</v>
      </c>
      <c r="L11" s="18">
        <f t="shared" ref="L11:M11" si="3">SUM(K11)+0.9</f>
        <v>18.399999999999999</v>
      </c>
      <c r="M11" s="22">
        <f t="shared" si="3"/>
        <v>19.299999999999997</v>
      </c>
    </row>
    <row r="12" spans="1:13" s="1" customFormat="1" ht="14.1" customHeight="1">
      <c r="A12" s="12"/>
      <c r="B12" s="24" t="s">
        <v>10</v>
      </c>
      <c r="C12" s="24"/>
      <c r="D12" s="25" t="s">
        <v>23</v>
      </c>
      <c r="E12" s="26"/>
      <c r="F12" s="26"/>
      <c r="G12" s="27"/>
      <c r="H12" s="19"/>
      <c r="I12" s="19"/>
      <c r="J12" s="21"/>
      <c r="K12" s="19"/>
      <c r="L12" s="19"/>
      <c r="M12" s="23"/>
    </row>
    <row r="13" spans="1:13" s="1" customFormat="1" ht="14.1" customHeight="1">
      <c r="A13" s="12">
        <v>6</v>
      </c>
      <c r="B13" s="28" t="s">
        <v>1</v>
      </c>
      <c r="C13" s="28"/>
      <c r="D13" s="29" t="s">
        <v>85</v>
      </c>
      <c r="E13" s="29"/>
      <c r="F13" s="29"/>
      <c r="G13" s="29"/>
      <c r="H13" s="18">
        <f>SUM(I13)-0.6</f>
        <v>15.6</v>
      </c>
      <c r="I13" s="18">
        <f>SUM(J13)-0.6</f>
        <v>16.2</v>
      </c>
      <c r="J13" s="20">
        <v>16.8</v>
      </c>
      <c r="K13" s="18">
        <f>SUM(J13)+0.6</f>
        <v>17.400000000000002</v>
      </c>
      <c r="L13" s="28">
        <f>SUM(K13)+0.6</f>
        <v>18.000000000000004</v>
      </c>
      <c r="M13" s="22">
        <f>SUM(L13)+0.6</f>
        <v>18.600000000000005</v>
      </c>
    </row>
    <row r="14" spans="1:13" s="1" customFormat="1" ht="14.1" customHeight="1">
      <c r="A14" s="12"/>
      <c r="B14" s="24" t="s">
        <v>11</v>
      </c>
      <c r="C14" s="24"/>
      <c r="D14" s="25" t="s">
        <v>24</v>
      </c>
      <c r="E14" s="26"/>
      <c r="F14" s="26"/>
      <c r="G14" s="27"/>
      <c r="H14" s="19"/>
      <c r="I14" s="19"/>
      <c r="J14" s="21"/>
      <c r="K14" s="19"/>
      <c r="L14" s="24"/>
      <c r="M14" s="23"/>
    </row>
    <row r="15" spans="1:13" s="1" customFormat="1" ht="14.1" customHeight="1">
      <c r="A15" s="12">
        <v>7</v>
      </c>
      <c r="B15" s="28" t="s">
        <v>2</v>
      </c>
      <c r="C15" s="28"/>
      <c r="D15" s="29" t="s">
        <v>3</v>
      </c>
      <c r="E15" s="29"/>
      <c r="F15" s="29"/>
      <c r="G15" s="29"/>
      <c r="H15" s="18">
        <f>SUM(I15)-0.3</f>
        <v>6.9</v>
      </c>
      <c r="I15" s="18">
        <f>SUM(J15)-0.3</f>
        <v>7.2</v>
      </c>
      <c r="J15" s="20">
        <v>7.5</v>
      </c>
      <c r="K15" s="18">
        <f>SUM(J15)+0.3</f>
        <v>7.8</v>
      </c>
      <c r="L15" s="18">
        <f t="shared" ref="L15:M15" si="4">SUM(K15)+0.3</f>
        <v>8.1</v>
      </c>
      <c r="M15" s="22">
        <f t="shared" si="4"/>
        <v>8.4</v>
      </c>
    </row>
    <row r="16" spans="1:13" s="1" customFormat="1" ht="14.1" customHeight="1">
      <c r="A16" s="12"/>
      <c r="B16" s="24" t="s">
        <v>12</v>
      </c>
      <c r="C16" s="24"/>
      <c r="D16" s="25" t="s">
        <v>35</v>
      </c>
      <c r="E16" s="26"/>
      <c r="F16" s="26"/>
      <c r="G16" s="27"/>
      <c r="H16" s="19"/>
      <c r="I16" s="19"/>
      <c r="J16" s="21"/>
      <c r="K16" s="19"/>
      <c r="L16" s="19"/>
      <c r="M16" s="23"/>
    </row>
    <row r="17" spans="1:13" s="1" customFormat="1" ht="14.1" customHeight="1">
      <c r="A17" s="12">
        <v>8</v>
      </c>
      <c r="B17" s="32" t="s">
        <v>39</v>
      </c>
      <c r="C17" s="33"/>
      <c r="D17" s="34" t="s">
        <v>45</v>
      </c>
      <c r="E17" s="35"/>
      <c r="F17" s="35"/>
      <c r="G17" s="36"/>
      <c r="H17" s="18">
        <f>SUM(I17)-1.6</f>
        <v>40.699999999999996</v>
      </c>
      <c r="I17" s="18">
        <f>SUM(J17)-1.6</f>
        <v>42.3</v>
      </c>
      <c r="J17" s="20">
        <v>43.9</v>
      </c>
      <c r="K17" s="18">
        <f>SUM(J17)+1.6</f>
        <v>45.5</v>
      </c>
      <c r="L17" s="18">
        <f t="shared" ref="L17:M17" si="5">SUM(K17)+1.6</f>
        <v>47.1</v>
      </c>
      <c r="M17" s="22">
        <f t="shared" si="5"/>
        <v>48.7</v>
      </c>
    </row>
    <row r="18" spans="1:13" s="1" customFormat="1" ht="14.1" customHeight="1">
      <c r="A18" s="12"/>
      <c r="B18" s="24" t="s">
        <v>15</v>
      </c>
      <c r="C18" s="24"/>
      <c r="D18" s="25" t="s">
        <v>46</v>
      </c>
      <c r="E18" s="26"/>
      <c r="F18" s="26"/>
      <c r="G18" s="27"/>
      <c r="H18" s="19"/>
      <c r="I18" s="19"/>
      <c r="J18" s="21"/>
      <c r="K18" s="19"/>
      <c r="L18" s="19"/>
      <c r="M18" s="23"/>
    </row>
    <row r="19" spans="1:13" s="1" customFormat="1" ht="14.1" customHeight="1">
      <c r="A19" s="12">
        <v>9</v>
      </c>
      <c r="B19" s="32" t="s">
        <v>110</v>
      </c>
      <c r="C19" s="33"/>
      <c r="D19" s="35"/>
      <c r="E19" s="35"/>
      <c r="F19" s="35"/>
      <c r="G19" s="35"/>
      <c r="H19" s="18">
        <f>SUM(I19)-0.2</f>
        <v>3.0999999999999996</v>
      </c>
      <c r="I19" s="18">
        <f>SUM(J19)-0.2</f>
        <v>3.3</v>
      </c>
      <c r="J19" s="53">
        <v>3.5</v>
      </c>
      <c r="K19" s="88">
        <f>SUM(J19)+0.2</f>
        <v>3.7</v>
      </c>
      <c r="L19" s="88">
        <f t="shared" ref="L19:M19" si="6">SUM(K19)+0.2</f>
        <v>3.9000000000000004</v>
      </c>
      <c r="M19" s="89">
        <f t="shared" si="6"/>
        <v>4.1000000000000005</v>
      </c>
    </row>
    <row r="20" spans="1:13" s="1" customFormat="1" ht="14.1" customHeight="1">
      <c r="A20" s="12"/>
      <c r="B20" s="93" t="s">
        <v>111</v>
      </c>
      <c r="C20" s="93"/>
      <c r="D20" s="15" t="s">
        <v>112</v>
      </c>
      <c r="E20" s="16"/>
      <c r="F20" s="16"/>
      <c r="G20" s="17"/>
      <c r="H20" s="61"/>
      <c r="I20" s="61"/>
      <c r="J20" s="20"/>
      <c r="K20" s="18"/>
      <c r="L20" s="18"/>
      <c r="M20" s="22"/>
    </row>
    <row r="21" spans="1:13" s="1" customFormat="1" ht="14.1" customHeight="1">
      <c r="A21" s="12">
        <v>10</v>
      </c>
      <c r="B21" s="28" t="s">
        <v>4</v>
      </c>
      <c r="C21" s="28"/>
      <c r="D21" s="29" t="s">
        <v>117</v>
      </c>
      <c r="E21" s="29"/>
      <c r="F21" s="29"/>
      <c r="G21" s="29"/>
      <c r="H21" s="18">
        <f>SUM(I21)-3.7</f>
        <v>31.399999999999995</v>
      </c>
      <c r="I21" s="18">
        <f>SUM(J21)-3.7</f>
        <v>35.099999999999994</v>
      </c>
      <c r="J21" s="20">
        <v>38.799999999999997</v>
      </c>
      <c r="K21" s="18">
        <f>SUM(J21)+3.8</f>
        <v>42.599999999999994</v>
      </c>
      <c r="L21" s="18">
        <f t="shared" ref="L21:M21" si="7">SUM(K21)+3.8</f>
        <v>46.399999999999991</v>
      </c>
      <c r="M21" s="22">
        <f t="shared" si="7"/>
        <v>50.199999999999989</v>
      </c>
    </row>
    <row r="22" spans="1:13" s="1" customFormat="1" ht="14.1" customHeight="1">
      <c r="A22" s="12"/>
      <c r="B22" s="24" t="s">
        <v>77</v>
      </c>
      <c r="C22" s="24"/>
      <c r="D22" s="25" t="s">
        <v>25</v>
      </c>
      <c r="E22" s="26"/>
      <c r="F22" s="26"/>
      <c r="G22" s="27"/>
      <c r="H22" s="19"/>
      <c r="I22" s="19"/>
      <c r="J22" s="21"/>
      <c r="K22" s="19"/>
      <c r="L22" s="19"/>
      <c r="M22" s="23"/>
    </row>
    <row r="23" spans="1:13" s="1" customFormat="1" ht="14.1" customHeight="1">
      <c r="A23" s="12">
        <v>11</v>
      </c>
      <c r="B23" s="28" t="s">
        <v>6</v>
      </c>
      <c r="C23" s="28"/>
      <c r="D23" s="34" t="s">
        <v>7</v>
      </c>
      <c r="E23" s="35"/>
      <c r="F23" s="35"/>
      <c r="G23" s="36"/>
      <c r="H23" s="18"/>
      <c r="I23" s="18"/>
      <c r="J23" s="20"/>
      <c r="K23" s="18"/>
      <c r="L23" s="18"/>
      <c r="M23" s="22"/>
    </row>
    <row r="24" spans="1:13" s="1" customFormat="1" ht="14.1" customHeight="1">
      <c r="A24" s="12"/>
      <c r="B24" s="24" t="s">
        <v>13</v>
      </c>
      <c r="C24" s="24"/>
      <c r="D24" s="25" t="s">
        <v>34</v>
      </c>
      <c r="E24" s="26"/>
      <c r="F24" s="26"/>
      <c r="G24" s="27"/>
      <c r="H24" s="19"/>
      <c r="I24" s="19"/>
      <c r="J24" s="21"/>
      <c r="K24" s="19"/>
      <c r="L24" s="19"/>
      <c r="M24" s="23"/>
    </row>
    <row r="25" spans="1:13" s="1" customFormat="1" ht="14.1" customHeight="1">
      <c r="A25" s="12">
        <v>12</v>
      </c>
      <c r="B25" s="32" t="s">
        <v>113</v>
      </c>
      <c r="C25" s="33"/>
      <c r="D25" s="29"/>
      <c r="E25" s="29"/>
      <c r="F25" s="29"/>
      <c r="G25" s="29"/>
      <c r="H25" s="18">
        <f>SUM(I25)-0.6</f>
        <v>16.799999999999997</v>
      </c>
      <c r="I25" s="18">
        <f>SUM(J25)-0.6</f>
        <v>17.399999999999999</v>
      </c>
      <c r="J25" s="20">
        <v>18</v>
      </c>
      <c r="K25" s="18">
        <f>SUM(J25)+0.6</f>
        <v>18.600000000000001</v>
      </c>
      <c r="L25" s="18">
        <f t="shared" ref="L25:M25" si="8">SUM(K25)+0.6</f>
        <v>19.200000000000003</v>
      </c>
      <c r="M25" s="22">
        <f t="shared" si="8"/>
        <v>19.800000000000004</v>
      </c>
    </row>
    <row r="26" spans="1:13" s="1" customFormat="1" ht="14.1" customHeight="1">
      <c r="A26" s="12"/>
      <c r="B26" s="24" t="s">
        <v>114</v>
      </c>
      <c r="C26" s="24"/>
      <c r="D26" s="25" t="s">
        <v>115</v>
      </c>
      <c r="E26" s="26"/>
      <c r="F26" s="26"/>
      <c r="G26" s="27"/>
      <c r="H26" s="19"/>
      <c r="I26" s="19"/>
      <c r="J26" s="21"/>
      <c r="K26" s="19"/>
      <c r="L26" s="19"/>
      <c r="M26" s="23"/>
    </row>
    <row r="27" spans="1:13" ht="14.1" customHeight="1">
      <c r="A27" s="12">
        <v>13</v>
      </c>
      <c r="B27" s="32" t="s">
        <v>91</v>
      </c>
      <c r="C27" s="33"/>
      <c r="D27" s="34"/>
      <c r="E27" s="35"/>
      <c r="F27" s="35"/>
      <c r="G27" s="36"/>
      <c r="H27" s="18">
        <f>SUM(I27)-1.4</f>
        <v>14.2</v>
      </c>
      <c r="I27" s="18">
        <f>SUM(J27)-1.4</f>
        <v>15.6</v>
      </c>
      <c r="J27" s="20">
        <v>17</v>
      </c>
      <c r="K27" s="18">
        <f>SUM(J27)+1.4</f>
        <v>18.399999999999999</v>
      </c>
      <c r="L27" s="18">
        <f t="shared" ref="L27:M27" si="9">SUM(K27)+1.4</f>
        <v>19.799999999999997</v>
      </c>
      <c r="M27" s="22">
        <f t="shared" si="9"/>
        <v>21.199999999999996</v>
      </c>
    </row>
    <row r="28" spans="1:13" ht="14.1" customHeight="1">
      <c r="A28" s="12"/>
      <c r="B28" s="39" t="s">
        <v>49</v>
      </c>
      <c r="C28" s="40"/>
      <c r="D28" s="25"/>
      <c r="E28" s="26"/>
      <c r="F28" s="26"/>
      <c r="G28" s="27"/>
      <c r="H28" s="19"/>
      <c r="I28" s="19"/>
      <c r="J28" s="21"/>
      <c r="K28" s="19"/>
      <c r="L28" s="19"/>
      <c r="M28" s="23"/>
    </row>
    <row r="29" spans="1:13" ht="14.1" customHeight="1">
      <c r="A29" s="12">
        <v>14</v>
      </c>
      <c r="B29" s="37" t="s">
        <v>41</v>
      </c>
      <c r="C29" s="38"/>
      <c r="D29" s="48"/>
      <c r="E29" s="49"/>
      <c r="F29" s="49"/>
      <c r="G29" s="50"/>
      <c r="H29" s="18">
        <f>SUM(I29)-1.6</f>
        <v>14.499999999999998</v>
      </c>
      <c r="I29" s="18">
        <f>SUM(J29)-1.6</f>
        <v>16.099999999999998</v>
      </c>
      <c r="J29" s="20">
        <v>17.7</v>
      </c>
      <c r="K29" s="18">
        <f>SUM(J29)+1.6</f>
        <v>19.3</v>
      </c>
      <c r="L29" s="18">
        <f t="shared" ref="L29:M29" si="10">SUM(K29)+1.6</f>
        <v>20.900000000000002</v>
      </c>
      <c r="M29" s="22">
        <f t="shared" si="10"/>
        <v>22.500000000000004</v>
      </c>
    </row>
    <row r="30" spans="1:13" ht="14.1" customHeight="1">
      <c r="A30" s="12"/>
      <c r="B30" s="45" t="s">
        <v>40</v>
      </c>
      <c r="C30" s="46"/>
      <c r="D30" s="42"/>
      <c r="E30" s="43"/>
      <c r="F30" s="43"/>
      <c r="G30" s="44"/>
      <c r="H30" s="19"/>
      <c r="I30" s="19"/>
      <c r="J30" s="21"/>
      <c r="K30" s="19"/>
      <c r="L30" s="19"/>
      <c r="M30" s="23"/>
    </row>
    <row r="31" spans="1:13" ht="14.1" customHeight="1">
      <c r="A31" s="12">
        <v>15</v>
      </c>
      <c r="B31" s="37"/>
      <c r="C31" s="38"/>
      <c r="D31" s="48"/>
      <c r="E31" s="49"/>
      <c r="F31" s="49"/>
      <c r="G31" s="50"/>
      <c r="H31" s="18"/>
      <c r="I31" s="18"/>
      <c r="J31" s="53"/>
      <c r="K31" s="18"/>
      <c r="L31" s="18"/>
      <c r="M31" s="22"/>
    </row>
    <row r="32" spans="1:13" ht="14.1" customHeight="1">
      <c r="A32" s="12"/>
      <c r="B32" s="45"/>
      <c r="C32" s="46"/>
      <c r="D32" s="42"/>
      <c r="E32" s="43"/>
      <c r="F32" s="43"/>
      <c r="G32" s="44"/>
      <c r="H32" s="19"/>
      <c r="I32" s="19"/>
      <c r="J32" s="53"/>
      <c r="K32" s="19"/>
      <c r="L32" s="19"/>
      <c r="M32" s="23"/>
    </row>
    <row r="33" spans="1:13" ht="14.1" customHeight="1">
      <c r="A33" s="12">
        <v>16</v>
      </c>
      <c r="B33" s="37"/>
      <c r="C33" s="38"/>
      <c r="D33" s="48"/>
      <c r="E33" s="49"/>
      <c r="F33" s="49"/>
      <c r="G33" s="50"/>
      <c r="H33" s="18"/>
      <c r="I33" s="18"/>
      <c r="J33" s="20"/>
      <c r="K33" s="18"/>
      <c r="L33" s="18"/>
      <c r="M33" s="22"/>
    </row>
    <row r="34" spans="1:13" ht="14.1" customHeight="1" thickBot="1">
      <c r="A34" s="51"/>
      <c r="B34" s="56"/>
      <c r="C34" s="57"/>
      <c r="D34" s="58"/>
      <c r="E34" s="59"/>
      <c r="F34" s="59"/>
      <c r="G34" s="60"/>
      <c r="H34" s="52"/>
      <c r="I34" s="52"/>
      <c r="J34" s="54"/>
      <c r="K34" s="52"/>
      <c r="L34" s="52"/>
      <c r="M34" s="55"/>
    </row>
    <row r="35" spans="1:13" ht="14.1" customHeight="1"/>
    <row r="36" spans="1:13" ht="14.1" customHeight="1"/>
    <row r="37" spans="1:13" ht="14.1" customHeight="1"/>
    <row r="38" spans="1:13" ht="14.1" customHeight="1"/>
    <row r="39" spans="1:13" ht="14.1" customHeight="1"/>
    <row r="40" spans="1:13" ht="14.1" customHeight="1"/>
    <row r="41" spans="1:13" ht="14.1" customHeight="1"/>
    <row r="42" spans="1:13" ht="14.1" customHeight="1"/>
    <row r="43" spans="1:13" ht="14.1" customHeight="1"/>
    <row r="44" spans="1:13" ht="14.1" customHeight="1"/>
    <row r="45" spans="1:13" ht="14.1" customHeight="1"/>
    <row r="46" spans="1:13" ht="14.1" customHeight="1"/>
    <row r="47" spans="1:13" ht="14.1" customHeight="1"/>
    <row r="48" spans="1:13" ht="14.1" customHeight="1"/>
    <row r="49" ht="14.1" customHeight="1"/>
    <row r="50" ht="14.1" customHeight="1"/>
    <row r="51" ht="14.1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</sheetData>
  <mergeCells count="179"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K13:K14"/>
    <mergeCell ref="L13:L14"/>
    <mergeCell ref="M13:M14"/>
    <mergeCell ref="B14:C14"/>
    <mergeCell ref="D14:G14"/>
    <mergeCell ref="A13:A14"/>
    <mergeCell ref="B13:C13"/>
    <mergeCell ref="D13:G13"/>
    <mergeCell ref="H13:H14"/>
    <mergeCell ref="I13:I14"/>
    <mergeCell ref="J13:J14"/>
    <mergeCell ref="A17:A18"/>
    <mergeCell ref="B17:C17"/>
    <mergeCell ref="D17:G17"/>
    <mergeCell ref="H17:H18"/>
    <mergeCell ref="I17:I18"/>
    <mergeCell ref="A15:A16"/>
    <mergeCell ref="B15:C15"/>
    <mergeCell ref="D15:G15"/>
    <mergeCell ref="H15:H16"/>
    <mergeCell ref="I15:I16"/>
    <mergeCell ref="J17:J18"/>
    <mergeCell ref="K17:K18"/>
    <mergeCell ref="L17:L18"/>
    <mergeCell ref="M17:M18"/>
    <mergeCell ref="B18:C18"/>
    <mergeCell ref="D18:G18"/>
    <mergeCell ref="K15:K16"/>
    <mergeCell ref="L15:L16"/>
    <mergeCell ref="M15:M16"/>
    <mergeCell ref="B16:C16"/>
    <mergeCell ref="D16:G16"/>
    <mergeCell ref="J15:J16"/>
    <mergeCell ref="A21:A22"/>
    <mergeCell ref="B21:C21"/>
    <mergeCell ref="D21:G21"/>
    <mergeCell ref="H21:H22"/>
    <mergeCell ref="I21:I22"/>
    <mergeCell ref="A19:A20"/>
    <mergeCell ref="B19:C19"/>
    <mergeCell ref="D19:G19"/>
    <mergeCell ref="H19:H20"/>
    <mergeCell ref="I19:I20"/>
    <mergeCell ref="J21:J22"/>
    <mergeCell ref="K21:K22"/>
    <mergeCell ref="L21:L22"/>
    <mergeCell ref="M21:M22"/>
    <mergeCell ref="B22:C22"/>
    <mergeCell ref="D22:G22"/>
    <mergeCell ref="K19:K20"/>
    <mergeCell ref="L19:L20"/>
    <mergeCell ref="M19:M20"/>
    <mergeCell ref="B20:C20"/>
    <mergeCell ref="D20:G20"/>
    <mergeCell ref="J19:J20"/>
    <mergeCell ref="A25:A26"/>
    <mergeCell ref="B25:C25"/>
    <mergeCell ref="D25:G25"/>
    <mergeCell ref="H25:H26"/>
    <mergeCell ref="I25:I26"/>
    <mergeCell ref="A23:A24"/>
    <mergeCell ref="B23:C23"/>
    <mergeCell ref="D23:G23"/>
    <mergeCell ref="H23:H24"/>
    <mergeCell ref="I23:I24"/>
    <mergeCell ref="J25:J26"/>
    <mergeCell ref="K25:K26"/>
    <mergeCell ref="L25:L26"/>
    <mergeCell ref="M25:M26"/>
    <mergeCell ref="B26:C26"/>
    <mergeCell ref="D26:G26"/>
    <mergeCell ref="K23:K24"/>
    <mergeCell ref="L23:L24"/>
    <mergeCell ref="M23:M24"/>
    <mergeCell ref="B24:C24"/>
    <mergeCell ref="D24:G24"/>
    <mergeCell ref="J23:J24"/>
    <mergeCell ref="A29:A30"/>
    <mergeCell ref="B29:C29"/>
    <mergeCell ref="D29:G29"/>
    <mergeCell ref="H29:H30"/>
    <mergeCell ref="I29:I30"/>
    <mergeCell ref="A27:A28"/>
    <mergeCell ref="B27:C27"/>
    <mergeCell ref="D27:G27"/>
    <mergeCell ref="H27:H28"/>
    <mergeCell ref="I27:I28"/>
    <mergeCell ref="J29:J30"/>
    <mergeCell ref="K29:K30"/>
    <mergeCell ref="L29:L30"/>
    <mergeCell ref="M29:M30"/>
    <mergeCell ref="B30:C30"/>
    <mergeCell ref="D30:G30"/>
    <mergeCell ref="K27:K28"/>
    <mergeCell ref="L27:L28"/>
    <mergeCell ref="M27:M28"/>
    <mergeCell ref="B28:C28"/>
    <mergeCell ref="D28:G28"/>
    <mergeCell ref="J27:J28"/>
    <mergeCell ref="A33:A34"/>
    <mergeCell ref="B33:C33"/>
    <mergeCell ref="D33:G33"/>
    <mergeCell ref="H33:H34"/>
    <mergeCell ref="I33:I34"/>
    <mergeCell ref="A31:A32"/>
    <mergeCell ref="B31:C31"/>
    <mergeCell ref="D31:G31"/>
    <mergeCell ref="H31:H32"/>
    <mergeCell ref="I31:I32"/>
    <mergeCell ref="J33:J34"/>
    <mergeCell ref="K33:K34"/>
    <mergeCell ref="L33:L34"/>
    <mergeCell ref="M33:M34"/>
    <mergeCell ref="B34:C34"/>
    <mergeCell ref="D34:G34"/>
    <mergeCell ref="K31:K32"/>
    <mergeCell ref="L31:L32"/>
    <mergeCell ref="M31:M32"/>
    <mergeCell ref="B32:C32"/>
    <mergeCell ref="D32:G32"/>
    <mergeCell ref="J31:J32"/>
  </mergeCells>
  <phoneticPr fontId="8" type="noConversion"/>
  <printOptions horizontalCentered="1"/>
  <pageMargins left="0" right="1.0416666666666666E-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FSL02</vt:lpstr>
      <vt:lpstr>FSL03</vt:lpstr>
      <vt:lpstr>'FSL02'!Print_Area</vt:lpstr>
      <vt:lpstr>'FSL03'!Print_Area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2026-04-13T06:18:45Z</cp:lastPrinted>
  <dcterms:created xsi:type="dcterms:W3CDTF">2018-05-14T06:17:18Z</dcterms:created>
  <dcterms:modified xsi:type="dcterms:W3CDTF">2026-06-04T05:38:40Z</dcterms:modified>
</cp:coreProperties>
</file>