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6월09일\"/>
    </mc:Choice>
  </mc:AlternateContent>
  <xr:revisionPtr revIDLastSave="0" documentId="13_ncr:1_{3CF7F018-49A2-4C8E-9DFA-D5084758D960}" xr6:coauthVersionLast="47" xr6:coauthVersionMax="47" xr10:uidLastSave="{00000000-0000-0000-0000-000000000000}"/>
  <bookViews>
    <workbookView xWindow="34110" yWindow="885" windowWidth="19620" windowHeight="14145" tabRatio="776" activeTab="1" xr2:uid="{00000000-000D-0000-FFFF-FFFF00000000}"/>
  </bookViews>
  <sheets>
    <sheet name="MTO01" sheetId="958" r:id="rId1"/>
    <sheet name="TO21" sheetId="959" r:id="rId2"/>
  </sheets>
  <definedNames>
    <definedName name="_xlnm.Print_Area" localSheetId="0">'MTO01'!$A$1:$M$28</definedName>
    <definedName name="_xlnm.Print_Area" localSheetId="1">'TO21'!$A$1:$M$28</definedName>
  </definedNames>
  <calcPr calcId="191029"/>
</workbook>
</file>

<file path=xl/calcChain.xml><?xml version="1.0" encoding="utf-8"?>
<calcChain xmlns="http://schemas.openxmlformats.org/spreadsheetml/2006/main">
  <c r="K31" i="959" l="1"/>
  <c r="L31" i="959" s="1"/>
  <c r="M31" i="959" s="1"/>
  <c r="N31" i="959" s="1"/>
  <c r="I31" i="959"/>
  <c r="H31" i="959"/>
  <c r="K29" i="959"/>
  <c r="L29" i="959" s="1"/>
  <c r="M29" i="959" s="1"/>
  <c r="N29" i="959" s="1"/>
  <c r="I29" i="959"/>
  <c r="H29" i="959"/>
  <c r="K27" i="959"/>
  <c r="L27" i="959" s="1"/>
  <c r="M27" i="959" s="1"/>
  <c r="N27" i="959" s="1"/>
  <c r="I27" i="959"/>
  <c r="H27" i="959" s="1"/>
  <c r="K25" i="959"/>
  <c r="L25" i="959" s="1"/>
  <c r="M25" i="959" s="1"/>
  <c r="N25" i="959" s="1"/>
  <c r="I25" i="959"/>
  <c r="H25" i="959"/>
  <c r="K23" i="959"/>
  <c r="L23" i="959" s="1"/>
  <c r="M23" i="959" s="1"/>
  <c r="N23" i="959" s="1"/>
  <c r="I23" i="959"/>
  <c r="H23" i="959"/>
  <c r="K19" i="959"/>
  <c r="L19" i="959" s="1"/>
  <c r="M19" i="959" s="1"/>
  <c r="N19" i="959" s="1"/>
  <c r="I19" i="959"/>
  <c r="H19" i="959"/>
  <c r="K17" i="959"/>
  <c r="L17" i="959" s="1"/>
  <c r="M17" i="959" s="1"/>
  <c r="N17" i="959" s="1"/>
  <c r="I17" i="959"/>
  <c r="H17" i="959"/>
  <c r="K15" i="959"/>
  <c r="L15" i="959" s="1"/>
  <c r="M15" i="959" s="1"/>
  <c r="N15" i="959" s="1"/>
  <c r="I15" i="959"/>
  <c r="H15" i="959"/>
  <c r="K13" i="959"/>
  <c r="L13" i="959" s="1"/>
  <c r="M13" i="959" s="1"/>
  <c r="N13" i="959" s="1"/>
  <c r="I13" i="959"/>
  <c r="H13" i="959"/>
  <c r="K11" i="959"/>
  <c r="L11" i="959" s="1"/>
  <c r="M11" i="959" s="1"/>
  <c r="N11" i="959" s="1"/>
  <c r="I11" i="959"/>
  <c r="H11" i="959"/>
  <c r="K9" i="959"/>
  <c r="L9" i="959" s="1"/>
  <c r="M9" i="959" s="1"/>
  <c r="N9" i="959" s="1"/>
  <c r="I9" i="959"/>
  <c r="H9" i="959"/>
  <c r="K7" i="959"/>
  <c r="L7" i="959" s="1"/>
  <c r="M7" i="959" s="1"/>
  <c r="N7" i="959" s="1"/>
  <c r="I7" i="959"/>
  <c r="H7" i="959"/>
  <c r="K5" i="959"/>
  <c r="L5" i="959" s="1"/>
  <c r="M5" i="959" s="1"/>
  <c r="N5" i="959" s="1"/>
  <c r="I5" i="959"/>
  <c r="H5" i="959"/>
  <c r="K3" i="959"/>
  <c r="L3" i="959" s="1"/>
  <c r="M3" i="959" s="1"/>
  <c r="N3" i="959" s="1"/>
  <c r="I3" i="959"/>
  <c r="H3" i="959"/>
  <c r="J17" i="958"/>
  <c r="K17" i="958" s="1"/>
  <c r="H17" i="958"/>
  <c r="J15" i="958"/>
  <c r="K15" i="958" s="1"/>
  <c r="H15" i="958"/>
  <c r="J13" i="958"/>
  <c r="K13" i="958" s="1"/>
  <c r="H13" i="958"/>
  <c r="K25" i="958" l="1"/>
  <c r="K23" i="958"/>
  <c r="K19" i="958"/>
  <c r="K11" i="958"/>
  <c r="K9" i="958"/>
  <c r="K7" i="958"/>
  <c r="K5" i="958"/>
  <c r="K3" i="958"/>
  <c r="J25" i="958"/>
  <c r="H25" i="958"/>
  <c r="J9" i="958"/>
  <c r="H9" i="958"/>
  <c r="J23" i="958"/>
  <c r="H23" i="958"/>
  <c r="J19" i="958"/>
  <c r="H19" i="958"/>
  <c r="J11" i="958"/>
  <c r="H11" i="958"/>
  <c r="J7" i="958"/>
  <c r="H7" i="958"/>
  <c r="J5" i="958"/>
  <c r="H5" i="958"/>
  <c r="J3" i="958"/>
  <c r="H3" i="958"/>
</calcChain>
</file>

<file path=xl/sharedStrings.xml><?xml version="1.0" encoding="utf-8"?>
<sst xmlns="http://schemas.openxmlformats.org/spreadsheetml/2006/main" count="125" uniqueCount="79">
  <si>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</si>
  <si>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</si>
  <si>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</si>
  <si>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</si>
  <si>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</si>
  <si>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</si>
  <si>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</si>
  <si>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</si>
  <si>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</si>
  <si>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</si>
  <si>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</si>
  <si>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</si>
  <si>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</si>
  <si>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</si>
  <si>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</si>
  <si>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</si>
  <si>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</si>
  <si>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</si>
  <si>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</si>
  <si>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</si>
  <si>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</si>
  <si>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</si>
  <si>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</si>
  <si>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</si>
  <si>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</si>
  <si>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</si>
  <si>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</si>
  <si>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</si>
  <si>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</si>
  <si>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</si>
  <si>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</si>
  <si>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</si>
  <si>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</si>
  <si>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</si>
  <si>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</si>
  <si>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</si>
  <si>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</si>
  <si>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옆목점에서 밑단까지의 직선길이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</si>
  <si>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</si>
  <si>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</si>
  <si>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</si>
  <si>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 xml:space="preserve"> </t>
    <phoneticPr fontId="1" type="noConversion"/>
  </si>
  <si>
    <t xml:space="preserve">INCLUDE WAIST BAND TO EDGE </t>
    <phoneticPr fontId="1" type="noConversion"/>
  </si>
  <si>
    <t xml:space="preserve">CUFFS OPENING </t>
    <phoneticPr fontId="2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</si>
  <si>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</si>
  <si>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 xml:space="preserve">앞목중심에서 수직으로 </t>
    <phoneticPr fontId="1" type="noConversion"/>
  </si>
  <si>
    <t>FROM FRONT NECK CENTER TO VERTICAL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</si>
  <si>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</si>
  <si>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</si>
  <si>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</si>
  <si>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POINT A</t>
    <phoneticPr fontId="1" type="noConversion"/>
  </si>
  <si>
    <t>위치 A</t>
    <phoneticPr fontId="1" type="noConversion"/>
  </si>
  <si>
    <t xml:space="preserve"> </t>
    <phoneticPr fontId="9" type="noConversion"/>
  </si>
  <si>
    <t>12M</t>
    <phoneticPr fontId="9" type="noConversion"/>
  </si>
  <si>
    <t>18M</t>
    <phoneticPr fontId="9" type="noConversion"/>
  </si>
  <si>
    <t>24M</t>
    <phoneticPr fontId="9" type="noConversion"/>
  </si>
  <si>
    <t>3Y</t>
    <phoneticPr fontId="9" type="noConversion"/>
  </si>
  <si>
    <t>STYLE NO: MYFTO01-K#H06</t>
    <phoneticPr fontId="1" type="noConversion"/>
  </si>
  <si>
    <t>STYLE NO: JYFTO21-K#Y22</t>
    <phoneticPr fontId="1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</si>
  <si>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</si>
  <si>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</si>
  <si>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</si>
  <si>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</si>
  <si>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2XL</t>
    <phoneticPr fontId="1" type="noConversion"/>
  </si>
  <si>
    <t>3XL</t>
    <phoneticPr fontId="1" type="noConversion"/>
  </si>
  <si>
    <t>4XL</t>
  </si>
  <si>
    <t>HPS TO BOTTOM EDGE</t>
    <phoneticPr fontId="2" type="noConversion"/>
  </si>
  <si>
    <t>WITHOUT NECK BAND</t>
    <phoneticPr fontId="2" type="noConversion"/>
  </si>
  <si>
    <t xml:space="preserve">CUFF OPENING </t>
    <phoneticPr fontId="2" type="noConversion"/>
  </si>
  <si>
    <t xml:space="preserve">1ST FRILL LENGTH </t>
    <phoneticPr fontId="1" type="noConversion"/>
  </si>
  <si>
    <t>1단프릴 기장</t>
    <phoneticPr fontId="1" type="noConversion"/>
  </si>
  <si>
    <t>중심,보이는분분</t>
    <phoneticPr fontId="9" type="noConversion"/>
  </si>
  <si>
    <t xml:space="preserve">2ND FRILL LENGTH </t>
    <phoneticPr fontId="1" type="noConversion"/>
  </si>
  <si>
    <t>2단프릴 기장</t>
    <phoneticPr fontId="1" type="noConversion"/>
  </si>
  <si>
    <t>SHOULDER 6G BAND</t>
    <phoneticPr fontId="1" type="noConversion"/>
  </si>
  <si>
    <t>어깨6골고무줄</t>
    <phoneticPr fontId="1" type="noConversion"/>
  </si>
  <si>
    <t>완성사이즈</t>
    <phoneticPr fontId="9" type="noConversion"/>
  </si>
  <si>
    <t>BACK SLIT LENGTH</t>
    <phoneticPr fontId="1" type="noConversion"/>
  </si>
  <si>
    <t>뒤트임길이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</si>
</sst>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6" fillId="0" borderId="36" xfId="0" applyFont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9434BCD1-6BDF-4D35-8822-270B40A14F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9572-89B6-4F86-AC46-241C2C1C2D32}">
  <sheetPr>
    <tabColor theme="9"/>
    <pageSetUpPr fitToPage="1"/>
  </sheetPr>
  <dimension ref="A1:O51"/>
  <sheetViews>
    <sheetView zoomScale="110" zoomScaleNormal="110" workbookViewId="0">
      <selection activeCell="N22" sqref="N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48" t="s">
        <v>57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5" ht="16.5" customHeight="1" thickBot="1" x14ac:dyDescent="0.35">
      <c r="A2" s="5" t="s">
        <v>31</v>
      </c>
      <c r="B2" s="51" t="s">
        <v>32</v>
      </c>
      <c r="C2" s="51"/>
      <c r="D2" s="51" t="s">
        <v>33</v>
      </c>
      <c r="E2" s="51"/>
      <c r="F2" s="51"/>
      <c r="G2" s="51"/>
      <c r="H2" s="6" t="s">
        <v>53</v>
      </c>
      <c r="I2" s="3" t="s">
        <v>54</v>
      </c>
      <c r="J2" s="4" t="s">
        <v>55</v>
      </c>
      <c r="K2" s="4" t="s">
        <v>56</v>
      </c>
      <c r="L2" s="4"/>
      <c r="M2" s="4"/>
      <c r="N2" t="s">
        <v>41</v>
      </c>
    </row>
    <row r="3" spans="1:15" s="2" customFormat="1" ht="14.1" customHeight="1" x14ac:dyDescent="0.3">
      <c r="A3" s="25">
        <v>1</v>
      </c>
      <c r="B3" s="52" t="s">
        <v>23</v>
      </c>
      <c r="C3" s="52"/>
      <c r="D3" s="53" t="s">
        <v>44</v>
      </c>
      <c r="E3" s="53"/>
      <c r="F3" s="53"/>
      <c r="G3" s="54"/>
      <c r="H3" s="55">
        <f>SUM(I3)-3</f>
        <v>32.5</v>
      </c>
      <c r="I3" s="57">
        <v>35.5</v>
      </c>
      <c r="J3" s="58">
        <f>SUM(I3)+3</f>
        <v>38.5</v>
      </c>
      <c r="K3" s="58">
        <f>SUM(J3)+3</f>
        <v>41.5</v>
      </c>
      <c r="L3" s="52"/>
      <c r="M3" s="59"/>
    </row>
    <row r="4" spans="1:15" s="2" customFormat="1" ht="14.1" customHeight="1" x14ac:dyDescent="0.3">
      <c r="A4" s="36"/>
      <c r="B4" s="18" t="s">
        <v>20</v>
      </c>
      <c r="C4" s="18"/>
      <c r="D4" s="22" t="s">
        <v>37</v>
      </c>
      <c r="E4" s="23"/>
      <c r="F4" s="23"/>
      <c r="G4" s="23"/>
      <c r="H4" s="56"/>
      <c r="I4" s="43"/>
      <c r="J4" s="16"/>
      <c r="K4" s="16"/>
      <c r="L4" s="18"/>
      <c r="M4" s="19"/>
    </row>
    <row r="5" spans="1:15" s="2" customFormat="1" ht="14.1" customHeight="1" x14ac:dyDescent="0.3">
      <c r="A5" s="36">
        <v>2</v>
      </c>
      <c r="B5" s="17" t="s">
        <v>21</v>
      </c>
      <c r="C5" s="17"/>
      <c r="D5" s="44" t="s">
        <v>22</v>
      </c>
      <c r="E5" s="44"/>
      <c r="F5" s="44"/>
      <c r="G5" s="44"/>
      <c r="H5" s="32">
        <f>SUM(I5)-1.4</f>
        <v>28.8</v>
      </c>
      <c r="I5" s="34">
        <v>30.2</v>
      </c>
      <c r="J5" s="7">
        <f>SUM(I5)+1.4</f>
        <v>31.599999999999998</v>
      </c>
      <c r="K5" s="7">
        <f>SUM(J5)+1.4</f>
        <v>33</v>
      </c>
      <c r="L5" s="7"/>
      <c r="M5" s="9"/>
    </row>
    <row r="6" spans="1:15" s="2" customFormat="1" ht="14.1" customHeight="1" x14ac:dyDescent="0.3">
      <c r="A6" s="36"/>
      <c r="B6" s="18" t="s">
        <v>11</v>
      </c>
      <c r="C6" s="18"/>
      <c r="D6" s="22" t="s">
        <v>26</v>
      </c>
      <c r="E6" s="23"/>
      <c r="F6" s="23"/>
      <c r="G6" s="24"/>
      <c r="H6" s="42"/>
      <c r="I6" s="43"/>
      <c r="J6" s="16"/>
      <c r="K6" s="16"/>
      <c r="L6" s="16"/>
      <c r="M6" s="19"/>
    </row>
    <row r="7" spans="1:15" s="2" customFormat="1" ht="14.1" customHeight="1" x14ac:dyDescent="0.3">
      <c r="A7" s="36">
        <v>3</v>
      </c>
      <c r="B7" s="17" t="s">
        <v>19</v>
      </c>
      <c r="C7" s="17"/>
      <c r="D7" s="44" t="s">
        <v>42</v>
      </c>
      <c r="E7" s="44"/>
      <c r="F7" s="44"/>
      <c r="G7" s="44"/>
      <c r="H7" s="32">
        <f>SUM(I7)-1.5</f>
        <v>30.5</v>
      </c>
      <c r="I7" s="34">
        <v>32</v>
      </c>
      <c r="J7" s="7">
        <f>SUM(I7)+1.5</f>
        <v>33.5</v>
      </c>
      <c r="K7" s="7">
        <f>SUM(J7)+1.5</f>
        <v>35</v>
      </c>
      <c r="L7" s="7"/>
      <c r="M7" s="9"/>
    </row>
    <row r="8" spans="1:15" s="2" customFormat="1" ht="14.1" customHeight="1" x14ac:dyDescent="0.3">
      <c r="A8" s="36"/>
      <c r="B8" s="18" t="s">
        <v>24</v>
      </c>
      <c r="C8" s="18"/>
      <c r="D8" s="22" t="s">
        <v>27</v>
      </c>
      <c r="E8" s="23"/>
      <c r="F8" s="23"/>
      <c r="G8" s="24"/>
      <c r="H8" s="42"/>
      <c r="I8" s="43"/>
      <c r="J8" s="16"/>
      <c r="K8" s="16"/>
      <c r="L8" s="16"/>
      <c r="M8" s="19"/>
    </row>
    <row r="9" spans="1:15" s="2" customFormat="1" ht="14.1" customHeight="1" x14ac:dyDescent="0.3">
      <c r="A9" s="36">
        <v>4</v>
      </c>
      <c r="B9" s="17" t="s">
        <v>25</v>
      </c>
      <c r="C9" s="17"/>
      <c r="D9" s="44" t="s">
        <v>9</v>
      </c>
      <c r="E9" s="44"/>
      <c r="F9" s="44"/>
      <c r="G9" s="44"/>
      <c r="H9" s="32">
        <f>SUM(I9)-1.5</f>
        <v>30.5</v>
      </c>
      <c r="I9" s="34">
        <v>32</v>
      </c>
      <c r="J9" s="7">
        <f>SUM(I9)+1.5</f>
        <v>33.5</v>
      </c>
      <c r="K9" s="7">
        <f>SUM(J9)+1.5</f>
        <v>35</v>
      </c>
      <c r="L9" s="7"/>
      <c r="M9" s="9"/>
      <c r="O9" s="2" t="s">
        <v>52</v>
      </c>
    </row>
    <row r="10" spans="1:15" s="2" customFormat="1" ht="14.1" customHeight="1" x14ac:dyDescent="0.3">
      <c r="A10" s="36"/>
      <c r="B10" s="18" t="s">
        <v>12</v>
      </c>
      <c r="C10" s="18"/>
      <c r="D10" s="22" t="s">
        <v>28</v>
      </c>
      <c r="E10" s="23"/>
      <c r="F10" s="23"/>
      <c r="G10" s="24"/>
      <c r="H10" s="42"/>
      <c r="I10" s="43"/>
      <c r="J10" s="16"/>
      <c r="K10" s="16"/>
      <c r="L10" s="16"/>
      <c r="M10" s="19"/>
    </row>
    <row r="11" spans="1:15" s="2" customFormat="1" ht="14.1" customHeight="1" x14ac:dyDescent="0.3">
      <c r="A11" s="36">
        <v>5</v>
      </c>
      <c r="B11" s="17" t="s">
        <v>10</v>
      </c>
      <c r="C11" s="17"/>
      <c r="D11" s="44" t="s">
        <v>0</v>
      </c>
      <c r="E11" s="44"/>
      <c r="F11" s="44"/>
      <c r="G11" s="44"/>
      <c r="H11" s="32">
        <f>SUM(I11)-0.8</f>
        <v>12.2</v>
      </c>
      <c r="I11" s="34">
        <v>13</v>
      </c>
      <c r="J11" s="7">
        <f t="shared" ref="J11:K11" si="0">SUM(I11)+0.8</f>
        <v>13.8</v>
      </c>
      <c r="K11" s="7">
        <f t="shared" si="0"/>
        <v>14.600000000000001</v>
      </c>
      <c r="L11" s="7"/>
      <c r="M11" s="9"/>
    </row>
    <row r="12" spans="1:15" s="2" customFormat="1" ht="14.1" customHeight="1" x14ac:dyDescent="0.3">
      <c r="A12" s="36"/>
      <c r="B12" s="18" t="s">
        <v>13</v>
      </c>
      <c r="C12" s="18"/>
      <c r="D12" s="22" t="s">
        <v>29</v>
      </c>
      <c r="E12" s="23"/>
      <c r="F12" s="23"/>
      <c r="G12" s="24"/>
      <c r="H12" s="42"/>
      <c r="I12" s="43"/>
      <c r="J12" s="16"/>
      <c r="K12" s="16"/>
      <c r="L12" s="16"/>
      <c r="M12" s="19"/>
    </row>
    <row r="13" spans="1:15" s="2" customFormat="1" ht="14.1" customHeight="1" x14ac:dyDescent="0.3">
      <c r="A13" s="36">
        <v>6</v>
      </c>
      <c r="B13" s="17" t="s">
        <v>1</v>
      </c>
      <c r="C13" s="17"/>
      <c r="D13" s="44" t="s">
        <v>2</v>
      </c>
      <c r="E13" s="44"/>
      <c r="F13" s="44"/>
      <c r="G13" s="44"/>
      <c r="H13" s="32">
        <f>SUM(I13)-0.5</f>
        <v>15</v>
      </c>
      <c r="I13" s="34">
        <v>15.5</v>
      </c>
      <c r="J13" s="7">
        <f>SUM(I13)+0.5</f>
        <v>16</v>
      </c>
      <c r="K13" s="7">
        <f>SUM(J13)+0.5</f>
        <v>16.5</v>
      </c>
      <c r="L13" s="17"/>
      <c r="M13" s="9"/>
    </row>
    <row r="14" spans="1:15" s="2" customFormat="1" ht="14.1" customHeight="1" x14ac:dyDescent="0.3">
      <c r="A14" s="36"/>
      <c r="B14" s="18" t="s">
        <v>14</v>
      </c>
      <c r="C14" s="18"/>
      <c r="D14" s="22" t="s">
        <v>49</v>
      </c>
      <c r="E14" s="23"/>
      <c r="F14" s="23"/>
      <c r="G14" s="24"/>
      <c r="H14" s="42"/>
      <c r="I14" s="43"/>
      <c r="J14" s="16"/>
      <c r="K14" s="16"/>
      <c r="L14" s="18"/>
      <c r="M14" s="19"/>
    </row>
    <row r="15" spans="1:15" s="2" customFormat="1" ht="14.1" customHeight="1" x14ac:dyDescent="0.3">
      <c r="A15" s="36">
        <v>7</v>
      </c>
      <c r="B15" s="17" t="s">
        <v>3</v>
      </c>
      <c r="C15" s="17"/>
      <c r="D15" s="44" t="s">
        <v>4</v>
      </c>
      <c r="E15" s="44"/>
      <c r="F15" s="44"/>
      <c r="G15" s="44"/>
      <c r="H15" s="32">
        <f>SUM(I15)-0.3</f>
        <v>6.2</v>
      </c>
      <c r="I15" s="34">
        <v>6.5</v>
      </c>
      <c r="J15" s="7">
        <f>SUM(I15)+0.3</f>
        <v>6.8</v>
      </c>
      <c r="K15" s="7">
        <f>SUM(J15)+0.3</f>
        <v>7.1</v>
      </c>
      <c r="L15" s="17"/>
      <c r="M15" s="9"/>
    </row>
    <row r="16" spans="1:15" s="2" customFormat="1" ht="14.1" customHeight="1" x14ac:dyDescent="0.3">
      <c r="A16" s="36"/>
      <c r="B16" s="18" t="s">
        <v>15</v>
      </c>
      <c r="C16" s="18"/>
      <c r="D16" s="22" t="s">
        <v>48</v>
      </c>
      <c r="E16" s="23"/>
      <c r="F16" s="23"/>
      <c r="G16" s="24"/>
      <c r="H16" s="42"/>
      <c r="I16" s="43"/>
      <c r="J16" s="16"/>
      <c r="K16" s="16"/>
      <c r="L16" s="18"/>
      <c r="M16" s="19"/>
    </row>
    <row r="17" spans="1:13" s="2" customFormat="1" ht="14.1" customHeight="1" x14ac:dyDescent="0.3">
      <c r="A17" s="36">
        <v>8</v>
      </c>
      <c r="B17" s="37" t="s">
        <v>38</v>
      </c>
      <c r="C17" s="38"/>
      <c r="D17" s="45" t="s">
        <v>40</v>
      </c>
      <c r="E17" s="46"/>
      <c r="F17" s="46"/>
      <c r="G17" s="47"/>
      <c r="H17" s="32">
        <f>SUM(I17)-1.4</f>
        <v>35.6</v>
      </c>
      <c r="I17" s="34">
        <v>37</v>
      </c>
      <c r="J17" s="7">
        <f>SUM(I17)+1.4</f>
        <v>38.4</v>
      </c>
      <c r="K17" s="7">
        <f>SUM(J17)+1.4</f>
        <v>39.799999999999997</v>
      </c>
      <c r="L17" s="17"/>
      <c r="M17" s="9"/>
    </row>
    <row r="18" spans="1:13" s="2" customFormat="1" ht="14.1" customHeight="1" x14ac:dyDescent="0.3">
      <c r="A18" s="36"/>
      <c r="B18" s="18" t="s">
        <v>39</v>
      </c>
      <c r="C18" s="18"/>
      <c r="D18" s="22" t="s">
        <v>47</v>
      </c>
      <c r="E18" s="23"/>
      <c r="F18" s="23"/>
      <c r="G18" s="24"/>
      <c r="H18" s="42"/>
      <c r="I18" s="43"/>
      <c r="J18" s="16"/>
      <c r="K18" s="16"/>
      <c r="L18" s="18"/>
      <c r="M18" s="19"/>
    </row>
    <row r="19" spans="1:13" s="2" customFormat="1" ht="14.1" customHeight="1" x14ac:dyDescent="0.3">
      <c r="A19" s="36">
        <v>9</v>
      </c>
      <c r="B19" s="17" t="s">
        <v>5</v>
      </c>
      <c r="C19" s="17"/>
      <c r="D19" s="44" t="s">
        <v>6</v>
      </c>
      <c r="E19" s="44"/>
      <c r="F19" s="44"/>
      <c r="G19" s="44"/>
      <c r="H19" s="32">
        <f>SUM(I19)-2.8</f>
        <v>22.8</v>
      </c>
      <c r="I19" s="34">
        <v>25.6</v>
      </c>
      <c r="J19" s="7">
        <f>SUM(I19)+2.8</f>
        <v>28.400000000000002</v>
      </c>
      <c r="K19" s="7">
        <f>SUM(J19)+2.8</f>
        <v>31.200000000000003</v>
      </c>
      <c r="L19" s="7"/>
      <c r="M19" s="9"/>
    </row>
    <row r="20" spans="1:13" s="2" customFormat="1" ht="14.1" customHeight="1" x14ac:dyDescent="0.3">
      <c r="A20" s="36"/>
      <c r="B20" s="18" t="s">
        <v>16</v>
      </c>
      <c r="C20" s="18"/>
      <c r="D20" s="22" t="s">
        <v>30</v>
      </c>
      <c r="E20" s="23"/>
      <c r="F20" s="23"/>
      <c r="G20" s="24"/>
      <c r="H20" s="42"/>
      <c r="I20" s="43"/>
      <c r="J20" s="16"/>
      <c r="K20" s="16"/>
      <c r="L20" s="16"/>
      <c r="M20" s="19"/>
    </row>
    <row r="21" spans="1:13" s="2" customFormat="1" ht="14.1" customHeight="1" x14ac:dyDescent="0.3">
      <c r="A21" s="36">
        <v>10</v>
      </c>
      <c r="B21" s="17" t="s">
        <v>7</v>
      </c>
      <c r="C21" s="17"/>
      <c r="D21" s="45" t="s">
        <v>8</v>
      </c>
      <c r="E21" s="46"/>
      <c r="F21" s="46"/>
      <c r="G21" s="47"/>
      <c r="H21" s="32"/>
      <c r="I21" s="34"/>
      <c r="J21" s="7"/>
      <c r="K21" s="7"/>
      <c r="L21" s="7"/>
      <c r="M21" s="9"/>
    </row>
    <row r="22" spans="1:13" s="2" customFormat="1" ht="14.1" customHeight="1" x14ac:dyDescent="0.3">
      <c r="A22" s="36"/>
      <c r="B22" s="18" t="s">
        <v>17</v>
      </c>
      <c r="C22" s="18"/>
      <c r="D22" s="22" t="s">
        <v>34</v>
      </c>
      <c r="E22" s="23"/>
      <c r="F22" s="23"/>
      <c r="G22" s="24"/>
      <c r="H22" s="42"/>
      <c r="I22" s="43"/>
      <c r="J22" s="16"/>
      <c r="K22" s="16"/>
      <c r="L22" s="16"/>
      <c r="M22" s="19"/>
    </row>
    <row r="23" spans="1:13" s="2" customFormat="1" ht="14.1" customHeight="1" x14ac:dyDescent="0.3">
      <c r="A23" s="36">
        <v>11</v>
      </c>
      <c r="B23" s="37" t="s">
        <v>43</v>
      </c>
      <c r="C23" s="38"/>
      <c r="D23" s="44" t="s">
        <v>35</v>
      </c>
      <c r="E23" s="44"/>
      <c r="F23" s="44"/>
      <c r="G23" s="44"/>
      <c r="H23" s="32">
        <f>SUM(I23)-0.5</f>
        <v>13.5</v>
      </c>
      <c r="I23" s="34">
        <v>14</v>
      </c>
      <c r="J23" s="7">
        <f>SUM(I23)+0.5</f>
        <v>14.5</v>
      </c>
      <c r="K23" s="7">
        <f>SUM(J23)+0.5</f>
        <v>15</v>
      </c>
      <c r="L23" s="7"/>
      <c r="M23" s="9"/>
    </row>
    <row r="24" spans="1:13" s="2" customFormat="1" ht="14.1" customHeight="1" x14ac:dyDescent="0.3">
      <c r="A24" s="36"/>
      <c r="B24" s="18" t="s">
        <v>18</v>
      </c>
      <c r="C24" s="18"/>
      <c r="D24" s="22" t="s">
        <v>36</v>
      </c>
      <c r="E24" s="23"/>
      <c r="F24" s="23"/>
      <c r="G24" s="24"/>
      <c r="H24" s="42"/>
      <c r="I24" s="43"/>
      <c r="J24" s="16"/>
      <c r="K24" s="16"/>
      <c r="L24" s="16"/>
      <c r="M24" s="19"/>
    </row>
    <row r="25" spans="1:13" s="2" customFormat="1" ht="14.1" customHeight="1" x14ac:dyDescent="0.3">
      <c r="A25" s="36">
        <v>12</v>
      </c>
      <c r="B25" s="37" t="s">
        <v>50</v>
      </c>
      <c r="C25" s="38"/>
      <c r="D25" s="39" t="s">
        <v>46</v>
      </c>
      <c r="E25" s="40"/>
      <c r="F25" s="40"/>
      <c r="G25" s="41"/>
      <c r="H25" s="32">
        <f>SUM(I25)-0.3</f>
        <v>3.2</v>
      </c>
      <c r="I25" s="34">
        <v>3.5</v>
      </c>
      <c r="J25" s="7">
        <f>SUM(I25)+0.3</f>
        <v>3.8</v>
      </c>
      <c r="K25" s="7">
        <f>SUM(J25)+0.3</f>
        <v>4.0999999999999996</v>
      </c>
      <c r="L25" s="17"/>
      <c r="M25" s="9"/>
    </row>
    <row r="26" spans="1:13" s="2" customFormat="1" ht="14.1" customHeight="1" x14ac:dyDescent="0.3">
      <c r="A26" s="36"/>
      <c r="B26" s="20" t="s">
        <v>51</v>
      </c>
      <c r="C26" s="21"/>
      <c r="D26" s="22" t="s">
        <v>45</v>
      </c>
      <c r="E26" s="23"/>
      <c r="F26" s="23"/>
      <c r="G26" s="24"/>
      <c r="H26" s="42"/>
      <c r="I26" s="43"/>
      <c r="J26" s="16"/>
      <c r="K26" s="16"/>
      <c r="L26" s="18"/>
      <c r="M26" s="19"/>
    </row>
    <row r="27" spans="1:13" s="2" customFormat="1" ht="14.1" customHeight="1" x14ac:dyDescent="0.3">
      <c r="A27" s="25">
        <v>13</v>
      </c>
      <c r="B27" s="27"/>
      <c r="C27" s="28"/>
      <c r="D27" s="29"/>
      <c r="E27" s="30"/>
      <c r="F27" s="30"/>
      <c r="G27" s="31"/>
      <c r="H27" s="32"/>
      <c r="I27" s="34"/>
      <c r="J27" s="7"/>
      <c r="K27" s="7"/>
      <c r="L27" s="7"/>
      <c r="M27" s="9"/>
    </row>
    <row r="28" spans="1:13" s="2" customFormat="1" ht="14.1" customHeight="1" thickBot="1" x14ac:dyDescent="0.35">
      <c r="A28" s="26"/>
      <c r="B28" s="11"/>
      <c r="C28" s="12"/>
      <c r="D28" s="13"/>
      <c r="E28" s="14"/>
      <c r="F28" s="14"/>
      <c r="G28" s="15"/>
      <c r="H28" s="33"/>
      <c r="I28" s="35"/>
      <c r="J28" s="8"/>
      <c r="K28" s="8"/>
      <c r="L28" s="8"/>
      <c r="M28" s="10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F9FC-EAC6-4455-92C1-2B2A85FAB9E5}">
  <sheetPr>
    <tabColor theme="9"/>
    <pageSetUpPr fitToPage="1"/>
  </sheetPr>
  <dimension ref="A1:O51"/>
  <sheetViews>
    <sheetView tabSelected="1" zoomScale="110" zoomScaleNormal="110" workbookViewId="0">
      <selection activeCell="P16" sqref="P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 x14ac:dyDescent="0.35">
      <c r="A1" s="48" t="s">
        <v>58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5" ht="16.5" customHeight="1" thickBot="1" x14ac:dyDescent="0.35">
      <c r="A2" s="5" t="s">
        <v>31</v>
      </c>
      <c r="B2" s="51" t="s">
        <v>32</v>
      </c>
      <c r="C2" s="51"/>
      <c r="D2" s="51" t="s">
        <v>33</v>
      </c>
      <c r="E2" s="51"/>
      <c r="F2" s="51"/>
      <c r="G2" s="51"/>
      <c r="H2" s="4" t="s">
        <v>59</v>
      </c>
      <c r="I2" s="4" t="s">
        <v>60</v>
      </c>
      <c r="J2" s="3" t="s">
        <v>61</v>
      </c>
      <c r="K2" s="4" t="s">
        <v>62</v>
      </c>
      <c r="L2" s="4" t="s">
        <v>63</v>
      </c>
      <c r="M2" s="61" t="s">
        <v>64</v>
      </c>
      <c r="N2" s="60" t="s">
        <v>65</v>
      </c>
    </row>
    <row r="3" spans="1:15" s="2" customFormat="1" ht="14.1" customHeight="1" x14ac:dyDescent="0.3">
      <c r="A3" s="25">
        <v>1</v>
      </c>
      <c r="B3" s="52" t="s">
        <v>23</v>
      </c>
      <c r="C3" s="52"/>
      <c r="D3" s="53" t="s">
        <v>66</v>
      </c>
      <c r="E3" s="53"/>
      <c r="F3" s="53"/>
      <c r="G3" s="54"/>
      <c r="H3" s="7">
        <f>SUM(I3)-3.5</f>
        <v>37</v>
      </c>
      <c r="I3" s="7">
        <f>SUM(J3)-3.5</f>
        <v>40.5</v>
      </c>
      <c r="J3" s="62">
        <v>44</v>
      </c>
      <c r="K3" s="63">
        <f>SUM(J3)+3</f>
        <v>47</v>
      </c>
      <c r="L3" s="63">
        <f>SUM(K3)+3</f>
        <v>50</v>
      </c>
      <c r="M3" s="63">
        <f>SUM(L3)+3</f>
        <v>53</v>
      </c>
      <c r="N3" s="64">
        <f>SUM(M3)+3</f>
        <v>56</v>
      </c>
    </row>
    <row r="4" spans="1:15" s="2" customFormat="1" ht="14.1" customHeight="1" x14ac:dyDescent="0.3">
      <c r="A4" s="36"/>
      <c r="B4" s="18" t="s">
        <v>20</v>
      </c>
      <c r="C4" s="18"/>
      <c r="D4" s="22" t="s">
        <v>37</v>
      </c>
      <c r="E4" s="23"/>
      <c r="F4" s="23"/>
      <c r="G4" s="23"/>
      <c r="H4" s="16"/>
      <c r="I4" s="16"/>
      <c r="J4" s="34"/>
      <c r="K4" s="7"/>
      <c r="L4" s="7"/>
      <c r="M4" s="7"/>
      <c r="N4" s="65"/>
    </row>
    <row r="5" spans="1:15" s="2" customFormat="1" ht="14.1" customHeight="1" x14ac:dyDescent="0.3">
      <c r="A5" s="36">
        <v>2</v>
      </c>
      <c r="B5" s="17" t="s">
        <v>21</v>
      </c>
      <c r="C5" s="17"/>
      <c r="D5" s="44" t="s">
        <v>22</v>
      </c>
      <c r="E5" s="44"/>
      <c r="F5" s="44"/>
      <c r="G5" s="44"/>
      <c r="H5" s="7">
        <f>SUM(I5)-1.8</f>
        <v>23.2</v>
      </c>
      <c r="I5" s="7">
        <f>SUM(J5)-1.8</f>
        <v>25</v>
      </c>
      <c r="J5" s="34">
        <v>26.8</v>
      </c>
      <c r="K5" s="7">
        <f>SUM(J5)+1.6</f>
        <v>28.400000000000002</v>
      </c>
      <c r="L5" s="7">
        <f t="shared" ref="L5:N5" si="0">SUM(K5)+1.6</f>
        <v>30.000000000000004</v>
      </c>
      <c r="M5" s="7">
        <f t="shared" si="0"/>
        <v>31.600000000000005</v>
      </c>
      <c r="N5" s="65">
        <f t="shared" si="0"/>
        <v>33.200000000000003</v>
      </c>
    </row>
    <row r="6" spans="1:15" s="2" customFormat="1" ht="14.1" customHeight="1" x14ac:dyDescent="0.3">
      <c r="A6" s="36"/>
      <c r="B6" s="18" t="s">
        <v>11</v>
      </c>
      <c r="C6" s="18"/>
      <c r="D6" s="22" t="s">
        <v>26</v>
      </c>
      <c r="E6" s="23"/>
      <c r="F6" s="23"/>
      <c r="G6" s="24"/>
      <c r="H6" s="16"/>
      <c r="I6" s="16"/>
      <c r="J6" s="43"/>
      <c r="K6" s="16"/>
      <c r="L6" s="16"/>
      <c r="M6" s="16"/>
      <c r="N6" s="66"/>
    </row>
    <row r="7" spans="1:15" s="2" customFormat="1" ht="14.1" customHeight="1" x14ac:dyDescent="0.3">
      <c r="A7" s="36">
        <v>3</v>
      </c>
      <c r="B7" s="17" t="s">
        <v>19</v>
      </c>
      <c r="C7" s="17"/>
      <c r="D7" s="44" t="s">
        <v>42</v>
      </c>
      <c r="E7" s="44"/>
      <c r="F7" s="44"/>
      <c r="G7" s="44"/>
      <c r="H7" s="7">
        <f>SUM(I7)-2.25</f>
        <v>28.5</v>
      </c>
      <c r="I7" s="7">
        <f>SUM(J7)-2.25</f>
        <v>30.75</v>
      </c>
      <c r="J7" s="34">
        <v>33</v>
      </c>
      <c r="K7" s="7">
        <f>SUM(J7)+2</f>
        <v>35</v>
      </c>
      <c r="L7" s="7">
        <f>SUM(K7)+2</f>
        <v>37</v>
      </c>
      <c r="M7" s="7">
        <f>SUM(L7)+2</f>
        <v>39</v>
      </c>
      <c r="N7" s="65">
        <f>SUM(M7)+2</f>
        <v>41</v>
      </c>
    </row>
    <row r="8" spans="1:15" s="2" customFormat="1" ht="14.1" customHeight="1" x14ac:dyDescent="0.3">
      <c r="A8" s="36"/>
      <c r="B8" s="18" t="s">
        <v>24</v>
      </c>
      <c r="C8" s="18"/>
      <c r="D8" s="22" t="s">
        <v>27</v>
      </c>
      <c r="E8" s="23"/>
      <c r="F8" s="23"/>
      <c r="G8" s="24"/>
      <c r="H8" s="16"/>
      <c r="I8" s="16"/>
      <c r="J8" s="43"/>
      <c r="K8" s="16"/>
      <c r="L8" s="16"/>
      <c r="M8" s="16"/>
      <c r="N8" s="66"/>
    </row>
    <row r="9" spans="1:15" s="2" customFormat="1" ht="14.1" customHeight="1" x14ac:dyDescent="0.3">
      <c r="A9" s="36">
        <v>4</v>
      </c>
      <c r="B9" s="17" t="s">
        <v>25</v>
      </c>
      <c r="C9" s="17"/>
      <c r="D9" s="44" t="s">
        <v>9</v>
      </c>
      <c r="E9" s="44"/>
      <c r="F9" s="44"/>
      <c r="G9" s="44"/>
      <c r="H9" s="7">
        <f>SUM(I9)-2.25</f>
        <v>27.5</v>
      </c>
      <c r="I9" s="7">
        <f>SUM(J9)-2.25</f>
        <v>29.75</v>
      </c>
      <c r="J9" s="34">
        <v>32</v>
      </c>
      <c r="K9" s="7">
        <f>SUM(J9)+2</f>
        <v>34</v>
      </c>
      <c r="L9" s="7">
        <f>SUM(K9)+2</f>
        <v>36</v>
      </c>
      <c r="M9" s="7">
        <f>SUM(L9)+2</f>
        <v>38</v>
      </c>
      <c r="N9" s="65">
        <f>SUM(M9)+2</f>
        <v>40</v>
      </c>
      <c r="O9" s="2" t="s">
        <v>52</v>
      </c>
    </row>
    <row r="10" spans="1:15" s="2" customFormat="1" ht="14.1" customHeight="1" x14ac:dyDescent="0.3">
      <c r="A10" s="36"/>
      <c r="B10" s="18" t="s">
        <v>12</v>
      </c>
      <c r="C10" s="18"/>
      <c r="D10" s="22" t="s">
        <v>28</v>
      </c>
      <c r="E10" s="23"/>
      <c r="F10" s="23"/>
      <c r="G10" s="24"/>
      <c r="H10" s="16"/>
      <c r="I10" s="16"/>
      <c r="J10" s="43"/>
      <c r="K10" s="16"/>
      <c r="L10" s="16"/>
      <c r="M10" s="16"/>
      <c r="N10" s="66"/>
    </row>
    <row r="11" spans="1:15" s="2" customFormat="1" ht="14.1" customHeight="1" x14ac:dyDescent="0.3">
      <c r="A11" s="36">
        <v>5</v>
      </c>
      <c r="B11" s="17" t="s">
        <v>10</v>
      </c>
      <c r="C11" s="17"/>
      <c r="D11" s="44" t="s">
        <v>0</v>
      </c>
      <c r="E11" s="44"/>
      <c r="F11" s="44"/>
      <c r="G11" s="44"/>
      <c r="H11" s="7">
        <f>SUM(I11)-0.8</f>
        <v>13.499999999999998</v>
      </c>
      <c r="I11" s="7">
        <f>SUM(J11)-0.8</f>
        <v>14.299999999999999</v>
      </c>
      <c r="J11" s="67">
        <v>15.1</v>
      </c>
      <c r="K11" s="68">
        <f>SUM(J11)+0.8</f>
        <v>15.9</v>
      </c>
      <c r="L11" s="68">
        <f t="shared" ref="L11:N11" si="1">SUM(K11)+0.8</f>
        <v>16.7</v>
      </c>
      <c r="M11" s="68">
        <f t="shared" si="1"/>
        <v>17.5</v>
      </c>
      <c r="N11" s="69">
        <f t="shared" si="1"/>
        <v>18.3</v>
      </c>
    </row>
    <row r="12" spans="1:15" s="2" customFormat="1" ht="14.1" customHeight="1" x14ac:dyDescent="0.3">
      <c r="A12" s="36"/>
      <c r="B12" s="18" t="s">
        <v>13</v>
      </c>
      <c r="C12" s="18"/>
      <c r="D12" s="22" t="s">
        <v>29</v>
      </c>
      <c r="E12" s="23"/>
      <c r="F12" s="23"/>
      <c r="G12" s="24"/>
      <c r="H12" s="16"/>
      <c r="I12" s="16"/>
      <c r="J12" s="67"/>
      <c r="K12" s="68"/>
      <c r="L12" s="68"/>
      <c r="M12" s="68"/>
      <c r="N12" s="69"/>
    </row>
    <row r="13" spans="1:15" s="2" customFormat="1" ht="14.1" customHeight="1" x14ac:dyDescent="0.3">
      <c r="A13" s="36">
        <v>6</v>
      </c>
      <c r="B13" s="17" t="s">
        <v>1</v>
      </c>
      <c r="C13" s="17"/>
      <c r="D13" s="44" t="s">
        <v>67</v>
      </c>
      <c r="E13" s="44"/>
      <c r="F13" s="44"/>
      <c r="G13" s="44"/>
      <c r="H13" s="7">
        <f>SUM(I13)-0.6</f>
        <v>13.8</v>
      </c>
      <c r="I13" s="7">
        <f>SUM(J13)-0.6</f>
        <v>14.4</v>
      </c>
      <c r="J13" s="67">
        <v>15</v>
      </c>
      <c r="K13" s="68">
        <f>SUM(J13)+0.6</f>
        <v>15.6</v>
      </c>
      <c r="L13" s="68">
        <f>SUM(K13)+0.6</f>
        <v>16.2</v>
      </c>
      <c r="M13" s="68">
        <f>SUM(L13)+0.6</f>
        <v>16.8</v>
      </c>
      <c r="N13" s="69">
        <f>SUM(M13)+0.6</f>
        <v>17.400000000000002</v>
      </c>
    </row>
    <row r="14" spans="1:15" s="2" customFormat="1" ht="14.1" customHeight="1" x14ac:dyDescent="0.3">
      <c r="A14" s="36"/>
      <c r="B14" s="18" t="s">
        <v>14</v>
      </c>
      <c r="C14" s="18"/>
      <c r="D14" s="22" t="s">
        <v>49</v>
      </c>
      <c r="E14" s="23"/>
      <c r="F14" s="23"/>
      <c r="G14" s="24"/>
      <c r="H14" s="16"/>
      <c r="I14" s="16"/>
      <c r="J14" s="67"/>
      <c r="K14" s="68"/>
      <c r="L14" s="68"/>
      <c r="M14" s="68"/>
      <c r="N14" s="69"/>
    </row>
    <row r="15" spans="1:15" s="2" customFormat="1" ht="14.1" customHeight="1" x14ac:dyDescent="0.3">
      <c r="A15" s="36">
        <v>7</v>
      </c>
      <c r="B15" s="17" t="s">
        <v>3</v>
      </c>
      <c r="C15" s="17"/>
      <c r="D15" s="44" t="s">
        <v>4</v>
      </c>
      <c r="E15" s="44"/>
      <c r="F15" s="44"/>
      <c r="G15" s="44"/>
      <c r="H15" s="7">
        <f>SUM(I15)-0.3</f>
        <v>5.4</v>
      </c>
      <c r="I15" s="7">
        <f>SUM(J15)-0.3</f>
        <v>5.7</v>
      </c>
      <c r="J15" s="67">
        <v>6</v>
      </c>
      <c r="K15" s="68">
        <f>SUM(J15)+0.3</f>
        <v>6.3</v>
      </c>
      <c r="L15" s="68">
        <f>SUM(K15)+0.3</f>
        <v>6.6</v>
      </c>
      <c r="M15" s="68">
        <f>SUM(L15)+0.3</f>
        <v>6.8999999999999995</v>
      </c>
      <c r="N15" s="69">
        <f>SUM(M15)+0.3</f>
        <v>7.1999999999999993</v>
      </c>
    </row>
    <row r="16" spans="1:15" s="2" customFormat="1" ht="14.1" customHeight="1" x14ac:dyDescent="0.3">
      <c r="A16" s="36"/>
      <c r="B16" s="18" t="s">
        <v>15</v>
      </c>
      <c r="C16" s="18"/>
      <c r="D16" s="22" t="s">
        <v>48</v>
      </c>
      <c r="E16" s="23"/>
      <c r="F16" s="23"/>
      <c r="G16" s="24"/>
      <c r="H16" s="16"/>
      <c r="I16" s="16"/>
      <c r="J16" s="67"/>
      <c r="K16" s="68"/>
      <c r="L16" s="68"/>
      <c r="M16" s="68"/>
      <c r="N16" s="69"/>
    </row>
    <row r="17" spans="1:14" s="2" customFormat="1" ht="14.1" customHeight="1" x14ac:dyDescent="0.3">
      <c r="A17" s="36">
        <v>8</v>
      </c>
      <c r="B17" s="37" t="s">
        <v>38</v>
      </c>
      <c r="C17" s="38"/>
      <c r="D17" s="45" t="s">
        <v>40</v>
      </c>
      <c r="E17" s="46"/>
      <c r="F17" s="46"/>
      <c r="G17" s="47"/>
      <c r="H17" s="7">
        <f>SUM(I17)-1.6</f>
        <v>34.799999999999997</v>
      </c>
      <c r="I17" s="7">
        <f>SUM(J17)-1.6</f>
        <v>36.4</v>
      </c>
      <c r="J17" s="67">
        <v>38</v>
      </c>
      <c r="K17" s="68">
        <f>SUM(J17)+1.6</f>
        <v>39.6</v>
      </c>
      <c r="L17" s="68">
        <f>SUM(K17)+1.6</f>
        <v>41.2</v>
      </c>
      <c r="M17" s="68">
        <f>SUM(L17)+1.6</f>
        <v>42.800000000000004</v>
      </c>
      <c r="N17" s="69">
        <f>SUM(M17)+1.6</f>
        <v>44.400000000000006</v>
      </c>
    </row>
    <row r="18" spans="1:14" s="2" customFormat="1" ht="14.1" customHeight="1" x14ac:dyDescent="0.3">
      <c r="A18" s="36"/>
      <c r="B18" s="18" t="s">
        <v>39</v>
      </c>
      <c r="C18" s="18"/>
      <c r="D18" s="22" t="s">
        <v>47</v>
      </c>
      <c r="E18" s="23"/>
      <c r="F18" s="23"/>
      <c r="G18" s="24"/>
      <c r="H18" s="16"/>
      <c r="I18" s="16"/>
      <c r="J18" s="67"/>
      <c r="K18" s="68"/>
      <c r="L18" s="68"/>
      <c r="M18" s="68"/>
      <c r="N18" s="69"/>
    </row>
    <row r="19" spans="1:14" s="2" customFormat="1" ht="14.1" customHeight="1" x14ac:dyDescent="0.3">
      <c r="A19" s="36">
        <v>9</v>
      </c>
      <c r="B19" s="17" t="s">
        <v>5</v>
      </c>
      <c r="C19" s="17"/>
      <c r="D19" s="44" t="s">
        <v>6</v>
      </c>
      <c r="E19" s="44"/>
      <c r="F19" s="44"/>
      <c r="G19" s="44"/>
      <c r="H19" s="7">
        <f>SUM(I19)-3.6</f>
        <v>32.4</v>
      </c>
      <c r="I19" s="7">
        <f>SUM(J19)-3.6</f>
        <v>36</v>
      </c>
      <c r="J19" s="67">
        <v>39.6</v>
      </c>
      <c r="K19" s="68">
        <f>SUM(J19)+3.7</f>
        <v>43.300000000000004</v>
      </c>
      <c r="L19" s="68">
        <f t="shared" ref="L19:N19" si="2">SUM(K19)+3.7</f>
        <v>47.000000000000007</v>
      </c>
      <c r="M19" s="68">
        <f t="shared" si="2"/>
        <v>50.70000000000001</v>
      </c>
      <c r="N19" s="69">
        <f t="shared" si="2"/>
        <v>54.400000000000013</v>
      </c>
    </row>
    <row r="20" spans="1:14" s="2" customFormat="1" ht="14.1" customHeight="1" x14ac:dyDescent="0.3">
      <c r="A20" s="36"/>
      <c r="B20" s="18" t="s">
        <v>16</v>
      </c>
      <c r="C20" s="18"/>
      <c r="D20" s="22" t="s">
        <v>30</v>
      </c>
      <c r="E20" s="23"/>
      <c r="F20" s="23"/>
      <c r="G20" s="24"/>
      <c r="H20" s="16"/>
      <c r="I20" s="16"/>
      <c r="J20" s="67"/>
      <c r="K20" s="68"/>
      <c r="L20" s="68"/>
      <c r="M20" s="68"/>
      <c r="N20" s="69"/>
    </row>
    <row r="21" spans="1:14" s="2" customFormat="1" ht="14.1" customHeight="1" x14ac:dyDescent="0.3">
      <c r="A21" s="36">
        <v>10</v>
      </c>
      <c r="B21" s="17" t="s">
        <v>7</v>
      </c>
      <c r="C21" s="17"/>
      <c r="D21" s="45" t="s">
        <v>8</v>
      </c>
      <c r="E21" s="46"/>
      <c r="F21" s="46"/>
      <c r="G21" s="47"/>
      <c r="H21" s="7"/>
      <c r="I21" s="7"/>
      <c r="J21" s="67"/>
      <c r="K21" s="68"/>
      <c r="L21" s="68"/>
      <c r="M21" s="68"/>
      <c r="N21" s="69"/>
    </row>
    <row r="22" spans="1:14" s="2" customFormat="1" ht="14.1" customHeight="1" x14ac:dyDescent="0.3">
      <c r="A22" s="36"/>
      <c r="B22" s="18" t="s">
        <v>17</v>
      </c>
      <c r="C22" s="18"/>
      <c r="D22" s="22" t="s">
        <v>34</v>
      </c>
      <c r="E22" s="23"/>
      <c r="F22" s="23"/>
      <c r="G22" s="24"/>
      <c r="H22" s="16"/>
      <c r="I22" s="16"/>
      <c r="J22" s="67"/>
      <c r="K22" s="68"/>
      <c r="L22" s="68"/>
      <c r="M22" s="68"/>
      <c r="N22" s="69"/>
    </row>
    <row r="23" spans="1:14" s="2" customFormat="1" ht="14.1" customHeight="1" x14ac:dyDescent="0.3">
      <c r="A23" s="36">
        <v>11</v>
      </c>
      <c r="B23" s="37" t="s">
        <v>68</v>
      </c>
      <c r="C23" s="38"/>
      <c r="D23" s="44" t="s">
        <v>35</v>
      </c>
      <c r="E23" s="44"/>
      <c r="F23" s="44"/>
      <c r="G23" s="44"/>
      <c r="H23" s="7">
        <f>SUM(I23)-0.6</f>
        <v>14.8</v>
      </c>
      <c r="I23" s="7">
        <f>SUM(J23)-0.6</f>
        <v>15.4</v>
      </c>
      <c r="J23" s="67">
        <v>16</v>
      </c>
      <c r="K23" s="68">
        <f>SUM(J23)+0.6</f>
        <v>16.600000000000001</v>
      </c>
      <c r="L23" s="68">
        <f>SUM(K23)+0.6</f>
        <v>17.200000000000003</v>
      </c>
      <c r="M23" s="68">
        <f>SUM(L23)+0.6</f>
        <v>17.800000000000004</v>
      </c>
      <c r="N23" s="69">
        <f>SUM(M23)+0.6</f>
        <v>18.400000000000006</v>
      </c>
    </row>
    <row r="24" spans="1:14" s="2" customFormat="1" ht="14.1" customHeight="1" x14ac:dyDescent="0.3">
      <c r="A24" s="36"/>
      <c r="B24" s="18" t="s">
        <v>18</v>
      </c>
      <c r="C24" s="18"/>
      <c r="D24" s="22" t="s">
        <v>36</v>
      </c>
      <c r="E24" s="23"/>
      <c r="F24" s="23"/>
      <c r="G24" s="24"/>
      <c r="H24" s="16"/>
      <c r="I24" s="16"/>
      <c r="J24" s="67"/>
      <c r="K24" s="68"/>
      <c r="L24" s="68"/>
      <c r="M24" s="68"/>
      <c r="N24" s="69"/>
    </row>
    <row r="25" spans="1:14" s="2" customFormat="1" ht="14.1" customHeight="1" x14ac:dyDescent="0.3">
      <c r="A25" s="36">
        <v>12</v>
      </c>
      <c r="B25" s="37" t="s">
        <v>69</v>
      </c>
      <c r="C25" s="38"/>
      <c r="D25" s="39"/>
      <c r="E25" s="40"/>
      <c r="F25" s="40"/>
      <c r="G25" s="41"/>
      <c r="H25" s="7">
        <f>SUM(I25)-0.6</f>
        <v>6.8000000000000007</v>
      </c>
      <c r="I25" s="7">
        <f>SUM(J25)-0.6</f>
        <v>7.4</v>
      </c>
      <c r="J25" s="67">
        <v>8</v>
      </c>
      <c r="K25" s="68">
        <f>SUM(J25)+0.5</f>
        <v>8.5</v>
      </c>
      <c r="L25" s="68">
        <f>SUM(K25)+0.5</f>
        <v>9</v>
      </c>
      <c r="M25" s="68">
        <f>SUM(L25)+0.5</f>
        <v>9.5</v>
      </c>
      <c r="N25" s="69">
        <f>SUM(M25)+0.5</f>
        <v>10</v>
      </c>
    </row>
    <row r="26" spans="1:14" s="2" customFormat="1" ht="14.1" customHeight="1" x14ac:dyDescent="0.3">
      <c r="A26" s="36"/>
      <c r="B26" s="70" t="s">
        <v>70</v>
      </c>
      <c r="C26" s="71"/>
      <c r="D26" s="72" t="s">
        <v>71</v>
      </c>
      <c r="E26" s="73"/>
      <c r="F26" s="73"/>
      <c r="G26" s="74"/>
      <c r="H26" s="16"/>
      <c r="I26" s="16"/>
      <c r="J26" s="67"/>
      <c r="K26" s="68"/>
      <c r="L26" s="68"/>
      <c r="M26" s="68"/>
      <c r="N26" s="69"/>
    </row>
    <row r="27" spans="1:14" s="2" customFormat="1" ht="14.1" customHeight="1" x14ac:dyDescent="0.3">
      <c r="A27" s="36">
        <v>13</v>
      </c>
      <c r="B27" s="37" t="s">
        <v>72</v>
      </c>
      <c r="C27" s="38"/>
      <c r="D27" s="39"/>
      <c r="E27" s="40"/>
      <c r="F27" s="40"/>
      <c r="G27" s="41"/>
      <c r="H27" s="7">
        <f>SUM(I27)-1.5</f>
        <v>11.6</v>
      </c>
      <c r="I27" s="7">
        <f>SUM(J27)-1.5</f>
        <v>13.1</v>
      </c>
      <c r="J27" s="67">
        <v>14.6</v>
      </c>
      <c r="K27" s="68">
        <f>SUM(J27)+1.2</f>
        <v>15.799999999999999</v>
      </c>
      <c r="L27" s="68">
        <f>SUM(K27)+1.2</f>
        <v>17</v>
      </c>
      <c r="M27" s="68">
        <f>SUM(L27)+1.2</f>
        <v>18.2</v>
      </c>
      <c r="N27" s="69">
        <f>SUM(M27)+1.2</f>
        <v>19.399999999999999</v>
      </c>
    </row>
    <row r="28" spans="1:14" s="2" customFormat="1" ht="14.1" customHeight="1" x14ac:dyDescent="0.3">
      <c r="A28" s="36"/>
      <c r="B28" s="70" t="s">
        <v>73</v>
      </c>
      <c r="C28" s="71"/>
      <c r="D28" s="72" t="s">
        <v>71</v>
      </c>
      <c r="E28" s="73"/>
      <c r="F28" s="73"/>
      <c r="G28" s="74"/>
      <c r="H28" s="16"/>
      <c r="I28" s="16"/>
      <c r="J28" s="67"/>
      <c r="K28" s="68"/>
      <c r="L28" s="68"/>
      <c r="M28" s="68"/>
      <c r="N28" s="69"/>
    </row>
    <row r="29" spans="1:14" ht="14.1" customHeight="1" x14ac:dyDescent="0.3">
      <c r="A29" s="36">
        <v>14</v>
      </c>
      <c r="B29" s="37" t="s">
        <v>74</v>
      </c>
      <c r="C29" s="38"/>
      <c r="D29" s="39"/>
      <c r="E29" s="40"/>
      <c r="F29" s="40"/>
      <c r="G29" s="41"/>
      <c r="H29" s="7">
        <f>SUM(I29)-1.2</f>
        <v>22.6</v>
      </c>
      <c r="I29" s="7">
        <f>SUM(J29)-1.2</f>
        <v>23.8</v>
      </c>
      <c r="J29" s="67">
        <v>25</v>
      </c>
      <c r="K29" s="68">
        <f>SUM(J29)+1.2</f>
        <v>26.2</v>
      </c>
      <c r="L29" s="68">
        <f t="shared" ref="L29:N29" si="3">SUM(K29)+1.2</f>
        <v>27.4</v>
      </c>
      <c r="M29" s="68">
        <f t="shared" si="3"/>
        <v>28.599999999999998</v>
      </c>
      <c r="N29" s="69">
        <f t="shared" si="3"/>
        <v>29.799999999999997</v>
      </c>
    </row>
    <row r="30" spans="1:14" ht="14.1" customHeight="1" x14ac:dyDescent="0.3">
      <c r="A30" s="36"/>
      <c r="B30" s="20" t="s">
        <v>75</v>
      </c>
      <c r="C30" s="21"/>
      <c r="D30" s="22" t="s">
        <v>76</v>
      </c>
      <c r="E30" s="23"/>
      <c r="F30" s="23"/>
      <c r="G30" s="24"/>
      <c r="H30" s="16"/>
      <c r="I30" s="16"/>
      <c r="J30" s="67"/>
      <c r="K30" s="68"/>
      <c r="L30" s="68"/>
      <c r="M30" s="68"/>
      <c r="N30" s="69"/>
    </row>
    <row r="31" spans="1:14" ht="14.1" customHeight="1" x14ac:dyDescent="0.3">
      <c r="A31" s="36">
        <v>15</v>
      </c>
      <c r="B31" s="37" t="s">
        <v>77</v>
      </c>
      <c r="C31" s="38"/>
      <c r="D31" s="39"/>
      <c r="E31" s="40"/>
      <c r="F31" s="40"/>
      <c r="G31" s="41"/>
      <c r="H31" s="7">
        <f>SUM(I31)</f>
        <v>9</v>
      </c>
      <c r="I31" s="7">
        <f>SUM(J31)</f>
        <v>9</v>
      </c>
      <c r="J31" s="67">
        <v>9</v>
      </c>
      <c r="K31" s="68">
        <f>SUM(J31)+0.2</f>
        <v>9.1999999999999993</v>
      </c>
      <c r="L31" s="68">
        <f t="shared" ref="L31:N31" si="4">SUM(K31)+0.2</f>
        <v>9.3999999999999986</v>
      </c>
      <c r="M31" s="68">
        <f t="shared" si="4"/>
        <v>9.5999999999999979</v>
      </c>
      <c r="N31" s="69">
        <f t="shared" si="4"/>
        <v>9.7999999999999972</v>
      </c>
    </row>
    <row r="32" spans="1:14" ht="14.1" customHeight="1" x14ac:dyDescent="0.3">
      <c r="A32" s="36"/>
      <c r="B32" s="20" t="s">
        <v>78</v>
      </c>
      <c r="C32" s="21"/>
      <c r="D32" s="22"/>
      <c r="E32" s="23"/>
      <c r="F32" s="23"/>
      <c r="G32" s="24"/>
      <c r="H32" s="16"/>
      <c r="I32" s="16"/>
      <c r="J32" s="67"/>
      <c r="K32" s="68"/>
      <c r="L32" s="68"/>
      <c r="M32" s="68"/>
      <c r="N32" s="69"/>
    </row>
    <row r="33" spans="1:14" ht="14.1" customHeight="1" x14ac:dyDescent="0.3">
      <c r="A33" s="36">
        <v>16</v>
      </c>
      <c r="B33" s="37"/>
      <c r="C33" s="38"/>
      <c r="D33" s="39"/>
      <c r="E33" s="40"/>
      <c r="F33" s="40"/>
      <c r="G33" s="41"/>
      <c r="H33" s="7"/>
      <c r="I33" s="7"/>
      <c r="J33" s="67"/>
      <c r="K33" s="68"/>
      <c r="L33" s="68"/>
      <c r="M33" s="68"/>
      <c r="N33" s="69"/>
    </row>
    <row r="34" spans="1:14" ht="14.1" customHeight="1" x14ac:dyDescent="0.3">
      <c r="A34" s="36"/>
      <c r="B34" s="20"/>
      <c r="C34" s="21"/>
      <c r="D34" s="22"/>
      <c r="E34" s="23"/>
      <c r="F34" s="23"/>
      <c r="G34" s="24"/>
      <c r="H34" s="16"/>
      <c r="I34" s="16"/>
      <c r="J34" s="67"/>
      <c r="K34" s="68"/>
      <c r="L34" s="68"/>
      <c r="M34" s="68"/>
      <c r="N34" s="69"/>
    </row>
    <row r="35" spans="1:14" ht="14.1" customHeight="1" x14ac:dyDescent="0.3">
      <c r="A35" s="36">
        <v>17</v>
      </c>
      <c r="B35" s="27"/>
      <c r="C35" s="28"/>
      <c r="D35" s="29"/>
      <c r="E35" s="30"/>
      <c r="F35" s="30"/>
      <c r="G35" s="31"/>
      <c r="H35" s="7"/>
      <c r="I35" s="7"/>
      <c r="J35" s="34"/>
      <c r="K35" s="7"/>
      <c r="L35" s="7"/>
      <c r="M35" s="7"/>
      <c r="N35" s="65"/>
    </row>
    <row r="36" spans="1:14" ht="14.1" customHeight="1" thickBot="1" x14ac:dyDescent="0.35">
      <c r="A36" s="26"/>
      <c r="B36" s="11"/>
      <c r="C36" s="12"/>
      <c r="D36" s="13"/>
      <c r="E36" s="14"/>
      <c r="F36" s="14"/>
      <c r="G36" s="15"/>
      <c r="H36" s="8"/>
      <c r="I36" s="8"/>
      <c r="J36" s="35"/>
      <c r="K36" s="8"/>
      <c r="L36" s="8"/>
      <c r="M36" s="8"/>
      <c r="N36" s="75"/>
    </row>
    <row r="37" spans="1:14" ht="14.1" customHeight="1" x14ac:dyDescent="0.3">
      <c r="B37" s="1"/>
      <c r="C37" s="1"/>
      <c r="D37" s="1"/>
      <c r="E37" s="1"/>
      <c r="F37" s="1"/>
      <c r="G37" s="1"/>
    </row>
    <row r="38" spans="1:14" ht="14.1" customHeight="1" x14ac:dyDescent="0.3"/>
    <row r="39" spans="1:14" ht="14.1" customHeight="1" x14ac:dyDescent="0.3"/>
    <row r="40" spans="1:14" ht="14.1" customHeight="1" x14ac:dyDescent="0.3"/>
    <row r="41" spans="1:14" ht="14.1" customHeight="1" x14ac:dyDescent="0.3"/>
    <row r="42" spans="1:14" ht="14.1" customHeight="1" x14ac:dyDescent="0.3"/>
    <row r="43" spans="1:14" ht="14.1" customHeight="1" x14ac:dyDescent="0.3"/>
    <row r="44" spans="1:14" ht="14.1" customHeight="1" x14ac:dyDescent="0.3"/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7"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M29:M30"/>
    <mergeCell ref="N29:N30"/>
    <mergeCell ref="B30:C30"/>
    <mergeCell ref="D30:G30"/>
    <mergeCell ref="A31:A32"/>
    <mergeCell ref="B31:C31"/>
    <mergeCell ref="D31:G31"/>
    <mergeCell ref="H31:H32"/>
    <mergeCell ref="I31:I32"/>
    <mergeCell ref="J31:J32"/>
    <mergeCell ref="N25:N26"/>
    <mergeCell ref="N27:N28"/>
    <mergeCell ref="A29:A30"/>
    <mergeCell ref="B29:C29"/>
    <mergeCell ref="D29:G29"/>
    <mergeCell ref="H29:H30"/>
    <mergeCell ref="I29:I30"/>
    <mergeCell ref="J29:J30"/>
    <mergeCell ref="K29:K30"/>
    <mergeCell ref="L29:L30"/>
    <mergeCell ref="N13:N14"/>
    <mergeCell ref="N15:N16"/>
    <mergeCell ref="N17:N18"/>
    <mergeCell ref="N19:N20"/>
    <mergeCell ref="N21:N22"/>
    <mergeCell ref="N23:N24"/>
    <mergeCell ref="A1:N1"/>
    <mergeCell ref="N3:N4"/>
    <mergeCell ref="N5:N6"/>
    <mergeCell ref="N7:N8"/>
    <mergeCell ref="N9:N10"/>
    <mergeCell ref="N11:N1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9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MTO01</vt:lpstr>
      <vt:lpstr>TO21</vt:lpstr>
      <vt:lpstr>'MTO01'!Print_Area</vt:lpstr>
      <vt:lpstr>'TO21'!Print_Area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2026-06-09T02:15:09Z</cp:lastPrinted>
  <dcterms:created xsi:type="dcterms:W3CDTF">2018-05-14T06:17:18Z</dcterms:created>
  <dcterms:modified xsi:type="dcterms:W3CDTF">2026-06-09T07:43:59Z</dcterms:modified>
</cp:coreProperties>
</file>