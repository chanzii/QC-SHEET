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240610\Desktop\"/>
    </mc:Choice>
  </mc:AlternateContent>
  <xr:revisionPtr revIDLastSave="0" documentId="8_{C5C5F082-20EF-4552-803C-D1ADDBB99F8C}" xr6:coauthVersionLast="47" xr6:coauthVersionMax="47" xr10:uidLastSave="{00000000-0000-0000-0000-000000000000}"/>
  <bookViews>
    <workbookView xWindow="28680" yWindow="-120" windowWidth="29040" windowHeight="15720" xr2:uid="{8C347CD8-8BA0-40DC-B5FF-CD588610EF2D}"/>
  </bookViews>
  <sheets>
    <sheet name="TO05" sheetId="1" r:id="rId1"/>
  </sheets>
  <definedNames>
    <definedName name="_xlnm.Print_Area" localSheetId="0">'TO05'!$A$1:$M$30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5" i="1" l="1"/>
  <c r="L25" i="1" s="1"/>
  <c r="M25" i="1" s="1"/>
  <c r="I25" i="1"/>
  <c r="H25" i="1"/>
  <c r="K23" i="1"/>
  <c r="L23" i="1" s="1"/>
  <c r="M23" i="1" s="1"/>
  <c r="I23" i="1"/>
  <c r="H23" i="1"/>
  <c r="K19" i="1"/>
  <c r="L19" i="1" s="1"/>
  <c r="M19" i="1" s="1"/>
  <c r="I19" i="1"/>
  <c r="H19" i="1"/>
  <c r="K17" i="1"/>
  <c r="L17" i="1" s="1"/>
  <c r="M17" i="1" s="1"/>
  <c r="I17" i="1"/>
  <c r="H17" i="1"/>
  <c r="K15" i="1"/>
  <c r="L15" i="1" s="1"/>
  <c r="M15" i="1" s="1"/>
  <c r="I15" i="1"/>
  <c r="H15" i="1"/>
  <c r="K13" i="1"/>
  <c r="L13" i="1" s="1"/>
  <c r="M13" i="1" s="1"/>
  <c r="I13" i="1"/>
  <c r="H13" i="1"/>
  <c r="L11" i="1"/>
  <c r="M11" i="1" s="1"/>
  <c r="K11" i="1"/>
  <c r="I11" i="1"/>
  <c r="H11" i="1"/>
  <c r="L9" i="1"/>
  <c r="M9" i="1" s="1"/>
  <c r="K9" i="1"/>
  <c r="I9" i="1"/>
  <c r="H9" i="1"/>
  <c r="K7" i="1"/>
  <c r="L7" i="1" s="1"/>
  <c r="M7" i="1" s="1"/>
  <c r="I7" i="1"/>
  <c r="H7" i="1"/>
  <c r="K5" i="1"/>
  <c r="L5" i="1" s="1"/>
  <c r="M5" i="1" s="1"/>
  <c r="I5" i="1"/>
  <c r="H5" i="1"/>
  <c r="K3" i="1"/>
  <c r="L3" i="1" s="1"/>
  <c r="M3" i="1" s="1"/>
  <c r="I3" i="1"/>
  <c r="H3" i="1"/>
</calcChain>
</file>

<file path=xl/sharedStrings.xml><?xml version="1.0" encoding="utf-8"?>
<sst xmlns="http://schemas.openxmlformats.org/spreadsheetml/2006/main" count="58" uniqueCount="58">
  <si>
    <t>STYLE NO: JYWTO05-K#Y04</t>
    <phoneticPr fontId="3" type="noConversion"/>
  </si>
  <si>
    <t>NO.</t>
    <phoneticPr fontId="3" type="noConversion"/>
  </si>
  <si>
    <t xml:space="preserve">LIST </t>
    <phoneticPr fontId="5" type="noConversion"/>
  </si>
  <si>
    <t xml:space="preserve">MEASURMENT METHOD </t>
    <phoneticPr fontId="5" type="noConversion"/>
  </si>
  <si>
    <t>S</t>
    <phoneticPr fontId="3" type="noConversion"/>
  </si>
  <si>
    <t>M</t>
    <phoneticPr fontId="3" type="noConversion"/>
  </si>
  <si>
    <t>L</t>
    <phoneticPr fontId="3" type="noConversion"/>
  </si>
  <si>
    <t>XL</t>
    <phoneticPr fontId="3" type="noConversion"/>
  </si>
  <si>
    <t>2XL</t>
    <phoneticPr fontId="3" type="noConversion"/>
  </si>
  <si>
    <t>3XL</t>
    <phoneticPr fontId="3" type="noConversion"/>
  </si>
  <si>
    <t>TOTAL LENGTH</t>
    <phoneticPr fontId="5" type="noConversion"/>
  </si>
  <si>
    <t>HPS TO BOTTOM EDGE</t>
    <phoneticPr fontId="5" type="noConversion"/>
  </si>
  <si>
    <t>총기장(옆목)</t>
    <phoneticPr fontId="5" type="noConversion"/>
  </si>
  <si>
    <t>옆목점에서 밑단까지의 직선길이</t>
    <phoneticPr fontId="3" type="noConversion"/>
  </si>
  <si>
    <t xml:space="preserve">ACROSS SHOULDER </t>
    <phoneticPr fontId="5" type="noConversion"/>
  </si>
  <si>
    <t xml:space="preserve">POINT TO POINT </t>
    <phoneticPr fontId="5" type="noConversion"/>
  </si>
  <si>
    <t>어깨너비</t>
  </si>
  <si>
    <t>어깨 양끝점을 수평으로 잰 길이</t>
    <phoneticPr fontId="3" type="noConversion"/>
  </si>
  <si>
    <t>CHEST (1/2)</t>
    <phoneticPr fontId="5" type="noConversion"/>
  </si>
  <si>
    <t xml:space="preserve">INCLUDE WAIST BAND TO EDGE </t>
    <phoneticPr fontId="3" type="noConversion"/>
  </si>
  <si>
    <t>가슴(상동)</t>
    <phoneticPr fontId="3" type="noConversion"/>
  </si>
  <si>
    <t>암홀 겨드랑이 지점에서 수평으로 잰 길이</t>
    <phoneticPr fontId="3" type="noConversion"/>
  </si>
  <si>
    <t>BOTTOM SWEEP (1/2)</t>
    <phoneticPr fontId="5" type="noConversion"/>
  </si>
  <si>
    <t>STRIGHT (1/2)</t>
    <phoneticPr fontId="5" type="noConversion"/>
  </si>
  <si>
    <t xml:space="preserve"> </t>
    <phoneticPr fontId="2" type="noConversion"/>
  </si>
  <si>
    <t>밑단둘레(반품)</t>
  </si>
  <si>
    <t>와끼선의 밑단 양끝점을 수평으로 잰 길이</t>
    <phoneticPr fontId="3" type="noConversion"/>
  </si>
  <si>
    <t xml:space="preserve">ARMHOLE </t>
  </si>
  <si>
    <t xml:space="preserve">STRIGHT </t>
    <phoneticPr fontId="5" type="noConversion"/>
  </si>
  <si>
    <t>암홀길이(직선)</t>
  </si>
  <si>
    <t>어깨끝점과 겨드랑이 점을 직선으로 잰 길이</t>
    <phoneticPr fontId="3" type="noConversion"/>
  </si>
  <si>
    <t>NECK WIDTH</t>
    <phoneticPr fontId="5" type="noConversion"/>
  </si>
  <si>
    <t>WITHOUT NECK BAND</t>
    <phoneticPr fontId="5" type="noConversion"/>
  </si>
  <si>
    <t>옆목너비</t>
  </si>
  <si>
    <r>
      <t xml:space="preserve">옆목점을 수평으로 잰 길이 </t>
    </r>
    <r>
      <rPr>
        <sz val="7.5"/>
        <color indexed="10"/>
        <rFont val="맑은 고딕"/>
        <family val="3"/>
        <charset val="129"/>
      </rPr>
      <t>(샘플사이즈)</t>
    </r>
    <phoneticPr fontId="3" type="noConversion"/>
  </si>
  <si>
    <t xml:space="preserve">FRONT NECK DROP </t>
    <phoneticPr fontId="5" type="noConversion"/>
  </si>
  <si>
    <t xml:space="preserve">MAKE IMAGE LINE TO CENTER NECK FRONT </t>
    <phoneticPr fontId="5" type="noConversion"/>
  </si>
  <si>
    <t>앞목깊이</t>
  </si>
  <si>
    <r>
      <t xml:space="preserve">옆목점에서 앞목중심의 수직 길이 </t>
    </r>
    <r>
      <rPr>
        <sz val="7.5"/>
        <color indexed="10"/>
        <rFont val="맑은 고딕"/>
        <family val="3"/>
        <charset val="129"/>
      </rPr>
      <t>(샘플사이즈)</t>
    </r>
    <phoneticPr fontId="3" type="noConversion"/>
  </si>
  <si>
    <t>NECK</t>
    <phoneticPr fontId="5" type="noConversion"/>
  </si>
  <si>
    <t xml:space="preserve">ROUND ,@ NECK SEWING  LINE </t>
    <phoneticPr fontId="3" type="noConversion"/>
  </si>
  <si>
    <t>목둘레</t>
  </si>
  <si>
    <r>
      <t>목라인(NECK LINE)을 따라 잰 곡선의 둘레길이</t>
    </r>
    <r>
      <rPr>
        <sz val="7.5"/>
        <color indexed="10"/>
        <rFont val="맑은 고딕"/>
        <family val="3"/>
        <charset val="129"/>
      </rPr>
      <t>(샘플사이즈)</t>
    </r>
    <phoneticPr fontId="3" type="noConversion"/>
  </si>
  <si>
    <t>SLEEVE LENGTH</t>
    <phoneticPr fontId="5" type="noConversion"/>
  </si>
  <si>
    <t xml:space="preserve">FROM SHOULDER POINT TO EDGE </t>
    <phoneticPr fontId="5" type="noConversion"/>
  </si>
  <si>
    <t>소매기장</t>
  </si>
  <si>
    <t>어깨 끝점에서 소매 부리(밑단) 끝까지의 직선 길이</t>
    <phoneticPr fontId="3" type="noConversion"/>
  </si>
  <si>
    <t>BICEP</t>
    <phoneticPr fontId="5" type="noConversion"/>
  </si>
  <si>
    <t>FROM ARMHOLE JOINING POINT ,CIRCLE ROUND</t>
    <phoneticPr fontId="5" type="noConversion"/>
  </si>
  <si>
    <t>소매통</t>
  </si>
  <si>
    <t>암홀 겨드랑이 지점에서 소매중심의 수직 길이(둘레)</t>
    <phoneticPr fontId="3" type="noConversion"/>
  </si>
  <si>
    <t xml:space="preserve">CUFF OPENING </t>
    <phoneticPr fontId="5" type="noConversion"/>
  </si>
  <si>
    <t xml:space="preserve">CIRCLE ROUND </t>
    <phoneticPr fontId="5" type="noConversion"/>
  </si>
  <si>
    <t>소매부리</t>
  </si>
  <si>
    <t>소매 밑단(시보리 밑단)의 둘레 길이</t>
    <phoneticPr fontId="3" type="noConversion"/>
  </si>
  <si>
    <t>POINT A</t>
    <phoneticPr fontId="3" type="noConversion"/>
  </si>
  <si>
    <t>위치 A</t>
    <phoneticPr fontId="3" type="noConversion"/>
  </si>
  <si>
    <t>중심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</si>
</sst>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8"/>
      <color indexed="8"/>
      <name val="맑은 고딕"/>
      <family val="3"/>
      <charset val="129"/>
      <scheme val="minor"/>
    </font>
    <font>
      <sz val="8"/>
      <name val="돋움"/>
      <family val="3"/>
      <charset val="129"/>
    </font>
    <font>
      <sz val="7.5"/>
      <color theme="1"/>
      <name val="맑은 고딕"/>
      <family val="3"/>
      <charset val="129"/>
      <scheme val="minor"/>
    </font>
    <font>
      <sz val="7.5"/>
      <name val="맑은 고딕"/>
      <family val="3"/>
      <charset val="129"/>
      <scheme val="minor"/>
    </font>
    <font>
      <sz val="7.5"/>
      <color theme="0"/>
      <name val="맑은 고딕"/>
      <family val="3"/>
      <charset val="129"/>
      <scheme val="minor"/>
    </font>
    <font>
      <sz val="7.5"/>
      <color indexed="1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>
      <alignment vertical="center"/>
    </xf>
    <xf numFmtId="0" fontId="4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6" fillId="0" borderId="13" xfId="0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6" fillId="2" borderId="13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1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7" fillId="0" borderId="14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1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25" xfId="0" applyFont="1" applyBorder="1" applyAlignment="1">
      <alignment horizontal="left" vertical="center" wrapText="1"/>
    </xf>
    <xf numFmtId="0" fontId="6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7" xfId="0" applyFont="1" applyBorder="1" applyAlignment="1">
      <alignment horizontal="left" vertical="center"/>
    </xf>
    <xf numFmtId="0" fontId="7" fillId="0" borderId="29" xfId="0" applyFont="1" applyBorder="1" applyAlignment="1">
      <alignment horizontal="left" vertical="center"/>
    </xf>
    <xf numFmtId="0" fontId="7" fillId="0" borderId="28" xfId="0" applyFont="1" applyBorder="1" applyAlignment="1">
      <alignment horizontal="left" vertical="center"/>
    </xf>
    <xf numFmtId="0" fontId="6" fillId="0" borderId="30" xfId="0" applyFont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F08C6-9E5F-431B-8EC4-2F879D3314B9}">
  <sheetPr>
    <tabColor theme="5"/>
    <pageSetUpPr fitToPage="1"/>
  </sheetPr>
  <dimension ref="A1:N51"/>
  <sheetViews>
    <sheetView tabSelected="1" zoomScale="110" zoomScaleNormal="110" workbookViewId="0">
      <selection sqref="A1:M30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</row>
    <row r="2" spans="1:14" ht="16.5" customHeight="1" thickBot="1" x14ac:dyDescent="0.35">
      <c r="A2" s="5" t="s">
        <v>1</v>
      </c>
      <c r="B2" s="6" t="s">
        <v>2</v>
      </c>
      <c r="C2" s="6"/>
      <c r="D2" s="6" t="s">
        <v>3</v>
      </c>
      <c r="E2" s="6"/>
      <c r="F2" s="6"/>
      <c r="G2" s="6"/>
      <c r="H2" s="7" t="s">
        <v>4</v>
      </c>
      <c r="I2" s="7" t="s">
        <v>5</v>
      </c>
      <c r="J2" s="8" t="s">
        <v>6</v>
      </c>
      <c r="K2" s="7" t="s">
        <v>7</v>
      </c>
      <c r="L2" s="7" t="s">
        <v>8</v>
      </c>
      <c r="M2" s="7" t="s">
        <v>9</v>
      </c>
    </row>
    <row r="3" spans="1:14" s="17" customFormat="1" ht="14.1" customHeight="1" x14ac:dyDescent="0.3">
      <c r="A3" s="9">
        <v>1</v>
      </c>
      <c r="B3" s="10" t="s">
        <v>10</v>
      </c>
      <c r="C3" s="10"/>
      <c r="D3" s="11" t="s">
        <v>11</v>
      </c>
      <c r="E3" s="11"/>
      <c r="F3" s="11"/>
      <c r="G3" s="12"/>
      <c r="H3" s="13">
        <f>SUM(I3)-3.5</f>
        <v>38</v>
      </c>
      <c r="I3" s="13">
        <f>SUM(J3)-3.5</f>
        <v>41.5</v>
      </c>
      <c r="J3" s="14">
        <v>45</v>
      </c>
      <c r="K3" s="15">
        <f>SUM(J3)+3</f>
        <v>48</v>
      </c>
      <c r="L3" s="15">
        <f t="shared" ref="L3:M3" si="0">SUM(K3)+3</f>
        <v>51</v>
      </c>
      <c r="M3" s="16">
        <f t="shared" si="0"/>
        <v>54</v>
      </c>
    </row>
    <row r="4" spans="1:14" s="17" customFormat="1" ht="14.1" customHeight="1" x14ac:dyDescent="0.3">
      <c r="A4" s="18"/>
      <c r="B4" s="19" t="s">
        <v>12</v>
      </c>
      <c r="C4" s="19"/>
      <c r="D4" s="20" t="s">
        <v>13</v>
      </c>
      <c r="E4" s="21"/>
      <c r="F4" s="21"/>
      <c r="G4" s="21"/>
      <c r="H4" s="22"/>
      <c r="I4" s="22"/>
      <c r="J4" s="23"/>
      <c r="K4" s="13"/>
      <c r="L4" s="13"/>
      <c r="M4" s="24"/>
    </row>
    <row r="5" spans="1:14" s="17" customFormat="1" ht="14.1" customHeight="1" x14ac:dyDescent="0.3">
      <c r="A5" s="18">
        <v>2</v>
      </c>
      <c r="B5" s="25" t="s">
        <v>14</v>
      </c>
      <c r="C5" s="25"/>
      <c r="D5" s="26" t="s">
        <v>15</v>
      </c>
      <c r="E5" s="26"/>
      <c r="F5" s="26"/>
      <c r="G5" s="26"/>
      <c r="H5" s="13">
        <f>SUM(I5)-1.8</f>
        <v>22.4</v>
      </c>
      <c r="I5" s="13">
        <f>SUM(J5)-1.8</f>
        <v>24.2</v>
      </c>
      <c r="J5" s="23">
        <v>26</v>
      </c>
      <c r="K5" s="13">
        <f>SUM(J5)+1.6</f>
        <v>27.6</v>
      </c>
      <c r="L5" s="13">
        <f>SUM(K5)+1.6</f>
        <v>29.200000000000003</v>
      </c>
      <c r="M5" s="24">
        <f>SUM(L5)+1.6</f>
        <v>30.800000000000004</v>
      </c>
    </row>
    <row r="6" spans="1:14" s="17" customFormat="1" ht="14.1" customHeight="1" x14ac:dyDescent="0.3">
      <c r="A6" s="18"/>
      <c r="B6" s="19" t="s">
        <v>16</v>
      </c>
      <c r="C6" s="19"/>
      <c r="D6" s="20" t="s">
        <v>17</v>
      </c>
      <c r="E6" s="21"/>
      <c r="F6" s="21"/>
      <c r="G6" s="27"/>
      <c r="H6" s="22"/>
      <c r="I6" s="22"/>
      <c r="J6" s="28"/>
      <c r="K6" s="22"/>
      <c r="L6" s="22"/>
      <c r="M6" s="29"/>
    </row>
    <row r="7" spans="1:14" s="17" customFormat="1" ht="14.1" customHeight="1" x14ac:dyDescent="0.3">
      <c r="A7" s="18">
        <v>3</v>
      </c>
      <c r="B7" s="25" t="s">
        <v>18</v>
      </c>
      <c r="C7" s="25"/>
      <c r="D7" s="26" t="s">
        <v>19</v>
      </c>
      <c r="E7" s="26"/>
      <c r="F7" s="26"/>
      <c r="G7" s="26"/>
      <c r="H7" s="13">
        <f>SUM(I7)-2</f>
        <v>27</v>
      </c>
      <c r="I7" s="13">
        <f>SUM(J7)-2</f>
        <v>29</v>
      </c>
      <c r="J7" s="23">
        <v>31</v>
      </c>
      <c r="K7" s="13">
        <f>SUM(J7)+1.8</f>
        <v>32.799999999999997</v>
      </c>
      <c r="L7" s="13">
        <f>SUM(K7)+1.8</f>
        <v>34.599999999999994</v>
      </c>
      <c r="M7" s="24">
        <f>SUM(L7)+1.8</f>
        <v>36.399999999999991</v>
      </c>
    </row>
    <row r="8" spans="1:14" s="17" customFormat="1" ht="14.1" customHeight="1" x14ac:dyDescent="0.3">
      <c r="A8" s="18"/>
      <c r="B8" s="19" t="s">
        <v>20</v>
      </c>
      <c r="C8" s="19"/>
      <c r="D8" s="20" t="s">
        <v>21</v>
      </c>
      <c r="E8" s="21"/>
      <c r="F8" s="21"/>
      <c r="G8" s="27"/>
      <c r="H8" s="22"/>
      <c r="I8" s="22"/>
      <c r="J8" s="28"/>
      <c r="K8" s="22"/>
      <c r="L8" s="22"/>
      <c r="M8" s="29"/>
    </row>
    <row r="9" spans="1:14" s="17" customFormat="1" ht="14.1" customHeight="1" x14ac:dyDescent="0.3">
      <c r="A9" s="18">
        <v>4</v>
      </c>
      <c r="B9" s="25" t="s">
        <v>22</v>
      </c>
      <c r="C9" s="25"/>
      <c r="D9" s="26" t="s">
        <v>23</v>
      </c>
      <c r="E9" s="26"/>
      <c r="F9" s="26"/>
      <c r="G9" s="26"/>
      <c r="H9" s="13">
        <f>SUM(I9)-2</f>
        <v>27</v>
      </c>
      <c r="I9" s="13">
        <f>SUM(J9)-2</f>
        <v>29</v>
      </c>
      <c r="J9" s="23">
        <v>31</v>
      </c>
      <c r="K9" s="13">
        <f>SUM(J9)+1.8</f>
        <v>32.799999999999997</v>
      </c>
      <c r="L9" s="13">
        <f>SUM(K9)+1.8</f>
        <v>34.599999999999994</v>
      </c>
      <c r="M9" s="24">
        <f>SUM(L9)+1.8</f>
        <v>36.399999999999991</v>
      </c>
      <c r="N9" s="17" t="s">
        <v>24</v>
      </c>
    </row>
    <row r="10" spans="1:14" s="17" customFormat="1" ht="14.1" customHeight="1" x14ac:dyDescent="0.3">
      <c r="A10" s="18"/>
      <c r="B10" s="19" t="s">
        <v>25</v>
      </c>
      <c r="C10" s="19"/>
      <c r="D10" s="20" t="s">
        <v>26</v>
      </c>
      <c r="E10" s="21"/>
      <c r="F10" s="21"/>
      <c r="G10" s="27"/>
      <c r="H10" s="22"/>
      <c r="I10" s="22"/>
      <c r="J10" s="28"/>
      <c r="K10" s="22"/>
      <c r="L10" s="22"/>
      <c r="M10" s="29"/>
    </row>
    <row r="11" spans="1:14" s="17" customFormat="1" ht="14.1" customHeight="1" x14ac:dyDescent="0.3">
      <c r="A11" s="18">
        <v>5</v>
      </c>
      <c r="B11" s="25" t="s">
        <v>27</v>
      </c>
      <c r="C11" s="25"/>
      <c r="D11" s="26" t="s">
        <v>28</v>
      </c>
      <c r="E11" s="26"/>
      <c r="F11" s="26"/>
      <c r="G11" s="26"/>
      <c r="H11" s="13">
        <f>SUM(I11)-0.8</f>
        <v>12.499999999999998</v>
      </c>
      <c r="I11" s="13">
        <f>SUM(J11)-0.8</f>
        <v>13.299999999999999</v>
      </c>
      <c r="J11" s="30">
        <v>14.1</v>
      </c>
      <c r="K11" s="31">
        <f>SUM(J11)+0.8</f>
        <v>14.9</v>
      </c>
      <c r="L11" s="31">
        <f t="shared" ref="L11:M11" si="1">SUM(K11)+0.8</f>
        <v>15.700000000000001</v>
      </c>
      <c r="M11" s="32">
        <f t="shared" si="1"/>
        <v>16.5</v>
      </c>
    </row>
    <row r="12" spans="1:14" s="17" customFormat="1" ht="14.1" customHeight="1" x14ac:dyDescent="0.3">
      <c r="A12" s="18"/>
      <c r="B12" s="19" t="s">
        <v>29</v>
      </c>
      <c r="C12" s="19"/>
      <c r="D12" s="20" t="s">
        <v>30</v>
      </c>
      <c r="E12" s="21"/>
      <c r="F12" s="21"/>
      <c r="G12" s="27"/>
      <c r="H12" s="22"/>
      <c r="I12" s="22"/>
      <c r="J12" s="30"/>
      <c r="K12" s="31"/>
      <c r="L12" s="31"/>
      <c r="M12" s="32"/>
    </row>
    <row r="13" spans="1:14" s="17" customFormat="1" ht="14.1" customHeight="1" x14ac:dyDescent="0.3">
      <c r="A13" s="18">
        <v>6</v>
      </c>
      <c r="B13" s="25" t="s">
        <v>31</v>
      </c>
      <c r="C13" s="25"/>
      <c r="D13" s="26" t="s">
        <v>32</v>
      </c>
      <c r="E13" s="26"/>
      <c r="F13" s="26"/>
      <c r="G13" s="26"/>
      <c r="H13" s="13">
        <f>SUM(I13)-0.6</f>
        <v>14</v>
      </c>
      <c r="I13" s="13">
        <f>SUM(J13)-0.6</f>
        <v>14.6</v>
      </c>
      <c r="J13" s="30">
        <v>15.2</v>
      </c>
      <c r="K13" s="31">
        <f>SUM(J13)+0.6</f>
        <v>15.799999999999999</v>
      </c>
      <c r="L13" s="31">
        <f>SUM(K13)+0.6</f>
        <v>16.399999999999999</v>
      </c>
      <c r="M13" s="32">
        <f>SUM(L13)+0.6</f>
        <v>17</v>
      </c>
    </row>
    <row r="14" spans="1:14" s="17" customFormat="1" ht="14.1" customHeight="1" x14ac:dyDescent="0.3">
      <c r="A14" s="18"/>
      <c r="B14" s="19" t="s">
        <v>33</v>
      </c>
      <c r="C14" s="19"/>
      <c r="D14" s="20" t="s">
        <v>34</v>
      </c>
      <c r="E14" s="21"/>
      <c r="F14" s="21"/>
      <c r="G14" s="27"/>
      <c r="H14" s="22"/>
      <c r="I14" s="22"/>
      <c r="J14" s="30"/>
      <c r="K14" s="31"/>
      <c r="L14" s="31"/>
      <c r="M14" s="32"/>
    </row>
    <row r="15" spans="1:14" s="17" customFormat="1" ht="14.1" customHeight="1" x14ac:dyDescent="0.3">
      <c r="A15" s="18">
        <v>7</v>
      </c>
      <c r="B15" s="25" t="s">
        <v>35</v>
      </c>
      <c r="C15" s="25"/>
      <c r="D15" s="26" t="s">
        <v>36</v>
      </c>
      <c r="E15" s="26"/>
      <c r="F15" s="26"/>
      <c r="G15" s="26"/>
      <c r="H15" s="13">
        <f>SUM(I15)-0.3</f>
        <v>4.9000000000000004</v>
      </c>
      <c r="I15" s="13">
        <f>SUM(J15)-0.3</f>
        <v>5.2</v>
      </c>
      <c r="J15" s="30">
        <v>5.5</v>
      </c>
      <c r="K15" s="31">
        <f>SUM(J15)+0.3</f>
        <v>5.8</v>
      </c>
      <c r="L15" s="31">
        <f>SUM(K15)+0.3</f>
        <v>6.1</v>
      </c>
      <c r="M15" s="32">
        <f>SUM(L15)+0.3</f>
        <v>6.3999999999999995</v>
      </c>
    </row>
    <row r="16" spans="1:14" s="17" customFormat="1" ht="14.1" customHeight="1" x14ac:dyDescent="0.3">
      <c r="A16" s="18"/>
      <c r="B16" s="19" t="s">
        <v>37</v>
      </c>
      <c r="C16" s="19"/>
      <c r="D16" s="20" t="s">
        <v>38</v>
      </c>
      <c r="E16" s="21"/>
      <c r="F16" s="21"/>
      <c r="G16" s="27"/>
      <c r="H16" s="22"/>
      <c r="I16" s="22"/>
      <c r="J16" s="30"/>
      <c r="K16" s="31"/>
      <c r="L16" s="31"/>
      <c r="M16" s="32"/>
    </row>
    <row r="17" spans="1:13" s="17" customFormat="1" ht="14.1" customHeight="1" x14ac:dyDescent="0.3">
      <c r="A17" s="18">
        <v>8</v>
      </c>
      <c r="B17" s="33" t="s">
        <v>39</v>
      </c>
      <c r="C17" s="34"/>
      <c r="D17" s="35" t="s">
        <v>40</v>
      </c>
      <c r="E17" s="36"/>
      <c r="F17" s="36"/>
      <c r="G17" s="37"/>
      <c r="H17" s="13">
        <f>SUM(I17)-1.6</f>
        <v>34.799999999999997</v>
      </c>
      <c r="I17" s="13">
        <f>SUM(J17)-1.6</f>
        <v>36.4</v>
      </c>
      <c r="J17" s="30">
        <v>38</v>
      </c>
      <c r="K17" s="31">
        <f>SUM(J17)+1.6</f>
        <v>39.6</v>
      </c>
      <c r="L17" s="31">
        <f>SUM(K17)+1.6</f>
        <v>41.2</v>
      </c>
      <c r="M17" s="32">
        <f>SUM(L17)+1.6</f>
        <v>42.800000000000004</v>
      </c>
    </row>
    <row r="18" spans="1:13" s="17" customFormat="1" ht="14.1" customHeight="1" x14ac:dyDescent="0.3">
      <c r="A18" s="18"/>
      <c r="B18" s="19" t="s">
        <v>41</v>
      </c>
      <c r="C18" s="19"/>
      <c r="D18" s="20" t="s">
        <v>42</v>
      </c>
      <c r="E18" s="21"/>
      <c r="F18" s="21"/>
      <c r="G18" s="27"/>
      <c r="H18" s="22"/>
      <c r="I18" s="22"/>
      <c r="J18" s="30"/>
      <c r="K18" s="31"/>
      <c r="L18" s="31"/>
      <c r="M18" s="32"/>
    </row>
    <row r="19" spans="1:13" s="17" customFormat="1" ht="14.1" customHeight="1" x14ac:dyDescent="0.3">
      <c r="A19" s="18">
        <v>9</v>
      </c>
      <c r="B19" s="25" t="s">
        <v>43</v>
      </c>
      <c r="C19" s="25"/>
      <c r="D19" s="26" t="s">
        <v>44</v>
      </c>
      <c r="E19" s="26"/>
      <c r="F19" s="26"/>
      <c r="G19" s="26"/>
      <c r="H19" s="13">
        <f>SUM(I19)-3.6</f>
        <v>32.799999999999997</v>
      </c>
      <c r="I19" s="13">
        <f>SUM(J19)-3.6</f>
        <v>36.4</v>
      </c>
      <c r="J19" s="30">
        <v>40</v>
      </c>
      <c r="K19" s="31">
        <f>SUM(J19)+3.7</f>
        <v>43.7</v>
      </c>
      <c r="L19" s="31">
        <f>SUM(K19)+3.7</f>
        <v>47.400000000000006</v>
      </c>
      <c r="M19" s="32">
        <f>SUM(L19)+3.7</f>
        <v>51.100000000000009</v>
      </c>
    </row>
    <row r="20" spans="1:13" s="17" customFormat="1" ht="14.1" customHeight="1" x14ac:dyDescent="0.3">
      <c r="A20" s="18"/>
      <c r="B20" s="19" t="s">
        <v>45</v>
      </c>
      <c r="C20" s="19"/>
      <c r="D20" s="20" t="s">
        <v>46</v>
      </c>
      <c r="E20" s="21"/>
      <c r="F20" s="21"/>
      <c r="G20" s="27"/>
      <c r="H20" s="22"/>
      <c r="I20" s="22"/>
      <c r="J20" s="30"/>
      <c r="K20" s="31"/>
      <c r="L20" s="31"/>
      <c r="M20" s="32"/>
    </row>
    <row r="21" spans="1:13" s="17" customFormat="1" ht="14.1" customHeight="1" x14ac:dyDescent="0.3">
      <c r="A21" s="18">
        <v>10</v>
      </c>
      <c r="B21" s="25" t="s">
        <v>47</v>
      </c>
      <c r="C21" s="25"/>
      <c r="D21" s="35" t="s">
        <v>48</v>
      </c>
      <c r="E21" s="36"/>
      <c r="F21" s="36"/>
      <c r="G21" s="37"/>
      <c r="H21" s="13"/>
      <c r="I21" s="13"/>
      <c r="J21" s="30"/>
      <c r="K21" s="31"/>
      <c r="L21" s="31"/>
      <c r="M21" s="32"/>
    </row>
    <row r="22" spans="1:13" s="17" customFormat="1" ht="14.1" customHeight="1" x14ac:dyDescent="0.3">
      <c r="A22" s="18"/>
      <c r="B22" s="19" t="s">
        <v>49</v>
      </c>
      <c r="C22" s="19"/>
      <c r="D22" s="20" t="s">
        <v>50</v>
      </c>
      <c r="E22" s="21"/>
      <c r="F22" s="21"/>
      <c r="G22" s="27"/>
      <c r="H22" s="22"/>
      <c r="I22" s="22"/>
      <c r="J22" s="30"/>
      <c r="K22" s="31"/>
      <c r="L22" s="31"/>
      <c r="M22" s="32"/>
    </row>
    <row r="23" spans="1:13" s="17" customFormat="1" ht="14.1" customHeight="1" x14ac:dyDescent="0.3">
      <c r="A23" s="18">
        <v>11</v>
      </c>
      <c r="B23" s="33" t="s">
        <v>51</v>
      </c>
      <c r="C23" s="34"/>
      <c r="D23" s="26" t="s">
        <v>52</v>
      </c>
      <c r="E23" s="26"/>
      <c r="F23" s="26"/>
      <c r="G23" s="26"/>
      <c r="H23" s="13">
        <f>SUM(I23)-0.6</f>
        <v>14</v>
      </c>
      <c r="I23" s="13">
        <f>SUM(J23)-0.6</f>
        <v>14.6</v>
      </c>
      <c r="J23" s="30">
        <v>15.2</v>
      </c>
      <c r="K23" s="31">
        <f>SUM(J23)+0.6</f>
        <v>15.799999999999999</v>
      </c>
      <c r="L23" s="31">
        <f t="shared" ref="L23:M23" si="2">SUM(K23)+0.6</f>
        <v>16.399999999999999</v>
      </c>
      <c r="M23" s="32">
        <f t="shared" si="2"/>
        <v>17</v>
      </c>
    </row>
    <row r="24" spans="1:13" s="17" customFormat="1" ht="14.1" customHeight="1" x14ac:dyDescent="0.3">
      <c r="A24" s="18"/>
      <c r="B24" s="19" t="s">
        <v>53</v>
      </c>
      <c r="C24" s="19"/>
      <c r="D24" s="20" t="s">
        <v>54</v>
      </c>
      <c r="E24" s="21"/>
      <c r="F24" s="21"/>
      <c r="G24" s="27"/>
      <c r="H24" s="22"/>
      <c r="I24" s="22"/>
      <c r="J24" s="30"/>
      <c r="K24" s="31"/>
      <c r="L24" s="31"/>
      <c r="M24" s="32"/>
    </row>
    <row r="25" spans="1:13" s="17" customFormat="1" ht="14.1" customHeight="1" x14ac:dyDescent="0.3">
      <c r="A25" s="18">
        <v>12</v>
      </c>
      <c r="B25" s="33" t="s">
        <v>55</v>
      </c>
      <c r="C25" s="34"/>
      <c r="D25" s="26"/>
      <c r="E25" s="26"/>
      <c r="F25" s="26"/>
      <c r="G25" s="26"/>
      <c r="H25" s="13">
        <f>SUM(I25)</f>
        <v>1.35</v>
      </c>
      <c r="I25" s="13">
        <f>SUM(J25)-0.15</f>
        <v>1.35</v>
      </c>
      <c r="J25" s="23">
        <v>1.5</v>
      </c>
      <c r="K25" s="13">
        <f>SUM(J25)</f>
        <v>1.5</v>
      </c>
      <c r="L25" s="13">
        <f>SUM(K25)+0.15</f>
        <v>1.65</v>
      </c>
      <c r="M25" s="24">
        <f t="shared" ref="M25" si="3">SUM(L25)+0.3</f>
        <v>1.95</v>
      </c>
    </row>
    <row r="26" spans="1:13" s="17" customFormat="1" ht="14.1" customHeight="1" x14ac:dyDescent="0.3">
      <c r="A26" s="18"/>
      <c r="B26" s="38" t="s">
        <v>56</v>
      </c>
      <c r="C26" s="39"/>
      <c r="D26" s="20" t="s">
        <v>57</v>
      </c>
      <c r="E26" s="21"/>
      <c r="F26" s="21"/>
      <c r="G26" s="27"/>
      <c r="H26" s="22"/>
      <c r="I26" s="22"/>
      <c r="J26" s="28"/>
      <c r="K26" s="22"/>
      <c r="L26" s="22"/>
      <c r="M26" s="29"/>
    </row>
    <row r="27" spans="1:13" s="17" customFormat="1" ht="14.1" customHeight="1" x14ac:dyDescent="0.3">
      <c r="A27" s="18">
        <v>13</v>
      </c>
      <c r="B27" s="33"/>
      <c r="C27" s="34"/>
      <c r="D27" s="40"/>
      <c r="E27" s="41"/>
      <c r="F27" s="41"/>
      <c r="G27" s="42"/>
      <c r="H27" s="13"/>
      <c r="I27" s="13"/>
      <c r="J27" s="23"/>
      <c r="K27" s="13"/>
      <c r="L27" s="13"/>
      <c r="M27" s="43"/>
    </row>
    <row r="28" spans="1:13" s="17" customFormat="1" ht="14.1" customHeight="1" x14ac:dyDescent="0.3">
      <c r="A28" s="18"/>
      <c r="B28" s="38"/>
      <c r="C28" s="39"/>
      <c r="D28" s="20"/>
      <c r="E28" s="21"/>
      <c r="F28" s="21"/>
      <c r="G28" s="27"/>
      <c r="H28" s="22"/>
      <c r="I28" s="22"/>
      <c r="J28" s="28"/>
      <c r="K28" s="22"/>
      <c r="L28" s="22"/>
      <c r="M28" s="44"/>
    </row>
    <row r="29" spans="1:13" s="17" customFormat="1" ht="14.1" customHeight="1" x14ac:dyDescent="0.3">
      <c r="A29" s="18">
        <v>14</v>
      </c>
      <c r="B29" s="45"/>
      <c r="C29" s="46"/>
      <c r="D29" s="47"/>
      <c r="E29" s="48"/>
      <c r="F29" s="48"/>
      <c r="G29" s="49"/>
      <c r="H29" s="13"/>
      <c r="I29" s="13"/>
      <c r="J29" s="23"/>
      <c r="K29" s="13"/>
      <c r="L29" s="13"/>
      <c r="M29" s="43"/>
    </row>
    <row r="30" spans="1:13" s="17" customFormat="1" ht="14.1" customHeight="1" thickBot="1" x14ac:dyDescent="0.35">
      <c r="A30" s="50"/>
      <c r="B30" s="51"/>
      <c r="C30" s="52"/>
      <c r="D30" s="53"/>
      <c r="E30" s="54"/>
      <c r="F30" s="54"/>
      <c r="G30" s="55"/>
      <c r="H30" s="56"/>
      <c r="I30" s="56"/>
      <c r="J30" s="57"/>
      <c r="K30" s="56"/>
      <c r="L30" s="56"/>
      <c r="M30" s="58"/>
    </row>
    <row r="31" spans="1:13" ht="14.1" customHeight="1" x14ac:dyDescent="0.3"/>
    <row r="32" spans="1:13" ht="14.1" customHeight="1" x14ac:dyDescent="0.3"/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57"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5:J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1:J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7:J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3:J14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J9:J10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B6:C6"/>
    <mergeCell ref="D6:G6"/>
    <mergeCell ref="A7:A8"/>
    <mergeCell ref="B7:C7"/>
    <mergeCell ref="D7:G7"/>
    <mergeCell ref="H7:H8"/>
    <mergeCell ref="I7:I8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</mergeCells>
  <phoneticPr fontId="2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TO05</vt:lpstr>
      <vt:lpstr>'TO05'!Print_Area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sc240610</dc:creator>
  <cp:lastModifiedBy>sc240610</cp:lastModifiedBy>
  <dcterms:created xsi:type="dcterms:W3CDTF">2026-07-09T09:32:54Z</dcterms:created>
  <dcterms:modified xsi:type="dcterms:W3CDTF">2026-07-09T09:33:19Z</dcterms:modified>
</cp:coreProperties>
</file>