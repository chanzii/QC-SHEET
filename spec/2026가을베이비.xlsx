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중국풀패턴\작지싸이즈스펙\2026\"/>
    </mc:Choice>
  </mc:AlternateContent>
  <xr:revisionPtr revIDLastSave="0" documentId="13_ncr:1_{418F2A8C-80E6-4852-89F0-C02C2FF5799E}" xr6:coauthVersionLast="47" xr6:coauthVersionMax="47" xr10:uidLastSave="{00000000-0000-0000-0000-000000000000}"/>
  <bookViews>
    <workbookView xWindow="28680" yWindow="-120" windowWidth="29040" windowHeight="15720" tabRatio="776" xr2:uid="{00000000-000D-0000-FFFF-FFFF00000000}"/>
  </bookViews>
  <sheets>
    <sheet name="SE01" sheetId="966" r:id="rId1"/>
    <sheet name="SE03" sheetId="971" r:id="rId2"/>
    <sheet name="LE01 " sheetId="956" r:id="rId3"/>
    <sheet name="OP01" sheetId="967" r:id="rId4"/>
    <sheet name="OP02" sheetId="968" r:id="rId5"/>
    <sheet name="OU01" sheetId="962" r:id="rId6"/>
    <sheet name="OU02" sheetId="961" r:id="rId7"/>
    <sheet name="OU03 (니트)" sheetId="959" r:id="rId8"/>
    <sheet name="OU04 (니트)" sheetId="954" r:id="rId9"/>
    <sheet name="PT01" sheetId="957" r:id="rId10"/>
    <sheet name="PT02(완사입)" sheetId="955" r:id="rId11"/>
    <sheet name="PT03" sheetId="965" r:id="rId12"/>
    <sheet name="PT04" sheetId="969" r:id="rId13"/>
    <sheet name="PT05" sheetId="972" r:id="rId14"/>
    <sheet name="PT06" sheetId="974" r:id="rId15"/>
    <sheet name="TO01" sheetId="958" r:id="rId16"/>
    <sheet name="TO02" sheetId="960" r:id="rId17"/>
    <sheet name="TO03" sheetId="963" r:id="rId18"/>
    <sheet name="TO04" sheetId="964" r:id="rId19"/>
    <sheet name="TO05" sheetId="970" r:id="rId20"/>
    <sheet name="TO06 (니트)" sheetId="975" r:id="rId21"/>
    <sheet name="TO07" sheetId="973" r:id="rId22"/>
  </sheets>
  <definedNames>
    <definedName name="_xlnm.Print_Area" localSheetId="2">'LE01 '!$A$1:$M$34</definedName>
    <definedName name="_xlnm.Print_Area" localSheetId="3">'OP01'!$A$1:$M$34</definedName>
    <definedName name="_xlnm.Print_Area" localSheetId="4">'OP02'!$A$1:$M$38</definedName>
    <definedName name="_xlnm.Print_Area" localSheetId="5">'OU01'!$A$1:$M$36</definedName>
    <definedName name="_xlnm.Print_Area" localSheetId="6">'OU02'!$A$1:$M$36</definedName>
    <definedName name="_xlnm.Print_Area" localSheetId="7">'OU03 (니트)'!$A$1:$M$34</definedName>
    <definedName name="_xlnm.Print_Area" localSheetId="8">'OU04 (니트)'!$A$1:$M$34</definedName>
    <definedName name="_xlnm.Print_Area" localSheetId="9">'PT01'!$A$1:$M$42</definedName>
    <definedName name="_xlnm.Print_Area" localSheetId="10">'PT02(완사입)'!$A$1:$M$48</definedName>
    <definedName name="_xlnm.Print_Area" localSheetId="11">'PT03'!$A$1:$M$40</definedName>
    <definedName name="_xlnm.Print_Area" localSheetId="12">'PT04'!$A$1:$M$40</definedName>
    <definedName name="_xlnm.Print_Area" localSheetId="13">'PT05'!$A$1:$M$42</definedName>
    <definedName name="_xlnm.Print_Area" localSheetId="14">'PT06'!$A$1:$M$38</definedName>
    <definedName name="_xlnm.Print_Area" localSheetId="0">'SE01'!$A$1:$M$62</definedName>
    <definedName name="_xlnm.Print_Area" localSheetId="1">'SE03'!$A$1:$M$62</definedName>
    <definedName name="_xlnm.Print_Area" localSheetId="15">'TO01'!$A$1:$M$28</definedName>
    <definedName name="_xlnm.Print_Area" localSheetId="16">'TO02'!$A$1:$M$28</definedName>
    <definedName name="_xlnm.Print_Area" localSheetId="17">'TO03'!$A$1:$M$28</definedName>
    <definedName name="_xlnm.Print_Area" localSheetId="18">'TO04'!$A$1:$M$28</definedName>
    <definedName name="_xlnm.Print_Area" localSheetId="19">'TO05'!$A$1:$M$28</definedName>
    <definedName name="_xlnm.Print_Area" localSheetId="20">'TO06 (니트)'!$A$1:$M$34</definedName>
    <definedName name="_xlnm.Print_Area" localSheetId="21">'TO07'!$A$1:$M$30</definedName>
  </definedNames>
  <calcPr calcId="191029"/>
</workbook>
</file>

<file path=xl/calcChain.xml><?xml version="1.0" encoding="utf-8"?>
<calcChain xmlns="http://schemas.openxmlformats.org/spreadsheetml/2006/main">
  <c r="J17" i="958" l="1"/>
  <c r="K17" i="958" s="1"/>
  <c r="H17" i="958"/>
  <c r="J15" i="958"/>
  <c r="K15" i="958" s="1"/>
  <c r="H15" i="958"/>
  <c r="J13" i="958"/>
  <c r="K13" i="958" s="1"/>
  <c r="H13" i="958"/>
  <c r="J27" i="956"/>
  <c r="K27" i="956" s="1"/>
  <c r="H27" i="956"/>
  <c r="H25" i="956" l="1"/>
  <c r="J25" i="956"/>
  <c r="K25" i="956" s="1"/>
  <c r="J21" i="975" l="1"/>
  <c r="K21" i="975" s="1"/>
  <c r="H21" i="975"/>
  <c r="J17" i="975"/>
  <c r="K17" i="975" s="1"/>
  <c r="H17" i="975"/>
  <c r="J15" i="975"/>
  <c r="K15" i="975" s="1"/>
  <c r="H15" i="975"/>
  <c r="J13" i="975"/>
  <c r="K13" i="975" s="1"/>
  <c r="H13" i="975"/>
  <c r="J11" i="975"/>
  <c r="K11" i="975" s="1"/>
  <c r="H11" i="975"/>
  <c r="J9" i="975"/>
  <c r="K9" i="975" s="1"/>
  <c r="H9" i="975"/>
  <c r="J7" i="975"/>
  <c r="K7" i="975" s="1"/>
  <c r="H7" i="975"/>
  <c r="J5" i="975"/>
  <c r="K5" i="975" s="1"/>
  <c r="H5" i="975"/>
  <c r="J3" i="975"/>
  <c r="K3" i="975" s="1"/>
  <c r="H3" i="975"/>
  <c r="H35" i="968"/>
  <c r="J35" i="968"/>
  <c r="K35" i="968" s="1"/>
  <c r="H31" i="968"/>
  <c r="K31" i="968"/>
  <c r="J31" i="968"/>
  <c r="K33" i="968"/>
  <c r="K37" i="968"/>
  <c r="J37" i="968"/>
  <c r="H37" i="968"/>
  <c r="H33" i="968"/>
  <c r="J33" i="968"/>
  <c r="K29" i="968"/>
  <c r="J29" i="968"/>
  <c r="H29" i="968"/>
  <c r="J35" i="974"/>
  <c r="K35" i="974" s="1"/>
  <c r="H35" i="974"/>
  <c r="J33" i="974"/>
  <c r="K33" i="974" s="1"/>
  <c r="H33" i="974"/>
  <c r="J31" i="974"/>
  <c r="K31" i="974" s="1"/>
  <c r="H31" i="974"/>
  <c r="J29" i="974"/>
  <c r="K29" i="974" s="1"/>
  <c r="H29" i="974"/>
  <c r="J27" i="974"/>
  <c r="K27" i="974" s="1"/>
  <c r="H27" i="974"/>
  <c r="J25" i="974"/>
  <c r="K25" i="974" s="1"/>
  <c r="H25" i="974"/>
  <c r="J23" i="974"/>
  <c r="K23" i="974" s="1"/>
  <c r="H23" i="974"/>
  <c r="J21" i="974"/>
  <c r="K21" i="974" s="1"/>
  <c r="H21" i="974"/>
  <c r="J19" i="974"/>
  <c r="K19" i="974" s="1"/>
  <c r="H19" i="974"/>
  <c r="J15" i="974"/>
  <c r="K15" i="974" s="1"/>
  <c r="H15" i="974"/>
  <c r="J13" i="974"/>
  <c r="K13" i="974" s="1"/>
  <c r="H13" i="974"/>
  <c r="J11" i="974"/>
  <c r="K11" i="974" s="1"/>
  <c r="H11" i="974"/>
  <c r="J3" i="974"/>
  <c r="K3" i="974" s="1"/>
  <c r="H3" i="974"/>
  <c r="J29" i="973"/>
  <c r="K29" i="973" s="1"/>
  <c r="H29" i="973"/>
  <c r="J27" i="973"/>
  <c r="K27" i="973" s="1"/>
  <c r="H27" i="973"/>
  <c r="J25" i="973"/>
  <c r="K25" i="973" s="1"/>
  <c r="H25" i="973"/>
  <c r="H31" i="962"/>
  <c r="J31" i="962"/>
  <c r="K31" i="962" s="1"/>
  <c r="H33" i="962"/>
  <c r="J33" i="962"/>
  <c r="K33" i="962"/>
  <c r="J21" i="973"/>
  <c r="K21" i="973" s="1"/>
  <c r="H21" i="973"/>
  <c r="J23" i="973"/>
  <c r="K23" i="973" s="1"/>
  <c r="H23" i="973"/>
  <c r="J19" i="973"/>
  <c r="K19" i="973" s="1"/>
  <c r="H19" i="973"/>
  <c r="H17" i="973"/>
  <c r="H15" i="973"/>
  <c r="H13" i="973"/>
  <c r="J11" i="973"/>
  <c r="K11" i="973" s="1"/>
  <c r="H11" i="973"/>
  <c r="J9" i="973"/>
  <c r="K9" i="973" s="1"/>
  <c r="H9" i="973"/>
  <c r="J7" i="973"/>
  <c r="K7" i="973" s="1"/>
  <c r="H7" i="973"/>
  <c r="J5" i="973"/>
  <c r="K5" i="973" s="1"/>
  <c r="H5" i="973"/>
  <c r="J3" i="973"/>
  <c r="K3" i="973" s="1"/>
  <c r="H3" i="973"/>
  <c r="H41" i="972"/>
  <c r="J41" i="972"/>
  <c r="K41" i="972" s="1"/>
  <c r="J39" i="972"/>
  <c r="K39" i="972" s="1"/>
  <c r="H39" i="972"/>
  <c r="J37" i="972"/>
  <c r="K37" i="972" s="1"/>
  <c r="H37" i="972"/>
  <c r="J35" i="972"/>
  <c r="K35" i="972" s="1"/>
  <c r="H35" i="972"/>
  <c r="J31" i="972"/>
  <c r="K31" i="972" s="1"/>
  <c r="H31" i="972"/>
  <c r="J33" i="972"/>
  <c r="K33" i="972" s="1"/>
  <c r="H33" i="972"/>
  <c r="J29" i="972"/>
  <c r="K29" i="972" s="1"/>
  <c r="H29" i="972"/>
  <c r="J27" i="972"/>
  <c r="K27" i="972" s="1"/>
  <c r="H27" i="972"/>
  <c r="J25" i="972"/>
  <c r="K25" i="972" s="1"/>
  <c r="H25" i="972"/>
  <c r="J23" i="972"/>
  <c r="K23" i="972" s="1"/>
  <c r="H23" i="972"/>
  <c r="J21" i="972"/>
  <c r="K21" i="972" s="1"/>
  <c r="H21" i="972"/>
  <c r="J19" i="972"/>
  <c r="K19" i="972" s="1"/>
  <c r="H19" i="972"/>
  <c r="J15" i="972"/>
  <c r="K15" i="972" s="1"/>
  <c r="H15" i="972"/>
  <c r="J13" i="972"/>
  <c r="K13" i="972" s="1"/>
  <c r="H13" i="972"/>
  <c r="J11" i="972"/>
  <c r="K11" i="972" s="1"/>
  <c r="H11" i="972"/>
  <c r="J3" i="972"/>
  <c r="K3" i="972" s="1"/>
  <c r="H3" i="972"/>
  <c r="J55" i="971"/>
  <c r="K55" i="971" s="1"/>
  <c r="H55" i="971"/>
  <c r="J53" i="971"/>
  <c r="K53" i="971" s="1"/>
  <c r="H53" i="971"/>
  <c r="J51" i="971"/>
  <c r="K51" i="971" s="1"/>
  <c r="H51" i="971"/>
  <c r="J47" i="971"/>
  <c r="K47" i="971" s="1"/>
  <c r="H47" i="971"/>
  <c r="J27" i="971"/>
  <c r="K27" i="971" s="1"/>
  <c r="H27" i="971"/>
  <c r="J21" i="971"/>
  <c r="K21" i="971" s="1"/>
  <c r="H21" i="971"/>
  <c r="J19" i="971"/>
  <c r="K19" i="971" s="1"/>
  <c r="H19" i="971"/>
  <c r="J11" i="971"/>
  <c r="K11" i="971" s="1"/>
  <c r="H11" i="971"/>
  <c r="J9" i="971"/>
  <c r="K9" i="971" s="1"/>
  <c r="H9" i="971"/>
  <c r="J5" i="971"/>
  <c r="K5" i="971" s="1"/>
  <c r="H5" i="971"/>
  <c r="J49" i="971"/>
  <c r="K49" i="971" s="1"/>
  <c r="H49" i="971"/>
  <c r="J45" i="971"/>
  <c r="K45" i="971" s="1"/>
  <c r="H45" i="971"/>
  <c r="J43" i="971"/>
  <c r="K43" i="971" s="1"/>
  <c r="H43" i="971"/>
  <c r="J41" i="971"/>
  <c r="K41" i="971" s="1"/>
  <c r="H41" i="971"/>
  <c r="J39" i="971"/>
  <c r="K39" i="971" s="1"/>
  <c r="H39" i="971"/>
  <c r="J35" i="971"/>
  <c r="K35" i="971" s="1"/>
  <c r="H35" i="971"/>
  <c r="J33" i="971"/>
  <c r="K33" i="971" s="1"/>
  <c r="H33" i="971"/>
  <c r="J31" i="971"/>
  <c r="K31" i="971" s="1"/>
  <c r="H31" i="971"/>
  <c r="J29" i="971"/>
  <c r="K29" i="971" s="1"/>
  <c r="H29" i="971"/>
  <c r="J25" i="971"/>
  <c r="K25" i="971" s="1"/>
  <c r="H25" i="971"/>
  <c r="J23" i="971"/>
  <c r="K23" i="971" s="1"/>
  <c r="H23" i="971"/>
  <c r="J17" i="971"/>
  <c r="K17" i="971" s="1"/>
  <c r="H17" i="971"/>
  <c r="J15" i="971"/>
  <c r="K15" i="971" s="1"/>
  <c r="H15" i="971"/>
  <c r="J13" i="971"/>
  <c r="K13" i="971" s="1"/>
  <c r="H13" i="971"/>
  <c r="J7" i="971"/>
  <c r="K7" i="971" s="1"/>
  <c r="H7" i="971"/>
  <c r="J3" i="971"/>
  <c r="K3" i="971" s="1"/>
  <c r="H3" i="971"/>
  <c r="J27" i="970"/>
  <c r="K27" i="970" s="1"/>
  <c r="H27" i="970"/>
  <c r="J25" i="970"/>
  <c r="K25" i="970" s="1"/>
  <c r="H25" i="970"/>
  <c r="J19" i="970"/>
  <c r="K19" i="970" s="1"/>
  <c r="H19" i="970"/>
  <c r="J11" i="970"/>
  <c r="K11" i="970" s="1"/>
  <c r="H11" i="970"/>
  <c r="J9" i="970"/>
  <c r="K9" i="970" s="1"/>
  <c r="H9" i="970"/>
  <c r="J5" i="970"/>
  <c r="K5" i="970" s="1"/>
  <c r="H5" i="970"/>
  <c r="J23" i="970"/>
  <c r="K23" i="970" s="1"/>
  <c r="H23" i="970"/>
  <c r="J17" i="970"/>
  <c r="K17" i="970" s="1"/>
  <c r="H17" i="970"/>
  <c r="J15" i="970"/>
  <c r="K15" i="970" s="1"/>
  <c r="H15" i="970"/>
  <c r="J13" i="970"/>
  <c r="K13" i="970" s="1"/>
  <c r="H13" i="970"/>
  <c r="J7" i="970"/>
  <c r="K7" i="970" s="1"/>
  <c r="H7" i="970"/>
  <c r="J3" i="970"/>
  <c r="K3" i="970" s="1"/>
  <c r="H3" i="970"/>
  <c r="K35" i="969"/>
  <c r="J35" i="969"/>
  <c r="H35" i="969"/>
  <c r="K37" i="969"/>
  <c r="J37" i="969"/>
  <c r="H37" i="969"/>
  <c r="J39" i="969"/>
  <c r="K39" i="969" s="1"/>
  <c r="H39" i="969"/>
  <c r="J33" i="969"/>
  <c r="K33" i="969" s="1"/>
  <c r="H33" i="969"/>
  <c r="J31" i="969"/>
  <c r="K31" i="969" s="1"/>
  <c r="H31" i="969"/>
  <c r="J29" i="969"/>
  <c r="K29" i="969" s="1"/>
  <c r="H29" i="969"/>
  <c r="J27" i="969"/>
  <c r="K27" i="969" s="1"/>
  <c r="H27" i="969"/>
  <c r="J25" i="969" l="1"/>
  <c r="K25" i="969" s="1"/>
  <c r="H25" i="969"/>
  <c r="J23" i="969"/>
  <c r="K23" i="969" s="1"/>
  <c r="H23" i="969"/>
  <c r="J21" i="969"/>
  <c r="K21" i="969" s="1"/>
  <c r="H21" i="969"/>
  <c r="J19" i="969"/>
  <c r="K19" i="969" s="1"/>
  <c r="H19" i="969"/>
  <c r="J15" i="969"/>
  <c r="K15" i="969" s="1"/>
  <c r="H15" i="969"/>
  <c r="J13" i="969"/>
  <c r="K13" i="969" s="1"/>
  <c r="H13" i="969"/>
  <c r="J11" i="969"/>
  <c r="K11" i="969" s="1"/>
  <c r="H11" i="969"/>
  <c r="J3" i="969"/>
  <c r="K3" i="969" s="1"/>
  <c r="H3" i="969"/>
  <c r="J27" i="968" l="1"/>
  <c r="K27" i="968" s="1"/>
  <c r="H27" i="968"/>
  <c r="J25" i="968"/>
  <c r="K25" i="968" s="1"/>
  <c r="H25" i="968"/>
  <c r="J23" i="968" l="1"/>
  <c r="K23" i="968" s="1"/>
  <c r="H23" i="968"/>
  <c r="J3" i="968"/>
  <c r="K3" i="968" s="1"/>
  <c r="H3" i="968"/>
  <c r="J5" i="968"/>
  <c r="K5" i="968" s="1"/>
  <c r="H5" i="968"/>
  <c r="J21" i="968"/>
  <c r="K21" i="968" s="1"/>
  <c r="H21" i="968"/>
  <c r="J17" i="968"/>
  <c r="K17" i="968" s="1"/>
  <c r="H17" i="968"/>
  <c r="J15" i="968"/>
  <c r="K15" i="968" s="1"/>
  <c r="H15" i="968"/>
  <c r="J13" i="968"/>
  <c r="K13" i="968" s="1"/>
  <c r="H13" i="968"/>
  <c r="J11" i="968"/>
  <c r="K11" i="968" s="1"/>
  <c r="H11" i="968"/>
  <c r="J9" i="968"/>
  <c r="K9" i="968" s="1"/>
  <c r="H9" i="968"/>
  <c r="J7" i="968"/>
  <c r="K7" i="968" s="1"/>
  <c r="H7" i="968"/>
  <c r="H17" i="967" l="1"/>
  <c r="K17" i="967"/>
  <c r="J17" i="967"/>
  <c r="H11" i="967"/>
  <c r="J11" i="967"/>
  <c r="J27" i="967"/>
  <c r="K27" i="967" s="1"/>
  <c r="H27" i="967"/>
  <c r="J25" i="967"/>
  <c r="K25" i="967" s="1"/>
  <c r="H25" i="967"/>
  <c r="K15" i="967"/>
  <c r="J15" i="967"/>
  <c r="H15" i="967"/>
  <c r="K11" i="967"/>
  <c r="J23" i="967" l="1"/>
  <c r="K23" i="967" s="1"/>
  <c r="H23" i="967"/>
  <c r="J19" i="967"/>
  <c r="K19" i="967" s="1"/>
  <c r="H19" i="967"/>
  <c r="J13" i="967"/>
  <c r="K13" i="967" s="1"/>
  <c r="H13" i="967"/>
  <c r="J7" i="967"/>
  <c r="K7" i="967" s="1"/>
  <c r="H7" i="967"/>
  <c r="J5" i="967"/>
  <c r="K5" i="967" s="1"/>
  <c r="H5" i="967"/>
  <c r="J3" i="967"/>
  <c r="K3" i="967" s="1"/>
  <c r="H3" i="967"/>
  <c r="J61" i="966"/>
  <c r="K61" i="966" s="1"/>
  <c r="H61" i="966"/>
  <c r="J55" i="966"/>
  <c r="K55" i="966" s="1"/>
  <c r="H55" i="966"/>
  <c r="J53" i="966"/>
  <c r="K53" i="966" s="1"/>
  <c r="H53" i="966"/>
  <c r="H51" i="966"/>
  <c r="J51" i="966"/>
  <c r="K51" i="966" s="1"/>
  <c r="J47" i="966"/>
  <c r="K47" i="966" s="1"/>
  <c r="H47" i="966"/>
  <c r="J37" i="966"/>
  <c r="K37" i="966" s="1"/>
  <c r="H37" i="966"/>
  <c r="J25" i="966"/>
  <c r="K25" i="966" s="1"/>
  <c r="H25" i="966"/>
  <c r="J21" i="966"/>
  <c r="K21" i="966" s="1"/>
  <c r="H21" i="966"/>
  <c r="J19" i="966"/>
  <c r="K19" i="966" s="1"/>
  <c r="H19" i="966"/>
  <c r="J11" i="966"/>
  <c r="K11" i="966" s="1"/>
  <c r="H11" i="966"/>
  <c r="J9" i="966"/>
  <c r="K9" i="966" s="1"/>
  <c r="H9" i="966"/>
  <c r="J5" i="966"/>
  <c r="K5" i="966" s="1"/>
  <c r="H5" i="966"/>
  <c r="K17" i="966"/>
  <c r="J59" i="966"/>
  <c r="K59" i="966" s="1"/>
  <c r="H59" i="966"/>
  <c r="J57" i="966"/>
  <c r="K57" i="966" s="1"/>
  <c r="H57" i="966"/>
  <c r="J49" i="966"/>
  <c r="K49" i="966" s="1"/>
  <c r="H49" i="966"/>
  <c r="J45" i="966"/>
  <c r="K45" i="966" s="1"/>
  <c r="H45" i="966"/>
  <c r="J43" i="966"/>
  <c r="K43" i="966" s="1"/>
  <c r="H43" i="966"/>
  <c r="J41" i="966"/>
  <c r="K41" i="966" s="1"/>
  <c r="H41" i="966"/>
  <c r="J39" i="966"/>
  <c r="K39" i="966" s="1"/>
  <c r="H39" i="966"/>
  <c r="J35" i="966"/>
  <c r="K35" i="966" s="1"/>
  <c r="H35" i="966"/>
  <c r="J33" i="966"/>
  <c r="K33" i="966" s="1"/>
  <c r="H33" i="966"/>
  <c r="J31" i="966"/>
  <c r="K31" i="966" s="1"/>
  <c r="H31" i="966"/>
  <c r="J29" i="966"/>
  <c r="K29" i="966" s="1"/>
  <c r="H29" i="966"/>
  <c r="J27" i="966"/>
  <c r="K27" i="966" s="1"/>
  <c r="H27" i="966"/>
  <c r="J23" i="966"/>
  <c r="K23" i="966" s="1"/>
  <c r="H23" i="966"/>
  <c r="J17" i="966"/>
  <c r="H17" i="966"/>
  <c r="J15" i="966"/>
  <c r="K15" i="966" s="1"/>
  <c r="H15" i="966"/>
  <c r="J13" i="966"/>
  <c r="K13" i="966" s="1"/>
  <c r="H13" i="966"/>
  <c r="J7" i="966"/>
  <c r="K7" i="966" s="1"/>
  <c r="H7" i="966"/>
  <c r="J3" i="966"/>
  <c r="K3" i="966" s="1"/>
  <c r="H3" i="966"/>
  <c r="J35" i="965"/>
  <c r="K35" i="965" s="1"/>
  <c r="H35" i="965"/>
  <c r="J31" i="965" l="1"/>
  <c r="K31" i="965" s="1"/>
  <c r="H31" i="965"/>
  <c r="J37" i="965"/>
  <c r="K37" i="965" s="1"/>
  <c r="H37" i="965"/>
  <c r="J33" i="965"/>
  <c r="K33" i="965" s="1"/>
  <c r="H33" i="965"/>
  <c r="J29" i="965"/>
  <c r="K29" i="965" s="1"/>
  <c r="H29" i="965"/>
  <c r="J27" i="965"/>
  <c r="K27" i="965" s="1"/>
  <c r="H27" i="965"/>
  <c r="J25" i="965"/>
  <c r="K25" i="965" s="1"/>
  <c r="H25" i="965"/>
  <c r="J23" i="965"/>
  <c r="K23" i="965" s="1"/>
  <c r="H23" i="965"/>
  <c r="J21" i="965"/>
  <c r="K21" i="965" s="1"/>
  <c r="H21" i="965"/>
  <c r="J19" i="965"/>
  <c r="K19" i="965" s="1"/>
  <c r="H19" i="965"/>
  <c r="J15" i="965"/>
  <c r="K15" i="965" s="1"/>
  <c r="H15" i="965"/>
  <c r="J13" i="965"/>
  <c r="K13" i="965" s="1"/>
  <c r="H13" i="965"/>
  <c r="J11" i="965"/>
  <c r="K11" i="965" s="1"/>
  <c r="H11" i="965"/>
  <c r="J3" i="965"/>
  <c r="K3" i="965" s="1"/>
  <c r="H3" i="965"/>
  <c r="J27" i="964"/>
  <c r="K27" i="964" s="1"/>
  <c r="H27" i="964"/>
  <c r="J23" i="964"/>
  <c r="K23" i="964" s="1"/>
  <c r="H23" i="964"/>
  <c r="J21" i="964"/>
  <c r="K21" i="964" s="1"/>
  <c r="H21" i="964"/>
  <c r="J19" i="964"/>
  <c r="K19" i="964" s="1"/>
  <c r="H19" i="964"/>
  <c r="J9" i="964"/>
  <c r="K9" i="964" s="1"/>
  <c r="H9" i="964"/>
  <c r="J5" i="964"/>
  <c r="K5" i="964" s="1"/>
  <c r="H5" i="964"/>
  <c r="J25" i="964"/>
  <c r="K25" i="964" s="1"/>
  <c r="H25" i="964"/>
  <c r="J17" i="964"/>
  <c r="K17" i="964" s="1"/>
  <c r="H17" i="964"/>
  <c r="J15" i="964"/>
  <c r="K15" i="964" s="1"/>
  <c r="H15" i="964"/>
  <c r="J13" i="964"/>
  <c r="K13" i="964" s="1"/>
  <c r="H13" i="964"/>
  <c r="J11" i="964"/>
  <c r="K11" i="964" s="1"/>
  <c r="H11" i="964"/>
  <c r="J7" i="964"/>
  <c r="K7" i="964" s="1"/>
  <c r="H7" i="964"/>
  <c r="J3" i="964"/>
  <c r="K3" i="964" s="1"/>
  <c r="H3" i="964"/>
  <c r="K25" i="963"/>
  <c r="J25" i="963"/>
  <c r="H25" i="963"/>
  <c r="H21" i="963"/>
  <c r="J21" i="963"/>
  <c r="K21" i="963" s="1"/>
  <c r="J23" i="963"/>
  <c r="K23" i="963" s="1"/>
  <c r="H23" i="963"/>
  <c r="J19" i="963"/>
  <c r="K19" i="963" s="1"/>
  <c r="H19" i="963"/>
  <c r="J17" i="963"/>
  <c r="K17" i="963" s="1"/>
  <c r="H17" i="963"/>
  <c r="J15" i="963"/>
  <c r="K15" i="963" s="1"/>
  <c r="H15" i="963"/>
  <c r="J13" i="963"/>
  <c r="K13" i="963" s="1"/>
  <c r="H13" i="963"/>
  <c r="J11" i="963"/>
  <c r="K11" i="963" s="1"/>
  <c r="H11" i="963"/>
  <c r="J9" i="963"/>
  <c r="K9" i="963" s="1"/>
  <c r="H9" i="963"/>
  <c r="J7" i="963"/>
  <c r="K7" i="963" s="1"/>
  <c r="H7" i="963"/>
  <c r="J5" i="963"/>
  <c r="K5" i="963" s="1"/>
  <c r="H5" i="963"/>
  <c r="J3" i="963"/>
  <c r="K3" i="963" s="1"/>
  <c r="H3" i="963"/>
  <c r="J27" i="962"/>
  <c r="K27" i="962" s="1"/>
  <c r="H27" i="962"/>
  <c r="J25" i="962"/>
  <c r="K25" i="962" s="1"/>
  <c r="H25" i="962"/>
  <c r="J23" i="962"/>
  <c r="K23" i="962" s="1"/>
  <c r="H23" i="962"/>
  <c r="J21" i="962"/>
  <c r="K21" i="962" s="1"/>
  <c r="H21" i="962"/>
  <c r="J19" i="962"/>
  <c r="K19" i="962" s="1"/>
  <c r="H19" i="962"/>
  <c r="J17" i="962"/>
  <c r="K17" i="962" s="1"/>
  <c r="H17" i="962"/>
  <c r="J15" i="962"/>
  <c r="K15" i="962" s="1"/>
  <c r="H15" i="962"/>
  <c r="J13" i="962"/>
  <c r="K13" i="962" s="1"/>
  <c r="H13" i="962"/>
  <c r="J11" i="962"/>
  <c r="K11" i="962" s="1"/>
  <c r="H11" i="962"/>
  <c r="J9" i="962"/>
  <c r="K9" i="962" s="1"/>
  <c r="H9" i="962"/>
  <c r="J7" i="962"/>
  <c r="K7" i="962" s="1"/>
  <c r="H7" i="962"/>
  <c r="J5" i="962"/>
  <c r="K5" i="962" s="1"/>
  <c r="H5" i="962"/>
  <c r="J3" i="962"/>
  <c r="K3" i="962" s="1"/>
  <c r="H3" i="962"/>
  <c r="K27" i="960"/>
  <c r="J27" i="960"/>
  <c r="H27" i="960"/>
  <c r="J23" i="961"/>
  <c r="K23" i="961" s="1"/>
  <c r="H23" i="961"/>
  <c r="J9" i="961"/>
  <c r="K9" i="961" s="1"/>
  <c r="H9" i="961" l="1"/>
  <c r="J33" i="961"/>
  <c r="K33" i="961" s="1"/>
  <c r="H33" i="961"/>
  <c r="J31" i="961"/>
  <c r="K31" i="961" s="1"/>
  <c r="H31" i="961"/>
  <c r="J27" i="961"/>
  <c r="K27" i="961" s="1"/>
  <c r="H27" i="961"/>
  <c r="J25" i="961"/>
  <c r="K25" i="961" s="1"/>
  <c r="H25" i="961"/>
  <c r="J21" i="961"/>
  <c r="K21" i="961" s="1"/>
  <c r="H21" i="961"/>
  <c r="J19" i="961"/>
  <c r="K19" i="961" s="1"/>
  <c r="H19" i="961"/>
  <c r="J17" i="961"/>
  <c r="K17" i="961" s="1"/>
  <c r="H17" i="961"/>
  <c r="J15" i="961"/>
  <c r="K15" i="961" s="1"/>
  <c r="H15" i="961"/>
  <c r="J13" i="961"/>
  <c r="K13" i="961" s="1"/>
  <c r="H13" i="961"/>
  <c r="J11" i="961"/>
  <c r="K11" i="961" s="1"/>
  <c r="H11" i="961"/>
  <c r="J7" i="961"/>
  <c r="K7" i="961" s="1"/>
  <c r="H7" i="961"/>
  <c r="J5" i="961"/>
  <c r="K5" i="961" s="1"/>
  <c r="H5" i="961"/>
  <c r="J3" i="961"/>
  <c r="K3" i="961" s="1"/>
  <c r="H3" i="961"/>
  <c r="H25" i="960"/>
  <c r="J25" i="960"/>
  <c r="K25" i="960" s="1"/>
  <c r="J23" i="960" l="1"/>
  <c r="K23" i="960" s="1"/>
  <c r="H23" i="960"/>
  <c r="J19" i="960"/>
  <c r="K19" i="960" s="1"/>
  <c r="H19" i="960"/>
  <c r="J5" i="960"/>
  <c r="K5" i="960" s="1"/>
  <c r="H5" i="960"/>
  <c r="J17" i="960"/>
  <c r="K17" i="960" s="1"/>
  <c r="H17" i="960"/>
  <c r="J15" i="960"/>
  <c r="K15" i="960" s="1"/>
  <c r="H15" i="960"/>
  <c r="J13" i="960"/>
  <c r="K13" i="960" s="1"/>
  <c r="H13" i="960"/>
  <c r="J11" i="960"/>
  <c r="K11" i="960" s="1"/>
  <c r="H11" i="960"/>
  <c r="J9" i="960"/>
  <c r="K9" i="960" s="1"/>
  <c r="H9" i="960"/>
  <c r="J7" i="960"/>
  <c r="K7" i="960" s="1"/>
  <c r="H7" i="960"/>
  <c r="J3" i="960"/>
  <c r="K3" i="960" s="1"/>
  <c r="H3" i="960"/>
  <c r="J31" i="959"/>
  <c r="K31" i="959" s="1"/>
  <c r="H31" i="959"/>
  <c r="J29" i="959"/>
  <c r="K29" i="959" s="1"/>
  <c r="H29" i="959"/>
  <c r="J27" i="959"/>
  <c r="K27" i="959" s="1"/>
  <c r="H27" i="959"/>
  <c r="J25" i="959"/>
  <c r="K25" i="959" s="1"/>
  <c r="H25" i="959"/>
  <c r="J23" i="959"/>
  <c r="K23" i="959" s="1"/>
  <c r="H23" i="959"/>
  <c r="J21" i="959"/>
  <c r="K21" i="959" s="1"/>
  <c r="H21" i="959"/>
  <c r="J17" i="959"/>
  <c r="K17" i="959" s="1"/>
  <c r="H17" i="959"/>
  <c r="J15" i="959"/>
  <c r="K15" i="959" s="1"/>
  <c r="H15" i="959"/>
  <c r="J13" i="959"/>
  <c r="K13" i="959" s="1"/>
  <c r="H13" i="959"/>
  <c r="J11" i="959"/>
  <c r="K11" i="959" s="1"/>
  <c r="H11" i="959"/>
  <c r="J9" i="959"/>
  <c r="K9" i="959" s="1"/>
  <c r="H9" i="959"/>
  <c r="J7" i="959"/>
  <c r="K7" i="959" s="1"/>
  <c r="H7" i="959"/>
  <c r="J5" i="959"/>
  <c r="K5" i="959" s="1"/>
  <c r="H5" i="959"/>
  <c r="J3" i="959"/>
  <c r="K3" i="959" s="1"/>
  <c r="H3" i="959"/>
  <c r="K25" i="958"/>
  <c r="K23" i="958"/>
  <c r="K19" i="958"/>
  <c r="K11" i="958"/>
  <c r="K9" i="958"/>
  <c r="K7" i="958"/>
  <c r="K5" i="958"/>
  <c r="K3" i="958"/>
  <c r="J25" i="958"/>
  <c r="H25" i="958"/>
  <c r="J9" i="958"/>
  <c r="H9" i="958"/>
  <c r="J23" i="958"/>
  <c r="H23" i="958"/>
  <c r="J19" i="958"/>
  <c r="H19" i="958"/>
  <c r="J11" i="958"/>
  <c r="H11" i="958"/>
  <c r="J7" i="958"/>
  <c r="H7" i="958"/>
  <c r="J5" i="958"/>
  <c r="H5" i="958"/>
  <c r="J3" i="958"/>
  <c r="H3" i="958"/>
  <c r="J39" i="957"/>
  <c r="K39" i="957" s="1"/>
  <c r="H39" i="957"/>
  <c r="J37" i="957"/>
  <c r="K37" i="957" s="1"/>
  <c r="H37" i="957"/>
  <c r="J35" i="957"/>
  <c r="K35" i="957" s="1"/>
  <c r="H35" i="957"/>
  <c r="H33" i="957"/>
  <c r="J33" i="957"/>
  <c r="K33" i="957" s="1"/>
  <c r="K27" i="957"/>
  <c r="K25" i="957"/>
  <c r="K15" i="957"/>
  <c r="K13" i="957"/>
  <c r="J27" i="957"/>
  <c r="J11" i="957"/>
  <c r="K11" i="957" s="1"/>
  <c r="H11" i="957"/>
  <c r="J31" i="957"/>
  <c r="K31" i="957" s="1"/>
  <c r="H31" i="957"/>
  <c r="J29" i="957"/>
  <c r="K29" i="957" s="1"/>
  <c r="H29" i="957"/>
  <c r="H27" i="957"/>
  <c r="J25" i="957"/>
  <c r="H25" i="957"/>
  <c r="J23" i="957"/>
  <c r="K23" i="957" s="1"/>
  <c r="H23" i="957"/>
  <c r="J21" i="957"/>
  <c r="K21" i="957" s="1"/>
  <c r="H21" i="957"/>
  <c r="J19" i="957"/>
  <c r="K19" i="957" s="1"/>
  <c r="H19" i="957"/>
  <c r="J15" i="957"/>
  <c r="H15" i="957"/>
  <c r="J13" i="957"/>
  <c r="H13" i="957"/>
  <c r="J3" i="957"/>
  <c r="K3" i="957" s="1"/>
  <c r="H3" i="957"/>
  <c r="J19" i="956"/>
  <c r="K19" i="956" s="1"/>
  <c r="J21" i="956"/>
  <c r="K21" i="956" s="1"/>
  <c r="J23" i="956"/>
  <c r="K23" i="956" s="1"/>
  <c r="H21" i="956"/>
  <c r="H17" i="956"/>
  <c r="J11" i="956"/>
  <c r="K11" i="956" s="1"/>
  <c r="H11" i="956"/>
  <c r="K3" i="956"/>
  <c r="K5" i="956"/>
  <c r="H23" i="956"/>
  <c r="H19" i="956"/>
  <c r="J17" i="956"/>
  <c r="K17" i="956" s="1"/>
  <c r="J15" i="956"/>
  <c r="K15" i="956" s="1"/>
  <c r="H15" i="956"/>
  <c r="J13" i="956"/>
  <c r="K13" i="956" s="1"/>
  <c r="H13" i="956"/>
  <c r="J9" i="956"/>
  <c r="K9" i="956" s="1"/>
  <c r="H9" i="956"/>
  <c r="J7" i="956"/>
  <c r="K7" i="956" s="1"/>
  <c r="H7" i="956"/>
  <c r="J5" i="956"/>
  <c r="H5" i="956"/>
  <c r="J3" i="956"/>
  <c r="H3" i="956"/>
  <c r="K37" i="955"/>
  <c r="J37" i="955"/>
  <c r="H37" i="955"/>
  <c r="K35" i="955"/>
  <c r="J35" i="955"/>
  <c r="H35" i="955"/>
  <c r="K41" i="955" l="1"/>
  <c r="J41" i="955"/>
  <c r="H41" i="955"/>
  <c r="J39" i="955"/>
  <c r="K39" i="955" s="1"/>
  <c r="H39" i="955"/>
  <c r="J25" i="955"/>
  <c r="K25" i="955" s="1"/>
  <c r="H25" i="955"/>
  <c r="J23" i="955"/>
  <c r="K23" i="955" s="1"/>
  <c r="H23" i="955"/>
  <c r="J21" i="955"/>
  <c r="K21" i="955" s="1"/>
  <c r="H21" i="955"/>
  <c r="J19" i="955"/>
  <c r="K19" i="955" s="1"/>
  <c r="H19" i="955"/>
  <c r="J17" i="955"/>
  <c r="K17" i="955" s="1"/>
  <c r="H17" i="955"/>
  <c r="J15" i="955"/>
  <c r="K15" i="955" s="1"/>
  <c r="H15" i="955"/>
  <c r="J13" i="955"/>
  <c r="K13" i="955" s="1"/>
  <c r="H13" i="955"/>
  <c r="J11" i="955"/>
  <c r="K11" i="955" s="1"/>
  <c r="H11" i="955"/>
  <c r="K3" i="955"/>
  <c r="J3" i="955"/>
  <c r="H3" i="955"/>
  <c r="J13" i="954"/>
  <c r="K13" i="954" s="1"/>
  <c r="H13" i="954"/>
  <c r="K9" i="954"/>
  <c r="J9" i="954"/>
  <c r="H9" i="954"/>
  <c r="K31" i="954"/>
  <c r="J31" i="954"/>
  <c r="H31" i="954"/>
  <c r="J29" i="954"/>
  <c r="K29" i="954" s="1"/>
  <c r="H29" i="954"/>
  <c r="J27" i="954"/>
  <c r="K27" i="954" s="1"/>
  <c r="H27" i="954"/>
  <c r="J25" i="954"/>
  <c r="K25" i="954" s="1"/>
  <c r="H25" i="954"/>
  <c r="J23" i="954"/>
  <c r="K23" i="954" s="1"/>
  <c r="H23" i="954"/>
  <c r="J21" i="954"/>
  <c r="K21" i="954" s="1"/>
  <c r="H21" i="954"/>
  <c r="J17" i="954"/>
  <c r="K17" i="954" s="1"/>
  <c r="H17" i="954"/>
  <c r="K15" i="954"/>
  <c r="J15" i="954"/>
  <c r="H15" i="954"/>
  <c r="J11" i="954"/>
  <c r="K11" i="954" s="1"/>
  <c r="H11" i="954"/>
  <c r="J7" i="954"/>
  <c r="K7" i="954" s="1"/>
  <c r="H7" i="954"/>
  <c r="J5" i="954"/>
  <c r="K5" i="954" s="1"/>
  <c r="H5" i="954"/>
  <c r="J3" i="954"/>
  <c r="K3" i="954" s="1"/>
  <c r="H3" i="954"/>
</calcChain>
</file>

<file path=xl/sharedStrings.xml><?xml version="1.0" encoding="utf-8"?>
<sst xmlns="http://schemas.openxmlformats.org/spreadsheetml/2006/main" count="1502" uniqueCount="247">
  <si>
    <t xml:space="preserve">STRIGHT </t>
    <phoneticPr fontId="2" type="noConversion"/>
  </si>
  <si>
    <t>NECK WIDTH</t>
    <phoneticPr fontId="2" type="noConversion"/>
  </si>
  <si>
    <t>WITHOUT NECK BAND (INSIDE)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</si>
  <si>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</si>
  <si>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</si>
  <si>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</si>
  <si>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</si>
  <si>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</si>
  <si>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</si>
  <si>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</si>
  <si>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</si>
  <si>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</si>
  <si>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</si>
  <si>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</si>
  <si>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</si>
  <si>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</si>
  <si>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</si>
  <si>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</si>
  <si>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</si>
  <si>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</si>
  <si>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</si>
  <si>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</si>
  <si>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</si>
  <si>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</si>
  <si>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</si>
  <si>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</si>
  <si>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</si>
  <si>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</si>
  <si>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</si>
  <si>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</si>
  <si>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</si>
  <si>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옆목점에서 앞목중심의 수직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</si>
  <si>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</si>
  <si>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</si>
  <si>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</si>
  <si>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</si>
  <si>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</si>
  <si>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</si>
  <si>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</si>
  <si>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>옆목점에서 밑단까지의 직선길이</t>
    <phoneticPr fontId="1" type="noConversion"/>
  </si>
  <si>
    <t>GRAPHIC POINT A</t>
    <phoneticPr fontId="1" type="noConversion"/>
  </si>
  <si>
    <t>나염위치 A</t>
    <phoneticPr fontId="1" type="noConversion"/>
  </si>
  <si>
    <t>GRAPHIC POINT B</t>
    <phoneticPr fontId="1" type="noConversion"/>
  </si>
  <si>
    <t>나염위치 B</t>
    <phoneticPr fontId="1" type="noConversion"/>
  </si>
  <si>
    <t>NECK</t>
    <phoneticPr fontId="2" type="noConversion"/>
  </si>
  <si>
    <t>목둘레</t>
  </si>
  <si>
    <t xml:space="preserve">ROUND ,@ NECK SEWING  LINE </t>
    <phoneticPr fontId="1" type="noConversion"/>
  </si>
  <si>
    <t>목라인(NECK LINE)을 따라 잰 곡선의 둘레길이</t>
    <phoneticPr fontId="1" type="noConversion"/>
  </si>
  <si>
    <t>TOTAL LENGTH (C/B)</t>
    <phoneticPr fontId="2" type="noConversion"/>
  </si>
  <si>
    <t>FROM CENTER BACK TO BOTTOM STRIGHT</t>
    <phoneticPr fontId="2" type="noConversion"/>
  </si>
  <si>
    <t>총기장(뒷목)</t>
  </si>
  <si>
    <t>뒷목 중심에서 밑단끝까지 직선길이</t>
    <phoneticPr fontId="1" type="noConversion"/>
  </si>
  <si>
    <t xml:space="preserve"> </t>
    <phoneticPr fontId="1" type="noConversion"/>
  </si>
  <si>
    <t xml:space="preserve">INCLUDE WAIST BAND TO EDGE </t>
    <phoneticPr fontId="1" type="noConversion"/>
  </si>
  <si>
    <t xml:space="preserve">CUFFS OPENING </t>
    <phoneticPr fontId="2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</si>
  <si>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</si>
  <si>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 xml:space="preserve">앞목중심에서 수직으로 </t>
    <phoneticPr fontId="1" type="noConversion"/>
  </si>
  <si>
    <t>FROM FRONT NECK CENTER TO VERTICAL</t>
    <phoneticPr fontId="1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</si>
  <si>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</si>
  <si>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</si>
  <si>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</si>
  <si>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POINT A</t>
    <phoneticPr fontId="1" type="noConversion"/>
  </si>
  <si>
    <t>위치 A</t>
    <phoneticPr fontId="1" type="noConversion"/>
  </si>
  <si>
    <t>POINT B</t>
    <phoneticPr fontId="1" type="noConversion"/>
  </si>
  <si>
    <t>위치 B</t>
    <phoneticPr fontId="1" type="noConversion"/>
  </si>
  <si>
    <t>.</t>
    <phoneticPr fontId="2" type="noConversion"/>
  </si>
  <si>
    <t>TOTAL WAIST</t>
    <phoneticPr fontId="1" type="noConversion"/>
  </si>
  <si>
    <t xml:space="preserve">FLAT,FRONT AND BACK WAIST LINE MATCH STRIGHT </t>
    <phoneticPr fontId="1" type="noConversion"/>
  </si>
  <si>
    <t>허리완성사이즈</t>
    <phoneticPr fontId="1" type="noConversion"/>
  </si>
  <si>
    <t>오비를 일자 상태로 만든 후 수평으로 잰 길이</t>
    <phoneticPr fontId="1" type="noConversion"/>
  </si>
  <si>
    <t>FRONT WAIST</t>
    <phoneticPr fontId="1" type="noConversion"/>
  </si>
  <si>
    <t>앞허리완성</t>
    <phoneticPr fontId="1" type="noConversion"/>
  </si>
  <si>
    <t>BACK WAIST E-BAND</t>
    <phoneticPr fontId="1" type="noConversion"/>
  </si>
  <si>
    <t>뒤 허리 고무줄 완성</t>
    <phoneticPr fontId="1" type="noConversion"/>
  </si>
  <si>
    <t>ADIJUSTABLE BAND</t>
    <phoneticPr fontId="1" type="noConversion"/>
  </si>
  <si>
    <t>나나밴드</t>
    <phoneticPr fontId="1" type="noConversion"/>
  </si>
  <si>
    <t>WAIST SIZE</t>
    <phoneticPr fontId="1" type="noConversion"/>
  </si>
  <si>
    <t>몸판 허리 둘레</t>
    <phoneticPr fontId="1" type="noConversion"/>
  </si>
  <si>
    <t xml:space="preserve">HIP </t>
  </si>
  <si>
    <t xml:space="preserve">BASED ON ZIPPER FLY OUT LINE ,STRIGHT </t>
    <phoneticPr fontId="1" type="noConversion"/>
  </si>
  <si>
    <t>엉덩이둘레</t>
  </si>
  <si>
    <t>앞 댕고 스테치를 기준점으로 하여 양쪽 수평선의 길이</t>
    <phoneticPr fontId="1" type="noConversion"/>
  </si>
  <si>
    <t>HIP POINT</t>
    <phoneticPr fontId="1" type="noConversion"/>
  </si>
  <si>
    <t>엉덩이 위치</t>
    <phoneticPr fontId="1" type="noConversion"/>
  </si>
  <si>
    <t>오비포함 와끼 기준</t>
    <phoneticPr fontId="1" type="noConversion"/>
  </si>
  <si>
    <t>J STITCH LENGTH</t>
    <phoneticPr fontId="1" type="noConversion"/>
  </si>
  <si>
    <t>뎅고스티치길이</t>
    <phoneticPr fontId="1" type="noConversion"/>
  </si>
  <si>
    <t>오비제외</t>
    <phoneticPr fontId="1" type="noConversion"/>
  </si>
  <si>
    <t xml:space="preserve">TOTAL LENGTH </t>
  </si>
  <si>
    <t>바지기장</t>
  </si>
  <si>
    <t>와끼선을 기준으로 오비끝에서 바지 밑단 끝까지의 길이</t>
    <phoneticPr fontId="1" type="noConversion"/>
  </si>
  <si>
    <t xml:space="preserve">BOTTOM OPENING </t>
  </si>
  <si>
    <t xml:space="preserve">CIRCLE ROUND </t>
  </si>
  <si>
    <t>바지부리</t>
  </si>
  <si>
    <t>바지 밑단의 둘레길이</t>
    <phoneticPr fontId="2" type="noConversion"/>
  </si>
  <si>
    <t xml:space="preserve">FRONT RISE </t>
  </si>
  <si>
    <t xml:space="preserve">INCLUDE WAIST BAND TO EDGE </t>
  </si>
  <si>
    <t>앞밑위</t>
  </si>
  <si>
    <t>오비끝에서 인심 시작점까지의 길이(오비 포함)</t>
    <phoneticPr fontId="1" type="noConversion"/>
  </si>
  <si>
    <t>BACK RISE</t>
  </si>
  <si>
    <t>뒤밑위</t>
  </si>
  <si>
    <t xml:space="preserve">TIGHT </t>
  </si>
  <si>
    <t xml:space="preserve">FROM CROCH  3cm BELOW . WIDE STRIGHT </t>
  </si>
  <si>
    <t>허벅지둘레</t>
  </si>
  <si>
    <t>인심 시작점에서 3cm 밑을 기준점으로 양쪽 수평 길이</t>
    <phoneticPr fontId="1" type="noConversion"/>
  </si>
  <si>
    <t>INSEAM</t>
  </si>
  <si>
    <t xml:space="preserve">CROCH TO EDGE </t>
  </si>
  <si>
    <t>인심길이</t>
  </si>
  <si>
    <t>바지 안 쪽에서 봉제선을 따라 바지밑단 끝까지의 길이</t>
    <phoneticPr fontId="1" type="noConversion"/>
  </si>
  <si>
    <t>KNEE</t>
    <phoneticPr fontId="1" type="noConversion"/>
  </si>
  <si>
    <t>무릎둘레</t>
    <phoneticPr fontId="1" type="noConversion"/>
  </si>
  <si>
    <t>KNEE POINT</t>
    <phoneticPr fontId="1" type="noConversion"/>
  </si>
  <si>
    <t>VERTICALLY AT THE WAIST</t>
    <phoneticPr fontId="1" type="noConversion"/>
  </si>
  <si>
    <t>무릎위치</t>
    <phoneticPr fontId="1" type="noConversion"/>
  </si>
  <si>
    <t>허리에서 수직으로 (오비포함)</t>
    <phoneticPr fontId="1" type="noConversion"/>
  </si>
  <si>
    <t xml:space="preserve">FRONT POCKET WIDE </t>
    <phoneticPr fontId="1" type="noConversion"/>
  </si>
  <si>
    <t xml:space="preserve">FROM EDGE STITCHES </t>
  </si>
  <si>
    <t>앞주머니가로</t>
  </si>
  <si>
    <t>오비 와끼끝에서 주머니입구 까지의 가로길이</t>
    <phoneticPr fontId="1" type="noConversion"/>
  </si>
  <si>
    <t xml:space="preserve">FRONT POCKET VERTICAL </t>
    <phoneticPr fontId="1" type="noConversion"/>
  </si>
  <si>
    <t xml:space="preserve">FROM SIDE SEAM TO STRIGHT </t>
  </si>
  <si>
    <t>앞주머니세로</t>
  </si>
  <si>
    <t>오비 와끼끝에서 주머니입구 까지의 세로길이</t>
    <phoneticPr fontId="1" type="noConversion"/>
  </si>
  <si>
    <t>허리둘레(반품)</t>
    <phoneticPr fontId="10" type="noConversion"/>
  </si>
  <si>
    <t>WAIST SWEEP (1/2)</t>
    <phoneticPr fontId="2" type="noConversion"/>
  </si>
  <si>
    <t>BOTTOM FRILL LENGTH</t>
    <phoneticPr fontId="10" type="noConversion"/>
  </si>
  <si>
    <t>밑단프릴기장</t>
    <phoneticPr fontId="10" type="noConversion"/>
  </si>
  <si>
    <t xml:space="preserve"> </t>
    <phoneticPr fontId="10" type="noConversion"/>
  </si>
  <si>
    <t xml:space="preserve">BACK POCKET WIDE </t>
    <phoneticPr fontId="1" type="noConversion"/>
  </si>
  <si>
    <t xml:space="preserve">BACK POCKET VERTICAL </t>
    <phoneticPr fontId="1" type="noConversion"/>
  </si>
  <si>
    <t>뒤주머니가로</t>
    <phoneticPr fontId="10" type="noConversion"/>
  </si>
  <si>
    <t>뒤주머니세로</t>
    <phoneticPr fontId="10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</si>
  <si>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(지퍼제외)</t>
    </r>
    <phoneticPr fontId="1" type="noConversion"/>
  </si>
  <si>
    <t>SLEEVE 4G BAND</t>
    <phoneticPr fontId="2" type="noConversion"/>
  </si>
  <si>
    <t>WELT POCKET LENGTH</t>
    <phoneticPr fontId="10" type="noConversion"/>
  </si>
  <si>
    <t>구찌길이</t>
    <phoneticPr fontId="10" type="noConversion"/>
  </si>
  <si>
    <t>FRONT ZIPPER LENGTH</t>
    <phoneticPr fontId="1" type="noConversion"/>
  </si>
  <si>
    <t>앞지퍼 길이</t>
    <phoneticPr fontId="1" type="noConversion"/>
  </si>
  <si>
    <t xml:space="preserve">YKK </t>
    <phoneticPr fontId="10" type="noConversion"/>
  </si>
  <si>
    <t xml:space="preserve">COLLARS WIDTH </t>
    <phoneticPr fontId="2" type="noConversion"/>
  </si>
  <si>
    <t>카라폭 폭</t>
    <phoneticPr fontId="10" type="noConversion"/>
  </si>
  <si>
    <t xml:space="preserve">뒷목 중심 </t>
    <phoneticPr fontId="10" type="noConversion"/>
  </si>
  <si>
    <t>BOTTOM RIB WIDTH</t>
    <phoneticPr fontId="2" type="noConversion"/>
  </si>
  <si>
    <t>밑단립 폭</t>
    <phoneticPr fontId="1" type="noConversion"/>
  </si>
  <si>
    <t>NECK RIB WIDTH</t>
    <phoneticPr fontId="2" type="noConversion"/>
  </si>
  <si>
    <t>에리 립 폭</t>
    <phoneticPr fontId="10" type="noConversion"/>
  </si>
  <si>
    <t>SLEEVE RIB WIDTH</t>
    <phoneticPr fontId="10" type="noConversion"/>
  </si>
  <si>
    <t>소매립 폭</t>
    <phoneticPr fontId="10" type="noConversion"/>
  </si>
  <si>
    <t>FRONT PLACKET WIDTH</t>
    <phoneticPr fontId="2" type="noConversion"/>
  </si>
  <si>
    <t>앞단작폭</t>
    <phoneticPr fontId="1" type="noConversion"/>
  </si>
  <si>
    <t>12M</t>
    <phoneticPr fontId="10" type="noConversion"/>
  </si>
  <si>
    <t>18M</t>
    <phoneticPr fontId="10" type="noConversion"/>
  </si>
  <si>
    <t>24M</t>
    <phoneticPr fontId="10" type="noConversion"/>
  </si>
  <si>
    <t>12M</t>
    <phoneticPr fontId="1" type="noConversion"/>
  </si>
  <si>
    <t>18M</t>
    <phoneticPr fontId="1" type="noConversion"/>
  </si>
  <si>
    <t>24M</t>
    <phoneticPr fontId="1" type="noConversion"/>
  </si>
  <si>
    <t>SKIRT LENGTH</t>
    <phoneticPr fontId="10" type="noConversion"/>
  </si>
  <si>
    <t>치마기장</t>
    <phoneticPr fontId="10" type="noConversion"/>
  </si>
  <si>
    <t>HPS TO BOTTOM EDGE</t>
    <phoneticPr fontId="2" type="noConversion"/>
  </si>
  <si>
    <t xml:space="preserve">CUFF OPENING </t>
    <phoneticPr fontId="2" type="noConversion"/>
  </si>
  <si>
    <t>1ST FRILL LENGTH</t>
    <phoneticPr fontId="10" type="noConversion"/>
  </si>
  <si>
    <t>1단프릴기장</t>
    <phoneticPr fontId="10" type="noConversion"/>
  </si>
  <si>
    <t>2ND FRILL LENGTH</t>
    <phoneticPr fontId="10" type="noConversion"/>
  </si>
  <si>
    <t>2단프릴기장</t>
    <phoneticPr fontId="10" type="noConversion"/>
  </si>
  <si>
    <t>3Y</t>
    <phoneticPr fontId="10" type="noConversion"/>
  </si>
  <si>
    <t>어깨끈길이</t>
    <phoneticPr fontId="10" type="noConversion"/>
  </si>
  <si>
    <t>SHOULDER STRAP</t>
    <phoneticPr fontId="2" type="noConversion"/>
  </si>
  <si>
    <t>소매4골 고무줄</t>
    <phoneticPr fontId="10" type="noConversion"/>
  </si>
  <si>
    <t>BACK ZIPPER LENGTH</t>
    <phoneticPr fontId="10" type="noConversion"/>
  </si>
  <si>
    <t>뒤지퍼길이</t>
    <phoneticPr fontId="10" type="noConversion"/>
  </si>
  <si>
    <t xml:space="preserve">옆목점을 수평으로 잰 길이 </t>
    <phoneticPr fontId="1" type="noConversion"/>
  </si>
  <si>
    <t xml:space="preserve">옆목점에서 앞목중심의 수직 길이 </t>
    <phoneticPr fontId="1" type="noConversion"/>
  </si>
  <si>
    <t>POINT 1</t>
    <phoneticPr fontId="1" type="noConversion"/>
  </si>
  <si>
    <t>나염위치 1</t>
    <phoneticPr fontId="1" type="noConversion"/>
  </si>
  <si>
    <t>STYLE NO: MYFOU04-S#H11(니트)</t>
    <phoneticPr fontId="1" type="noConversion"/>
  </si>
  <si>
    <t>STYLE NO: MYFPT02-D#A06(완사입)</t>
    <phoneticPr fontId="1" type="noConversion"/>
  </si>
  <si>
    <t>STYLE NO: MYFLE01-K#H17</t>
    <phoneticPr fontId="1" type="noConversion"/>
  </si>
  <si>
    <t>바지기장</t>
    <phoneticPr fontId="10" type="noConversion"/>
  </si>
  <si>
    <t>STYLE NO: MYFPT01-K#H05</t>
    <phoneticPr fontId="1" type="noConversion"/>
  </si>
  <si>
    <t>주머니입구에서</t>
    <phoneticPr fontId="10" type="noConversion"/>
  </si>
  <si>
    <t>STYLE NO: MYFTO01-K#H06</t>
    <phoneticPr fontId="1" type="noConversion"/>
  </si>
  <si>
    <t>STYLE NO: MYFOU03-S#G03(니트)</t>
    <phoneticPr fontId="1" type="noConversion"/>
  </si>
  <si>
    <t>STYLE NO: MYFTO02-K#A05</t>
    <phoneticPr fontId="1" type="noConversion"/>
  </si>
  <si>
    <t>BACK SLIT LENGTH</t>
    <phoneticPr fontId="1" type="noConversion"/>
  </si>
  <si>
    <t>뒤트임길이</t>
    <phoneticPr fontId="1" type="noConversion"/>
  </si>
  <si>
    <t>STYLE NO: MYFOU02-K#A02</t>
    <phoneticPr fontId="1" type="noConversion"/>
  </si>
  <si>
    <t xml:space="preserve">BOTTOM SWEEP (1/2) </t>
    <phoneticPr fontId="2" type="noConversion"/>
  </si>
  <si>
    <r>
      <t>와끼선의 밑단 양끝점을 수평으로 잰 길이</t>
    </r>
    <r>
      <rPr>
        <sz val="7.5"/>
        <color rgb="FFFF0000"/>
        <rFont val="맑은 고딕"/>
        <family val="3"/>
        <charset val="129"/>
        <scheme val="minor"/>
      </rPr>
      <t xml:space="preserve"> (지퍼제외)</t>
    </r>
    <phoneticPr fontId="1" type="noConversion"/>
  </si>
  <si>
    <t>앞옆목에서 수직으로 잰 길이</t>
    <phoneticPr fontId="10" type="noConversion"/>
  </si>
  <si>
    <r>
      <t>앞중심에서 수평으로 잰길이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0" type="noConversion"/>
  </si>
  <si>
    <t>STYLE NO: MYFOU01-K#H04</t>
    <phoneticPr fontId="1" type="noConversion"/>
  </si>
  <si>
    <t>STYLE NO: MYFTO03-K#A03</t>
    <phoneticPr fontId="1" type="noConversion"/>
  </si>
  <si>
    <t>STYLE NO: MYFTO04-K#H12</t>
    <phoneticPr fontId="1" type="noConversion"/>
  </si>
  <si>
    <t>STYLE NO: MYFPT03-K#H13</t>
    <phoneticPr fontId="1" type="noConversion"/>
  </si>
  <si>
    <t>FRONT POCKET LENGTH</t>
  </si>
  <si>
    <t>앞주머니입구</t>
  </si>
  <si>
    <t>뒷주머니</t>
    <phoneticPr fontId="10" type="noConversion"/>
  </si>
  <si>
    <t>STYLE NO: MYFOP01-W#H19</t>
    <phoneticPr fontId="1" type="noConversion"/>
  </si>
  <si>
    <t>와끼선을 기준으로 허리 양끝점을 수평으로 잰 길이</t>
    <phoneticPr fontId="10" type="noConversion"/>
  </si>
  <si>
    <t>와끼</t>
    <phoneticPr fontId="10" type="noConversion"/>
  </si>
  <si>
    <t>망사콘실지퍼</t>
    <phoneticPr fontId="10" type="noConversion"/>
  </si>
  <si>
    <t>STYLE NO: MYFOP02-K#H25</t>
    <phoneticPr fontId="1" type="noConversion"/>
  </si>
  <si>
    <t>OUTER MESH OP LENGTH</t>
    <phoneticPr fontId="1" type="noConversion"/>
  </si>
  <si>
    <t>겉망사원피스기장</t>
    <phoneticPr fontId="1" type="noConversion"/>
  </si>
  <si>
    <t>바대 끝 중심에서 밑단까지 중심측정</t>
    <phoneticPr fontId="1" type="noConversion"/>
  </si>
  <si>
    <t>바대 폭</t>
    <phoneticPr fontId="1" type="noConversion"/>
  </si>
  <si>
    <t xml:space="preserve"> UPPER CHEST</t>
    <phoneticPr fontId="2" type="noConversion"/>
  </si>
  <si>
    <t>끈에서 끈 직선길이 (앞뒤동일)</t>
    <phoneticPr fontId="1" type="noConversion"/>
  </si>
  <si>
    <t>OUTER MESH OP CHEST (1/2)</t>
    <phoneticPr fontId="2" type="noConversion"/>
  </si>
  <si>
    <t>겉 원피스-가슴(상동)</t>
    <phoneticPr fontId="1" type="noConversion"/>
  </si>
  <si>
    <t>바대 암홀 겨드랑이 지점에서 수평으로 잰 길이</t>
    <phoneticPr fontId="10" type="noConversion"/>
  </si>
  <si>
    <t xml:space="preserve">어깨 </t>
    <phoneticPr fontId="10" type="noConversion"/>
  </si>
  <si>
    <t>STYLE NO: MYFSE01-K#A04</t>
    <phoneticPr fontId="1" type="noConversion"/>
  </si>
  <si>
    <t>STYLE NO: MYFPT04-K#G13</t>
    <phoneticPr fontId="1" type="noConversion"/>
  </si>
  <si>
    <r>
      <t>뎅고기준으로 양쪽 수평선의 길이</t>
    </r>
    <r>
      <rPr>
        <sz val="7.5"/>
        <color rgb="FFFF0000"/>
        <rFont val="맑은 고딕"/>
        <family val="3"/>
        <charset val="129"/>
        <scheme val="minor"/>
      </rPr>
      <t>(턱분량포함)</t>
    </r>
    <phoneticPr fontId="1" type="noConversion"/>
  </si>
  <si>
    <r>
      <t>중심</t>
    </r>
    <r>
      <rPr>
        <sz val="7.5"/>
        <color rgb="FFFF0000"/>
        <rFont val="맑은 고딕"/>
        <family val="3"/>
        <charset val="129"/>
        <scheme val="minor"/>
      </rPr>
      <t>(레이스제외)</t>
    </r>
    <phoneticPr fontId="10" type="noConversion"/>
  </si>
  <si>
    <t>입구</t>
    <phoneticPr fontId="10" type="noConversion"/>
  </si>
  <si>
    <t>STYLE NO: MYFTO05-K#G12</t>
    <phoneticPr fontId="1" type="noConversion"/>
  </si>
  <si>
    <t>FRILL LENGTH</t>
    <phoneticPr fontId="10" type="noConversion"/>
  </si>
  <si>
    <t>프릴 기장</t>
    <phoneticPr fontId="10" type="noConversion"/>
  </si>
  <si>
    <t>STYLE NO: MYFSE03-K#G08</t>
    <phoneticPr fontId="1" type="noConversion"/>
  </si>
  <si>
    <t>STYLE NO: MYFPT05-K#H27</t>
    <phoneticPr fontId="1" type="noConversion"/>
  </si>
  <si>
    <t>주머니입구에서 수평으로 잰 길이</t>
    <phoneticPr fontId="10" type="noConversion"/>
  </si>
  <si>
    <t>주머니입구에서 수직으로 잰 길이</t>
    <phoneticPr fontId="10" type="noConversion"/>
  </si>
  <si>
    <t>POINT C</t>
    <phoneticPr fontId="1" type="noConversion"/>
  </si>
  <si>
    <t>위치 C</t>
    <phoneticPr fontId="1" type="noConversion"/>
  </si>
  <si>
    <t>밑단에서 수직으로 잰 길이</t>
    <phoneticPr fontId="10" type="noConversion"/>
  </si>
  <si>
    <t>바지부리 6골 밴드</t>
    <phoneticPr fontId="10" type="noConversion"/>
  </si>
  <si>
    <t>BOTTOM OPENING 6G BAND</t>
    <phoneticPr fontId="10" type="noConversion"/>
  </si>
  <si>
    <t>완성사이즈</t>
    <phoneticPr fontId="2" type="noConversion"/>
  </si>
  <si>
    <t>STYLE NO: MYFTO07-K#G15</t>
    <phoneticPr fontId="1" type="noConversion"/>
  </si>
  <si>
    <t>앞중심에서 수평으로 잰길이</t>
    <phoneticPr fontId="10" type="noConversion"/>
  </si>
  <si>
    <t>QC 후 기재합니다.</t>
    <phoneticPr fontId="10" type="noConversion"/>
  </si>
  <si>
    <t>STYLE NO: MYFPT06-K#H04</t>
    <phoneticPr fontId="1" type="noConversion"/>
  </si>
  <si>
    <t>어깨</t>
    <phoneticPr fontId="10" type="noConversion"/>
  </si>
  <si>
    <t>STYLE NO: MYFTO06-S#G14(니트)</t>
    <phoneticPr fontId="1" type="noConversion"/>
  </si>
  <si>
    <t>어깨너비</t>
    <phoneticPr fontId="10" type="noConversion"/>
  </si>
  <si>
    <r>
      <t>어깨 양끝점을 수평으로 잰 길이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" type="noConversion"/>
  </si>
  <si>
    <r>
      <t>암홀 겨드랑이 지점에서 수평으로 잰 길이</t>
    </r>
    <r>
      <rPr>
        <sz val="7.5"/>
        <color rgb="FFFF0000"/>
        <rFont val="맑은 고딕"/>
        <family val="3"/>
        <charset val="129"/>
        <scheme val="minor"/>
      </rPr>
      <t>(쇼바리단)</t>
    </r>
    <phoneticPr fontId="1" type="noConversion"/>
  </si>
  <si>
    <r>
      <t>와끼선의 밑단 양끝점을 수평으로 잰 길이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" type="noConversion"/>
  </si>
  <si>
    <r>
      <t>어깨끝점과 겨드랑이 점을 직선으로 잰 길이</t>
    </r>
    <r>
      <rPr>
        <sz val="7.5"/>
        <color rgb="FFFF0000"/>
        <rFont val="맑은 고딕"/>
        <family val="3"/>
        <charset val="129"/>
        <scheme val="minor"/>
      </rPr>
      <t>(쇼바리단)</t>
    </r>
    <phoneticPr fontId="1" type="noConversion"/>
  </si>
  <si>
    <t>1ST SKIRT LENGTH</t>
    <phoneticPr fontId="10" type="noConversion"/>
  </si>
  <si>
    <t>1단치마기장</t>
    <phoneticPr fontId="10" type="noConversion"/>
  </si>
  <si>
    <t>오비포함</t>
    <phoneticPr fontId="10" type="noConversion"/>
  </si>
  <si>
    <t>2ND SKIRT LENGTH</t>
    <phoneticPr fontId="10" type="noConversion"/>
  </si>
  <si>
    <t>2단치마기장</t>
    <phoneticPr fontId="10" type="noConversion"/>
  </si>
  <si>
    <r>
      <t xml:space="preserve">INCLUDE WAIST BAND TO EDGE </t>
    </r>
    <r>
      <rPr>
        <sz val="7.5"/>
        <color rgb="FFFF0000"/>
        <rFont val="맑은 고딕"/>
        <family val="3"/>
        <charset val="129"/>
        <scheme val="minor"/>
      </rPr>
      <t>(오비프릴포함)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</si>
</sst>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7"/>
      <name val="맑은 고딕"/>
      <family val="3"/>
      <charset val="129"/>
      <scheme val="major"/>
    </font>
    <font>
      <sz val="7.5"/>
      <color theme="1"/>
      <name val="맑은 고딕"/>
      <family val="3"/>
      <charset val="129"/>
      <scheme val="major"/>
    </font>
    <font>
      <sz val="7.5"/>
      <color theme="0"/>
      <name val="맑은 고딕"/>
      <family val="3"/>
      <charset val="129"/>
      <scheme val="minor"/>
    </font>
    <font>
      <sz val="7.5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5" fillId="0" borderId="0">
      <alignment vertical="center"/>
    </xf>
  </cellStyleXfs>
  <cellXfs count="15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6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9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8" fillId="0" borderId="18" xfId="0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6" fillId="3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6" fillId="0" borderId="44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1" xfId="0" applyFont="1" applyBorder="1" applyAlignment="1">
      <alignment horizontal="left" vertical="center" wrapText="1"/>
    </xf>
    <xf numFmtId="0" fontId="6" fillId="3" borderId="38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47" xfId="0" applyFont="1" applyBorder="1" applyAlignment="1">
      <alignment horizontal="left" vertical="center"/>
    </xf>
    <xf numFmtId="0" fontId="8" fillId="0" borderId="49" xfId="0" applyFont="1" applyBorder="1" applyAlignment="1">
      <alignment horizontal="left" vertical="center"/>
    </xf>
    <xf numFmtId="0" fontId="8" fillId="0" borderId="48" xfId="0" applyFont="1" applyBorder="1" applyAlignment="1">
      <alignment horizontal="left" vertical="center"/>
    </xf>
    <xf numFmtId="0" fontId="6" fillId="3" borderId="42" xfId="0" applyFont="1" applyFill="1" applyBorder="1" applyAlignment="1">
      <alignment horizontal="center" vertical="center"/>
    </xf>
    <xf numFmtId="0" fontId="6" fillId="2" borderId="42" xfId="0" applyFont="1" applyFill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2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6" fillId="0" borderId="20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5" fillId="0" borderId="17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4" fillId="0" borderId="15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6" fillId="0" borderId="54" xfId="0" applyFont="1" applyBorder="1" applyAlignment="1">
      <alignment horizontal="center" vertical="center"/>
    </xf>
    <xf numFmtId="0" fontId="16" fillId="0" borderId="47" xfId="0" applyFont="1" applyBorder="1" applyAlignment="1">
      <alignment horizontal="left" vertical="center"/>
    </xf>
    <xf numFmtId="0" fontId="16" fillId="0" borderId="49" xfId="0" applyFont="1" applyBorder="1" applyAlignment="1">
      <alignment horizontal="left" vertical="center"/>
    </xf>
    <xf numFmtId="0" fontId="16" fillId="0" borderId="48" xfId="0" applyFont="1" applyBorder="1" applyAlignment="1">
      <alignment horizontal="left" vertical="center"/>
    </xf>
    <xf numFmtId="0" fontId="15" fillId="0" borderId="50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0" fontId="6" fillId="0" borderId="2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15" fillId="0" borderId="3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6" fillId="2" borderId="23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47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 vertical="center" wrapText="1"/>
    </xf>
    <xf numFmtId="0" fontId="8" fillId="0" borderId="48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6" fillId="0" borderId="43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2 3" xfId="3" xr:uid="{9434BCD1-6BDF-4D35-8822-270B40A14F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2766-4D5E-49D2-9387-93D0A26D2F6F}">
  <sheetPr>
    <tabColor theme="9"/>
    <pageSetUpPr fitToPage="1"/>
  </sheetPr>
  <dimension ref="A1:M79"/>
  <sheetViews>
    <sheetView tabSelected="1" zoomScale="110" zoomScaleNormal="110" workbookViewId="0">
      <selection sqref="A1:M6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9" t="s">
        <v>212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ht="16.5" customHeight="1" thickBot="1" x14ac:dyDescent="0.35">
      <c r="A2" s="6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150</v>
      </c>
      <c r="I2" s="3" t="s">
        <v>151</v>
      </c>
      <c r="J2" s="4" t="s">
        <v>152</v>
      </c>
      <c r="K2" s="4" t="s">
        <v>164</v>
      </c>
      <c r="L2" s="7"/>
      <c r="M2" s="4"/>
    </row>
    <row r="3" spans="1:13" s="2" customFormat="1" ht="14.1" customHeight="1" x14ac:dyDescent="0.3">
      <c r="A3" s="13">
        <v>1</v>
      </c>
      <c r="B3" s="15" t="s">
        <v>23</v>
      </c>
      <c r="C3" s="15"/>
      <c r="D3" s="16" t="s">
        <v>55</v>
      </c>
      <c r="E3" s="16"/>
      <c r="F3" s="16"/>
      <c r="G3" s="17"/>
      <c r="H3" s="18">
        <f>SUM(I3)-3</f>
        <v>34</v>
      </c>
      <c r="I3" s="20">
        <v>37</v>
      </c>
      <c r="J3" s="22">
        <f>SUM(I3)+3</f>
        <v>40</v>
      </c>
      <c r="K3" s="22">
        <f>SUM(J3)+3</f>
        <v>43</v>
      </c>
      <c r="L3" s="22"/>
      <c r="M3" s="24"/>
    </row>
    <row r="4" spans="1:13" s="2" customFormat="1" ht="14.1" customHeight="1" x14ac:dyDescent="0.3">
      <c r="A4" s="14"/>
      <c r="B4" s="26" t="s">
        <v>20</v>
      </c>
      <c r="C4" s="26"/>
      <c r="D4" s="27" t="s">
        <v>39</v>
      </c>
      <c r="E4" s="28"/>
      <c r="F4" s="28"/>
      <c r="G4" s="28"/>
      <c r="H4" s="19"/>
      <c r="I4" s="21"/>
      <c r="J4" s="23"/>
      <c r="K4" s="23"/>
      <c r="L4" s="23"/>
      <c r="M4" s="25"/>
    </row>
    <row r="5" spans="1:13" s="2" customFormat="1" ht="14.1" customHeight="1" x14ac:dyDescent="0.3">
      <c r="A5" s="14">
        <v>2</v>
      </c>
      <c r="B5" s="33" t="s">
        <v>21</v>
      </c>
      <c r="C5" s="33"/>
      <c r="D5" s="34" t="s">
        <v>22</v>
      </c>
      <c r="E5" s="34"/>
      <c r="F5" s="34"/>
      <c r="G5" s="34"/>
      <c r="H5" s="35">
        <f>SUM(I5)-1.4</f>
        <v>32.200000000000003</v>
      </c>
      <c r="I5" s="36">
        <v>33.6</v>
      </c>
      <c r="J5" s="23">
        <f>SUM(I5)+1.4</f>
        <v>35</v>
      </c>
      <c r="K5" s="23">
        <f>SUM(J5)+1.4</f>
        <v>36.4</v>
      </c>
      <c r="L5" s="23"/>
      <c r="M5" s="30"/>
    </row>
    <row r="6" spans="1:13" s="2" customFormat="1" ht="14.1" customHeight="1" x14ac:dyDescent="0.3">
      <c r="A6" s="14"/>
      <c r="B6" s="26" t="s">
        <v>11</v>
      </c>
      <c r="C6" s="26"/>
      <c r="D6" s="27" t="s">
        <v>26</v>
      </c>
      <c r="E6" s="28"/>
      <c r="F6" s="28"/>
      <c r="G6" s="32"/>
      <c r="H6" s="19"/>
      <c r="I6" s="21"/>
      <c r="J6" s="29"/>
      <c r="K6" s="29"/>
      <c r="L6" s="29"/>
      <c r="M6" s="31"/>
    </row>
    <row r="7" spans="1:13" s="2" customFormat="1" ht="14.1" customHeight="1" x14ac:dyDescent="0.3">
      <c r="A7" s="14">
        <v>3</v>
      </c>
      <c r="B7" s="33" t="s">
        <v>19</v>
      </c>
      <c r="C7" s="33"/>
      <c r="D7" s="34" t="s">
        <v>53</v>
      </c>
      <c r="E7" s="34"/>
      <c r="F7" s="34"/>
      <c r="G7" s="34"/>
      <c r="H7" s="35">
        <f>SUM(I7)-1.5</f>
        <v>33</v>
      </c>
      <c r="I7" s="36">
        <v>34.5</v>
      </c>
      <c r="J7" s="23">
        <f>SUM(I7)+1.5</f>
        <v>36</v>
      </c>
      <c r="K7" s="23">
        <f>SUM(J7)+1.5</f>
        <v>37.5</v>
      </c>
      <c r="L7" s="23"/>
      <c r="M7" s="30"/>
    </row>
    <row r="8" spans="1:13" s="2" customFormat="1" ht="14.1" customHeight="1" x14ac:dyDescent="0.3">
      <c r="A8" s="14"/>
      <c r="B8" s="26" t="s">
        <v>24</v>
      </c>
      <c r="C8" s="26"/>
      <c r="D8" s="27" t="s">
        <v>27</v>
      </c>
      <c r="E8" s="28"/>
      <c r="F8" s="28"/>
      <c r="G8" s="32"/>
      <c r="H8" s="19"/>
      <c r="I8" s="21"/>
      <c r="J8" s="29"/>
      <c r="K8" s="29"/>
      <c r="L8" s="29"/>
      <c r="M8" s="31"/>
    </row>
    <row r="9" spans="1:13" s="2" customFormat="1" ht="14.1" customHeight="1" x14ac:dyDescent="0.3">
      <c r="A9" s="14">
        <v>4</v>
      </c>
      <c r="B9" s="33" t="s">
        <v>25</v>
      </c>
      <c r="C9" s="33"/>
      <c r="D9" s="34" t="s">
        <v>9</v>
      </c>
      <c r="E9" s="34"/>
      <c r="F9" s="34"/>
      <c r="G9" s="34"/>
      <c r="H9" s="35">
        <f>SUM(I9)-1.2</f>
        <v>25.8</v>
      </c>
      <c r="I9" s="36">
        <v>27</v>
      </c>
      <c r="J9" s="23">
        <f>SUM(I9)+1.2</f>
        <v>28.2</v>
      </c>
      <c r="K9" s="23">
        <f>SUM(J9)+1.2</f>
        <v>29.4</v>
      </c>
      <c r="L9" s="23"/>
      <c r="M9" s="30"/>
    </row>
    <row r="10" spans="1:13" s="2" customFormat="1" ht="14.1" customHeight="1" x14ac:dyDescent="0.3">
      <c r="A10" s="14"/>
      <c r="B10" s="26" t="s">
        <v>12</v>
      </c>
      <c r="C10" s="26"/>
      <c r="D10" s="27" t="s">
        <v>28</v>
      </c>
      <c r="E10" s="28"/>
      <c r="F10" s="28"/>
      <c r="G10" s="32"/>
      <c r="H10" s="19"/>
      <c r="I10" s="21"/>
      <c r="J10" s="29"/>
      <c r="K10" s="29"/>
      <c r="L10" s="29"/>
      <c r="M10" s="31"/>
    </row>
    <row r="11" spans="1:13" s="2" customFormat="1" ht="14.1" customHeight="1" x14ac:dyDescent="0.3">
      <c r="A11" s="14">
        <v>5</v>
      </c>
      <c r="B11" s="33" t="s">
        <v>10</v>
      </c>
      <c r="C11" s="33"/>
      <c r="D11" s="34" t="s">
        <v>65</v>
      </c>
      <c r="E11" s="34"/>
      <c r="F11" s="34"/>
      <c r="G11" s="34"/>
      <c r="H11" s="35">
        <f>SUM(I11)-0.8</f>
        <v>14.5</v>
      </c>
      <c r="I11" s="36">
        <v>15.3</v>
      </c>
      <c r="J11" s="37">
        <f>SUM(I11)+0.8</f>
        <v>16.100000000000001</v>
      </c>
      <c r="K11" s="37">
        <f>SUM(J11)+0.8</f>
        <v>16.900000000000002</v>
      </c>
      <c r="L11" s="37"/>
      <c r="M11" s="38"/>
    </row>
    <row r="12" spans="1:13" s="2" customFormat="1" ht="14.1" customHeight="1" x14ac:dyDescent="0.3">
      <c r="A12" s="14"/>
      <c r="B12" s="26" t="s">
        <v>13</v>
      </c>
      <c r="C12" s="26"/>
      <c r="D12" s="27" t="s">
        <v>29</v>
      </c>
      <c r="E12" s="28"/>
      <c r="F12" s="28"/>
      <c r="G12" s="32"/>
      <c r="H12" s="19"/>
      <c r="I12" s="21"/>
      <c r="J12" s="37"/>
      <c r="K12" s="37"/>
      <c r="L12" s="37"/>
      <c r="M12" s="38"/>
    </row>
    <row r="13" spans="1:13" s="2" customFormat="1" ht="14.1" customHeight="1" x14ac:dyDescent="0.3">
      <c r="A13" s="14">
        <v>6</v>
      </c>
      <c r="B13" s="33" t="s">
        <v>1</v>
      </c>
      <c r="C13" s="33"/>
      <c r="D13" s="34" t="s">
        <v>2</v>
      </c>
      <c r="E13" s="34"/>
      <c r="F13" s="34"/>
      <c r="G13" s="34"/>
      <c r="H13" s="35">
        <f>SUM(I13)-0.5</f>
        <v>14.5</v>
      </c>
      <c r="I13" s="36">
        <v>15</v>
      </c>
      <c r="J13" s="37">
        <f>SUM(I13)+0.5</f>
        <v>15.5</v>
      </c>
      <c r="K13" s="37">
        <f>SUM(J13)+0.5</f>
        <v>16</v>
      </c>
      <c r="L13" s="37"/>
      <c r="M13" s="39"/>
    </row>
    <row r="14" spans="1:13" s="2" customFormat="1" ht="14.1" customHeight="1" x14ac:dyDescent="0.3">
      <c r="A14" s="14"/>
      <c r="B14" s="26" t="s">
        <v>14</v>
      </c>
      <c r="C14" s="26"/>
      <c r="D14" s="27" t="s">
        <v>60</v>
      </c>
      <c r="E14" s="28"/>
      <c r="F14" s="28"/>
      <c r="G14" s="32"/>
      <c r="H14" s="19"/>
      <c r="I14" s="21"/>
      <c r="J14" s="37"/>
      <c r="K14" s="37"/>
      <c r="L14" s="37"/>
      <c r="M14" s="39"/>
    </row>
    <row r="15" spans="1:13" s="2" customFormat="1" ht="14.1" customHeight="1" x14ac:dyDescent="0.3">
      <c r="A15" s="14">
        <v>7</v>
      </c>
      <c r="B15" s="33" t="s">
        <v>3</v>
      </c>
      <c r="C15" s="33"/>
      <c r="D15" s="34" t="s">
        <v>4</v>
      </c>
      <c r="E15" s="34"/>
      <c r="F15" s="34"/>
      <c r="G15" s="34"/>
      <c r="H15" s="35">
        <f>SUM(I15)-0.3</f>
        <v>5.7</v>
      </c>
      <c r="I15" s="36">
        <v>6</v>
      </c>
      <c r="J15" s="37">
        <f>SUM(I15)+0.3</f>
        <v>6.3</v>
      </c>
      <c r="K15" s="37">
        <f>SUM(J15)+0.3</f>
        <v>6.6</v>
      </c>
      <c r="L15" s="37"/>
      <c r="M15" s="39"/>
    </row>
    <row r="16" spans="1:13" s="2" customFormat="1" ht="14.1" customHeight="1" x14ac:dyDescent="0.3">
      <c r="A16" s="14"/>
      <c r="B16" s="26" t="s">
        <v>15</v>
      </c>
      <c r="C16" s="26"/>
      <c r="D16" s="27" t="s">
        <v>59</v>
      </c>
      <c r="E16" s="28"/>
      <c r="F16" s="28"/>
      <c r="G16" s="32"/>
      <c r="H16" s="19"/>
      <c r="I16" s="21"/>
      <c r="J16" s="37"/>
      <c r="K16" s="37"/>
      <c r="L16" s="37"/>
      <c r="M16" s="39"/>
    </row>
    <row r="17" spans="1:13" s="2" customFormat="1" ht="14.1" customHeight="1" x14ac:dyDescent="0.3">
      <c r="A17" s="14">
        <v>8</v>
      </c>
      <c r="B17" s="40" t="s">
        <v>44</v>
      </c>
      <c r="C17" s="41"/>
      <c r="D17" s="42" t="s">
        <v>46</v>
      </c>
      <c r="E17" s="43"/>
      <c r="F17" s="43"/>
      <c r="G17" s="44"/>
      <c r="H17" s="35">
        <f>SUM(I17)-1.4</f>
        <v>34.6</v>
      </c>
      <c r="I17" s="36">
        <v>36</v>
      </c>
      <c r="J17" s="37">
        <f>SUM(I17)+1.4</f>
        <v>37.4</v>
      </c>
      <c r="K17" s="37">
        <f>SUM(J17)+1.4</f>
        <v>38.799999999999997</v>
      </c>
      <c r="L17" s="37"/>
      <c r="M17" s="39"/>
    </row>
    <row r="18" spans="1:13" s="2" customFormat="1" ht="14.1" customHeight="1" x14ac:dyDescent="0.3">
      <c r="A18" s="14"/>
      <c r="B18" s="26" t="s">
        <v>45</v>
      </c>
      <c r="C18" s="26"/>
      <c r="D18" s="27" t="s">
        <v>58</v>
      </c>
      <c r="E18" s="28"/>
      <c r="F18" s="28"/>
      <c r="G18" s="32"/>
      <c r="H18" s="19"/>
      <c r="I18" s="21"/>
      <c r="J18" s="37"/>
      <c r="K18" s="37"/>
      <c r="L18" s="37"/>
      <c r="M18" s="39"/>
    </row>
    <row r="19" spans="1:13" s="2" customFormat="1" ht="14.1" customHeight="1" x14ac:dyDescent="0.3">
      <c r="A19" s="14">
        <v>9</v>
      </c>
      <c r="B19" s="33" t="s">
        <v>5</v>
      </c>
      <c r="C19" s="33"/>
      <c r="D19" s="34" t="s">
        <v>6</v>
      </c>
      <c r="E19" s="34"/>
      <c r="F19" s="34"/>
      <c r="G19" s="34"/>
      <c r="H19" s="35">
        <f>SUM(I19)-2.8</f>
        <v>19.8</v>
      </c>
      <c r="I19" s="36">
        <v>22.6</v>
      </c>
      <c r="J19" s="37">
        <f>SUM(I19)+2.8</f>
        <v>25.400000000000002</v>
      </c>
      <c r="K19" s="37">
        <f>SUM(J19)+2.8</f>
        <v>28.200000000000003</v>
      </c>
      <c r="L19" s="37"/>
      <c r="M19" s="38"/>
    </row>
    <row r="20" spans="1:13" s="2" customFormat="1" ht="14.1" customHeight="1" x14ac:dyDescent="0.3">
      <c r="A20" s="14"/>
      <c r="B20" s="26" t="s">
        <v>16</v>
      </c>
      <c r="C20" s="26"/>
      <c r="D20" s="27" t="s">
        <v>32</v>
      </c>
      <c r="E20" s="28"/>
      <c r="F20" s="28"/>
      <c r="G20" s="32"/>
      <c r="H20" s="19"/>
      <c r="I20" s="21"/>
      <c r="J20" s="37"/>
      <c r="K20" s="37"/>
      <c r="L20" s="37"/>
      <c r="M20" s="38"/>
    </row>
    <row r="21" spans="1:13" s="2" customFormat="1" ht="14.1" customHeight="1" x14ac:dyDescent="0.3">
      <c r="A21" s="14">
        <v>10</v>
      </c>
      <c r="B21" s="33" t="s">
        <v>7</v>
      </c>
      <c r="C21" s="33"/>
      <c r="D21" s="42" t="s">
        <v>8</v>
      </c>
      <c r="E21" s="43"/>
      <c r="F21" s="43"/>
      <c r="G21" s="44"/>
      <c r="H21" s="35">
        <f>SUM(I21)-1.5</f>
        <v>27.3</v>
      </c>
      <c r="I21" s="36">
        <v>28.8</v>
      </c>
      <c r="J21" s="37">
        <f>SUM(I21)+1.5</f>
        <v>30.3</v>
      </c>
      <c r="K21" s="37">
        <f>SUM(J21)+1.5</f>
        <v>31.8</v>
      </c>
      <c r="L21" s="37"/>
      <c r="M21" s="38"/>
    </row>
    <row r="22" spans="1:13" s="2" customFormat="1" ht="14.1" customHeight="1" x14ac:dyDescent="0.3">
      <c r="A22" s="14"/>
      <c r="B22" s="26" t="s">
        <v>17</v>
      </c>
      <c r="C22" s="26"/>
      <c r="D22" s="27" t="s">
        <v>36</v>
      </c>
      <c r="E22" s="28"/>
      <c r="F22" s="28"/>
      <c r="G22" s="32"/>
      <c r="H22" s="19"/>
      <c r="I22" s="21"/>
      <c r="J22" s="37"/>
      <c r="K22" s="37"/>
      <c r="L22" s="37"/>
      <c r="M22" s="38"/>
    </row>
    <row r="23" spans="1:13" s="2" customFormat="1" ht="14.1" customHeight="1" x14ac:dyDescent="0.3">
      <c r="A23" s="14">
        <v>11</v>
      </c>
      <c r="B23" s="40" t="s">
        <v>54</v>
      </c>
      <c r="C23" s="41"/>
      <c r="D23" s="34" t="s">
        <v>37</v>
      </c>
      <c r="E23" s="34"/>
      <c r="F23" s="34"/>
      <c r="G23" s="34"/>
      <c r="H23" s="35">
        <f>SUM(I23)-0.5</f>
        <v>13.5</v>
      </c>
      <c r="I23" s="36">
        <v>14</v>
      </c>
      <c r="J23" s="37">
        <f>SUM(I23)+0.5</f>
        <v>14.5</v>
      </c>
      <c r="K23" s="37">
        <f>SUM(J23)+0.5</f>
        <v>15</v>
      </c>
      <c r="L23" s="37"/>
      <c r="M23" s="39"/>
    </row>
    <row r="24" spans="1:13" s="2" customFormat="1" ht="14.1" customHeight="1" x14ac:dyDescent="0.3">
      <c r="A24" s="14"/>
      <c r="B24" s="26" t="s">
        <v>18</v>
      </c>
      <c r="C24" s="26"/>
      <c r="D24" s="27" t="s">
        <v>38</v>
      </c>
      <c r="E24" s="28"/>
      <c r="F24" s="28"/>
      <c r="G24" s="32"/>
      <c r="H24" s="19"/>
      <c r="I24" s="21"/>
      <c r="J24" s="37"/>
      <c r="K24" s="37"/>
      <c r="L24" s="37"/>
      <c r="M24" s="39"/>
    </row>
    <row r="25" spans="1:13" s="2" customFormat="1" ht="14.1" customHeight="1" x14ac:dyDescent="0.3">
      <c r="A25" s="14">
        <v>12</v>
      </c>
      <c r="B25" s="40" t="s">
        <v>183</v>
      </c>
      <c r="C25" s="41"/>
      <c r="D25" s="46"/>
      <c r="E25" s="47"/>
      <c r="F25" s="47"/>
      <c r="G25" s="48"/>
      <c r="H25" s="35">
        <f>SUM(I25)</f>
        <v>8.5</v>
      </c>
      <c r="I25" s="36">
        <v>8.5</v>
      </c>
      <c r="J25" s="23">
        <f>SUM(I25)+0.2</f>
        <v>8.6999999999999993</v>
      </c>
      <c r="K25" s="23">
        <f>SUM(J25)+0.2</f>
        <v>8.8999999999999986</v>
      </c>
      <c r="L25" s="33"/>
      <c r="M25" s="30"/>
    </row>
    <row r="26" spans="1:13" s="2" customFormat="1" ht="14.1" customHeight="1" x14ac:dyDescent="0.3">
      <c r="A26" s="14"/>
      <c r="B26" s="56" t="s">
        <v>184</v>
      </c>
      <c r="C26" s="57"/>
      <c r="D26" s="27"/>
      <c r="E26" s="28"/>
      <c r="F26" s="28"/>
      <c r="G26" s="32"/>
      <c r="H26" s="19"/>
      <c r="I26" s="21"/>
      <c r="J26" s="29"/>
      <c r="K26" s="29"/>
      <c r="L26" s="26"/>
      <c r="M26" s="31"/>
    </row>
    <row r="27" spans="1:13" s="2" customFormat="1" ht="14.1" customHeight="1" x14ac:dyDescent="0.3">
      <c r="A27" s="14">
        <v>13</v>
      </c>
      <c r="B27" s="40" t="s">
        <v>61</v>
      </c>
      <c r="C27" s="41"/>
      <c r="D27" s="46"/>
      <c r="E27" s="47"/>
      <c r="F27" s="47"/>
      <c r="G27" s="48"/>
      <c r="H27" s="35">
        <f>SUM(I27)-0.2</f>
        <v>4</v>
      </c>
      <c r="I27" s="36">
        <v>4.2</v>
      </c>
      <c r="J27" s="37">
        <f>SUM(I27)+0.2</f>
        <v>4.4000000000000004</v>
      </c>
      <c r="K27" s="37">
        <f>SUM(J27)+0.2</f>
        <v>4.6000000000000005</v>
      </c>
      <c r="L27" s="37"/>
      <c r="M27" s="38"/>
    </row>
    <row r="28" spans="1:13" s="2" customFormat="1" ht="14.1" customHeight="1" thickBot="1" x14ac:dyDescent="0.35">
      <c r="A28" s="45"/>
      <c r="B28" s="51" t="s">
        <v>62</v>
      </c>
      <c r="C28" s="52"/>
      <c r="D28" s="53"/>
      <c r="E28" s="54"/>
      <c r="F28" s="54"/>
      <c r="G28" s="55"/>
      <c r="H28" s="49"/>
      <c r="I28" s="50"/>
      <c r="J28" s="23"/>
      <c r="K28" s="23"/>
      <c r="L28" s="23"/>
      <c r="M28" s="30"/>
    </row>
    <row r="29" spans="1:13" s="2" customFormat="1" ht="14.1" customHeight="1" thickTop="1" x14ac:dyDescent="0.3">
      <c r="A29" s="58">
        <v>14</v>
      </c>
      <c r="B29" s="59" t="s">
        <v>66</v>
      </c>
      <c r="C29" s="60"/>
      <c r="D29" s="61" t="s">
        <v>67</v>
      </c>
      <c r="E29" s="62"/>
      <c r="F29" s="62"/>
      <c r="G29" s="63"/>
      <c r="H29" s="64">
        <f>SUM(I29)-2</f>
        <v>40</v>
      </c>
      <c r="I29" s="65">
        <v>42</v>
      </c>
      <c r="J29" s="73">
        <f>SUM(I29)+2</f>
        <v>44</v>
      </c>
      <c r="K29" s="73">
        <f>SUM(J29)+2</f>
        <v>46</v>
      </c>
      <c r="L29" s="73"/>
      <c r="M29" s="74"/>
    </row>
    <row r="30" spans="1:13" s="2" customFormat="1" ht="14.1" customHeight="1" x14ac:dyDescent="0.3">
      <c r="A30" s="14"/>
      <c r="B30" s="68" t="s">
        <v>68</v>
      </c>
      <c r="C30" s="69"/>
      <c r="D30" s="70" t="s">
        <v>69</v>
      </c>
      <c r="E30" s="71"/>
      <c r="F30" s="71"/>
      <c r="G30" s="72"/>
      <c r="H30" s="19"/>
      <c r="I30" s="21"/>
      <c r="J30" s="29"/>
      <c r="K30" s="29"/>
      <c r="L30" s="29"/>
      <c r="M30" s="31"/>
    </row>
    <row r="31" spans="1:13" s="2" customFormat="1" ht="14.1" customHeight="1" x14ac:dyDescent="0.3">
      <c r="A31" s="14">
        <v>15</v>
      </c>
      <c r="B31" s="40" t="s">
        <v>76</v>
      </c>
      <c r="C31" s="41"/>
      <c r="D31" s="53"/>
      <c r="E31" s="54"/>
      <c r="F31" s="54"/>
      <c r="G31" s="55"/>
      <c r="H31" s="35">
        <f>SUM(I31)-2.8</f>
        <v>55.900000000000006</v>
      </c>
      <c r="I31" s="36">
        <v>58.7</v>
      </c>
      <c r="J31" s="66">
        <f>SUM(I31)+2.8</f>
        <v>61.5</v>
      </c>
      <c r="K31" s="66">
        <f>SUM(J31)+2.8</f>
        <v>64.3</v>
      </c>
      <c r="L31" s="66"/>
      <c r="M31" s="67"/>
    </row>
    <row r="32" spans="1:13" s="2" customFormat="1" ht="14.1" customHeight="1" x14ac:dyDescent="0.3">
      <c r="A32" s="14"/>
      <c r="B32" s="68" t="s">
        <v>77</v>
      </c>
      <c r="C32" s="69"/>
      <c r="D32" s="70"/>
      <c r="E32" s="71"/>
      <c r="F32" s="71"/>
      <c r="G32" s="72"/>
      <c r="H32" s="19"/>
      <c r="I32" s="21"/>
      <c r="J32" s="29"/>
      <c r="K32" s="29"/>
      <c r="L32" s="29"/>
      <c r="M32" s="31"/>
    </row>
    <row r="33" spans="1:13" s="2" customFormat="1" ht="14.1" customHeight="1" x14ac:dyDescent="0.3">
      <c r="A33" s="14">
        <v>16</v>
      </c>
      <c r="B33" s="40" t="s">
        <v>78</v>
      </c>
      <c r="C33" s="41"/>
      <c r="D33" s="42" t="s">
        <v>79</v>
      </c>
      <c r="E33" s="43"/>
      <c r="F33" s="43"/>
      <c r="G33" s="44"/>
      <c r="H33" s="35">
        <f>SUM(I33)-3</f>
        <v>66.599999999999994</v>
      </c>
      <c r="I33" s="36">
        <v>69.599999999999994</v>
      </c>
      <c r="J33" s="23">
        <f>SUM(I33)+3</f>
        <v>72.599999999999994</v>
      </c>
      <c r="K33" s="23">
        <f>SUM(J33)+3</f>
        <v>75.599999999999994</v>
      </c>
      <c r="L33" s="23"/>
      <c r="M33" s="30"/>
    </row>
    <row r="34" spans="1:13" s="2" customFormat="1" ht="14.1" customHeight="1" x14ac:dyDescent="0.3">
      <c r="A34" s="14"/>
      <c r="B34" s="68" t="s">
        <v>80</v>
      </c>
      <c r="C34" s="69"/>
      <c r="D34" s="70" t="s">
        <v>81</v>
      </c>
      <c r="E34" s="71"/>
      <c r="F34" s="71"/>
      <c r="G34" s="72"/>
      <c r="H34" s="19"/>
      <c r="I34" s="21"/>
      <c r="J34" s="29"/>
      <c r="K34" s="29"/>
      <c r="L34" s="29"/>
      <c r="M34" s="31"/>
    </row>
    <row r="35" spans="1:13" s="2" customFormat="1" ht="14.1" customHeight="1" x14ac:dyDescent="0.3">
      <c r="A35" s="14">
        <v>17</v>
      </c>
      <c r="B35" s="40" t="s">
        <v>82</v>
      </c>
      <c r="C35" s="41"/>
      <c r="D35" s="42"/>
      <c r="E35" s="43"/>
      <c r="F35" s="43"/>
      <c r="G35" s="44"/>
      <c r="H35" s="35">
        <f>SUM(I35)-0.5</f>
        <v>11.8</v>
      </c>
      <c r="I35" s="36">
        <v>12.3</v>
      </c>
      <c r="J35" s="23">
        <f>SUM(I35)+0.5</f>
        <v>12.8</v>
      </c>
      <c r="K35" s="23">
        <f>SUM(J35)+0.5</f>
        <v>13.3</v>
      </c>
      <c r="L35" s="23"/>
      <c r="M35" s="25"/>
    </row>
    <row r="36" spans="1:13" s="2" customFormat="1" ht="14.1" customHeight="1" x14ac:dyDescent="0.3">
      <c r="A36" s="14"/>
      <c r="B36" s="68" t="s">
        <v>83</v>
      </c>
      <c r="C36" s="69"/>
      <c r="D36" s="76" t="s">
        <v>84</v>
      </c>
      <c r="E36" s="77"/>
      <c r="F36" s="77"/>
      <c r="G36" s="78"/>
      <c r="H36" s="19"/>
      <c r="I36" s="21"/>
      <c r="J36" s="29"/>
      <c r="K36" s="29"/>
      <c r="L36" s="29"/>
      <c r="M36" s="75"/>
    </row>
    <row r="37" spans="1:13" s="2" customFormat="1" ht="14.1" customHeight="1" x14ac:dyDescent="0.3">
      <c r="A37" s="14">
        <v>18</v>
      </c>
      <c r="B37" s="40" t="s">
        <v>85</v>
      </c>
      <c r="C37" s="41"/>
      <c r="D37" s="42"/>
      <c r="E37" s="43"/>
      <c r="F37" s="43"/>
      <c r="G37" s="44"/>
      <c r="H37" s="35">
        <f>SUM(I37)-0.5</f>
        <v>8.5</v>
      </c>
      <c r="I37" s="36">
        <v>9</v>
      </c>
      <c r="J37" s="23">
        <f>SUM(I37)+0.5</f>
        <v>9.5</v>
      </c>
      <c r="K37" s="23">
        <f>SUM(J37)+0.5</f>
        <v>10</v>
      </c>
      <c r="L37" s="33"/>
      <c r="M37" s="25"/>
    </row>
    <row r="38" spans="1:13" s="2" customFormat="1" ht="14.1" customHeight="1" x14ac:dyDescent="0.3">
      <c r="A38" s="14"/>
      <c r="B38" s="68" t="s">
        <v>86</v>
      </c>
      <c r="C38" s="69"/>
      <c r="D38" s="76" t="s">
        <v>87</v>
      </c>
      <c r="E38" s="77"/>
      <c r="F38" s="77"/>
      <c r="G38" s="78"/>
      <c r="H38" s="19"/>
      <c r="I38" s="21"/>
      <c r="J38" s="29"/>
      <c r="K38" s="29"/>
      <c r="L38" s="26"/>
      <c r="M38" s="75"/>
    </row>
    <row r="39" spans="1:13" ht="14.1" customHeight="1" x14ac:dyDescent="0.3">
      <c r="A39" s="14">
        <v>19</v>
      </c>
      <c r="B39" s="40" t="s">
        <v>88</v>
      </c>
      <c r="C39" s="41"/>
      <c r="D39" s="42" t="s">
        <v>53</v>
      </c>
      <c r="E39" s="43"/>
      <c r="F39" s="43"/>
      <c r="G39" s="44"/>
      <c r="H39" s="35">
        <f>SUM(I39)-3.5</f>
        <v>41.5</v>
      </c>
      <c r="I39" s="36">
        <v>45</v>
      </c>
      <c r="J39" s="23">
        <f>SUM(I39)+5</f>
        <v>50</v>
      </c>
      <c r="K39" s="23">
        <f>SUM(J39)+5</f>
        <v>55</v>
      </c>
      <c r="L39" s="23"/>
      <c r="M39" s="30"/>
    </row>
    <row r="40" spans="1:13" ht="14.1" customHeight="1" x14ac:dyDescent="0.3">
      <c r="A40" s="14"/>
      <c r="B40" s="68" t="s">
        <v>89</v>
      </c>
      <c r="C40" s="69"/>
      <c r="D40" s="70" t="s">
        <v>90</v>
      </c>
      <c r="E40" s="71"/>
      <c r="F40" s="71"/>
      <c r="G40" s="72"/>
      <c r="H40" s="19"/>
      <c r="I40" s="21"/>
      <c r="J40" s="29"/>
      <c r="K40" s="29"/>
      <c r="L40" s="29"/>
      <c r="M40" s="31"/>
    </row>
    <row r="41" spans="1:13" ht="14.1" customHeight="1" x14ac:dyDescent="0.3">
      <c r="A41" s="14">
        <v>20</v>
      </c>
      <c r="B41" s="40" t="s">
        <v>91</v>
      </c>
      <c r="C41" s="41"/>
      <c r="D41" s="42" t="s">
        <v>92</v>
      </c>
      <c r="E41" s="43"/>
      <c r="F41" s="43"/>
      <c r="G41" s="44"/>
      <c r="H41" s="35">
        <f>SUM(I41)-0.8</f>
        <v>17.2</v>
      </c>
      <c r="I41" s="36">
        <v>18</v>
      </c>
      <c r="J41" s="23">
        <f>SUM(I41)+0.8</f>
        <v>18.8</v>
      </c>
      <c r="K41" s="23">
        <f>SUM(J41)+0.8</f>
        <v>19.600000000000001</v>
      </c>
      <c r="L41" s="23"/>
      <c r="M41" s="30"/>
    </row>
    <row r="42" spans="1:13" ht="14.1" customHeight="1" x14ac:dyDescent="0.3">
      <c r="A42" s="14"/>
      <c r="B42" s="68" t="s">
        <v>93</v>
      </c>
      <c r="C42" s="69"/>
      <c r="D42" s="27" t="s">
        <v>94</v>
      </c>
      <c r="E42" s="28"/>
      <c r="F42" s="28"/>
      <c r="G42" s="32"/>
      <c r="H42" s="19"/>
      <c r="I42" s="21"/>
      <c r="J42" s="29"/>
      <c r="K42" s="29"/>
      <c r="L42" s="29"/>
      <c r="M42" s="31"/>
    </row>
    <row r="43" spans="1:13" s="2" customFormat="1" ht="14.1" customHeight="1" x14ac:dyDescent="0.3">
      <c r="A43" s="14">
        <v>21</v>
      </c>
      <c r="B43" s="40" t="s">
        <v>95</v>
      </c>
      <c r="C43" s="41"/>
      <c r="D43" s="42" t="s">
        <v>96</v>
      </c>
      <c r="E43" s="43"/>
      <c r="F43" s="43"/>
      <c r="G43" s="44"/>
      <c r="H43" s="35">
        <f>SUM(I43)-0.8</f>
        <v>19</v>
      </c>
      <c r="I43" s="36">
        <v>19.8</v>
      </c>
      <c r="J43" s="23">
        <f>SUM(I43)+0.8</f>
        <v>20.6</v>
      </c>
      <c r="K43" s="23">
        <f>SUM(J43)+0.8</f>
        <v>21.400000000000002</v>
      </c>
      <c r="L43" s="33"/>
      <c r="M43" s="30"/>
    </row>
    <row r="44" spans="1:13" s="2" customFormat="1" ht="14.1" customHeight="1" x14ac:dyDescent="0.3">
      <c r="A44" s="14"/>
      <c r="B44" s="68" t="s">
        <v>97</v>
      </c>
      <c r="C44" s="69"/>
      <c r="D44" s="70" t="s">
        <v>98</v>
      </c>
      <c r="E44" s="71"/>
      <c r="F44" s="71"/>
      <c r="G44" s="72"/>
      <c r="H44" s="19"/>
      <c r="I44" s="21"/>
      <c r="J44" s="29"/>
      <c r="K44" s="29"/>
      <c r="L44" s="26"/>
      <c r="M44" s="31"/>
    </row>
    <row r="45" spans="1:13" ht="14.1" customHeight="1" x14ac:dyDescent="0.3">
      <c r="A45" s="14">
        <v>22</v>
      </c>
      <c r="B45" s="40" t="s">
        <v>99</v>
      </c>
      <c r="C45" s="41"/>
      <c r="D45" s="42" t="s">
        <v>96</v>
      </c>
      <c r="E45" s="43"/>
      <c r="F45" s="43"/>
      <c r="G45" s="44"/>
      <c r="H45" s="35">
        <f>SUM(I45)-1</f>
        <v>25.2</v>
      </c>
      <c r="I45" s="36">
        <v>26.2</v>
      </c>
      <c r="J45" s="23">
        <f>SUM(I45)+1</f>
        <v>27.2</v>
      </c>
      <c r="K45" s="23">
        <f>SUM(J45)+1</f>
        <v>28.2</v>
      </c>
      <c r="L45" s="33"/>
      <c r="M45" s="30"/>
    </row>
    <row r="46" spans="1:13" ht="14.1" customHeight="1" x14ac:dyDescent="0.3">
      <c r="A46" s="14"/>
      <c r="B46" s="68" t="s">
        <v>100</v>
      </c>
      <c r="C46" s="69"/>
      <c r="D46" s="70" t="s">
        <v>98</v>
      </c>
      <c r="E46" s="71"/>
      <c r="F46" s="71"/>
      <c r="G46" s="72"/>
      <c r="H46" s="19"/>
      <c r="I46" s="21"/>
      <c r="J46" s="29"/>
      <c r="K46" s="29"/>
      <c r="L46" s="26"/>
      <c r="M46" s="31"/>
    </row>
    <row r="47" spans="1:13" ht="14.1" customHeight="1" x14ac:dyDescent="0.3">
      <c r="A47" s="14">
        <v>23</v>
      </c>
      <c r="B47" s="40" t="s">
        <v>101</v>
      </c>
      <c r="C47" s="41"/>
      <c r="D47" s="42" t="s">
        <v>102</v>
      </c>
      <c r="E47" s="43"/>
      <c r="F47" s="43"/>
      <c r="G47" s="44"/>
      <c r="H47" s="35">
        <f>SUM(I47)-2.1</f>
        <v>40.5</v>
      </c>
      <c r="I47" s="36">
        <v>42.6</v>
      </c>
      <c r="J47" s="23">
        <f>SUM(I47)+2.3</f>
        <v>44.9</v>
      </c>
      <c r="K47" s="23">
        <f>SUM(J47)+2.3</f>
        <v>47.199999999999996</v>
      </c>
      <c r="L47" s="23"/>
      <c r="M47" s="30"/>
    </row>
    <row r="48" spans="1:13" ht="14.1" customHeight="1" x14ac:dyDescent="0.3">
      <c r="A48" s="14"/>
      <c r="B48" s="68" t="s">
        <v>103</v>
      </c>
      <c r="C48" s="69"/>
      <c r="D48" s="70" t="s">
        <v>104</v>
      </c>
      <c r="E48" s="71"/>
      <c r="F48" s="71"/>
      <c r="G48" s="72"/>
      <c r="H48" s="19"/>
      <c r="I48" s="21"/>
      <c r="J48" s="29"/>
      <c r="K48" s="29"/>
      <c r="L48" s="29"/>
      <c r="M48" s="31"/>
    </row>
    <row r="49" spans="1:13" ht="14.1" customHeight="1" x14ac:dyDescent="0.3">
      <c r="A49" s="14">
        <v>24</v>
      </c>
      <c r="B49" s="40" t="s">
        <v>105</v>
      </c>
      <c r="C49" s="41"/>
      <c r="D49" s="42" t="s">
        <v>106</v>
      </c>
      <c r="E49" s="43"/>
      <c r="F49" s="43"/>
      <c r="G49" s="44"/>
      <c r="H49" s="35">
        <f>SUM(I49)-2.7</f>
        <v>24.2</v>
      </c>
      <c r="I49" s="36">
        <v>26.9</v>
      </c>
      <c r="J49" s="23">
        <f>SUM(I49)+4.2</f>
        <v>31.099999999999998</v>
      </c>
      <c r="K49" s="23">
        <f>SUM(J49)+4.2</f>
        <v>35.299999999999997</v>
      </c>
      <c r="L49" s="23"/>
      <c r="M49" s="30"/>
    </row>
    <row r="50" spans="1:13" ht="14.1" customHeight="1" x14ac:dyDescent="0.3">
      <c r="A50" s="14"/>
      <c r="B50" s="68" t="s">
        <v>107</v>
      </c>
      <c r="C50" s="69"/>
      <c r="D50" s="70" t="s">
        <v>108</v>
      </c>
      <c r="E50" s="71"/>
      <c r="F50" s="71"/>
      <c r="G50" s="72"/>
      <c r="H50" s="19"/>
      <c r="I50" s="21"/>
      <c r="J50" s="29"/>
      <c r="K50" s="29"/>
      <c r="L50" s="29"/>
      <c r="M50" s="31"/>
    </row>
    <row r="51" spans="1:13" ht="14.1" customHeight="1" x14ac:dyDescent="0.3">
      <c r="A51" s="14">
        <v>25</v>
      </c>
      <c r="B51" s="40" t="s">
        <v>109</v>
      </c>
      <c r="C51" s="41"/>
      <c r="D51" s="42" t="s">
        <v>52</v>
      </c>
      <c r="E51" s="43"/>
      <c r="F51" s="43"/>
      <c r="G51" s="44"/>
      <c r="H51" s="35">
        <f>SUM(I51)-1.7</f>
        <v>36.5</v>
      </c>
      <c r="I51" s="36">
        <v>38.200000000000003</v>
      </c>
      <c r="J51" s="23">
        <f>SUM(I51)+1.7</f>
        <v>39.900000000000006</v>
      </c>
      <c r="K51" s="23">
        <f>SUM(J51)+1.7</f>
        <v>41.600000000000009</v>
      </c>
      <c r="L51" s="23"/>
      <c r="M51" s="30"/>
    </row>
    <row r="52" spans="1:13" ht="14.1" customHeight="1" x14ac:dyDescent="0.3">
      <c r="A52" s="14"/>
      <c r="B52" s="68" t="s">
        <v>110</v>
      </c>
      <c r="C52" s="69"/>
      <c r="D52" s="70" t="s">
        <v>52</v>
      </c>
      <c r="E52" s="71"/>
      <c r="F52" s="71"/>
      <c r="G52" s="72"/>
      <c r="H52" s="19"/>
      <c r="I52" s="21"/>
      <c r="J52" s="29"/>
      <c r="K52" s="29"/>
      <c r="L52" s="29"/>
      <c r="M52" s="31"/>
    </row>
    <row r="53" spans="1:13" ht="14.1" customHeight="1" x14ac:dyDescent="0.3">
      <c r="A53" s="14">
        <v>26</v>
      </c>
      <c r="B53" s="40" t="s">
        <v>111</v>
      </c>
      <c r="C53" s="41"/>
      <c r="D53" s="42" t="s">
        <v>112</v>
      </c>
      <c r="E53" s="43"/>
      <c r="F53" s="43"/>
      <c r="G53" s="44"/>
      <c r="H53" s="35">
        <f>SUM(I53)-2</f>
        <v>26.1</v>
      </c>
      <c r="I53" s="36">
        <v>28.1</v>
      </c>
      <c r="J53" s="23">
        <f>SUM(I53)+2.7</f>
        <v>30.8</v>
      </c>
      <c r="K53" s="23">
        <f>SUM(J53)+2.7</f>
        <v>33.5</v>
      </c>
      <c r="L53" s="23"/>
      <c r="M53" s="30"/>
    </row>
    <row r="54" spans="1:13" ht="14.1" customHeight="1" x14ac:dyDescent="0.3">
      <c r="A54" s="14"/>
      <c r="B54" s="68" t="s">
        <v>113</v>
      </c>
      <c r="C54" s="69"/>
      <c r="D54" s="70" t="s">
        <v>114</v>
      </c>
      <c r="E54" s="71"/>
      <c r="F54" s="71"/>
      <c r="G54" s="72"/>
      <c r="H54" s="19"/>
      <c r="I54" s="21"/>
      <c r="J54" s="29"/>
      <c r="K54" s="29"/>
      <c r="L54" s="29"/>
      <c r="M54" s="31"/>
    </row>
    <row r="55" spans="1:13" ht="14.1" customHeight="1" x14ac:dyDescent="0.3">
      <c r="A55" s="14">
        <v>27</v>
      </c>
      <c r="B55" s="40" t="s">
        <v>194</v>
      </c>
      <c r="C55" s="41"/>
      <c r="D55" s="42"/>
      <c r="E55" s="43"/>
      <c r="F55" s="43"/>
      <c r="G55" s="44"/>
      <c r="H55" s="35">
        <f>SUM(I55)-0.5</f>
        <v>9</v>
      </c>
      <c r="I55" s="36">
        <v>9.5</v>
      </c>
      <c r="J55" s="23">
        <f>SUM(I55)+0.5</f>
        <v>10</v>
      </c>
      <c r="K55" s="23">
        <f>SUM(J55)+0.5</f>
        <v>10.5</v>
      </c>
      <c r="L55" s="23"/>
      <c r="M55" s="30"/>
    </row>
    <row r="56" spans="1:13" ht="14.1" customHeight="1" x14ac:dyDescent="0.3">
      <c r="A56" s="14"/>
      <c r="B56" s="68" t="s">
        <v>195</v>
      </c>
      <c r="C56" s="69"/>
      <c r="D56" s="70"/>
      <c r="E56" s="71"/>
      <c r="F56" s="71"/>
      <c r="G56" s="72"/>
      <c r="H56" s="19"/>
      <c r="I56" s="21"/>
      <c r="J56" s="29"/>
      <c r="K56" s="29"/>
      <c r="L56" s="29"/>
      <c r="M56" s="31"/>
    </row>
    <row r="57" spans="1:13" ht="14.1" customHeight="1" x14ac:dyDescent="0.3">
      <c r="A57" s="14">
        <v>28</v>
      </c>
      <c r="B57" s="40" t="s">
        <v>128</v>
      </c>
      <c r="C57" s="41"/>
      <c r="D57" s="42"/>
      <c r="E57" s="43"/>
      <c r="F57" s="43"/>
      <c r="G57" s="44"/>
      <c r="H57" s="35">
        <f>SUM(I57)-0.5</f>
        <v>7.5</v>
      </c>
      <c r="I57" s="36">
        <v>8</v>
      </c>
      <c r="J57" s="23">
        <f>SUM(I57)+0.5</f>
        <v>8.5</v>
      </c>
      <c r="K57" s="23">
        <f>SUM(J57)+0.5</f>
        <v>9</v>
      </c>
      <c r="L57" s="23"/>
      <c r="M57" s="30"/>
    </row>
    <row r="58" spans="1:13" ht="14.1" customHeight="1" x14ac:dyDescent="0.3">
      <c r="A58" s="14"/>
      <c r="B58" s="68" t="s">
        <v>130</v>
      </c>
      <c r="C58" s="69"/>
      <c r="D58" s="70"/>
      <c r="E58" s="71"/>
      <c r="F58" s="71"/>
      <c r="G58" s="72"/>
      <c r="H58" s="19"/>
      <c r="I58" s="21"/>
      <c r="J58" s="29"/>
      <c r="K58" s="29"/>
      <c r="L58" s="29"/>
      <c r="M58" s="31"/>
    </row>
    <row r="59" spans="1:13" ht="14.1" customHeight="1" x14ac:dyDescent="0.3">
      <c r="A59" s="14">
        <v>29</v>
      </c>
      <c r="B59" s="40" t="s">
        <v>129</v>
      </c>
      <c r="C59" s="41"/>
      <c r="D59" s="42"/>
      <c r="E59" s="43"/>
      <c r="F59" s="43"/>
      <c r="G59" s="44"/>
      <c r="H59" s="35">
        <f>SUM(I59)-0.5</f>
        <v>8.5</v>
      </c>
      <c r="I59" s="36">
        <v>9</v>
      </c>
      <c r="J59" s="23">
        <f>SUM(I59)+0.5</f>
        <v>9.5</v>
      </c>
      <c r="K59" s="23">
        <f>SUM(J59)+0.5</f>
        <v>10</v>
      </c>
      <c r="L59" s="23"/>
      <c r="M59" s="30"/>
    </row>
    <row r="60" spans="1:13" ht="14.1" customHeight="1" x14ac:dyDescent="0.3">
      <c r="A60" s="14"/>
      <c r="B60" s="68" t="s">
        <v>131</v>
      </c>
      <c r="C60" s="69"/>
      <c r="D60" s="70"/>
      <c r="E60" s="71"/>
      <c r="F60" s="71"/>
      <c r="G60" s="72"/>
      <c r="H60" s="19"/>
      <c r="I60" s="21"/>
      <c r="J60" s="29"/>
      <c r="K60" s="29"/>
      <c r="L60" s="29"/>
      <c r="M60" s="31"/>
    </row>
    <row r="61" spans="1:13" ht="14.1" customHeight="1" x14ac:dyDescent="0.3">
      <c r="A61" s="14">
        <v>30</v>
      </c>
      <c r="B61" s="40" t="s">
        <v>63</v>
      </c>
      <c r="C61" s="41"/>
      <c r="D61" s="42"/>
      <c r="E61" s="43"/>
      <c r="F61" s="43"/>
      <c r="G61" s="44"/>
      <c r="H61" s="35">
        <f>SUM(I61)-0.1</f>
        <v>1.9</v>
      </c>
      <c r="I61" s="36">
        <v>2</v>
      </c>
      <c r="J61" s="23">
        <f>SUM(I61)+0.1</f>
        <v>2.1</v>
      </c>
      <c r="K61" s="23">
        <f>SUM(J61)+0.1</f>
        <v>2.2000000000000002</v>
      </c>
      <c r="L61" s="66"/>
      <c r="M61" s="67"/>
    </row>
    <row r="62" spans="1:13" ht="13.5" customHeight="1" thickBot="1" x14ac:dyDescent="0.35">
      <c r="A62" s="79"/>
      <c r="B62" s="84" t="s">
        <v>64</v>
      </c>
      <c r="C62" s="85"/>
      <c r="D62" s="86" t="s">
        <v>179</v>
      </c>
      <c r="E62" s="87"/>
      <c r="F62" s="87"/>
      <c r="G62" s="88"/>
      <c r="H62" s="80"/>
      <c r="I62" s="81"/>
      <c r="J62" s="82"/>
      <c r="K62" s="82"/>
      <c r="L62" s="82"/>
      <c r="M62" s="83"/>
    </row>
    <row r="63" spans="1:13" ht="13.5" customHeight="1" x14ac:dyDescent="0.3"/>
    <row r="64" spans="1:13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</sheetData>
  <mergeCells count="333">
    <mergeCell ref="J61:J62"/>
    <mergeCell ref="K61:K62"/>
    <mergeCell ref="L61:L62"/>
    <mergeCell ref="M61:M62"/>
    <mergeCell ref="B62:C62"/>
    <mergeCell ref="D62:G62"/>
    <mergeCell ref="K59:K60"/>
    <mergeCell ref="L59:L60"/>
    <mergeCell ref="M59:M60"/>
    <mergeCell ref="B60:C60"/>
    <mergeCell ref="D60:G60"/>
    <mergeCell ref="J59:J60"/>
    <mergeCell ref="A61:A62"/>
    <mergeCell ref="B61:C61"/>
    <mergeCell ref="D61:G61"/>
    <mergeCell ref="H61:H62"/>
    <mergeCell ref="I61:I62"/>
    <mergeCell ref="A59:A60"/>
    <mergeCell ref="B59:C59"/>
    <mergeCell ref="D59:G59"/>
    <mergeCell ref="H59:H60"/>
    <mergeCell ref="I59:I60"/>
    <mergeCell ref="J57:J58"/>
    <mergeCell ref="K57:K58"/>
    <mergeCell ref="L57:L58"/>
    <mergeCell ref="M57:M58"/>
    <mergeCell ref="B58:C58"/>
    <mergeCell ref="D58:G58"/>
    <mergeCell ref="A57:A58"/>
    <mergeCell ref="B57:C57"/>
    <mergeCell ref="D57:G57"/>
    <mergeCell ref="H57:H58"/>
    <mergeCell ref="I57:I58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7" right="0.7" top="0.75" bottom="0.75" header="0.3" footer="0.3"/>
  <pageSetup paperSize="9"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01A4-360F-4271-BFE3-D8745500B68E}">
  <sheetPr>
    <tabColor theme="9"/>
    <pageSetUpPr fitToPage="1"/>
  </sheetPr>
  <dimension ref="A1:M79"/>
  <sheetViews>
    <sheetView zoomScale="110" zoomScaleNormal="110" workbookViewId="0">
      <selection activeCell="Q45" sqref="Q4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9" t="s">
        <v>220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ht="16.5" customHeight="1" thickBot="1" x14ac:dyDescent="0.35">
      <c r="A2" s="6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150</v>
      </c>
      <c r="I2" s="3" t="s">
        <v>151</v>
      </c>
      <c r="J2" s="4" t="s">
        <v>152</v>
      </c>
      <c r="K2" s="4" t="s">
        <v>164</v>
      </c>
      <c r="L2" s="7"/>
      <c r="M2" s="4"/>
    </row>
    <row r="3" spans="1:13" s="2" customFormat="1" ht="14.1" customHeight="1" x14ac:dyDescent="0.3">
      <c r="A3" s="13">
        <v>1</v>
      </c>
      <c r="B3" s="15" t="s">
        <v>23</v>
      </c>
      <c r="C3" s="15"/>
      <c r="D3" s="16" t="s">
        <v>55</v>
      </c>
      <c r="E3" s="16"/>
      <c r="F3" s="16"/>
      <c r="G3" s="17"/>
      <c r="H3" s="18">
        <f>SUM(I3)-3</f>
        <v>33</v>
      </c>
      <c r="I3" s="20">
        <v>36</v>
      </c>
      <c r="J3" s="22">
        <f>SUM(I3)+3</f>
        <v>39</v>
      </c>
      <c r="K3" s="22">
        <f>SUM(J3)+3</f>
        <v>42</v>
      </c>
      <c r="L3" s="22"/>
      <c r="M3" s="24"/>
    </row>
    <row r="4" spans="1:13" s="2" customFormat="1" ht="14.1" customHeight="1" x14ac:dyDescent="0.3">
      <c r="A4" s="14"/>
      <c r="B4" s="26" t="s">
        <v>20</v>
      </c>
      <c r="C4" s="26"/>
      <c r="D4" s="27" t="s">
        <v>39</v>
      </c>
      <c r="E4" s="28"/>
      <c r="F4" s="28"/>
      <c r="G4" s="28"/>
      <c r="H4" s="19"/>
      <c r="I4" s="21"/>
      <c r="J4" s="23"/>
      <c r="K4" s="23"/>
      <c r="L4" s="23"/>
      <c r="M4" s="25"/>
    </row>
    <row r="5" spans="1:13" s="2" customFormat="1" ht="14.1" customHeight="1" x14ac:dyDescent="0.3">
      <c r="A5" s="14">
        <v>2</v>
      </c>
      <c r="B5" s="33" t="s">
        <v>21</v>
      </c>
      <c r="C5" s="33"/>
      <c r="D5" s="34" t="s">
        <v>22</v>
      </c>
      <c r="E5" s="34"/>
      <c r="F5" s="34"/>
      <c r="G5" s="34"/>
      <c r="H5" s="35">
        <f>SUM(I5)-1.2</f>
        <v>24.6</v>
      </c>
      <c r="I5" s="36">
        <v>25.8</v>
      </c>
      <c r="J5" s="23">
        <f>SUM(I5)+1.2</f>
        <v>27</v>
      </c>
      <c r="K5" s="23">
        <f>SUM(J5)+1.2</f>
        <v>28.2</v>
      </c>
      <c r="L5" s="23"/>
      <c r="M5" s="30"/>
    </row>
    <row r="6" spans="1:13" s="2" customFormat="1" ht="14.1" customHeight="1" x14ac:dyDescent="0.3">
      <c r="A6" s="14"/>
      <c r="B6" s="26" t="s">
        <v>11</v>
      </c>
      <c r="C6" s="26"/>
      <c r="D6" s="27" t="s">
        <v>26</v>
      </c>
      <c r="E6" s="28"/>
      <c r="F6" s="28"/>
      <c r="G6" s="32"/>
      <c r="H6" s="19"/>
      <c r="I6" s="21"/>
      <c r="J6" s="29"/>
      <c r="K6" s="29"/>
      <c r="L6" s="29"/>
      <c r="M6" s="31"/>
    </row>
    <row r="7" spans="1:13" s="2" customFormat="1" ht="14.1" customHeight="1" x14ac:dyDescent="0.3">
      <c r="A7" s="14">
        <v>3</v>
      </c>
      <c r="B7" s="33" t="s">
        <v>19</v>
      </c>
      <c r="C7" s="33"/>
      <c r="D7" s="34" t="s">
        <v>53</v>
      </c>
      <c r="E7" s="34"/>
      <c r="F7" s="34"/>
      <c r="G7" s="34"/>
      <c r="H7" s="35">
        <f>SUM(I7)-1.5</f>
        <v>29</v>
      </c>
      <c r="I7" s="36">
        <v>30.5</v>
      </c>
      <c r="J7" s="23">
        <f>SUM(I7)+1.5</f>
        <v>32</v>
      </c>
      <c r="K7" s="23">
        <f>SUM(J7)+1.5</f>
        <v>33.5</v>
      </c>
      <c r="L7" s="23"/>
      <c r="M7" s="30"/>
    </row>
    <row r="8" spans="1:13" s="2" customFormat="1" ht="14.1" customHeight="1" x14ac:dyDescent="0.3">
      <c r="A8" s="14"/>
      <c r="B8" s="26" t="s">
        <v>24</v>
      </c>
      <c r="C8" s="26"/>
      <c r="D8" s="27" t="s">
        <v>27</v>
      </c>
      <c r="E8" s="28"/>
      <c r="F8" s="28"/>
      <c r="G8" s="32"/>
      <c r="H8" s="19"/>
      <c r="I8" s="21"/>
      <c r="J8" s="29"/>
      <c r="K8" s="29"/>
      <c r="L8" s="29"/>
      <c r="M8" s="31"/>
    </row>
    <row r="9" spans="1:13" s="2" customFormat="1" ht="14.1" customHeight="1" x14ac:dyDescent="0.3">
      <c r="A9" s="14">
        <v>4</v>
      </c>
      <c r="B9" s="33" t="s">
        <v>25</v>
      </c>
      <c r="C9" s="33"/>
      <c r="D9" s="34" t="s">
        <v>9</v>
      </c>
      <c r="E9" s="34"/>
      <c r="F9" s="34"/>
      <c r="G9" s="34"/>
      <c r="H9" s="35">
        <f>SUM(I9)-1.4</f>
        <v>25.6</v>
      </c>
      <c r="I9" s="36">
        <v>27</v>
      </c>
      <c r="J9" s="23">
        <f>SUM(I9)+1.4</f>
        <v>28.4</v>
      </c>
      <c r="K9" s="23">
        <f>SUM(J9)+1.4</f>
        <v>29.799999999999997</v>
      </c>
      <c r="L9" s="23"/>
      <c r="M9" s="30"/>
    </row>
    <row r="10" spans="1:13" s="2" customFormat="1" ht="14.1" customHeight="1" x14ac:dyDescent="0.3">
      <c r="A10" s="14"/>
      <c r="B10" s="26" t="s">
        <v>12</v>
      </c>
      <c r="C10" s="26"/>
      <c r="D10" s="27" t="s">
        <v>28</v>
      </c>
      <c r="E10" s="28"/>
      <c r="F10" s="28"/>
      <c r="G10" s="32"/>
      <c r="H10" s="19"/>
      <c r="I10" s="21"/>
      <c r="J10" s="29"/>
      <c r="K10" s="29"/>
      <c r="L10" s="29"/>
      <c r="M10" s="31"/>
    </row>
    <row r="11" spans="1:13" s="2" customFormat="1" ht="14.1" customHeight="1" x14ac:dyDescent="0.3">
      <c r="A11" s="14">
        <v>5</v>
      </c>
      <c r="B11" s="33" t="s">
        <v>10</v>
      </c>
      <c r="C11" s="33"/>
      <c r="D11" s="34" t="s">
        <v>65</v>
      </c>
      <c r="E11" s="34"/>
      <c r="F11" s="34"/>
      <c r="G11" s="34"/>
      <c r="H11" s="35">
        <f>SUM(I11)-0.9</f>
        <v>12.6</v>
      </c>
      <c r="I11" s="36">
        <v>13.5</v>
      </c>
      <c r="J11" s="37">
        <f>SUM(I11)+0.9</f>
        <v>14.4</v>
      </c>
      <c r="K11" s="37">
        <f>SUM(J11)+0.9</f>
        <v>15.3</v>
      </c>
      <c r="L11" s="37"/>
      <c r="M11" s="38"/>
    </row>
    <row r="12" spans="1:13" s="2" customFormat="1" ht="14.1" customHeight="1" x14ac:dyDescent="0.3">
      <c r="A12" s="14"/>
      <c r="B12" s="26" t="s">
        <v>13</v>
      </c>
      <c r="C12" s="26"/>
      <c r="D12" s="27" t="s">
        <v>29</v>
      </c>
      <c r="E12" s="28"/>
      <c r="F12" s="28"/>
      <c r="G12" s="32"/>
      <c r="H12" s="19"/>
      <c r="I12" s="21"/>
      <c r="J12" s="37"/>
      <c r="K12" s="37"/>
      <c r="L12" s="37"/>
      <c r="M12" s="38"/>
    </row>
    <row r="13" spans="1:13" s="2" customFormat="1" ht="14.1" customHeight="1" x14ac:dyDescent="0.3">
      <c r="A13" s="14">
        <v>6</v>
      </c>
      <c r="B13" s="33" t="s">
        <v>1</v>
      </c>
      <c r="C13" s="33"/>
      <c r="D13" s="34" t="s">
        <v>2</v>
      </c>
      <c r="E13" s="34"/>
      <c r="F13" s="34"/>
      <c r="G13" s="34"/>
      <c r="H13" s="35">
        <f>SUM(I13)-0.5</f>
        <v>13.1</v>
      </c>
      <c r="I13" s="36">
        <v>13.6</v>
      </c>
      <c r="J13" s="37">
        <f>SUM(I13)+0.5</f>
        <v>14.1</v>
      </c>
      <c r="K13" s="37">
        <f>SUM(J13)+0.5</f>
        <v>14.6</v>
      </c>
      <c r="L13" s="37"/>
      <c r="M13" s="39"/>
    </row>
    <row r="14" spans="1:13" s="2" customFormat="1" ht="14.1" customHeight="1" x14ac:dyDescent="0.3">
      <c r="A14" s="14"/>
      <c r="B14" s="26" t="s">
        <v>14</v>
      </c>
      <c r="C14" s="26"/>
      <c r="D14" s="27" t="s">
        <v>60</v>
      </c>
      <c r="E14" s="28"/>
      <c r="F14" s="28"/>
      <c r="G14" s="32"/>
      <c r="H14" s="19"/>
      <c r="I14" s="21"/>
      <c r="J14" s="37"/>
      <c r="K14" s="37"/>
      <c r="L14" s="37"/>
      <c r="M14" s="39"/>
    </row>
    <row r="15" spans="1:13" s="2" customFormat="1" ht="14.1" customHeight="1" x14ac:dyDescent="0.3">
      <c r="A15" s="14">
        <v>7</v>
      </c>
      <c r="B15" s="33" t="s">
        <v>3</v>
      </c>
      <c r="C15" s="33"/>
      <c r="D15" s="34" t="s">
        <v>4</v>
      </c>
      <c r="E15" s="34"/>
      <c r="F15" s="34"/>
      <c r="G15" s="34"/>
      <c r="H15" s="35">
        <f>SUM(I15)-0.3</f>
        <v>5.8</v>
      </c>
      <c r="I15" s="36">
        <v>6.1</v>
      </c>
      <c r="J15" s="37">
        <f>SUM(I15)+0.3</f>
        <v>6.3999999999999995</v>
      </c>
      <c r="K15" s="37">
        <f>SUM(J15)+0.3</f>
        <v>6.6999999999999993</v>
      </c>
      <c r="L15" s="37"/>
      <c r="M15" s="39"/>
    </row>
    <row r="16" spans="1:13" s="2" customFormat="1" ht="14.1" customHeight="1" x14ac:dyDescent="0.3">
      <c r="A16" s="14"/>
      <c r="B16" s="26" t="s">
        <v>15</v>
      </c>
      <c r="C16" s="26"/>
      <c r="D16" s="27" t="s">
        <v>59</v>
      </c>
      <c r="E16" s="28"/>
      <c r="F16" s="28"/>
      <c r="G16" s="32"/>
      <c r="H16" s="19"/>
      <c r="I16" s="21"/>
      <c r="J16" s="37"/>
      <c r="K16" s="37"/>
      <c r="L16" s="37"/>
      <c r="M16" s="39"/>
    </row>
    <row r="17" spans="1:13" s="2" customFormat="1" ht="14.1" customHeight="1" x14ac:dyDescent="0.3">
      <c r="A17" s="14">
        <v>8</v>
      </c>
      <c r="B17" s="40" t="s">
        <v>44</v>
      </c>
      <c r="C17" s="41"/>
      <c r="D17" s="42" t="s">
        <v>46</v>
      </c>
      <c r="E17" s="43"/>
      <c r="F17" s="43"/>
      <c r="G17" s="44"/>
      <c r="H17" s="35">
        <f>SUM(I17)-1.4</f>
        <v>34.6</v>
      </c>
      <c r="I17" s="36">
        <v>36</v>
      </c>
      <c r="J17" s="37">
        <f>SUM(I17)+1.4</f>
        <v>37.4</v>
      </c>
      <c r="K17" s="37">
        <f>SUM(J17)+1.4</f>
        <v>38.799999999999997</v>
      </c>
      <c r="L17" s="37"/>
      <c r="M17" s="39"/>
    </row>
    <row r="18" spans="1:13" s="2" customFormat="1" ht="14.1" customHeight="1" x14ac:dyDescent="0.3">
      <c r="A18" s="14"/>
      <c r="B18" s="26" t="s">
        <v>45</v>
      </c>
      <c r="C18" s="26"/>
      <c r="D18" s="27" t="s">
        <v>58</v>
      </c>
      <c r="E18" s="28"/>
      <c r="F18" s="28"/>
      <c r="G18" s="32"/>
      <c r="H18" s="19"/>
      <c r="I18" s="21"/>
      <c r="J18" s="37"/>
      <c r="K18" s="37"/>
      <c r="L18" s="37"/>
      <c r="M18" s="39"/>
    </row>
    <row r="19" spans="1:13" s="2" customFormat="1" ht="14.1" customHeight="1" x14ac:dyDescent="0.3">
      <c r="A19" s="14">
        <v>9</v>
      </c>
      <c r="B19" s="33" t="s">
        <v>5</v>
      </c>
      <c r="C19" s="33"/>
      <c r="D19" s="34" t="s">
        <v>6</v>
      </c>
      <c r="E19" s="34"/>
      <c r="F19" s="34"/>
      <c r="G19" s="34"/>
      <c r="H19" s="35">
        <f>SUM(I19)-2.9</f>
        <v>24.1</v>
      </c>
      <c r="I19" s="36">
        <v>27</v>
      </c>
      <c r="J19" s="37">
        <f>SUM(I19)+2.9</f>
        <v>29.9</v>
      </c>
      <c r="K19" s="37">
        <f>SUM(J19)+2.9</f>
        <v>32.799999999999997</v>
      </c>
      <c r="L19" s="37"/>
      <c r="M19" s="38"/>
    </row>
    <row r="20" spans="1:13" s="2" customFormat="1" ht="14.1" customHeight="1" x14ac:dyDescent="0.3">
      <c r="A20" s="14"/>
      <c r="B20" s="26" t="s">
        <v>16</v>
      </c>
      <c r="C20" s="26"/>
      <c r="D20" s="27" t="s">
        <v>32</v>
      </c>
      <c r="E20" s="28"/>
      <c r="F20" s="28"/>
      <c r="G20" s="32"/>
      <c r="H20" s="19"/>
      <c r="I20" s="21"/>
      <c r="J20" s="37"/>
      <c r="K20" s="37"/>
      <c r="L20" s="37"/>
      <c r="M20" s="38"/>
    </row>
    <row r="21" spans="1:13" s="2" customFormat="1" ht="14.1" customHeight="1" x14ac:dyDescent="0.3">
      <c r="A21" s="14">
        <v>10</v>
      </c>
      <c r="B21" s="33" t="s">
        <v>7</v>
      </c>
      <c r="C21" s="33"/>
      <c r="D21" s="42" t="s">
        <v>8</v>
      </c>
      <c r="E21" s="43"/>
      <c r="F21" s="43"/>
      <c r="G21" s="44"/>
      <c r="H21" s="35">
        <f>SUM(I21)-1.7</f>
        <v>23.8</v>
      </c>
      <c r="I21" s="36">
        <v>25.5</v>
      </c>
      <c r="J21" s="37">
        <f>SUM(I21)+1.7</f>
        <v>27.2</v>
      </c>
      <c r="K21" s="37">
        <f>SUM(J21)+1.7</f>
        <v>28.9</v>
      </c>
      <c r="L21" s="37"/>
      <c r="M21" s="38"/>
    </row>
    <row r="22" spans="1:13" s="2" customFormat="1" ht="14.1" customHeight="1" x14ac:dyDescent="0.3">
      <c r="A22" s="14"/>
      <c r="B22" s="26" t="s">
        <v>17</v>
      </c>
      <c r="C22" s="26"/>
      <c r="D22" s="27" t="s">
        <v>36</v>
      </c>
      <c r="E22" s="28"/>
      <c r="F22" s="28"/>
      <c r="G22" s="32"/>
      <c r="H22" s="19"/>
      <c r="I22" s="21"/>
      <c r="J22" s="37"/>
      <c r="K22" s="37"/>
      <c r="L22" s="37"/>
      <c r="M22" s="38"/>
    </row>
    <row r="23" spans="1:13" s="2" customFormat="1" ht="14.1" customHeight="1" x14ac:dyDescent="0.3">
      <c r="A23" s="14">
        <v>11</v>
      </c>
      <c r="B23" s="40" t="s">
        <v>54</v>
      </c>
      <c r="C23" s="41"/>
      <c r="D23" s="34" t="s">
        <v>37</v>
      </c>
      <c r="E23" s="34"/>
      <c r="F23" s="34"/>
      <c r="G23" s="34"/>
      <c r="H23" s="35">
        <f>SUM(I23)-0.5</f>
        <v>12.5</v>
      </c>
      <c r="I23" s="36">
        <v>13</v>
      </c>
      <c r="J23" s="37">
        <f>SUM(I23)+0.5</f>
        <v>13.5</v>
      </c>
      <c r="K23" s="37">
        <f>SUM(J23)+0.5</f>
        <v>14</v>
      </c>
      <c r="L23" s="37"/>
      <c r="M23" s="39"/>
    </row>
    <row r="24" spans="1:13" s="2" customFormat="1" ht="14.1" customHeight="1" x14ac:dyDescent="0.3">
      <c r="A24" s="14"/>
      <c r="B24" s="26" t="s">
        <v>18</v>
      </c>
      <c r="C24" s="26"/>
      <c r="D24" s="27" t="s">
        <v>38</v>
      </c>
      <c r="E24" s="28"/>
      <c r="F24" s="28"/>
      <c r="G24" s="32"/>
      <c r="H24" s="19"/>
      <c r="I24" s="21"/>
      <c r="J24" s="37"/>
      <c r="K24" s="37"/>
      <c r="L24" s="37"/>
      <c r="M24" s="39"/>
    </row>
    <row r="25" spans="1:13" s="2" customFormat="1" ht="14.1" customHeight="1" x14ac:dyDescent="0.3">
      <c r="A25" s="14">
        <v>12</v>
      </c>
      <c r="B25" s="40" t="s">
        <v>183</v>
      </c>
      <c r="C25" s="41"/>
      <c r="D25" s="46"/>
      <c r="E25" s="47"/>
      <c r="F25" s="47"/>
      <c r="G25" s="48"/>
      <c r="H25" s="35">
        <f>SUM(I25)</f>
        <v>9</v>
      </c>
      <c r="I25" s="36">
        <v>9</v>
      </c>
      <c r="J25" s="23">
        <f>SUM(I25)+0.2</f>
        <v>9.1999999999999993</v>
      </c>
      <c r="K25" s="23">
        <f>SUM(J25)+0.2</f>
        <v>9.3999999999999986</v>
      </c>
      <c r="L25" s="33"/>
      <c r="M25" s="30"/>
    </row>
    <row r="26" spans="1:13" s="2" customFormat="1" ht="14.1" customHeight="1" x14ac:dyDescent="0.3">
      <c r="A26" s="14"/>
      <c r="B26" s="56" t="s">
        <v>184</v>
      </c>
      <c r="C26" s="57"/>
      <c r="D26" s="27"/>
      <c r="E26" s="28"/>
      <c r="F26" s="28"/>
      <c r="G26" s="32"/>
      <c r="H26" s="19"/>
      <c r="I26" s="21"/>
      <c r="J26" s="29"/>
      <c r="K26" s="29"/>
      <c r="L26" s="26"/>
      <c r="M26" s="31"/>
    </row>
    <row r="27" spans="1:13" s="2" customFormat="1" ht="14.1" customHeight="1" x14ac:dyDescent="0.3">
      <c r="A27" s="14">
        <v>13</v>
      </c>
      <c r="B27" s="40" t="s">
        <v>61</v>
      </c>
      <c r="C27" s="41"/>
      <c r="D27" s="46"/>
      <c r="E27" s="47"/>
      <c r="F27" s="47"/>
      <c r="G27" s="48"/>
      <c r="H27" s="35">
        <f>SUM(I27)-0.3</f>
        <v>3.2</v>
      </c>
      <c r="I27" s="36">
        <v>3.5</v>
      </c>
      <c r="J27" s="37">
        <f>SUM(I27)+0.3</f>
        <v>3.8</v>
      </c>
      <c r="K27" s="37">
        <f>SUM(J27)+0.3</f>
        <v>4.0999999999999996</v>
      </c>
      <c r="L27" s="37"/>
      <c r="M27" s="38"/>
    </row>
    <row r="28" spans="1:13" s="2" customFormat="1" ht="14.1" customHeight="1" thickBot="1" x14ac:dyDescent="0.35">
      <c r="A28" s="45"/>
      <c r="B28" s="51" t="s">
        <v>62</v>
      </c>
      <c r="C28" s="52"/>
      <c r="D28" s="53"/>
      <c r="E28" s="54"/>
      <c r="F28" s="54"/>
      <c r="G28" s="55"/>
      <c r="H28" s="49"/>
      <c r="I28" s="50"/>
      <c r="J28" s="23"/>
      <c r="K28" s="23"/>
      <c r="L28" s="23"/>
      <c r="M28" s="30"/>
    </row>
    <row r="29" spans="1:13" s="2" customFormat="1" ht="14.1" customHeight="1" thickTop="1" x14ac:dyDescent="0.3">
      <c r="A29" s="58">
        <v>14</v>
      </c>
      <c r="B29" s="59" t="s">
        <v>66</v>
      </c>
      <c r="C29" s="60"/>
      <c r="D29" s="61" t="s">
        <v>67</v>
      </c>
      <c r="E29" s="62"/>
      <c r="F29" s="62"/>
      <c r="G29" s="63"/>
      <c r="H29" s="64">
        <f>SUM(I29)-2</f>
        <v>40</v>
      </c>
      <c r="I29" s="65">
        <v>42</v>
      </c>
      <c r="J29" s="73">
        <f>SUM(I29)+2</f>
        <v>44</v>
      </c>
      <c r="K29" s="73">
        <f>SUM(J29)+2</f>
        <v>46</v>
      </c>
      <c r="L29" s="73"/>
      <c r="M29" s="74"/>
    </row>
    <row r="30" spans="1:13" s="2" customFormat="1" ht="14.1" customHeight="1" x14ac:dyDescent="0.3">
      <c r="A30" s="14"/>
      <c r="B30" s="68" t="s">
        <v>68</v>
      </c>
      <c r="C30" s="69"/>
      <c r="D30" s="70" t="s">
        <v>69</v>
      </c>
      <c r="E30" s="71"/>
      <c r="F30" s="71"/>
      <c r="G30" s="72"/>
      <c r="H30" s="19"/>
      <c r="I30" s="21"/>
      <c r="J30" s="29"/>
      <c r="K30" s="29"/>
      <c r="L30" s="29"/>
      <c r="M30" s="31"/>
    </row>
    <row r="31" spans="1:13" s="2" customFormat="1" ht="14.1" customHeight="1" x14ac:dyDescent="0.3">
      <c r="A31" s="14">
        <v>15</v>
      </c>
      <c r="B31" s="40" t="s">
        <v>76</v>
      </c>
      <c r="C31" s="41"/>
      <c r="D31" s="53"/>
      <c r="E31" s="54"/>
      <c r="F31" s="54"/>
      <c r="G31" s="55"/>
      <c r="H31" s="35">
        <f>SUM(I31)-2.8</f>
        <v>59.1</v>
      </c>
      <c r="I31" s="36">
        <v>61.9</v>
      </c>
      <c r="J31" s="66">
        <f>SUM(I31)+2.8</f>
        <v>64.7</v>
      </c>
      <c r="K31" s="66">
        <f>SUM(J31)+2.8</f>
        <v>67.5</v>
      </c>
      <c r="L31" s="66"/>
      <c r="M31" s="67"/>
    </row>
    <row r="32" spans="1:13" s="2" customFormat="1" ht="14.1" customHeight="1" x14ac:dyDescent="0.3">
      <c r="A32" s="14"/>
      <c r="B32" s="68" t="s">
        <v>77</v>
      </c>
      <c r="C32" s="69"/>
      <c r="D32" s="70"/>
      <c r="E32" s="71"/>
      <c r="F32" s="71"/>
      <c r="G32" s="72"/>
      <c r="H32" s="19"/>
      <c r="I32" s="21"/>
      <c r="J32" s="29"/>
      <c r="K32" s="29"/>
      <c r="L32" s="29"/>
      <c r="M32" s="31"/>
    </row>
    <row r="33" spans="1:13" s="2" customFormat="1" ht="14.1" customHeight="1" x14ac:dyDescent="0.3">
      <c r="A33" s="14">
        <v>16</v>
      </c>
      <c r="B33" s="40" t="s">
        <v>78</v>
      </c>
      <c r="C33" s="41"/>
      <c r="D33" s="42" t="s">
        <v>79</v>
      </c>
      <c r="E33" s="43"/>
      <c r="F33" s="43"/>
      <c r="G33" s="44"/>
      <c r="H33" s="35">
        <f>SUM(I33)-3</f>
        <v>60.9</v>
      </c>
      <c r="I33" s="36">
        <v>63.9</v>
      </c>
      <c r="J33" s="23">
        <f>SUM(I33)+3</f>
        <v>66.900000000000006</v>
      </c>
      <c r="K33" s="23">
        <f>SUM(J33)+3</f>
        <v>69.900000000000006</v>
      </c>
      <c r="L33" s="23"/>
      <c r="M33" s="30"/>
    </row>
    <row r="34" spans="1:13" s="2" customFormat="1" ht="14.1" customHeight="1" x14ac:dyDescent="0.3">
      <c r="A34" s="14"/>
      <c r="B34" s="68" t="s">
        <v>80</v>
      </c>
      <c r="C34" s="69"/>
      <c r="D34" s="70" t="s">
        <v>81</v>
      </c>
      <c r="E34" s="71"/>
      <c r="F34" s="71"/>
      <c r="G34" s="72"/>
      <c r="H34" s="19"/>
      <c r="I34" s="21"/>
      <c r="J34" s="29"/>
      <c r="K34" s="29"/>
      <c r="L34" s="29"/>
      <c r="M34" s="31"/>
    </row>
    <row r="35" spans="1:13" s="2" customFormat="1" ht="14.1" customHeight="1" x14ac:dyDescent="0.3">
      <c r="A35" s="14">
        <v>17</v>
      </c>
      <c r="B35" s="40" t="s">
        <v>82</v>
      </c>
      <c r="C35" s="41"/>
      <c r="D35" s="42"/>
      <c r="E35" s="43"/>
      <c r="F35" s="43"/>
      <c r="G35" s="44"/>
      <c r="H35" s="35">
        <f>SUM(I35)-0.5</f>
        <v>12</v>
      </c>
      <c r="I35" s="36">
        <v>12.5</v>
      </c>
      <c r="J35" s="23">
        <f>SUM(I35)+0.5</f>
        <v>13</v>
      </c>
      <c r="K35" s="23">
        <f>SUM(J35)+0.5</f>
        <v>13.5</v>
      </c>
      <c r="L35" s="23"/>
      <c r="M35" s="25"/>
    </row>
    <row r="36" spans="1:13" s="2" customFormat="1" ht="14.1" customHeight="1" x14ac:dyDescent="0.3">
      <c r="A36" s="14"/>
      <c r="B36" s="68" t="s">
        <v>83</v>
      </c>
      <c r="C36" s="69"/>
      <c r="D36" s="76" t="s">
        <v>84</v>
      </c>
      <c r="E36" s="77"/>
      <c r="F36" s="77"/>
      <c r="G36" s="78"/>
      <c r="H36" s="19"/>
      <c r="I36" s="21"/>
      <c r="J36" s="29"/>
      <c r="K36" s="29"/>
      <c r="L36" s="29"/>
      <c r="M36" s="75"/>
    </row>
    <row r="37" spans="1:13" s="2" customFormat="1" ht="14.1" customHeight="1" x14ac:dyDescent="0.3">
      <c r="A37" s="14">
        <v>18</v>
      </c>
      <c r="B37" s="40" t="s">
        <v>85</v>
      </c>
      <c r="C37" s="41"/>
      <c r="D37" s="42"/>
      <c r="E37" s="43"/>
      <c r="F37" s="43"/>
      <c r="G37" s="44"/>
      <c r="H37" s="35"/>
      <c r="I37" s="36"/>
      <c r="J37" s="23"/>
      <c r="K37" s="23"/>
      <c r="L37" s="33"/>
      <c r="M37" s="25"/>
    </row>
    <row r="38" spans="1:13" s="2" customFormat="1" ht="14.1" customHeight="1" x14ac:dyDescent="0.3">
      <c r="A38" s="14"/>
      <c r="B38" s="68" t="s">
        <v>86</v>
      </c>
      <c r="C38" s="69"/>
      <c r="D38" s="76" t="s">
        <v>87</v>
      </c>
      <c r="E38" s="77"/>
      <c r="F38" s="77"/>
      <c r="G38" s="78"/>
      <c r="H38" s="19"/>
      <c r="I38" s="21"/>
      <c r="J38" s="29"/>
      <c r="K38" s="29"/>
      <c r="L38" s="26"/>
      <c r="M38" s="75"/>
    </row>
    <row r="39" spans="1:13" ht="14.1" customHeight="1" x14ac:dyDescent="0.3">
      <c r="A39" s="14">
        <v>19</v>
      </c>
      <c r="B39" s="40" t="s">
        <v>88</v>
      </c>
      <c r="C39" s="41"/>
      <c r="D39" s="42" t="s">
        <v>53</v>
      </c>
      <c r="E39" s="43"/>
      <c r="F39" s="43"/>
      <c r="G39" s="44"/>
      <c r="H39" s="35">
        <f>SUM(I39)-3.5</f>
        <v>42.5</v>
      </c>
      <c r="I39" s="36">
        <v>46</v>
      </c>
      <c r="J39" s="23">
        <f>SUM(I39)+5</f>
        <v>51</v>
      </c>
      <c r="K39" s="23">
        <f>SUM(J39)+5</f>
        <v>56</v>
      </c>
      <c r="L39" s="23"/>
      <c r="M39" s="30"/>
    </row>
    <row r="40" spans="1:13" ht="14.1" customHeight="1" x14ac:dyDescent="0.3">
      <c r="A40" s="14"/>
      <c r="B40" s="68" t="s">
        <v>89</v>
      </c>
      <c r="C40" s="69"/>
      <c r="D40" s="70" t="s">
        <v>90</v>
      </c>
      <c r="E40" s="71"/>
      <c r="F40" s="71"/>
      <c r="G40" s="72"/>
      <c r="H40" s="19"/>
      <c r="I40" s="21"/>
      <c r="J40" s="29"/>
      <c r="K40" s="29"/>
      <c r="L40" s="29"/>
      <c r="M40" s="31"/>
    </row>
    <row r="41" spans="1:13" ht="14.1" customHeight="1" x14ac:dyDescent="0.3">
      <c r="A41" s="14">
        <v>20</v>
      </c>
      <c r="B41" s="40" t="s">
        <v>91</v>
      </c>
      <c r="C41" s="41"/>
      <c r="D41" s="42" t="s">
        <v>92</v>
      </c>
      <c r="E41" s="43"/>
      <c r="F41" s="43"/>
      <c r="G41" s="44"/>
      <c r="H41" s="35">
        <f>SUM(I41)-0.8</f>
        <v>19.2</v>
      </c>
      <c r="I41" s="36">
        <v>20</v>
      </c>
      <c r="J41" s="23">
        <f>SUM(I41)+0.8</f>
        <v>20.8</v>
      </c>
      <c r="K41" s="23">
        <f>SUM(J41)+0.8</f>
        <v>21.6</v>
      </c>
      <c r="L41" s="23"/>
      <c r="M41" s="30"/>
    </row>
    <row r="42" spans="1:13" ht="14.1" customHeight="1" x14ac:dyDescent="0.3">
      <c r="A42" s="14"/>
      <c r="B42" s="68" t="s">
        <v>93</v>
      </c>
      <c r="C42" s="69"/>
      <c r="D42" s="27" t="s">
        <v>94</v>
      </c>
      <c r="E42" s="28"/>
      <c r="F42" s="28"/>
      <c r="G42" s="32"/>
      <c r="H42" s="19"/>
      <c r="I42" s="21"/>
      <c r="J42" s="29"/>
      <c r="K42" s="29"/>
      <c r="L42" s="29"/>
      <c r="M42" s="31"/>
    </row>
    <row r="43" spans="1:13" s="2" customFormat="1" ht="14.1" customHeight="1" x14ac:dyDescent="0.3">
      <c r="A43" s="14">
        <v>21</v>
      </c>
      <c r="B43" s="40" t="s">
        <v>95</v>
      </c>
      <c r="C43" s="41"/>
      <c r="D43" s="42" t="s">
        <v>96</v>
      </c>
      <c r="E43" s="43"/>
      <c r="F43" s="43"/>
      <c r="G43" s="44"/>
      <c r="H43" s="35">
        <f>SUM(I43)-0.8</f>
        <v>19</v>
      </c>
      <c r="I43" s="36">
        <v>19.8</v>
      </c>
      <c r="J43" s="23">
        <f>SUM(I43)+0.8</f>
        <v>20.6</v>
      </c>
      <c r="K43" s="23">
        <f>SUM(J43)+0.8</f>
        <v>21.400000000000002</v>
      </c>
      <c r="L43" s="33"/>
      <c r="M43" s="30"/>
    </row>
    <row r="44" spans="1:13" s="2" customFormat="1" ht="14.1" customHeight="1" x14ac:dyDescent="0.3">
      <c r="A44" s="14"/>
      <c r="B44" s="68" t="s">
        <v>97</v>
      </c>
      <c r="C44" s="69"/>
      <c r="D44" s="70" t="s">
        <v>98</v>
      </c>
      <c r="E44" s="71"/>
      <c r="F44" s="71"/>
      <c r="G44" s="72"/>
      <c r="H44" s="19"/>
      <c r="I44" s="21"/>
      <c r="J44" s="29"/>
      <c r="K44" s="29"/>
      <c r="L44" s="26"/>
      <c r="M44" s="31"/>
    </row>
    <row r="45" spans="1:13" ht="14.1" customHeight="1" x14ac:dyDescent="0.3">
      <c r="A45" s="14">
        <v>22</v>
      </c>
      <c r="B45" s="40" t="s">
        <v>99</v>
      </c>
      <c r="C45" s="41"/>
      <c r="D45" s="42" t="s">
        <v>96</v>
      </c>
      <c r="E45" s="43"/>
      <c r="F45" s="43"/>
      <c r="G45" s="44"/>
      <c r="H45" s="35">
        <f>SUM(I45)-1</f>
        <v>25.2</v>
      </c>
      <c r="I45" s="36">
        <v>26.2</v>
      </c>
      <c r="J45" s="23">
        <f>SUM(I45)+1</f>
        <v>27.2</v>
      </c>
      <c r="K45" s="23">
        <f>SUM(J45)+1</f>
        <v>28.2</v>
      </c>
      <c r="L45" s="33"/>
      <c r="M45" s="30"/>
    </row>
    <row r="46" spans="1:13" ht="14.1" customHeight="1" x14ac:dyDescent="0.3">
      <c r="A46" s="14"/>
      <c r="B46" s="68" t="s">
        <v>100</v>
      </c>
      <c r="C46" s="69"/>
      <c r="D46" s="70" t="s">
        <v>98</v>
      </c>
      <c r="E46" s="71"/>
      <c r="F46" s="71"/>
      <c r="G46" s="72"/>
      <c r="H46" s="19"/>
      <c r="I46" s="21"/>
      <c r="J46" s="29"/>
      <c r="K46" s="29"/>
      <c r="L46" s="26"/>
      <c r="M46" s="31"/>
    </row>
    <row r="47" spans="1:13" ht="14.1" customHeight="1" x14ac:dyDescent="0.3">
      <c r="A47" s="14">
        <v>23</v>
      </c>
      <c r="B47" s="40" t="s">
        <v>101</v>
      </c>
      <c r="C47" s="41"/>
      <c r="D47" s="42" t="s">
        <v>102</v>
      </c>
      <c r="E47" s="43"/>
      <c r="F47" s="43"/>
      <c r="G47" s="44"/>
      <c r="H47" s="35">
        <f>SUM(I47)-2</f>
        <v>37</v>
      </c>
      <c r="I47" s="36">
        <v>39</v>
      </c>
      <c r="J47" s="23">
        <f>SUM(I47)+2.1</f>
        <v>41.1</v>
      </c>
      <c r="K47" s="23">
        <f>SUM(J47)+2.1</f>
        <v>43.2</v>
      </c>
      <c r="L47" s="23"/>
      <c r="M47" s="30"/>
    </row>
    <row r="48" spans="1:13" ht="14.1" customHeight="1" x14ac:dyDescent="0.3">
      <c r="A48" s="14"/>
      <c r="B48" s="68" t="s">
        <v>103</v>
      </c>
      <c r="C48" s="69"/>
      <c r="D48" s="70" t="s">
        <v>104</v>
      </c>
      <c r="E48" s="71"/>
      <c r="F48" s="71"/>
      <c r="G48" s="72"/>
      <c r="H48" s="19"/>
      <c r="I48" s="21"/>
      <c r="J48" s="29"/>
      <c r="K48" s="29"/>
      <c r="L48" s="29"/>
      <c r="M48" s="31"/>
    </row>
    <row r="49" spans="1:13" ht="14.1" customHeight="1" x14ac:dyDescent="0.3">
      <c r="A49" s="14">
        <v>24</v>
      </c>
      <c r="B49" s="40" t="s">
        <v>105</v>
      </c>
      <c r="C49" s="41"/>
      <c r="D49" s="42" t="s">
        <v>106</v>
      </c>
      <c r="E49" s="43"/>
      <c r="F49" s="43"/>
      <c r="G49" s="44"/>
      <c r="H49" s="35">
        <f>SUM(I49)-2.7</f>
        <v>24.1</v>
      </c>
      <c r="I49" s="36">
        <v>26.8</v>
      </c>
      <c r="J49" s="23">
        <f>SUM(I49)+4.2</f>
        <v>31</v>
      </c>
      <c r="K49" s="23">
        <f>SUM(J49)+4.2</f>
        <v>35.200000000000003</v>
      </c>
      <c r="L49" s="23"/>
      <c r="M49" s="30"/>
    </row>
    <row r="50" spans="1:13" ht="14.1" customHeight="1" x14ac:dyDescent="0.3">
      <c r="A50" s="14"/>
      <c r="B50" s="68" t="s">
        <v>107</v>
      </c>
      <c r="C50" s="69"/>
      <c r="D50" s="70" t="s">
        <v>108</v>
      </c>
      <c r="E50" s="71"/>
      <c r="F50" s="71"/>
      <c r="G50" s="72"/>
      <c r="H50" s="19"/>
      <c r="I50" s="21"/>
      <c r="J50" s="29"/>
      <c r="K50" s="29"/>
      <c r="L50" s="29"/>
      <c r="M50" s="31"/>
    </row>
    <row r="51" spans="1:13" ht="14.1" customHeight="1" x14ac:dyDescent="0.3">
      <c r="A51" s="14">
        <v>25</v>
      </c>
      <c r="B51" s="40" t="s">
        <v>109</v>
      </c>
      <c r="C51" s="41"/>
      <c r="D51" s="42" t="s">
        <v>52</v>
      </c>
      <c r="E51" s="43"/>
      <c r="F51" s="43"/>
      <c r="G51" s="44"/>
      <c r="H51" s="35">
        <f>SUM(I51)-1.4</f>
        <v>33.200000000000003</v>
      </c>
      <c r="I51" s="36">
        <v>34.6</v>
      </c>
      <c r="J51" s="23">
        <f>SUM(I51)+1.4</f>
        <v>36</v>
      </c>
      <c r="K51" s="23">
        <f>SUM(J51)+1.4</f>
        <v>37.4</v>
      </c>
      <c r="L51" s="23"/>
      <c r="M51" s="30"/>
    </row>
    <row r="52" spans="1:13" ht="14.1" customHeight="1" x14ac:dyDescent="0.3">
      <c r="A52" s="14"/>
      <c r="B52" s="68" t="s">
        <v>110</v>
      </c>
      <c r="C52" s="69"/>
      <c r="D52" s="70" t="s">
        <v>52</v>
      </c>
      <c r="E52" s="71"/>
      <c r="F52" s="71"/>
      <c r="G52" s="72"/>
      <c r="H52" s="19"/>
      <c r="I52" s="21"/>
      <c r="J52" s="29"/>
      <c r="K52" s="29"/>
      <c r="L52" s="29"/>
      <c r="M52" s="31"/>
    </row>
    <row r="53" spans="1:13" ht="14.1" customHeight="1" x14ac:dyDescent="0.3">
      <c r="A53" s="14">
        <v>26</v>
      </c>
      <c r="B53" s="40" t="s">
        <v>111</v>
      </c>
      <c r="C53" s="41"/>
      <c r="D53" s="42" t="s">
        <v>112</v>
      </c>
      <c r="E53" s="43"/>
      <c r="F53" s="43"/>
      <c r="G53" s="44"/>
      <c r="H53" s="35">
        <f>SUM(I53)-1.8</f>
        <v>27.7</v>
      </c>
      <c r="I53" s="36">
        <v>29.5</v>
      </c>
      <c r="J53" s="23">
        <f>SUM(I53)+2.4</f>
        <v>31.9</v>
      </c>
      <c r="K53" s="23">
        <f>SUM(J53)+2.4</f>
        <v>34.299999999999997</v>
      </c>
      <c r="L53" s="23"/>
      <c r="M53" s="30"/>
    </row>
    <row r="54" spans="1:13" ht="14.1" customHeight="1" x14ac:dyDescent="0.3">
      <c r="A54" s="14"/>
      <c r="B54" s="68" t="s">
        <v>113</v>
      </c>
      <c r="C54" s="69"/>
      <c r="D54" s="70" t="s">
        <v>114</v>
      </c>
      <c r="E54" s="71"/>
      <c r="F54" s="71"/>
      <c r="G54" s="72"/>
      <c r="H54" s="19"/>
      <c r="I54" s="21"/>
      <c r="J54" s="29"/>
      <c r="K54" s="29"/>
      <c r="L54" s="29"/>
      <c r="M54" s="31"/>
    </row>
    <row r="55" spans="1:13" ht="14.1" customHeight="1" x14ac:dyDescent="0.3">
      <c r="A55" s="14">
        <v>27</v>
      </c>
      <c r="B55" s="40" t="s">
        <v>218</v>
      </c>
      <c r="C55" s="41"/>
      <c r="D55" s="42"/>
      <c r="E55" s="43"/>
      <c r="F55" s="43"/>
      <c r="G55" s="44"/>
      <c r="H55" s="35">
        <f>SUM(I55)-0.5</f>
        <v>9.5</v>
      </c>
      <c r="I55" s="36">
        <v>10</v>
      </c>
      <c r="J55" s="23">
        <f>SUM(I55)+0.5</f>
        <v>10.5</v>
      </c>
      <c r="K55" s="23">
        <f>SUM(J55)+0.5</f>
        <v>11</v>
      </c>
      <c r="L55" s="23"/>
      <c r="M55" s="30"/>
    </row>
    <row r="56" spans="1:13" ht="14.1" customHeight="1" x14ac:dyDescent="0.3">
      <c r="A56" s="14"/>
      <c r="B56" s="56" t="s">
        <v>219</v>
      </c>
      <c r="C56" s="57"/>
      <c r="D56" s="27" t="s">
        <v>199</v>
      </c>
      <c r="E56" s="28"/>
      <c r="F56" s="28"/>
      <c r="G56" s="32"/>
      <c r="H56" s="19"/>
      <c r="I56" s="21"/>
      <c r="J56" s="29"/>
      <c r="K56" s="29"/>
      <c r="L56" s="29"/>
      <c r="M56" s="31"/>
    </row>
    <row r="57" spans="1:13" ht="14.1" customHeight="1" x14ac:dyDescent="0.3">
      <c r="A57" s="14">
        <v>28</v>
      </c>
      <c r="B57" s="40"/>
      <c r="C57" s="41"/>
      <c r="D57" s="42"/>
      <c r="E57" s="43"/>
      <c r="F57" s="43"/>
      <c r="G57" s="44"/>
      <c r="H57" s="35"/>
      <c r="I57" s="36"/>
      <c r="J57" s="23"/>
      <c r="K57" s="23"/>
      <c r="L57" s="23"/>
      <c r="M57" s="30"/>
    </row>
    <row r="58" spans="1:13" ht="14.1" customHeight="1" x14ac:dyDescent="0.3">
      <c r="A58" s="14"/>
      <c r="B58" s="68"/>
      <c r="C58" s="69"/>
      <c r="D58" s="70"/>
      <c r="E58" s="71"/>
      <c r="F58" s="71"/>
      <c r="G58" s="72"/>
      <c r="H58" s="19"/>
      <c r="I58" s="21"/>
      <c r="J58" s="29"/>
      <c r="K58" s="29"/>
      <c r="L58" s="29"/>
      <c r="M58" s="31"/>
    </row>
    <row r="59" spans="1:13" ht="14.1" customHeight="1" x14ac:dyDescent="0.3">
      <c r="A59" s="14">
        <v>29</v>
      </c>
      <c r="B59" s="40"/>
      <c r="C59" s="41"/>
      <c r="D59" s="42"/>
      <c r="E59" s="43"/>
      <c r="F59" s="43"/>
      <c r="G59" s="44"/>
      <c r="H59" s="35"/>
      <c r="I59" s="36"/>
      <c r="J59" s="23"/>
      <c r="K59" s="23"/>
      <c r="L59" s="23"/>
      <c r="M59" s="30"/>
    </row>
    <row r="60" spans="1:13" ht="14.1" customHeight="1" x14ac:dyDescent="0.3">
      <c r="A60" s="14"/>
      <c r="B60" s="68"/>
      <c r="C60" s="69"/>
      <c r="D60" s="70"/>
      <c r="E60" s="71"/>
      <c r="F60" s="71"/>
      <c r="G60" s="72"/>
      <c r="H60" s="19"/>
      <c r="I60" s="21"/>
      <c r="J60" s="29"/>
      <c r="K60" s="29"/>
      <c r="L60" s="29"/>
      <c r="M60" s="31"/>
    </row>
    <row r="61" spans="1:13" ht="14.1" customHeight="1" x14ac:dyDescent="0.3">
      <c r="A61" s="14">
        <v>30</v>
      </c>
      <c r="B61" s="40"/>
      <c r="C61" s="41"/>
      <c r="D61" s="42"/>
      <c r="E61" s="43"/>
      <c r="F61" s="43"/>
      <c r="G61" s="44"/>
      <c r="H61" s="35"/>
      <c r="I61" s="36"/>
      <c r="J61" s="23"/>
      <c r="K61" s="23"/>
      <c r="L61" s="66"/>
      <c r="M61" s="67"/>
    </row>
    <row r="62" spans="1:13" ht="13.5" customHeight="1" thickBot="1" x14ac:dyDescent="0.35">
      <c r="A62" s="79"/>
      <c r="B62" s="84"/>
      <c r="C62" s="85"/>
      <c r="D62" s="86"/>
      <c r="E62" s="87"/>
      <c r="F62" s="87"/>
      <c r="G62" s="88"/>
      <c r="H62" s="80"/>
      <c r="I62" s="81"/>
      <c r="J62" s="82"/>
      <c r="K62" s="82"/>
      <c r="L62" s="82"/>
      <c r="M62" s="83"/>
    </row>
    <row r="63" spans="1:13" ht="13.5" customHeight="1" x14ac:dyDescent="0.3"/>
    <row r="64" spans="1:13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</sheetData>
  <mergeCells count="333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M31:M32"/>
    <mergeCell ref="B32:C32"/>
    <mergeCell ref="D32:G32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9:J30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B35:C35"/>
    <mergeCell ref="D35:G35"/>
    <mergeCell ref="H35:H36"/>
    <mergeCell ref="I35:I36"/>
    <mergeCell ref="A39:A40"/>
    <mergeCell ref="B39:C39"/>
    <mergeCell ref="D39:G39"/>
    <mergeCell ref="H39:H40"/>
    <mergeCell ref="I39:I40"/>
    <mergeCell ref="A37:A38"/>
    <mergeCell ref="B37:C37"/>
    <mergeCell ref="D37:G37"/>
    <mergeCell ref="J35:J36"/>
    <mergeCell ref="A35:A36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7:J58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D58:G58"/>
    <mergeCell ref="A59:A60"/>
    <mergeCell ref="B59:C59"/>
    <mergeCell ref="D59:G59"/>
    <mergeCell ref="H59:H60"/>
    <mergeCell ref="I59:I60"/>
    <mergeCell ref="A57:A58"/>
    <mergeCell ref="B57:C57"/>
    <mergeCell ref="D57:G57"/>
    <mergeCell ref="H57:H58"/>
    <mergeCell ref="I57:I58"/>
    <mergeCell ref="K61:K62"/>
    <mergeCell ref="L61:L62"/>
    <mergeCell ref="M61:M62"/>
    <mergeCell ref="B62:C62"/>
    <mergeCell ref="D62:G62"/>
    <mergeCell ref="J37:J38"/>
    <mergeCell ref="I37:I38"/>
    <mergeCell ref="H37:H38"/>
    <mergeCell ref="A61:A62"/>
    <mergeCell ref="B61:C61"/>
    <mergeCell ref="D61:G61"/>
    <mergeCell ref="H61:H62"/>
    <mergeCell ref="I61:I62"/>
    <mergeCell ref="J61:J62"/>
    <mergeCell ref="J59:J60"/>
    <mergeCell ref="K59:K60"/>
    <mergeCell ref="L59:L60"/>
    <mergeCell ref="M59:M60"/>
    <mergeCell ref="B60:C60"/>
    <mergeCell ref="D60:G60"/>
    <mergeCell ref="K57:K58"/>
    <mergeCell ref="L57:L58"/>
    <mergeCell ref="M57:M58"/>
    <mergeCell ref="B58:C58"/>
  </mergeCells>
  <phoneticPr fontId="10" type="noConversion"/>
  <printOptions horizontalCentered="1"/>
  <pageMargins left="0.7" right="0.7" top="0.75" bottom="0.75" header="0.3" footer="0.3"/>
  <pageSetup paperSize="9" scale="8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2666-3767-4345-A6CD-50CBA59B9649}">
  <sheetPr>
    <tabColor theme="9"/>
    <pageSetUpPr fitToPage="1"/>
  </sheetPr>
  <dimension ref="A1:M51"/>
  <sheetViews>
    <sheetView zoomScale="110" zoomScaleNormal="110" workbookViewId="0">
      <selection sqref="A1:M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9" t="s">
        <v>176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ht="16.5" customHeight="1" thickBot="1" x14ac:dyDescent="0.35">
      <c r="A2" s="6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153</v>
      </c>
      <c r="I2" s="3" t="s">
        <v>154</v>
      </c>
      <c r="J2" s="4" t="s">
        <v>155</v>
      </c>
      <c r="K2" s="7" t="s">
        <v>164</v>
      </c>
      <c r="L2" s="7"/>
      <c r="M2" s="4"/>
    </row>
    <row r="3" spans="1:13" s="2" customFormat="1" ht="14.1" customHeight="1" x14ac:dyDescent="0.3">
      <c r="A3" s="104">
        <v>1</v>
      </c>
      <c r="B3" s="105" t="s">
        <v>66</v>
      </c>
      <c r="C3" s="106"/>
      <c r="D3" s="17" t="s">
        <v>67</v>
      </c>
      <c r="E3" s="107"/>
      <c r="F3" s="107"/>
      <c r="G3" s="108"/>
      <c r="H3" s="18">
        <f>SUM(I3)-2</f>
        <v>40</v>
      </c>
      <c r="I3" s="20">
        <v>42</v>
      </c>
      <c r="J3" s="109">
        <f>SUM(I3)+2</f>
        <v>44</v>
      </c>
      <c r="K3" s="109">
        <f>SUM(J3)+2</f>
        <v>46</v>
      </c>
      <c r="L3" s="109"/>
      <c r="M3" s="110"/>
    </row>
    <row r="4" spans="1:13" s="2" customFormat="1" ht="14.1" customHeight="1" x14ac:dyDescent="0.3">
      <c r="A4" s="90"/>
      <c r="B4" s="68" t="s">
        <v>68</v>
      </c>
      <c r="C4" s="69"/>
      <c r="D4" s="70" t="s">
        <v>69</v>
      </c>
      <c r="E4" s="71"/>
      <c r="F4" s="71"/>
      <c r="G4" s="72"/>
      <c r="H4" s="19"/>
      <c r="I4" s="21"/>
      <c r="J4" s="29"/>
      <c r="K4" s="29"/>
      <c r="L4" s="29"/>
      <c r="M4" s="31"/>
    </row>
    <row r="5" spans="1:13" s="2" customFormat="1" ht="14.1" customHeight="1" x14ac:dyDescent="0.3">
      <c r="A5" s="89">
        <v>2</v>
      </c>
      <c r="B5" s="40" t="s">
        <v>78</v>
      </c>
      <c r="C5" s="41"/>
      <c r="D5" s="42" t="s">
        <v>79</v>
      </c>
      <c r="E5" s="43"/>
      <c r="F5" s="43"/>
      <c r="G5" s="44"/>
      <c r="H5" s="49">
        <f>SUM(I5)-3</f>
        <v>42</v>
      </c>
      <c r="I5" s="36">
        <v>45</v>
      </c>
      <c r="J5" s="23">
        <f>SUM(I5)+3</f>
        <v>48</v>
      </c>
      <c r="K5" s="23">
        <f>SUM(J5)+3</f>
        <v>51</v>
      </c>
      <c r="L5" s="23"/>
      <c r="M5" s="30"/>
    </row>
    <row r="6" spans="1:13" s="2" customFormat="1" ht="14.1" customHeight="1" x14ac:dyDescent="0.3">
      <c r="A6" s="90"/>
      <c r="B6" s="68" t="s">
        <v>80</v>
      </c>
      <c r="C6" s="69"/>
      <c r="D6" s="70" t="s">
        <v>81</v>
      </c>
      <c r="E6" s="71"/>
      <c r="F6" s="71"/>
      <c r="G6" s="72"/>
      <c r="H6" s="19"/>
      <c r="I6" s="21"/>
      <c r="J6" s="29"/>
      <c r="K6" s="29"/>
      <c r="L6" s="29"/>
      <c r="M6" s="31"/>
    </row>
    <row r="7" spans="1:13" s="2" customFormat="1" ht="14.1" customHeight="1" x14ac:dyDescent="0.3">
      <c r="A7" s="89">
        <v>3</v>
      </c>
      <c r="B7" s="40" t="s">
        <v>82</v>
      </c>
      <c r="C7" s="41"/>
      <c r="D7" s="42"/>
      <c r="E7" s="43"/>
      <c r="F7" s="43"/>
      <c r="G7" s="44"/>
      <c r="H7" s="49">
        <f>SUM(I7)-0.5</f>
        <v>8.9</v>
      </c>
      <c r="I7" s="36">
        <v>9.4</v>
      </c>
      <c r="J7" s="23">
        <f>SUM(I7)+0.5</f>
        <v>9.9</v>
      </c>
      <c r="K7" s="23">
        <f>SUM(J7)+0.5</f>
        <v>10.4</v>
      </c>
      <c r="L7" s="33"/>
      <c r="M7" s="25"/>
    </row>
    <row r="8" spans="1:13" s="2" customFormat="1" ht="14.1" customHeight="1" x14ac:dyDescent="0.3">
      <c r="A8" s="90"/>
      <c r="B8" s="68" t="s">
        <v>83</v>
      </c>
      <c r="C8" s="69"/>
      <c r="D8" s="76" t="s">
        <v>84</v>
      </c>
      <c r="E8" s="77"/>
      <c r="F8" s="77"/>
      <c r="G8" s="78"/>
      <c r="H8" s="19"/>
      <c r="I8" s="21"/>
      <c r="J8" s="29"/>
      <c r="K8" s="29"/>
      <c r="L8" s="26"/>
      <c r="M8" s="75"/>
    </row>
    <row r="9" spans="1:13" s="2" customFormat="1" ht="14.1" customHeight="1" x14ac:dyDescent="0.3">
      <c r="A9" s="89">
        <v>4</v>
      </c>
      <c r="B9" s="40" t="s">
        <v>88</v>
      </c>
      <c r="C9" s="41"/>
      <c r="D9" s="42" t="s">
        <v>53</v>
      </c>
      <c r="E9" s="43"/>
      <c r="F9" s="43"/>
      <c r="G9" s="44"/>
      <c r="H9" s="49">
        <f>SUM(I9)-3.5</f>
        <v>40.5</v>
      </c>
      <c r="I9" s="36">
        <v>44</v>
      </c>
      <c r="J9" s="23">
        <f>SUM(I9)+5</f>
        <v>49</v>
      </c>
      <c r="K9" s="23">
        <f>SUM(J9)+5</f>
        <v>54</v>
      </c>
      <c r="L9" s="23"/>
      <c r="M9" s="30"/>
    </row>
    <row r="10" spans="1:13" s="2" customFormat="1" ht="14.1" customHeight="1" x14ac:dyDescent="0.3">
      <c r="A10" s="90"/>
      <c r="B10" s="68" t="s">
        <v>177</v>
      </c>
      <c r="C10" s="69"/>
      <c r="D10" s="70" t="s">
        <v>90</v>
      </c>
      <c r="E10" s="71"/>
      <c r="F10" s="71"/>
      <c r="G10" s="72"/>
      <c r="H10" s="19"/>
      <c r="I10" s="21"/>
      <c r="J10" s="29"/>
      <c r="K10" s="29"/>
      <c r="L10" s="29"/>
      <c r="M10" s="31"/>
    </row>
    <row r="11" spans="1:13" s="2" customFormat="1" ht="14.1" customHeight="1" x14ac:dyDescent="0.3">
      <c r="A11" s="89">
        <v>5</v>
      </c>
      <c r="B11" s="40" t="s">
        <v>91</v>
      </c>
      <c r="C11" s="41"/>
      <c r="D11" s="42" t="s">
        <v>92</v>
      </c>
      <c r="E11" s="43"/>
      <c r="F11" s="43"/>
      <c r="G11" s="44"/>
      <c r="H11" s="49">
        <f>SUM(I11)-0.6</f>
        <v>15.4</v>
      </c>
      <c r="I11" s="36">
        <v>16</v>
      </c>
      <c r="J11" s="23">
        <f>SUM(I11)+0.6</f>
        <v>16.600000000000001</v>
      </c>
      <c r="K11" s="23">
        <f>SUM(J11)+0.6</f>
        <v>17.200000000000003</v>
      </c>
      <c r="L11" s="23"/>
      <c r="M11" s="30"/>
    </row>
    <row r="12" spans="1:13" s="2" customFormat="1" ht="14.1" customHeight="1" x14ac:dyDescent="0.3">
      <c r="A12" s="90"/>
      <c r="B12" s="68" t="s">
        <v>93</v>
      </c>
      <c r="C12" s="69"/>
      <c r="D12" s="27" t="s">
        <v>94</v>
      </c>
      <c r="E12" s="28"/>
      <c r="F12" s="28"/>
      <c r="G12" s="32"/>
      <c r="H12" s="19"/>
      <c r="I12" s="21"/>
      <c r="J12" s="29"/>
      <c r="K12" s="29"/>
      <c r="L12" s="29"/>
      <c r="M12" s="31"/>
    </row>
    <row r="13" spans="1:13" s="2" customFormat="1" ht="14.1" customHeight="1" x14ac:dyDescent="0.3">
      <c r="A13" s="89">
        <v>6</v>
      </c>
      <c r="B13" s="40" t="s">
        <v>95</v>
      </c>
      <c r="C13" s="41"/>
      <c r="D13" s="42" t="s">
        <v>96</v>
      </c>
      <c r="E13" s="43"/>
      <c r="F13" s="43"/>
      <c r="G13" s="44"/>
      <c r="H13" s="49">
        <f>SUM(I13)-0.8</f>
        <v>16.5</v>
      </c>
      <c r="I13" s="36">
        <v>17.3</v>
      </c>
      <c r="J13" s="23">
        <f>SUM(I13)+0.8</f>
        <v>18.100000000000001</v>
      </c>
      <c r="K13" s="23">
        <f>SUM(J13)+0.8</f>
        <v>18.900000000000002</v>
      </c>
      <c r="L13" s="23"/>
      <c r="M13" s="25"/>
    </row>
    <row r="14" spans="1:13" s="2" customFormat="1" ht="14.1" customHeight="1" x14ac:dyDescent="0.3">
      <c r="A14" s="90"/>
      <c r="B14" s="68" t="s">
        <v>97</v>
      </c>
      <c r="C14" s="69"/>
      <c r="D14" s="70" t="s">
        <v>98</v>
      </c>
      <c r="E14" s="71"/>
      <c r="F14" s="71"/>
      <c r="G14" s="72"/>
      <c r="H14" s="19"/>
      <c r="I14" s="21"/>
      <c r="J14" s="29"/>
      <c r="K14" s="29"/>
      <c r="L14" s="29"/>
      <c r="M14" s="75"/>
    </row>
    <row r="15" spans="1:13" s="2" customFormat="1" ht="14.1" customHeight="1" x14ac:dyDescent="0.3">
      <c r="A15" s="89">
        <v>7</v>
      </c>
      <c r="B15" s="40" t="s">
        <v>99</v>
      </c>
      <c r="C15" s="41"/>
      <c r="D15" s="42" t="s">
        <v>96</v>
      </c>
      <c r="E15" s="43"/>
      <c r="F15" s="43"/>
      <c r="G15" s="44"/>
      <c r="H15" s="49">
        <f>SUM(I15)-1</f>
        <v>18.8</v>
      </c>
      <c r="I15" s="36">
        <v>19.8</v>
      </c>
      <c r="J15" s="23">
        <f>SUM(I15)+1</f>
        <v>20.8</v>
      </c>
      <c r="K15" s="23">
        <f>SUM(J15)+1</f>
        <v>21.8</v>
      </c>
      <c r="L15" s="23"/>
      <c r="M15" s="25"/>
    </row>
    <row r="16" spans="1:13" s="2" customFormat="1" ht="14.1" customHeight="1" x14ac:dyDescent="0.3">
      <c r="A16" s="90"/>
      <c r="B16" s="68" t="s">
        <v>100</v>
      </c>
      <c r="C16" s="69"/>
      <c r="D16" s="70" t="s">
        <v>98</v>
      </c>
      <c r="E16" s="71"/>
      <c r="F16" s="71"/>
      <c r="G16" s="72"/>
      <c r="H16" s="19"/>
      <c r="I16" s="21"/>
      <c r="J16" s="29"/>
      <c r="K16" s="29"/>
      <c r="L16" s="29"/>
      <c r="M16" s="75"/>
    </row>
    <row r="17" spans="1:13" s="2" customFormat="1" ht="14.1" customHeight="1" x14ac:dyDescent="0.3">
      <c r="A17" s="89">
        <v>8</v>
      </c>
      <c r="B17" s="40" t="s">
        <v>101</v>
      </c>
      <c r="C17" s="41"/>
      <c r="D17" s="42" t="s">
        <v>102</v>
      </c>
      <c r="E17" s="43"/>
      <c r="F17" s="43"/>
      <c r="G17" s="44"/>
      <c r="H17" s="49">
        <f>SUM(I17)-1.8</f>
        <v>23.2</v>
      </c>
      <c r="I17" s="36">
        <v>25</v>
      </c>
      <c r="J17" s="23">
        <f>SUM(I17)+1.9</f>
        <v>26.9</v>
      </c>
      <c r="K17" s="23">
        <f>SUM(J17)+1.9</f>
        <v>28.799999999999997</v>
      </c>
      <c r="L17" s="23"/>
      <c r="M17" s="30"/>
    </row>
    <row r="18" spans="1:13" s="2" customFormat="1" ht="14.1" customHeight="1" x14ac:dyDescent="0.3">
      <c r="A18" s="90"/>
      <c r="B18" s="68" t="s">
        <v>103</v>
      </c>
      <c r="C18" s="69"/>
      <c r="D18" s="70" t="s">
        <v>104</v>
      </c>
      <c r="E18" s="71"/>
      <c r="F18" s="71"/>
      <c r="G18" s="72"/>
      <c r="H18" s="19"/>
      <c r="I18" s="21"/>
      <c r="J18" s="29"/>
      <c r="K18" s="29"/>
      <c r="L18" s="29"/>
      <c r="M18" s="31"/>
    </row>
    <row r="19" spans="1:13" s="2" customFormat="1" ht="14.1" customHeight="1" x14ac:dyDescent="0.3">
      <c r="A19" s="89">
        <v>9</v>
      </c>
      <c r="B19" s="40" t="s">
        <v>105</v>
      </c>
      <c r="C19" s="41"/>
      <c r="D19" s="42" t="s">
        <v>106</v>
      </c>
      <c r="E19" s="43"/>
      <c r="F19" s="43"/>
      <c r="G19" s="44"/>
      <c r="H19" s="49">
        <f>SUM(I19)-2.8</f>
        <v>24.599999999999998</v>
      </c>
      <c r="I19" s="36">
        <v>27.4</v>
      </c>
      <c r="J19" s="23">
        <f>SUM(I19)+4.3</f>
        <v>31.7</v>
      </c>
      <c r="K19" s="23">
        <f>SUM(J19)+4.3</f>
        <v>36</v>
      </c>
      <c r="L19" s="23"/>
      <c r="M19" s="30"/>
    </row>
    <row r="20" spans="1:13" s="2" customFormat="1" ht="14.1" customHeight="1" x14ac:dyDescent="0.3">
      <c r="A20" s="90"/>
      <c r="B20" s="68" t="s">
        <v>107</v>
      </c>
      <c r="C20" s="69"/>
      <c r="D20" s="70" t="s">
        <v>108</v>
      </c>
      <c r="E20" s="71"/>
      <c r="F20" s="71"/>
      <c r="G20" s="72"/>
      <c r="H20" s="19"/>
      <c r="I20" s="21"/>
      <c r="J20" s="29"/>
      <c r="K20" s="29"/>
      <c r="L20" s="29"/>
      <c r="M20" s="31"/>
    </row>
    <row r="21" spans="1:13" s="2" customFormat="1" ht="14.1" customHeight="1" x14ac:dyDescent="0.3">
      <c r="A21" s="89">
        <v>10</v>
      </c>
      <c r="B21" s="40" t="s">
        <v>109</v>
      </c>
      <c r="C21" s="41"/>
      <c r="D21" s="42" t="s">
        <v>52</v>
      </c>
      <c r="E21" s="43"/>
      <c r="F21" s="43"/>
      <c r="G21" s="44"/>
      <c r="H21" s="49">
        <f>SUM(I21)-0.7</f>
        <v>19.100000000000001</v>
      </c>
      <c r="I21" s="36">
        <v>19.8</v>
      </c>
      <c r="J21" s="23">
        <f>SUM(I21)+0.7</f>
        <v>20.5</v>
      </c>
      <c r="K21" s="23">
        <f>SUM(J21)+0.7</f>
        <v>21.2</v>
      </c>
      <c r="L21" s="23"/>
      <c r="M21" s="30"/>
    </row>
    <row r="22" spans="1:13" s="2" customFormat="1" ht="14.1" customHeight="1" x14ac:dyDescent="0.3">
      <c r="A22" s="90"/>
      <c r="B22" s="68" t="s">
        <v>110</v>
      </c>
      <c r="C22" s="69"/>
      <c r="D22" s="70" t="s">
        <v>52</v>
      </c>
      <c r="E22" s="71"/>
      <c r="F22" s="71"/>
      <c r="G22" s="72"/>
      <c r="H22" s="19"/>
      <c r="I22" s="21"/>
      <c r="J22" s="29"/>
      <c r="K22" s="29"/>
      <c r="L22" s="29"/>
      <c r="M22" s="31"/>
    </row>
    <row r="23" spans="1:13" s="2" customFormat="1" ht="14.1" customHeight="1" x14ac:dyDescent="0.3">
      <c r="A23" s="89">
        <v>11</v>
      </c>
      <c r="B23" s="40" t="s">
        <v>111</v>
      </c>
      <c r="C23" s="41"/>
      <c r="D23" s="42" t="s">
        <v>112</v>
      </c>
      <c r="E23" s="43"/>
      <c r="F23" s="43"/>
      <c r="G23" s="44"/>
      <c r="H23" s="49">
        <f>SUM(I23)-1.9</f>
        <v>27.1</v>
      </c>
      <c r="I23" s="36">
        <v>29</v>
      </c>
      <c r="J23" s="23">
        <f>SUM(I23)+2.6</f>
        <v>31.6</v>
      </c>
      <c r="K23" s="23">
        <f>SUM(J23)+2.6</f>
        <v>34.200000000000003</v>
      </c>
      <c r="L23" s="23"/>
      <c r="M23" s="30"/>
    </row>
    <row r="24" spans="1:13" s="2" customFormat="1" ht="14.1" customHeight="1" thickBot="1" x14ac:dyDescent="0.35">
      <c r="A24" s="89"/>
      <c r="B24" s="111" t="s">
        <v>113</v>
      </c>
      <c r="C24" s="112"/>
      <c r="D24" s="113" t="s">
        <v>114</v>
      </c>
      <c r="E24" s="114"/>
      <c r="F24" s="114"/>
      <c r="G24" s="115"/>
      <c r="H24" s="49"/>
      <c r="I24" s="50"/>
      <c r="J24" s="66"/>
      <c r="K24" s="66"/>
      <c r="L24" s="66"/>
      <c r="M24" s="67"/>
    </row>
    <row r="25" spans="1:13" s="2" customFormat="1" ht="14.1" customHeight="1" thickTop="1" x14ac:dyDescent="0.3">
      <c r="A25" s="99">
        <v>12</v>
      </c>
      <c r="B25" s="59" t="s">
        <v>241</v>
      </c>
      <c r="C25" s="60"/>
      <c r="D25" s="100"/>
      <c r="E25" s="101"/>
      <c r="F25" s="101"/>
      <c r="G25" s="102"/>
      <c r="H25" s="64">
        <f>SUM(I25)-0.8</f>
        <v>13</v>
      </c>
      <c r="I25" s="65">
        <v>13.8</v>
      </c>
      <c r="J25" s="73">
        <f>SUM(I25)+0.8</f>
        <v>14.600000000000001</v>
      </c>
      <c r="K25" s="73">
        <f>SUM(J25)+0.8</f>
        <v>15.400000000000002</v>
      </c>
      <c r="L25" s="73"/>
      <c r="M25" s="103"/>
    </row>
    <row r="26" spans="1:13" s="2" customFormat="1" ht="14.1" customHeight="1" x14ac:dyDescent="0.3">
      <c r="A26" s="90"/>
      <c r="B26" s="29" t="s">
        <v>242</v>
      </c>
      <c r="C26" s="29"/>
      <c r="D26" s="96" t="s">
        <v>243</v>
      </c>
      <c r="E26" s="97"/>
      <c r="F26" s="97"/>
      <c r="G26" s="98"/>
      <c r="H26" s="49"/>
      <c r="I26" s="50"/>
      <c r="J26" s="66"/>
      <c r="K26" s="66"/>
      <c r="L26" s="29"/>
      <c r="M26" s="95"/>
    </row>
    <row r="27" spans="1:13" s="2" customFormat="1" ht="14.1" customHeight="1" x14ac:dyDescent="0.3">
      <c r="A27" s="89">
        <v>13</v>
      </c>
      <c r="B27" s="40" t="s">
        <v>244</v>
      </c>
      <c r="C27" s="41"/>
      <c r="D27" s="91"/>
      <c r="E27" s="92"/>
      <c r="F27" s="92"/>
      <c r="G27" s="93"/>
      <c r="H27" s="35">
        <f>SUM(I27)-0.8</f>
        <v>16</v>
      </c>
      <c r="I27" s="36">
        <v>16.8</v>
      </c>
      <c r="J27" s="23">
        <f>SUM(I27)+0.8</f>
        <v>17.600000000000001</v>
      </c>
      <c r="K27" s="23">
        <f>SUM(J27)+0.8</f>
        <v>18.400000000000002</v>
      </c>
      <c r="L27" s="23"/>
      <c r="M27" s="94"/>
    </row>
    <row r="28" spans="1:13" s="2" customFormat="1" ht="14.1" customHeight="1" x14ac:dyDescent="0.3">
      <c r="A28" s="90"/>
      <c r="B28" s="68" t="s">
        <v>245</v>
      </c>
      <c r="C28" s="69"/>
      <c r="D28" s="96" t="s">
        <v>243</v>
      </c>
      <c r="E28" s="97"/>
      <c r="F28" s="97"/>
      <c r="G28" s="98"/>
      <c r="H28" s="19"/>
      <c r="I28" s="21"/>
      <c r="J28" s="29"/>
      <c r="K28" s="29"/>
      <c r="L28" s="29"/>
      <c r="M28" s="95"/>
    </row>
    <row r="29" spans="1:13" s="2" customFormat="1" ht="14.1" customHeight="1" x14ac:dyDescent="0.3">
      <c r="A29" s="89">
        <v>14</v>
      </c>
      <c r="B29" s="40"/>
      <c r="C29" s="41"/>
      <c r="D29" s="42"/>
      <c r="E29" s="43"/>
      <c r="F29" s="43"/>
      <c r="G29" s="44"/>
      <c r="H29" s="49"/>
      <c r="I29" s="50"/>
      <c r="J29" s="66"/>
      <c r="K29" s="66"/>
      <c r="L29" s="23"/>
      <c r="M29" s="94"/>
    </row>
    <row r="30" spans="1:13" s="2" customFormat="1" ht="14.1" customHeight="1" x14ac:dyDescent="0.3">
      <c r="A30" s="90"/>
      <c r="B30" s="68"/>
      <c r="C30" s="69"/>
      <c r="D30" s="70"/>
      <c r="E30" s="71"/>
      <c r="F30" s="71"/>
      <c r="G30" s="72"/>
      <c r="H30" s="19"/>
      <c r="I30" s="21"/>
      <c r="J30" s="29"/>
      <c r="K30" s="29"/>
      <c r="L30" s="29"/>
      <c r="M30" s="95"/>
    </row>
    <row r="31" spans="1:13" s="2" customFormat="1" ht="14.1" customHeight="1" x14ac:dyDescent="0.3">
      <c r="A31" s="89">
        <v>15</v>
      </c>
      <c r="B31" s="40"/>
      <c r="C31" s="41"/>
      <c r="D31" s="42"/>
      <c r="E31" s="43"/>
      <c r="F31" s="43"/>
      <c r="G31" s="44"/>
      <c r="H31" s="49"/>
      <c r="I31" s="36"/>
      <c r="J31" s="23"/>
      <c r="K31" s="23"/>
      <c r="L31" s="23"/>
      <c r="M31" s="94"/>
    </row>
    <row r="32" spans="1:13" s="2" customFormat="1" ht="14.1" customHeight="1" x14ac:dyDescent="0.3">
      <c r="A32" s="90"/>
      <c r="B32" s="68"/>
      <c r="C32" s="69"/>
      <c r="D32" s="70"/>
      <c r="E32" s="71"/>
      <c r="F32" s="71"/>
      <c r="G32" s="72"/>
      <c r="H32" s="19"/>
      <c r="I32" s="21"/>
      <c r="J32" s="29"/>
      <c r="K32" s="29"/>
      <c r="L32" s="29"/>
      <c r="M32" s="95"/>
    </row>
    <row r="33" spans="1:13" s="2" customFormat="1" ht="14.1" customHeight="1" x14ac:dyDescent="0.3">
      <c r="A33" s="89">
        <v>16</v>
      </c>
      <c r="B33" s="40"/>
      <c r="C33" s="41"/>
      <c r="D33" s="42"/>
      <c r="E33" s="43"/>
      <c r="F33" s="43"/>
      <c r="G33" s="44"/>
      <c r="H33" s="35"/>
      <c r="I33" s="36"/>
      <c r="J33" s="23"/>
      <c r="K33" s="23"/>
      <c r="L33" s="23"/>
      <c r="M33" s="94"/>
    </row>
    <row r="34" spans="1:13" s="2" customFormat="1" ht="14.1" customHeight="1" thickBot="1" x14ac:dyDescent="0.35">
      <c r="A34" s="90"/>
      <c r="B34" s="117"/>
      <c r="C34" s="118"/>
      <c r="D34" s="86"/>
      <c r="E34" s="87"/>
      <c r="F34" s="87"/>
      <c r="G34" s="88"/>
      <c r="H34" s="80"/>
      <c r="I34" s="81"/>
      <c r="J34" s="82"/>
      <c r="K34" s="82"/>
      <c r="L34" s="82"/>
      <c r="M34" s="116"/>
    </row>
    <row r="35" spans="1:13" s="2" customFormat="1" ht="14.1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2" customFormat="1" ht="14.1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s="2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2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A25:A26"/>
    <mergeCell ref="B25:C25"/>
    <mergeCell ref="D25:G25"/>
    <mergeCell ref="H25:H26"/>
    <mergeCell ref="I25:I26"/>
    <mergeCell ref="J25:J26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J27:J28"/>
    <mergeCell ref="K27:K28"/>
    <mergeCell ref="L27:L28"/>
    <mergeCell ref="M27:M28"/>
    <mergeCell ref="B28:C28"/>
    <mergeCell ref="D28:G28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6932-9FC8-4065-9AD5-249DA277033E}">
  <sheetPr>
    <tabColor theme="9"/>
    <pageSetUpPr fitToPage="1"/>
  </sheetPr>
  <dimension ref="A1:N51"/>
  <sheetViews>
    <sheetView zoomScale="110" zoomScaleNormal="110" workbookViewId="0">
      <selection activeCell="B25" sqref="B25:G2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9" t="s">
        <v>197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4" ht="16.5" customHeight="1" thickBot="1" x14ac:dyDescent="0.35">
      <c r="A2" s="5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153</v>
      </c>
      <c r="I2" s="3" t="s">
        <v>154</v>
      </c>
      <c r="J2" s="4" t="s">
        <v>155</v>
      </c>
      <c r="K2" s="4" t="s">
        <v>164</v>
      </c>
      <c r="L2" s="4"/>
      <c r="M2" s="4"/>
      <c r="N2" t="s">
        <v>52</v>
      </c>
    </row>
    <row r="3" spans="1:14" s="2" customFormat="1" ht="14.1" customHeight="1" x14ac:dyDescent="0.3">
      <c r="A3" s="13">
        <v>1</v>
      </c>
      <c r="B3" s="15" t="s">
        <v>23</v>
      </c>
      <c r="C3" s="15"/>
      <c r="D3" s="16" t="s">
        <v>158</v>
      </c>
      <c r="E3" s="16"/>
      <c r="F3" s="16"/>
      <c r="G3" s="17"/>
      <c r="H3" s="119">
        <f>SUM(I3)-4</f>
        <v>44.5</v>
      </c>
      <c r="I3" s="121">
        <v>48.5</v>
      </c>
      <c r="J3" s="22">
        <f>SUM(I3)+4</f>
        <v>52.5</v>
      </c>
      <c r="K3" s="22">
        <f>SUM(J3)+4</f>
        <v>56.5</v>
      </c>
      <c r="L3" s="22"/>
      <c r="M3" s="123"/>
    </row>
    <row r="4" spans="1:14" s="2" customFormat="1" ht="14.1" customHeight="1" x14ac:dyDescent="0.3">
      <c r="A4" s="14"/>
      <c r="B4" s="26" t="s">
        <v>20</v>
      </c>
      <c r="C4" s="26"/>
      <c r="D4" s="27" t="s">
        <v>39</v>
      </c>
      <c r="E4" s="28"/>
      <c r="F4" s="28"/>
      <c r="G4" s="32"/>
      <c r="H4" s="120"/>
      <c r="I4" s="122"/>
      <c r="J4" s="37"/>
      <c r="K4" s="37"/>
      <c r="L4" s="37"/>
      <c r="M4" s="38"/>
    </row>
    <row r="5" spans="1:14" s="2" customFormat="1" ht="14.1" customHeight="1" x14ac:dyDescent="0.3">
      <c r="A5" s="13">
        <v>2</v>
      </c>
      <c r="B5" s="33" t="s">
        <v>21</v>
      </c>
      <c r="C5" s="33"/>
      <c r="D5" s="34" t="s">
        <v>22</v>
      </c>
      <c r="E5" s="34"/>
      <c r="F5" s="34"/>
      <c r="G5" s="34"/>
      <c r="H5" s="35">
        <f>SUM(I5)-1.2</f>
        <v>22</v>
      </c>
      <c r="I5" s="36">
        <v>23.2</v>
      </c>
      <c r="J5" s="23">
        <f>SUM(I5)+1.2</f>
        <v>24.4</v>
      </c>
      <c r="K5" s="23">
        <f>SUM(J5)+1.2</f>
        <v>25.599999999999998</v>
      </c>
      <c r="L5" s="23"/>
      <c r="M5" s="30"/>
    </row>
    <row r="6" spans="1:14" s="2" customFormat="1" ht="14.1" customHeight="1" x14ac:dyDescent="0.3">
      <c r="A6" s="14"/>
      <c r="B6" s="26" t="s">
        <v>11</v>
      </c>
      <c r="C6" s="26"/>
      <c r="D6" s="27" t="s">
        <v>26</v>
      </c>
      <c r="E6" s="28"/>
      <c r="F6" s="28"/>
      <c r="G6" s="32"/>
      <c r="H6" s="19"/>
      <c r="I6" s="21"/>
      <c r="J6" s="29"/>
      <c r="K6" s="29"/>
      <c r="L6" s="29"/>
      <c r="M6" s="31"/>
    </row>
    <row r="7" spans="1:14" s="2" customFormat="1" ht="14.1" customHeight="1" x14ac:dyDescent="0.3">
      <c r="A7" s="13">
        <v>3</v>
      </c>
      <c r="B7" s="33" t="s">
        <v>19</v>
      </c>
      <c r="C7" s="33"/>
      <c r="D7" s="34" t="s">
        <v>53</v>
      </c>
      <c r="E7" s="34"/>
      <c r="F7" s="34"/>
      <c r="G7" s="34"/>
      <c r="H7" s="35">
        <f>SUM(I7)-1.5</f>
        <v>28.5</v>
      </c>
      <c r="I7" s="36">
        <v>30</v>
      </c>
      <c r="J7" s="23">
        <f>SUM(I7)+1.5</f>
        <v>31.5</v>
      </c>
      <c r="K7" s="23">
        <f>SUM(J7)+1.5</f>
        <v>33</v>
      </c>
      <c r="L7" s="23"/>
      <c r="M7" s="30"/>
    </row>
    <row r="8" spans="1:14" s="2" customFormat="1" ht="14.1" customHeight="1" x14ac:dyDescent="0.3">
      <c r="A8" s="14"/>
      <c r="B8" s="26" t="s">
        <v>24</v>
      </c>
      <c r="C8" s="26"/>
      <c r="D8" s="27" t="s">
        <v>27</v>
      </c>
      <c r="E8" s="28"/>
      <c r="F8" s="28"/>
      <c r="G8" s="32"/>
      <c r="H8" s="19"/>
      <c r="I8" s="21"/>
      <c r="J8" s="29"/>
      <c r="K8" s="29"/>
      <c r="L8" s="29"/>
      <c r="M8" s="31"/>
    </row>
    <row r="9" spans="1:14" s="2" customFormat="1" ht="14.1" customHeight="1" x14ac:dyDescent="0.3">
      <c r="A9" s="13">
        <v>4</v>
      </c>
      <c r="B9" s="33" t="s">
        <v>124</v>
      </c>
      <c r="C9" s="33"/>
      <c r="D9" s="34"/>
      <c r="E9" s="34"/>
      <c r="F9" s="34"/>
      <c r="G9" s="34"/>
      <c r="H9" s="35"/>
      <c r="I9" s="36"/>
      <c r="J9" s="23"/>
      <c r="K9" s="23"/>
      <c r="L9" s="23"/>
      <c r="M9" s="30"/>
    </row>
    <row r="10" spans="1:14" s="2" customFormat="1" ht="14.1" customHeight="1" x14ac:dyDescent="0.3">
      <c r="A10" s="14"/>
      <c r="B10" s="26" t="s">
        <v>123</v>
      </c>
      <c r="C10" s="26"/>
      <c r="D10" s="27" t="s">
        <v>198</v>
      </c>
      <c r="E10" s="28"/>
      <c r="F10" s="28"/>
      <c r="G10" s="32"/>
      <c r="H10" s="19"/>
      <c r="I10" s="21"/>
      <c r="J10" s="29"/>
      <c r="K10" s="29"/>
      <c r="L10" s="29"/>
      <c r="M10" s="31"/>
    </row>
    <row r="11" spans="1:14" s="2" customFormat="1" ht="14.1" customHeight="1" x14ac:dyDescent="0.3">
      <c r="A11" s="13">
        <v>5</v>
      </c>
      <c r="B11" s="33" t="s">
        <v>10</v>
      </c>
      <c r="C11" s="33"/>
      <c r="D11" s="34" t="s">
        <v>0</v>
      </c>
      <c r="E11" s="34"/>
      <c r="F11" s="34"/>
      <c r="G11" s="34"/>
      <c r="H11" s="35">
        <f>SUM(I11)-0.9</f>
        <v>12.799999999999999</v>
      </c>
      <c r="I11" s="122">
        <v>13.7</v>
      </c>
      <c r="J11" s="37">
        <f>SUM(I11)+0.9</f>
        <v>14.6</v>
      </c>
      <c r="K11" s="37">
        <f>SUM(J11)+0.9</f>
        <v>15.5</v>
      </c>
      <c r="L11" s="37"/>
      <c r="M11" s="38"/>
    </row>
    <row r="12" spans="1:14" s="2" customFormat="1" ht="14.1" customHeight="1" x14ac:dyDescent="0.3">
      <c r="A12" s="14"/>
      <c r="B12" s="26" t="s">
        <v>13</v>
      </c>
      <c r="C12" s="26"/>
      <c r="D12" s="27" t="s">
        <v>29</v>
      </c>
      <c r="E12" s="28"/>
      <c r="F12" s="28"/>
      <c r="G12" s="32"/>
      <c r="H12" s="19"/>
      <c r="I12" s="122"/>
      <c r="J12" s="37"/>
      <c r="K12" s="37"/>
      <c r="L12" s="37"/>
      <c r="M12" s="38"/>
    </row>
    <row r="13" spans="1:14" s="2" customFormat="1" ht="14.1" customHeight="1" x14ac:dyDescent="0.3">
      <c r="A13" s="13">
        <v>6</v>
      </c>
      <c r="B13" s="33" t="s">
        <v>1</v>
      </c>
      <c r="C13" s="33"/>
      <c r="D13" s="34" t="s">
        <v>2</v>
      </c>
      <c r="E13" s="34"/>
      <c r="F13" s="34"/>
      <c r="G13" s="34"/>
      <c r="H13" s="35">
        <f>SUM(I13)-0.5</f>
        <v>12.5</v>
      </c>
      <c r="I13" s="122">
        <v>13</v>
      </c>
      <c r="J13" s="37">
        <f>SUM(I13)+0.5</f>
        <v>13.5</v>
      </c>
      <c r="K13" s="37">
        <f>SUM(J13)+0.5</f>
        <v>14</v>
      </c>
      <c r="L13" s="37"/>
      <c r="M13" s="38"/>
    </row>
    <row r="14" spans="1:14" s="2" customFormat="1" ht="14.1" customHeight="1" x14ac:dyDescent="0.3">
      <c r="A14" s="14"/>
      <c r="B14" s="26" t="s">
        <v>14</v>
      </c>
      <c r="C14" s="26"/>
      <c r="D14" s="27" t="s">
        <v>170</v>
      </c>
      <c r="E14" s="28"/>
      <c r="F14" s="28"/>
      <c r="G14" s="32"/>
      <c r="H14" s="19"/>
      <c r="I14" s="122"/>
      <c r="J14" s="37"/>
      <c r="K14" s="37"/>
      <c r="L14" s="37"/>
      <c r="M14" s="38"/>
    </row>
    <row r="15" spans="1:14" s="2" customFormat="1" ht="14.1" customHeight="1" x14ac:dyDescent="0.3">
      <c r="A15" s="13">
        <v>7</v>
      </c>
      <c r="B15" s="33" t="s">
        <v>3</v>
      </c>
      <c r="C15" s="33"/>
      <c r="D15" s="34" t="s">
        <v>4</v>
      </c>
      <c r="E15" s="34"/>
      <c r="F15" s="34"/>
      <c r="G15" s="34"/>
      <c r="H15" s="35">
        <f>SUM(I15)-0.3</f>
        <v>5.1000000000000005</v>
      </c>
      <c r="I15" s="122">
        <v>5.4</v>
      </c>
      <c r="J15" s="37">
        <f>SUM(I15)+0.3</f>
        <v>5.7</v>
      </c>
      <c r="K15" s="37">
        <f>SUM(J15)+0.3</f>
        <v>6</v>
      </c>
      <c r="L15" s="37"/>
      <c r="M15" s="38"/>
    </row>
    <row r="16" spans="1:14" s="2" customFormat="1" ht="14.1" customHeight="1" x14ac:dyDescent="0.3">
      <c r="A16" s="14"/>
      <c r="B16" s="26" t="s">
        <v>15</v>
      </c>
      <c r="C16" s="26"/>
      <c r="D16" s="27" t="s">
        <v>171</v>
      </c>
      <c r="E16" s="28"/>
      <c r="F16" s="28"/>
      <c r="G16" s="32"/>
      <c r="H16" s="19"/>
      <c r="I16" s="122"/>
      <c r="J16" s="37"/>
      <c r="K16" s="37"/>
      <c r="L16" s="37"/>
      <c r="M16" s="38"/>
    </row>
    <row r="17" spans="1:13" s="2" customFormat="1" ht="14.1" customHeight="1" x14ac:dyDescent="0.3">
      <c r="A17" s="13">
        <v>8</v>
      </c>
      <c r="B17" s="40" t="s">
        <v>44</v>
      </c>
      <c r="C17" s="41"/>
      <c r="D17" s="42" t="s">
        <v>46</v>
      </c>
      <c r="E17" s="43"/>
      <c r="F17" s="43"/>
      <c r="G17" s="44"/>
      <c r="H17" s="35">
        <f>SUM(I17)-1.4</f>
        <v>31.700000000000003</v>
      </c>
      <c r="I17" s="122">
        <v>33.1</v>
      </c>
      <c r="J17" s="37">
        <f>SUM(I17)+1.4</f>
        <v>34.5</v>
      </c>
      <c r="K17" s="37">
        <f>SUM(J17)+1.4</f>
        <v>35.9</v>
      </c>
      <c r="L17" s="37"/>
      <c r="M17" s="38"/>
    </row>
    <row r="18" spans="1:13" s="2" customFormat="1" ht="14.1" customHeight="1" x14ac:dyDescent="0.3">
      <c r="A18" s="14"/>
      <c r="B18" s="26" t="s">
        <v>45</v>
      </c>
      <c r="C18" s="26"/>
      <c r="D18" s="27" t="s">
        <v>47</v>
      </c>
      <c r="E18" s="28"/>
      <c r="F18" s="28"/>
      <c r="G18" s="32"/>
      <c r="H18" s="19"/>
      <c r="I18" s="122"/>
      <c r="J18" s="37"/>
      <c r="K18" s="37"/>
      <c r="L18" s="37"/>
      <c r="M18" s="38"/>
    </row>
    <row r="19" spans="1:13" s="2" customFormat="1" ht="14.1" customHeight="1" x14ac:dyDescent="0.3">
      <c r="A19" s="13">
        <v>9</v>
      </c>
      <c r="B19" s="33" t="s">
        <v>5</v>
      </c>
      <c r="C19" s="33"/>
      <c r="D19" s="34" t="s">
        <v>6</v>
      </c>
      <c r="E19" s="34"/>
      <c r="F19" s="34"/>
      <c r="G19" s="34"/>
      <c r="H19" s="35">
        <f>SUM(I19)-2.9</f>
        <v>25</v>
      </c>
      <c r="I19" s="122">
        <v>27.9</v>
      </c>
      <c r="J19" s="37">
        <f>SUM(I19)+2.9</f>
        <v>30.799999999999997</v>
      </c>
      <c r="K19" s="37">
        <f>SUM(J19)+2.9</f>
        <v>33.699999999999996</v>
      </c>
      <c r="L19" s="37"/>
      <c r="M19" s="38"/>
    </row>
    <row r="20" spans="1:13" s="2" customFormat="1" ht="14.1" customHeight="1" x14ac:dyDescent="0.3">
      <c r="A20" s="14"/>
      <c r="B20" s="26" t="s">
        <v>16</v>
      </c>
      <c r="C20" s="26"/>
      <c r="D20" s="27" t="s">
        <v>32</v>
      </c>
      <c r="E20" s="28"/>
      <c r="F20" s="28"/>
      <c r="G20" s="32"/>
      <c r="H20" s="19"/>
      <c r="I20" s="122"/>
      <c r="J20" s="37"/>
      <c r="K20" s="37"/>
      <c r="L20" s="37"/>
      <c r="M20" s="38"/>
    </row>
    <row r="21" spans="1:13" s="2" customFormat="1" ht="14.1" customHeight="1" x14ac:dyDescent="0.3">
      <c r="A21" s="13">
        <v>10</v>
      </c>
      <c r="B21" s="33" t="s">
        <v>7</v>
      </c>
      <c r="C21" s="33"/>
      <c r="D21" s="42" t="s">
        <v>8</v>
      </c>
      <c r="E21" s="43"/>
      <c r="F21" s="43"/>
      <c r="G21" s="44"/>
      <c r="H21" s="35"/>
      <c r="I21" s="122"/>
      <c r="J21" s="37"/>
      <c r="K21" s="37"/>
      <c r="L21" s="37"/>
      <c r="M21" s="38"/>
    </row>
    <row r="22" spans="1:13" s="2" customFormat="1" ht="14.1" customHeight="1" x14ac:dyDescent="0.3">
      <c r="A22" s="14"/>
      <c r="B22" s="26" t="s">
        <v>17</v>
      </c>
      <c r="C22" s="26"/>
      <c r="D22" s="27" t="s">
        <v>36</v>
      </c>
      <c r="E22" s="28"/>
      <c r="F22" s="28"/>
      <c r="G22" s="32"/>
      <c r="H22" s="19"/>
      <c r="I22" s="122"/>
      <c r="J22" s="37"/>
      <c r="K22" s="37"/>
      <c r="L22" s="37"/>
      <c r="M22" s="38"/>
    </row>
    <row r="23" spans="1:13" s="2" customFormat="1" ht="14.1" customHeight="1" x14ac:dyDescent="0.3">
      <c r="A23" s="13">
        <v>11</v>
      </c>
      <c r="B23" s="40" t="s">
        <v>133</v>
      </c>
      <c r="C23" s="41"/>
      <c r="D23" s="34" t="s">
        <v>37</v>
      </c>
      <c r="E23" s="34"/>
      <c r="F23" s="34"/>
      <c r="G23" s="34"/>
      <c r="H23" s="35">
        <f>SUM(I23)-0.5</f>
        <v>13.5</v>
      </c>
      <c r="I23" s="122">
        <v>14</v>
      </c>
      <c r="J23" s="37">
        <f>SUM(I23)+0.5</f>
        <v>14.5</v>
      </c>
      <c r="K23" s="37">
        <f>SUM(J23)+0.5</f>
        <v>15</v>
      </c>
      <c r="L23" s="37"/>
      <c r="M23" s="38"/>
    </row>
    <row r="24" spans="1:13" s="2" customFormat="1" ht="14.1" customHeight="1" x14ac:dyDescent="0.3">
      <c r="A24" s="14"/>
      <c r="B24" s="26" t="s">
        <v>167</v>
      </c>
      <c r="C24" s="26"/>
      <c r="D24" s="27" t="s">
        <v>38</v>
      </c>
      <c r="E24" s="28"/>
      <c r="F24" s="28"/>
      <c r="G24" s="32"/>
      <c r="H24" s="19"/>
      <c r="I24" s="122"/>
      <c r="J24" s="37"/>
      <c r="K24" s="37"/>
      <c r="L24" s="37"/>
      <c r="M24" s="38"/>
    </row>
    <row r="25" spans="1:13" s="2" customFormat="1" ht="14.1" customHeight="1" x14ac:dyDescent="0.3">
      <c r="A25" s="13">
        <v>12</v>
      </c>
      <c r="B25" s="40" t="s">
        <v>156</v>
      </c>
      <c r="C25" s="41"/>
      <c r="D25" s="42"/>
      <c r="E25" s="43"/>
      <c r="F25" s="43"/>
      <c r="G25" s="44"/>
      <c r="H25" s="35">
        <f>SUM(I25)-2</f>
        <v>25.5</v>
      </c>
      <c r="I25" s="122">
        <v>27.5</v>
      </c>
      <c r="J25" s="37">
        <f>SUM(I25)+2</f>
        <v>29.5</v>
      </c>
      <c r="K25" s="37">
        <f>SUM(J25)+2</f>
        <v>31.5</v>
      </c>
      <c r="L25" s="29"/>
      <c r="M25" s="31"/>
    </row>
    <row r="26" spans="1:13" s="2" customFormat="1" ht="14.1" customHeight="1" x14ac:dyDescent="0.3">
      <c r="A26" s="14"/>
      <c r="B26" s="56" t="s">
        <v>157</v>
      </c>
      <c r="C26" s="57"/>
      <c r="D26" s="27" t="s">
        <v>199</v>
      </c>
      <c r="E26" s="28"/>
      <c r="F26" s="28"/>
      <c r="G26" s="32"/>
      <c r="H26" s="19"/>
      <c r="I26" s="122"/>
      <c r="J26" s="37"/>
      <c r="K26" s="37"/>
      <c r="L26" s="37"/>
      <c r="M26" s="38"/>
    </row>
    <row r="27" spans="1:13" s="2" customFormat="1" ht="14.1" customHeight="1" x14ac:dyDescent="0.3">
      <c r="A27" s="13">
        <v>13</v>
      </c>
      <c r="B27" s="40" t="s">
        <v>168</v>
      </c>
      <c r="C27" s="41"/>
      <c r="D27" s="46"/>
      <c r="E27" s="47"/>
      <c r="F27" s="47"/>
      <c r="G27" s="48"/>
      <c r="H27" s="35">
        <f>SUM(I27)-2.4</f>
        <v>23.6</v>
      </c>
      <c r="I27" s="122">
        <v>26</v>
      </c>
      <c r="J27" s="37">
        <f>SUM(I27)+2.4</f>
        <v>28.4</v>
      </c>
      <c r="K27" s="37">
        <f>SUM(J27)+2.4</f>
        <v>30.799999999999997</v>
      </c>
      <c r="L27" s="37"/>
      <c r="M27" s="38"/>
    </row>
    <row r="28" spans="1:13" s="2" customFormat="1" ht="14.1" customHeight="1" x14ac:dyDescent="0.3">
      <c r="A28" s="14"/>
      <c r="B28" s="26" t="s">
        <v>169</v>
      </c>
      <c r="C28" s="26"/>
      <c r="D28" s="27" t="s">
        <v>200</v>
      </c>
      <c r="E28" s="28"/>
      <c r="F28" s="28"/>
      <c r="G28" s="32"/>
      <c r="H28" s="19"/>
      <c r="I28" s="122"/>
      <c r="J28" s="37"/>
      <c r="K28" s="37"/>
      <c r="L28" s="37"/>
      <c r="M28" s="38"/>
    </row>
    <row r="29" spans="1:13" s="2" customFormat="1" ht="14.1" customHeight="1" x14ac:dyDescent="0.3">
      <c r="A29" s="13">
        <v>14</v>
      </c>
      <c r="B29" s="40"/>
      <c r="C29" s="41"/>
      <c r="D29" s="34"/>
      <c r="E29" s="34"/>
      <c r="F29" s="34"/>
      <c r="G29" s="34"/>
      <c r="H29" s="35"/>
      <c r="I29" s="122"/>
      <c r="J29" s="37"/>
      <c r="K29" s="37"/>
      <c r="L29" s="23"/>
      <c r="M29" s="94"/>
    </row>
    <row r="30" spans="1:13" s="2" customFormat="1" ht="14.1" customHeight="1" x14ac:dyDescent="0.3">
      <c r="A30" s="14"/>
      <c r="B30" s="26"/>
      <c r="C30" s="26"/>
      <c r="D30" s="27"/>
      <c r="E30" s="28"/>
      <c r="F30" s="28"/>
      <c r="G30" s="32"/>
      <c r="H30" s="19"/>
      <c r="I30" s="122"/>
      <c r="J30" s="37"/>
      <c r="K30" s="37"/>
      <c r="L30" s="29"/>
      <c r="M30" s="95"/>
    </row>
    <row r="31" spans="1:13" s="2" customFormat="1" ht="14.1" customHeight="1" x14ac:dyDescent="0.3">
      <c r="A31" s="13">
        <v>15</v>
      </c>
      <c r="B31" s="40"/>
      <c r="C31" s="41"/>
      <c r="D31" s="46"/>
      <c r="E31" s="47"/>
      <c r="F31" s="47"/>
      <c r="G31" s="48"/>
      <c r="H31" s="35"/>
      <c r="I31" s="122"/>
      <c r="J31" s="37"/>
      <c r="K31" s="37"/>
      <c r="L31" s="23"/>
      <c r="M31" s="94"/>
    </row>
    <row r="32" spans="1:13" s="2" customFormat="1" ht="14.1" customHeight="1" x14ac:dyDescent="0.3">
      <c r="A32" s="14"/>
      <c r="B32" s="56"/>
      <c r="C32" s="57"/>
      <c r="D32" s="27"/>
      <c r="E32" s="28"/>
      <c r="F32" s="28"/>
      <c r="G32" s="32"/>
      <c r="H32" s="19"/>
      <c r="I32" s="122"/>
      <c r="J32" s="37"/>
      <c r="K32" s="37"/>
      <c r="L32" s="29"/>
      <c r="M32" s="95"/>
    </row>
    <row r="33" spans="1:13" s="2" customFormat="1" ht="14.1" customHeight="1" x14ac:dyDescent="0.3">
      <c r="A33" s="13">
        <v>16</v>
      </c>
      <c r="B33" s="51"/>
      <c r="C33" s="52"/>
      <c r="D33" s="129"/>
      <c r="E33" s="130"/>
      <c r="F33" s="130"/>
      <c r="G33" s="131"/>
      <c r="H33" s="35"/>
      <c r="I33" s="122"/>
      <c r="J33" s="37"/>
      <c r="K33" s="37"/>
      <c r="L33" s="29"/>
      <c r="M33" s="95"/>
    </row>
    <row r="34" spans="1:13" s="2" customFormat="1" ht="14.1" customHeight="1" thickBot="1" x14ac:dyDescent="0.35">
      <c r="A34" s="79"/>
      <c r="B34" s="84"/>
      <c r="C34" s="85"/>
      <c r="D34" s="126"/>
      <c r="E34" s="127"/>
      <c r="F34" s="127"/>
      <c r="G34" s="128"/>
      <c r="H34" s="80"/>
      <c r="I34" s="132"/>
      <c r="J34" s="124"/>
      <c r="K34" s="124"/>
      <c r="L34" s="124"/>
      <c r="M34" s="125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2967-6514-487F-98EF-F3E48ABC4049}">
  <sheetPr>
    <tabColor theme="9"/>
    <pageSetUpPr fitToPage="1"/>
  </sheetPr>
  <dimension ref="A1:N51"/>
  <sheetViews>
    <sheetView topLeftCell="A4" zoomScale="110" zoomScaleNormal="110" workbookViewId="0">
      <selection activeCell="O14" sqref="O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9" t="s">
        <v>201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4" ht="16.5" customHeight="1" thickBot="1" x14ac:dyDescent="0.35">
      <c r="A2" s="5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153</v>
      </c>
      <c r="I2" s="3" t="s">
        <v>154</v>
      </c>
      <c r="J2" s="4" t="s">
        <v>155</v>
      </c>
      <c r="K2" s="4" t="s">
        <v>164</v>
      </c>
      <c r="L2" s="4"/>
      <c r="M2" s="4"/>
      <c r="N2" t="s">
        <v>52</v>
      </c>
    </row>
    <row r="3" spans="1:14" s="2" customFormat="1" ht="14.1" customHeight="1" x14ac:dyDescent="0.3">
      <c r="A3" s="13">
        <v>1</v>
      </c>
      <c r="B3" s="15" t="s">
        <v>23</v>
      </c>
      <c r="C3" s="15"/>
      <c r="D3" s="16" t="s">
        <v>158</v>
      </c>
      <c r="E3" s="16"/>
      <c r="F3" s="16"/>
      <c r="G3" s="17"/>
      <c r="H3" s="119">
        <f>SUM(I3)-4</f>
        <v>42</v>
      </c>
      <c r="I3" s="121">
        <v>46</v>
      </c>
      <c r="J3" s="22">
        <f>SUM(I3)+4</f>
        <v>50</v>
      </c>
      <c r="K3" s="22">
        <f>SUM(J3)+4</f>
        <v>54</v>
      </c>
      <c r="L3" s="22"/>
      <c r="M3" s="123"/>
    </row>
    <row r="4" spans="1:14" s="2" customFormat="1" ht="14.1" customHeight="1" x14ac:dyDescent="0.3">
      <c r="A4" s="14"/>
      <c r="B4" s="26" t="s">
        <v>20</v>
      </c>
      <c r="C4" s="26"/>
      <c r="D4" s="27" t="s">
        <v>39</v>
      </c>
      <c r="E4" s="28"/>
      <c r="F4" s="28"/>
      <c r="G4" s="32"/>
      <c r="H4" s="120"/>
      <c r="I4" s="122"/>
      <c r="J4" s="37"/>
      <c r="K4" s="37"/>
      <c r="L4" s="37"/>
      <c r="M4" s="38"/>
    </row>
    <row r="5" spans="1:14" s="2" customFormat="1" ht="14.1" customHeight="1" x14ac:dyDescent="0.3">
      <c r="A5" s="13">
        <v>2</v>
      </c>
      <c r="B5" s="33" t="s">
        <v>21</v>
      </c>
      <c r="C5" s="33"/>
      <c r="D5" s="34" t="s">
        <v>22</v>
      </c>
      <c r="E5" s="34"/>
      <c r="F5" s="34"/>
      <c r="G5" s="34"/>
      <c r="H5" s="35">
        <f>SUM(I5)-1.2</f>
        <v>18.8</v>
      </c>
      <c r="I5" s="36">
        <v>20</v>
      </c>
      <c r="J5" s="23">
        <f>SUM(I5)+1.2</f>
        <v>21.2</v>
      </c>
      <c r="K5" s="23">
        <f>SUM(J5)+1.2</f>
        <v>22.4</v>
      </c>
      <c r="L5" s="23"/>
      <c r="M5" s="30"/>
    </row>
    <row r="6" spans="1:14" s="2" customFormat="1" ht="14.1" customHeight="1" x14ac:dyDescent="0.3">
      <c r="A6" s="14"/>
      <c r="B6" s="26" t="s">
        <v>11</v>
      </c>
      <c r="C6" s="26"/>
      <c r="D6" s="27" t="s">
        <v>26</v>
      </c>
      <c r="E6" s="28"/>
      <c r="F6" s="28"/>
      <c r="G6" s="32"/>
      <c r="H6" s="19"/>
      <c r="I6" s="21"/>
      <c r="J6" s="29"/>
      <c r="K6" s="29"/>
      <c r="L6" s="29"/>
      <c r="M6" s="31"/>
    </row>
    <row r="7" spans="1:14" s="2" customFormat="1" ht="14.1" customHeight="1" x14ac:dyDescent="0.3">
      <c r="A7" s="13">
        <v>3</v>
      </c>
      <c r="B7" s="33" t="s">
        <v>19</v>
      </c>
      <c r="C7" s="33"/>
      <c r="D7" s="34" t="s">
        <v>53</v>
      </c>
      <c r="E7" s="34"/>
      <c r="F7" s="34"/>
      <c r="G7" s="34"/>
      <c r="H7" s="35">
        <f>SUM(I7)-1.5</f>
        <v>23.5</v>
      </c>
      <c r="I7" s="36">
        <v>25</v>
      </c>
      <c r="J7" s="23">
        <f>SUM(I7)+1.5</f>
        <v>26.5</v>
      </c>
      <c r="K7" s="23">
        <f>SUM(J7)+1.5</f>
        <v>28</v>
      </c>
      <c r="L7" s="23"/>
      <c r="M7" s="30"/>
    </row>
    <row r="8" spans="1:14" s="2" customFormat="1" ht="14.1" customHeight="1" x14ac:dyDescent="0.3">
      <c r="A8" s="14"/>
      <c r="B8" s="26" t="s">
        <v>24</v>
      </c>
      <c r="C8" s="26"/>
      <c r="D8" s="27" t="s">
        <v>27</v>
      </c>
      <c r="E8" s="28"/>
      <c r="F8" s="28"/>
      <c r="G8" s="32"/>
      <c r="H8" s="19"/>
      <c r="I8" s="21"/>
      <c r="J8" s="29"/>
      <c r="K8" s="29"/>
      <c r="L8" s="29"/>
      <c r="M8" s="31"/>
    </row>
    <row r="9" spans="1:14" s="2" customFormat="1" ht="14.1" customHeight="1" x14ac:dyDescent="0.3">
      <c r="A9" s="13">
        <v>4</v>
      </c>
      <c r="B9" s="33" t="s">
        <v>10</v>
      </c>
      <c r="C9" s="33"/>
      <c r="D9" s="34" t="s">
        <v>0</v>
      </c>
      <c r="E9" s="34"/>
      <c r="F9" s="34"/>
      <c r="G9" s="34"/>
      <c r="H9" s="35">
        <f>SUM(I9)-0.9</f>
        <v>12</v>
      </c>
      <c r="I9" s="122">
        <v>12.9</v>
      </c>
      <c r="J9" s="37">
        <f>SUM(I9)+0.9</f>
        <v>13.8</v>
      </c>
      <c r="K9" s="37">
        <f>SUM(J9)+0.9</f>
        <v>14.700000000000001</v>
      </c>
      <c r="L9" s="23"/>
      <c r="M9" s="30"/>
    </row>
    <row r="10" spans="1:14" s="2" customFormat="1" ht="14.1" customHeight="1" x14ac:dyDescent="0.3">
      <c r="A10" s="14"/>
      <c r="B10" s="26" t="s">
        <v>13</v>
      </c>
      <c r="C10" s="26"/>
      <c r="D10" s="27" t="s">
        <v>29</v>
      </c>
      <c r="E10" s="28"/>
      <c r="F10" s="28"/>
      <c r="G10" s="32"/>
      <c r="H10" s="19"/>
      <c r="I10" s="122"/>
      <c r="J10" s="37"/>
      <c r="K10" s="37"/>
      <c r="L10" s="29"/>
      <c r="M10" s="31"/>
    </row>
    <row r="11" spans="1:14" s="2" customFormat="1" ht="14.1" customHeight="1" x14ac:dyDescent="0.3">
      <c r="A11" s="13">
        <v>5</v>
      </c>
      <c r="B11" s="33" t="s">
        <v>1</v>
      </c>
      <c r="C11" s="33"/>
      <c r="D11" s="34" t="s">
        <v>2</v>
      </c>
      <c r="E11" s="34"/>
      <c r="F11" s="34"/>
      <c r="G11" s="34"/>
      <c r="H11" s="35">
        <f>SUM(I11)-0.5</f>
        <v>13.3</v>
      </c>
      <c r="I11" s="122">
        <v>13.8</v>
      </c>
      <c r="J11" s="37">
        <f>SUM(I11)+0.5</f>
        <v>14.3</v>
      </c>
      <c r="K11" s="37">
        <f>SUM(J11)+0.5</f>
        <v>14.8</v>
      </c>
      <c r="L11" s="37"/>
      <c r="M11" s="38"/>
    </row>
    <row r="12" spans="1:14" s="2" customFormat="1" ht="14.1" customHeight="1" x14ac:dyDescent="0.3">
      <c r="A12" s="14"/>
      <c r="B12" s="26" t="s">
        <v>14</v>
      </c>
      <c r="C12" s="26"/>
      <c r="D12" s="27" t="s">
        <v>60</v>
      </c>
      <c r="E12" s="28"/>
      <c r="F12" s="28"/>
      <c r="G12" s="32"/>
      <c r="H12" s="19"/>
      <c r="I12" s="122"/>
      <c r="J12" s="37"/>
      <c r="K12" s="37"/>
      <c r="L12" s="37"/>
      <c r="M12" s="38"/>
    </row>
    <row r="13" spans="1:14" s="2" customFormat="1" ht="14.1" customHeight="1" x14ac:dyDescent="0.3">
      <c r="A13" s="13">
        <v>6</v>
      </c>
      <c r="B13" s="33" t="s">
        <v>3</v>
      </c>
      <c r="C13" s="33"/>
      <c r="D13" s="34" t="s">
        <v>4</v>
      </c>
      <c r="E13" s="34"/>
      <c r="F13" s="34"/>
      <c r="G13" s="34"/>
      <c r="H13" s="35">
        <f>SUM(I13)-0.3</f>
        <v>5.9</v>
      </c>
      <c r="I13" s="122">
        <v>6.2</v>
      </c>
      <c r="J13" s="37">
        <f>SUM(I13)+0.3</f>
        <v>6.5</v>
      </c>
      <c r="K13" s="37">
        <f>SUM(J13)+0.3</f>
        <v>6.8</v>
      </c>
      <c r="L13" s="37"/>
      <c r="M13" s="38"/>
    </row>
    <row r="14" spans="1:14" s="2" customFormat="1" ht="14.1" customHeight="1" x14ac:dyDescent="0.3">
      <c r="A14" s="14"/>
      <c r="B14" s="26" t="s">
        <v>15</v>
      </c>
      <c r="C14" s="26"/>
      <c r="D14" s="27" t="s">
        <v>59</v>
      </c>
      <c r="E14" s="28"/>
      <c r="F14" s="28"/>
      <c r="G14" s="32"/>
      <c r="H14" s="19"/>
      <c r="I14" s="122"/>
      <c r="J14" s="37"/>
      <c r="K14" s="37"/>
      <c r="L14" s="37"/>
      <c r="M14" s="38"/>
    </row>
    <row r="15" spans="1:14" s="2" customFormat="1" ht="14.1" customHeight="1" x14ac:dyDescent="0.3">
      <c r="A15" s="13">
        <v>7</v>
      </c>
      <c r="B15" s="40" t="s">
        <v>44</v>
      </c>
      <c r="C15" s="41"/>
      <c r="D15" s="42" t="s">
        <v>46</v>
      </c>
      <c r="E15" s="43"/>
      <c r="F15" s="43"/>
      <c r="G15" s="44"/>
      <c r="H15" s="35">
        <f>SUM(I15)-1.4</f>
        <v>33.6</v>
      </c>
      <c r="I15" s="122">
        <v>35</v>
      </c>
      <c r="J15" s="37">
        <f>SUM(I15)+1.4</f>
        <v>36.4</v>
      </c>
      <c r="K15" s="37">
        <f>SUM(J15)+1.4</f>
        <v>37.799999999999997</v>
      </c>
      <c r="L15" s="37"/>
      <c r="M15" s="38"/>
    </row>
    <row r="16" spans="1:14" s="2" customFormat="1" ht="14.1" customHeight="1" x14ac:dyDescent="0.3">
      <c r="A16" s="14"/>
      <c r="B16" s="26" t="s">
        <v>45</v>
      </c>
      <c r="C16" s="26"/>
      <c r="D16" s="27" t="s">
        <v>58</v>
      </c>
      <c r="E16" s="28"/>
      <c r="F16" s="28"/>
      <c r="G16" s="32"/>
      <c r="H16" s="19"/>
      <c r="I16" s="122"/>
      <c r="J16" s="37"/>
      <c r="K16" s="37"/>
      <c r="L16" s="37"/>
      <c r="M16" s="38"/>
    </row>
    <row r="17" spans="1:13" s="2" customFormat="1" ht="14.1" customHeight="1" x14ac:dyDescent="0.3">
      <c r="A17" s="13">
        <v>8</v>
      </c>
      <c r="B17" s="33" t="s">
        <v>5</v>
      </c>
      <c r="C17" s="33"/>
      <c r="D17" s="34" t="s">
        <v>6</v>
      </c>
      <c r="E17" s="34"/>
      <c r="F17" s="34"/>
      <c r="G17" s="34"/>
      <c r="H17" s="35">
        <f>SUM(I17)-2.9</f>
        <v>26.6</v>
      </c>
      <c r="I17" s="122">
        <v>29.5</v>
      </c>
      <c r="J17" s="37">
        <f>SUM(I17)+2.9</f>
        <v>32.4</v>
      </c>
      <c r="K17" s="37">
        <f>SUM(J17)+2.9</f>
        <v>35.299999999999997</v>
      </c>
      <c r="L17" s="37"/>
      <c r="M17" s="38"/>
    </row>
    <row r="18" spans="1:13" s="2" customFormat="1" ht="14.1" customHeight="1" x14ac:dyDescent="0.3">
      <c r="A18" s="14"/>
      <c r="B18" s="26" t="s">
        <v>16</v>
      </c>
      <c r="C18" s="26"/>
      <c r="D18" s="27" t="s">
        <v>32</v>
      </c>
      <c r="E18" s="28"/>
      <c r="F18" s="28"/>
      <c r="G18" s="32"/>
      <c r="H18" s="19"/>
      <c r="I18" s="122"/>
      <c r="J18" s="37"/>
      <c r="K18" s="37"/>
      <c r="L18" s="37"/>
      <c r="M18" s="38"/>
    </row>
    <row r="19" spans="1:13" s="2" customFormat="1" ht="14.1" customHeight="1" x14ac:dyDescent="0.3">
      <c r="A19" s="13">
        <v>9</v>
      </c>
      <c r="B19" s="33" t="s">
        <v>7</v>
      </c>
      <c r="C19" s="33"/>
      <c r="D19" s="42" t="s">
        <v>8</v>
      </c>
      <c r="E19" s="43"/>
      <c r="F19" s="43"/>
      <c r="G19" s="44"/>
      <c r="H19" s="35"/>
      <c r="I19" s="122"/>
      <c r="J19" s="37"/>
      <c r="K19" s="37"/>
      <c r="L19" s="37"/>
      <c r="M19" s="38"/>
    </row>
    <row r="20" spans="1:13" s="2" customFormat="1" ht="14.1" customHeight="1" x14ac:dyDescent="0.3">
      <c r="A20" s="14"/>
      <c r="B20" s="26" t="s">
        <v>17</v>
      </c>
      <c r="C20" s="26"/>
      <c r="D20" s="27" t="s">
        <v>36</v>
      </c>
      <c r="E20" s="28"/>
      <c r="F20" s="28"/>
      <c r="G20" s="32"/>
      <c r="H20" s="19"/>
      <c r="I20" s="122"/>
      <c r="J20" s="37"/>
      <c r="K20" s="37"/>
      <c r="L20" s="37"/>
      <c r="M20" s="38"/>
    </row>
    <row r="21" spans="1:13" s="2" customFormat="1" ht="14.1" customHeight="1" x14ac:dyDescent="0.3">
      <c r="A21" s="13">
        <v>10</v>
      </c>
      <c r="B21" s="40" t="s">
        <v>159</v>
      </c>
      <c r="C21" s="41"/>
      <c r="D21" s="34" t="s">
        <v>37</v>
      </c>
      <c r="E21" s="34"/>
      <c r="F21" s="34"/>
      <c r="G21" s="34"/>
      <c r="H21" s="35">
        <f>SUM(I21)-0.6</f>
        <v>13.4</v>
      </c>
      <c r="I21" s="36">
        <v>14</v>
      </c>
      <c r="J21" s="23">
        <f>SUM(I21)+0.6</f>
        <v>14.6</v>
      </c>
      <c r="K21" s="23">
        <f>SUM(J21)+0.6</f>
        <v>15.2</v>
      </c>
      <c r="L21" s="37"/>
      <c r="M21" s="38"/>
    </row>
    <row r="22" spans="1:13" s="2" customFormat="1" ht="14.1" customHeight="1" x14ac:dyDescent="0.3">
      <c r="A22" s="14"/>
      <c r="B22" s="26" t="s">
        <v>18</v>
      </c>
      <c r="C22" s="26"/>
      <c r="D22" s="27" t="s">
        <v>38</v>
      </c>
      <c r="E22" s="28"/>
      <c r="F22" s="28"/>
      <c r="G22" s="32"/>
      <c r="H22" s="19"/>
      <c r="I22" s="21"/>
      <c r="J22" s="29"/>
      <c r="K22" s="29"/>
      <c r="L22" s="37"/>
      <c r="M22" s="38"/>
    </row>
    <row r="23" spans="1:13" s="2" customFormat="1" ht="14.1" customHeight="1" x14ac:dyDescent="0.3">
      <c r="A23" s="14">
        <v>11</v>
      </c>
      <c r="B23" s="40" t="s">
        <v>183</v>
      </c>
      <c r="C23" s="41"/>
      <c r="D23" s="46"/>
      <c r="E23" s="47"/>
      <c r="F23" s="47"/>
      <c r="G23" s="48"/>
      <c r="H23" s="35">
        <f>SUM(I23)</f>
        <v>8.5</v>
      </c>
      <c r="I23" s="36">
        <v>8.5</v>
      </c>
      <c r="J23" s="23">
        <f>SUM(I23)+0.2</f>
        <v>8.6999999999999993</v>
      </c>
      <c r="K23" s="23">
        <f>SUM(J23)+0.2</f>
        <v>8.8999999999999986</v>
      </c>
      <c r="L23" s="33"/>
      <c r="M23" s="30"/>
    </row>
    <row r="24" spans="1:13" s="2" customFormat="1" ht="14.1" customHeight="1" thickBot="1" x14ac:dyDescent="0.35">
      <c r="A24" s="45"/>
      <c r="B24" s="51" t="s">
        <v>184</v>
      </c>
      <c r="C24" s="52"/>
      <c r="D24" s="53"/>
      <c r="E24" s="54"/>
      <c r="F24" s="54"/>
      <c r="G24" s="55"/>
      <c r="H24" s="49"/>
      <c r="I24" s="50"/>
      <c r="J24" s="66"/>
      <c r="K24" s="66"/>
      <c r="L24" s="134"/>
      <c r="M24" s="67"/>
    </row>
    <row r="25" spans="1:13" s="2" customFormat="1" ht="14.1" customHeight="1" thickTop="1" x14ac:dyDescent="0.3">
      <c r="A25" s="58">
        <v>12</v>
      </c>
      <c r="B25" s="59" t="s">
        <v>202</v>
      </c>
      <c r="C25" s="60"/>
      <c r="D25" s="135"/>
      <c r="E25" s="136"/>
      <c r="F25" s="136"/>
      <c r="G25" s="137"/>
      <c r="H25" s="64">
        <f>SUM(I25)-3.2</f>
        <v>35.299999999999997</v>
      </c>
      <c r="I25" s="65">
        <v>38.5</v>
      </c>
      <c r="J25" s="73">
        <f>SUM(I25)+3.2</f>
        <v>41.7</v>
      </c>
      <c r="K25" s="73">
        <f>SUM(J25)+3.2</f>
        <v>44.900000000000006</v>
      </c>
      <c r="L25" s="73"/>
      <c r="M25" s="74"/>
    </row>
    <row r="26" spans="1:13" s="2" customFormat="1" ht="14.1" customHeight="1" x14ac:dyDescent="0.3">
      <c r="A26" s="14"/>
      <c r="B26" s="56" t="s">
        <v>203</v>
      </c>
      <c r="C26" s="57"/>
      <c r="D26" s="27" t="s">
        <v>204</v>
      </c>
      <c r="E26" s="28"/>
      <c r="F26" s="28"/>
      <c r="G26" s="32"/>
      <c r="H26" s="19"/>
      <c r="I26" s="21"/>
      <c r="J26" s="29"/>
      <c r="K26" s="29"/>
      <c r="L26" s="29"/>
      <c r="M26" s="31"/>
    </row>
    <row r="27" spans="1:13" s="2" customFormat="1" ht="14.1" customHeight="1" x14ac:dyDescent="0.3">
      <c r="A27" s="13">
        <v>13</v>
      </c>
      <c r="B27" s="40" t="s">
        <v>125</v>
      </c>
      <c r="C27" s="41"/>
      <c r="D27" s="34"/>
      <c r="E27" s="34"/>
      <c r="F27" s="34"/>
      <c r="G27" s="34"/>
      <c r="H27" s="35">
        <f>SUM(I27)-1.2</f>
        <v>13.3</v>
      </c>
      <c r="I27" s="122">
        <v>14.5</v>
      </c>
      <c r="J27" s="37">
        <f>SUM(I27)+1.2</f>
        <v>15.7</v>
      </c>
      <c r="K27" s="37">
        <f>SUM(J27)+1.2</f>
        <v>16.899999999999999</v>
      </c>
      <c r="L27" s="37"/>
      <c r="M27" s="38"/>
    </row>
    <row r="28" spans="1:13" s="2" customFormat="1" ht="14.1" customHeight="1" x14ac:dyDescent="0.3">
      <c r="A28" s="14"/>
      <c r="B28" s="26" t="s">
        <v>126</v>
      </c>
      <c r="C28" s="26"/>
      <c r="D28" s="27"/>
      <c r="E28" s="28"/>
      <c r="F28" s="28"/>
      <c r="G28" s="32"/>
      <c r="H28" s="19"/>
      <c r="I28" s="122"/>
      <c r="J28" s="37"/>
      <c r="K28" s="37"/>
      <c r="L28" s="37"/>
      <c r="M28" s="38"/>
    </row>
    <row r="29" spans="1:13" s="2" customFormat="1" ht="14.1" customHeight="1" x14ac:dyDescent="0.3">
      <c r="A29" s="13">
        <v>14</v>
      </c>
      <c r="B29" s="33" t="s">
        <v>166</v>
      </c>
      <c r="C29" s="33"/>
      <c r="D29" s="34"/>
      <c r="E29" s="34"/>
      <c r="F29" s="34"/>
      <c r="G29" s="34"/>
      <c r="H29" s="35">
        <f>SUM(I29)-1.5</f>
        <v>21.5</v>
      </c>
      <c r="I29" s="36">
        <v>23</v>
      </c>
      <c r="J29" s="23">
        <f>SUM(I29)+1.5</f>
        <v>24.5</v>
      </c>
      <c r="K29" s="23">
        <f>SUM(J29)+1.5</f>
        <v>26</v>
      </c>
      <c r="L29" s="23"/>
      <c r="M29" s="30"/>
    </row>
    <row r="30" spans="1:13" s="2" customFormat="1" ht="14.1" customHeight="1" x14ac:dyDescent="0.3">
      <c r="A30" s="14"/>
      <c r="B30" s="26" t="s">
        <v>165</v>
      </c>
      <c r="C30" s="26"/>
      <c r="D30" s="27"/>
      <c r="E30" s="28"/>
      <c r="F30" s="28"/>
      <c r="G30" s="32"/>
      <c r="H30" s="19"/>
      <c r="I30" s="21"/>
      <c r="J30" s="29"/>
      <c r="K30" s="29"/>
      <c r="L30" s="29"/>
      <c r="M30" s="31"/>
    </row>
    <row r="31" spans="1:13" s="2" customFormat="1" ht="14.1" customHeight="1" x14ac:dyDescent="0.3">
      <c r="A31" s="13">
        <v>15</v>
      </c>
      <c r="B31" s="40" t="s">
        <v>160</v>
      </c>
      <c r="C31" s="41"/>
      <c r="D31" s="46"/>
      <c r="E31" s="47"/>
      <c r="F31" s="47"/>
      <c r="G31" s="48"/>
      <c r="H31" s="35">
        <f>SUM(I31)-0.3</f>
        <v>5.2</v>
      </c>
      <c r="I31" s="36">
        <v>5.5</v>
      </c>
      <c r="J31" s="23">
        <f>SUM(I31)+0.3</f>
        <v>5.8</v>
      </c>
      <c r="K31" s="23">
        <f>SUM(J31)+0.3</f>
        <v>6.1</v>
      </c>
      <c r="L31" s="23"/>
      <c r="M31" s="30"/>
    </row>
    <row r="32" spans="1:13" s="2" customFormat="1" ht="14.1" customHeight="1" x14ac:dyDescent="0.3">
      <c r="A32" s="14"/>
      <c r="B32" s="26" t="s">
        <v>161</v>
      </c>
      <c r="C32" s="26"/>
      <c r="D32" s="76" t="s">
        <v>211</v>
      </c>
      <c r="E32" s="28"/>
      <c r="F32" s="28"/>
      <c r="G32" s="32"/>
      <c r="H32" s="19"/>
      <c r="I32" s="21"/>
      <c r="J32" s="29"/>
      <c r="K32" s="29"/>
      <c r="L32" s="29"/>
      <c r="M32" s="31"/>
    </row>
    <row r="33" spans="1:13" s="2" customFormat="1" ht="14.1" customHeight="1" x14ac:dyDescent="0.3">
      <c r="A33" s="13">
        <v>16</v>
      </c>
      <c r="B33" s="40" t="s">
        <v>162</v>
      </c>
      <c r="C33" s="41"/>
      <c r="D33" s="34"/>
      <c r="E33" s="34"/>
      <c r="F33" s="34"/>
      <c r="G33" s="34"/>
      <c r="H33" s="35">
        <f>SUM(I33)-0.2</f>
        <v>3.3</v>
      </c>
      <c r="I33" s="36">
        <v>3.5</v>
      </c>
      <c r="J33" s="23">
        <f>SUM(I33)+0.2</f>
        <v>3.7</v>
      </c>
      <c r="K33" s="23">
        <f>SUM(J33)+0.2</f>
        <v>3.9000000000000004</v>
      </c>
      <c r="L33" s="23"/>
      <c r="M33" s="30"/>
    </row>
    <row r="34" spans="1:13" s="2" customFormat="1" ht="14.1" customHeight="1" x14ac:dyDescent="0.3">
      <c r="A34" s="14"/>
      <c r="B34" s="26" t="s">
        <v>163</v>
      </c>
      <c r="C34" s="26"/>
      <c r="D34" s="76" t="s">
        <v>234</v>
      </c>
      <c r="E34" s="28"/>
      <c r="F34" s="28"/>
      <c r="G34" s="32"/>
      <c r="H34" s="19"/>
      <c r="I34" s="21"/>
      <c r="J34" s="29"/>
      <c r="K34" s="29"/>
      <c r="L34" s="29"/>
      <c r="M34" s="31"/>
    </row>
    <row r="35" spans="1:13" ht="14.1" customHeight="1" x14ac:dyDescent="0.3">
      <c r="A35" s="13">
        <v>17</v>
      </c>
      <c r="B35" s="40" t="s">
        <v>206</v>
      </c>
      <c r="C35" s="41"/>
      <c r="D35" s="42"/>
      <c r="E35" s="43"/>
      <c r="F35" s="43"/>
      <c r="G35" s="44"/>
      <c r="H35" s="35">
        <f>SUM(I35)-0.8</f>
        <v>12.2</v>
      </c>
      <c r="I35" s="122">
        <v>13</v>
      </c>
      <c r="J35" s="37">
        <f>SUM(I35)+0.8</f>
        <v>13.8</v>
      </c>
      <c r="K35" s="37">
        <f>SUM(J35)+0.8</f>
        <v>14.600000000000001</v>
      </c>
      <c r="L35" s="23"/>
      <c r="M35" s="94"/>
    </row>
    <row r="36" spans="1:13" ht="14.1" customHeight="1" x14ac:dyDescent="0.3">
      <c r="A36" s="14"/>
      <c r="B36" s="26" t="s">
        <v>205</v>
      </c>
      <c r="C36" s="26"/>
      <c r="D36" s="27" t="s">
        <v>207</v>
      </c>
      <c r="E36" s="28"/>
      <c r="F36" s="28"/>
      <c r="G36" s="32"/>
      <c r="H36" s="19"/>
      <c r="I36" s="122"/>
      <c r="J36" s="37"/>
      <c r="K36" s="37"/>
      <c r="L36" s="29"/>
      <c r="M36" s="95"/>
    </row>
    <row r="37" spans="1:13" ht="14.1" customHeight="1" x14ac:dyDescent="0.3">
      <c r="A37" s="13">
        <v>18</v>
      </c>
      <c r="B37" s="33" t="s">
        <v>208</v>
      </c>
      <c r="C37" s="33"/>
      <c r="D37" s="34"/>
      <c r="E37" s="34"/>
      <c r="F37" s="34"/>
      <c r="G37" s="34"/>
      <c r="H37" s="35">
        <f>SUM(I37)-1.5</f>
        <v>27.5</v>
      </c>
      <c r="I37" s="36">
        <v>29</v>
      </c>
      <c r="J37" s="23">
        <f>SUM(I37)+1.5</f>
        <v>30.5</v>
      </c>
      <c r="K37" s="23">
        <f>SUM(J37)+1.5</f>
        <v>32</v>
      </c>
      <c r="L37" s="23"/>
      <c r="M37" s="30"/>
    </row>
    <row r="38" spans="1:13" ht="14.1" customHeight="1" thickBot="1" x14ac:dyDescent="0.35">
      <c r="A38" s="79"/>
      <c r="B38" s="133" t="s">
        <v>209</v>
      </c>
      <c r="C38" s="133"/>
      <c r="D38" s="126" t="s">
        <v>210</v>
      </c>
      <c r="E38" s="127"/>
      <c r="F38" s="127"/>
      <c r="G38" s="128"/>
      <c r="H38" s="80"/>
      <c r="I38" s="81"/>
      <c r="J38" s="82"/>
      <c r="K38" s="82"/>
      <c r="L38" s="82"/>
      <c r="M38" s="83"/>
    </row>
    <row r="39" spans="1:13" ht="14.1" customHeight="1" x14ac:dyDescent="0.3"/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>
      <c r="B42" s="1"/>
      <c r="C42" s="1"/>
      <c r="D42" s="1"/>
      <c r="E42" s="1"/>
      <c r="F42" s="1"/>
      <c r="G42" s="1"/>
    </row>
    <row r="43" spans="1:13" ht="14.1" customHeight="1" x14ac:dyDescent="0.3">
      <c r="B43" s="1"/>
      <c r="C43" s="1"/>
      <c r="D43" s="1"/>
      <c r="E43" s="1"/>
      <c r="F43" s="1"/>
      <c r="G43" s="1"/>
    </row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A7:A8"/>
    <mergeCell ref="B7:C7"/>
    <mergeCell ref="D7:G7"/>
    <mergeCell ref="H7:H8"/>
    <mergeCell ref="I7:I8"/>
    <mergeCell ref="A5:A6"/>
    <mergeCell ref="B5:C5"/>
    <mergeCell ref="D5:G5"/>
    <mergeCell ref="H5:H6"/>
    <mergeCell ref="I5:I6"/>
    <mergeCell ref="J5:J6"/>
    <mergeCell ref="K5:K6"/>
    <mergeCell ref="L5:L6"/>
    <mergeCell ref="M5:M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5:A26"/>
    <mergeCell ref="B25:C25"/>
    <mergeCell ref="D25:G25"/>
    <mergeCell ref="H25:H26"/>
    <mergeCell ref="I25:I26"/>
    <mergeCell ref="A21:A22"/>
    <mergeCell ref="B21:C21"/>
    <mergeCell ref="D21:G21"/>
    <mergeCell ref="H21:H22"/>
    <mergeCell ref="I21:I22"/>
    <mergeCell ref="A23:A24"/>
    <mergeCell ref="J25:J26"/>
    <mergeCell ref="K25:K26"/>
    <mergeCell ref="L25:L26"/>
    <mergeCell ref="M25:M26"/>
    <mergeCell ref="B26:C26"/>
    <mergeCell ref="D26:G26"/>
    <mergeCell ref="K21:K22"/>
    <mergeCell ref="L21:L22"/>
    <mergeCell ref="M21:M22"/>
    <mergeCell ref="B22:C22"/>
    <mergeCell ref="D22:G22"/>
    <mergeCell ref="J21:J22"/>
    <mergeCell ref="K23:K24"/>
    <mergeCell ref="L23:L24"/>
    <mergeCell ref="M23:M24"/>
    <mergeCell ref="B24:C24"/>
    <mergeCell ref="D24:G24"/>
    <mergeCell ref="B23:C23"/>
    <mergeCell ref="D23:G23"/>
    <mergeCell ref="H23:H24"/>
    <mergeCell ref="I23:I24"/>
    <mergeCell ref="J23:J24"/>
    <mergeCell ref="A37:A38"/>
    <mergeCell ref="B37:C37"/>
    <mergeCell ref="D37:G37"/>
    <mergeCell ref="H37:H38"/>
    <mergeCell ref="I37:I38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J27:J28"/>
    <mergeCell ref="J37:J38"/>
    <mergeCell ref="K37:K38"/>
    <mergeCell ref="L37:L38"/>
    <mergeCell ref="M37:M38"/>
    <mergeCell ref="B38:C38"/>
    <mergeCell ref="D38:G38"/>
    <mergeCell ref="K35:K36"/>
    <mergeCell ref="L35:L36"/>
    <mergeCell ref="K29:K30"/>
    <mergeCell ref="L29:L30"/>
    <mergeCell ref="M29:M30"/>
    <mergeCell ref="B30:C30"/>
    <mergeCell ref="D30:G30"/>
    <mergeCell ref="A33:A34"/>
    <mergeCell ref="B33:C33"/>
    <mergeCell ref="D33:G33"/>
    <mergeCell ref="H33:H34"/>
    <mergeCell ref="I33:I34"/>
    <mergeCell ref="A29:A30"/>
    <mergeCell ref="B29:C29"/>
    <mergeCell ref="D29:G29"/>
    <mergeCell ref="H29:H30"/>
    <mergeCell ref="I29:I30"/>
    <mergeCell ref="J29:J30"/>
    <mergeCell ref="K31:K32"/>
    <mergeCell ref="L31:L32"/>
    <mergeCell ref="M31:M32"/>
    <mergeCell ref="B32:C32"/>
    <mergeCell ref="J31:J32"/>
    <mergeCell ref="J33:J34"/>
    <mergeCell ref="K33:K34"/>
    <mergeCell ref="L33:L34"/>
    <mergeCell ref="M33:M34"/>
    <mergeCell ref="B34:C34"/>
    <mergeCell ref="D34:G34"/>
    <mergeCell ref="D32:G32"/>
    <mergeCell ref="A35:A36"/>
    <mergeCell ref="B35:C35"/>
    <mergeCell ref="D35:G35"/>
    <mergeCell ref="H35:H36"/>
    <mergeCell ref="I35:I36"/>
    <mergeCell ref="A31:A32"/>
    <mergeCell ref="B31:C31"/>
    <mergeCell ref="D31:G31"/>
    <mergeCell ref="H31:H32"/>
    <mergeCell ref="I31:I32"/>
    <mergeCell ref="M35:M36"/>
    <mergeCell ref="B36:C36"/>
    <mergeCell ref="D36:G36"/>
    <mergeCell ref="J35:J3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8960-FCC2-40DA-B27E-65DADDCA38ED}">
  <sheetPr>
    <tabColor theme="9"/>
    <pageSetUpPr fitToPage="1"/>
  </sheetPr>
  <dimension ref="A1:N51"/>
  <sheetViews>
    <sheetView zoomScale="110" zoomScaleNormal="110" workbookViewId="0">
      <selection activeCell="B31" sqref="B31:M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9" t="s">
        <v>190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4" ht="16.5" customHeight="1" thickBot="1" x14ac:dyDescent="0.35">
      <c r="A2" s="5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150</v>
      </c>
      <c r="I2" s="3" t="s">
        <v>151</v>
      </c>
      <c r="J2" s="4" t="s">
        <v>152</v>
      </c>
      <c r="K2" s="4" t="s">
        <v>164</v>
      </c>
      <c r="L2" s="4"/>
      <c r="M2" s="4"/>
      <c r="N2" t="s">
        <v>52</v>
      </c>
    </row>
    <row r="3" spans="1:14" s="2" customFormat="1" ht="14.1" customHeight="1" x14ac:dyDescent="0.3">
      <c r="A3" s="13">
        <v>1</v>
      </c>
      <c r="B3" s="51" t="s">
        <v>48</v>
      </c>
      <c r="C3" s="52"/>
      <c r="D3" s="53" t="s">
        <v>49</v>
      </c>
      <c r="E3" s="54"/>
      <c r="F3" s="54"/>
      <c r="G3" s="55"/>
      <c r="H3" s="22">
        <f>SUM(I3)-2.9</f>
        <v>31.1</v>
      </c>
      <c r="I3" s="121">
        <v>34</v>
      </c>
      <c r="J3" s="22">
        <f>SUM(I3)+2.9</f>
        <v>36.9</v>
      </c>
      <c r="K3" s="22">
        <f>SUM(J3)+2.9</f>
        <v>39.799999999999997</v>
      </c>
      <c r="L3" s="22"/>
      <c r="M3" s="123"/>
    </row>
    <row r="4" spans="1:14" s="2" customFormat="1" ht="14.1" customHeight="1" x14ac:dyDescent="0.3">
      <c r="A4" s="14"/>
      <c r="B4" s="26" t="s">
        <v>50</v>
      </c>
      <c r="C4" s="26"/>
      <c r="D4" s="27" t="s">
        <v>51</v>
      </c>
      <c r="E4" s="28"/>
      <c r="F4" s="28"/>
      <c r="G4" s="28"/>
      <c r="H4" s="23"/>
      <c r="I4" s="36"/>
      <c r="J4" s="23"/>
      <c r="K4" s="23"/>
      <c r="L4" s="23"/>
      <c r="M4" s="30"/>
    </row>
    <row r="5" spans="1:14" s="2" customFormat="1" ht="14.1" customHeight="1" x14ac:dyDescent="0.3">
      <c r="A5" s="14">
        <v>2</v>
      </c>
      <c r="B5" s="33" t="s">
        <v>21</v>
      </c>
      <c r="C5" s="33"/>
      <c r="D5" s="34" t="s">
        <v>22</v>
      </c>
      <c r="E5" s="34"/>
      <c r="F5" s="34"/>
      <c r="G5" s="34"/>
      <c r="H5" s="23">
        <f>SUM(I5)-1.4</f>
        <v>34</v>
      </c>
      <c r="I5" s="36">
        <v>35.4</v>
      </c>
      <c r="J5" s="23">
        <f>SUM(I5)+1.4</f>
        <v>36.799999999999997</v>
      </c>
      <c r="K5" s="23">
        <f>SUM(J5)+1.4</f>
        <v>38.199999999999996</v>
      </c>
      <c r="L5" s="23"/>
      <c r="M5" s="30"/>
    </row>
    <row r="6" spans="1:14" s="2" customFormat="1" ht="14.1" customHeight="1" x14ac:dyDescent="0.3">
      <c r="A6" s="14"/>
      <c r="B6" s="26" t="s">
        <v>11</v>
      </c>
      <c r="C6" s="26"/>
      <c r="D6" s="27" t="s">
        <v>26</v>
      </c>
      <c r="E6" s="28"/>
      <c r="F6" s="28"/>
      <c r="G6" s="32"/>
      <c r="H6" s="29"/>
      <c r="I6" s="21"/>
      <c r="J6" s="29"/>
      <c r="K6" s="29"/>
      <c r="L6" s="29"/>
      <c r="M6" s="31"/>
    </row>
    <row r="7" spans="1:14" s="2" customFormat="1" ht="14.1" customHeight="1" x14ac:dyDescent="0.3">
      <c r="A7" s="14">
        <v>3</v>
      </c>
      <c r="B7" s="33" t="s">
        <v>19</v>
      </c>
      <c r="C7" s="33"/>
      <c r="D7" s="34" t="s">
        <v>53</v>
      </c>
      <c r="E7" s="34"/>
      <c r="F7" s="34"/>
      <c r="G7" s="34"/>
      <c r="H7" s="23">
        <f>SUM(I7)-1.5</f>
        <v>35.5</v>
      </c>
      <c r="I7" s="36">
        <v>37</v>
      </c>
      <c r="J7" s="23">
        <f>SUM(I7)+1.5</f>
        <v>38.5</v>
      </c>
      <c r="K7" s="23">
        <f>SUM(J7)+1.5</f>
        <v>40</v>
      </c>
      <c r="L7" s="23"/>
      <c r="M7" s="30"/>
    </row>
    <row r="8" spans="1:14" s="2" customFormat="1" ht="14.1" customHeight="1" x14ac:dyDescent="0.3">
      <c r="A8" s="14"/>
      <c r="B8" s="26" t="s">
        <v>24</v>
      </c>
      <c r="C8" s="26"/>
      <c r="D8" s="27" t="s">
        <v>27</v>
      </c>
      <c r="E8" s="28"/>
      <c r="F8" s="28"/>
      <c r="G8" s="32"/>
      <c r="H8" s="29"/>
      <c r="I8" s="21"/>
      <c r="J8" s="29"/>
      <c r="K8" s="29"/>
      <c r="L8" s="29"/>
      <c r="M8" s="31"/>
    </row>
    <row r="9" spans="1:14" s="2" customFormat="1" ht="14.1" customHeight="1" x14ac:dyDescent="0.3">
      <c r="A9" s="14">
        <v>4</v>
      </c>
      <c r="B9" s="33" t="s">
        <v>186</v>
      </c>
      <c r="C9" s="33"/>
      <c r="D9" s="34" t="s">
        <v>9</v>
      </c>
      <c r="E9" s="34"/>
      <c r="F9" s="34"/>
      <c r="G9" s="34"/>
      <c r="H9" s="23">
        <f>SUM(I9)-1.2</f>
        <v>26.7</v>
      </c>
      <c r="I9" s="36">
        <v>27.9</v>
      </c>
      <c r="J9" s="23">
        <f>SUM(I9)+1.2</f>
        <v>29.099999999999998</v>
      </c>
      <c r="K9" s="23">
        <f>SUM(J9)+1.2</f>
        <v>30.299999999999997</v>
      </c>
      <c r="L9" s="23"/>
      <c r="M9" s="30"/>
    </row>
    <row r="10" spans="1:14" s="2" customFormat="1" ht="14.1" customHeight="1" x14ac:dyDescent="0.3">
      <c r="A10" s="14"/>
      <c r="B10" s="26" t="s">
        <v>12</v>
      </c>
      <c r="C10" s="26"/>
      <c r="D10" s="27" t="s">
        <v>187</v>
      </c>
      <c r="E10" s="28"/>
      <c r="F10" s="28"/>
      <c r="G10" s="32"/>
      <c r="H10" s="29"/>
      <c r="I10" s="21"/>
      <c r="J10" s="29"/>
      <c r="K10" s="29"/>
      <c r="L10" s="29"/>
      <c r="M10" s="31"/>
    </row>
    <row r="11" spans="1:14" s="2" customFormat="1" ht="14.1" customHeight="1" x14ac:dyDescent="0.3">
      <c r="A11" s="14">
        <v>5</v>
      </c>
      <c r="B11" s="33" t="s">
        <v>10</v>
      </c>
      <c r="C11" s="33"/>
      <c r="D11" s="34" t="s">
        <v>0</v>
      </c>
      <c r="E11" s="34"/>
      <c r="F11" s="34"/>
      <c r="G11" s="34"/>
      <c r="H11" s="37">
        <f>SUM(I11)-0.8</f>
        <v>13.799999999999999</v>
      </c>
      <c r="I11" s="122">
        <v>14.6</v>
      </c>
      <c r="J11" s="37">
        <f>SUM(I11)+0.8</f>
        <v>15.4</v>
      </c>
      <c r="K11" s="37">
        <f>SUM(J11)+0.8</f>
        <v>16.2</v>
      </c>
      <c r="L11" s="37"/>
      <c r="M11" s="38"/>
    </row>
    <row r="12" spans="1:14" s="2" customFormat="1" ht="14.1" customHeight="1" x14ac:dyDescent="0.3">
      <c r="A12" s="14"/>
      <c r="B12" s="26" t="s">
        <v>13</v>
      </c>
      <c r="C12" s="26"/>
      <c r="D12" s="27" t="s">
        <v>29</v>
      </c>
      <c r="E12" s="28"/>
      <c r="F12" s="28"/>
      <c r="G12" s="32"/>
      <c r="H12" s="37"/>
      <c r="I12" s="122"/>
      <c r="J12" s="37"/>
      <c r="K12" s="37"/>
      <c r="L12" s="37"/>
      <c r="M12" s="38"/>
    </row>
    <row r="13" spans="1:14" s="2" customFormat="1" ht="14.1" customHeight="1" x14ac:dyDescent="0.3">
      <c r="A13" s="14">
        <v>6</v>
      </c>
      <c r="B13" s="33" t="s">
        <v>1</v>
      </c>
      <c r="C13" s="33"/>
      <c r="D13" s="34" t="s">
        <v>2</v>
      </c>
      <c r="E13" s="34"/>
      <c r="F13" s="34"/>
      <c r="G13" s="34"/>
      <c r="H13" s="37">
        <f>SUM(I13)-0.5</f>
        <v>13.3</v>
      </c>
      <c r="I13" s="122">
        <v>13.8</v>
      </c>
      <c r="J13" s="37">
        <f>SUM(I13)+0.5</f>
        <v>14.3</v>
      </c>
      <c r="K13" s="37">
        <f>SUM(J13)+0.5</f>
        <v>14.8</v>
      </c>
      <c r="L13" s="37"/>
      <c r="M13" s="38"/>
    </row>
    <row r="14" spans="1:14" s="2" customFormat="1" ht="14.1" customHeight="1" x14ac:dyDescent="0.3">
      <c r="A14" s="14"/>
      <c r="B14" s="26" t="s">
        <v>14</v>
      </c>
      <c r="C14" s="26"/>
      <c r="D14" s="27" t="s">
        <v>30</v>
      </c>
      <c r="E14" s="28"/>
      <c r="F14" s="28"/>
      <c r="G14" s="32"/>
      <c r="H14" s="37"/>
      <c r="I14" s="122"/>
      <c r="J14" s="37"/>
      <c r="K14" s="37"/>
      <c r="L14" s="37"/>
      <c r="M14" s="38"/>
    </row>
    <row r="15" spans="1:14" s="2" customFormat="1" ht="14.1" customHeight="1" x14ac:dyDescent="0.3">
      <c r="A15" s="14">
        <v>7</v>
      </c>
      <c r="B15" s="33" t="s">
        <v>3</v>
      </c>
      <c r="C15" s="33"/>
      <c r="D15" s="34" t="s">
        <v>4</v>
      </c>
      <c r="E15" s="34"/>
      <c r="F15" s="34"/>
      <c r="G15" s="34"/>
      <c r="H15" s="37">
        <f>SUM(I15)-0.3</f>
        <v>5.6000000000000005</v>
      </c>
      <c r="I15" s="122">
        <v>5.9</v>
      </c>
      <c r="J15" s="37">
        <f>SUM(I15)+0.3</f>
        <v>6.2</v>
      </c>
      <c r="K15" s="37">
        <f>SUM(J15)+0.3</f>
        <v>6.5</v>
      </c>
      <c r="L15" s="37"/>
      <c r="M15" s="38"/>
    </row>
    <row r="16" spans="1:14" s="2" customFormat="1" ht="14.1" customHeight="1" x14ac:dyDescent="0.3">
      <c r="A16" s="14"/>
      <c r="B16" s="26" t="s">
        <v>15</v>
      </c>
      <c r="C16" s="26"/>
      <c r="D16" s="27" t="s">
        <v>31</v>
      </c>
      <c r="E16" s="28"/>
      <c r="F16" s="28"/>
      <c r="G16" s="32"/>
      <c r="H16" s="37"/>
      <c r="I16" s="122"/>
      <c r="J16" s="37"/>
      <c r="K16" s="37"/>
      <c r="L16" s="37"/>
      <c r="M16" s="38"/>
    </row>
    <row r="17" spans="1:13" s="2" customFormat="1" ht="14.1" customHeight="1" x14ac:dyDescent="0.3">
      <c r="A17" s="14">
        <v>8</v>
      </c>
      <c r="B17" s="40" t="s">
        <v>44</v>
      </c>
      <c r="C17" s="41"/>
      <c r="D17" s="42" t="s">
        <v>46</v>
      </c>
      <c r="E17" s="43"/>
      <c r="F17" s="43"/>
      <c r="G17" s="44"/>
      <c r="H17" s="37">
        <f>SUM(I17)-1.4</f>
        <v>33.700000000000003</v>
      </c>
      <c r="I17" s="122">
        <v>35.1</v>
      </c>
      <c r="J17" s="37">
        <f>SUM(I17)+1.4</f>
        <v>36.5</v>
      </c>
      <c r="K17" s="37">
        <f>SUM(J17)+1.4</f>
        <v>37.9</v>
      </c>
      <c r="L17" s="37"/>
      <c r="M17" s="38"/>
    </row>
    <row r="18" spans="1:13" s="2" customFormat="1" ht="14.1" customHeight="1" x14ac:dyDescent="0.3">
      <c r="A18" s="14"/>
      <c r="B18" s="26" t="s">
        <v>45</v>
      </c>
      <c r="C18" s="26"/>
      <c r="D18" s="27" t="s">
        <v>132</v>
      </c>
      <c r="E18" s="28"/>
      <c r="F18" s="28"/>
      <c r="G18" s="32"/>
      <c r="H18" s="37"/>
      <c r="I18" s="122"/>
      <c r="J18" s="37"/>
      <c r="K18" s="37"/>
      <c r="L18" s="37"/>
      <c r="M18" s="38"/>
    </row>
    <row r="19" spans="1:13" s="2" customFormat="1" ht="14.1" customHeight="1" x14ac:dyDescent="0.3">
      <c r="A19" s="14">
        <v>9</v>
      </c>
      <c r="B19" s="40" t="s">
        <v>139</v>
      </c>
      <c r="C19" s="41"/>
      <c r="D19" s="42"/>
      <c r="E19" s="43"/>
      <c r="F19" s="43"/>
      <c r="G19" s="44"/>
      <c r="H19" s="37">
        <f>SUM(I19)-0.2</f>
        <v>3</v>
      </c>
      <c r="I19" s="122">
        <v>3.2</v>
      </c>
      <c r="J19" s="37">
        <f>SUM(I19)+0.2</f>
        <v>3.4000000000000004</v>
      </c>
      <c r="K19" s="37">
        <f>SUM(J19)+0.2</f>
        <v>3.6000000000000005</v>
      </c>
      <c r="L19" s="37"/>
      <c r="M19" s="38"/>
    </row>
    <row r="20" spans="1:13" s="2" customFormat="1" ht="14.1" customHeight="1" x14ac:dyDescent="0.3">
      <c r="A20" s="14"/>
      <c r="B20" s="26" t="s">
        <v>140</v>
      </c>
      <c r="C20" s="26"/>
      <c r="D20" s="27" t="s">
        <v>141</v>
      </c>
      <c r="E20" s="28"/>
      <c r="F20" s="28"/>
      <c r="G20" s="32"/>
      <c r="H20" s="37"/>
      <c r="I20" s="122"/>
      <c r="J20" s="37"/>
      <c r="K20" s="37"/>
      <c r="L20" s="37"/>
      <c r="M20" s="38"/>
    </row>
    <row r="21" spans="1:13" s="2" customFormat="1" ht="14.1" customHeight="1" x14ac:dyDescent="0.3">
      <c r="A21" s="14">
        <v>10</v>
      </c>
      <c r="B21" s="33" t="s">
        <v>5</v>
      </c>
      <c r="C21" s="33"/>
      <c r="D21" s="34" t="s">
        <v>6</v>
      </c>
      <c r="E21" s="34"/>
      <c r="F21" s="34"/>
      <c r="G21" s="34"/>
      <c r="H21" s="37">
        <f>SUM(I21)-2.8</f>
        <v>21.5</v>
      </c>
      <c r="I21" s="122">
        <v>24.3</v>
      </c>
      <c r="J21" s="37">
        <f>SUM(I21)+2.8</f>
        <v>27.1</v>
      </c>
      <c r="K21" s="37">
        <f>SUM(J21)+2.8</f>
        <v>29.900000000000002</v>
      </c>
      <c r="L21" s="37"/>
      <c r="M21" s="38"/>
    </row>
    <row r="22" spans="1:13" s="2" customFormat="1" ht="14.1" customHeight="1" x14ac:dyDescent="0.3">
      <c r="A22" s="14"/>
      <c r="B22" s="26" t="s">
        <v>16</v>
      </c>
      <c r="C22" s="26"/>
      <c r="D22" s="27" t="s">
        <v>32</v>
      </c>
      <c r="E22" s="28"/>
      <c r="F22" s="28"/>
      <c r="G22" s="32"/>
      <c r="H22" s="37"/>
      <c r="I22" s="122"/>
      <c r="J22" s="37"/>
      <c r="K22" s="37"/>
      <c r="L22" s="37"/>
      <c r="M22" s="38"/>
    </row>
    <row r="23" spans="1:13" s="2" customFormat="1" ht="14.1" customHeight="1" x14ac:dyDescent="0.3">
      <c r="A23" s="14">
        <v>11</v>
      </c>
      <c r="B23" s="33" t="s">
        <v>7</v>
      </c>
      <c r="C23" s="33"/>
      <c r="D23" s="42" t="s">
        <v>8</v>
      </c>
      <c r="E23" s="43"/>
      <c r="F23" s="43"/>
      <c r="G23" s="44"/>
      <c r="H23" s="37">
        <f>SUM(I23)-1.5</f>
        <v>26.8</v>
      </c>
      <c r="I23" s="122">
        <v>28.3</v>
      </c>
      <c r="J23" s="37">
        <f>SUM(I23)+1.5</f>
        <v>29.8</v>
      </c>
      <c r="K23" s="37">
        <f>SUM(J23)+1.5</f>
        <v>31.3</v>
      </c>
      <c r="L23" s="37"/>
      <c r="M23" s="38"/>
    </row>
    <row r="24" spans="1:13" s="2" customFormat="1" ht="14.1" customHeight="1" x14ac:dyDescent="0.3">
      <c r="A24" s="14"/>
      <c r="B24" s="26" t="s">
        <v>17</v>
      </c>
      <c r="C24" s="26"/>
      <c r="D24" s="27" t="s">
        <v>36</v>
      </c>
      <c r="E24" s="28"/>
      <c r="F24" s="28"/>
      <c r="G24" s="32"/>
      <c r="H24" s="37"/>
      <c r="I24" s="122"/>
      <c r="J24" s="37"/>
      <c r="K24" s="37"/>
      <c r="L24" s="37"/>
      <c r="M24" s="38"/>
    </row>
    <row r="25" spans="1:13" s="2" customFormat="1" ht="14.1" customHeight="1" x14ac:dyDescent="0.3">
      <c r="A25" s="14">
        <v>12</v>
      </c>
      <c r="B25" s="40" t="s">
        <v>54</v>
      </c>
      <c r="C25" s="41"/>
      <c r="D25" s="34" t="s">
        <v>37</v>
      </c>
      <c r="E25" s="34"/>
      <c r="F25" s="34"/>
      <c r="G25" s="34"/>
      <c r="H25" s="37">
        <f>SUM(I25)-0.5</f>
        <v>12.5</v>
      </c>
      <c r="I25" s="122">
        <v>13</v>
      </c>
      <c r="J25" s="37">
        <f>SUM(I25)+0.5</f>
        <v>13.5</v>
      </c>
      <c r="K25" s="37">
        <f>SUM(J25)+0.5</f>
        <v>14</v>
      </c>
      <c r="L25" s="37"/>
      <c r="M25" s="38"/>
    </row>
    <row r="26" spans="1:13" s="2" customFormat="1" ht="14.1" customHeight="1" x14ac:dyDescent="0.3">
      <c r="A26" s="14"/>
      <c r="B26" s="26" t="s">
        <v>18</v>
      </c>
      <c r="C26" s="26"/>
      <c r="D26" s="27" t="s">
        <v>38</v>
      </c>
      <c r="E26" s="28"/>
      <c r="F26" s="28"/>
      <c r="G26" s="32"/>
      <c r="H26" s="37"/>
      <c r="I26" s="122"/>
      <c r="J26" s="37"/>
      <c r="K26" s="37"/>
      <c r="L26" s="37"/>
      <c r="M26" s="38"/>
    </row>
    <row r="27" spans="1:13" s="2" customFormat="1" ht="14.1" customHeight="1" x14ac:dyDescent="0.3">
      <c r="A27" s="14">
        <v>13</v>
      </c>
      <c r="B27" s="40" t="s">
        <v>134</v>
      </c>
      <c r="C27" s="41"/>
      <c r="D27" s="46"/>
      <c r="E27" s="47"/>
      <c r="F27" s="47"/>
      <c r="G27" s="48"/>
      <c r="H27" s="37">
        <f>SUM(I27)-0.5</f>
        <v>10</v>
      </c>
      <c r="I27" s="122">
        <v>10.5</v>
      </c>
      <c r="J27" s="23">
        <f>SUM(I27)+0.5</f>
        <v>11</v>
      </c>
      <c r="K27" s="23">
        <f>SUM(J27)+0.5</f>
        <v>11.5</v>
      </c>
      <c r="L27" s="23"/>
      <c r="M27" s="30"/>
    </row>
    <row r="28" spans="1:13" s="2" customFormat="1" ht="14.1" customHeight="1" x14ac:dyDescent="0.3">
      <c r="A28" s="14"/>
      <c r="B28" s="56" t="s">
        <v>135</v>
      </c>
      <c r="C28" s="57"/>
      <c r="D28" s="27"/>
      <c r="E28" s="28"/>
      <c r="F28" s="28"/>
      <c r="G28" s="32"/>
      <c r="H28" s="37"/>
      <c r="I28" s="122"/>
      <c r="J28" s="29"/>
      <c r="K28" s="29"/>
      <c r="L28" s="29"/>
      <c r="M28" s="31"/>
    </row>
    <row r="29" spans="1:13" s="2" customFormat="1" ht="14.1" customHeight="1" x14ac:dyDescent="0.3">
      <c r="A29" s="14">
        <v>14</v>
      </c>
      <c r="B29" s="40" t="s">
        <v>136</v>
      </c>
      <c r="C29" s="41"/>
      <c r="D29" s="46"/>
      <c r="E29" s="47"/>
      <c r="F29" s="47"/>
      <c r="G29" s="48"/>
      <c r="H29" s="37">
        <v>29.5</v>
      </c>
      <c r="I29" s="122">
        <v>32.5</v>
      </c>
      <c r="J29" s="23">
        <v>35.5</v>
      </c>
      <c r="K29" s="23">
        <v>38</v>
      </c>
      <c r="L29" s="23"/>
      <c r="M29" s="30"/>
    </row>
    <row r="30" spans="1:13" s="2" customFormat="1" ht="14.1" customHeight="1" x14ac:dyDescent="0.3">
      <c r="A30" s="14"/>
      <c r="B30" s="56" t="s">
        <v>137</v>
      </c>
      <c r="C30" s="57"/>
      <c r="D30" s="27" t="s">
        <v>138</v>
      </c>
      <c r="E30" s="28"/>
      <c r="F30" s="28"/>
      <c r="G30" s="32"/>
      <c r="H30" s="37"/>
      <c r="I30" s="122"/>
      <c r="J30" s="29"/>
      <c r="K30" s="29"/>
      <c r="L30" s="29"/>
      <c r="M30" s="31"/>
    </row>
    <row r="31" spans="1:13" s="2" customFormat="1" ht="14.1" customHeight="1" x14ac:dyDescent="0.3">
      <c r="A31" s="14">
        <v>15</v>
      </c>
      <c r="B31" s="40" t="s">
        <v>61</v>
      </c>
      <c r="C31" s="41"/>
      <c r="D31" s="46"/>
      <c r="E31" s="47"/>
      <c r="F31" s="47"/>
      <c r="G31" s="48"/>
      <c r="H31" s="23">
        <f>SUM(I31)-0.7</f>
        <v>5.0999999999999996</v>
      </c>
      <c r="I31" s="36">
        <v>5.8</v>
      </c>
      <c r="J31" s="23">
        <f>SUM(I31)+0.7</f>
        <v>6.5</v>
      </c>
      <c r="K31" s="23">
        <f>SUM(J31)+0.7</f>
        <v>7.2</v>
      </c>
      <c r="L31" s="23"/>
      <c r="M31" s="30"/>
    </row>
    <row r="32" spans="1:13" s="2" customFormat="1" ht="14.1" customHeight="1" x14ac:dyDescent="0.3">
      <c r="A32" s="14"/>
      <c r="B32" s="56" t="s">
        <v>62</v>
      </c>
      <c r="C32" s="57"/>
      <c r="D32" s="27" t="s">
        <v>188</v>
      </c>
      <c r="E32" s="28"/>
      <c r="F32" s="28"/>
      <c r="G32" s="32"/>
      <c r="H32" s="29"/>
      <c r="I32" s="21"/>
      <c r="J32" s="29"/>
      <c r="K32" s="29"/>
      <c r="L32" s="29"/>
      <c r="M32" s="31"/>
    </row>
    <row r="33" spans="1:13" s="2" customFormat="1" ht="14.1" customHeight="1" x14ac:dyDescent="0.3">
      <c r="A33" s="14">
        <v>16</v>
      </c>
      <c r="B33" s="40" t="s">
        <v>63</v>
      </c>
      <c r="C33" s="41"/>
      <c r="D33" s="46"/>
      <c r="E33" s="47"/>
      <c r="F33" s="47"/>
      <c r="G33" s="48"/>
      <c r="H33" s="23">
        <f>SUM(I33)-0.3</f>
        <v>3.9000000000000004</v>
      </c>
      <c r="I33" s="36">
        <v>4.2</v>
      </c>
      <c r="J33" s="23">
        <f>SUM(I33)+0.3</f>
        <v>4.5</v>
      </c>
      <c r="K33" s="23">
        <f>SUM(J33)+0.3</f>
        <v>4.8</v>
      </c>
      <c r="L33" s="23"/>
      <c r="M33" s="30"/>
    </row>
    <row r="34" spans="1:13" s="2" customFormat="1" ht="14.1" customHeight="1" x14ac:dyDescent="0.3">
      <c r="A34" s="14"/>
      <c r="B34" s="56" t="s">
        <v>64</v>
      </c>
      <c r="C34" s="57"/>
      <c r="D34" s="27" t="s">
        <v>189</v>
      </c>
      <c r="E34" s="28"/>
      <c r="F34" s="28"/>
      <c r="G34" s="32"/>
      <c r="H34" s="29"/>
      <c r="I34" s="21"/>
      <c r="J34" s="29"/>
      <c r="K34" s="29"/>
      <c r="L34" s="29"/>
      <c r="M34" s="31"/>
    </row>
    <row r="35" spans="1:13" ht="14.1" customHeight="1" x14ac:dyDescent="0.3">
      <c r="A35" s="14">
        <v>17</v>
      </c>
      <c r="B35" s="40"/>
      <c r="C35" s="41"/>
      <c r="D35" s="42"/>
      <c r="E35" s="43"/>
      <c r="F35" s="43"/>
      <c r="G35" s="44"/>
      <c r="H35" s="23"/>
      <c r="I35" s="36"/>
      <c r="J35" s="23"/>
      <c r="K35" s="35"/>
      <c r="L35" s="23"/>
      <c r="M35" s="30"/>
    </row>
    <row r="36" spans="1:13" ht="14.1" customHeight="1" thickBot="1" x14ac:dyDescent="0.35">
      <c r="A36" s="79"/>
      <c r="B36" s="84"/>
      <c r="C36" s="85"/>
      <c r="D36" s="126"/>
      <c r="E36" s="127"/>
      <c r="F36" s="127"/>
      <c r="G36" s="128"/>
      <c r="H36" s="82"/>
      <c r="I36" s="81"/>
      <c r="J36" s="82"/>
      <c r="K36" s="80"/>
      <c r="L36" s="82"/>
      <c r="M36" s="83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>
      <c r="B42" s="1"/>
      <c r="C42" s="1"/>
      <c r="D42" s="1"/>
      <c r="E42" s="1"/>
      <c r="F42" s="1"/>
      <c r="G42" s="1"/>
    </row>
    <row r="43" spans="1:13" ht="14.1" customHeight="1" x14ac:dyDescent="0.3">
      <c r="B43" s="1"/>
      <c r="C43" s="1"/>
      <c r="D43" s="1"/>
      <c r="E43" s="1"/>
      <c r="F43" s="1"/>
      <c r="G43" s="1"/>
    </row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69BD-164F-444A-A39F-FBA21CA9C180}">
  <sheetPr>
    <tabColor theme="9"/>
    <pageSetUpPr fitToPage="1"/>
  </sheetPr>
  <dimension ref="A1:N51"/>
  <sheetViews>
    <sheetView zoomScale="110" zoomScaleNormal="110" workbookViewId="0">
      <selection sqref="A1:M3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9" t="s">
        <v>185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4" ht="16.5" customHeight="1" thickBot="1" x14ac:dyDescent="0.35">
      <c r="A2" s="5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150</v>
      </c>
      <c r="I2" s="3" t="s">
        <v>151</v>
      </c>
      <c r="J2" s="4" t="s">
        <v>152</v>
      </c>
      <c r="K2" s="4" t="s">
        <v>164</v>
      </c>
      <c r="L2" s="4"/>
      <c r="M2" s="4"/>
      <c r="N2" t="s">
        <v>52</v>
      </c>
    </row>
    <row r="3" spans="1:14" s="2" customFormat="1" ht="14.1" customHeight="1" x14ac:dyDescent="0.3">
      <c r="A3" s="13">
        <v>1</v>
      </c>
      <c r="B3" s="51" t="s">
        <v>48</v>
      </c>
      <c r="C3" s="52"/>
      <c r="D3" s="53" t="s">
        <v>49</v>
      </c>
      <c r="E3" s="54"/>
      <c r="F3" s="54"/>
      <c r="G3" s="55"/>
      <c r="H3" s="22">
        <f>SUM(I3)-2.9</f>
        <v>31.1</v>
      </c>
      <c r="I3" s="121">
        <v>34</v>
      </c>
      <c r="J3" s="22">
        <f>SUM(I3)+2.9</f>
        <v>36.9</v>
      </c>
      <c r="K3" s="22">
        <f>SUM(J3)+2.9</f>
        <v>39.799999999999997</v>
      </c>
      <c r="L3" s="22"/>
      <c r="M3" s="123"/>
    </row>
    <row r="4" spans="1:14" s="2" customFormat="1" ht="14.1" customHeight="1" x14ac:dyDescent="0.3">
      <c r="A4" s="14"/>
      <c r="B4" s="26" t="s">
        <v>50</v>
      </c>
      <c r="C4" s="26"/>
      <c r="D4" s="27" t="s">
        <v>51</v>
      </c>
      <c r="E4" s="28"/>
      <c r="F4" s="28"/>
      <c r="G4" s="28"/>
      <c r="H4" s="23"/>
      <c r="I4" s="36"/>
      <c r="J4" s="23"/>
      <c r="K4" s="23"/>
      <c r="L4" s="23"/>
      <c r="M4" s="30"/>
    </row>
    <row r="5" spans="1:14" s="2" customFormat="1" ht="14.1" customHeight="1" x14ac:dyDescent="0.3">
      <c r="A5" s="14">
        <v>2</v>
      </c>
      <c r="B5" s="33" t="s">
        <v>21</v>
      </c>
      <c r="C5" s="33"/>
      <c r="D5" s="34" t="s">
        <v>22</v>
      </c>
      <c r="E5" s="34"/>
      <c r="F5" s="34"/>
      <c r="G5" s="34"/>
      <c r="H5" s="23">
        <f>SUM(I5)-1.4</f>
        <v>34.6</v>
      </c>
      <c r="I5" s="36">
        <v>36</v>
      </c>
      <c r="J5" s="23">
        <f>SUM(I5)+1.4</f>
        <v>37.4</v>
      </c>
      <c r="K5" s="23">
        <f>SUM(J5)+1.4</f>
        <v>38.799999999999997</v>
      </c>
      <c r="L5" s="23"/>
      <c r="M5" s="30"/>
    </row>
    <row r="6" spans="1:14" s="2" customFormat="1" ht="14.1" customHeight="1" x14ac:dyDescent="0.3">
      <c r="A6" s="14"/>
      <c r="B6" s="26" t="s">
        <v>11</v>
      </c>
      <c r="C6" s="26"/>
      <c r="D6" s="27" t="s">
        <v>26</v>
      </c>
      <c r="E6" s="28"/>
      <c r="F6" s="28"/>
      <c r="G6" s="32"/>
      <c r="H6" s="29"/>
      <c r="I6" s="21"/>
      <c r="J6" s="29"/>
      <c r="K6" s="29"/>
      <c r="L6" s="29"/>
      <c r="M6" s="31"/>
    </row>
    <row r="7" spans="1:14" s="2" customFormat="1" ht="14.1" customHeight="1" x14ac:dyDescent="0.3">
      <c r="A7" s="14">
        <v>3</v>
      </c>
      <c r="B7" s="33" t="s">
        <v>19</v>
      </c>
      <c r="C7" s="33"/>
      <c r="D7" s="34" t="s">
        <v>53</v>
      </c>
      <c r="E7" s="34"/>
      <c r="F7" s="34"/>
      <c r="G7" s="34"/>
      <c r="H7" s="23">
        <f>SUM(I7)-1.5</f>
        <v>35.5</v>
      </c>
      <c r="I7" s="36">
        <v>37</v>
      </c>
      <c r="J7" s="23">
        <f>SUM(I7)+1.5</f>
        <v>38.5</v>
      </c>
      <c r="K7" s="23">
        <f>SUM(J7)+1.5</f>
        <v>40</v>
      </c>
      <c r="L7" s="23"/>
      <c r="M7" s="30"/>
    </row>
    <row r="8" spans="1:14" s="2" customFormat="1" ht="14.1" customHeight="1" x14ac:dyDescent="0.3">
      <c r="A8" s="14"/>
      <c r="B8" s="26" t="s">
        <v>24</v>
      </c>
      <c r="C8" s="26"/>
      <c r="D8" s="27" t="s">
        <v>27</v>
      </c>
      <c r="E8" s="28"/>
      <c r="F8" s="28"/>
      <c r="G8" s="32"/>
      <c r="H8" s="29"/>
      <c r="I8" s="21"/>
      <c r="J8" s="29"/>
      <c r="K8" s="29"/>
      <c r="L8" s="29"/>
      <c r="M8" s="31"/>
    </row>
    <row r="9" spans="1:14" s="2" customFormat="1" ht="14.1" customHeight="1" x14ac:dyDescent="0.3">
      <c r="A9" s="14">
        <v>4</v>
      </c>
      <c r="B9" s="33" t="s">
        <v>186</v>
      </c>
      <c r="C9" s="33"/>
      <c r="D9" s="34" t="s">
        <v>9</v>
      </c>
      <c r="E9" s="34"/>
      <c r="F9" s="34"/>
      <c r="G9" s="34"/>
      <c r="H9" s="23">
        <f>SUM(I9)-1.2</f>
        <v>28.3</v>
      </c>
      <c r="I9" s="36">
        <v>29.5</v>
      </c>
      <c r="J9" s="23">
        <f>SUM(I9)+1.2</f>
        <v>30.7</v>
      </c>
      <c r="K9" s="23">
        <f>SUM(J9)+1.2</f>
        <v>31.9</v>
      </c>
      <c r="L9" s="23"/>
      <c r="M9" s="30"/>
    </row>
    <row r="10" spans="1:14" s="2" customFormat="1" ht="14.1" customHeight="1" x14ac:dyDescent="0.3">
      <c r="A10" s="14"/>
      <c r="B10" s="26" t="s">
        <v>12</v>
      </c>
      <c r="C10" s="26"/>
      <c r="D10" s="27" t="s">
        <v>187</v>
      </c>
      <c r="E10" s="28"/>
      <c r="F10" s="28"/>
      <c r="G10" s="32"/>
      <c r="H10" s="29"/>
      <c r="I10" s="21"/>
      <c r="J10" s="29"/>
      <c r="K10" s="29"/>
      <c r="L10" s="29"/>
      <c r="M10" s="31"/>
    </row>
    <row r="11" spans="1:14" s="2" customFormat="1" ht="14.1" customHeight="1" x14ac:dyDescent="0.3">
      <c r="A11" s="14">
        <v>5</v>
      </c>
      <c r="B11" s="33" t="s">
        <v>10</v>
      </c>
      <c r="C11" s="33"/>
      <c r="D11" s="34" t="s">
        <v>0</v>
      </c>
      <c r="E11" s="34"/>
      <c r="F11" s="34"/>
      <c r="G11" s="34"/>
      <c r="H11" s="37">
        <f>SUM(I11)-0.8</f>
        <v>14.399999999999999</v>
      </c>
      <c r="I11" s="122">
        <v>15.2</v>
      </c>
      <c r="J11" s="37">
        <f>SUM(I11)+0.8</f>
        <v>16</v>
      </c>
      <c r="K11" s="37">
        <f>SUM(J11)+0.8</f>
        <v>16.8</v>
      </c>
      <c r="L11" s="37"/>
      <c r="M11" s="38"/>
    </row>
    <row r="12" spans="1:14" s="2" customFormat="1" ht="14.1" customHeight="1" x14ac:dyDescent="0.3">
      <c r="A12" s="14"/>
      <c r="B12" s="26" t="s">
        <v>13</v>
      </c>
      <c r="C12" s="26"/>
      <c r="D12" s="27" t="s">
        <v>29</v>
      </c>
      <c r="E12" s="28"/>
      <c r="F12" s="28"/>
      <c r="G12" s="32"/>
      <c r="H12" s="37"/>
      <c r="I12" s="122"/>
      <c r="J12" s="37"/>
      <c r="K12" s="37"/>
      <c r="L12" s="37"/>
      <c r="M12" s="38"/>
    </row>
    <row r="13" spans="1:14" s="2" customFormat="1" ht="14.1" customHeight="1" x14ac:dyDescent="0.3">
      <c r="A13" s="14">
        <v>6</v>
      </c>
      <c r="B13" s="33" t="s">
        <v>1</v>
      </c>
      <c r="C13" s="33"/>
      <c r="D13" s="34" t="s">
        <v>2</v>
      </c>
      <c r="E13" s="34"/>
      <c r="F13" s="34"/>
      <c r="G13" s="34"/>
      <c r="H13" s="37">
        <f>SUM(I13)-0.5</f>
        <v>13.3</v>
      </c>
      <c r="I13" s="122">
        <v>13.8</v>
      </c>
      <c r="J13" s="37">
        <f>SUM(I13)+0.5</f>
        <v>14.3</v>
      </c>
      <c r="K13" s="37">
        <f>SUM(J13)+0.5</f>
        <v>14.8</v>
      </c>
      <c r="L13" s="37"/>
      <c r="M13" s="38"/>
    </row>
    <row r="14" spans="1:14" s="2" customFormat="1" ht="14.1" customHeight="1" x14ac:dyDescent="0.3">
      <c r="A14" s="14"/>
      <c r="B14" s="26" t="s">
        <v>14</v>
      </c>
      <c r="C14" s="26"/>
      <c r="D14" s="27" t="s">
        <v>30</v>
      </c>
      <c r="E14" s="28"/>
      <c r="F14" s="28"/>
      <c r="G14" s="32"/>
      <c r="H14" s="37"/>
      <c r="I14" s="122"/>
      <c r="J14" s="37"/>
      <c r="K14" s="37"/>
      <c r="L14" s="37"/>
      <c r="M14" s="38"/>
    </row>
    <row r="15" spans="1:14" s="2" customFormat="1" ht="14.1" customHeight="1" x14ac:dyDescent="0.3">
      <c r="A15" s="14">
        <v>7</v>
      </c>
      <c r="B15" s="33" t="s">
        <v>3</v>
      </c>
      <c r="C15" s="33"/>
      <c r="D15" s="34" t="s">
        <v>4</v>
      </c>
      <c r="E15" s="34"/>
      <c r="F15" s="34"/>
      <c r="G15" s="34"/>
      <c r="H15" s="37">
        <f>SUM(I15)-0.3</f>
        <v>5.6000000000000005</v>
      </c>
      <c r="I15" s="122">
        <v>5.9</v>
      </c>
      <c r="J15" s="37">
        <f>SUM(I15)+0.3</f>
        <v>6.2</v>
      </c>
      <c r="K15" s="37">
        <f>SUM(J15)+0.3</f>
        <v>6.5</v>
      </c>
      <c r="L15" s="37"/>
      <c r="M15" s="38"/>
    </row>
    <row r="16" spans="1:14" s="2" customFormat="1" ht="14.1" customHeight="1" x14ac:dyDescent="0.3">
      <c r="A16" s="14"/>
      <c r="B16" s="26" t="s">
        <v>15</v>
      </c>
      <c r="C16" s="26"/>
      <c r="D16" s="27" t="s">
        <v>31</v>
      </c>
      <c r="E16" s="28"/>
      <c r="F16" s="28"/>
      <c r="G16" s="32"/>
      <c r="H16" s="37"/>
      <c r="I16" s="122"/>
      <c r="J16" s="37"/>
      <c r="K16" s="37"/>
      <c r="L16" s="37"/>
      <c r="M16" s="38"/>
    </row>
    <row r="17" spans="1:13" s="2" customFormat="1" ht="14.1" customHeight="1" x14ac:dyDescent="0.3">
      <c r="A17" s="14">
        <v>8</v>
      </c>
      <c r="B17" s="40" t="s">
        <v>44</v>
      </c>
      <c r="C17" s="41"/>
      <c r="D17" s="42" t="s">
        <v>46</v>
      </c>
      <c r="E17" s="43"/>
      <c r="F17" s="43"/>
      <c r="G17" s="44"/>
      <c r="H17" s="37">
        <f>SUM(I17)-1.4</f>
        <v>33.700000000000003</v>
      </c>
      <c r="I17" s="122">
        <v>35.1</v>
      </c>
      <c r="J17" s="37">
        <f>SUM(I17)+1.4</f>
        <v>36.5</v>
      </c>
      <c r="K17" s="37">
        <f>SUM(J17)+1.4</f>
        <v>37.9</v>
      </c>
      <c r="L17" s="37"/>
      <c r="M17" s="38"/>
    </row>
    <row r="18" spans="1:13" s="2" customFormat="1" ht="14.1" customHeight="1" x14ac:dyDescent="0.3">
      <c r="A18" s="14"/>
      <c r="B18" s="26" t="s">
        <v>45</v>
      </c>
      <c r="C18" s="26"/>
      <c r="D18" s="27" t="s">
        <v>132</v>
      </c>
      <c r="E18" s="28"/>
      <c r="F18" s="28"/>
      <c r="G18" s="32"/>
      <c r="H18" s="37"/>
      <c r="I18" s="122"/>
      <c r="J18" s="37"/>
      <c r="K18" s="37"/>
      <c r="L18" s="37"/>
      <c r="M18" s="38"/>
    </row>
    <row r="19" spans="1:13" s="2" customFormat="1" ht="14.1" customHeight="1" x14ac:dyDescent="0.3">
      <c r="A19" s="14">
        <v>9</v>
      </c>
      <c r="B19" s="40" t="s">
        <v>139</v>
      </c>
      <c r="C19" s="41"/>
      <c r="D19" s="42"/>
      <c r="E19" s="43"/>
      <c r="F19" s="43"/>
      <c r="G19" s="44"/>
      <c r="H19" s="37">
        <f>SUM(I19)-0.2</f>
        <v>2.8</v>
      </c>
      <c r="I19" s="122">
        <v>3</v>
      </c>
      <c r="J19" s="37">
        <f>SUM(I19)+0.2</f>
        <v>3.2</v>
      </c>
      <c r="K19" s="37">
        <f>SUM(J19)+0.2</f>
        <v>3.4000000000000004</v>
      </c>
      <c r="L19" s="37"/>
      <c r="M19" s="38"/>
    </row>
    <row r="20" spans="1:13" s="2" customFormat="1" ht="14.1" customHeight="1" x14ac:dyDescent="0.3">
      <c r="A20" s="14"/>
      <c r="B20" s="26" t="s">
        <v>140</v>
      </c>
      <c r="C20" s="26"/>
      <c r="D20" s="27" t="s">
        <v>141</v>
      </c>
      <c r="E20" s="28"/>
      <c r="F20" s="28"/>
      <c r="G20" s="32"/>
      <c r="H20" s="37"/>
      <c r="I20" s="122"/>
      <c r="J20" s="37"/>
      <c r="K20" s="37"/>
      <c r="L20" s="37"/>
      <c r="M20" s="38"/>
    </row>
    <row r="21" spans="1:13" s="2" customFormat="1" ht="14.1" customHeight="1" x14ac:dyDescent="0.3">
      <c r="A21" s="14">
        <v>10</v>
      </c>
      <c r="B21" s="33" t="s">
        <v>5</v>
      </c>
      <c r="C21" s="33"/>
      <c r="D21" s="34" t="s">
        <v>6</v>
      </c>
      <c r="E21" s="34"/>
      <c r="F21" s="34"/>
      <c r="G21" s="34"/>
      <c r="H21" s="37">
        <f>SUM(I21)-2.8</f>
        <v>21.2</v>
      </c>
      <c r="I21" s="122">
        <v>24</v>
      </c>
      <c r="J21" s="37">
        <f>SUM(I21)+2.8</f>
        <v>26.8</v>
      </c>
      <c r="K21" s="37">
        <f>SUM(J21)+2.8</f>
        <v>29.6</v>
      </c>
      <c r="L21" s="37"/>
      <c r="M21" s="38"/>
    </row>
    <row r="22" spans="1:13" s="2" customFormat="1" ht="14.1" customHeight="1" x14ac:dyDescent="0.3">
      <c r="A22" s="14"/>
      <c r="B22" s="26" t="s">
        <v>16</v>
      </c>
      <c r="C22" s="26"/>
      <c r="D22" s="27" t="s">
        <v>32</v>
      </c>
      <c r="E22" s="28"/>
      <c r="F22" s="28"/>
      <c r="G22" s="32"/>
      <c r="H22" s="37"/>
      <c r="I22" s="122"/>
      <c r="J22" s="37"/>
      <c r="K22" s="37"/>
      <c r="L22" s="37"/>
      <c r="M22" s="38"/>
    </row>
    <row r="23" spans="1:13" s="2" customFormat="1" ht="14.1" customHeight="1" x14ac:dyDescent="0.3">
      <c r="A23" s="14">
        <v>11</v>
      </c>
      <c r="B23" s="33" t="s">
        <v>7</v>
      </c>
      <c r="C23" s="33"/>
      <c r="D23" s="42" t="s">
        <v>8</v>
      </c>
      <c r="E23" s="43"/>
      <c r="F23" s="43"/>
      <c r="G23" s="44"/>
      <c r="H23" s="37">
        <f>SUM(I23)-1.5</f>
        <v>28.3</v>
      </c>
      <c r="I23" s="122">
        <v>29.8</v>
      </c>
      <c r="J23" s="37">
        <f>SUM(I23)+1.5</f>
        <v>31.3</v>
      </c>
      <c r="K23" s="37">
        <f>SUM(J23)+1.5</f>
        <v>32.799999999999997</v>
      </c>
      <c r="L23" s="37"/>
      <c r="M23" s="38"/>
    </row>
    <row r="24" spans="1:13" s="2" customFormat="1" ht="14.1" customHeight="1" x14ac:dyDescent="0.3">
      <c r="A24" s="14"/>
      <c r="B24" s="26" t="s">
        <v>17</v>
      </c>
      <c r="C24" s="26"/>
      <c r="D24" s="27" t="s">
        <v>36</v>
      </c>
      <c r="E24" s="28"/>
      <c r="F24" s="28"/>
      <c r="G24" s="32"/>
      <c r="H24" s="37"/>
      <c r="I24" s="122"/>
      <c r="J24" s="37"/>
      <c r="K24" s="37"/>
      <c r="L24" s="37"/>
      <c r="M24" s="38"/>
    </row>
    <row r="25" spans="1:13" s="2" customFormat="1" ht="14.1" customHeight="1" x14ac:dyDescent="0.3">
      <c r="A25" s="14">
        <v>12</v>
      </c>
      <c r="B25" s="40" t="s">
        <v>54</v>
      </c>
      <c r="C25" s="41"/>
      <c r="D25" s="34" t="s">
        <v>37</v>
      </c>
      <c r="E25" s="34"/>
      <c r="F25" s="34"/>
      <c r="G25" s="34"/>
      <c r="H25" s="37">
        <f>SUM(I25)-0.5</f>
        <v>13.5</v>
      </c>
      <c r="I25" s="122">
        <v>14</v>
      </c>
      <c r="J25" s="37">
        <f>SUM(I25)+0.5</f>
        <v>14.5</v>
      </c>
      <c r="K25" s="37">
        <f>SUM(J25)+0.5</f>
        <v>15</v>
      </c>
      <c r="L25" s="37"/>
      <c r="M25" s="38"/>
    </row>
    <row r="26" spans="1:13" s="2" customFormat="1" ht="14.1" customHeight="1" x14ac:dyDescent="0.3">
      <c r="A26" s="14"/>
      <c r="B26" s="26" t="s">
        <v>18</v>
      </c>
      <c r="C26" s="26"/>
      <c r="D26" s="27" t="s">
        <v>38</v>
      </c>
      <c r="E26" s="28"/>
      <c r="F26" s="28"/>
      <c r="G26" s="32"/>
      <c r="H26" s="37"/>
      <c r="I26" s="122"/>
      <c r="J26" s="37"/>
      <c r="K26" s="37"/>
      <c r="L26" s="37"/>
      <c r="M26" s="38"/>
    </row>
    <row r="27" spans="1:13" s="2" customFormat="1" ht="14.1" customHeight="1" x14ac:dyDescent="0.3">
      <c r="A27" s="14">
        <v>13</v>
      </c>
      <c r="B27" s="40" t="s">
        <v>134</v>
      </c>
      <c r="C27" s="41"/>
      <c r="D27" s="46"/>
      <c r="E27" s="47"/>
      <c r="F27" s="47"/>
      <c r="G27" s="48"/>
      <c r="H27" s="37">
        <f>SUM(I27)-0.5</f>
        <v>9.5</v>
      </c>
      <c r="I27" s="122">
        <v>10</v>
      </c>
      <c r="J27" s="23">
        <f>SUM(I27)+0.5</f>
        <v>10.5</v>
      </c>
      <c r="K27" s="23">
        <f>SUM(J27)+0.5</f>
        <v>11</v>
      </c>
      <c r="L27" s="23"/>
      <c r="M27" s="30"/>
    </row>
    <row r="28" spans="1:13" s="2" customFormat="1" ht="14.1" customHeight="1" x14ac:dyDescent="0.3">
      <c r="A28" s="14"/>
      <c r="B28" s="56" t="s">
        <v>135</v>
      </c>
      <c r="C28" s="57"/>
      <c r="D28" s="27"/>
      <c r="E28" s="28"/>
      <c r="F28" s="28"/>
      <c r="G28" s="32"/>
      <c r="H28" s="37"/>
      <c r="I28" s="122"/>
      <c r="J28" s="29"/>
      <c r="K28" s="29"/>
      <c r="L28" s="29"/>
      <c r="M28" s="31"/>
    </row>
    <row r="29" spans="1:13" s="2" customFormat="1" ht="14.1" customHeight="1" x14ac:dyDescent="0.3">
      <c r="A29" s="14">
        <v>14</v>
      </c>
      <c r="B29" s="40" t="s">
        <v>136</v>
      </c>
      <c r="C29" s="41"/>
      <c r="D29" s="46"/>
      <c r="E29" s="47"/>
      <c r="F29" s="47"/>
      <c r="G29" s="48"/>
      <c r="H29" s="37">
        <v>29.5</v>
      </c>
      <c r="I29" s="122">
        <v>32</v>
      </c>
      <c r="J29" s="23">
        <v>35</v>
      </c>
      <c r="K29" s="23">
        <v>38</v>
      </c>
      <c r="L29" s="23"/>
      <c r="M29" s="30"/>
    </row>
    <row r="30" spans="1:13" s="2" customFormat="1" ht="14.1" customHeight="1" x14ac:dyDescent="0.3">
      <c r="A30" s="14"/>
      <c r="B30" s="56" t="s">
        <v>137</v>
      </c>
      <c r="C30" s="57"/>
      <c r="D30" s="27" t="s">
        <v>138</v>
      </c>
      <c r="E30" s="28"/>
      <c r="F30" s="28"/>
      <c r="G30" s="32"/>
      <c r="H30" s="37"/>
      <c r="I30" s="122"/>
      <c r="J30" s="29"/>
      <c r="K30" s="29"/>
      <c r="L30" s="29"/>
      <c r="M30" s="31"/>
    </row>
    <row r="31" spans="1:13" s="2" customFormat="1" ht="14.1" customHeight="1" x14ac:dyDescent="0.3">
      <c r="A31" s="14">
        <v>15</v>
      </c>
      <c r="B31" s="40" t="s">
        <v>40</v>
      </c>
      <c r="C31" s="41"/>
      <c r="D31" s="46"/>
      <c r="E31" s="47"/>
      <c r="F31" s="47"/>
      <c r="G31" s="48"/>
      <c r="H31" s="37">
        <f>SUM(I31)-0.7</f>
        <v>7.1</v>
      </c>
      <c r="I31" s="122">
        <v>7.8</v>
      </c>
      <c r="J31" s="23">
        <f>SUM(I31)+0.7</f>
        <v>8.5</v>
      </c>
      <c r="K31" s="23">
        <f>SUM(J31)+0.7</f>
        <v>9.1999999999999993</v>
      </c>
      <c r="L31" s="23"/>
      <c r="M31" s="30"/>
    </row>
    <row r="32" spans="1:13" s="2" customFormat="1" ht="14.1" customHeight="1" x14ac:dyDescent="0.3">
      <c r="A32" s="14"/>
      <c r="B32" s="56" t="s">
        <v>41</v>
      </c>
      <c r="C32" s="57"/>
      <c r="D32" s="27" t="s">
        <v>188</v>
      </c>
      <c r="E32" s="28"/>
      <c r="F32" s="28"/>
      <c r="G32" s="32"/>
      <c r="H32" s="37"/>
      <c r="I32" s="122"/>
      <c r="J32" s="29"/>
      <c r="K32" s="29"/>
      <c r="L32" s="29"/>
      <c r="M32" s="31"/>
    </row>
    <row r="33" spans="1:13" s="2" customFormat="1" ht="14.1" customHeight="1" x14ac:dyDescent="0.3">
      <c r="A33" s="14">
        <v>16</v>
      </c>
      <c r="B33" s="40" t="s">
        <v>42</v>
      </c>
      <c r="C33" s="41"/>
      <c r="D33" s="46"/>
      <c r="E33" s="47"/>
      <c r="F33" s="47"/>
      <c r="G33" s="48"/>
      <c r="H33" s="37">
        <f>SUM(I33)-0.3</f>
        <v>1.2</v>
      </c>
      <c r="I33" s="122">
        <v>1.5</v>
      </c>
      <c r="J33" s="23">
        <f>SUM(I33)+0.3</f>
        <v>1.8</v>
      </c>
      <c r="K33" s="23">
        <f>SUM(J33)+0.3</f>
        <v>2.1</v>
      </c>
      <c r="L33" s="23"/>
      <c r="M33" s="30"/>
    </row>
    <row r="34" spans="1:13" s="2" customFormat="1" ht="14.1" customHeight="1" x14ac:dyDescent="0.3">
      <c r="A34" s="14"/>
      <c r="B34" s="56" t="s">
        <v>43</v>
      </c>
      <c r="C34" s="57"/>
      <c r="D34" s="27" t="s">
        <v>189</v>
      </c>
      <c r="E34" s="28"/>
      <c r="F34" s="28"/>
      <c r="G34" s="32"/>
      <c r="H34" s="37"/>
      <c r="I34" s="122"/>
      <c r="J34" s="29"/>
      <c r="K34" s="29"/>
      <c r="L34" s="29"/>
      <c r="M34" s="31"/>
    </row>
    <row r="35" spans="1:13" ht="14.1" customHeight="1" x14ac:dyDescent="0.3">
      <c r="A35" s="14">
        <v>17</v>
      </c>
      <c r="B35" s="40"/>
      <c r="C35" s="41"/>
      <c r="D35" s="42"/>
      <c r="E35" s="43"/>
      <c r="F35" s="43"/>
      <c r="G35" s="44"/>
      <c r="H35" s="23"/>
      <c r="I35" s="36"/>
      <c r="J35" s="23"/>
      <c r="K35" s="35"/>
      <c r="L35" s="23"/>
      <c r="M35" s="30"/>
    </row>
    <row r="36" spans="1:13" ht="14.1" customHeight="1" thickBot="1" x14ac:dyDescent="0.35">
      <c r="A36" s="79"/>
      <c r="B36" s="84"/>
      <c r="C36" s="85"/>
      <c r="D36" s="126"/>
      <c r="E36" s="127"/>
      <c r="F36" s="127"/>
      <c r="G36" s="128"/>
      <c r="H36" s="82"/>
      <c r="I36" s="81"/>
      <c r="J36" s="82"/>
      <c r="K36" s="80"/>
      <c r="L36" s="82"/>
      <c r="M36" s="83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>
      <c r="B42" s="1"/>
      <c r="C42" s="1"/>
      <c r="D42" s="1"/>
      <c r="E42" s="1"/>
      <c r="F42" s="1"/>
      <c r="G42" s="1"/>
    </row>
    <row r="43" spans="1:13" ht="14.1" customHeight="1" x14ac:dyDescent="0.3">
      <c r="B43" s="1"/>
      <c r="C43" s="1"/>
      <c r="D43" s="1"/>
      <c r="E43" s="1"/>
      <c r="F43" s="1"/>
      <c r="G43" s="1"/>
    </row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90">
    <mergeCell ref="K35:K36"/>
    <mergeCell ref="L35:L36"/>
    <mergeCell ref="M35:M36"/>
    <mergeCell ref="B36:C36"/>
    <mergeCell ref="D36:G36"/>
    <mergeCell ref="A35:A36"/>
    <mergeCell ref="B35:C35"/>
    <mergeCell ref="D35:G35"/>
    <mergeCell ref="H35:H36"/>
    <mergeCell ref="I35:I36"/>
    <mergeCell ref="J35:J36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29:J30"/>
    <mergeCell ref="K29:K30"/>
    <mergeCell ref="L29:L30"/>
    <mergeCell ref="M29:M30"/>
    <mergeCell ref="B30:C30"/>
    <mergeCell ref="D30:G30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A27:A28"/>
    <mergeCell ref="B27:C27"/>
    <mergeCell ref="D27:G27"/>
    <mergeCell ref="H27:H28"/>
    <mergeCell ref="I27:I28"/>
    <mergeCell ref="K25:K26"/>
    <mergeCell ref="L25:L26"/>
    <mergeCell ref="M25:M26"/>
    <mergeCell ref="B26:C26"/>
    <mergeCell ref="D26:G26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9789-778A-4A0F-84B0-11F3108EB0CF}">
  <sheetPr>
    <tabColor theme="9"/>
    <pageSetUpPr fitToPage="1"/>
  </sheetPr>
  <dimension ref="A1:P51"/>
  <sheetViews>
    <sheetView zoomScale="110" zoomScaleNormal="110" workbookViewId="0">
      <selection sqref="A1:M3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9" t="s">
        <v>181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6" ht="16.5" customHeight="1" thickBot="1" x14ac:dyDescent="0.35">
      <c r="A2" s="5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150</v>
      </c>
      <c r="I2" s="3" t="s">
        <v>151</v>
      </c>
      <c r="J2" s="4" t="s">
        <v>152</v>
      </c>
      <c r="K2" s="4" t="s">
        <v>164</v>
      </c>
      <c r="L2" s="4"/>
      <c r="M2" s="4"/>
      <c r="N2" t="s">
        <v>52</v>
      </c>
    </row>
    <row r="3" spans="1:16" s="2" customFormat="1" ht="14.1" customHeight="1" x14ac:dyDescent="0.3">
      <c r="A3" s="13">
        <v>1</v>
      </c>
      <c r="B3" s="15" t="s">
        <v>23</v>
      </c>
      <c r="C3" s="15"/>
      <c r="D3" s="16" t="s">
        <v>55</v>
      </c>
      <c r="E3" s="16"/>
      <c r="F3" s="16"/>
      <c r="G3" s="17"/>
      <c r="H3" s="18">
        <f>SUM(I3)-3</f>
        <v>33</v>
      </c>
      <c r="I3" s="20">
        <v>36</v>
      </c>
      <c r="J3" s="109">
        <f>SUM(I3)+3</f>
        <v>39</v>
      </c>
      <c r="K3" s="109">
        <f>SUM(J3)+3</f>
        <v>42</v>
      </c>
      <c r="L3" s="22"/>
      <c r="M3" s="123"/>
    </row>
    <row r="4" spans="1:16" s="2" customFormat="1" ht="14.1" customHeight="1" x14ac:dyDescent="0.3">
      <c r="A4" s="14"/>
      <c r="B4" s="26" t="s">
        <v>20</v>
      </c>
      <c r="C4" s="26"/>
      <c r="D4" s="27" t="s">
        <v>39</v>
      </c>
      <c r="E4" s="28"/>
      <c r="F4" s="28"/>
      <c r="G4" s="28"/>
      <c r="H4" s="49"/>
      <c r="I4" s="21"/>
      <c r="J4" s="29"/>
      <c r="K4" s="29"/>
      <c r="L4" s="23"/>
      <c r="M4" s="30"/>
    </row>
    <row r="5" spans="1:16" s="2" customFormat="1" ht="14.1" customHeight="1" x14ac:dyDescent="0.3">
      <c r="A5" s="14">
        <v>2</v>
      </c>
      <c r="B5" s="33" t="s">
        <v>21</v>
      </c>
      <c r="C5" s="33"/>
      <c r="D5" s="34" t="s">
        <v>22</v>
      </c>
      <c r="E5" s="34"/>
      <c r="F5" s="34"/>
      <c r="G5" s="34"/>
      <c r="H5" s="23">
        <f>SUM(I5)-1.4</f>
        <v>32.6</v>
      </c>
      <c r="I5" s="36">
        <v>34</v>
      </c>
      <c r="J5" s="23">
        <f>SUM(I5)+1.4</f>
        <v>35.4</v>
      </c>
      <c r="K5" s="23">
        <f>SUM(J5)+1.4</f>
        <v>36.799999999999997</v>
      </c>
      <c r="L5" s="23"/>
      <c r="M5" s="30"/>
    </row>
    <row r="6" spans="1:16" s="2" customFormat="1" ht="14.1" customHeight="1" x14ac:dyDescent="0.3">
      <c r="A6" s="14"/>
      <c r="B6" s="26" t="s">
        <v>11</v>
      </c>
      <c r="C6" s="26"/>
      <c r="D6" s="27" t="s">
        <v>26</v>
      </c>
      <c r="E6" s="28"/>
      <c r="F6" s="28"/>
      <c r="G6" s="32"/>
      <c r="H6" s="29"/>
      <c r="I6" s="21"/>
      <c r="J6" s="29"/>
      <c r="K6" s="29"/>
      <c r="L6" s="29"/>
      <c r="M6" s="31"/>
    </row>
    <row r="7" spans="1:16" s="2" customFormat="1" ht="14.1" customHeight="1" x14ac:dyDescent="0.3">
      <c r="A7" s="14">
        <v>3</v>
      </c>
      <c r="B7" s="33" t="s">
        <v>19</v>
      </c>
      <c r="C7" s="33"/>
      <c r="D7" s="34" t="s">
        <v>53</v>
      </c>
      <c r="E7" s="34"/>
      <c r="F7" s="34"/>
      <c r="G7" s="34"/>
      <c r="H7" s="23">
        <f>SUM(I7)-1.5</f>
        <v>34.5</v>
      </c>
      <c r="I7" s="36">
        <v>36</v>
      </c>
      <c r="J7" s="23">
        <f>SUM(I7)+1.5</f>
        <v>37.5</v>
      </c>
      <c r="K7" s="23">
        <f>SUM(J7)+1.5</f>
        <v>39</v>
      </c>
      <c r="L7" s="23"/>
      <c r="M7" s="30"/>
    </row>
    <row r="8" spans="1:16" s="2" customFormat="1" ht="14.1" customHeight="1" x14ac:dyDescent="0.3">
      <c r="A8" s="14"/>
      <c r="B8" s="26" t="s">
        <v>24</v>
      </c>
      <c r="C8" s="26"/>
      <c r="D8" s="27" t="s">
        <v>27</v>
      </c>
      <c r="E8" s="28"/>
      <c r="F8" s="28"/>
      <c r="G8" s="32"/>
      <c r="H8" s="29"/>
      <c r="I8" s="21"/>
      <c r="J8" s="29"/>
      <c r="K8" s="29"/>
      <c r="L8" s="29"/>
      <c r="M8" s="31"/>
    </row>
    <row r="9" spans="1:16" s="2" customFormat="1" ht="14.1" customHeight="1" x14ac:dyDescent="0.3">
      <c r="A9" s="14">
        <v>4</v>
      </c>
      <c r="B9" s="33" t="s">
        <v>25</v>
      </c>
      <c r="C9" s="33"/>
      <c r="D9" s="34" t="s">
        <v>9</v>
      </c>
      <c r="E9" s="34"/>
      <c r="F9" s="34"/>
      <c r="G9" s="34"/>
      <c r="H9" s="23">
        <f>SUM(I9)-1.3</f>
        <v>29.7</v>
      </c>
      <c r="I9" s="36">
        <v>31</v>
      </c>
      <c r="J9" s="23">
        <f>SUM(I9)+1.3</f>
        <v>32.299999999999997</v>
      </c>
      <c r="K9" s="23">
        <f>SUM(J9)+1.3</f>
        <v>33.599999999999994</v>
      </c>
      <c r="L9" s="23"/>
      <c r="M9" s="30"/>
    </row>
    <row r="10" spans="1:16" s="2" customFormat="1" ht="14.1" customHeight="1" x14ac:dyDescent="0.3">
      <c r="A10" s="14"/>
      <c r="B10" s="26" t="s">
        <v>12</v>
      </c>
      <c r="C10" s="26"/>
      <c r="D10" s="27" t="s">
        <v>28</v>
      </c>
      <c r="E10" s="28"/>
      <c r="F10" s="28"/>
      <c r="G10" s="32"/>
      <c r="H10" s="29"/>
      <c r="I10" s="21"/>
      <c r="J10" s="29"/>
      <c r="K10" s="29"/>
      <c r="L10" s="29"/>
      <c r="M10" s="31"/>
    </row>
    <row r="11" spans="1:16" s="2" customFormat="1" ht="14.1" customHeight="1" x14ac:dyDescent="0.3">
      <c r="A11" s="14">
        <v>5</v>
      </c>
      <c r="B11" s="33" t="s">
        <v>142</v>
      </c>
      <c r="C11" s="33"/>
      <c r="D11" s="34"/>
      <c r="E11" s="34"/>
      <c r="F11" s="34"/>
      <c r="G11" s="34"/>
      <c r="H11" s="37">
        <f>SUM(I11)</f>
        <v>3</v>
      </c>
      <c r="I11" s="122">
        <v>3</v>
      </c>
      <c r="J11" s="37">
        <f>SUM(I11)</f>
        <v>3</v>
      </c>
      <c r="K11" s="37">
        <f>SUM(J11)</f>
        <v>3</v>
      </c>
      <c r="L11" s="37"/>
      <c r="M11" s="38"/>
    </row>
    <row r="12" spans="1:16" s="2" customFormat="1" ht="14.1" customHeight="1" x14ac:dyDescent="0.3">
      <c r="A12" s="14"/>
      <c r="B12" s="26" t="s">
        <v>143</v>
      </c>
      <c r="C12" s="26"/>
      <c r="D12" s="27"/>
      <c r="E12" s="28"/>
      <c r="F12" s="28"/>
      <c r="G12" s="32"/>
      <c r="H12" s="37"/>
      <c r="I12" s="122"/>
      <c r="J12" s="37"/>
      <c r="K12" s="37"/>
      <c r="L12" s="37"/>
      <c r="M12" s="38"/>
    </row>
    <row r="13" spans="1:16" s="2" customFormat="1" ht="14.1" customHeight="1" x14ac:dyDescent="0.3">
      <c r="A13" s="14">
        <v>6</v>
      </c>
      <c r="B13" s="33" t="s">
        <v>10</v>
      </c>
      <c r="C13" s="33"/>
      <c r="D13" s="34" t="s">
        <v>0</v>
      </c>
      <c r="E13" s="34"/>
      <c r="F13" s="34"/>
      <c r="G13" s="34"/>
      <c r="H13" s="37">
        <f>SUM(I13)-0.9</f>
        <v>14.6</v>
      </c>
      <c r="I13" s="122">
        <v>15.5</v>
      </c>
      <c r="J13" s="37">
        <f>SUM(I13)+0.9</f>
        <v>16.399999999999999</v>
      </c>
      <c r="K13" s="37">
        <f>SUM(J13)+0.9</f>
        <v>17.299999999999997</v>
      </c>
      <c r="L13" s="37"/>
      <c r="M13" s="38"/>
      <c r="P13" s="2" t="s">
        <v>127</v>
      </c>
    </row>
    <row r="14" spans="1:16" s="2" customFormat="1" ht="14.1" customHeight="1" x14ac:dyDescent="0.3">
      <c r="A14" s="14"/>
      <c r="B14" s="26" t="s">
        <v>13</v>
      </c>
      <c r="C14" s="26"/>
      <c r="D14" s="27" t="s">
        <v>29</v>
      </c>
      <c r="E14" s="28"/>
      <c r="F14" s="28"/>
      <c r="G14" s="32"/>
      <c r="H14" s="37"/>
      <c r="I14" s="122"/>
      <c r="J14" s="37"/>
      <c r="K14" s="37"/>
      <c r="L14" s="37"/>
      <c r="M14" s="38"/>
    </row>
    <row r="15" spans="1:16" s="2" customFormat="1" ht="14.1" customHeight="1" x14ac:dyDescent="0.3">
      <c r="A15" s="14">
        <v>7</v>
      </c>
      <c r="B15" s="33" t="s">
        <v>1</v>
      </c>
      <c r="C15" s="33"/>
      <c r="D15" s="34" t="s">
        <v>2</v>
      </c>
      <c r="E15" s="34"/>
      <c r="F15" s="34"/>
      <c r="G15" s="34"/>
      <c r="H15" s="37">
        <f>SUM(I15)-0.5</f>
        <v>14.5</v>
      </c>
      <c r="I15" s="122">
        <v>15</v>
      </c>
      <c r="J15" s="37">
        <f>SUM(I15)+0.5</f>
        <v>15.5</v>
      </c>
      <c r="K15" s="37">
        <f>SUM(J15)+0.5</f>
        <v>16</v>
      </c>
      <c r="L15" s="37"/>
      <c r="M15" s="38"/>
    </row>
    <row r="16" spans="1:16" s="2" customFormat="1" ht="14.1" customHeight="1" x14ac:dyDescent="0.3">
      <c r="A16" s="14"/>
      <c r="B16" s="26" t="s">
        <v>14</v>
      </c>
      <c r="C16" s="26"/>
      <c r="D16" s="27" t="s">
        <v>30</v>
      </c>
      <c r="E16" s="28"/>
      <c r="F16" s="28"/>
      <c r="G16" s="32"/>
      <c r="H16" s="37"/>
      <c r="I16" s="122"/>
      <c r="J16" s="37"/>
      <c r="K16" s="37"/>
      <c r="L16" s="37"/>
      <c r="M16" s="38"/>
    </row>
    <row r="17" spans="1:13" s="2" customFormat="1" ht="14.1" customHeight="1" x14ac:dyDescent="0.3">
      <c r="A17" s="14">
        <v>8</v>
      </c>
      <c r="B17" s="33" t="s">
        <v>3</v>
      </c>
      <c r="C17" s="33"/>
      <c r="D17" s="34" t="s">
        <v>4</v>
      </c>
      <c r="E17" s="34"/>
      <c r="F17" s="34"/>
      <c r="G17" s="34"/>
      <c r="H17" s="37">
        <f>SUM(I17)-0.3</f>
        <v>7.7</v>
      </c>
      <c r="I17" s="122">
        <v>8</v>
      </c>
      <c r="J17" s="37">
        <f>SUM(I17)+0.3</f>
        <v>8.3000000000000007</v>
      </c>
      <c r="K17" s="37">
        <f>SUM(J17)+0.3</f>
        <v>8.6000000000000014</v>
      </c>
      <c r="L17" s="37"/>
      <c r="M17" s="38"/>
    </row>
    <row r="18" spans="1:13" s="2" customFormat="1" ht="14.1" customHeight="1" x14ac:dyDescent="0.3">
      <c r="A18" s="14"/>
      <c r="B18" s="26" t="s">
        <v>15</v>
      </c>
      <c r="C18" s="26"/>
      <c r="D18" s="27" t="s">
        <v>31</v>
      </c>
      <c r="E18" s="28"/>
      <c r="F18" s="28"/>
      <c r="G18" s="32"/>
      <c r="H18" s="37"/>
      <c r="I18" s="122"/>
      <c r="J18" s="37"/>
      <c r="K18" s="37"/>
      <c r="L18" s="37"/>
      <c r="M18" s="38"/>
    </row>
    <row r="19" spans="1:13" s="2" customFormat="1" ht="14.1" customHeight="1" x14ac:dyDescent="0.3">
      <c r="A19" s="14">
        <v>9</v>
      </c>
      <c r="B19" s="40" t="s">
        <v>44</v>
      </c>
      <c r="C19" s="41"/>
      <c r="D19" s="42" t="s">
        <v>46</v>
      </c>
      <c r="E19" s="43"/>
      <c r="F19" s="43"/>
      <c r="G19" s="44"/>
      <c r="H19" s="37"/>
      <c r="I19" s="122"/>
      <c r="J19" s="37"/>
      <c r="K19" s="120"/>
      <c r="L19" s="37"/>
      <c r="M19" s="38"/>
    </row>
    <row r="20" spans="1:13" s="2" customFormat="1" ht="14.1" customHeight="1" x14ac:dyDescent="0.3">
      <c r="A20" s="14"/>
      <c r="B20" s="26" t="s">
        <v>45</v>
      </c>
      <c r="C20" s="26"/>
      <c r="D20" s="27" t="s">
        <v>47</v>
      </c>
      <c r="E20" s="28"/>
      <c r="F20" s="28"/>
      <c r="G20" s="32"/>
      <c r="H20" s="37"/>
      <c r="I20" s="122"/>
      <c r="J20" s="37"/>
      <c r="K20" s="120"/>
      <c r="L20" s="37"/>
      <c r="M20" s="38"/>
    </row>
    <row r="21" spans="1:13" s="2" customFormat="1" ht="14.1" customHeight="1" x14ac:dyDescent="0.3">
      <c r="A21" s="14">
        <v>10</v>
      </c>
      <c r="B21" s="33" t="s">
        <v>144</v>
      </c>
      <c r="C21" s="33"/>
      <c r="D21" s="34"/>
      <c r="E21" s="34"/>
      <c r="F21" s="34"/>
      <c r="G21" s="34"/>
      <c r="H21" s="37">
        <f>SUM(I21)</f>
        <v>2.2000000000000002</v>
      </c>
      <c r="I21" s="122">
        <v>2.2000000000000002</v>
      </c>
      <c r="J21" s="37">
        <f>SUM(I21)</f>
        <v>2.2000000000000002</v>
      </c>
      <c r="K21" s="37">
        <f>SUM(J21)</f>
        <v>2.2000000000000002</v>
      </c>
      <c r="L21" s="37"/>
      <c r="M21" s="38"/>
    </row>
    <row r="22" spans="1:13" s="2" customFormat="1" ht="14.1" customHeight="1" x14ac:dyDescent="0.3">
      <c r="A22" s="14"/>
      <c r="B22" s="26" t="s">
        <v>145</v>
      </c>
      <c r="C22" s="26"/>
      <c r="D22" s="27"/>
      <c r="E22" s="28"/>
      <c r="F22" s="28"/>
      <c r="G22" s="32"/>
      <c r="H22" s="37"/>
      <c r="I22" s="122"/>
      <c r="J22" s="37"/>
      <c r="K22" s="37"/>
      <c r="L22" s="37"/>
      <c r="M22" s="38"/>
    </row>
    <row r="23" spans="1:13" s="2" customFormat="1" ht="14.1" customHeight="1" x14ac:dyDescent="0.3">
      <c r="A23" s="14">
        <v>11</v>
      </c>
      <c r="B23" s="33" t="s">
        <v>5</v>
      </c>
      <c r="C23" s="33"/>
      <c r="D23" s="34" t="s">
        <v>6</v>
      </c>
      <c r="E23" s="34"/>
      <c r="F23" s="34"/>
      <c r="G23" s="34"/>
      <c r="H23" s="37">
        <f>SUM(I23)-2.8</f>
        <v>19.2</v>
      </c>
      <c r="I23" s="122">
        <v>22</v>
      </c>
      <c r="J23" s="37">
        <f>SUM(I23)+2.8</f>
        <v>24.8</v>
      </c>
      <c r="K23" s="37">
        <f>SUM(J23)+2.8</f>
        <v>27.6</v>
      </c>
      <c r="L23" s="37"/>
      <c r="M23" s="38"/>
    </row>
    <row r="24" spans="1:13" s="2" customFormat="1" ht="14.1" customHeight="1" x14ac:dyDescent="0.3">
      <c r="A24" s="14"/>
      <c r="B24" s="26" t="s">
        <v>16</v>
      </c>
      <c r="C24" s="26"/>
      <c r="D24" s="27" t="s">
        <v>32</v>
      </c>
      <c r="E24" s="28"/>
      <c r="F24" s="28"/>
      <c r="G24" s="32"/>
      <c r="H24" s="37"/>
      <c r="I24" s="122"/>
      <c r="J24" s="37"/>
      <c r="K24" s="37"/>
      <c r="L24" s="37"/>
      <c r="M24" s="38"/>
    </row>
    <row r="25" spans="1:13" s="2" customFormat="1" ht="14.1" customHeight="1" x14ac:dyDescent="0.3">
      <c r="A25" s="14">
        <v>12</v>
      </c>
      <c r="B25" s="33" t="s">
        <v>7</v>
      </c>
      <c r="C25" s="33"/>
      <c r="D25" s="42" t="s">
        <v>8</v>
      </c>
      <c r="E25" s="43"/>
      <c r="F25" s="43"/>
      <c r="G25" s="44"/>
      <c r="H25" s="37">
        <f>SUM(I25)-1.6</f>
        <v>25.4</v>
      </c>
      <c r="I25" s="122">
        <v>27</v>
      </c>
      <c r="J25" s="37">
        <f>SUM(I25)+1.6</f>
        <v>28.6</v>
      </c>
      <c r="K25" s="37">
        <f>SUM(J25)+1.6</f>
        <v>30.200000000000003</v>
      </c>
      <c r="L25" s="37"/>
      <c r="M25" s="38"/>
    </row>
    <row r="26" spans="1:13" s="2" customFormat="1" ht="14.1" customHeight="1" x14ac:dyDescent="0.3">
      <c r="A26" s="14"/>
      <c r="B26" s="26" t="s">
        <v>17</v>
      </c>
      <c r="C26" s="26"/>
      <c r="D26" s="27" t="s">
        <v>36</v>
      </c>
      <c r="E26" s="28"/>
      <c r="F26" s="28"/>
      <c r="G26" s="32"/>
      <c r="H26" s="37"/>
      <c r="I26" s="122"/>
      <c r="J26" s="37"/>
      <c r="K26" s="37"/>
      <c r="L26" s="37"/>
      <c r="M26" s="38"/>
    </row>
    <row r="27" spans="1:13" s="2" customFormat="1" ht="14.1" customHeight="1" x14ac:dyDescent="0.3">
      <c r="A27" s="14">
        <v>13</v>
      </c>
      <c r="B27" s="40" t="s">
        <v>54</v>
      </c>
      <c r="C27" s="41"/>
      <c r="D27" s="34" t="s">
        <v>37</v>
      </c>
      <c r="E27" s="34"/>
      <c r="F27" s="34"/>
      <c r="G27" s="34"/>
      <c r="H27" s="37">
        <f>SUM(I27)-0.5</f>
        <v>13.5</v>
      </c>
      <c r="I27" s="122">
        <v>14</v>
      </c>
      <c r="J27" s="37">
        <f>SUM(I27)+0.5</f>
        <v>14.5</v>
      </c>
      <c r="K27" s="37">
        <f>SUM(J27)+0.5</f>
        <v>15</v>
      </c>
      <c r="L27" s="37"/>
      <c r="M27" s="38"/>
    </row>
    <row r="28" spans="1:13" s="2" customFormat="1" ht="14.1" customHeight="1" x14ac:dyDescent="0.3">
      <c r="A28" s="14"/>
      <c r="B28" s="26" t="s">
        <v>18</v>
      </c>
      <c r="C28" s="26"/>
      <c r="D28" s="27" t="s">
        <v>38</v>
      </c>
      <c r="E28" s="28"/>
      <c r="F28" s="28"/>
      <c r="G28" s="32"/>
      <c r="H28" s="37"/>
      <c r="I28" s="122"/>
      <c r="J28" s="37"/>
      <c r="K28" s="37"/>
      <c r="L28" s="37"/>
      <c r="M28" s="38"/>
    </row>
    <row r="29" spans="1:13" s="2" customFormat="1" ht="14.1" customHeight="1" x14ac:dyDescent="0.3">
      <c r="A29" s="14">
        <v>14</v>
      </c>
      <c r="B29" s="40" t="s">
        <v>146</v>
      </c>
      <c r="C29" s="41"/>
      <c r="D29" s="34"/>
      <c r="E29" s="34"/>
      <c r="F29" s="34"/>
      <c r="G29" s="34"/>
      <c r="H29" s="37">
        <f>SUM(I29)</f>
        <v>2.5</v>
      </c>
      <c r="I29" s="122">
        <v>2.5</v>
      </c>
      <c r="J29" s="37">
        <f>SUM(I29)</f>
        <v>2.5</v>
      </c>
      <c r="K29" s="37">
        <f>SUM(J29)</f>
        <v>2.5</v>
      </c>
      <c r="L29" s="37"/>
      <c r="M29" s="38"/>
    </row>
    <row r="30" spans="1:13" s="2" customFormat="1" ht="14.1" customHeight="1" x14ac:dyDescent="0.3">
      <c r="A30" s="14"/>
      <c r="B30" s="26" t="s">
        <v>147</v>
      </c>
      <c r="C30" s="26"/>
      <c r="D30" s="27"/>
      <c r="E30" s="28"/>
      <c r="F30" s="28"/>
      <c r="G30" s="32"/>
      <c r="H30" s="37"/>
      <c r="I30" s="122"/>
      <c r="J30" s="37"/>
      <c r="K30" s="37"/>
      <c r="L30" s="37"/>
      <c r="M30" s="38"/>
    </row>
    <row r="31" spans="1:13" s="2" customFormat="1" ht="14.1" customHeight="1" x14ac:dyDescent="0.3">
      <c r="A31" s="14">
        <v>15</v>
      </c>
      <c r="B31" s="40" t="s">
        <v>148</v>
      </c>
      <c r="C31" s="41"/>
      <c r="D31" s="46"/>
      <c r="E31" s="47"/>
      <c r="F31" s="47"/>
      <c r="G31" s="48"/>
      <c r="H31" s="37">
        <f>SUM(I31)</f>
        <v>3</v>
      </c>
      <c r="I31" s="122">
        <v>3</v>
      </c>
      <c r="J31" s="37">
        <f>SUM(I31)</f>
        <v>3</v>
      </c>
      <c r="K31" s="37">
        <f>SUM(J31)</f>
        <v>3</v>
      </c>
      <c r="L31" s="23"/>
      <c r="M31" s="30"/>
    </row>
    <row r="32" spans="1:13" s="2" customFormat="1" ht="14.1" customHeight="1" x14ac:dyDescent="0.3">
      <c r="A32" s="14"/>
      <c r="B32" s="56" t="s">
        <v>149</v>
      </c>
      <c r="C32" s="57"/>
      <c r="D32" s="27"/>
      <c r="E32" s="28"/>
      <c r="F32" s="28"/>
      <c r="G32" s="32"/>
      <c r="H32" s="37"/>
      <c r="I32" s="122"/>
      <c r="J32" s="37"/>
      <c r="K32" s="37"/>
      <c r="L32" s="29"/>
      <c r="M32" s="31"/>
    </row>
    <row r="33" spans="1:13" s="2" customFormat="1" ht="14.1" customHeight="1" x14ac:dyDescent="0.3">
      <c r="A33" s="14">
        <v>16</v>
      </c>
      <c r="B33" s="40"/>
      <c r="C33" s="41"/>
      <c r="D33" s="42"/>
      <c r="E33" s="43"/>
      <c r="F33" s="43"/>
      <c r="G33" s="44"/>
      <c r="H33" s="23"/>
      <c r="I33" s="36"/>
      <c r="J33" s="23"/>
      <c r="K33" s="35"/>
      <c r="L33" s="23"/>
      <c r="M33" s="30"/>
    </row>
    <row r="34" spans="1:13" s="2" customFormat="1" ht="14.1" customHeight="1" thickBot="1" x14ac:dyDescent="0.35">
      <c r="A34" s="79"/>
      <c r="B34" s="84"/>
      <c r="C34" s="85"/>
      <c r="D34" s="126"/>
      <c r="E34" s="127"/>
      <c r="F34" s="127"/>
      <c r="G34" s="128"/>
      <c r="H34" s="82"/>
      <c r="I34" s="81"/>
      <c r="J34" s="82"/>
      <c r="K34" s="80"/>
      <c r="L34" s="82"/>
      <c r="M34" s="83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55CC-1BA9-4ABF-BA7D-4A3521A09948}">
  <sheetPr>
    <tabColor theme="9"/>
    <pageSetUpPr fitToPage="1"/>
  </sheetPr>
  <dimension ref="A1:P51"/>
  <sheetViews>
    <sheetView zoomScale="110" zoomScaleNormal="110" workbookViewId="0">
      <selection activeCell="O16" sqref="O1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9" t="s">
        <v>174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6" ht="16.5" customHeight="1" thickBot="1" x14ac:dyDescent="0.35">
      <c r="A2" s="5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150</v>
      </c>
      <c r="I2" s="3" t="s">
        <v>151</v>
      </c>
      <c r="J2" s="4" t="s">
        <v>152</v>
      </c>
      <c r="K2" s="4" t="s">
        <v>164</v>
      </c>
      <c r="L2" s="4"/>
      <c r="M2" s="4"/>
      <c r="N2" t="s">
        <v>52</v>
      </c>
    </row>
    <row r="3" spans="1:16" s="2" customFormat="1" ht="14.1" customHeight="1" x14ac:dyDescent="0.3">
      <c r="A3" s="13">
        <v>1</v>
      </c>
      <c r="B3" s="15" t="s">
        <v>23</v>
      </c>
      <c r="C3" s="15"/>
      <c r="D3" s="16" t="s">
        <v>55</v>
      </c>
      <c r="E3" s="16"/>
      <c r="F3" s="16"/>
      <c r="G3" s="17"/>
      <c r="H3" s="18">
        <f>SUM(I3)-3</f>
        <v>32</v>
      </c>
      <c r="I3" s="20">
        <v>35</v>
      </c>
      <c r="J3" s="109">
        <f>SUM(I3)+3</f>
        <v>38</v>
      </c>
      <c r="K3" s="109">
        <f>SUM(J3)+3</f>
        <v>41</v>
      </c>
      <c r="L3" s="109"/>
      <c r="M3" s="109"/>
    </row>
    <row r="4" spans="1:16" s="2" customFormat="1" ht="14.1" customHeight="1" x14ac:dyDescent="0.3">
      <c r="A4" s="14"/>
      <c r="B4" s="26" t="s">
        <v>20</v>
      </c>
      <c r="C4" s="26"/>
      <c r="D4" s="27" t="s">
        <v>39</v>
      </c>
      <c r="E4" s="28"/>
      <c r="F4" s="28"/>
      <c r="G4" s="28"/>
      <c r="H4" s="49"/>
      <c r="I4" s="21"/>
      <c r="J4" s="29"/>
      <c r="K4" s="29"/>
      <c r="L4" s="29"/>
      <c r="M4" s="29"/>
    </row>
    <row r="5" spans="1:16" s="2" customFormat="1" ht="14.1" customHeight="1" x14ac:dyDescent="0.3">
      <c r="A5" s="14">
        <v>2</v>
      </c>
      <c r="B5" s="33" t="s">
        <v>21</v>
      </c>
      <c r="C5" s="33"/>
      <c r="D5" s="34" t="s">
        <v>22</v>
      </c>
      <c r="E5" s="34"/>
      <c r="F5" s="34"/>
      <c r="G5" s="34"/>
      <c r="H5" s="23">
        <f>SUM(I5)-1.4</f>
        <v>32.6</v>
      </c>
      <c r="I5" s="36">
        <v>34</v>
      </c>
      <c r="J5" s="23">
        <f>SUM(I5)+1.4</f>
        <v>35.4</v>
      </c>
      <c r="K5" s="23">
        <f>SUM(J5)+1.4</f>
        <v>36.799999999999997</v>
      </c>
      <c r="L5" s="23"/>
      <c r="M5" s="23"/>
    </row>
    <row r="6" spans="1:16" s="2" customFormat="1" ht="14.1" customHeight="1" x14ac:dyDescent="0.3">
      <c r="A6" s="14"/>
      <c r="B6" s="26" t="s">
        <v>11</v>
      </c>
      <c r="C6" s="26"/>
      <c r="D6" s="27" t="s">
        <v>26</v>
      </c>
      <c r="E6" s="28"/>
      <c r="F6" s="28"/>
      <c r="G6" s="32"/>
      <c r="H6" s="29"/>
      <c r="I6" s="21"/>
      <c r="J6" s="29"/>
      <c r="K6" s="29"/>
      <c r="L6" s="29"/>
      <c r="M6" s="29"/>
    </row>
    <row r="7" spans="1:16" s="2" customFormat="1" ht="14.1" customHeight="1" x14ac:dyDescent="0.3">
      <c r="A7" s="14">
        <v>3</v>
      </c>
      <c r="B7" s="33" t="s">
        <v>19</v>
      </c>
      <c r="C7" s="33"/>
      <c r="D7" s="34" t="s">
        <v>53</v>
      </c>
      <c r="E7" s="34"/>
      <c r="F7" s="34"/>
      <c r="G7" s="34"/>
      <c r="H7" s="23">
        <f>SUM(I7)-1.5</f>
        <v>35</v>
      </c>
      <c r="I7" s="36">
        <v>36.5</v>
      </c>
      <c r="J7" s="23">
        <f>SUM(I7)+1.5</f>
        <v>38</v>
      </c>
      <c r="K7" s="23">
        <f>SUM(J7)+1.5</f>
        <v>39.5</v>
      </c>
      <c r="L7" s="23"/>
      <c r="M7" s="23"/>
    </row>
    <row r="8" spans="1:16" s="2" customFormat="1" ht="14.1" customHeight="1" x14ac:dyDescent="0.3">
      <c r="A8" s="14"/>
      <c r="B8" s="26" t="s">
        <v>24</v>
      </c>
      <c r="C8" s="26"/>
      <c r="D8" s="27" t="s">
        <v>27</v>
      </c>
      <c r="E8" s="28"/>
      <c r="F8" s="28"/>
      <c r="G8" s="32"/>
      <c r="H8" s="29"/>
      <c r="I8" s="21"/>
      <c r="J8" s="29"/>
      <c r="K8" s="29"/>
      <c r="L8" s="29"/>
      <c r="M8" s="29"/>
    </row>
    <row r="9" spans="1:16" s="2" customFormat="1" ht="14.1" customHeight="1" x14ac:dyDescent="0.3">
      <c r="A9" s="14">
        <v>4</v>
      </c>
      <c r="B9" s="33" t="s">
        <v>25</v>
      </c>
      <c r="C9" s="33"/>
      <c r="D9" s="34" t="s">
        <v>9</v>
      </c>
      <c r="E9" s="34"/>
      <c r="F9" s="34"/>
      <c r="G9" s="34"/>
      <c r="H9" s="23">
        <f>SUM(I9)-1.3</f>
        <v>30.7</v>
      </c>
      <c r="I9" s="36">
        <v>32</v>
      </c>
      <c r="J9" s="23">
        <f>SUM(I9)+1.3</f>
        <v>33.299999999999997</v>
      </c>
      <c r="K9" s="23">
        <f>SUM(J9)+1.3</f>
        <v>34.599999999999994</v>
      </c>
      <c r="L9" s="23"/>
      <c r="M9" s="23"/>
    </row>
    <row r="10" spans="1:16" s="2" customFormat="1" ht="14.1" customHeight="1" x14ac:dyDescent="0.3">
      <c r="A10" s="14"/>
      <c r="B10" s="26" t="s">
        <v>12</v>
      </c>
      <c r="C10" s="26"/>
      <c r="D10" s="27" t="s">
        <v>28</v>
      </c>
      <c r="E10" s="28"/>
      <c r="F10" s="28"/>
      <c r="G10" s="32"/>
      <c r="H10" s="29"/>
      <c r="I10" s="21"/>
      <c r="J10" s="29"/>
      <c r="K10" s="29"/>
      <c r="L10" s="29"/>
      <c r="M10" s="29"/>
    </row>
    <row r="11" spans="1:16" s="2" customFormat="1" ht="14.1" customHeight="1" x14ac:dyDescent="0.3">
      <c r="A11" s="14">
        <v>5</v>
      </c>
      <c r="B11" s="33" t="s">
        <v>142</v>
      </c>
      <c r="C11" s="33"/>
      <c r="D11" s="34"/>
      <c r="E11" s="34"/>
      <c r="F11" s="34"/>
      <c r="G11" s="34"/>
      <c r="H11" s="37">
        <f>SUM(I11)</f>
        <v>5</v>
      </c>
      <c r="I11" s="122">
        <v>5</v>
      </c>
      <c r="J11" s="37">
        <f>SUM(I11)</f>
        <v>5</v>
      </c>
      <c r="K11" s="37">
        <f>SUM(J11)</f>
        <v>5</v>
      </c>
      <c r="L11" s="37"/>
      <c r="M11" s="37"/>
    </row>
    <row r="12" spans="1:16" s="2" customFormat="1" ht="14.1" customHeight="1" x14ac:dyDescent="0.3">
      <c r="A12" s="14"/>
      <c r="B12" s="26" t="s">
        <v>143</v>
      </c>
      <c r="C12" s="26"/>
      <c r="D12" s="27"/>
      <c r="E12" s="28"/>
      <c r="F12" s="28"/>
      <c r="G12" s="32"/>
      <c r="H12" s="37"/>
      <c r="I12" s="122"/>
      <c r="J12" s="37"/>
      <c r="K12" s="37"/>
      <c r="L12" s="37"/>
      <c r="M12" s="37"/>
    </row>
    <row r="13" spans="1:16" s="2" customFormat="1" ht="14.1" customHeight="1" x14ac:dyDescent="0.3">
      <c r="A13" s="14">
        <v>6</v>
      </c>
      <c r="B13" s="33" t="s">
        <v>10</v>
      </c>
      <c r="C13" s="33"/>
      <c r="D13" s="34" t="s">
        <v>0</v>
      </c>
      <c r="E13" s="34"/>
      <c r="F13" s="34"/>
      <c r="G13" s="34"/>
      <c r="H13" s="37">
        <f>SUM(I13)-0.9</f>
        <v>14.6</v>
      </c>
      <c r="I13" s="122">
        <v>15.5</v>
      </c>
      <c r="J13" s="37">
        <f>SUM(I13)+0.9</f>
        <v>16.399999999999999</v>
      </c>
      <c r="K13" s="37">
        <f>SUM(J13)+0.9</f>
        <v>17.299999999999997</v>
      </c>
      <c r="L13" s="37"/>
      <c r="M13" s="37"/>
      <c r="P13" s="2" t="s">
        <v>127</v>
      </c>
    </row>
    <row r="14" spans="1:16" s="2" customFormat="1" ht="14.1" customHeight="1" x14ac:dyDescent="0.3">
      <c r="A14" s="14"/>
      <c r="B14" s="26" t="s">
        <v>13</v>
      </c>
      <c r="C14" s="26"/>
      <c r="D14" s="27" t="s">
        <v>29</v>
      </c>
      <c r="E14" s="28"/>
      <c r="F14" s="28"/>
      <c r="G14" s="32"/>
      <c r="H14" s="37"/>
      <c r="I14" s="122"/>
      <c r="J14" s="37"/>
      <c r="K14" s="37"/>
      <c r="L14" s="37"/>
      <c r="M14" s="37"/>
    </row>
    <row r="15" spans="1:16" s="2" customFormat="1" ht="14.1" customHeight="1" x14ac:dyDescent="0.3">
      <c r="A15" s="14">
        <v>7</v>
      </c>
      <c r="B15" s="33" t="s">
        <v>1</v>
      </c>
      <c r="C15" s="33"/>
      <c r="D15" s="34" t="s">
        <v>2</v>
      </c>
      <c r="E15" s="34"/>
      <c r="F15" s="34"/>
      <c r="G15" s="34"/>
      <c r="H15" s="37">
        <f>SUM(I15)-0.5</f>
        <v>15</v>
      </c>
      <c r="I15" s="122">
        <v>15.5</v>
      </c>
      <c r="J15" s="37">
        <f>SUM(I15)+0.5</f>
        <v>16</v>
      </c>
      <c r="K15" s="37">
        <f>SUM(J15)+0.5</f>
        <v>16.5</v>
      </c>
      <c r="L15" s="37"/>
      <c r="M15" s="37"/>
    </row>
    <row r="16" spans="1:16" s="2" customFormat="1" ht="14.1" customHeight="1" x14ac:dyDescent="0.3">
      <c r="A16" s="14"/>
      <c r="B16" s="26" t="s">
        <v>14</v>
      </c>
      <c r="C16" s="26"/>
      <c r="D16" s="27" t="s">
        <v>30</v>
      </c>
      <c r="E16" s="28"/>
      <c r="F16" s="28"/>
      <c r="G16" s="32"/>
      <c r="H16" s="37"/>
      <c r="I16" s="122"/>
      <c r="J16" s="37"/>
      <c r="K16" s="37"/>
      <c r="L16" s="37"/>
      <c r="M16" s="37"/>
    </row>
    <row r="17" spans="1:13" s="2" customFormat="1" ht="14.1" customHeight="1" x14ac:dyDescent="0.3">
      <c r="A17" s="14">
        <v>8</v>
      </c>
      <c r="B17" s="33" t="s">
        <v>3</v>
      </c>
      <c r="C17" s="33"/>
      <c r="D17" s="34" t="s">
        <v>4</v>
      </c>
      <c r="E17" s="34"/>
      <c r="F17" s="34"/>
      <c r="G17" s="34"/>
      <c r="H17" s="37">
        <f>SUM(I17)-0.3</f>
        <v>6.7</v>
      </c>
      <c r="I17" s="122">
        <v>7</v>
      </c>
      <c r="J17" s="37">
        <f>SUM(I17)+0.3</f>
        <v>7.3</v>
      </c>
      <c r="K17" s="37">
        <f>SUM(J17)+0.3</f>
        <v>7.6</v>
      </c>
      <c r="L17" s="37"/>
      <c r="M17" s="37"/>
    </row>
    <row r="18" spans="1:13" s="2" customFormat="1" ht="14.1" customHeight="1" x14ac:dyDescent="0.3">
      <c r="A18" s="14"/>
      <c r="B18" s="26" t="s">
        <v>15</v>
      </c>
      <c r="C18" s="26"/>
      <c r="D18" s="27" t="s">
        <v>31</v>
      </c>
      <c r="E18" s="28"/>
      <c r="F18" s="28"/>
      <c r="G18" s="32"/>
      <c r="H18" s="37"/>
      <c r="I18" s="122"/>
      <c r="J18" s="37"/>
      <c r="K18" s="37"/>
      <c r="L18" s="37"/>
      <c r="M18" s="37"/>
    </row>
    <row r="19" spans="1:13" s="2" customFormat="1" ht="14.1" customHeight="1" x14ac:dyDescent="0.3">
      <c r="A19" s="14">
        <v>9</v>
      </c>
      <c r="B19" s="40" t="s">
        <v>44</v>
      </c>
      <c r="C19" s="41"/>
      <c r="D19" s="42" t="s">
        <v>46</v>
      </c>
      <c r="E19" s="43"/>
      <c r="F19" s="43"/>
      <c r="G19" s="44"/>
      <c r="H19" s="37"/>
      <c r="I19" s="122"/>
      <c r="J19" s="37"/>
      <c r="K19" s="120"/>
      <c r="L19" s="120"/>
      <c r="M19" s="120"/>
    </row>
    <row r="20" spans="1:13" s="2" customFormat="1" ht="14.1" customHeight="1" x14ac:dyDescent="0.3">
      <c r="A20" s="14"/>
      <c r="B20" s="26" t="s">
        <v>45</v>
      </c>
      <c r="C20" s="26"/>
      <c r="D20" s="27" t="s">
        <v>47</v>
      </c>
      <c r="E20" s="28"/>
      <c r="F20" s="28"/>
      <c r="G20" s="32"/>
      <c r="H20" s="37"/>
      <c r="I20" s="122"/>
      <c r="J20" s="37"/>
      <c r="K20" s="120"/>
      <c r="L20" s="120"/>
      <c r="M20" s="120"/>
    </row>
    <row r="21" spans="1:13" s="2" customFormat="1" ht="14.1" customHeight="1" x14ac:dyDescent="0.3">
      <c r="A21" s="14">
        <v>10</v>
      </c>
      <c r="B21" s="33" t="s">
        <v>144</v>
      </c>
      <c r="C21" s="33"/>
      <c r="D21" s="34"/>
      <c r="E21" s="34"/>
      <c r="F21" s="34"/>
      <c r="G21" s="34"/>
      <c r="H21" s="37">
        <f>SUM(I21)</f>
        <v>3</v>
      </c>
      <c r="I21" s="122">
        <v>3</v>
      </c>
      <c r="J21" s="37">
        <f>SUM(I21)</f>
        <v>3</v>
      </c>
      <c r="K21" s="37">
        <f>SUM(J21)</f>
        <v>3</v>
      </c>
      <c r="L21" s="37"/>
      <c r="M21" s="37"/>
    </row>
    <row r="22" spans="1:13" s="2" customFormat="1" ht="14.1" customHeight="1" x14ac:dyDescent="0.3">
      <c r="A22" s="14"/>
      <c r="B22" s="26" t="s">
        <v>145</v>
      </c>
      <c r="C22" s="26"/>
      <c r="D22" s="27"/>
      <c r="E22" s="28"/>
      <c r="F22" s="28"/>
      <c r="G22" s="32"/>
      <c r="H22" s="37"/>
      <c r="I22" s="122"/>
      <c r="J22" s="37"/>
      <c r="K22" s="37"/>
      <c r="L22" s="37"/>
      <c r="M22" s="37"/>
    </row>
    <row r="23" spans="1:13" s="2" customFormat="1" ht="14.1" customHeight="1" x14ac:dyDescent="0.3">
      <c r="A23" s="14">
        <v>11</v>
      </c>
      <c r="B23" s="33" t="s">
        <v>5</v>
      </c>
      <c r="C23" s="33"/>
      <c r="D23" s="34" t="s">
        <v>6</v>
      </c>
      <c r="E23" s="34"/>
      <c r="F23" s="34"/>
      <c r="G23" s="34"/>
      <c r="H23" s="37">
        <f>SUM(I23)-2.8</f>
        <v>18.2</v>
      </c>
      <c r="I23" s="122">
        <v>21</v>
      </c>
      <c r="J23" s="37">
        <f>SUM(I23)+2.8</f>
        <v>23.8</v>
      </c>
      <c r="K23" s="37">
        <f>SUM(J23)+2.8</f>
        <v>26.6</v>
      </c>
      <c r="L23" s="37"/>
      <c r="M23" s="37"/>
    </row>
    <row r="24" spans="1:13" s="2" customFormat="1" ht="14.1" customHeight="1" x14ac:dyDescent="0.3">
      <c r="A24" s="14"/>
      <c r="B24" s="26" t="s">
        <v>16</v>
      </c>
      <c r="C24" s="26"/>
      <c r="D24" s="27" t="s">
        <v>32</v>
      </c>
      <c r="E24" s="28"/>
      <c r="F24" s="28"/>
      <c r="G24" s="32"/>
      <c r="H24" s="37"/>
      <c r="I24" s="122"/>
      <c r="J24" s="37"/>
      <c r="K24" s="37"/>
      <c r="L24" s="37"/>
      <c r="M24" s="37"/>
    </row>
    <row r="25" spans="1:13" s="2" customFormat="1" ht="14.1" customHeight="1" x14ac:dyDescent="0.3">
      <c r="A25" s="14">
        <v>12</v>
      </c>
      <c r="B25" s="33" t="s">
        <v>7</v>
      </c>
      <c r="C25" s="33"/>
      <c r="D25" s="42" t="s">
        <v>8</v>
      </c>
      <c r="E25" s="43"/>
      <c r="F25" s="43"/>
      <c r="G25" s="44"/>
      <c r="H25" s="37">
        <f>SUM(I25)-1.6</f>
        <v>26.4</v>
      </c>
      <c r="I25" s="122">
        <v>28</v>
      </c>
      <c r="J25" s="37">
        <f>SUM(I25)+1.6</f>
        <v>29.6</v>
      </c>
      <c r="K25" s="37">
        <f>SUM(J25)+1.6</f>
        <v>31.200000000000003</v>
      </c>
      <c r="L25" s="37"/>
      <c r="M25" s="37"/>
    </row>
    <row r="26" spans="1:13" s="2" customFormat="1" ht="14.1" customHeight="1" x14ac:dyDescent="0.3">
      <c r="A26" s="14"/>
      <c r="B26" s="26" t="s">
        <v>17</v>
      </c>
      <c r="C26" s="26"/>
      <c r="D26" s="27" t="s">
        <v>36</v>
      </c>
      <c r="E26" s="28"/>
      <c r="F26" s="28"/>
      <c r="G26" s="32"/>
      <c r="H26" s="37"/>
      <c r="I26" s="122"/>
      <c r="J26" s="37"/>
      <c r="K26" s="37"/>
      <c r="L26" s="37"/>
      <c r="M26" s="37"/>
    </row>
    <row r="27" spans="1:13" s="2" customFormat="1" ht="14.1" customHeight="1" x14ac:dyDescent="0.3">
      <c r="A27" s="14">
        <v>13</v>
      </c>
      <c r="B27" s="40" t="s">
        <v>54</v>
      </c>
      <c r="C27" s="41"/>
      <c r="D27" s="34" t="s">
        <v>37</v>
      </c>
      <c r="E27" s="34"/>
      <c r="F27" s="34"/>
      <c r="G27" s="34"/>
      <c r="H27" s="37">
        <f>SUM(I27)-0.5</f>
        <v>13.5</v>
      </c>
      <c r="I27" s="122">
        <v>14</v>
      </c>
      <c r="J27" s="37">
        <f>SUM(I27)+0.5</f>
        <v>14.5</v>
      </c>
      <c r="K27" s="37">
        <f>SUM(J27)+0.5</f>
        <v>15</v>
      </c>
      <c r="L27" s="37"/>
      <c r="M27" s="37"/>
    </row>
    <row r="28" spans="1:13" s="2" customFormat="1" ht="14.1" customHeight="1" x14ac:dyDescent="0.3">
      <c r="A28" s="14"/>
      <c r="B28" s="26" t="s">
        <v>18</v>
      </c>
      <c r="C28" s="26"/>
      <c r="D28" s="27" t="s">
        <v>38</v>
      </c>
      <c r="E28" s="28"/>
      <c r="F28" s="28"/>
      <c r="G28" s="32"/>
      <c r="H28" s="37"/>
      <c r="I28" s="122"/>
      <c r="J28" s="37"/>
      <c r="K28" s="37"/>
      <c r="L28" s="37"/>
      <c r="M28" s="37"/>
    </row>
    <row r="29" spans="1:13" s="2" customFormat="1" ht="14.1" customHeight="1" x14ac:dyDescent="0.3">
      <c r="A29" s="14">
        <v>14</v>
      </c>
      <c r="B29" s="40" t="s">
        <v>146</v>
      </c>
      <c r="C29" s="41"/>
      <c r="D29" s="34"/>
      <c r="E29" s="34"/>
      <c r="F29" s="34"/>
      <c r="G29" s="34"/>
      <c r="H29" s="37">
        <f>SUM(I29)</f>
        <v>4</v>
      </c>
      <c r="I29" s="122">
        <v>4</v>
      </c>
      <c r="J29" s="37">
        <f>SUM(I29)</f>
        <v>4</v>
      </c>
      <c r="K29" s="37">
        <f>SUM(J29)</f>
        <v>4</v>
      </c>
      <c r="L29" s="37"/>
      <c r="M29" s="37"/>
    </row>
    <row r="30" spans="1:13" s="2" customFormat="1" ht="14.1" customHeight="1" x14ac:dyDescent="0.3">
      <c r="A30" s="14"/>
      <c r="B30" s="26" t="s">
        <v>147</v>
      </c>
      <c r="C30" s="26"/>
      <c r="D30" s="27"/>
      <c r="E30" s="28"/>
      <c r="F30" s="28"/>
      <c r="G30" s="32"/>
      <c r="H30" s="37"/>
      <c r="I30" s="122"/>
      <c r="J30" s="37"/>
      <c r="K30" s="37"/>
      <c r="L30" s="37"/>
      <c r="M30" s="37"/>
    </row>
    <row r="31" spans="1:13" s="2" customFormat="1" ht="14.1" customHeight="1" x14ac:dyDescent="0.3">
      <c r="A31" s="14">
        <v>15</v>
      </c>
      <c r="B31" s="40" t="s">
        <v>148</v>
      </c>
      <c r="C31" s="41"/>
      <c r="D31" s="46"/>
      <c r="E31" s="47"/>
      <c r="F31" s="47"/>
      <c r="G31" s="48"/>
      <c r="H31" s="37">
        <f>SUM(I31)</f>
        <v>3</v>
      </c>
      <c r="I31" s="122">
        <v>3</v>
      </c>
      <c r="J31" s="37">
        <f>SUM(I31)</f>
        <v>3</v>
      </c>
      <c r="K31" s="37">
        <f>SUM(J31)</f>
        <v>3</v>
      </c>
      <c r="L31" s="37"/>
      <c r="M31" s="37"/>
    </row>
    <row r="32" spans="1:13" s="2" customFormat="1" ht="14.1" customHeight="1" x14ac:dyDescent="0.3">
      <c r="A32" s="14"/>
      <c r="B32" s="56" t="s">
        <v>149</v>
      </c>
      <c r="C32" s="57"/>
      <c r="D32" s="27"/>
      <c r="E32" s="28"/>
      <c r="F32" s="28"/>
      <c r="G32" s="32"/>
      <c r="H32" s="37"/>
      <c r="I32" s="122"/>
      <c r="J32" s="37"/>
      <c r="K32" s="37"/>
      <c r="L32" s="37"/>
      <c r="M32" s="37"/>
    </row>
    <row r="33" spans="1:13" s="2" customFormat="1" ht="14.1" customHeight="1" x14ac:dyDescent="0.3">
      <c r="A33" s="14">
        <v>16</v>
      </c>
      <c r="B33" s="40"/>
      <c r="C33" s="41"/>
      <c r="D33" s="42"/>
      <c r="E33" s="43"/>
      <c r="F33" s="43"/>
      <c r="G33" s="44"/>
      <c r="H33" s="23"/>
      <c r="I33" s="36"/>
      <c r="J33" s="23"/>
      <c r="K33" s="35"/>
      <c r="L33" s="23"/>
      <c r="M33" s="30"/>
    </row>
    <row r="34" spans="1:13" s="2" customFormat="1" ht="14.1" customHeight="1" thickBot="1" x14ac:dyDescent="0.35">
      <c r="A34" s="79"/>
      <c r="B34" s="84"/>
      <c r="C34" s="85"/>
      <c r="D34" s="126"/>
      <c r="E34" s="127"/>
      <c r="F34" s="127"/>
      <c r="G34" s="128"/>
      <c r="H34" s="82"/>
      <c r="I34" s="81"/>
      <c r="J34" s="82"/>
      <c r="K34" s="80"/>
      <c r="L34" s="82"/>
      <c r="M34" s="83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702DE-0CFA-4DA5-8FFB-08625CC8252C}">
  <sheetPr>
    <tabColor theme="9"/>
    <pageSetUpPr fitToPage="1"/>
  </sheetPr>
  <dimension ref="A1:M51"/>
  <sheetViews>
    <sheetView zoomScale="110" zoomScaleNormal="110" workbookViewId="0">
      <selection activeCell="K31" sqref="K31:K3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9" t="s">
        <v>178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ht="16.5" customHeight="1" thickBot="1" x14ac:dyDescent="0.35">
      <c r="A2" s="6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153</v>
      </c>
      <c r="I2" s="3" t="s">
        <v>154</v>
      </c>
      <c r="J2" s="4" t="s">
        <v>155</v>
      </c>
      <c r="K2" s="7" t="s">
        <v>164</v>
      </c>
      <c r="L2" s="7"/>
      <c r="M2" s="4"/>
    </row>
    <row r="3" spans="1:13" s="2" customFormat="1" ht="14.1" customHeight="1" x14ac:dyDescent="0.3">
      <c r="A3" s="104">
        <v>1</v>
      </c>
      <c r="B3" s="105" t="s">
        <v>66</v>
      </c>
      <c r="C3" s="106"/>
      <c r="D3" s="17" t="s">
        <v>67</v>
      </c>
      <c r="E3" s="107"/>
      <c r="F3" s="107"/>
      <c r="G3" s="108"/>
      <c r="H3" s="18">
        <f>SUM(I3)-2</f>
        <v>40</v>
      </c>
      <c r="I3" s="20">
        <v>42</v>
      </c>
      <c r="J3" s="109">
        <f>SUM(I3)+2</f>
        <v>44</v>
      </c>
      <c r="K3" s="109">
        <f>SUM(J3)+2</f>
        <v>46</v>
      </c>
      <c r="L3" s="109"/>
      <c r="M3" s="110"/>
    </row>
    <row r="4" spans="1:13" s="2" customFormat="1" ht="14.1" customHeight="1" x14ac:dyDescent="0.3">
      <c r="A4" s="90"/>
      <c r="B4" s="68" t="s">
        <v>68</v>
      </c>
      <c r="C4" s="69"/>
      <c r="D4" s="70" t="s">
        <v>69</v>
      </c>
      <c r="E4" s="71"/>
      <c r="F4" s="71"/>
      <c r="G4" s="72"/>
      <c r="H4" s="19"/>
      <c r="I4" s="21"/>
      <c r="J4" s="29"/>
      <c r="K4" s="29"/>
      <c r="L4" s="29"/>
      <c r="M4" s="31"/>
    </row>
    <row r="5" spans="1:13" s="2" customFormat="1" ht="14.1" customHeight="1" x14ac:dyDescent="0.3">
      <c r="A5" s="89">
        <v>2</v>
      </c>
      <c r="B5" s="51" t="s">
        <v>70</v>
      </c>
      <c r="C5" s="52"/>
      <c r="D5" s="53"/>
      <c r="E5" s="54"/>
      <c r="F5" s="54"/>
      <c r="G5" s="55"/>
      <c r="H5" s="49"/>
      <c r="I5" s="50"/>
      <c r="J5" s="66"/>
      <c r="K5" s="66"/>
      <c r="L5" s="66"/>
      <c r="M5" s="67"/>
    </row>
    <row r="6" spans="1:13" s="2" customFormat="1" ht="14.1" customHeight="1" x14ac:dyDescent="0.3">
      <c r="A6" s="90"/>
      <c r="B6" s="68" t="s">
        <v>71</v>
      </c>
      <c r="C6" s="69"/>
      <c r="D6" s="70"/>
      <c r="E6" s="71"/>
      <c r="F6" s="71"/>
      <c r="G6" s="72"/>
      <c r="H6" s="19"/>
      <c r="I6" s="21"/>
      <c r="J6" s="29"/>
      <c r="K6" s="29"/>
      <c r="L6" s="29"/>
      <c r="M6" s="31"/>
    </row>
    <row r="7" spans="1:13" s="2" customFormat="1" ht="14.1" customHeight="1" x14ac:dyDescent="0.3">
      <c r="A7" s="89">
        <v>3</v>
      </c>
      <c r="B7" s="51" t="s">
        <v>72</v>
      </c>
      <c r="C7" s="52"/>
      <c r="D7" s="53"/>
      <c r="E7" s="54"/>
      <c r="F7" s="54"/>
      <c r="G7" s="55"/>
      <c r="H7" s="49"/>
      <c r="I7" s="50"/>
      <c r="J7" s="66"/>
      <c r="K7" s="66"/>
      <c r="L7" s="66"/>
      <c r="M7" s="67"/>
    </row>
    <row r="8" spans="1:13" s="2" customFormat="1" ht="14.1" customHeight="1" x14ac:dyDescent="0.3">
      <c r="A8" s="90"/>
      <c r="B8" s="68" t="s">
        <v>73</v>
      </c>
      <c r="C8" s="69"/>
      <c r="D8" s="70"/>
      <c r="E8" s="71"/>
      <c r="F8" s="71"/>
      <c r="G8" s="72"/>
      <c r="H8" s="19"/>
      <c r="I8" s="21"/>
      <c r="J8" s="29"/>
      <c r="K8" s="29"/>
      <c r="L8" s="29"/>
      <c r="M8" s="31"/>
    </row>
    <row r="9" spans="1:13" s="2" customFormat="1" ht="14.1" customHeight="1" x14ac:dyDescent="0.3">
      <c r="A9" s="89">
        <v>4</v>
      </c>
      <c r="B9" s="40" t="s">
        <v>74</v>
      </c>
      <c r="C9" s="41"/>
      <c r="D9" s="138"/>
      <c r="E9" s="139"/>
      <c r="F9" s="139"/>
      <c r="G9" s="140"/>
      <c r="H9" s="49"/>
      <c r="I9" s="50"/>
      <c r="J9" s="66"/>
      <c r="K9" s="66"/>
      <c r="L9" s="66"/>
      <c r="M9" s="67"/>
    </row>
    <row r="10" spans="1:13" s="2" customFormat="1" ht="14.1" customHeight="1" x14ac:dyDescent="0.3">
      <c r="A10" s="90"/>
      <c r="B10" s="68" t="s">
        <v>75</v>
      </c>
      <c r="C10" s="69"/>
      <c r="D10" s="96"/>
      <c r="E10" s="97"/>
      <c r="F10" s="97"/>
      <c r="G10" s="98"/>
      <c r="H10" s="19"/>
      <c r="I10" s="21"/>
      <c r="J10" s="29"/>
      <c r="K10" s="29"/>
      <c r="L10" s="29"/>
      <c r="M10" s="31"/>
    </row>
    <row r="11" spans="1:13" s="2" customFormat="1" ht="14.1" customHeight="1" x14ac:dyDescent="0.3">
      <c r="A11" s="89">
        <v>5</v>
      </c>
      <c r="B11" s="40" t="s">
        <v>76</v>
      </c>
      <c r="C11" s="41"/>
      <c r="D11" s="53"/>
      <c r="E11" s="54"/>
      <c r="F11" s="54"/>
      <c r="G11" s="55"/>
      <c r="H11" s="49">
        <f>SUM(I11)-2.8</f>
        <v>65.2</v>
      </c>
      <c r="I11" s="50">
        <v>68</v>
      </c>
      <c r="J11" s="66">
        <f>SUM(I11)+2.8</f>
        <v>70.8</v>
      </c>
      <c r="K11" s="66">
        <f>SUM(J11)+2.8</f>
        <v>73.599999999999994</v>
      </c>
      <c r="L11" s="66"/>
      <c r="M11" s="67"/>
    </row>
    <row r="12" spans="1:13" s="2" customFormat="1" ht="14.1" customHeight="1" x14ac:dyDescent="0.3">
      <c r="A12" s="90"/>
      <c r="B12" s="68" t="s">
        <v>77</v>
      </c>
      <c r="C12" s="69"/>
      <c r="D12" s="70"/>
      <c r="E12" s="71"/>
      <c r="F12" s="71"/>
      <c r="G12" s="72"/>
      <c r="H12" s="19"/>
      <c r="I12" s="21"/>
      <c r="J12" s="29"/>
      <c r="K12" s="29"/>
      <c r="L12" s="29"/>
      <c r="M12" s="31"/>
    </row>
    <row r="13" spans="1:13" s="2" customFormat="1" ht="14.1" customHeight="1" x14ac:dyDescent="0.3">
      <c r="A13" s="89">
        <v>6</v>
      </c>
      <c r="B13" s="40" t="s">
        <v>78</v>
      </c>
      <c r="C13" s="41"/>
      <c r="D13" s="42" t="s">
        <v>79</v>
      </c>
      <c r="E13" s="43"/>
      <c r="F13" s="43"/>
      <c r="G13" s="44"/>
      <c r="H13" s="49">
        <f>SUM(I13)-3</f>
        <v>67</v>
      </c>
      <c r="I13" s="36">
        <v>70</v>
      </c>
      <c r="J13" s="23">
        <f>SUM(I13)+3</f>
        <v>73</v>
      </c>
      <c r="K13" s="23">
        <f>SUM(J13)+3</f>
        <v>76</v>
      </c>
      <c r="L13" s="23"/>
      <c r="M13" s="30"/>
    </row>
    <row r="14" spans="1:13" s="2" customFormat="1" ht="14.1" customHeight="1" x14ac:dyDescent="0.3">
      <c r="A14" s="90"/>
      <c r="B14" s="68" t="s">
        <v>80</v>
      </c>
      <c r="C14" s="69"/>
      <c r="D14" s="70" t="s">
        <v>81</v>
      </c>
      <c r="E14" s="71"/>
      <c r="F14" s="71"/>
      <c r="G14" s="72"/>
      <c r="H14" s="19"/>
      <c r="I14" s="21"/>
      <c r="J14" s="29"/>
      <c r="K14" s="29"/>
      <c r="L14" s="29"/>
      <c r="M14" s="31"/>
    </row>
    <row r="15" spans="1:13" s="2" customFormat="1" ht="14.1" customHeight="1" x14ac:dyDescent="0.3">
      <c r="A15" s="89">
        <v>7</v>
      </c>
      <c r="B15" s="40" t="s">
        <v>82</v>
      </c>
      <c r="C15" s="41"/>
      <c r="D15" s="42"/>
      <c r="E15" s="43"/>
      <c r="F15" s="43"/>
      <c r="G15" s="44"/>
      <c r="H15" s="49">
        <f>SUM(I15)-0.5</f>
        <v>11.2</v>
      </c>
      <c r="I15" s="36">
        <v>11.7</v>
      </c>
      <c r="J15" s="23">
        <f>SUM(I15)+0.5</f>
        <v>12.2</v>
      </c>
      <c r="K15" s="23">
        <f>SUM(J15)+0.5</f>
        <v>12.7</v>
      </c>
      <c r="L15" s="33"/>
      <c r="M15" s="25"/>
    </row>
    <row r="16" spans="1:13" s="2" customFormat="1" ht="14.1" customHeight="1" x14ac:dyDescent="0.3">
      <c r="A16" s="90"/>
      <c r="B16" s="68" t="s">
        <v>83</v>
      </c>
      <c r="C16" s="69"/>
      <c r="D16" s="76" t="s">
        <v>84</v>
      </c>
      <c r="E16" s="77"/>
      <c r="F16" s="77"/>
      <c r="G16" s="78"/>
      <c r="H16" s="19"/>
      <c r="I16" s="21"/>
      <c r="J16" s="29"/>
      <c r="K16" s="29"/>
      <c r="L16" s="26"/>
      <c r="M16" s="75"/>
    </row>
    <row r="17" spans="1:13" s="2" customFormat="1" ht="14.1" customHeight="1" x14ac:dyDescent="0.3">
      <c r="A17" s="89">
        <v>8</v>
      </c>
      <c r="B17" s="40" t="s">
        <v>85</v>
      </c>
      <c r="C17" s="41"/>
      <c r="D17" s="42"/>
      <c r="E17" s="43"/>
      <c r="F17" s="43"/>
      <c r="G17" s="44"/>
      <c r="H17" s="35"/>
      <c r="I17" s="36"/>
      <c r="J17" s="23"/>
      <c r="K17" s="23"/>
      <c r="L17" s="33"/>
      <c r="M17" s="25"/>
    </row>
    <row r="18" spans="1:13" s="2" customFormat="1" ht="14.1" customHeight="1" x14ac:dyDescent="0.3">
      <c r="A18" s="90"/>
      <c r="B18" s="68" t="s">
        <v>86</v>
      </c>
      <c r="C18" s="69"/>
      <c r="D18" s="76" t="s">
        <v>87</v>
      </c>
      <c r="E18" s="77"/>
      <c r="F18" s="77"/>
      <c r="G18" s="78"/>
      <c r="H18" s="19"/>
      <c r="I18" s="21"/>
      <c r="J18" s="29"/>
      <c r="K18" s="29"/>
      <c r="L18" s="26"/>
      <c r="M18" s="75"/>
    </row>
    <row r="19" spans="1:13" s="2" customFormat="1" ht="14.1" customHeight="1" x14ac:dyDescent="0.3">
      <c r="A19" s="89">
        <v>9</v>
      </c>
      <c r="B19" s="40" t="s">
        <v>88</v>
      </c>
      <c r="C19" s="41"/>
      <c r="D19" s="42" t="s">
        <v>53</v>
      </c>
      <c r="E19" s="43"/>
      <c r="F19" s="43"/>
      <c r="G19" s="44"/>
      <c r="H19" s="49">
        <f>SUM(I19)-3.5</f>
        <v>41.5</v>
      </c>
      <c r="I19" s="36">
        <v>45</v>
      </c>
      <c r="J19" s="23">
        <f>SUM(I19)+5</f>
        <v>50</v>
      </c>
      <c r="K19" s="23">
        <f>SUM(J19)+5</f>
        <v>55</v>
      </c>
      <c r="L19" s="23"/>
      <c r="M19" s="30"/>
    </row>
    <row r="20" spans="1:13" s="2" customFormat="1" ht="14.1" customHeight="1" x14ac:dyDescent="0.3">
      <c r="A20" s="90"/>
      <c r="B20" s="68" t="s">
        <v>89</v>
      </c>
      <c r="C20" s="69"/>
      <c r="D20" s="70" t="s">
        <v>90</v>
      </c>
      <c r="E20" s="71"/>
      <c r="F20" s="71"/>
      <c r="G20" s="72"/>
      <c r="H20" s="19"/>
      <c r="I20" s="21"/>
      <c r="J20" s="29"/>
      <c r="K20" s="29"/>
      <c r="L20" s="29"/>
      <c r="M20" s="31"/>
    </row>
    <row r="21" spans="1:13" s="2" customFormat="1" ht="14.1" customHeight="1" x14ac:dyDescent="0.3">
      <c r="A21" s="89">
        <v>10</v>
      </c>
      <c r="B21" s="40" t="s">
        <v>91</v>
      </c>
      <c r="C21" s="41"/>
      <c r="D21" s="42" t="s">
        <v>92</v>
      </c>
      <c r="E21" s="43"/>
      <c r="F21" s="43"/>
      <c r="G21" s="44"/>
      <c r="H21" s="49">
        <f>SUM(I21)-0.8</f>
        <v>18.2</v>
      </c>
      <c r="I21" s="36">
        <v>19</v>
      </c>
      <c r="J21" s="23">
        <f>SUM(I21)+0.8</f>
        <v>19.8</v>
      </c>
      <c r="K21" s="23">
        <f>SUM(J21)+0.8</f>
        <v>20.6</v>
      </c>
      <c r="L21" s="23"/>
      <c r="M21" s="30"/>
    </row>
    <row r="22" spans="1:13" s="2" customFormat="1" ht="14.1" customHeight="1" x14ac:dyDescent="0.3">
      <c r="A22" s="90"/>
      <c r="B22" s="68" t="s">
        <v>93</v>
      </c>
      <c r="C22" s="69"/>
      <c r="D22" s="27" t="s">
        <v>94</v>
      </c>
      <c r="E22" s="28"/>
      <c r="F22" s="28"/>
      <c r="G22" s="32"/>
      <c r="H22" s="19"/>
      <c r="I22" s="21"/>
      <c r="J22" s="29"/>
      <c r="K22" s="29"/>
      <c r="L22" s="29"/>
      <c r="M22" s="31"/>
    </row>
    <row r="23" spans="1:13" s="2" customFormat="1" ht="14.1" customHeight="1" x14ac:dyDescent="0.3">
      <c r="A23" s="89">
        <v>11</v>
      </c>
      <c r="B23" s="40" t="s">
        <v>95</v>
      </c>
      <c r="C23" s="41"/>
      <c r="D23" s="42" t="s">
        <v>96</v>
      </c>
      <c r="E23" s="43"/>
      <c r="F23" s="43"/>
      <c r="G23" s="44"/>
      <c r="H23" s="49">
        <f>SUM(I23)-0.8</f>
        <v>18.7</v>
      </c>
      <c r="I23" s="36">
        <v>19.5</v>
      </c>
      <c r="J23" s="23">
        <f>SUM(I23)+0.8</f>
        <v>20.3</v>
      </c>
      <c r="K23" s="23">
        <f>SUM(J23)+0.8</f>
        <v>21.1</v>
      </c>
      <c r="L23" s="23"/>
      <c r="M23" s="25"/>
    </row>
    <row r="24" spans="1:13" s="2" customFormat="1" ht="14.1" customHeight="1" x14ac:dyDescent="0.3">
      <c r="A24" s="90"/>
      <c r="B24" s="68" t="s">
        <v>97</v>
      </c>
      <c r="C24" s="69"/>
      <c r="D24" s="70" t="s">
        <v>98</v>
      </c>
      <c r="E24" s="71"/>
      <c r="F24" s="71"/>
      <c r="G24" s="72"/>
      <c r="H24" s="19"/>
      <c r="I24" s="21"/>
      <c r="J24" s="29"/>
      <c r="K24" s="29"/>
      <c r="L24" s="29"/>
      <c r="M24" s="75"/>
    </row>
    <row r="25" spans="1:13" s="2" customFormat="1" ht="14.1" customHeight="1" x14ac:dyDescent="0.3">
      <c r="A25" s="89">
        <v>12</v>
      </c>
      <c r="B25" s="40" t="s">
        <v>99</v>
      </c>
      <c r="C25" s="41"/>
      <c r="D25" s="42" t="s">
        <v>96</v>
      </c>
      <c r="E25" s="43"/>
      <c r="F25" s="43"/>
      <c r="G25" s="44"/>
      <c r="H25" s="49">
        <f>SUM(I25)-1</f>
        <v>24.6</v>
      </c>
      <c r="I25" s="36">
        <v>25.6</v>
      </c>
      <c r="J25" s="23">
        <f>SUM(I25)+1</f>
        <v>26.6</v>
      </c>
      <c r="K25" s="23">
        <f>SUM(J25)+1</f>
        <v>27.6</v>
      </c>
      <c r="L25" s="23"/>
      <c r="M25" s="25"/>
    </row>
    <row r="26" spans="1:13" s="2" customFormat="1" ht="14.1" customHeight="1" x14ac:dyDescent="0.3">
      <c r="A26" s="90"/>
      <c r="B26" s="68" t="s">
        <v>100</v>
      </c>
      <c r="C26" s="69"/>
      <c r="D26" s="70" t="s">
        <v>98</v>
      </c>
      <c r="E26" s="71"/>
      <c r="F26" s="71"/>
      <c r="G26" s="72"/>
      <c r="H26" s="19"/>
      <c r="I26" s="21"/>
      <c r="J26" s="29"/>
      <c r="K26" s="29"/>
      <c r="L26" s="29"/>
      <c r="M26" s="75"/>
    </row>
    <row r="27" spans="1:13" s="2" customFormat="1" ht="14.1" customHeight="1" x14ac:dyDescent="0.3">
      <c r="A27" s="89">
        <v>13</v>
      </c>
      <c r="B27" s="40" t="s">
        <v>101</v>
      </c>
      <c r="C27" s="41"/>
      <c r="D27" s="42" t="s">
        <v>102</v>
      </c>
      <c r="E27" s="43"/>
      <c r="F27" s="43"/>
      <c r="G27" s="44"/>
      <c r="H27" s="49">
        <f>SUM(I27)-2</f>
        <v>39.9</v>
      </c>
      <c r="I27" s="36">
        <v>41.9</v>
      </c>
      <c r="J27" s="23">
        <f>SUM(I27)+2.1</f>
        <v>44</v>
      </c>
      <c r="K27" s="23">
        <f>SUM(J27)+2.1</f>
        <v>46.1</v>
      </c>
      <c r="L27" s="23"/>
      <c r="M27" s="30"/>
    </row>
    <row r="28" spans="1:13" s="2" customFormat="1" ht="14.1" customHeight="1" x14ac:dyDescent="0.3">
      <c r="A28" s="90"/>
      <c r="B28" s="68" t="s">
        <v>103</v>
      </c>
      <c r="C28" s="69"/>
      <c r="D28" s="70" t="s">
        <v>104</v>
      </c>
      <c r="E28" s="71"/>
      <c r="F28" s="71"/>
      <c r="G28" s="72"/>
      <c r="H28" s="19"/>
      <c r="I28" s="21"/>
      <c r="J28" s="29"/>
      <c r="K28" s="29"/>
      <c r="L28" s="29"/>
      <c r="M28" s="31"/>
    </row>
    <row r="29" spans="1:13" s="2" customFormat="1" ht="14.1" customHeight="1" x14ac:dyDescent="0.3">
      <c r="A29" s="89">
        <v>14</v>
      </c>
      <c r="B29" s="40" t="s">
        <v>105</v>
      </c>
      <c r="C29" s="41"/>
      <c r="D29" s="42" t="s">
        <v>106</v>
      </c>
      <c r="E29" s="43"/>
      <c r="F29" s="43"/>
      <c r="G29" s="44"/>
      <c r="H29" s="49">
        <f>SUM(I29)-2.7</f>
        <v>24.5</v>
      </c>
      <c r="I29" s="36">
        <v>27.2</v>
      </c>
      <c r="J29" s="23">
        <f>SUM(I29)+4.2</f>
        <v>31.4</v>
      </c>
      <c r="K29" s="23">
        <f>SUM(J29)+4.2</f>
        <v>35.6</v>
      </c>
      <c r="L29" s="23"/>
      <c r="M29" s="30"/>
    </row>
    <row r="30" spans="1:13" s="2" customFormat="1" ht="14.1" customHeight="1" x14ac:dyDescent="0.3">
      <c r="A30" s="90"/>
      <c r="B30" s="68" t="s">
        <v>107</v>
      </c>
      <c r="C30" s="69"/>
      <c r="D30" s="70" t="s">
        <v>108</v>
      </c>
      <c r="E30" s="71"/>
      <c r="F30" s="71"/>
      <c r="G30" s="72"/>
      <c r="H30" s="19"/>
      <c r="I30" s="21"/>
      <c r="J30" s="29"/>
      <c r="K30" s="29"/>
      <c r="L30" s="29"/>
      <c r="M30" s="31"/>
    </row>
    <row r="31" spans="1:13" s="2" customFormat="1" ht="14.1" customHeight="1" x14ac:dyDescent="0.3">
      <c r="A31" s="89">
        <v>15</v>
      </c>
      <c r="B31" s="40" t="s">
        <v>109</v>
      </c>
      <c r="C31" s="41"/>
      <c r="D31" s="42" t="s">
        <v>52</v>
      </c>
      <c r="E31" s="43"/>
      <c r="F31" s="43"/>
      <c r="G31" s="44"/>
      <c r="H31" s="49">
        <f>SUM(I31)-1.6</f>
        <v>36.1</v>
      </c>
      <c r="I31" s="36">
        <v>37.700000000000003</v>
      </c>
      <c r="J31" s="23">
        <f>SUM(I31)+1.6</f>
        <v>39.300000000000004</v>
      </c>
      <c r="K31" s="23">
        <f>SUM(J31)+1.6</f>
        <v>40.900000000000006</v>
      </c>
      <c r="L31" s="23"/>
      <c r="M31" s="30"/>
    </row>
    <row r="32" spans="1:13" s="2" customFormat="1" ht="14.1" customHeight="1" x14ac:dyDescent="0.3">
      <c r="A32" s="90"/>
      <c r="B32" s="68" t="s">
        <v>110</v>
      </c>
      <c r="C32" s="69"/>
      <c r="D32" s="70" t="s">
        <v>52</v>
      </c>
      <c r="E32" s="71"/>
      <c r="F32" s="71"/>
      <c r="G32" s="72"/>
      <c r="H32" s="19"/>
      <c r="I32" s="21"/>
      <c r="J32" s="29"/>
      <c r="K32" s="29"/>
      <c r="L32" s="29"/>
      <c r="M32" s="31"/>
    </row>
    <row r="33" spans="1:13" s="2" customFormat="1" ht="14.1" customHeight="1" x14ac:dyDescent="0.3">
      <c r="A33" s="89">
        <v>16</v>
      </c>
      <c r="B33" s="40" t="s">
        <v>111</v>
      </c>
      <c r="C33" s="41"/>
      <c r="D33" s="42" t="s">
        <v>112</v>
      </c>
      <c r="E33" s="43"/>
      <c r="F33" s="43"/>
      <c r="G33" s="44"/>
      <c r="H33" s="49">
        <f>SUM(I33)-1.8</f>
        <v>27.4</v>
      </c>
      <c r="I33" s="36">
        <v>29.2</v>
      </c>
      <c r="J33" s="23">
        <f>SUM(I33)+2.4</f>
        <v>31.599999999999998</v>
      </c>
      <c r="K33" s="23">
        <f>SUM(J33)+2.4</f>
        <v>34</v>
      </c>
      <c r="L33" s="23"/>
      <c r="M33" s="30"/>
    </row>
    <row r="34" spans="1:13" s="2" customFormat="1" ht="14.1" customHeight="1" x14ac:dyDescent="0.3">
      <c r="A34" s="90"/>
      <c r="B34" s="68" t="s">
        <v>113</v>
      </c>
      <c r="C34" s="69"/>
      <c r="D34" s="70" t="s">
        <v>114</v>
      </c>
      <c r="E34" s="71"/>
      <c r="F34" s="71"/>
      <c r="G34" s="72"/>
      <c r="H34" s="19"/>
      <c r="I34" s="21"/>
      <c r="J34" s="29"/>
      <c r="K34" s="29"/>
      <c r="L34" s="29"/>
      <c r="M34" s="31"/>
    </row>
    <row r="35" spans="1:13" s="2" customFormat="1" ht="14.1" customHeight="1" x14ac:dyDescent="0.3">
      <c r="A35" s="89">
        <v>17</v>
      </c>
      <c r="B35" s="40" t="s">
        <v>115</v>
      </c>
      <c r="C35" s="41"/>
      <c r="D35" s="42" t="s">
        <v>116</v>
      </c>
      <c r="E35" s="43"/>
      <c r="F35" s="43"/>
      <c r="G35" s="44"/>
      <c r="H35" s="49">
        <f>SUM(I35)-0.2</f>
        <v>4.3</v>
      </c>
      <c r="I35" s="36">
        <v>4.5</v>
      </c>
      <c r="J35" s="23">
        <f>SUM(I35)+0.2</f>
        <v>4.7</v>
      </c>
      <c r="K35" s="23">
        <f>SUM(J35)+0.2</f>
        <v>4.9000000000000004</v>
      </c>
      <c r="L35" s="23"/>
      <c r="M35" s="30"/>
    </row>
    <row r="36" spans="1:13" s="2" customFormat="1" ht="14.1" customHeight="1" x14ac:dyDescent="0.3">
      <c r="A36" s="90"/>
      <c r="B36" s="68" t="s">
        <v>117</v>
      </c>
      <c r="C36" s="69"/>
      <c r="D36" s="70" t="s">
        <v>118</v>
      </c>
      <c r="E36" s="71"/>
      <c r="F36" s="71"/>
      <c r="G36" s="72"/>
      <c r="H36" s="19"/>
      <c r="I36" s="21"/>
      <c r="J36" s="29"/>
      <c r="K36" s="29"/>
      <c r="L36" s="29"/>
      <c r="M36" s="31"/>
    </row>
    <row r="37" spans="1:13" ht="14.1" customHeight="1" x14ac:dyDescent="0.3">
      <c r="A37" s="89">
        <v>18</v>
      </c>
      <c r="B37" s="40" t="s">
        <v>119</v>
      </c>
      <c r="C37" s="41"/>
      <c r="D37" s="42" t="s">
        <v>120</v>
      </c>
      <c r="E37" s="43"/>
      <c r="F37" s="43"/>
      <c r="G37" s="44"/>
      <c r="H37" s="35">
        <f>SUM(I37)-0.6</f>
        <v>8.4</v>
      </c>
      <c r="I37" s="36">
        <v>9</v>
      </c>
      <c r="J37" s="23">
        <f>SUM(I37)+0.6</f>
        <v>9.6</v>
      </c>
      <c r="K37" s="23">
        <f>SUM(J37)+0.6</f>
        <v>10.199999999999999</v>
      </c>
      <c r="L37" s="23"/>
      <c r="M37" s="30"/>
    </row>
    <row r="38" spans="1:13" ht="14.1" customHeight="1" x14ac:dyDescent="0.3">
      <c r="A38" s="90"/>
      <c r="B38" s="68" t="s">
        <v>121</v>
      </c>
      <c r="C38" s="69"/>
      <c r="D38" s="70" t="s">
        <v>122</v>
      </c>
      <c r="E38" s="71"/>
      <c r="F38" s="71"/>
      <c r="G38" s="72"/>
      <c r="H38" s="19"/>
      <c r="I38" s="21"/>
      <c r="J38" s="29"/>
      <c r="K38" s="29"/>
      <c r="L38" s="29"/>
      <c r="M38" s="31"/>
    </row>
    <row r="39" spans="1:13" ht="14.1" customHeight="1" x14ac:dyDescent="0.3">
      <c r="A39" s="89">
        <v>19</v>
      </c>
      <c r="B39" s="40" t="s">
        <v>61</v>
      </c>
      <c r="C39" s="41"/>
      <c r="D39" s="42"/>
      <c r="E39" s="43"/>
      <c r="F39" s="43"/>
      <c r="G39" s="44"/>
      <c r="H39" s="35">
        <f>SUM(I39)-0.1</f>
        <v>2.1999999999999997</v>
      </c>
      <c r="I39" s="36">
        <v>2.2999999999999998</v>
      </c>
      <c r="J39" s="23">
        <f>SUM(I39)+0.1</f>
        <v>2.4</v>
      </c>
      <c r="K39" s="23">
        <f>SUM(J39)+0.1</f>
        <v>2.5</v>
      </c>
      <c r="L39" s="23"/>
      <c r="M39" s="94"/>
    </row>
    <row r="40" spans="1:13" ht="14.1" customHeight="1" x14ac:dyDescent="0.3">
      <c r="A40" s="90"/>
      <c r="B40" s="56" t="s">
        <v>62</v>
      </c>
      <c r="C40" s="57"/>
      <c r="D40" s="70" t="s">
        <v>179</v>
      </c>
      <c r="E40" s="71"/>
      <c r="F40" s="71"/>
      <c r="G40" s="72"/>
      <c r="H40" s="19"/>
      <c r="I40" s="21"/>
      <c r="J40" s="29"/>
      <c r="K40" s="29"/>
      <c r="L40" s="29"/>
      <c r="M40" s="95"/>
    </row>
    <row r="41" spans="1:13" s="2" customFormat="1" ht="14.1" customHeight="1" x14ac:dyDescent="0.3">
      <c r="A41" s="141">
        <v>20</v>
      </c>
      <c r="B41" s="40"/>
      <c r="C41" s="41"/>
      <c r="D41" s="42"/>
      <c r="E41" s="43"/>
      <c r="F41" s="43"/>
      <c r="G41" s="44"/>
      <c r="H41" s="35"/>
      <c r="I41" s="36"/>
      <c r="J41" s="23"/>
      <c r="K41" s="23"/>
      <c r="L41" s="23"/>
      <c r="M41" s="94"/>
    </row>
    <row r="42" spans="1:13" s="2" customFormat="1" ht="14.1" customHeight="1" thickBot="1" x14ac:dyDescent="0.35">
      <c r="A42" s="142"/>
      <c r="B42" s="117"/>
      <c r="C42" s="118"/>
      <c r="D42" s="86"/>
      <c r="E42" s="87"/>
      <c r="F42" s="87"/>
      <c r="G42" s="88"/>
      <c r="H42" s="80"/>
      <c r="I42" s="81"/>
      <c r="J42" s="82"/>
      <c r="K42" s="82"/>
      <c r="L42" s="82"/>
      <c r="M42" s="116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23"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L41:L42"/>
    <mergeCell ref="M41:M42"/>
    <mergeCell ref="B42:C42"/>
    <mergeCell ref="D42:G42"/>
    <mergeCell ref="J41:J42"/>
    <mergeCell ref="J39:J40"/>
    <mergeCell ref="K39:K40"/>
    <mergeCell ref="L39:L40"/>
    <mergeCell ref="M39:M40"/>
    <mergeCell ref="A41:A42"/>
    <mergeCell ref="B41:C41"/>
    <mergeCell ref="D41:G41"/>
    <mergeCell ref="H41:H42"/>
    <mergeCell ref="I41:I42"/>
    <mergeCell ref="B40:C40"/>
    <mergeCell ref="D40:G40"/>
    <mergeCell ref="J35:J36"/>
    <mergeCell ref="K35:K36"/>
    <mergeCell ref="B36:C36"/>
    <mergeCell ref="D36:G36"/>
    <mergeCell ref="K41:K42"/>
    <mergeCell ref="K37:K38"/>
    <mergeCell ref="K33:K34"/>
    <mergeCell ref="L33:L34"/>
    <mergeCell ref="M33:M34"/>
    <mergeCell ref="B34:C34"/>
    <mergeCell ref="D34:G34"/>
    <mergeCell ref="A39:A40"/>
    <mergeCell ref="B39:C39"/>
    <mergeCell ref="D39:G39"/>
    <mergeCell ref="H39:H40"/>
    <mergeCell ref="I39:I40"/>
    <mergeCell ref="A33:A34"/>
    <mergeCell ref="B33:C33"/>
    <mergeCell ref="D33:G33"/>
    <mergeCell ref="H33:H34"/>
    <mergeCell ref="I33:I34"/>
    <mergeCell ref="J33:J34"/>
    <mergeCell ref="A35:A36"/>
    <mergeCell ref="B35:C35"/>
    <mergeCell ref="D35:G35"/>
    <mergeCell ref="H35:H36"/>
    <mergeCell ref="I35:I36"/>
    <mergeCell ref="L35:L36"/>
    <mergeCell ref="M35:M36"/>
    <mergeCell ref="L37:L38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6C3A-89E2-44F9-9C25-F8B957742D56}">
  <sheetPr>
    <tabColor theme="9"/>
    <pageSetUpPr fitToPage="1"/>
  </sheetPr>
  <dimension ref="A1:M51"/>
  <sheetViews>
    <sheetView topLeftCell="A13" zoomScale="110" zoomScaleNormal="110" workbookViewId="0">
      <selection activeCell="B39" sqref="B39:L4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9" t="s">
        <v>175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ht="16.5" customHeight="1" thickBot="1" x14ac:dyDescent="0.35">
      <c r="A2" s="6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153</v>
      </c>
      <c r="I2" s="3" t="s">
        <v>154</v>
      </c>
      <c r="J2" s="4" t="s">
        <v>155</v>
      </c>
      <c r="K2" s="7" t="s">
        <v>164</v>
      </c>
      <c r="L2" s="7"/>
      <c r="M2" s="4"/>
    </row>
    <row r="3" spans="1:13" s="2" customFormat="1" ht="14.1" customHeight="1" x14ac:dyDescent="0.3">
      <c r="A3" s="104">
        <v>1</v>
      </c>
      <c r="B3" s="105" t="s">
        <v>66</v>
      </c>
      <c r="C3" s="106"/>
      <c r="D3" s="17" t="s">
        <v>67</v>
      </c>
      <c r="E3" s="107"/>
      <c r="F3" s="107"/>
      <c r="G3" s="108"/>
      <c r="H3" s="18">
        <f>SUM(I3)-2</f>
        <v>40</v>
      </c>
      <c r="I3" s="20">
        <v>42</v>
      </c>
      <c r="J3" s="109">
        <f>SUM(I3)+2</f>
        <v>44</v>
      </c>
      <c r="K3" s="109">
        <f>SUM(J3)+2</f>
        <v>46</v>
      </c>
      <c r="L3" s="109"/>
      <c r="M3" s="110"/>
    </row>
    <row r="4" spans="1:13" s="2" customFormat="1" ht="14.1" customHeight="1" x14ac:dyDescent="0.3">
      <c r="A4" s="90"/>
      <c r="B4" s="68" t="s">
        <v>68</v>
      </c>
      <c r="C4" s="69"/>
      <c r="D4" s="70" t="s">
        <v>69</v>
      </c>
      <c r="E4" s="71"/>
      <c r="F4" s="71"/>
      <c r="G4" s="72"/>
      <c r="H4" s="19"/>
      <c r="I4" s="21"/>
      <c r="J4" s="29"/>
      <c r="K4" s="29"/>
      <c r="L4" s="29"/>
      <c r="M4" s="31"/>
    </row>
    <row r="5" spans="1:13" s="2" customFormat="1" ht="14.1" customHeight="1" x14ac:dyDescent="0.3">
      <c r="A5" s="89">
        <v>2</v>
      </c>
      <c r="B5" s="51" t="s">
        <v>70</v>
      </c>
      <c r="C5" s="52"/>
      <c r="D5" s="53"/>
      <c r="E5" s="54"/>
      <c r="F5" s="54"/>
      <c r="G5" s="55"/>
      <c r="H5" s="49"/>
      <c r="I5" s="50"/>
      <c r="J5" s="66"/>
      <c r="K5" s="66"/>
      <c r="L5" s="66"/>
      <c r="M5" s="67"/>
    </row>
    <row r="6" spans="1:13" s="2" customFormat="1" ht="14.1" customHeight="1" x14ac:dyDescent="0.3">
      <c r="A6" s="90"/>
      <c r="B6" s="68" t="s">
        <v>71</v>
      </c>
      <c r="C6" s="69"/>
      <c r="D6" s="70"/>
      <c r="E6" s="71"/>
      <c r="F6" s="71"/>
      <c r="G6" s="72"/>
      <c r="H6" s="19"/>
      <c r="I6" s="21"/>
      <c r="J6" s="29"/>
      <c r="K6" s="29"/>
      <c r="L6" s="29"/>
      <c r="M6" s="31"/>
    </row>
    <row r="7" spans="1:13" s="2" customFormat="1" ht="14.1" customHeight="1" x14ac:dyDescent="0.3">
      <c r="A7" s="89">
        <v>3</v>
      </c>
      <c r="B7" s="51" t="s">
        <v>72</v>
      </c>
      <c r="C7" s="52"/>
      <c r="D7" s="53"/>
      <c r="E7" s="54"/>
      <c r="F7" s="54"/>
      <c r="G7" s="55"/>
      <c r="H7" s="49"/>
      <c r="I7" s="50"/>
      <c r="J7" s="66"/>
      <c r="K7" s="66"/>
      <c r="L7" s="66"/>
      <c r="M7" s="67"/>
    </row>
    <row r="8" spans="1:13" s="2" customFormat="1" ht="14.1" customHeight="1" x14ac:dyDescent="0.3">
      <c r="A8" s="90"/>
      <c r="B8" s="68" t="s">
        <v>73</v>
      </c>
      <c r="C8" s="69"/>
      <c r="D8" s="70"/>
      <c r="E8" s="71"/>
      <c r="F8" s="71"/>
      <c r="G8" s="72"/>
      <c r="H8" s="19"/>
      <c r="I8" s="21"/>
      <c r="J8" s="29"/>
      <c r="K8" s="29"/>
      <c r="L8" s="29"/>
      <c r="M8" s="31"/>
    </row>
    <row r="9" spans="1:13" s="2" customFormat="1" ht="14.1" customHeight="1" x14ac:dyDescent="0.3">
      <c r="A9" s="89">
        <v>4</v>
      </c>
      <c r="B9" s="40" t="s">
        <v>74</v>
      </c>
      <c r="C9" s="41"/>
      <c r="D9" s="138"/>
      <c r="E9" s="139"/>
      <c r="F9" s="139"/>
      <c r="G9" s="140"/>
      <c r="H9" s="49"/>
      <c r="I9" s="50"/>
      <c r="J9" s="66"/>
      <c r="K9" s="66"/>
      <c r="L9" s="66"/>
      <c r="M9" s="67"/>
    </row>
    <row r="10" spans="1:13" s="2" customFormat="1" ht="14.1" customHeight="1" x14ac:dyDescent="0.3">
      <c r="A10" s="90"/>
      <c r="B10" s="68" t="s">
        <v>75</v>
      </c>
      <c r="C10" s="69"/>
      <c r="D10" s="96"/>
      <c r="E10" s="97"/>
      <c r="F10" s="97"/>
      <c r="G10" s="98"/>
      <c r="H10" s="19"/>
      <c r="I10" s="21"/>
      <c r="J10" s="29"/>
      <c r="K10" s="29"/>
      <c r="L10" s="29"/>
      <c r="M10" s="31"/>
    </row>
    <row r="11" spans="1:13" s="2" customFormat="1" ht="14.1" customHeight="1" x14ac:dyDescent="0.3">
      <c r="A11" s="89">
        <v>5</v>
      </c>
      <c r="B11" s="40" t="s">
        <v>76</v>
      </c>
      <c r="C11" s="41"/>
      <c r="D11" s="53"/>
      <c r="E11" s="54"/>
      <c r="F11" s="54"/>
      <c r="G11" s="55"/>
      <c r="H11" s="49">
        <f>SUM(I11)-3</f>
        <v>59</v>
      </c>
      <c r="I11" s="50">
        <v>62</v>
      </c>
      <c r="J11" s="66">
        <f>SUM(I11)+3</f>
        <v>65</v>
      </c>
      <c r="K11" s="66">
        <f>SUM(J11)+3</f>
        <v>68</v>
      </c>
      <c r="L11" s="66"/>
      <c r="M11" s="67"/>
    </row>
    <row r="12" spans="1:13" s="2" customFormat="1" ht="14.1" customHeight="1" x14ac:dyDescent="0.3">
      <c r="A12" s="90"/>
      <c r="B12" s="68" t="s">
        <v>77</v>
      </c>
      <c r="C12" s="69"/>
      <c r="D12" s="70"/>
      <c r="E12" s="71"/>
      <c r="F12" s="71"/>
      <c r="G12" s="72"/>
      <c r="H12" s="19"/>
      <c r="I12" s="21"/>
      <c r="J12" s="29"/>
      <c r="K12" s="29"/>
      <c r="L12" s="29"/>
      <c r="M12" s="31"/>
    </row>
    <row r="13" spans="1:13" s="2" customFormat="1" ht="14.1" customHeight="1" x14ac:dyDescent="0.3">
      <c r="A13" s="89">
        <v>6</v>
      </c>
      <c r="B13" s="40" t="s">
        <v>78</v>
      </c>
      <c r="C13" s="41"/>
      <c r="D13" s="42" t="s">
        <v>79</v>
      </c>
      <c r="E13" s="43"/>
      <c r="F13" s="43"/>
      <c r="G13" s="44"/>
      <c r="H13" s="49">
        <f>SUM(I13)-3</f>
        <v>67</v>
      </c>
      <c r="I13" s="36">
        <v>70</v>
      </c>
      <c r="J13" s="23">
        <f>SUM(I13)+3</f>
        <v>73</v>
      </c>
      <c r="K13" s="23">
        <f>SUM(J13)+3</f>
        <v>76</v>
      </c>
      <c r="L13" s="23"/>
      <c r="M13" s="30"/>
    </row>
    <row r="14" spans="1:13" s="2" customFormat="1" ht="14.1" customHeight="1" x14ac:dyDescent="0.3">
      <c r="A14" s="90"/>
      <c r="B14" s="68" t="s">
        <v>80</v>
      </c>
      <c r="C14" s="69"/>
      <c r="D14" s="70" t="s">
        <v>81</v>
      </c>
      <c r="E14" s="71"/>
      <c r="F14" s="71"/>
      <c r="G14" s="72"/>
      <c r="H14" s="19"/>
      <c r="I14" s="21"/>
      <c r="J14" s="29"/>
      <c r="K14" s="29"/>
      <c r="L14" s="29"/>
      <c r="M14" s="31"/>
    </row>
    <row r="15" spans="1:13" s="2" customFormat="1" ht="14.1" customHeight="1" x14ac:dyDescent="0.3">
      <c r="A15" s="89">
        <v>7</v>
      </c>
      <c r="B15" s="40" t="s">
        <v>82</v>
      </c>
      <c r="C15" s="41"/>
      <c r="D15" s="42"/>
      <c r="E15" s="43"/>
      <c r="F15" s="43"/>
      <c r="G15" s="44"/>
      <c r="H15" s="49">
        <f>SUM(I15)-0.5</f>
        <v>8</v>
      </c>
      <c r="I15" s="36">
        <v>8.5</v>
      </c>
      <c r="J15" s="23">
        <f>SUM(I15)+0.5</f>
        <v>9</v>
      </c>
      <c r="K15" s="23">
        <f>SUM(J15)+0.5</f>
        <v>9.5</v>
      </c>
      <c r="L15" s="33"/>
      <c r="M15" s="25"/>
    </row>
    <row r="16" spans="1:13" s="2" customFormat="1" ht="14.1" customHeight="1" x14ac:dyDescent="0.3">
      <c r="A16" s="90"/>
      <c r="B16" s="68" t="s">
        <v>83</v>
      </c>
      <c r="C16" s="69"/>
      <c r="D16" s="76" t="s">
        <v>87</v>
      </c>
      <c r="E16" s="77"/>
      <c r="F16" s="77"/>
      <c r="G16" s="78"/>
      <c r="H16" s="19"/>
      <c r="I16" s="21"/>
      <c r="J16" s="29"/>
      <c r="K16" s="29"/>
      <c r="L16" s="26"/>
      <c r="M16" s="75"/>
    </row>
    <row r="17" spans="1:13" s="2" customFormat="1" ht="14.1" customHeight="1" x14ac:dyDescent="0.3">
      <c r="A17" s="89">
        <v>8</v>
      </c>
      <c r="B17" s="40" t="s">
        <v>85</v>
      </c>
      <c r="C17" s="41"/>
      <c r="D17" s="42"/>
      <c r="E17" s="43"/>
      <c r="F17" s="43"/>
      <c r="G17" s="44"/>
      <c r="H17" s="49">
        <f>SUM(I17)-0.5</f>
        <v>8</v>
      </c>
      <c r="I17" s="36">
        <v>8.5</v>
      </c>
      <c r="J17" s="23">
        <f>SUM(I17)+0.5</f>
        <v>9</v>
      </c>
      <c r="K17" s="23">
        <f>SUM(J17)+0.5</f>
        <v>9.5</v>
      </c>
      <c r="L17" s="33"/>
      <c r="M17" s="25"/>
    </row>
    <row r="18" spans="1:13" s="2" customFormat="1" ht="14.1" customHeight="1" x14ac:dyDescent="0.3">
      <c r="A18" s="90"/>
      <c r="B18" s="68" t="s">
        <v>86</v>
      </c>
      <c r="C18" s="69"/>
      <c r="D18" s="76" t="s">
        <v>87</v>
      </c>
      <c r="E18" s="77"/>
      <c r="F18" s="77"/>
      <c r="G18" s="78"/>
      <c r="H18" s="19"/>
      <c r="I18" s="21"/>
      <c r="J18" s="29"/>
      <c r="K18" s="29"/>
      <c r="L18" s="26"/>
      <c r="M18" s="75"/>
    </row>
    <row r="19" spans="1:13" s="2" customFormat="1" ht="14.1" customHeight="1" x14ac:dyDescent="0.3">
      <c r="A19" s="89">
        <v>9</v>
      </c>
      <c r="B19" s="40" t="s">
        <v>88</v>
      </c>
      <c r="C19" s="41"/>
      <c r="D19" s="42" t="s">
        <v>53</v>
      </c>
      <c r="E19" s="43"/>
      <c r="F19" s="43"/>
      <c r="G19" s="44"/>
      <c r="H19" s="49">
        <f>SUM(I19)-3.5</f>
        <v>39.5</v>
      </c>
      <c r="I19" s="36">
        <v>43</v>
      </c>
      <c r="J19" s="23">
        <f>SUM(I19)+5</f>
        <v>48</v>
      </c>
      <c r="K19" s="23">
        <f>SUM(J19)+5</f>
        <v>53</v>
      </c>
      <c r="L19" s="23"/>
      <c r="M19" s="30"/>
    </row>
    <row r="20" spans="1:13" s="2" customFormat="1" ht="14.1" customHeight="1" x14ac:dyDescent="0.3">
      <c r="A20" s="90"/>
      <c r="B20" s="68" t="s">
        <v>89</v>
      </c>
      <c r="C20" s="69"/>
      <c r="D20" s="70" t="s">
        <v>90</v>
      </c>
      <c r="E20" s="71"/>
      <c r="F20" s="71"/>
      <c r="G20" s="72"/>
      <c r="H20" s="19"/>
      <c r="I20" s="21"/>
      <c r="J20" s="29"/>
      <c r="K20" s="29"/>
      <c r="L20" s="29"/>
      <c r="M20" s="31"/>
    </row>
    <row r="21" spans="1:13" s="2" customFormat="1" ht="14.1" customHeight="1" x14ac:dyDescent="0.3">
      <c r="A21" s="89">
        <v>10</v>
      </c>
      <c r="B21" s="40" t="s">
        <v>91</v>
      </c>
      <c r="C21" s="41"/>
      <c r="D21" s="42" t="s">
        <v>92</v>
      </c>
      <c r="E21" s="43"/>
      <c r="F21" s="43"/>
      <c r="G21" s="44"/>
      <c r="H21" s="49">
        <f>SUM(I21)-1.2</f>
        <v>24.8</v>
      </c>
      <c r="I21" s="36">
        <v>26</v>
      </c>
      <c r="J21" s="23">
        <f>SUM(I21)+1.2</f>
        <v>27.2</v>
      </c>
      <c r="K21" s="23">
        <f>SUM(J21)+1.2</f>
        <v>28.4</v>
      </c>
      <c r="L21" s="23"/>
      <c r="M21" s="30"/>
    </row>
    <row r="22" spans="1:13" s="2" customFormat="1" ht="14.1" customHeight="1" x14ac:dyDescent="0.3">
      <c r="A22" s="90"/>
      <c r="B22" s="68" t="s">
        <v>93</v>
      </c>
      <c r="C22" s="69"/>
      <c r="D22" s="27" t="s">
        <v>94</v>
      </c>
      <c r="E22" s="28"/>
      <c r="F22" s="28"/>
      <c r="G22" s="32"/>
      <c r="H22" s="19"/>
      <c r="I22" s="21"/>
      <c r="J22" s="29"/>
      <c r="K22" s="29"/>
      <c r="L22" s="29"/>
      <c r="M22" s="31"/>
    </row>
    <row r="23" spans="1:13" s="2" customFormat="1" ht="14.1" customHeight="1" x14ac:dyDescent="0.3">
      <c r="A23" s="89">
        <v>11</v>
      </c>
      <c r="B23" s="40" t="s">
        <v>95</v>
      </c>
      <c r="C23" s="41"/>
      <c r="D23" s="42" t="s">
        <v>96</v>
      </c>
      <c r="E23" s="43"/>
      <c r="F23" s="43"/>
      <c r="G23" s="44"/>
      <c r="H23" s="49">
        <f>SUM(I23)-0.8</f>
        <v>19.2</v>
      </c>
      <c r="I23" s="36">
        <v>20</v>
      </c>
      <c r="J23" s="23">
        <f>SUM(I23)+0.8</f>
        <v>20.8</v>
      </c>
      <c r="K23" s="23">
        <f>SUM(J23)+0.8</f>
        <v>21.6</v>
      </c>
      <c r="L23" s="23"/>
      <c r="M23" s="25"/>
    </row>
    <row r="24" spans="1:13" s="2" customFormat="1" ht="14.1" customHeight="1" x14ac:dyDescent="0.3">
      <c r="A24" s="90"/>
      <c r="B24" s="68" t="s">
        <v>97</v>
      </c>
      <c r="C24" s="69"/>
      <c r="D24" s="70" t="s">
        <v>98</v>
      </c>
      <c r="E24" s="71"/>
      <c r="F24" s="71"/>
      <c r="G24" s="72"/>
      <c r="H24" s="19"/>
      <c r="I24" s="21"/>
      <c r="J24" s="29"/>
      <c r="K24" s="29"/>
      <c r="L24" s="29"/>
      <c r="M24" s="75"/>
    </row>
    <row r="25" spans="1:13" s="2" customFormat="1" ht="14.1" customHeight="1" x14ac:dyDescent="0.3">
      <c r="A25" s="89">
        <v>12</v>
      </c>
      <c r="B25" s="40" t="s">
        <v>99</v>
      </c>
      <c r="C25" s="41"/>
      <c r="D25" s="42" t="s">
        <v>96</v>
      </c>
      <c r="E25" s="43"/>
      <c r="F25" s="43"/>
      <c r="G25" s="44"/>
      <c r="H25" s="49">
        <f>SUM(I25)-1</f>
        <v>25</v>
      </c>
      <c r="I25" s="36">
        <v>26</v>
      </c>
      <c r="J25" s="23">
        <f>SUM(I25)+1</f>
        <v>27</v>
      </c>
      <c r="K25" s="23">
        <f>SUM(J25)+1</f>
        <v>28</v>
      </c>
      <c r="L25" s="23"/>
      <c r="M25" s="25"/>
    </row>
    <row r="26" spans="1:13" s="2" customFormat="1" ht="14.1" customHeight="1" x14ac:dyDescent="0.3">
      <c r="A26" s="90"/>
      <c r="B26" s="68" t="s">
        <v>100</v>
      </c>
      <c r="C26" s="69"/>
      <c r="D26" s="70" t="s">
        <v>98</v>
      </c>
      <c r="E26" s="71"/>
      <c r="F26" s="71"/>
      <c r="G26" s="72"/>
      <c r="H26" s="19"/>
      <c r="I26" s="21"/>
      <c r="J26" s="29"/>
      <c r="K26" s="29"/>
      <c r="L26" s="29"/>
      <c r="M26" s="75"/>
    </row>
    <row r="27" spans="1:13" s="2" customFormat="1" ht="14.1" customHeight="1" x14ac:dyDescent="0.3">
      <c r="A27" s="89">
        <v>13</v>
      </c>
      <c r="B27" s="40" t="s">
        <v>101</v>
      </c>
      <c r="C27" s="41"/>
      <c r="D27" s="42" t="s">
        <v>102</v>
      </c>
      <c r="E27" s="43"/>
      <c r="F27" s="43"/>
      <c r="G27" s="44"/>
      <c r="H27" s="49"/>
      <c r="I27" s="36"/>
      <c r="J27" s="23"/>
      <c r="K27" s="23"/>
      <c r="L27" s="23"/>
      <c r="M27" s="30"/>
    </row>
    <row r="28" spans="1:13" s="2" customFormat="1" ht="14.1" customHeight="1" x14ac:dyDescent="0.3">
      <c r="A28" s="90"/>
      <c r="B28" s="68" t="s">
        <v>103</v>
      </c>
      <c r="C28" s="69"/>
      <c r="D28" s="70" t="s">
        <v>104</v>
      </c>
      <c r="E28" s="71"/>
      <c r="F28" s="71"/>
      <c r="G28" s="72"/>
      <c r="H28" s="19"/>
      <c r="I28" s="21"/>
      <c r="J28" s="29"/>
      <c r="K28" s="29"/>
      <c r="L28" s="29"/>
      <c r="M28" s="31"/>
    </row>
    <row r="29" spans="1:13" s="2" customFormat="1" ht="14.1" customHeight="1" x14ac:dyDescent="0.3">
      <c r="A29" s="89">
        <v>14</v>
      </c>
      <c r="B29" s="40" t="s">
        <v>105</v>
      </c>
      <c r="C29" s="41"/>
      <c r="D29" s="42" t="s">
        <v>106</v>
      </c>
      <c r="E29" s="43"/>
      <c r="F29" s="43"/>
      <c r="G29" s="44"/>
      <c r="H29" s="49"/>
      <c r="I29" s="36"/>
      <c r="J29" s="23"/>
      <c r="K29" s="23"/>
      <c r="L29" s="23"/>
      <c r="M29" s="30"/>
    </row>
    <row r="30" spans="1:13" s="2" customFormat="1" ht="14.1" customHeight="1" x14ac:dyDescent="0.3">
      <c r="A30" s="90"/>
      <c r="B30" s="68" t="s">
        <v>107</v>
      </c>
      <c r="C30" s="69"/>
      <c r="D30" s="70" t="s">
        <v>108</v>
      </c>
      <c r="E30" s="71"/>
      <c r="F30" s="71"/>
      <c r="G30" s="72"/>
      <c r="H30" s="19"/>
      <c r="I30" s="21"/>
      <c r="J30" s="29"/>
      <c r="K30" s="29"/>
      <c r="L30" s="29"/>
      <c r="M30" s="31"/>
    </row>
    <row r="31" spans="1:13" s="2" customFormat="1" ht="14.1" customHeight="1" x14ac:dyDescent="0.3">
      <c r="A31" s="89">
        <v>15</v>
      </c>
      <c r="B31" s="40" t="s">
        <v>109</v>
      </c>
      <c r="C31" s="41"/>
      <c r="D31" s="42" t="s">
        <v>52</v>
      </c>
      <c r="E31" s="43"/>
      <c r="F31" s="43"/>
      <c r="G31" s="44"/>
      <c r="H31" s="49"/>
      <c r="I31" s="36"/>
      <c r="J31" s="23"/>
      <c r="K31" s="23"/>
      <c r="L31" s="23"/>
      <c r="M31" s="30"/>
    </row>
    <row r="32" spans="1:13" s="2" customFormat="1" ht="14.1" customHeight="1" x14ac:dyDescent="0.3">
      <c r="A32" s="90"/>
      <c r="B32" s="68" t="s">
        <v>110</v>
      </c>
      <c r="C32" s="69"/>
      <c r="D32" s="70" t="s">
        <v>52</v>
      </c>
      <c r="E32" s="71"/>
      <c r="F32" s="71"/>
      <c r="G32" s="72"/>
      <c r="H32" s="19"/>
      <c r="I32" s="21"/>
      <c r="J32" s="29"/>
      <c r="K32" s="29"/>
      <c r="L32" s="29"/>
      <c r="M32" s="31"/>
    </row>
    <row r="33" spans="1:13" s="2" customFormat="1" ht="14.1" customHeight="1" x14ac:dyDescent="0.3">
      <c r="A33" s="89">
        <v>16</v>
      </c>
      <c r="B33" s="40" t="s">
        <v>111</v>
      </c>
      <c r="C33" s="41"/>
      <c r="D33" s="42" t="s">
        <v>112</v>
      </c>
      <c r="E33" s="43"/>
      <c r="F33" s="43"/>
      <c r="G33" s="44"/>
      <c r="H33" s="49"/>
      <c r="I33" s="36"/>
      <c r="J33" s="23"/>
      <c r="K33" s="23"/>
      <c r="L33" s="23"/>
      <c r="M33" s="30"/>
    </row>
    <row r="34" spans="1:13" s="2" customFormat="1" ht="14.1" customHeight="1" x14ac:dyDescent="0.3">
      <c r="A34" s="90"/>
      <c r="B34" s="68" t="s">
        <v>113</v>
      </c>
      <c r="C34" s="69"/>
      <c r="D34" s="70" t="s">
        <v>114</v>
      </c>
      <c r="E34" s="71"/>
      <c r="F34" s="71"/>
      <c r="G34" s="72"/>
      <c r="H34" s="19"/>
      <c r="I34" s="21"/>
      <c r="J34" s="29"/>
      <c r="K34" s="29"/>
      <c r="L34" s="29"/>
      <c r="M34" s="31"/>
    </row>
    <row r="35" spans="1:13" s="2" customFormat="1" ht="14.1" customHeight="1" x14ac:dyDescent="0.3">
      <c r="A35" s="89">
        <v>17</v>
      </c>
      <c r="B35" s="40" t="s">
        <v>115</v>
      </c>
      <c r="C35" s="41"/>
      <c r="D35" s="42" t="s">
        <v>116</v>
      </c>
      <c r="E35" s="43"/>
      <c r="F35" s="43"/>
      <c r="G35" s="44"/>
      <c r="H35" s="49">
        <f>SUM(I35)-0.2</f>
        <v>3.3</v>
      </c>
      <c r="I35" s="36">
        <v>3.5</v>
      </c>
      <c r="J35" s="23">
        <f>SUM(I35)+0.2</f>
        <v>3.7</v>
      </c>
      <c r="K35" s="23">
        <f>SUM(J35)+0.2</f>
        <v>3.9000000000000004</v>
      </c>
      <c r="L35" s="23"/>
      <c r="M35" s="30"/>
    </row>
    <row r="36" spans="1:13" s="2" customFormat="1" ht="14.1" customHeight="1" x14ac:dyDescent="0.3">
      <c r="A36" s="90"/>
      <c r="B36" s="68" t="s">
        <v>117</v>
      </c>
      <c r="C36" s="69"/>
      <c r="D36" s="70" t="s">
        <v>118</v>
      </c>
      <c r="E36" s="71"/>
      <c r="F36" s="71"/>
      <c r="G36" s="72"/>
      <c r="H36" s="19"/>
      <c r="I36" s="21"/>
      <c r="J36" s="29"/>
      <c r="K36" s="29"/>
      <c r="L36" s="29"/>
      <c r="M36" s="31"/>
    </row>
    <row r="37" spans="1:13" ht="14.1" customHeight="1" x14ac:dyDescent="0.3">
      <c r="A37" s="89">
        <v>18</v>
      </c>
      <c r="B37" s="40" t="s">
        <v>119</v>
      </c>
      <c r="C37" s="41"/>
      <c r="D37" s="42" t="s">
        <v>120</v>
      </c>
      <c r="E37" s="43"/>
      <c r="F37" s="43"/>
      <c r="G37" s="44"/>
      <c r="H37" s="49">
        <f>SUM(I37)-0.6</f>
        <v>9.4</v>
      </c>
      <c r="I37" s="36">
        <v>10</v>
      </c>
      <c r="J37" s="23">
        <f>SUM(I37)+0.6</f>
        <v>10.6</v>
      </c>
      <c r="K37" s="23">
        <f>SUM(J37)+0.6</f>
        <v>11.2</v>
      </c>
      <c r="L37" s="23"/>
      <c r="M37" s="30"/>
    </row>
    <row r="38" spans="1:13" ht="14.1" customHeight="1" x14ac:dyDescent="0.3">
      <c r="A38" s="90"/>
      <c r="B38" s="68" t="s">
        <v>121</v>
      </c>
      <c r="C38" s="69"/>
      <c r="D38" s="70" t="s">
        <v>122</v>
      </c>
      <c r="E38" s="71"/>
      <c r="F38" s="71"/>
      <c r="G38" s="72"/>
      <c r="H38" s="19"/>
      <c r="I38" s="21"/>
      <c r="J38" s="29"/>
      <c r="K38" s="29"/>
      <c r="L38" s="29"/>
      <c r="M38" s="31"/>
    </row>
    <row r="39" spans="1:13" ht="14.1" customHeight="1" x14ac:dyDescent="0.3">
      <c r="A39" s="89">
        <v>19</v>
      </c>
      <c r="B39" s="40" t="s">
        <v>128</v>
      </c>
      <c r="C39" s="41"/>
      <c r="D39" s="42"/>
      <c r="E39" s="43"/>
      <c r="F39" s="43"/>
      <c r="G39" s="44"/>
      <c r="H39" s="35">
        <f>SUM(I39)-0.5</f>
        <v>9</v>
      </c>
      <c r="I39" s="36">
        <v>9.5</v>
      </c>
      <c r="J39" s="23">
        <f>SUM(I39)+0.5</f>
        <v>10</v>
      </c>
      <c r="K39" s="23">
        <f>SUM(J39)+0.5</f>
        <v>10.5</v>
      </c>
      <c r="L39" s="23"/>
      <c r="M39" s="30"/>
    </row>
    <row r="40" spans="1:13" ht="14.1" customHeight="1" x14ac:dyDescent="0.3">
      <c r="A40" s="90"/>
      <c r="B40" s="68" t="s">
        <v>130</v>
      </c>
      <c r="C40" s="69"/>
      <c r="D40" s="70"/>
      <c r="E40" s="71"/>
      <c r="F40" s="71"/>
      <c r="G40" s="72"/>
      <c r="H40" s="19"/>
      <c r="I40" s="21"/>
      <c r="J40" s="29"/>
      <c r="K40" s="29"/>
      <c r="L40" s="29"/>
      <c r="M40" s="31"/>
    </row>
    <row r="41" spans="1:13" s="2" customFormat="1" ht="14.1" customHeight="1" x14ac:dyDescent="0.3">
      <c r="A41" s="89">
        <v>20</v>
      </c>
      <c r="B41" s="40" t="s">
        <v>129</v>
      </c>
      <c r="C41" s="41"/>
      <c r="D41" s="42"/>
      <c r="E41" s="43"/>
      <c r="F41" s="43"/>
      <c r="G41" s="44"/>
      <c r="H41" s="35">
        <f>SUM(I41)-0.5</f>
        <v>9.5</v>
      </c>
      <c r="I41" s="36">
        <v>10</v>
      </c>
      <c r="J41" s="23">
        <f>SUM(I41)+0.5</f>
        <v>10.5</v>
      </c>
      <c r="K41" s="23">
        <f>SUM(J41)+0.5</f>
        <v>11</v>
      </c>
      <c r="L41" s="23"/>
      <c r="M41" s="30"/>
    </row>
    <row r="42" spans="1:13" s="2" customFormat="1" ht="14.1" customHeight="1" x14ac:dyDescent="0.3">
      <c r="A42" s="90"/>
      <c r="B42" s="68" t="s">
        <v>131</v>
      </c>
      <c r="C42" s="69"/>
      <c r="D42" s="70"/>
      <c r="E42" s="71"/>
      <c r="F42" s="71"/>
      <c r="G42" s="72"/>
      <c r="H42" s="19"/>
      <c r="I42" s="21"/>
      <c r="J42" s="29"/>
      <c r="K42" s="29"/>
      <c r="L42" s="29"/>
      <c r="M42" s="31"/>
    </row>
    <row r="43" spans="1:13" ht="14.1" customHeight="1" x14ac:dyDescent="0.3">
      <c r="A43" s="89">
        <v>21</v>
      </c>
      <c r="B43" s="40" t="s">
        <v>172</v>
      </c>
      <c r="C43" s="41"/>
      <c r="D43" s="46"/>
      <c r="E43" s="47"/>
      <c r="F43" s="47"/>
      <c r="G43" s="48"/>
      <c r="H43" s="35"/>
      <c r="I43" s="36">
        <v>2</v>
      </c>
      <c r="J43" s="23"/>
      <c r="K43" s="23"/>
      <c r="L43" s="23"/>
      <c r="M43" s="94"/>
    </row>
    <row r="44" spans="1:13" ht="14.1" customHeight="1" x14ac:dyDescent="0.3">
      <c r="A44" s="90"/>
      <c r="B44" s="56" t="s">
        <v>173</v>
      </c>
      <c r="C44" s="57"/>
      <c r="D44" s="27" t="s">
        <v>196</v>
      </c>
      <c r="E44" s="28"/>
      <c r="F44" s="28"/>
      <c r="G44" s="32"/>
      <c r="H44" s="19"/>
      <c r="I44" s="21"/>
      <c r="J44" s="29"/>
      <c r="K44" s="29"/>
      <c r="L44" s="29"/>
      <c r="M44" s="95"/>
    </row>
    <row r="45" spans="1:13" ht="14.1" customHeight="1" x14ac:dyDescent="0.3">
      <c r="A45" s="89">
        <v>22</v>
      </c>
      <c r="B45" s="40"/>
      <c r="C45" s="41"/>
      <c r="D45" s="46"/>
      <c r="E45" s="47"/>
      <c r="F45" s="47"/>
      <c r="G45" s="48"/>
      <c r="H45" s="35"/>
      <c r="I45" s="36"/>
      <c r="J45" s="23"/>
      <c r="K45" s="23"/>
      <c r="L45" s="23"/>
      <c r="M45" s="94"/>
    </row>
    <row r="46" spans="1:13" ht="14.1" customHeight="1" x14ac:dyDescent="0.3">
      <c r="A46" s="90"/>
      <c r="B46" s="56"/>
      <c r="C46" s="57"/>
      <c r="D46" s="27"/>
      <c r="E46" s="28"/>
      <c r="F46" s="28"/>
      <c r="G46" s="32"/>
      <c r="H46" s="19"/>
      <c r="I46" s="21"/>
      <c r="J46" s="29"/>
      <c r="K46" s="29"/>
      <c r="L46" s="29"/>
      <c r="M46" s="95"/>
    </row>
    <row r="47" spans="1:13" ht="14.1" customHeight="1" x14ac:dyDescent="0.3">
      <c r="A47" s="141">
        <v>23</v>
      </c>
      <c r="B47" s="40"/>
      <c r="C47" s="41"/>
      <c r="D47" s="42"/>
      <c r="E47" s="43"/>
      <c r="F47" s="43"/>
      <c r="G47" s="44"/>
      <c r="H47" s="35"/>
      <c r="I47" s="36"/>
      <c r="J47" s="23"/>
      <c r="K47" s="23"/>
      <c r="L47" s="23"/>
      <c r="M47" s="94"/>
    </row>
    <row r="48" spans="1:13" ht="14.1" customHeight="1" thickBot="1" x14ac:dyDescent="0.35">
      <c r="A48" s="142"/>
      <c r="B48" s="117"/>
      <c r="C48" s="118"/>
      <c r="D48" s="86"/>
      <c r="E48" s="87"/>
      <c r="F48" s="87"/>
      <c r="G48" s="88"/>
      <c r="H48" s="80"/>
      <c r="I48" s="81"/>
      <c r="J48" s="82"/>
      <c r="K48" s="82"/>
      <c r="L48" s="82"/>
      <c r="M48" s="116"/>
    </row>
    <row r="49" ht="14.1" customHeight="1" x14ac:dyDescent="0.3"/>
    <row r="50" ht="14.1" customHeight="1" x14ac:dyDescent="0.3"/>
    <row r="51" ht="14.1" customHeight="1" x14ac:dyDescent="0.3"/>
  </sheetData>
  <mergeCells count="25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B797-4E36-4908-AB45-ABE62524630D}">
  <sheetPr>
    <tabColor theme="9"/>
    <pageSetUpPr fitToPage="1"/>
  </sheetPr>
  <dimension ref="A1:M51"/>
  <sheetViews>
    <sheetView topLeftCell="A7" zoomScale="110" zoomScaleNormal="110" workbookViewId="0">
      <selection activeCell="B35" sqref="B35:K3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9" t="s">
        <v>193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ht="16.5" customHeight="1" thickBot="1" x14ac:dyDescent="0.35">
      <c r="A2" s="6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153</v>
      </c>
      <c r="I2" s="3" t="s">
        <v>154</v>
      </c>
      <c r="J2" s="4" t="s">
        <v>155</v>
      </c>
      <c r="K2" s="7" t="s">
        <v>164</v>
      </c>
      <c r="L2" s="7"/>
      <c r="M2" s="4"/>
    </row>
    <row r="3" spans="1:13" s="2" customFormat="1" ht="14.1" customHeight="1" x14ac:dyDescent="0.3">
      <c r="A3" s="104">
        <v>1</v>
      </c>
      <c r="B3" s="105" t="s">
        <v>66</v>
      </c>
      <c r="C3" s="106"/>
      <c r="D3" s="17" t="s">
        <v>67</v>
      </c>
      <c r="E3" s="107"/>
      <c r="F3" s="107"/>
      <c r="G3" s="108"/>
      <c r="H3" s="18">
        <f>SUM(I3)-2</f>
        <v>40</v>
      </c>
      <c r="I3" s="20">
        <v>42</v>
      </c>
      <c r="J3" s="109">
        <f>SUM(I3)+2</f>
        <v>44</v>
      </c>
      <c r="K3" s="109">
        <f>SUM(J3)+2</f>
        <v>46</v>
      </c>
      <c r="L3" s="109"/>
      <c r="M3" s="110"/>
    </row>
    <row r="4" spans="1:13" s="2" customFormat="1" ht="14.1" customHeight="1" x14ac:dyDescent="0.3">
      <c r="A4" s="90"/>
      <c r="B4" s="68" t="s">
        <v>68</v>
      </c>
      <c r="C4" s="69"/>
      <c r="D4" s="70" t="s">
        <v>69</v>
      </c>
      <c r="E4" s="71"/>
      <c r="F4" s="71"/>
      <c r="G4" s="72"/>
      <c r="H4" s="19"/>
      <c r="I4" s="21"/>
      <c r="J4" s="29"/>
      <c r="K4" s="29"/>
      <c r="L4" s="29"/>
      <c r="M4" s="31"/>
    </row>
    <row r="5" spans="1:13" s="2" customFormat="1" ht="14.1" customHeight="1" x14ac:dyDescent="0.3">
      <c r="A5" s="89">
        <v>2</v>
      </c>
      <c r="B5" s="51" t="s">
        <v>70</v>
      </c>
      <c r="C5" s="52"/>
      <c r="D5" s="53"/>
      <c r="E5" s="54"/>
      <c r="F5" s="54"/>
      <c r="G5" s="55"/>
      <c r="H5" s="49"/>
      <c r="I5" s="50"/>
      <c r="J5" s="66"/>
      <c r="K5" s="66"/>
      <c r="L5" s="66"/>
      <c r="M5" s="67"/>
    </row>
    <row r="6" spans="1:13" s="2" customFormat="1" ht="14.1" customHeight="1" x14ac:dyDescent="0.3">
      <c r="A6" s="90"/>
      <c r="B6" s="68" t="s">
        <v>71</v>
      </c>
      <c r="C6" s="69"/>
      <c r="D6" s="70"/>
      <c r="E6" s="71"/>
      <c r="F6" s="71"/>
      <c r="G6" s="72"/>
      <c r="H6" s="19"/>
      <c r="I6" s="21"/>
      <c r="J6" s="29"/>
      <c r="K6" s="29"/>
      <c r="L6" s="29"/>
      <c r="M6" s="31"/>
    </row>
    <row r="7" spans="1:13" s="2" customFormat="1" ht="14.1" customHeight="1" x14ac:dyDescent="0.3">
      <c r="A7" s="89">
        <v>3</v>
      </c>
      <c r="B7" s="51" t="s">
        <v>72</v>
      </c>
      <c r="C7" s="52"/>
      <c r="D7" s="53"/>
      <c r="E7" s="54"/>
      <c r="F7" s="54"/>
      <c r="G7" s="55"/>
      <c r="H7" s="49"/>
      <c r="I7" s="50"/>
      <c r="J7" s="66"/>
      <c r="K7" s="66"/>
      <c r="L7" s="66"/>
      <c r="M7" s="67"/>
    </row>
    <row r="8" spans="1:13" s="2" customFormat="1" ht="14.1" customHeight="1" x14ac:dyDescent="0.3">
      <c r="A8" s="90"/>
      <c r="B8" s="68" t="s">
        <v>73</v>
      </c>
      <c r="C8" s="69"/>
      <c r="D8" s="70"/>
      <c r="E8" s="71"/>
      <c r="F8" s="71"/>
      <c r="G8" s="72"/>
      <c r="H8" s="19"/>
      <c r="I8" s="21"/>
      <c r="J8" s="29"/>
      <c r="K8" s="29"/>
      <c r="L8" s="29"/>
      <c r="M8" s="31"/>
    </row>
    <row r="9" spans="1:13" s="2" customFormat="1" ht="14.1" customHeight="1" x14ac:dyDescent="0.3">
      <c r="A9" s="89">
        <v>4</v>
      </c>
      <c r="B9" s="40" t="s">
        <v>74</v>
      </c>
      <c r="C9" s="41"/>
      <c r="D9" s="138"/>
      <c r="E9" s="139"/>
      <c r="F9" s="139"/>
      <c r="G9" s="140"/>
      <c r="H9" s="49"/>
      <c r="I9" s="50"/>
      <c r="J9" s="66"/>
      <c r="K9" s="66"/>
      <c r="L9" s="66"/>
      <c r="M9" s="67"/>
    </row>
    <row r="10" spans="1:13" s="2" customFormat="1" ht="14.1" customHeight="1" x14ac:dyDescent="0.3">
      <c r="A10" s="90"/>
      <c r="B10" s="68" t="s">
        <v>75</v>
      </c>
      <c r="C10" s="69"/>
      <c r="D10" s="96"/>
      <c r="E10" s="97"/>
      <c r="F10" s="97"/>
      <c r="G10" s="98"/>
      <c r="H10" s="19"/>
      <c r="I10" s="21"/>
      <c r="J10" s="29"/>
      <c r="K10" s="29"/>
      <c r="L10" s="29"/>
      <c r="M10" s="31"/>
    </row>
    <row r="11" spans="1:13" s="2" customFormat="1" ht="14.1" customHeight="1" x14ac:dyDescent="0.3">
      <c r="A11" s="89">
        <v>5</v>
      </c>
      <c r="B11" s="40" t="s">
        <v>76</v>
      </c>
      <c r="C11" s="41"/>
      <c r="D11" s="53"/>
      <c r="E11" s="54"/>
      <c r="F11" s="54"/>
      <c r="G11" s="55"/>
      <c r="H11" s="49">
        <f>SUM(I11)-2.8</f>
        <v>64.100000000000009</v>
      </c>
      <c r="I11" s="50">
        <v>66.900000000000006</v>
      </c>
      <c r="J11" s="66">
        <f>SUM(I11)+2.8</f>
        <v>69.7</v>
      </c>
      <c r="K11" s="66">
        <f>SUM(J11)+2.8</f>
        <v>72.5</v>
      </c>
      <c r="L11" s="66"/>
      <c r="M11" s="67"/>
    </row>
    <row r="12" spans="1:13" s="2" customFormat="1" ht="14.1" customHeight="1" x14ac:dyDescent="0.3">
      <c r="A12" s="90"/>
      <c r="B12" s="68" t="s">
        <v>77</v>
      </c>
      <c r="C12" s="69"/>
      <c r="D12" s="70"/>
      <c r="E12" s="71"/>
      <c r="F12" s="71"/>
      <c r="G12" s="72"/>
      <c r="H12" s="19"/>
      <c r="I12" s="21"/>
      <c r="J12" s="29"/>
      <c r="K12" s="29"/>
      <c r="L12" s="29"/>
      <c r="M12" s="31"/>
    </row>
    <row r="13" spans="1:13" s="2" customFormat="1" ht="14.1" customHeight="1" x14ac:dyDescent="0.3">
      <c r="A13" s="89">
        <v>6</v>
      </c>
      <c r="B13" s="40" t="s">
        <v>78</v>
      </c>
      <c r="C13" s="41"/>
      <c r="D13" s="42" t="s">
        <v>79</v>
      </c>
      <c r="E13" s="43"/>
      <c r="F13" s="43"/>
      <c r="G13" s="44"/>
      <c r="H13" s="49">
        <f>SUM(I13)-3</f>
        <v>67.2</v>
      </c>
      <c r="I13" s="36">
        <v>70.2</v>
      </c>
      <c r="J13" s="23">
        <f>SUM(I13)+3</f>
        <v>73.2</v>
      </c>
      <c r="K13" s="23">
        <f>SUM(J13)+3</f>
        <v>76.2</v>
      </c>
      <c r="L13" s="23"/>
      <c r="M13" s="30"/>
    </row>
    <row r="14" spans="1:13" s="2" customFormat="1" ht="14.1" customHeight="1" x14ac:dyDescent="0.3">
      <c r="A14" s="90"/>
      <c r="B14" s="68" t="s">
        <v>80</v>
      </c>
      <c r="C14" s="69"/>
      <c r="D14" s="70" t="s">
        <v>81</v>
      </c>
      <c r="E14" s="71"/>
      <c r="F14" s="71"/>
      <c r="G14" s="72"/>
      <c r="H14" s="19"/>
      <c r="I14" s="21"/>
      <c r="J14" s="29"/>
      <c r="K14" s="29"/>
      <c r="L14" s="29"/>
      <c r="M14" s="31"/>
    </row>
    <row r="15" spans="1:13" s="2" customFormat="1" ht="14.1" customHeight="1" x14ac:dyDescent="0.3">
      <c r="A15" s="89">
        <v>7</v>
      </c>
      <c r="B15" s="40" t="s">
        <v>82</v>
      </c>
      <c r="C15" s="41"/>
      <c r="D15" s="42"/>
      <c r="E15" s="43"/>
      <c r="F15" s="43"/>
      <c r="G15" s="44"/>
      <c r="H15" s="49">
        <f>SUM(I15)-0.5</f>
        <v>11.2</v>
      </c>
      <c r="I15" s="36">
        <v>11.7</v>
      </c>
      <c r="J15" s="23">
        <f>SUM(I15)+0.5</f>
        <v>12.2</v>
      </c>
      <c r="K15" s="23">
        <f>SUM(J15)+0.5</f>
        <v>12.7</v>
      </c>
      <c r="L15" s="33"/>
      <c r="M15" s="25"/>
    </row>
    <row r="16" spans="1:13" s="2" customFormat="1" ht="14.1" customHeight="1" x14ac:dyDescent="0.3">
      <c r="A16" s="90"/>
      <c r="B16" s="68" t="s">
        <v>83</v>
      </c>
      <c r="C16" s="69"/>
      <c r="D16" s="76" t="s">
        <v>84</v>
      </c>
      <c r="E16" s="77"/>
      <c r="F16" s="77"/>
      <c r="G16" s="78"/>
      <c r="H16" s="19"/>
      <c r="I16" s="21"/>
      <c r="J16" s="29"/>
      <c r="K16" s="29"/>
      <c r="L16" s="26"/>
      <c r="M16" s="75"/>
    </row>
    <row r="17" spans="1:13" s="2" customFormat="1" ht="14.1" customHeight="1" x14ac:dyDescent="0.3">
      <c r="A17" s="89">
        <v>8</v>
      </c>
      <c r="B17" s="40" t="s">
        <v>85</v>
      </c>
      <c r="C17" s="41"/>
      <c r="D17" s="42"/>
      <c r="E17" s="43"/>
      <c r="F17" s="43"/>
      <c r="G17" s="44"/>
      <c r="H17" s="35"/>
      <c r="I17" s="36"/>
      <c r="J17" s="23"/>
      <c r="K17" s="23"/>
      <c r="L17" s="33"/>
      <c r="M17" s="25"/>
    </row>
    <row r="18" spans="1:13" s="2" customFormat="1" ht="14.1" customHeight="1" x14ac:dyDescent="0.3">
      <c r="A18" s="90"/>
      <c r="B18" s="68" t="s">
        <v>86</v>
      </c>
      <c r="C18" s="69"/>
      <c r="D18" s="76" t="s">
        <v>87</v>
      </c>
      <c r="E18" s="77"/>
      <c r="F18" s="77"/>
      <c r="G18" s="78"/>
      <c r="H18" s="19"/>
      <c r="I18" s="21"/>
      <c r="J18" s="29"/>
      <c r="K18" s="29"/>
      <c r="L18" s="26"/>
      <c r="M18" s="75"/>
    </row>
    <row r="19" spans="1:13" s="2" customFormat="1" ht="14.1" customHeight="1" x14ac:dyDescent="0.3">
      <c r="A19" s="89">
        <v>9</v>
      </c>
      <c r="B19" s="40" t="s">
        <v>88</v>
      </c>
      <c r="C19" s="41"/>
      <c r="D19" s="42" t="s">
        <v>53</v>
      </c>
      <c r="E19" s="43"/>
      <c r="F19" s="43"/>
      <c r="G19" s="44"/>
      <c r="H19" s="49">
        <f>SUM(I19)-3.5</f>
        <v>42.1</v>
      </c>
      <c r="I19" s="36">
        <v>45.6</v>
      </c>
      <c r="J19" s="23">
        <f>SUM(I19)+5</f>
        <v>50.6</v>
      </c>
      <c r="K19" s="23">
        <f>SUM(J19)+5</f>
        <v>55.6</v>
      </c>
      <c r="L19" s="23"/>
      <c r="M19" s="30"/>
    </row>
    <row r="20" spans="1:13" s="2" customFormat="1" ht="14.1" customHeight="1" x14ac:dyDescent="0.3">
      <c r="A20" s="90"/>
      <c r="B20" s="68" t="s">
        <v>89</v>
      </c>
      <c r="C20" s="69"/>
      <c r="D20" s="70" t="s">
        <v>90</v>
      </c>
      <c r="E20" s="71"/>
      <c r="F20" s="71"/>
      <c r="G20" s="72"/>
      <c r="H20" s="19"/>
      <c r="I20" s="21"/>
      <c r="J20" s="29"/>
      <c r="K20" s="29"/>
      <c r="L20" s="29"/>
      <c r="M20" s="31"/>
    </row>
    <row r="21" spans="1:13" s="2" customFormat="1" ht="14.1" customHeight="1" x14ac:dyDescent="0.3">
      <c r="A21" s="89">
        <v>10</v>
      </c>
      <c r="B21" s="40" t="s">
        <v>91</v>
      </c>
      <c r="C21" s="41"/>
      <c r="D21" s="42" t="s">
        <v>92</v>
      </c>
      <c r="E21" s="43"/>
      <c r="F21" s="43"/>
      <c r="G21" s="44"/>
      <c r="H21" s="49">
        <f>SUM(I21)-0.8</f>
        <v>20.2</v>
      </c>
      <c r="I21" s="36">
        <v>21</v>
      </c>
      <c r="J21" s="23">
        <f>SUM(I21)+0.8</f>
        <v>21.8</v>
      </c>
      <c r="K21" s="23">
        <f>SUM(J21)+0.8</f>
        <v>22.6</v>
      </c>
      <c r="L21" s="23"/>
      <c r="M21" s="30"/>
    </row>
    <row r="22" spans="1:13" s="2" customFormat="1" ht="14.1" customHeight="1" x14ac:dyDescent="0.3">
      <c r="A22" s="90"/>
      <c r="B22" s="68" t="s">
        <v>93</v>
      </c>
      <c r="C22" s="69"/>
      <c r="D22" s="27" t="s">
        <v>94</v>
      </c>
      <c r="E22" s="28"/>
      <c r="F22" s="28"/>
      <c r="G22" s="32"/>
      <c r="H22" s="19"/>
      <c r="I22" s="21"/>
      <c r="J22" s="29"/>
      <c r="K22" s="29"/>
      <c r="L22" s="29"/>
      <c r="M22" s="31"/>
    </row>
    <row r="23" spans="1:13" s="2" customFormat="1" ht="14.1" customHeight="1" x14ac:dyDescent="0.3">
      <c r="A23" s="89">
        <v>11</v>
      </c>
      <c r="B23" s="40" t="s">
        <v>95</v>
      </c>
      <c r="C23" s="41"/>
      <c r="D23" s="42" t="s">
        <v>96</v>
      </c>
      <c r="E23" s="43"/>
      <c r="F23" s="43"/>
      <c r="G23" s="44"/>
      <c r="H23" s="49">
        <f>SUM(I23)-0.8</f>
        <v>18.2</v>
      </c>
      <c r="I23" s="36">
        <v>19</v>
      </c>
      <c r="J23" s="23">
        <f>SUM(I23)+0.8</f>
        <v>19.8</v>
      </c>
      <c r="K23" s="23">
        <f>SUM(J23)+0.8</f>
        <v>20.6</v>
      </c>
      <c r="L23" s="23"/>
      <c r="M23" s="25"/>
    </row>
    <row r="24" spans="1:13" s="2" customFormat="1" ht="14.1" customHeight="1" x14ac:dyDescent="0.3">
      <c r="A24" s="90"/>
      <c r="B24" s="68" t="s">
        <v>97</v>
      </c>
      <c r="C24" s="69"/>
      <c r="D24" s="70" t="s">
        <v>98</v>
      </c>
      <c r="E24" s="71"/>
      <c r="F24" s="71"/>
      <c r="G24" s="72"/>
      <c r="H24" s="19"/>
      <c r="I24" s="21"/>
      <c r="J24" s="29"/>
      <c r="K24" s="29"/>
      <c r="L24" s="29"/>
      <c r="M24" s="75"/>
    </row>
    <row r="25" spans="1:13" s="2" customFormat="1" ht="14.1" customHeight="1" x14ac:dyDescent="0.3">
      <c r="A25" s="89">
        <v>12</v>
      </c>
      <c r="B25" s="40" t="s">
        <v>99</v>
      </c>
      <c r="C25" s="41"/>
      <c r="D25" s="42" t="s">
        <v>96</v>
      </c>
      <c r="E25" s="43"/>
      <c r="F25" s="43"/>
      <c r="G25" s="44"/>
      <c r="H25" s="49">
        <f>SUM(I25)-1</f>
        <v>24.4</v>
      </c>
      <c r="I25" s="36">
        <v>25.4</v>
      </c>
      <c r="J25" s="23">
        <f>SUM(I25)+1</f>
        <v>26.4</v>
      </c>
      <c r="K25" s="23">
        <f>SUM(J25)+1</f>
        <v>27.4</v>
      </c>
      <c r="L25" s="23"/>
      <c r="M25" s="25"/>
    </row>
    <row r="26" spans="1:13" s="2" customFormat="1" ht="14.1" customHeight="1" x14ac:dyDescent="0.3">
      <c r="A26" s="90"/>
      <c r="B26" s="68" t="s">
        <v>100</v>
      </c>
      <c r="C26" s="69"/>
      <c r="D26" s="70" t="s">
        <v>98</v>
      </c>
      <c r="E26" s="71"/>
      <c r="F26" s="71"/>
      <c r="G26" s="72"/>
      <c r="H26" s="19"/>
      <c r="I26" s="21"/>
      <c r="J26" s="29"/>
      <c r="K26" s="29"/>
      <c r="L26" s="29"/>
      <c r="M26" s="75"/>
    </row>
    <row r="27" spans="1:13" s="2" customFormat="1" ht="14.1" customHeight="1" x14ac:dyDescent="0.3">
      <c r="A27" s="89">
        <v>13</v>
      </c>
      <c r="B27" s="40" t="s">
        <v>101</v>
      </c>
      <c r="C27" s="41"/>
      <c r="D27" s="42" t="s">
        <v>102</v>
      </c>
      <c r="E27" s="43"/>
      <c r="F27" s="43"/>
      <c r="G27" s="44"/>
      <c r="H27" s="49">
        <f>SUM(I27)-2</f>
        <v>39.700000000000003</v>
      </c>
      <c r="I27" s="36">
        <v>41.7</v>
      </c>
      <c r="J27" s="23">
        <f>SUM(I27)+2.1</f>
        <v>43.800000000000004</v>
      </c>
      <c r="K27" s="23">
        <f>SUM(J27)+2.1</f>
        <v>45.900000000000006</v>
      </c>
      <c r="L27" s="23"/>
      <c r="M27" s="30"/>
    </row>
    <row r="28" spans="1:13" s="2" customFormat="1" ht="14.1" customHeight="1" x14ac:dyDescent="0.3">
      <c r="A28" s="90"/>
      <c r="B28" s="68" t="s">
        <v>103</v>
      </c>
      <c r="C28" s="69"/>
      <c r="D28" s="70" t="s">
        <v>104</v>
      </c>
      <c r="E28" s="71"/>
      <c r="F28" s="71"/>
      <c r="G28" s="72"/>
      <c r="H28" s="19"/>
      <c r="I28" s="21"/>
      <c r="J28" s="29"/>
      <c r="K28" s="29"/>
      <c r="L28" s="29"/>
      <c r="M28" s="31"/>
    </row>
    <row r="29" spans="1:13" s="2" customFormat="1" ht="14.1" customHeight="1" x14ac:dyDescent="0.3">
      <c r="A29" s="89">
        <v>14</v>
      </c>
      <c r="B29" s="40" t="s">
        <v>105</v>
      </c>
      <c r="C29" s="41"/>
      <c r="D29" s="42" t="s">
        <v>106</v>
      </c>
      <c r="E29" s="43"/>
      <c r="F29" s="43"/>
      <c r="G29" s="44"/>
      <c r="H29" s="49">
        <f>SUM(I29)-2.7</f>
        <v>24.5</v>
      </c>
      <c r="I29" s="36">
        <v>27.2</v>
      </c>
      <c r="J29" s="23">
        <f>SUM(I29)+4.2</f>
        <v>31.4</v>
      </c>
      <c r="K29" s="23">
        <f>SUM(J29)+4.2</f>
        <v>35.6</v>
      </c>
      <c r="L29" s="23"/>
      <c r="M29" s="30"/>
    </row>
    <row r="30" spans="1:13" s="2" customFormat="1" ht="14.1" customHeight="1" x14ac:dyDescent="0.3">
      <c r="A30" s="90"/>
      <c r="B30" s="68" t="s">
        <v>107</v>
      </c>
      <c r="C30" s="69"/>
      <c r="D30" s="70" t="s">
        <v>108</v>
      </c>
      <c r="E30" s="71"/>
      <c r="F30" s="71"/>
      <c r="G30" s="72"/>
      <c r="H30" s="19"/>
      <c r="I30" s="21"/>
      <c r="J30" s="29"/>
      <c r="K30" s="29"/>
      <c r="L30" s="29"/>
      <c r="M30" s="31"/>
    </row>
    <row r="31" spans="1:13" s="2" customFormat="1" ht="14.1" customHeight="1" x14ac:dyDescent="0.3">
      <c r="A31" s="89">
        <v>15</v>
      </c>
      <c r="B31" s="40" t="s">
        <v>109</v>
      </c>
      <c r="C31" s="41"/>
      <c r="D31" s="42" t="s">
        <v>52</v>
      </c>
      <c r="E31" s="43"/>
      <c r="F31" s="43"/>
      <c r="G31" s="44"/>
      <c r="H31" s="49">
        <f>SUM(I31)-1.4</f>
        <v>35.300000000000004</v>
      </c>
      <c r="I31" s="36">
        <v>36.700000000000003</v>
      </c>
      <c r="J31" s="23">
        <f>SUM(I31)+1.4</f>
        <v>38.1</v>
      </c>
      <c r="K31" s="23">
        <f>SUM(J31)+1.4</f>
        <v>39.5</v>
      </c>
      <c r="L31" s="23"/>
      <c r="M31" s="30"/>
    </row>
    <row r="32" spans="1:13" s="2" customFormat="1" ht="14.1" customHeight="1" x14ac:dyDescent="0.3">
      <c r="A32" s="90"/>
      <c r="B32" s="68" t="s">
        <v>110</v>
      </c>
      <c r="C32" s="69"/>
      <c r="D32" s="70" t="s">
        <v>52</v>
      </c>
      <c r="E32" s="71"/>
      <c r="F32" s="71"/>
      <c r="G32" s="72"/>
      <c r="H32" s="19"/>
      <c r="I32" s="21"/>
      <c r="J32" s="29"/>
      <c r="K32" s="29"/>
      <c r="L32" s="29"/>
      <c r="M32" s="31"/>
    </row>
    <row r="33" spans="1:13" s="2" customFormat="1" ht="14.1" customHeight="1" x14ac:dyDescent="0.3">
      <c r="A33" s="89">
        <v>16</v>
      </c>
      <c r="B33" s="40" t="s">
        <v>111</v>
      </c>
      <c r="C33" s="41"/>
      <c r="D33" s="42" t="s">
        <v>112</v>
      </c>
      <c r="E33" s="43"/>
      <c r="F33" s="43"/>
      <c r="G33" s="44"/>
      <c r="H33" s="49">
        <f>SUM(I33)-1.8</f>
        <v>26.9</v>
      </c>
      <c r="I33" s="36">
        <v>28.7</v>
      </c>
      <c r="J33" s="23">
        <f>SUM(I33)+2.4</f>
        <v>31.099999999999998</v>
      </c>
      <c r="K33" s="23">
        <f>SUM(J33)+2.4</f>
        <v>33.5</v>
      </c>
      <c r="L33" s="23"/>
      <c r="M33" s="30"/>
    </row>
    <row r="34" spans="1:13" s="2" customFormat="1" ht="14.1" customHeight="1" x14ac:dyDescent="0.3">
      <c r="A34" s="90"/>
      <c r="B34" s="68" t="s">
        <v>113</v>
      </c>
      <c r="C34" s="69"/>
      <c r="D34" s="70" t="s">
        <v>114</v>
      </c>
      <c r="E34" s="71"/>
      <c r="F34" s="71"/>
      <c r="G34" s="72"/>
      <c r="H34" s="19"/>
      <c r="I34" s="21"/>
      <c r="J34" s="29"/>
      <c r="K34" s="29"/>
      <c r="L34" s="29"/>
      <c r="M34" s="31"/>
    </row>
    <row r="35" spans="1:13" s="2" customFormat="1" ht="14.1" customHeight="1" x14ac:dyDescent="0.3">
      <c r="A35" s="89">
        <v>17</v>
      </c>
      <c r="B35" s="40" t="s">
        <v>194</v>
      </c>
      <c r="C35" s="41"/>
      <c r="D35" s="42"/>
      <c r="E35" s="43"/>
      <c r="F35" s="43"/>
      <c r="G35" s="44"/>
      <c r="H35" s="49">
        <f>SUM(I35)-0.5</f>
        <v>9</v>
      </c>
      <c r="I35" s="36">
        <v>9.5</v>
      </c>
      <c r="J35" s="23">
        <f>SUM(I35)+0.5</f>
        <v>10</v>
      </c>
      <c r="K35" s="23">
        <f>SUM(J35)+0.5</f>
        <v>10.5</v>
      </c>
      <c r="L35" s="23"/>
      <c r="M35" s="30"/>
    </row>
    <row r="36" spans="1:13" s="2" customFormat="1" ht="14.1" customHeight="1" x14ac:dyDescent="0.3">
      <c r="A36" s="90"/>
      <c r="B36" s="68" t="s">
        <v>195</v>
      </c>
      <c r="C36" s="69"/>
      <c r="D36" s="70"/>
      <c r="E36" s="71"/>
      <c r="F36" s="71"/>
      <c r="G36" s="72"/>
      <c r="H36" s="19"/>
      <c r="I36" s="21"/>
      <c r="J36" s="29"/>
      <c r="K36" s="29"/>
      <c r="L36" s="29"/>
      <c r="M36" s="31"/>
    </row>
    <row r="37" spans="1:13" ht="14.1" customHeight="1" x14ac:dyDescent="0.3">
      <c r="A37" s="89">
        <v>18</v>
      </c>
      <c r="B37" s="40" t="s">
        <v>61</v>
      </c>
      <c r="C37" s="41"/>
      <c r="D37" s="42"/>
      <c r="E37" s="43"/>
      <c r="F37" s="43"/>
      <c r="G37" s="44"/>
      <c r="H37" s="35">
        <f>SUM(I37)-0.1</f>
        <v>0.9</v>
      </c>
      <c r="I37" s="36">
        <v>1</v>
      </c>
      <c r="J37" s="23">
        <f>SUM(I37)+0.1</f>
        <v>1.1000000000000001</v>
      </c>
      <c r="K37" s="23">
        <f>SUM(J37)+0.1</f>
        <v>1.2000000000000002</v>
      </c>
      <c r="L37" s="23"/>
      <c r="M37" s="94"/>
    </row>
    <row r="38" spans="1:13" ht="14.1" customHeight="1" x14ac:dyDescent="0.3">
      <c r="A38" s="90"/>
      <c r="B38" s="56" t="s">
        <v>62</v>
      </c>
      <c r="C38" s="57"/>
      <c r="D38" s="70" t="s">
        <v>179</v>
      </c>
      <c r="E38" s="71"/>
      <c r="F38" s="71"/>
      <c r="G38" s="72"/>
      <c r="H38" s="19"/>
      <c r="I38" s="21"/>
      <c r="J38" s="29"/>
      <c r="K38" s="29"/>
      <c r="L38" s="29"/>
      <c r="M38" s="95"/>
    </row>
    <row r="39" spans="1:13" ht="14.1" customHeight="1" x14ac:dyDescent="0.3">
      <c r="A39" s="141">
        <v>19</v>
      </c>
      <c r="B39" s="40"/>
      <c r="C39" s="41"/>
      <c r="D39" s="42"/>
      <c r="E39" s="43"/>
      <c r="F39" s="43"/>
      <c r="G39" s="44"/>
      <c r="H39" s="35"/>
      <c r="I39" s="36"/>
      <c r="J39" s="23"/>
      <c r="K39" s="23"/>
      <c r="L39" s="23"/>
      <c r="M39" s="94"/>
    </row>
    <row r="40" spans="1:13" ht="14.1" customHeight="1" thickBot="1" x14ac:dyDescent="0.35">
      <c r="A40" s="142"/>
      <c r="B40" s="117"/>
      <c r="C40" s="118"/>
      <c r="D40" s="86"/>
      <c r="E40" s="87"/>
      <c r="F40" s="87"/>
      <c r="G40" s="88"/>
      <c r="H40" s="80"/>
      <c r="I40" s="81"/>
      <c r="J40" s="82"/>
      <c r="K40" s="82"/>
      <c r="L40" s="82"/>
      <c r="M40" s="116"/>
    </row>
    <row r="41" spans="1:13" s="2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2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12">
    <mergeCell ref="K39:K40"/>
    <mergeCell ref="L39:L40"/>
    <mergeCell ref="M39:M40"/>
    <mergeCell ref="B40:C40"/>
    <mergeCell ref="D40:G40"/>
    <mergeCell ref="A39:A40"/>
    <mergeCell ref="B39:C39"/>
    <mergeCell ref="D39:G39"/>
    <mergeCell ref="H39:H40"/>
    <mergeCell ref="I39:I40"/>
    <mergeCell ref="J39:J40"/>
    <mergeCell ref="J37:J38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9642-3283-4516-8864-3B93F444B88A}">
  <sheetPr>
    <tabColor theme="9"/>
    <pageSetUpPr fitToPage="1"/>
  </sheetPr>
  <dimension ref="A1:M51"/>
  <sheetViews>
    <sheetView zoomScale="110" zoomScaleNormal="110" workbookViewId="0">
      <selection activeCell="I15" sqref="I15:I1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9" t="s">
        <v>213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ht="16.5" customHeight="1" thickBot="1" x14ac:dyDescent="0.35">
      <c r="A2" s="6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153</v>
      </c>
      <c r="I2" s="3" t="s">
        <v>154</v>
      </c>
      <c r="J2" s="4" t="s">
        <v>155</v>
      </c>
      <c r="K2" s="7" t="s">
        <v>164</v>
      </c>
      <c r="L2" s="7"/>
      <c r="M2" s="4"/>
    </row>
    <row r="3" spans="1:13" s="2" customFormat="1" ht="14.1" customHeight="1" x14ac:dyDescent="0.3">
      <c r="A3" s="104">
        <v>1</v>
      </c>
      <c r="B3" s="105" t="s">
        <v>66</v>
      </c>
      <c r="C3" s="106"/>
      <c r="D3" s="17" t="s">
        <v>67</v>
      </c>
      <c r="E3" s="107"/>
      <c r="F3" s="107"/>
      <c r="G3" s="108"/>
      <c r="H3" s="18">
        <f>SUM(I3)-2</f>
        <v>40</v>
      </c>
      <c r="I3" s="20">
        <v>42</v>
      </c>
      <c r="J3" s="109">
        <f>SUM(I3)+2</f>
        <v>44</v>
      </c>
      <c r="K3" s="109">
        <f>SUM(J3)+2</f>
        <v>46</v>
      </c>
      <c r="L3" s="109"/>
      <c r="M3" s="110"/>
    </row>
    <row r="4" spans="1:13" s="2" customFormat="1" ht="14.1" customHeight="1" x14ac:dyDescent="0.3">
      <c r="A4" s="90"/>
      <c r="B4" s="68" t="s">
        <v>68</v>
      </c>
      <c r="C4" s="69"/>
      <c r="D4" s="70" t="s">
        <v>69</v>
      </c>
      <c r="E4" s="71"/>
      <c r="F4" s="71"/>
      <c r="G4" s="72"/>
      <c r="H4" s="19"/>
      <c r="I4" s="21"/>
      <c r="J4" s="29"/>
      <c r="K4" s="29"/>
      <c r="L4" s="29"/>
      <c r="M4" s="31"/>
    </row>
    <row r="5" spans="1:13" s="2" customFormat="1" ht="14.1" customHeight="1" x14ac:dyDescent="0.3">
      <c r="A5" s="89">
        <v>2</v>
      </c>
      <c r="B5" s="51" t="s">
        <v>70</v>
      </c>
      <c r="C5" s="52"/>
      <c r="D5" s="53"/>
      <c r="E5" s="54"/>
      <c r="F5" s="54"/>
      <c r="G5" s="55"/>
      <c r="H5" s="49"/>
      <c r="I5" s="50"/>
      <c r="J5" s="66"/>
      <c r="K5" s="66"/>
      <c r="L5" s="66"/>
      <c r="M5" s="67"/>
    </row>
    <row r="6" spans="1:13" s="2" customFormat="1" ht="14.1" customHeight="1" x14ac:dyDescent="0.3">
      <c r="A6" s="90"/>
      <c r="B6" s="68" t="s">
        <v>71</v>
      </c>
      <c r="C6" s="69"/>
      <c r="D6" s="70"/>
      <c r="E6" s="71"/>
      <c r="F6" s="71"/>
      <c r="G6" s="72"/>
      <c r="H6" s="19"/>
      <c r="I6" s="21"/>
      <c r="J6" s="29"/>
      <c r="K6" s="29"/>
      <c r="L6" s="29"/>
      <c r="M6" s="31"/>
    </row>
    <row r="7" spans="1:13" s="2" customFormat="1" ht="14.1" customHeight="1" x14ac:dyDescent="0.3">
      <c r="A7" s="89">
        <v>3</v>
      </c>
      <c r="B7" s="51" t="s">
        <v>72</v>
      </c>
      <c r="C7" s="52"/>
      <c r="D7" s="53"/>
      <c r="E7" s="54"/>
      <c r="F7" s="54"/>
      <c r="G7" s="55"/>
      <c r="H7" s="49"/>
      <c r="I7" s="50"/>
      <c r="J7" s="66"/>
      <c r="K7" s="66"/>
      <c r="L7" s="66"/>
      <c r="M7" s="67"/>
    </row>
    <row r="8" spans="1:13" s="2" customFormat="1" ht="14.1" customHeight="1" x14ac:dyDescent="0.3">
      <c r="A8" s="90"/>
      <c r="B8" s="68" t="s">
        <v>73</v>
      </c>
      <c r="C8" s="69"/>
      <c r="D8" s="70"/>
      <c r="E8" s="71"/>
      <c r="F8" s="71"/>
      <c r="G8" s="72"/>
      <c r="H8" s="19"/>
      <c r="I8" s="21"/>
      <c r="J8" s="29"/>
      <c r="K8" s="29"/>
      <c r="L8" s="29"/>
      <c r="M8" s="31"/>
    </row>
    <row r="9" spans="1:13" s="2" customFormat="1" ht="14.1" customHeight="1" x14ac:dyDescent="0.3">
      <c r="A9" s="89">
        <v>4</v>
      </c>
      <c r="B9" s="40" t="s">
        <v>74</v>
      </c>
      <c r="C9" s="41"/>
      <c r="D9" s="138"/>
      <c r="E9" s="139"/>
      <c r="F9" s="139"/>
      <c r="G9" s="140"/>
      <c r="H9" s="49"/>
      <c r="I9" s="50"/>
      <c r="J9" s="66"/>
      <c r="K9" s="66"/>
      <c r="L9" s="66"/>
      <c r="M9" s="67"/>
    </row>
    <row r="10" spans="1:13" s="2" customFormat="1" ht="14.1" customHeight="1" x14ac:dyDescent="0.3">
      <c r="A10" s="90"/>
      <c r="B10" s="68" t="s">
        <v>75</v>
      </c>
      <c r="C10" s="69"/>
      <c r="D10" s="96"/>
      <c r="E10" s="97"/>
      <c r="F10" s="97"/>
      <c r="G10" s="98"/>
      <c r="H10" s="19"/>
      <c r="I10" s="21"/>
      <c r="J10" s="29"/>
      <c r="K10" s="29"/>
      <c r="L10" s="29"/>
      <c r="M10" s="31"/>
    </row>
    <row r="11" spans="1:13" s="2" customFormat="1" ht="14.1" customHeight="1" x14ac:dyDescent="0.3">
      <c r="A11" s="89">
        <v>5</v>
      </c>
      <c r="B11" s="40" t="s">
        <v>76</v>
      </c>
      <c r="C11" s="41"/>
      <c r="D11" s="53"/>
      <c r="E11" s="54"/>
      <c r="F11" s="54"/>
      <c r="G11" s="55"/>
      <c r="H11" s="49">
        <f>SUM(I11)-2.8</f>
        <v>59.1</v>
      </c>
      <c r="I11" s="50">
        <v>61.9</v>
      </c>
      <c r="J11" s="66">
        <f>SUM(I11)+2.8</f>
        <v>64.7</v>
      </c>
      <c r="K11" s="66">
        <f>SUM(J11)+2.8</f>
        <v>67.5</v>
      </c>
      <c r="L11" s="66"/>
      <c r="M11" s="67"/>
    </row>
    <row r="12" spans="1:13" s="2" customFormat="1" ht="14.1" customHeight="1" x14ac:dyDescent="0.3">
      <c r="A12" s="90"/>
      <c r="B12" s="68" t="s">
        <v>77</v>
      </c>
      <c r="C12" s="69"/>
      <c r="D12" s="70"/>
      <c r="E12" s="71"/>
      <c r="F12" s="71"/>
      <c r="G12" s="72"/>
      <c r="H12" s="19"/>
      <c r="I12" s="21"/>
      <c r="J12" s="29"/>
      <c r="K12" s="29"/>
      <c r="L12" s="29"/>
      <c r="M12" s="31"/>
    </row>
    <row r="13" spans="1:13" s="2" customFormat="1" ht="14.1" customHeight="1" x14ac:dyDescent="0.3">
      <c r="A13" s="89">
        <v>6</v>
      </c>
      <c r="B13" s="40" t="s">
        <v>78</v>
      </c>
      <c r="C13" s="41"/>
      <c r="D13" s="42" t="s">
        <v>79</v>
      </c>
      <c r="E13" s="43"/>
      <c r="F13" s="43"/>
      <c r="G13" s="44"/>
      <c r="H13" s="49">
        <f>SUM(I13)-3</f>
        <v>69.3</v>
      </c>
      <c r="I13" s="36">
        <v>72.3</v>
      </c>
      <c r="J13" s="23">
        <f>SUM(I13)+3</f>
        <v>75.3</v>
      </c>
      <c r="K13" s="23">
        <f>SUM(J13)+3</f>
        <v>78.3</v>
      </c>
      <c r="L13" s="23"/>
      <c r="M13" s="30"/>
    </row>
    <row r="14" spans="1:13" s="2" customFormat="1" ht="14.1" customHeight="1" x14ac:dyDescent="0.3">
      <c r="A14" s="90"/>
      <c r="B14" s="68" t="s">
        <v>80</v>
      </c>
      <c r="C14" s="69"/>
      <c r="D14" s="70" t="s">
        <v>214</v>
      </c>
      <c r="E14" s="71"/>
      <c r="F14" s="71"/>
      <c r="G14" s="72"/>
      <c r="H14" s="19"/>
      <c r="I14" s="21"/>
      <c r="J14" s="29"/>
      <c r="K14" s="29"/>
      <c r="L14" s="29"/>
      <c r="M14" s="31"/>
    </row>
    <row r="15" spans="1:13" s="2" customFormat="1" ht="14.1" customHeight="1" x14ac:dyDescent="0.3">
      <c r="A15" s="89">
        <v>7</v>
      </c>
      <c r="B15" s="40" t="s">
        <v>82</v>
      </c>
      <c r="C15" s="41"/>
      <c r="D15" s="42"/>
      <c r="E15" s="43"/>
      <c r="F15" s="43"/>
      <c r="G15" s="44"/>
      <c r="H15" s="49">
        <f>SUM(I15)-0.5</f>
        <v>12</v>
      </c>
      <c r="I15" s="36">
        <v>12.5</v>
      </c>
      <c r="J15" s="23">
        <f>SUM(I15)+0.5</f>
        <v>13</v>
      </c>
      <c r="K15" s="23">
        <f>SUM(J15)+0.5</f>
        <v>13.5</v>
      </c>
      <c r="L15" s="33"/>
      <c r="M15" s="25"/>
    </row>
    <row r="16" spans="1:13" s="2" customFormat="1" ht="14.1" customHeight="1" x14ac:dyDescent="0.3">
      <c r="A16" s="90"/>
      <c r="B16" s="68" t="s">
        <v>83</v>
      </c>
      <c r="C16" s="69"/>
      <c r="D16" s="76" t="s">
        <v>84</v>
      </c>
      <c r="E16" s="77"/>
      <c r="F16" s="77"/>
      <c r="G16" s="78"/>
      <c r="H16" s="19"/>
      <c r="I16" s="21"/>
      <c r="J16" s="29"/>
      <c r="K16" s="29"/>
      <c r="L16" s="26"/>
      <c r="M16" s="75"/>
    </row>
    <row r="17" spans="1:13" s="2" customFormat="1" ht="14.1" customHeight="1" x14ac:dyDescent="0.3">
      <c r="A17" s="89">
        <v>8</v>
      </c>
      <c r="B17" s="40" t="s">
        <v>85</v>
      </c>
      <c r="C17" s="41"/>
      <c r="D17" s="42"/>
      <c r="E17" s="43"/>
      <c r="F17" s="43"/>
      <c r="G17" s="44"/>
      <c r="H17" s="35"/>
      <c r="I17" s="36"/>
      <c r="J17" s="23"/>
      <c r="K17" s="23"/>
      <c r="L17" s="33"/>
      <c r="M17" s="25"/>
    </row>
    <row r="18" spans="1:13" s="2" customFormat="1" ht="14.1" customHeight="1" x14ac:dyDescent="0.3">
      <c r="A18" s="90"/>
      <c r="B18" s="68" t="s">
        <v>86</v>
      </c>
      <c r="C18" s="69"/>
      <c r="D18" s="76" t="s">
        <v>87</v>
      </c>
      <c r="E18" s="77"/>
      <c r="F18" s="77"/>
      <c r="G18" s="78"/>
      <c r="H18" s="19"/>
      <c r="I18" s="21"/>
      <c r="J18" s="29"/>
      <c r="K18" s="29"/>
      <c r="L18" s="26"/>
      <c r="M18" s="75"/>
    </row>
    <row r="19" spans="1:13" s="2" customFormat="1" ht="14.1" customHeight="1" x14ac:dyDescent="0.3">
      <c r="A19" s="89">
        <v>9</v>
      </c>
      <c r="B19" s="40" t="s">
        <v>88</v>
      </c>
      <c r="C19" s="41"/>
      <c r="D19" s="42" t="s">
        <v>53</v>
      </c>
      <c r="E19" s="43"/>
      <c r="F19" s="43"/>
      <c r="G19" s="44"/>
      <c r="H19" s="49">
        <f>SUM(I19)-3.5</f>
        <v>41.5</v>
      </c>
      <c r="I19" s="36">
        <v>45</v>
      </c>
      <c r="J19" s="23">
        <f>SUM(I19)+5</f>
        <v>50</v>
      </c>
      <c r="K19" s="23">
        <f>SUM(J19)+5</f>
        <v>55</v>
      </c>
      <c r="L19" s="23"/>
      <c r="M19" s="30"/>
    </row>
    <row r="20" spans="1:13" s="2" customFormat="1" ht="14.1" customHeight="1" x14ac:dyDescent="0.3">
      <c r="A20" s="90"/>
      <c r="B20" s="68" t="s">
        <v>89</v>
      </c>
      <c r="C20" s="69"/>
      <c r="D20" s="70" t="s">
        <v>90</v>
      </c>
      <c r="E20" s="71"/>
      <c r="F20" s="71"/>
      <c r="G20" s="72"/>
      <c r="H20" s="19"/>
      <c r="I20" s="21"/>
      <c r="J20" s="29"/>
      <c r="K20" s="29"/>
      <c r="L20" s="29"/>
      <c r="M20" s="31"/>
    </row>
    <row r="21" spans="1:13" s="2" customFormat="1" ht="14.1" customHeight="1" x14ac:dyDescent="0.3">
      <c r="A21" s="89">
        <v>10</v>
      </c>
      <c r="B21" s="40" t="s">
        <v>91</v>
      </c>
      <c r="C21" s="41"/>
      <c r="D21" s="42" t="s">
        <v>92</v>
      </c>
      <c r="E21" s="43"/>
      <c r="F21" s="43"/>
      <c r="G21" s="44"/>
      <c r="H21" s="49">
        <f>SUM(I21)-0.8</f>
        <v>14.2</v>
      </c>
      <c r="I21" s="36">
        <v>15</v>
      </c>
      <c r="J21" s="23">
        <f>SUM(I21)+0.8</f>
        <v>15.8</v>
      </c>
      <c r="K21" s="23">
        <f>SUM(J21)+0.8</f>
        <v>16.600000000000001</v>
      </c>
      <c r="L21" s="23"/>
      <c r="M21" s="30"/>
    </row>
    <row r="22" spans="1:13" s="2" customFormat="1" ht="14.1" customHeight="1" x14ac:dyDescent="0.3">
      <c r="A22" s="90"/>
      <c r="B22" s="68" t="s">
        <v>93</v>
      </c>
      <c r="C22" s="69"/>
      <c r="D22" s="27" t="s">
        <v>94</v>
      </c>
      <c r="E22" s="28"/>
      <c r="F22" s="28"/>
      <c r="G22" s="32"/>
      <c r="H22" s="19"/>
      <c r="I22" s="21"/>
      <c r="J22" s="29"/>
      <c r="K22" s="29"/>
      <c r="L22" s="29"/>
      <c r="M22" s="31"/>
    </row>
    <row r="23" spans="1:13" s="2" customFormat="1" ht="14.1" customHeight="1" x14ac:dyDescent="0.3">
      <c r="A23" s="89">
        <v>11</v>
      </c>
      <c r="B23" s="40" t="s">
        <v>95</v>
      </c>
      <c r="C23" s="41"/>
      <c r="D23" s="42" t="s">
        <v>96</v>
      </c>
      <c r="E23" s="43"/>
      <c r="F23" s="43"/>
      <c r="G23" s="44"/>
      <c r="H23" s="49">
        <f>SUM(I23)-0.8</f>
        <v>19</v>
      </c>
      <c r="I23" s="36">
        <v>19.8</v>
      </c>
      <c r="J23" s="23">
        <f>SUM(I23)+0.8</f>
        <v>20.6</v>
      </c>
      <c r="K23" s="23">
        <f>SUM(J23)+0.8</f>
        <v>21.400000000000002</v>
      </c>
      <c r="L23" s="23"/>
      <c r="M23" s="25"/>
    </row>
    <row r="24" spans="1:13" s="2" customFormat="1" ht="14.1" customHeight="1" x14ac:dyDescent="0.3">
      <c r="A24" s="90"/>
      <c r="B24" s="68" t="s">
        <v>97</v>
      </c>
      <c r="C24" s="69"/>
      <c r="D24" s="70" t="s">
        <v>98</v>
      </c>
      <c r="E24" s="71"/>
      <c r="F24" s="71"/>
      <c r="G24" s="72"/>
      <c r="H24" s="19"/>
      <c r="I24" s="21"/>
      <c r="J24" s="29"/>
      <c r="K24" s="29"/>
      <c r="L24" s="29"/>
      <c r="M24" s="75"/>
    </row>
    <row r="25" spans="1:13" s="2" customFormat="1" ht="14.1" customHeight="1" x14ac:dyDescent="0.3">
      <c r="A25" s="89">
        <v>12</v>
      </c>
      <c r="B25" s="40" t="s">
        <v>99</v>
      </c>
      <c r="C25" s="41"/>
      <c r="D25" s="42" t="s">
        <v>96</v>
      </c>
      <c r="E25" s="43"/>
      <c r="F25" s="43"/>
      <c r="G25" s="44"/>
      <c r="H25" s="49">
        <f>SUM(I25)-1</f>
        <v>25.2</v>
      </c>
      <c r="I25" s="36">
        <v>26.2</v>
      </c>
      <c r="J25" s="23">
        <f>SUM(I25)+1</f>
        <v>27.2</v>
      </c>
      <c r="K25" s="23">
        <f>SUM(J25)+1</f>
        <v>28.2</v>
      </c>
      <c r="L25" s="23"/>
      <c r="M25" s="25"/>
    </row>
    <row r="26" spans="1:13" s="2" customFormat="1" ht="14.1" customHeight="1" x14ac:dyDescent="0.3">
      <c r="A26" s="90"/>
      <c r="B26" s="68" t="s">
        <v>100</v>
      </c>
      <c r="C26" s="69"/>
      <c r="D26" s="70" t="s">
        <v>98</v>
      </c>
      <c r="E26" s="71"/>
      <c r="F26" s="71"/>
      <c r="G26" s="72"/>
      <c r="H26" s="19"/>
      <c r="I26" s="21"/>
      <c r="J26" s="29"/>
      <c r="K26" s="29"/>
      <c r="L26" s="29"/>
      <c r="M26" s="75"/>
    </row>
    <row r="27" spans="1:13" s="2" customFormat="1" ht="14.1" customHeight="1" x14ac:dyDescent="0.3">
      <c r="A27" s="89">
        <v>13</v>
      </c>
      <c r="B27" s="40" t="s">
        <v>101</v>
      </c>
      <c r="C27" s="41"/>
      <c r="D27" s="42" t="s">
        <v>102</v>
      </c>
      <c r="E27" s="43"/>
      <c r="F27" s="43"/>
      <c r="G27" s="44"/>
      <c r="H27" s="49">
        <f>SUM(I27)-2.2</f>
        <v>39.5</v>
      </c>
      <c r="I27" s="36">
        <v>41.7</v>
      </c>
      <c r="J27" s="23">
        <f>SUM(I27)+2.3</f>
        <v>44</v>
      </c>
      <c r="K27" s="23">
        <f>SUM(J27)+2.3</f>
        <v>46.3</v>
      </c>
      <c r="L27" s="23"/>
      <c r="M27" s="30"/>
    </row>
    <row r="28" spans="1:13" s="2" customFormat="1" ht="14.1" customHeight="1" x14ac:dyDescent="0.3">
      <c r="A28" s="90"/>
      <c r="B28" s="68" t="s">
        <v>103</v>
      </c>
      <c r="C28" s="69"/>
      <c r="D28" s="70" t="s">
        <v>104</v>
      </c>
      <c r="E28" s="71"/>
      <c r="F28" s="71"/>
      <c r="G28" s="72"/>
      <c r="H28" s="19"/>
      <c r="I28" s="21"/>
      <c r="J28" s="29"/>
      <c r="K28" s="29"/>
      <c r="L28" s="29"/>
      <c r="M28" s="31"/>
    </row>
    <row r="29" spans="1:13" s="2" customFormat="1" ht="14.1" customHeight="1" x14ac:dyDescent="0.3">
      <c r="A29" s="89">
        <v>14</v>
      </c>
      <c r="B29" s="40" t="s">
        <v>105</v>
      </c>
      <c r="C29" s="41"/>
      <c r="D29" s="42" t="s">
        <v>106</v>
      </c>
      <c r="E29" s="43"/>
      <c r="F29" s="43"/>
      <c r="G29" s="44"/>
      <c r="H29" s="49">
        <f>SUM(I29)-2.6</f>
        <v>23.2</v>
      </c>
      <c r="I29" s="36">
        <v>25.8</v>
      </c>
      <c r="J29" s="23">
        <f>SUM(I29)+4.1</f>
        <v>29.9</v>
      </c>
      <c r="K29" s="23">
        <f>SUM(J29)+4.1</f>
        <v>34</v>
      </c>
      <c r="L29" s="23"/>
      <c r="M29" s="30"/>
    </row>
    <row r="30" spans="1:13" s="2" customFormat="1" ht="14.1" customHeight="1" x14ac:dyDescent="0.3">
      <c r="A30" s="90"/>
      <c r="B30" s="68" t="s">
        <v>107</v>
      </c>
      <c r="C30" s="69"/>
      <c r="D30" s="70" t="s">
        <v>108</v>
      </c>
      <c r="E30" s="71"/>
      <c r="F30" s="71"/>
      <c r="G30" s="72"/>
      <c r="H30" s="19"/>
      <c r="I30" s="21"/>
      <c r="J30" s="29"/>
      <c r="K30" s="29"/>
      <c r="L30" s="29"/>
      <c r="M30" s="31"/>
    </row>
    <row r="31" spans="1:13" s="2" customFormat="1" ht="14.1" customHeight="1" x14ac:dyDescent="0.3">
      <c r="A31" s="89">
        <v>15</v>
      </c>
      <c r="B31" s="40" t="s">
        <v>109</v>
      </c>
      <c r="C31" s="41"/>
      <c r="D31" s="42" t="s">
        <v>52</v>
      </c>
      <c r="E31" s="43"/>
      <c r="F31" s="43"/>
      <c r="G31" s="44"/>
      <c r="H31" s="49">
        <f>SUM(I31)-1.7</f>
        <v>34.199999999999996</v>
      </c>
      <c r="I31" s="36">
        <v>35.9</v>
      </c>
      <c r="J31" s="23">
        <f>SUM(I31)+1.7</f>
        <v>37.6</v>
      </c>
      <c r="K31" s="23">
        <f>SUM(J31)+1.7</f>
        <v>39.300000000000004</v>
      </c>
      <c r="L31" s="23"/>
      <c r="M31" s="30"/>
    </row>
    <row r="32" spans="1:13" s="2" customFormat="1" ht="14.1" customHeight="1" x14ac:dyDescent="0.3">
      <c r="A32" s="90"/>
      <c r="B32" s="68" t="s">
        <v>110</v>
      </c>
      <c r="C32" s="69"/>
      <c r="D32" s="70" t="s">
        <v>52</v>
      </c>
      <c r="E32" s="71"/>
      <c r="F32" s="71"/>
      <c r="G32" s="72"/>
      <c r="H32" s="19"/>
      <c r="I32" s="21"/>
      <c r="J32" s="29"/>
      <c r="K32" s="29"/>
      <c r="L32" s="29"/>
      <c r="M32" s="31"/>
    </row>
    <row r="33" spans="1:13" s="2" customFormat="1" ht="14.1" customHeight="1" x14ac:dyDescent="0.3">
      <c r="A33" s="89">
        <v>16</v>
      </c>
      <c r="B33" s="40" t="s">
        <v>111</v>
      </c>
      <c r="C33" s="41"/>
      <c r="D33" s="42" t="s">
        <v>112</v>
      </c>
      <c r="E33" s="43"/>
      <c r="F33" s="43"/>
      <c r="G33" s="44"/>
      <c r="H33" s="49">
        <f>SUM(I33)-2</f>
        <v>27.6</v>
      </c>
      <c r="I33" s="36">
        <v>29.6</v>
      </c>
      <c r="J33" s="23">
        <f>SUM(I33)+2.7</f>
        <v>32.300000000000004</v>
      </c>
      <c r="K33" s="23">
        <f>SUM(J33)+2.7</f>
        <v>35.000000000000007</v>
      </c>
      <c r="L33" s="23"/>
      <c r="M33" s="30"/>
    </row>
    <row r="34" spans="1:13" s="2" customFormat="1" ht="14.1" customHeight="1" x14ac:dyDescent="0.3">
      <c r="A34" s="90"/>
      <c r="B34" s="68" t="s">
        <v>113</v>
      </c>
      <c r="C34" s="69"/>
      <c r="D34" s="70" t="s">
        <v>114</v>
      </c>
      <c r="E34" s="71"/>
      <c r="F34" s="71"/>
      <c r="G34" s="72"/>
      <c r="H34" s="19"/>
      <c r="I34" s="21"/>
      <c r="J34" s="29"/>
      <c r="K34" s="29"/>
      <c r="L34" s="29"/>
      <c r="M34" s="31"/>
    </row>
    <row r="35" spans="1:13" s="2" customFormat="1" ht="14.1" customHeight="1" x14ac:dyDescent="0.3">
      <c r="A35" s="89">
        <v>17</v>
      </c>
      <c r="B35" s="40" t="s">
        <v>128</v>
      </c>
      <c r="C35" s="41"/>
      <c r="D35" s="42"/>
      <c r="E35" s="43"/>
      <c r="F35" s="43"/>
      <c r="G35" s="44"/>
      <c r="H35" s="35">
        <f>SUM(I35)-0.4</f>
        <v>7.1</v>
      </c>
      <c r="I35" s="36">
        <v>7.5</v>
      </c>
      <c r="J35" s="23">
        <f>SUM(I35)+0.4</f>
        <v>7.9</v>
      </c>
      <c r="K35" s="23">
        <f>SUM(J35)+0.4</f>
        <v>8.3000000000000007</v>
      </c>
      <c r="L35" s="23"/>
      <c r="M35" s="30"/>
    </row>
    <row r="36" spans="1:13" s="2" customFormat="1" ht="14.1" customHeight="1" x14ac:dyDescent="0.3">
      <c r="A36" s="90"/>
      <c r="B36" s="68" t="s">
        <v>130</v>
      </c>
      <c r="C36" s="69"/>
      <c r="D36" s="70" t="s">
        <v>216</v>
      </c>
      <c r="E36" s="71"/>
      <c r="F36" s="71"/>
      <c r="G36" s="72"/>
      <c r="H36" s="19"/>
      <c r="I36" s="21"/>
      <c r="J36" s="29"/>
      <c r="K36" s="29"/>
      <c r="L36" s="29"/>
      <c r="M36" s="31"/>
    </row>
    <row r="37" spans="1:13" ht="14.1" customHeight="1" x14ac:dyDescent="0.3">
      <c r="A37" s="89">
        <v>18</v>
      </c>
      <c r="B37" s="40" t="s">
        <v>129</v>
      </c>
      <c r="C37" s="41"/>
      <c r="D37" s="42"/>
      <c r="E37" s="43"/>
      <c r="F37" s="43"/>
      <c r="G37" s="44"/>
      <c r="H37" s="35">
        <f>SUM(I37)-0.4</f>
        <v>7.6</v>
      </c>
      <c r="I37" s="36">
        <v>8</v>
      </c>
      <c r="J37" s="23">
        <f>SUM(I37)+0.4</f>
        <v>8.4</v>
      </c>
      <c r="K37" s="23">
        <f>SUM(J37)+0.4</f>
        <v>8.8000000000000007</v>
      </c>
      <c r="L37" s="23"/>
      <c r="M37" s="94"/>
    </row>
    <row r="38" spans="1:13" ht="14.1" customHeight="1" x14ac:dyDescent="0.3">
      <c r="A38" s="90"/>
      <c r="B38" s="68" t="s">
        <v>131</v>
      </c>
      <c r="C38" s="69"/>
      <c r="D38" s="70" t="s">
        <v>215</v>
      </c>
      <c r="E38" s="71"/>
      <c r="F38" s="71"/>
      <c r="G38" s="72"/>
      <c r="H38" s="19"/>
      <c r="I38" s="21"/>
      <c r="J38" s="29"/>
      <c r="K38" s="29"/>
      <c r="L38" s="29"/>
      <c r="M38" s="95"/>
    </row>
    <row r="39" spans="1:13" ht="14.1" customHeight="1" x14ac:dyDescent="0.3">
      <c r="A39" s="89">
        <v>19</v>
      </c>
      <c r="B39" s="40" t="s">
        <v>61</v>
      </c>
      <c r="C39" s="41"/>
      <c r="D39" s="42"/>
      <c r="E39" s="43"/>
      <c r="F39" s="43"/>
      <c r="G39" s="44"/>
      <c r="H39" s="35">
        <f>SUM(I39)-0.6</f>
        <v>9.4</v>
      </c>
      <c r="I39" s="36">
        <v>10</v>
      </c>
      <c r="J39" s="23">
        <f>SUM(I39)+0.6</f>
        <v>10.6</v>
      </c>
      <c r="K39" s="23">
        <f>SUM(J39)+0.6</f>
        <v>11.2</v>
      </c>
      <c r="L39" s="23"/>
      <c r="M39" s="30"/>
    </row>
    <row r="40" spans="1:13" ht="14.1" customHeight="1" thickBot="1" x14ac:dyDescent="0.35">
      <c r="A40" s="142"/>
      <c r="B40" s="84" t="s">
        <v>62</v>
      </c>
      <c r="C40" s="85"/>
      <c r="D40" s="86"/>
      <c r="E40" s="87"/>
      <c r="F40" s="87"/>
      <c r="G40" s="88"/>
      <c r="H40" s="80"/>
      <c r="I40" s="81"/>
      <c r="J40" s="82"/>
      <c r="K40" s="82"/>
      <c r="L40" s="82"/>
      <c r="M40" s="83"/>
    </row>
    <row r="41" spans="1:13" s="2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2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12"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CDBB-AD75-45A0-8EB7-5D102C913EF9}">
  <sheetPr>
    <tabColor theme="9"/>
    <pageSetUpPr fitToPage="1"/>
  </sheetPr>
  <dimension ref="A1:M51"/>
  <sheetViews>
    <sheetView topLeftCell="A7" zoomScale="110" zoomScaleNormal="110" workbookViewId="0">
      <selection activeCell="P9" sqref="P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9" t="s">
        <v>221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ht="16.5" customHeight="1" thickBot="1" x14ac:dyDescent="0.35">
      <c r="A2" s="6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153</v>
      </c>
      <c r="I2" s="3" t="s">
        <v>154</v>
      </c>
      <c r="J2" s="4" t="s">
        <v>155</v>
      </c>
      <c r="K2" s="7" t="s">
        <v>164</v>
      </c>
      <c r="L2" s="7"/>
      <c r="M2" s="4"/>
    </row>
    <row r="3" spans="1:13" s="2" customFormat="1" ht="14.1" customHeight="1" x14ac:dyDescent="0.3">
      <c r="A3" s="104">
        <v>1</v>
      </c>
      <c r="B3" s="105" t="s">
        <v>66</v>
      </c>
      <c r="C3" s="106"/>
      <c r="D3" s="17" t="s">
        <v>67</v>
      </c>
      <c r="E3" s="107"/>
      <c r="F3" s="107"/>
      <c r="G3" s="108"/>
      <c r="H3" s="18">
        <f>SUM(I3)-2</f>
        <v>40</v>
      </c>
      <c r="I3" s="20">
        <v>42</v>
      </c>
      <c r="J3" s="109">
        <f>SUM(I3)+2</f>
        <v>44</v>
      </c>
      <c r="K3" s="109">
        <f>SUM(J3)+2</f>
        <v>46</v>
      </c>
      <c r="L3" s="109"/>
      <c r="M3" s="110"/>
    </row>
    <row r="4" spans="1:13" s="2" customFormat="1" ht="14.1" customHeight="1" x14ac:dyDescent="0.3">
      <c r="A4" s="90"/>
      <c r="B4" s="68" t="s">
        <v>68</v>
      </c>
      <c r="C4" s="69"/>
      <c r="D4" s="70" t="s">
        <v>69</v>
      </c>
      <c r="E4" s="71"/>
      <c r="F4" s="71"/>
      <c r="G4" s="72"/>
      <c r="H4" s="19"/>
      <c r="I4" s="21"/>
      <c r="J4" s="29"/>
      <c r="K4" s="29"/>
      <c r="L4" s="29"/>
      <c r="M4" s="31"/>
    </row>
    <row r="5" spans="1:13" s="2" customFormat="1" ht="14.1" customHeight="1" x14ac:dyDescent="0.3">
      <c r="A5" s="89">
        <v>2</v>
      </c>
      <c r="B5" s="51" t="s">
        <v>70</v>
      </c>
      <c r="C5" s="52"/>
      <c r="D5" s="53"/>
      <c r="E5" s="54"/>
      <c r="F5" s="54"/>
      <c r="G5" s="55"/>
      <c r="H5" s="49"/>
      <c r="I5" s="50"/>
      <c r="J5" s="66"/>
      <c r="K5" s="66"/>
      <c r="L5" s="66"/>
      <c r="M5" s="67"/>
    </row>
    <row r="6" spans="1:13" s="2" customFormat="1" ht="14.1" customHeight="1" x14ac:dyDescent="0.3">
      <c r="A6" s="90"/>
      <c r="B6" s="68" t="s">
        <v>71</v>
      </c>
      <c r="C6" s="69"/>
      <c r="D6" s="70"/>
      <c r="E6" s="71"/>
      <c r="F6" s="71"/>
      <c r="G6" s="72"/>
      <c r="H6" s="19"/>
      <c r="I6" s="21"/>
      <c r="J6" s="29"/>
      <c r="K6" s="29"/>
      <c r="L6" s="29"/>
      <c r="M6" s="31"/>
    </row>
    <row r="7" spans="1:13" s="2" customFormat="1" ht="14.1" customHeight="1" x14ac:dyDescent="0.3">
      <c r="A7" s="89">
        <v>3</v>
      </c>
      <c r="B7" s="51" t="s">
        <v>72</v>
      </c>
      <c r="C7" s="52"/>
      <c r="D7" s="53"/>
      <c r="E7" s="54"/>
      <c r="F7" s="54"/>
      <c r="G7" s="55"/>
      <c r="H7" s="49"/>
      <c r="I7" s="50"/>
      <c r="J7" s="66"/>
      <c r="K7" s="66"/>
      <c r="L7" s="66"/>
      <c r="M7" s="67"/>
    </row>
    <row r="8" spans="1:13" s="2" customFormat="1" ht="14.1" customHeight="1" x14ac:dyDescent="0.3">
      <c r="A8" s="90"/>
      <c r="B8" s="68" t="s">
        <v>73</v>
      </c>
      <c r="C8" s="69"/>
      <c r="D8" s="70"/>
      <c r="E8" s="71"/>
      <c r="F8" s="71"/>
      <c r="G8" s="72"/>
      <c r="H8" s="19"/>
      <c r="I8" s="21"/>
      <c r="J8" s="29"/>
      <c r="K8" s="29"/>
      <c r="L8" s="29"/>
      <c r="M8" s="31"/>
    </row>
    <row r="9" spans="1:13" s="2" customFormat="1" ht="14.1" customHeight="1" x14ac:dyDescent="0.3">
      <c r="A9" s="89">
        <v>4</v>
      </c>
      <c r="B9" s="40" t="s">
        <v>74</v>
      </c>
      <c r="C9" s="41"/>
      <c r="D9" s="138"/>
      <c r="E9" s="139"/>
      <c r="F9" s="139"/>
      <c r="G9" s="140"/>
      <c r="H9" s="49"/>
      <c r="I9" s="50"/>
      <c r="J9" s="66"/>
      <c r="K9" s="66"/>
      <c r="L9" s="66"/>
      <c r="M9" s="67"/>
    </row>
    <row r="10" spans="1:13" s="2" customFormat="1" ht="14.1" customHeight="1" x14ac:dyDescent="0.3">
      <c r="A10" s="90"/>
      <c r="B10" s="68" t="s">
        <v>75</v>
      </c>
      <c r="C10" s="69"/>
      <c r="D10" s="96"/>
      <c r="E10" s="97"/>
      <c r="F10" s="97"/>
      <c r="G10" s="98"/>
      <c r="H10" s="19"/>
      <c r="I10" s="21"/>
      <c r="J10" s="29"/>
      <c r="K10" s="29"/>
      <c r="L10" s="29"/>
      <c r="M10" s="31"/>
    </row>
    <row r="11" spans="1:13" s="2" customFormat="1" ht="14.1" customHeight="1" x14ac:dyDescent="0.3">
      <c r="A11" s="89">
        <v>5</v>
      </c>
      <c r="B11" s="40" t="s">
        <v>76</v>
      </c>
      <c r="C11" s="41"/>
      <c r="D11" s="53"/>
      <c r="E11" s="54"/>
      <c r="F11" s="54"/>
      <c r="G11" s="55"/>
      <c r="H11" s="49">
        <f>SUM(I11)-2.8</f>
        <v>64.2</v>
      </c>
      <c r="I11" s="50">
        <v>67</v>
      </c>
      <c r="J11" s="66">
        <f>SUM(I11)+2.8</f>
        <v>69.8</v>
      </c>
      <c r="K11" s="66">
        <f>SUM(J11)+2.8</f>
        <v>72.599999999999994</v>
      </c>
      <c r="L11" s="66"/>
      <c r="M11" s="67"/>
    </row>
    <row r="12" spans="1:13" s="2" customFormat="1" ht="14.1" customHeight="1" x14ac:dyDescent="0.3">
      <c r="A12" s="90"/>
      <c r="B12" s="68" t="s">
        <v>77</v>
      </c>
      <c r="C12" s="69"/>
      <c r="D12" s="70"/>
      <c r="E12" s="71"/>
      <c r="F12" s="71"/>
      <c r="G12" s="72"/>
      <c r="H12" s="19"/>
      <c r="I12" s="21"/>
      <c r="J12" s="29"/>
      <c r="K12" s="29"/>
      <c r="L12" s="29"/>
      <c r="M12" s="31"/>
    </row>
    <row r="13" spans="1:13" s="2" customFormat="1" ht="14.1" customHeight="1" x14ac:dyDescent="0.3">
      <c r="A13" s="89">
        <v>6</v>
      </c>
      <c r="B13" s="40" t="s">
        <v>78</v>
      </c>
      <c r="C13" s="41"/>
      <c r="D13" s="42" t="s">
        <v>79</v>
      </c>
      <c r="E13" s="43"/>
      <c r="F13" s="43"/>
      <c r="G13" s="44"/>
      <c r="H13" s="49">
        <f>SUM(I13)-3</f>
        <v>68.900000000000006</v>
      </c>
      <c r="I13" s="36">
        <v>71.900000000000006</v>
      </c>
      <c r="J13" s="23">
        <f>SUM(I13)+3</f>
        <v>74.900000000000006</v>
      </c>
      <c r="K13" s="23">
        <f>SUM(J13)+3</f>
        <v>77.900000000000006</v>
      </c>
      <c r="L13" s="23"/>
      <c r="M13" s="30"/>
    </row>
    <row r="14" spans="1:13" s="2" customFormat="1" ht="14.1" customHeight="1" x14ac:dyDescent="0.3">
      <c r="A14" s="90"/>
      <c r="B14" s="68" t="s">
        <v>80</v>
      </c>
      <c r="C14" s="69"/>
      <c r="D14" s="70" t="s">
        <v>81</v>
      </c>
      <c r="E14" s="71"/>
      <c r="F14" s="71"/>
      <c r="G14" s="72"/>
      <c r="H14" s="19"/>
      <c r="I14" s="21"/>
      <c r="J14" s="29"/>
      <c r="K14" s="29"/>
      <c r="L14" s="29"/>
      <c r="M14" s="31"/>
    </row>
    <row r="15" spans="1:13" s="2" customFormat="1" ht="14.1" customHeight="1" x14ac:dyDescent="0.3">
      <c r="A15" s="89">
        <v>7</v>
      </c>
      <c r="B15" s="40" t="s">
        <v>82</v>
      </c>
      <c r="C15" s="41"/>
      <c r="D15" s="42"/>
      <c r="E15" s="43"/>
      <c r="F15" s="43"/>
      <c r="G15" s="44"/>
      <c r="H15" s="49">
        <f>SUM(I15)-0.5</f>
        <v>13.7</v>
      </c>
      <c r="I15" s="36">
        <v>14.2</v>
      </c>
      <c r="J15" s="23">
        <f>SUM(I15)+0.5</f>
        <v>14.7</v>
      </c>
      <c r="K15" s="23">
        <f>SUM(J15)+0.5</f>
        <v>15.2</v>
      </c>
      <c r="L15" s="33"/>
      <c r="M15" s="25"/>
    </row>
    <row r="16" spans="1:13" s="2" customFormat="1" ht="14.1" customHeight="1" x14ac:dyDescent="0.3">
      <c r="A16" s="90"/>
      <c r="B16" s="68" t="s">
        <v>83</v>
      </c>
      <c r="C16" s="69"/>
      <c r="D16" s="76" t="s">
        <v>84</v>
      </c>
      <c r="E16" s="77"/>
      <c r="F16" s="77"/>
      <c r="G16" s="78"/>
      <c r="H16" s="19"/>
      <c r="I16" s="21"/>
      <c r="J16" s="29"/>
      <c r="K16" s="29"/>
      <c r="L16" s="26"/>
      <c r="M16" s="75"/>
    </row>
    <row r="17" spans="1:13" s="2" customFormat="1" ht="14.1" customHeight="1" x14ac:dyDescent="0.3">
      <c r="A17" s="89">
        <v>8</v>
      </c>
      <c r="B17" s="40" t="s">
        <v>85</v>
      </c>
      <c r="C17" s="41"/>
      <c r="D17" s="42"/>
      <c r="E17" s="43"/>
      <c r="F17" s="43"/>
      <c r="G17" s="44"/>
      <c r="H17" s="35"/>
      <c r="I17" s="36"/>
      <c r="J17" s="23"/>
      <c r="K17" s="23"/>
      <c r="L17" s="33"/>
      <c r="M17" s="25"/>
    </row>
    <row r="18" spans="1:13" s="2" customFormat="1" ht="14.1" customHeight="1" x14ac:dyDescent="0.3">
      <c r="A18" s="90"/>
      <c r="B18" s="68" t="s">
        <v>86</v>
      </c>
      <c r="C18" s="69"/>
      <c r="D18" s="76" t="s">
        <v>87</v>
      </c>
      <c r="E18" s="77"/>
      <c r="F18" s="77"/>
      <c r="G18" s="78"/>
      <c r="H18" s="19"/>
      <c r="I18" s="21"/>
      <c r="J18" s="29"/>
      <c r="K18" s="29"/>
      <c r="L18" s="26"/>
      <c r="M18" s="75"/>
    </row>
    <row r="19" spans="1:13" s="2" customFormat="1" ht="14.1" customHeight="1" x14ac:dyDescent="0.3">
      <c r="A19" s="89">
        <v>9</v>
      </c>
      <c r="B19" s="40" t="s">
        <v>88</v>
      </c>
      <c r="C19" s="41"/>
      <c r="D19" s="42" t="s">
        <v>53</v>
      </c>
      <c r="E19" s="43"/>
      <c r="F19" s="43"/>
      <c r="G19" s="44"/>
      <c r="H19" s="49">
        <f>SUM(I19)-3.5</f>
        <v>41.5</v>
      </c>
      <c r="I19" s="36">
        <v>45</v>
      </c>
      <c r="J19" s="23">
        <f>SUM(I19)+5</f>
        <v>50</v>
      </c>
      <c r="K19" s="23">
        <f>SUM(J19)+5</f>
        <v>55</v>
      </c>
      <c r="L19" s="23"/>
      <c r="M19" s="30"/>
    </row>
    <row r="20" spans="1:13" s="2" customFormat="1" ht="14.1" customHeight="1" x14ac:dyDescent="0.3">
      <c r="A20" s="90"/>
      <c r="B20" s="68" t="s">
        <v>89</v>
      </c>
      <c r="C20" s="69"/>
      <c r="D20" s="70" t="s">
        <v>90</v>
      </c>
      <c r="E20" s="71"/>
      <c r="F20" s="71"/>
      <c r="G20" s="72"/>
      <c r="H20" s="19"/>
      <c r="I20" s="21"/>
      <c r="J20" s="29"/>
      <c r="K20" s="29"/>
      <c r="L20" s="29"/>
      <c r="M20" s="31"/>
    </row>
    <row r="21" spans="1:13" s="2" customFormat="1" ht="14.1" customHeight="1" x14ac:dyDescent="0.3">
      <c r="A21" s="89">
        <v>10</v>
      </c>
      <c r="B21" s="40" t="s">
        <v>228</v>
      </c>
      <c r="C21" s="41"/>
      <c r="D21" s="42"/>
      <c r="E21" s="43"/>
      <c r="F21" s="43"/>
      <c r="G21" s="44"/>
      <c r="H21" s="49">
        <f>SUM(I21)-0.8</f>
        <v>20.2</v>
      </c>
      <c r="I21" s="36">
        <v>21</v>
      </c>
      <c r="J21" s="23">
        <f>SUM(I21)+0.8</f>
        <v>21.8</v>
      </c>
      <c r="K21" s="23">
        <f>SUM(J21)+0.8</f>
        <v>22.6</v>
      </c>
      <c r="L21" s="23"/>
      <c r="M21" s="30"/>
    </row>
    <row r="22" spans="1:13" s="2" customFormat="1" ht="14.1" customHeight="1" x14ac:dyDescent="0.3">
      <c r="A22" s="90"/>
      <c r="B22" s="68" t="s">
        <v>227</v>
      </c>
      <c r="C22" s="69"/>
      <c r="D22" s="27" t="s">
        <v>229</v>
      </c>
      <c r="E22" s="28"/>
      <c r="F22" s="28"/>
      <c r="G22" s="32"/>
      <c r="H22" s="19"/>
      <c r="I22" s="21"/>
      <c r="J22" s="29"/>
      <c r="K22" s="29"/>
      <c r="L22" s="29"/>
      <c r="M22" s="31"/>
    </row>
    <row r="23" spans="1:13" s="2" customFormat="1" ht="14.1" customHeight="1" x14ac:dyDescent="0.3">
      <c r="A23" s="89">
        <v>11</v>
      </c>
      <c r="B23" s="40" t="s">
        <v>95</v>
      </c>
      <c r="C23" s="41"/>
      <c r="D23" s="42" t="s">
        <v>96</v>
      </c>
      <c r="E23" s="43"/>
      <c r="F23" s="43"/>
      <c r="G23" s="44"/>
      <c r="H23" s="49">
        <f>SUM(I23)-0.8</f>
        <v>20.7</v>
      </c>
      <c r="I23" s="36">
        <v>21.5</v>
      </c>
      <c r="J23" s="23">
        <f>SUM(I23)+0.8</f>
        <v>22.3</v>
      </c>
      <c r="K23" s="23">
        <f>SUM(J23)+0.8</f>
        <v>23.1</v>
      </c>
      <c r="L23" s="23"/>
      <c r="M23" s="25"/>
    </row>
    <row r="24" spans="1:13" s="2" customFormat="1" ht="14.1" customHeight="1" x14ac:dyDescent="0.3">
      <c r="A24" s="90"/>
      <c r="B24" s="68" t="s">
        <v>97</v>
      </c>
      <c r="C24" s="69"/>
      <c r="D24" s="70" t="s">
        <v>98</v>
      </c>
      <c r="E24" s="71"/>
      <c r="F24" s="71"/>
      <c r="G24" s="72"/>
      <c r="H24" s="19"/>
      <c r="I24" s="21"/>
      <c r="J24" s="29"/>
      <c r="K24" s="29"/>
      <c r="L24" s="29"/>
      <c r="M24" s="75"/>
    </row>
    <row r="25" spans="1:13" s="2" customFormat="1" ht="14.1" customHeight="1" x14ac:dyDescent="0.3">
      <c r="A25" s="89">
        <v>12</v>
      </c>
      <c r="B25" s="40" t="s">
        <v>99</v>
      </c>
      <c r="C25" s="41"/>
      <c r="D25" s="42" t="s">
        <v>96</v>
      </c>
      <c r="E25" s="43"/>
      <c r="F25" s="43"/>
      <c r="G25" s="44"/>
      <c r="H25" s="49">
        <f>SUM(I25)-1</f>
        <v>25</v>
      </c>
      <c r="I25" s="36">
        <v>26</v>
      </c>
      <c r="J25" s="23">
        <f>SUM(I25)+1</f>
        <v>27</v>
      </c>
      <c r="K25" s="23">
        <f>SUM(J25)+1</f>
        <v>28</v>
      </c>
      <c r="L25" s="23"/>
      <c r="M25" s="25"/>
    </row>
    <row r="26" spans="1:13" s="2" customFormat="1" ht="14.1" customHeight="1" x14ac:dyDescent="0.3">
      <c r="A26" s="90"/>
      <c r="B26" s="68" t="s">
        <v>100</v>
      </c>
      <c r="C26" s="69"/>
      <c r="D26" s="70" t="s">
        <v>98</v>
      </c>
      <c r="E26" s="71"/>
      <c r="F26" s="71"/>
      <c r="G26" s="72"/>
      <c r="H26" s="19"/>
      <c r="I26" s="21"/>
      <c r="J26" s="29"/>
      <c r="K26" s="29"/>
      <c r="L26" s="29"/>
      <c r="M26" s="75"/>
    </row>
    <row r="27" spans="1:13" s="2" customFormat="1" ht="14.1" customHeight="1" x14ac:dyDescent="0.3">
      <c r="A27" s="89">
        <v>13</v>
      </c>
      <c r="B27" s="40" t="s">
        <v>101</v>
      </c>
      <c r="C27" s="41"/>
      <c r="D27" s="42" t="s">
        <v>102</v>
      </c>
      <c r="E27" s="43"/>
      <c r="F27" s="43"/>
      <c r="G27" s="44"/>
      <c r="H27" s="49">
        <f>SUM(I27)-2</f>
        <v>40.700000000000003</v>
      </c>
      <c r="I27" s="36">
        <v>42.7</v>
      </c>
      <c r="J27" s="23">
        <f>SUM(I27)+2.1</f>
        <v>44.800000000000004</v>
      </c>
      <c r="K27" s="23">
        <f>SUM(J27)+2.1</f>
        <v>46.900000000000006</v>
      </c>
      <c r="L27" s="23"/>
      <c r="M27" s="30"/>
    </row>
    <row r="28" spans="1:13" s="2" customFormat="1" ht="14.1" customHeight="1" x14ac:dyDescent="0.3">
      <c r="A28" s="90"/>
      <c r="B28" s="68" t="s">
        <v>103</v>
      </c>
      <c r="C28" s="69"/>
      <c r="D28" s="70" t="s">
        <v>104</v>
      </c>
      <c r="E28" s="71"/>
      <c r="F28" s="71"/>
      <c r="G28" s="72"/>
      <c r="H28" s="19"/>
      <c r="I28" s="21"/>
      <c r="J28" s="29"/>
      <c r="K28" s="29"/>
      <c r="L28" s="29"/>
      <c r="M28" s="31"/>
    </row>
    <row r="29" spans="1:13" s="2" customFormat="1" ht="14.1" customHeight="1" x14ac:dyDescent="0.3">
      <c r="A29" s="89">
        <v>14</v>
      </c>
      <c r="B29" s="40" t="s">
        <v>105</v>
      </c>
      <c r="C29" s="41"/>
      <c r="D29" s="42" t="s">
        <v>106</v>
      </c>
      <c r="E29" s="43"/>
      <c r="F29" s="43"/>
      <c r="G29" s="44"/>
      <c r="H29" s="49">
        <f>SUM(I29)-2.7</f>
        <v>23.900000000000002</v>
      </c>
      <c r="I29" s="36">
        <v>26.6</v>
      </c>
      <c r="J29" s="23">
        <f>SUM(I29)+4.2</f>
        <v>30.8</v>
      </c>
      <c r="K29" s="23">
        <f>SUM(J29)+4.2</f>
        <v>35</v>
      </c>
      <c r="L29" s="23"/>
      <c r="M29" s="30"/>
    </row>
    <row r="30" spans="1:13" s="2" customFormat="1" ht="14.1" customHeight="1" x14ac:dyDescent="0.3">
      <c r="A30" s="90"/>
      <c r="B30" s="68" t="s">
        <v>107</v>
      </c>
      <c r="C30" s="69"/>
      <c r="D30" s="70" t="s">
        <v>108</v>
      </c>
      <c r="E30" s="71"/>
      <c r="F30" s="71"/>
      <c r="G30" s="72"/>
      <c r="H30" s="19"/>
      <c r="I30" s="21"/>
      <c r="J30" s="29"/>
      <c r="K30" s="29"/>
      <c r="L30" s="29"/>
      <c r="M30" s="31"/>
    </row>
    <row r="31" spans="1:13" s="2" customFormat="1" ht="14.1" customHeight="1" x14ac:dyDescent="0.3">
      <c r="A31" s="89">
        <v>15</v>
      </c>
      <c r="B31" s="40" t="s">
        <v>109</v>
      </c>
      <c r="C31" s="41"/>
      <c r="D31" s="42" t="s">
        <v>52</v>
      </c>
      <c r="E31" s="43"/>
      <c r="F31" s="43"/>
      <c r="G31" s="44"/>
      <c r="H31" s="49">
        <f>SUM(I31)-1.5</f>
        <v>37.1</v>
      </c>
      <c r="I31" s="36">
        <v>38.6</v>
      </c>
      <c r="J31" s="23">
        <f>SUM(I31)+1.5</f>
        <v>40.1</v>
      </c>
      <c r="K31" s="23">
        <f>SUM(J31)+1.5</f>
        <v>41.6</v>
      </c>
      <c r="L31" s="23"/>
      <c r="M31" s="30"/>
    </row>
    <row r="32" spans="1:13" s="2" customFormat="1" ht="14.1" customHeight="1" x14ac:dyDescent="0.3">
      <c r="A32" s="90"/>
      <c r="B32" s="68" t="s">
        <v>110</v>
      </c>
      <c r="C32" s="69"/>
      <c r="D32" s="70" t="s">
        <v>52</v>
      </c>
      <c r="E32" s="71"/>
      <c r="F32" s="71"/>
      <c r="G32" s="72"/>
      <c r="H32" s="19"/>
      <c r="I32" s="21"/>
      <c r="J32" s="29"/>
      <c r="K32" s="29"/>
      <c r="L32" s="29"/>
      <c r="M32" s="31"/>
    </row>
    <row r="33" spans="1:13" s="2" customFormat="1" ht="14.1" customHeight="1" x14ac:dyDescent="0.3">
      <c r="A33" s="89">
        <v>16</v>
      </c>
      <c r="B33" s="40" t="s">
        <v>111</v>
      </c>
      <c r="C33" s="41"/>
      <c r="D33" s="42" t="s">
        <v>112</v>
      </c>
      <c r="E33" s="43"/>
      <c r="F33" s="43"/>
      <c r="G33" s="44"/>
      <c r="H33" s="49">
        <f>SUM(I33)-1.8</f>
        <v>29.4</v>
      </c>
      <c r="I33" s="36">
        <v>31.2</v>
      </c>
      <c r="J33" s="23">
        <f>SUM(I33)+2.4</f>
        <v>33.6</v>
      </c>
      <c r="K33" s="23">
        <f>SUM(J33)+2.4</f>
        <v>36</v>
      </c>
      <c r="L33" s="23"/>
      <c r="M33" s="30"/>
    </row>
    <row r="34" spans="1:13" s="2" customFormat="1" ht="14.1" customHeight="1" x14ac:dyDescent="0.3">
      <c r="A34" s="90"/>
      <c r="B34" s="68" t="s">
        <v>113</v>
      </c>
      <c r="C34" s="69"/>
      <c r="D34" s="70" t="s">
        <v>114</v>
      </c>
      <c r="E34" s="71"/>
      <c r="F34" s="71"/>
      <c r="G34" s="72"/>
      <c r="H34" s="19"/>
      <c r="I34" s="21"/>
      <c r="J34" s="29"/>
      <c r="K34" s="29"/>
      <c r="L34" s="29"/>
      <c r="M34" s="31"/>
    </row>
    <row r="35" spans="1:13" s="2" customFormat="1" ht="14.1" customHeight="1" x14ac:dyDescent="0.3">
      <c r="A35" s="89">
        <v>17</v>
      </c>
      <c r="B35" s="40" t="s">
        <v>194</v>
      </c>
      <c r="C35" s="41"/>
      <c r="D35" s="42"/>
      <c r="E35" s="43"/>
      <c r="F35" s="43"/>
      <c r="G35" s="44"/>
      <c r="H35" s="49">
        <f>SUM(I35)-0.5</f>
        <v>9.3000000000000007</v>
      </c>
      <c r="I35" s="36">
        <v>9.8000000000000007</v>
      </c>
      <c r="J35" s="23">
        <f>SUM(I35)+0.5</f>
        <v>10.3</v>
      </c>
      <c r="K35" s="23">
        <f>SUM(J35)+0.5</f>
        <v>10.8</v>
      </c>
      <c r="L35" s="23"/>
      <c r="M35" s="30"/>
    </row>
    <row r="36" spans="1:13" s="2" customFormat="1" ht="14.1" customHeight="1" x14ac:dyDescent="0.3">
      <c r="A36" s="90"/>
      <c r="B36" s="68" t="s">
        <v>195</v>
      </c>
      <c r="C36" s="69"/>
      <c r="D36" s="70"/>
      <c r="E36" s="71"/>
      <c r="F36" s="71"/>
      <c r="G36" s="72"/>
      <c r="H36" s="19"/>
      <c r="I36" s="21"/>
      <c r="J36" s="29"/>
      <c r="K36" s="29"/>
      <c r="L36" s="29"/>
      <c r="M36" s="31"/>
    </row>
    <row r="37" spans="1:13" ht="14.1" customHeight="1" x14ac:dyDescent="0.3">
      <c r="A37" s="89">
        <v>18</v>
      </c>
      <c r="B37" s="40" t="s">
        <v>61</v>
      </c>
      <c r="C37" s="41"/>
      <c r="D37" s="42"/>
      <c r="E37" s="43"/>
      <c r="F37" s="43"/>
      <c r="G37" s="44"/>
      <c r="H37" s="35">
        <f>SUM(I37)-0.1</f>
        <v>2.1999999999999997</v>
      </c>
      <c r="I37" s="36">
        <v>2.2999999999999998</v>
      </c>
      <c r="J37" s="23">
        <f>SUM(I37)+0.1</f>
        <v>2.4</v>
      </c>
      <c r="K37" s="23">
        <f>SUM(J37)+0.1</f>
        <v>2.5</v>
      </c>
      <c r="L37" s="23"/>
      <c r="M37" s="30"/>
    </row>
    <row r="38" spans="1:13" ht="14.1" customHeight="1" x14ac:dyDescent="0.3">
      <c r="A38" s="90"/>
      <c r="B38" s="56" t="s">
        <v>62</v>
      </c>
      <c r="C38" s="57"/>
      <c r="D38" s="70" t="s">
        <v>222</v>
      </c>
      <c r="E38" s="71"/>
      <c r="F38" s="71"/>
      <c r="G38" s="72"/>
      <c r="H38" s="19"/>
      <c r="I38" s="21"/>
      <c r="J38" s="29"/>
      <c r="K38" s="29"/>
      <c r="L38" s="29"/>
      <c r="M38" s="31"/>
    </row>
    <row r="39" spans="1:13" ht="14.1" customHeight="1" x14ac:dyDescent="0.3">
      <c r="A39" s="89">
        <v>19</v>
      </c>
      <c r="B39" s="40" t="s">
        <v>63</v>
      </c>
      <c r="C39" s="41"/>
      <c r="D39" s="42"/>
      <c r="E39" s="43"/>
      <c r="F39" s="43"/>
      <c r="G39" s="44"/>
      <c r="H39" s="35">
        <f>SUM(I39)-0.2</f>
        <v>0.8</v>
      </c>
      <c r="I39" s="36">
        <v>1</v>
      </c>
      <c r="J39" s="23">
        <f>SUM(I39)+0.2</f>
        <v>1.2</v>
      </c>
      <c r="K39" s="23">
        <f>SUM(J39)+0.2</f>
        <v>1.4</v>
      </c>
      <c r="L39" s="23"/>
      <c r="M39" s="94"/>
    </row>
    <row r="40" spans="1:13" ht="14.1" customHeight="1" x14ac:dyDescent="0.3">
      <c r="A40" s="90"/>
      <c r="B40" s="56" t="s">
        <v>64</v>
      </c>
      <c r="C40" s="57"/>
      <c r="D40" s="70" t="s">
        <v>223</v>
      </c>
      <c r="E40" s="71"/>
      <c r="F40" s="71"/>
      <c r="G40" s="72"/>
      <c r="H40" s="19"/>
      <c r="I40" s="21"/>
      <c r="J40" s="29"/>
      <c r="K40" s="29"/>
      <c r="L40" s="29"/>
      <c r="M40" s="95"/>
    </row>
    <row r="41" spans="1:13" s="2" customFormat="1" ht="14.1" customHeight="1" x14ac:dyDescent="0.3">
      <c r="A41" s="141">
        <v>20</v>
      </c>
      <c r="B41" s="40" t="s">
        <v>224</v>
      </c>
      <c r="C41" s="41"/>
      <c r="D41" s="42"/>
      <c r="E41" s="43"/>
      <c r="F41" s="43"/>
      <c r="G41" s="44"/>
      <c r="H41" s="35">
        <f>SUM(I41)-1.1</f>
        <v>8.1</v>
      </c>
      <c r="I41" s="36">
        <v>9.1999999999999993</v>
      </c>
      <c r="J41" s="23">
        <f>SUM(I41)+1.6</f>
        <v>10.799999999999999</v>
      </c>
      <c r="K41" s="23">
        <f>SUM(J41)+1.6</f>
        <v>12.399999999999999</v>
      </c>
      <c r="L41" s="23"/>
      <c r="M41" s="94"/>
    </row>
    <row r="42" spans="1:13" s="2" customFormat="1" ht="14.1" customHeight="1" thickBot="1" x14ac:dyDescent="0.35">
      <c r="A42" s="142"/>
      <c r="B42" s="84" t="s">
        <v>225</v>
      </c>
      <c r="C42" s="85"/>
      <c r="D42" s="86" t="s">
        <v>226</v>
      </c>
      <c r="E42" s="87"/>
      <c r="F42" s="87"/>
      <c r="G42" s="88"/>
      <c r="H42" s="80"/>
      <c r="I42" s="81"/>
      <c r="J42" s="82"/>
      <c r="K42" s="82"/>
      <c r="L42" s="82"/>
      <c r="M42" s="116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23">
    <mergeCell ref="K41:K42"/>
    <mergeCell ref="L41:L42"/>
    <mergeCell ref="M41:M42"/>
    <mergeCell ref="B42:C42"/>
    <mergeCell ref="D42:G42"/>
    <mergeCell ref="A41:A42"/>
    <mergeCell ref="B41:C41"/>
    <mergeCell ref="D41:G41"/>
    <mergeCell ref="H41:H42"/>
    <mergeCell ref="I41:I42"/>
    <mergeCell ref="J41:J42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39F9-B538-4199-94EE-D0D945FD2A01}">
  <sheetPr>
    <tabColor theme="9"/>
    <pageSetUpPr fitToPage="1"/>
  </sheetPr>
  <dimension ref="A1:M51"/>
  <sheetViews>
    <sheetView zoomScale="110" zoomScaleNormal="110" workbookViewId="0">
      <selection sqref="A1:M3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  <col min="255" max="255" width="3.25" bestFit="1" customWidth="1"/>
    <col min="258" max="261" width="8.125" customWidth="1"/>
    <col min="262" max="267" width="5.5" customWidth="1"/>
    <col min="511" max="511" width="3.25" bestFit="1" customWidth="1"/>
    <col min="514" max="517" width="8.125" customWidth="1"/>
    <col min="518" max="523" width="5.5" customWidth="1"/>
    <col min="767" max="767" width="3.25" bestFit="1" customWidth="1"/>
    <col min="770" max="773" width="8.125" customWidth="1"/>
    <col min="774" max="779" width="5.5" customWidth="1"/>
    <col min="1023" max="1023" width="3.25" bestFit="1" customWidth="1"/>
    <col min="1026" max="1029" width="8.125" customWidth="1"/>
    <col min="1030" max="1035" width="5.5" customWidth="1"/>
    <col min="1279" max="1279" width="3.25" bestFit="1" customWidth="1"/>
    <col min="1282" max="1285" width="8.125" customWidth="1"/>
    <col min="1286" max="1291" width="5.5" customWidth="1"/>
    <col min="1535" max="1535" width="3.25" bestFit="1" customWidth="1"/>
    <col min="1538" max="1541" width="8.125" customWidth="1"/>
    <col min="1542" max="1547" width="5.5" customWidth="1"/>
    <col min="1791" max="1791" width="3.25" bestFit="1" customWidth="1"/>
    <col min="1794" max="1797" width="8.125" customWidth="1"/>
    <col min="1798" max="1803" width="5.5" customWidth="1"/>
    <col min="2047" max="2047" width="3.25" bestFit="1" customWidth="1"/>
    <col min="2050" max="2053" width="8.125" customWidth="1"/>
    <col min="2054" max="2059" width="5.5" customWidth="1"/>
    <col min="2303" max="2303" width="3.25" bestFit="1" customWidth="1"/>
    <col min="2306" max="2309" width="8.125" customWidth="1"/>
    <col min="2310" max="2315" width="5.5" customWidth="1"/>
    <col min="2559" max="2559" width="3.25" bestFit="1" customWidth="1"/>
    <col min="2562" max="2565" width="8.125" customWidth="1"/>
    <col min="2566" max="2571" width="5.5" customWidth="1"/>
    <col min="2815" max="2815" width="3.25" bestFit="1" customWidth="1"/>
    <col min="2818" max="2821" width="8.125" customWidth="1"/>
    <col min="2822" max="2827" width="5.5" customWidth="1"/>
    <col min="3071" max="3071" width="3.25" bestFit="1" customWidth="1"/>
    <col min="3074" max="3077" width="8.125" customWidth="1"/>
    <col min="3078" max="3083" width="5.5" customWidth="1"/>
    <col min="3327" max="3327" width="3.25" bestFit="1" customWidth="1"/>
    <col min="3330" max="3333" width="8.125" customWidth="1"/>
    <col min="3334" max="3339" width="5.5" customWidth="1"/>
    <col min="3583" max="3583" width="3.25" bestFit="1" customWidth="1"/>
    <col min="3586" max="3589" width="8.125" customWidth="1"/>
    <col min="3590" max="3595" width="5.5" customWidth="1"/>
    <col min="3839" max="3839" width="3.25" bestFit="1" customWidth="1"/>
    <col min="3842" max="3845" width="8.125" customWidth="1"/>
    <col min="3846" max="3851" width="5.5" customWidth="1"/>
    <col min="4095" max="4095" width="3.25" bestFit="1" customWidth="1"/>
    <col min="4098" max="4101" width="8.125" customWidth="1"/>
    <col min="4102" max="4107" width="5.5" customWidth="1"/>
    <col min="4351" max="4351" width="3.25" bestFit="1" customWidth="1"/>
    <col min="4354" max="4357" width="8.125" customWidth="1"/>
    <col min="4358" max="4363" width="5.5" customWidth="1"/>
    <col min="4607" max="4607" width="3.25" bestFit="1" customWidth="1"/>
    <col min="4610" max="4613" width="8.125" customWidth="1"/>
    <col min="4614" max="4619" width="5.5" customWidth="1"/>
    <col min="4863" max="4863" width="3.25" bestFit="1" customWidth="1"/>
    <col min="4866" max="4869" width="8.125" customWidth="1"/>
    <col min="4870" max="4875" width="5.5" customWidth="1"/>
    <col min="5119" max="5119" width="3.25" bestFit="1" customWidth="1"/>
    <col min="5122" max="5125" width="8.125" customWidth="1"/>
    <col min="5126" max="5131" width="5.5" customWidth="1"/>
    <col min="5375" max="5375" width="3.25" bestFit="1" customWidth="1"/>
    <col min="5378" max="5381" width="8.125" customWidth="1"/>
    <col min="5382" max="5387" width="5.5" customWidth="1"/>
    <col min="5631" max="5631" width="3.25" bestFit="1" customWidth="1"/>
    <col min="5634" max="5637" width="8.125" customWidth="1"/>
    <col min="5638" max="5643" width="5.5" customWidth="1"/>
    <col min="5887" max="5887" width="3.25" bestFit="1" customWidth="1"/>
    <col min="5890" max="5893" width="8.125" customWidth="1"/>
    <col min="5894" max="5899" width="5.5" customWidth="1"/>
    <col min="6143" max="6143" width="3.25" bestFit="1" customWidth="1"/>
    <col min="6146" max="6149" width="8.125" customWidth="1"/>
    <col min="6150" max="6155" width="5.5" customWidth="1"/>
    <col min="6399" max="6399" width="3.25" bestFit="1" customWidth="1"/>
    <col min="6402" max="6405" width="8.125" customWidth="1"/>
    <col min="6406" max="6411" width="5.5" customWidth="1"/>
    <col min="6655" max="6655" width="3.25" bestFit="1" customWidth="1"/>
    <col min="6658" max="6661" width="8.125" customWidth="1"/>
    <col min="6662" max="6667" width="5.5" customWidth="1"/>
    <col min="6911" max="6911" width="3.25" bestFit="1" customWidth="1"/>
    <col min="6914" max="6917" width="8.125" customWidth="1"/>
    <col min="6918" max="6923" width="5.5" customWidth="1"/>
    <col min="7167" max="7167" width="3.25" bestFit="1" customWidth="1"/>
    <col min="7170" max="7173" width="8.125" customWidth="1"/>
    <col min="7174" max="7179" width="5.5" customWidth="1"/>
    <col min="7423" max="7423" width="3.25" bestFit="1" customWidth="1"/>
    <col min="7426" max="7429" width="8.125" customWidth="1"/>
    <col min="7430" max="7435" width="5.5" customWidth="1"/>
    <col min="7679" max="7679" width="3.25" bestFit="1" customWidth="1"/>
    <col min="7682" max="7685" width="8.125" customWidth="1"/>
    <col min="7686" max="7691" width="5.5" customWidth="1"/>
    <col min="7935" max="7935" width="3.25" bestFit="1" customWidth="1"/>
    <col min="7938" max="7941" width="8.125" customWidth="1"/>
    <col min="7942" max="7947" width="5.5" customWidth="1"/>
    <col min="8191" max="8191" width="3.25" bestFit="1" customWidth="1"/>
    <col min="8194" max="8197" width="8.125" customWidth="1"/>
    <col min="8198" max="8203" width="5.5" customWidth="1"/>
    <col min="8447" max="8447" width="3.25" bestFit="1" customWidth="1"/>
    <col min="8450" max="8453" width="8.125" customWidth="1"/>
    <col min="8454" max="8459" width="5.5" customWidth="1"/>
    <col min="8703" max="8703" width="3.25" bestFit="1" customWidth="1"/>
    <col min="8706" max="8709" width="8.125" customWidth="1"/>
    <col min="8710" max="8715" width="5.5" customWidth="1"/>
    <col min="8959" max="8959" width="3.25" bestFit="1" customWidth="1"/>
    <col min="8962" max="8965" width="8.125" customWidth="1"/>
    <col min="8966" max="8971" width="5.5" customWidth="1"/>
    <col min="9215" max="9215" width="3.25" bestFit="1" customWidth="1"/>
    <col min="9218" max="9221" width="8.125" customWidth="1"/>
    <col min="9222" max="9227" width="5.5" customWidth="1"/>
    <col min="9471" max="9471" width="3.25" bestFit="1" customWidth="1"/>
    <col min="9474" max="9477" width="8.125" customWidth="1"/>
    <col min="9478" max="9483" width="5.5" customWidth="1"/>
    <col min="9727" max="9727" width="3.25" bestFit="1" customWidth="1"/>
    <col min="9730" max="9733" width="8.125" customWidth="1"/>
    <col min="9734" max="9739" width="5.5" customWidth="1"/>
    <col min="9983" max="9983" width="3.25" bestFit="1" customWidth="1"/>
    <col min="9986" max="9989" width="8.125" customWidth="1"/>
    <col min="9990" max="9995" width="5.5" customWidth="1"/>
    <col min="10239" max="10239" width="3.25" bestFit="1" customWidth="1"/>
    <col min="10242" max="10245" width="8.125" customWidth="1"/>
    <col min="10246" max="10251" width="5.5" customWidth="1"/>
    <col min="10495" max="10495" width="3.25" bestFit="1" customWidth="1"/>
    <col min="10498" max="10501" width="8.125" customWidth="1"/>
    <col min="10502" max="10507" width="5.5" customWidth="1"/>
    <col min="10751" max="10751" width="3.25" bestFit="1" customWidth="1"/>
    <col min="10754" max="10757" width="8.125" customWidth="1"/>
    <col min="10758" max="10763" width="5.5" customWidth="1"/>
    <col min="11007" max="11007" width="3.25" bestFit="1" customWidth="1"/>
    <col min="11010" max="11013" width="8.125" customWidth="1"/>
    <col min="11014" max="11019" width="5.5" customWidth="1"/>
    <col min="11263" max="11263" width="3.25" bestFit="1" customWidth="1"/>
    <col min="11266" max="11269" width="8.125" customWidth="1"/>
    <col min="11270" max="11275" width="5.5" customWidth="1"/>
    <col min="11519" max="11519" width="3.25" bestFit="1" customWidth="1"/>
    <col min="11522" max="11525" width="8.125" customWidth="1"/>
    <col min="11526" max="11531" width="5.5" customWidth="1"/>
    <col min="11775" max="11775" width="3.25" bestFit="1" customWidth="1"/>
    <col min="11778" max="11781" width="8.125" customWidth="1"/>
    <col min="11782" max="11787" width="5.5" customWidth="1"/>
    <col min="12031" max="12031" width="3.25" bestFit="1" customWidth="1"/>
    <col min="12034" max="12037" width="8.125" customWidth="1"/>
    <col min="12038" max="12043" width="5.5" customWidth="1"/>
    <col min="12287" max="12287" width="3.25" bestFit="1" customWidth="1"/>
    <col min="12290" max="12293" width="8.125" customWidth="1"/>
    <col min="12294" max="12299" width="5.5" customWidth="1"/>
    <col min="12543" max="12543" width="3.25" bestFit="1" customWidth="1"/>
    <col min="12546" max="12549" width="8.125" customWidth="1"/>
    <col min="12550" max="12555" width="5.5" customWidth="1"/>
    <col min="12799" max="12799" width="3.25" bestFit="1" customWidth="1"/>
    <col min="12802" max="12805" width="8.125" customWidth="1"/>
    <col min="12806" max="12811" width="5.5" customWidth="1"/>
    <col min="13055" max="13055" width="3.25" bestFit="1" customWidth="1"/>
    <col min="13058" max="13061" width="8.125" customWidth="1"/>
    <col min="13062" max="13067" width="5.5" customWidth="1"/>
    <col min="13311" max="13311" width="3.25" bestFit="1" customWidth="1"/>
    <col min="13314" max="13317" width="8.125" customWidth="1"/>
    <col min="13318" max="13323" width="5.5" customWidth="1"/>
    <col min="13567" max="13567" width="3.25" bestFit="1" customWidth="1"/>
    <col min="13570" max="13573" width="8.125" customWidth="1"/>
    <col min="13574" max="13579" width="5.5" customWidth="1"/>
    <col min="13823" max="13823" width="3.25" bestFit="1" customWidth="1"/>
    <col min="13826" max="13829" width="8.125" customWidth="1"/>
    <col min="13830" max="13835" width="5.5" customWidth="1"/>
    <col min="14079" max="14079" width="3.25" bestFit="1" customWidth="1"/>
    <col min="14082" max="14085" width="8.125" customWidth="1"/>
    <col min="14086" max="14091" width="5.5" customWidth="1"/>
    <col min="14335" max="14335" width="3.25" bestFit="1" customWidth="1"/>
    <col min="14338" max="14341" width="8.125" customWidth="1"/>
    <col min="14342" max="14347" width="5.5" customWidth="1"/>
    <col min="14591" max="14591" width="3.25" bestFit="1" customWidth="1"/>
    <col min="14594" max="14597" width="8.125" customWidth="1"/>
    <col min="14598" max="14603" width="5.5" customWidth="1"/>
    <col min="14847" max="14847" width="3.25" bestFit="1" customWidth="1"/>
    <col min="14850" max="14853" width="8.125" customWidth="1"/>
    <col min="14854" max="14859" width="5.5" customWidth="1"/>
    <col min="15103" max="15103" width="3.25" bestFit="1" customWidth="1"/>
    <col min="15106" max="15109" width="8.125" customWidth="1"/>
    <col min="15110" max="15115" width="5.5" customWidth="1"/>
    <col min="15359" max="15359" width="3.25" bestFit="1" customWidth="1"/>
    <col min="15362" max="15365" width="8.125" customWidth="1"/>
    <col min="15366" max="15371" width="5.5" customWidth="1"/>
    <col min="15615" max="15615" width="3.25" bestFit="1" customWidth="1"/>
    <col min="15618" max="15621" width="8.125" customWidth="1"/>
    <col min="15622" max="15627" width="5.5" customWidth="1"/>
    <col min="15871" max="15871" width="3.25" bestFit="1" customWidth="1"/>
    <col min="15874" max="15877" width="8.125" customWidth="1"/>
    <col min="15878" max="15883" width="5.5" customWidth="1"/>
    <col min="16127" max="16127" width="3.25" bestFit="1" customWidth="1"/>
    <col min="16130" max="16133" width="8.125" customWidth="1"/>
    <col min="16134" max="16139" width="5.5" customWidth="1"/>
  </cols>
  <sheetData>
    <row r="1" spans="1:13" ht="16.5" customHeight="1" thickBot="1" x14ac:dyDescent="0.35">
      <c r="A1" s="9" t="s">
        <v>233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ht="16.5" customHeight="1" thickBot="1" x14ac:dyDescent="0.35">
      <c r="A2" s="6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153</v>
      </c>
      <c r="I2" s="3" t="s">
        <v>154</v>
      </c>
      <c r="J2" s="4" t="s">
        <v>155</v>
      </c>
      <c r="K2" s="7" t="s">
        <v>164</v>
      </c>
      <c r="L2" s="7"/>
      <c r="M2" s="4"/>
    </row>
    <row r="3" spans="1:13" s="2" customFormat="1" ht="14.1" customHeight="1" x14ac:dyDescent="0.3">
      <c r="A3" s="104">
        <v>1</v>
      </c>
      <c r="B3" s="105" t="s">
        <v>66</v>
      </c>
      <c r="C3" s="106"/>
      <c r="D3" s="17" t="s">
        <v>67</v>
      </c>
      <c r="E3" s="107"/>
      <c r="F3" s="107"/>
      <c r="G3" s="108"/>
      <c r="H3" s="18">
        <f>SUM(I3)-2</f>
        <v>40</v>
      </c>
      <c r="I3" s="20">
        <v>42</v>
      </c>
      <c r="J3" s="109">
        <f>SUM(I3)+2</f>
        <v>44</v>
      </c>
      <c r="K3" s="109">
        <f>SUM(J3)+2</f>
        <v>46</v>
      </c>
      <c r="L3" s="109"/>
      <c r="M3" s="110"/>
    </row>
    <row r="4" spans="1:13" s="2" customFormat="1" ht="14.1" customHeight="1" x14ac:dyDescent="0.3">
      <c r="A4" s="90"/>
      <c r="B4" s="68" t="s">
        <v>68</v>
      </c>
      <c r="C4" s="69"/>
      <c r="D4" s="70" t="s">
        <v>69</v>
      </c>
      <c r="E4" s="71"/>
      <c r="F4" s="71"/>
      <c r="G4" s="72"/>
      <c r="H4" s="19"/>
      <c r="I4" s="21"/>
      <c r="J4" s="29"/>
      <c r="K4" s="29"/>
      <c r="L4" s="29"/>
      <c r="M4" s="31"/>
    </row>
    <row r="5" spans="1:13" s="2" customFormat="1" ht="14.1" customHeight="1" x14ac:dyDescent="0.3">
      <c r="A5" s="89">
        <v>2</v>
      </c>
      <c r="B5" s="51" t="s">
        <v>70</v>
      </c>
      <c r="C5" s="52"/>
      <c r="D5" s="53"/>
      <c r="E5" s="54"/>
      <c r="F5" s="54"/>
      <c r="G5" s="55"/>
      <c r="H5" s="49"/>
      <c r="I5" s="50"/>
      <c r="J5" s="66"/>
      <c r="K5" s="66"/>
      <c r="L5" s="66"/>
      <c r="M5" s="67"/>
    </row>
    <row r="6" spans="1:13" s="2" customFormat="1" ht="14.1" customHeight="1" x14ac:dyDescent="0.3">
      <c r="A6" s="90"/>
      <c r="B6" s="68" t="s">
        <v>71</v>
      </c>
      <c r="C6" s="69"/>
      <c r="D6" s="70"/>
      <c r="E6" s="71"/>
      <c r="F6" s="71"/>
      <c r="G6" s="72"/>
      <c r="H6" s="19"/>
      <c r="I6" s="21"/>
      <c r="J6" s="29"/>
      <c r="K6" s="29"/>
      <c r="L6" s="29"/>
      <c r="M6" s="31"/>
    </row>
    <row r="7" spans="1:13" s="2" customFormat="1" ht="14.1" customHeight="1" x14ac:dyDescent="0.3">
      <c r="A7" s="89">
        <v>3</v>
      </c>
      <c r="B7" s="51" t="s">
        <v>72</v>
      </c>
      <c r="C7" s="52"/>
      <c r="D7" s="53"/>
      <c r="E7" s="54"/>
      <c r="F7" s="54"/>
      <c r="G7" s="55"/>
      <c r="H7" s="49"/>
      <c r="I7" s="50"/>
      <c r="J7" s="66"/>
      <c r="K7" s="66"/>
      <c r="L7" s="66"/>
      <c r="M7" s="67"/>
    </row>
    <row r="8" spans="1:13" s="2" customFormat="1" ht="14.1" customHeight="1" x14ac:dyDescent="0.3">
      <c r="A8" s="90"/>
      <c r="B8" s="68" t="s">
        <v>73</v>
      </c>
      <c r="C8" s="69"/>
      <c r="D8" s="70"/>
      <c r="E8" s="71"/>
      <c r="F8" s="71"/>
      <c r="G8" s="72"/>
      <c r="H8" s="19"/>
      <c r="I8" s="21"/>
      <c r="J8" s="29"/>
      <c r="K8" s="29"/>
      <c r="L8" s="29"/>
      <c r="M8" s="31"/>
    </row>
    <row r="9" spans="1:13" s="2" customFormat="1" ht="14.1" customHeight="1" x14ac:dyDescent="0.3">
      <c r="A9" s="89">
        <v>4</v>
      </c>
      <c r="B9" s="40" t="s">
        <v>74</v>
      </c>
      <c r="C9" s="41"/>
      <c r="D9" s="138"/>
      <c r="E9" s="139"/>
      <c r="F9" s="139"/>
      <c r="G9" s="140"/>
      <c r="H9" s="49"/>
      <c r="I9" s="50"/>
      <c r="J9" s="66"/>
      <c r="K9" s="66"/>
      <c r="L9" s="66"/>
      <c r="M9" s="67"/>
    </row>
    <row r="10" spans="1:13" s="2" customFormat="1" ht="14.1" customHeight="1" x14ac:dyDescent="0.3">
      <c r="A10" s="90"/>
      <c r="B10" s="68" t="s">
        <v>75</v>
      </c>
      <c r="C10" s="69"/>
      <c r="D10" s="96"/>
      <c r="E10" s="97"/>
      <c r="F10" s="97"/>
      <c r="G10" s="98"/>
      <c r="H10" s="19"/>
      <c r="I10" s="21"/>
      <c r="J10" s="29"/>
      <c r="K10" s="29"/>
      <c r="L10" s="29"/>
      <c r="M10" s="31"/>
    </row>
    <row r="11" spans="1:13" s="2" customFormat="1" ht="14.1" customHeight="1" x14ac:dyDescent="0.3">
      <c r="A11" s="89">
        <v>5</v>
      </c>
      <c r="B11" s="40" t="s">
        <v>76</v>
      </c>
      <c r="C11" s="41"/>
      <c r="D11" s="53"/>
      <c r="E11" s="54"/>
      <c r="F11" s="54"/>
      <c r="G11" s="55"/>
      <c r="H11" s="49">
        <f>SUM(I11)-2.8</f>
        <v>64.2</v>
      </c>
      <c r="I11" s="50">
        <v>67</v>
      </c>
      <c r="J11" s="66">
        <f>SUM(I11)+2.8</f>
        <v>69.8</v>
      </c>
      <c r="K11" s="66">
        <f>SUM(J11)+2.8</f>
        <v>72.599999999999994</v>
      </c>
      <c r="L11" s="66"/>
      <c r="M11" s="67"/>
    </row>
    <row r="12" spans="1:13" s="2" customFormat="1" ht="14.1" customHeight="1" x14ac:dyDescent="0.3">
      <c r="A12" s="90"/>
      <c r="B12" s="68" t="s">
        <v>77</v>
      </c>
      <c r="C12" s="69"/>
      <c r="D12" s="70"/>
      <c r="E12" s="71"/>
      <c r="F12" s="71"/>
      <c r="G12" s="72"/>
      <c r="H12" s="19"/>
      <c r="I12" s="21"/>
      <c r="J12" s="29"/>
      <c r="K12" s="29"/>
      <c r="L12" s="29"/>
      <c r="M12" s="31"/>
    </row>
    <row r="13" spans="1:13" s="2" customFormat="1" ht="14.1" customHeight="1" x14ac:dyDescent="0.3">
      <c r="A13" s="89">
        <v>6</v>
      </c>
      <c r="B13" s="40" t="s">
        <v>78</v>
      </c>
      <c r="C13" s="41"/>
      <c r="D13" s="42" t="s">
        <v>79</v>
      </c>
      <c r="E13" s="43"/>
      <c r="F13" s="43"/>
      <c r="G13" s="44"/>
      <c r="H13" s="49">
        <f>SUM(I13)-3</f>
        <v>68.900000000000006</v>
      </c>
      <c r="I13" s="36">
        <v>71.900000000000006</v>
      </c>
      <c r="J13" s="23">
        <f>SUM(I13)+3</f>
        <v>74.900000000000006</v>
      </c>
      <c r="K13" s="23">
        <f>SUM(J13)+3</f>
        <v>77.900000000000006</v>
      </c>
      <c r="L13" s="23"/>
      <c r="M13" s="30"/>
    </row>
    <row r="14" spans="1:13" s="2" customFormat="1" ht="14.1" customHeight="1" x14ac:dyDescent="0.3">
      <c r="A14" s="90"/>
      <c r="B14" s="68" t="s">
        <v>80</v>
      </c>
      <c r="C14" s="69"/>
      <c r="D14" s="70" t="s">
        <v>81</v>
      </c>
      <c r="E14" s="71"/>
      <c r="F14" s="71"/>
      <c r="G14" s="72"/>
      <c r="H14" s="19"/>
      <c r="I14" s="21"/>
      <c r="J14" s="29"/>
      <c r="K14" s="29"/>
      <c r="L14" s="29"/>
      <c r="M14" s="31"/>
    </row>
    <row r="15" spans="1:13" s="2" customFormat="1" ht="14.1" customHeight="1" x14ac:dyDescent="0.3">
      <c r="A15" s="89">
        <v>7</v>
      </c>
      <c r="B15" s="40" t="s">
        <v>82</v>
      </c>
      <c r="C15" s="41"/>
      <c r="D15" s="42"/>
      <c r="E15" s="43"/>
      <c r="F15" s="43"/>
      <c r="G15" s="44"/>
      <c r="H15" s="49">
        <f>SUM(I15)-0.5</f>
        <v>13.7</v>
      </c>
      <c r="I15" s="36">
        <v>14.2</v>
      </c>
      <c r="J15" s="23">
        <f>SUM(I15)+0.5</f>
        <v>14.7</v>
      </c>
      <c r="K15" s="23">
        <f>SUM(J15)+0.5</f>
        <v>15.2</v>
      </c>
      <c r="L15" s="33"/>
      <c r="M15" s="25"/>
    </row>
    <row r="16" spans="1:13" s="2" customFormat="1" ht="14.1" customHeight="1" x14ac:dyDescent="0.3">
      <c r="A16" s="90"/>
      <c r="B16" s="68" t="s">
        <v>83</v>
      </c>
      <c r="C16" s="69"/>
      <c r="D16" s="76" t="s">
        <v>84</v>
      </c>
      <c r="E16" s="77"/>
      <c r="F16" s="77"/>
      <c r="G16" s="78"/>
      <c r="H16" s="19"/>
      <c r="I16" s="21"/>
      <c r="J16" s="29"/>
      <c r="K16" s="29"/>
      <c r="L16" s="26"/>
      <c r="M16" s="75"/>
    </row>
    <row r="17" spans="1:13" s="2" customFormat="1" ht="14.1" customHeight="1" x14ac:dyDescent="0.3">
      <c r="A17" s="89">
        <v>8</v>
      </c>
      <c r="B17" s="40" t="s">
        <v>85</v>
      </c>
      <c r="C17" s="41"/>
      <c r="D17" s="42"/>
      <c r="E17" s="43"/>
      <c r="F17" s="43"/>
      <c r="G17" s="44"/>
      <c r="H17" s="35"/>
      <c r="I17" s="36"/>
      <c r="J17" s="23"/>
      <c r="K17" s="23"/>
      <c r="L17" s="33"/>
      <c r="M17" s="25"/>
    </row>
    <row r="18" spans="1:13" s="2" customFormat="1" ht="14.1" customHeight="1" x14ac:dyDescent="0.3">
      <c r="A18" s="90"/>
      <c r="B18" s="68" t="s">
        <v>86</v>
      </c>
      <c r="C18" s="69"/>
      <c r="D18" s="76" t="s">
        <v>87</v>
      </c>
      <c r="E18" s="77"/>
      <c r="F18" s="77"/>
      <c r="G18" s="78"/>
      <c r="H18" s="19"/>
      <c r="I18" s="21"/>
      <c r="J18" s="29"/>
      <c r="K18" s="29"/>
      <c r="L18" s="26"/>
      <c r="M18" s="75"/>
    </row>
    <row r="19" spans="1:13" s="2" customFormat="1" ht="14.1" customHeight="1" x14ac:dyDescent="0.3">
      <c r="A19" s="89">
        <v>9</v>
      </c>
      <c r="B19" s="40" t="s">
        <v>88</v>
      </c>
      <c r="C19" s="41"/>
      <c r="D19" s="42" t="s">
        <v>246</v>
      </c>
      <c r="E19" s="43"/>
      <c r="F19" s="43"/>
      <c r="G19" s="44"/>
      <c r="H19" s="49">
        <f>SUM(I19)-3.5</f>
        <v>44</v>
      </c>
      <c r="I19" s="36">
        <v>47.5</v>
      </c>
      <c r="J19" s="23">
        <f>SUM(I19)+5</f>
        <v>52.5</v>
      </c>
      <c r="K19" s="23">
        <f>SUM(J19)+5</f>
        <v>57.5</v>
      </c>
      <c r="L19" s="23"/>
      <c r="M19" s="30"/>
    </row>
    <row r="20" spans="1:13" s="2" customFormat="1" ht="14.1" customHeight="1" x14ac:dyDescent="0.3">
      <c r="A20" s="90"/>
      <c r="B20" s="68" t="s">
        <v>89</v>
      </c>
      <c r="C20" s="69"/>
      <c r="D20" s="70" t="s">
        <v>90</v>
      </c>
      <c r="E20" s="71"/>
      <c r="F20" s="71"/>
      <c r="G20" s="72"/>
      <c r="H20" s="19"/>
      <c r="I20" s="21"/>
      <c r="J20" s="29"/>
      <c r="K20" s="29"/>
      <c r="L20" s="29"/>
      <c r="M20" s="31"/>
    </row>
    <row r="21" spans="1:13" s="2" customFormat="1" ht="14.1" customHeight="1" x14ac:dyDescent="0.3">
      <c r="A21" s="89">
        <v>10</v>
      </c>
      <c r="B21" s="40" t="s">
        <v>228</v>
      </c>
      <c r="C21" s="41"/>
      <c r="D21" s="42"/>
      <c r="E21" s="43"/>
      <c r="F21" s="43"/>
      <c r="G21" s="44"/>
      <c r="H21" s="49">
        <f>SUM(I21)-0.8</f>
        <v>20.2</v>
      </c>
      <c r="I21" s="36">
        <v>21</v>
      </c>
      <c r="J21" s="23">
        <f>SUM(I21)+0.8</f>
        <v>21.8</v>
      </c>
      <c r="K21" s="23">
        <f>SUM(J21)+0.8</f>
        <v>22.6</v>
      </c>
      <c r="L21" s="23"/>
      <c r="M21" s="30"/>
    </row>
    <row r="22" spans="1:13" s="2" customFormat="1" ht="14.1" customHeight="1" x14ac:dyDescent="0.3">
      <c r="A22" s="90"/>
      <c r="B22" s="68" t="s">
        <v>227</v>
      </c>
      <c r="C22" s="69"/>
      <c r="D22" s="27" t="s">
        <v>229</v>
      </c>
      <c r="E22" s="28"/>
      <c r="F22" s="28"/>
      <c r="G22" s="32"/>
      <c r="H22" s="19"/>
      <c r="I22" s="21"/>
      <c r="J22" s="29"/>
      <c r="K22" s="29"/>
      <c r="L22" s="29"/>
      <c r="M22" s="31"/>
    </row>
    <row r="23" spans="1:13" s="2" customFormat="1" ht="14.1" customHeight="1" x14ac:dyDescent="0.3">
      <c r="A23" s="89">
        <v>11</v>
      </c>
      <c r="B23" s="40" t="s">
        <v>95</v>
      </c>
      <c r="C23" s="41"/>
      <c r="D23" s="42" t="s">
        <v>96</v>
      </c>
      <c r="E23" s="43"/>
      <c r="F23" s="43"/>
      <c r="G23" s="44"/>
      <c r="H23" s="49">
        <f>SUM(I23)-0.8</f>
        <v>20.7</v>
      </c>
      <c r="I23" s="36">
        <v>21.5</v>
      </c>
      <c r="J23" s="23">
        <f>SUM(I23)+0.8</f>
        <v>22.3</v>
      </c>
      <c r="K23" s="23">
        <f>SUM(J23)+0.8</f>
        <v>23.1</v>
      </c>
      <c r="L23" s="23"/>
      <c r="M23" s="25"/>
    </row>
    <row r="24" spans="1:13" s="2" customFormat="1" ht="14.1" customHeight="1" x14ac:dyDescent="0.3">
      <c r="A24" s="90"/>
      <c r="B24" s="68" t="s">
        <v>97</v>
      </c>
      <c r="C24" s="69"/>
      <c r="D24" s="70" t="s">
        <v>98</v>
      </c>
      <c r="E24" s="71"/>
      <c r="F24" s="71"/>
      <c r="G24" s="72"/>
      <c r="H24" s="19"/>
      <c r="I24" s="21"/>
      <c r="J24" s="29"/>
      <c r="K24" s="29"/>
      <c r="L24" s="29"/>
      <c r="M24" s="75"/>
    </row>
    <row r="25" spans="1:13" s="2" customFormat="1" ht="14.1" customHeight="1" x14ac:dyDescent="0.3">
      <c r="A25" s="89">
        <v>12</v>
      </c>
      <c r="B25" s="40" t="s">
        <v>99</v>
      </c>
      <c r="C25" s="41"/>
      <c r="D25" s="42" t="s">
        <v>96</v>
      </c>
      <c r="E25" s="43"/>
      <c r="F25" s="43"/>
      <c r="G25" s="44"/>
      <c r="H25" s="49">
        <f>SUM(I25)-1</f>
        <v>25</v>
      </c>
      <c r="I25" s="36">
        <v>26</v>
      </c>
      <c r="J25" s="23">
        <f>SUM(I25)+1</f>
        <v>27</v>
      </c>
      <c r="K25" s="23">
        <f>SUM(J25)+1</f>
        <v>28</v>
      </c>
      <c r="L25" s="23"/>
      <c r="M25" s="25"/>
    </row>
    <row r="26" spans="1:13" s="2" customFormat="1" ht="14.1" customHeight="1" x14ac:dyDescent="0.3">
      <c r="A26" s="90"/>
      <c r="B26" s="68" t="s">
        <v>100</v>
      </c>
      <c r="C26" s="69"/>
      <c r="D26" s="70" t="s">
        <v>98</v>
      </c>
      <c r="E26" s="71"/>
      <c r="F26" s="71"/>
      <c r="G26" s="72"/>
      <c r="H26" s="19"/>
      <c r="I26" s="21"/>
      <c r="J26" s="29"/>
      <c r="K26" s="29"/>
      <c r="L26" s="29"/>
      <c r="M26" s="75"/>
    </row>
    <row r="27" spans="1:13" s="2" customFormat="1" ht="14.1" customHeight="1" x14ac:dyDescent="0.3">
      <c r="A27" s="89">
        <v>13</v>
      </c>
      <c r="B27" s="40" t="s">
        <v>101</v>
      </c>
      <c r="C27" s="41"/>
      <c r="D27" s="42" t="s">
        <v>102</v>
      </c>
      <c r="E27" s="43"/>
      <c r="F27" s="43"/>
      <c r="G27" s="44"/>
      <c r="H27" s="49">
        <f>SUM(I27)-2</f>
        <v>40.700000000000003</v>
      </c>
      <c r="I27" s="36">
        <v>42.7</v>
      </c>
      <c r="J27" s="23">
        <f>SUM(I27)+2.1</f>
        <v>44.800000000000004</v>
      </c>
      <c r="K27" s="23">
        <f>SUM(J27)+2.1</f>
        <v>46.900000000000006</v>
      </c>
      <c r="L27" s="23"/>
      <c r="M27" s="30"/>
    </row>
    <row r="28" spans="1:13" s="2" customFormat="1" ht="14.1" customHeight="1" x14ac:dyDescent="0.3">
      <c r="A28" s="90"/>
      <c r="B28" s="68" t="s">
        <v>103</v>
      </c>
      <c r="C28" s="69"/>
      <c r="D28" s="70" t="s">
        <v>104</v>
      </c>
      <c r="E28" s="71"/>
      <c r="F28" s="71"/>
      <c r="G28" s="72"/>
      <c r="H28" s="19"/>
      <c r="I28" s="21"/>
      <c r="J28" s="29"/>
      <c r="K28" s="29"/>
      <c r="L28" s="29"/>
      <c r="M28" s="31"/>
    </row>
    <row r="29" spans="1:13" s="2" customFormat="1" ht="14.1" customHeight="1" x14ac:dyDescent="0.3">
      <c r="A29" s="89">
        <v>14</v>
      </c>
      <c r="B29" s="40" t="s">
        <v>105</v>
      </c>
      <c r="C29" s="41"/>
      <c r="D29" s="42" t="s">
        <v>106</v>
      </c>
      <c r="E29" s="43"/>
      <c r="F29" s="43"/>
      <c r="G29" s="44"/>
      <c r="H29" s="49">
        <f>SUM(I29)-2.7</f>
        <v>23.900000000000002</v>
      </c>
      <c r="I29" s="36">
        <v>26.6</v>
      </c>
      <c r="J29" s="23">
        <f>SUM(I29)+4.2</f>
        <v>30.8</v>
      </c>
      <c r="K29" s="23">
        <f>SUM(J29)+4.2</f>
        <v>35</v>
      </c>
      <c r="L29" s="23"/>
      <c r="M29" s="30"/>
    </row>
    <row r="30" spans="1:13" s="2" customFormat="1" ht="14.1" customHeight="1" x14ac:dyDescent="0.3">
      <c r="A30" s="90"/>
      <c r="B30" s="68" t="s">
        <v>107</v>
      </c>
      <c r="C30" s="69"/>
      <c r="D30" s="70" t="s">
        <v>108</v>
      </c>
      <c r="E30" s="71"/>
      <c r="F30" s="71"/>
      <c r="G30" s="72"/>
      <c r="H30" s="19"/>
      <c r="I30" s="21"/>
      <c r="J30" s="29"/>
      <c r="K30" s="29"/>
      <c r="L30" s="29"/>
      <c r="M30" s="31"/>
    </row>
    <row r="31" spans="1:13" s="2" customFormat="1" ht="14.1" customHeight="1" x14ac:dyDescent="0.3">
      <c r="A31" s="89">
        <v>15</v>
      </c>
      <c r="B31" s="40" t="s">
        <v>109</v>
      </c>
      <c r="C31" s="41"/>
      <c r="D31" s="42" t="s">
        <v>52</v>
      </c>
      <c r="E31" s="43"/>
      <c r="F31" s="43"/>
      <c r="G31" s="44"/>
      <c r="H31" s="49">
        <f>SUM(I31)-1.5</f>
        <v>37.1</v>
      </c>
      <c r="I31" s="36">
        <v>38.6</v>
      </c>
      <c r="J31" s="23">
        <f>SUM(I31)+1.5</f>
        <v>40.1</v>
      </c>
      <c r="K31" s="23">
        <f>SUM(J31)+1.5</f>
        <v>41.6</v>
      </c>
      <c r="L31" s="23"/>
      <c r="M31" s="30"/>
    </row>
    <row r="32" spans="1:13" s="2" customFormat="1" ht="14.1" customHeight="1" x14ac:dyDescent="0.3">
      <c r="A32" s="90"/>
      <c r="B32" s="68" t="s">
        <v>110</v>
      </c>
      <c r="C32" s="69"/>
      <c r="D32" s="70" t="s">
        <v>52</v>
      </c>
      <c r="E32" s="71"/>
      <c r="F32" s="71"/>
      <c r="G32" s="72"/>
      <c r="H32" s="19"/>
      <c r="I32" s="21"/>
      <c r="J32" s="29"/>
      <c r="K32" s="29"/>
      <c r="L32" s="29"/>
      <c r="M32" s="31"/>
    </row>
    <row r="33" spans="1:13" s="2" customFormat="1" ht="14.1" customHeight="1" x14ac:dyDescent="0.3">
      <c r="A33" s="89">
        <v>16</v>
      </c>
      <c r="B33" s="40" t="s">
        <v>111</v>
      </c>
      <c r="C33" s="41"/>
      <c r="D33" s="42" t="s">
        <v>112</v>
      </c>
      <c r="E33" s="43"/>
      <c r="F33" s="43"/>
      <c r="G33" s="44"/>
      <c r="H33" s="49">
        <f>SUM(I33)-1.8</f>
        <v>29.4</v>
      </c>
      <c r="I33" s="36">
        <v>31.2</v>
      </c>
      <c r="J33" s="23">
        <f>SUM(I33)+2.4</f>
        <v>33.6</v>
      </c>
      <c r="K33" s="23">
        <f>SUM(J33)+2.4</f>
        <v>36</v>
      </c>
      <c r="L33" s="23"/>
      <c r="M33" s="30"/>
    </row>
    <row r="34" spans="1:13" s="2" customFormat="1" ht="14.1" customHeight="1" x14ac:dyDescent="0.3">
      <c r="A34" s="90"/>
      <c r="B34" s="68" t="s">
        <v>113</v>
      </c>
      <c r="C34" s="69"/>
      <c r="D34" s="70" t="s">
        <v>114</v>
      </c>
      <c r="E34" s="71"/>
      <c r="F34" s="71"/>
      <c r="G34" s="72"/>
      <c r="H34" s="19"/>
      <c r="I34" s="21"/>
      <c r="J34" s="29"/>
      <c r="K34" s="29"/>
      <c r="L34" s="29"/>
      <c r="M34" s="31"/>
    </row>
    <row r="35" spans="1:13" s="2" customFormat="1" ht="14.1" customHeight="1" x14ac:dyDescent="0.3">
      <c r="A35" s="89">
        <v>17</v>
      </c>
      <c r="B35" s="40" t="s">
        <v>194</v>
      </c>
      <c r="C35" s="41"/>
      <c r="D35" s="42"/>
      <c r="E35" s="43"/>
      <c r="F35" s="43"/>
      <c r="G35" s="44"/>
      <c r="H35" s="49">
        <f>SUM(I35)-0.5</f>
        <v>9.3000000000000007</v>
      </c>
      <c r="I35" s="36">
        <v>9.8000000000000007</v>
      </c>
      <c r="J35" s="23">
        <f>SUM(I35)+0.5</f>
        <v>10.3</v>
      </c>
      <c r="K35" s="23">
        <f>SUM(J35)+0.5</f>
        <v>10.8</v>
      </c>
      <c r="L35" s="23"/>
      <c r="M35" s="30"/>
    </row>
    <row r="36" spans="1:13" s="2" customFormat="1" ht="14.1" customHeight="1" x14ac:dyDescent="0.3">
      <c r="A36" s="90"/>
      <c r="B36" s="68" t="s">
        <v>195</v>
      </c>
      <c r="C36" s="69"/>
      <c r="D36" s="70"/>
      <c r="E36" s="71"/>
      <c r="F36" s="71"/>
      <c r="G36" s="72"/>
      <c r="H36" s="19"/>
      <c r="I36" s="21"/>
      <c r="J36" s="29"/>
      <c r="K36" s="29"/>
      <c r="L36" s="29"/>
      <c r="M36" s="31"/>
    </row>
    <row r="37" spans="1:13" ht="14.1" customHeight="1" x14ac:dyDescent="0.3">
      <c r="A37" s="89">
        <v>18</v>
      </c>
      <c r="B37" s="40"/>
      <c r="C37" s="41"/>
      <c r="D37" s="42"/>
      <c r="E37" s="43"/>
      <c r="F37" s="43"/>
      <c r="G37" s="44"/>
      <c r="H37" s="35"/>
      <c r="I37" s="36"/>
      <c r="J37" s="23"/>
      <c r="K37" s="23"/>
      <c r="L37" s="23"/>
      <c r="M37" s="30"/>
    </row>
    <row r="38" spans="1:13" ht="14.1" customHeight="1" thickBot="1" x14ac:dyDescent="0.35">
      <c r="A38" s="142"/>
      <c r="B38" s="84"/>
      <c r="C38" s="85"/>
      <c r="D38" s="86"/>
      <c r="E38" s="87"/>
      <c r="F38" s="87"/>
      <c r="G38" s="88"/>
      <c r="H38" s="80"/>
      <c r="I38" s="81"/>
      <c r="J38" s="82"/>
      <c r="K38" s="82"/>
      <c r="L38" s="82"/>
      <c r="M38" s="83"/>
    </row>
    <row r="39" spans="1:13" ht="14.1" customHeight="1" x14ac:dyDescent="0.3"/>
    <row r="40" spans="1:13" ht="14.1" customHeight="1" x14ac:dyDescent="0.3"/>
    <row r="41" spans="1:13" s="2" customFormat="1" ht="14.1" customHeigh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s="2" customFormat="1" ht="14.1" customHeigh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20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9572-89B6-4F86-AC46-241C2C1C2D32}">
  <sheetPr>
    <tabColor theme="9"/>
    <pageSetUpPr fitToPage="1"/>
  </sheetPr>
  <dimension ref="A1:O51"/>
  <sheetViews>
    <sheetView zoomScale="110" zoomScaleNormal="110" workbookViewId="0">
      <selection activeCell="Q13" sqref="Q1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5" ht="16.5" customHeight="1" thickBot="1" x14ac:dyDescent="0.35">
      <c r="A1" s="9" t="s">
        <v>180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5" ht="16.5" customHeight="1" thickBot="1" x14ac:dyDescent="0.35">
      <c r="A2" s="5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150</v>
      </c>
      <c r="I2" s="3" t="s">
        <v>151</v>
      </c>
      <c r="J2" s="4" t="s">
        <v>152</v>
      </c>
      <c r="K2" s="4" t="s">
        <v>164</v>
      </c>
      <c r="L2" s="4"/>
      <c r="M2" s="4"/>
      <c r="N2" t="s">
        <v>52</v>
      </c>
    </row>
    <row r="3" spans="1:15" s="2" customFormat="1" ht="14.1" customHeight="1" x14ac:dyDescent="0.3">
      <c r="A3" s="13">
        <v>1</v>
      </c>
      <c r="B3" s="15" t="s">
        <v>23</v>
      </c>
      <c r="C3" s="15"/>
      <c r="D3" s="16" t="s">
        <v>55</v>
      </c>
      <c r="E3" s="16"/>
      <c r="F3" s="16"/>
      <c r="G3" s="17"/>
      <c r="H3" s="18">
        <f>SUM(I3)-3</f>
        <v>32.5</v>
      </c>
      <c r="I3" s="20">
        <v>35.5</v>
      </c>
      <c r="J3" s="109">
        <f>SUM(I3)+3</f>
        <v>38.5</v>
      </c>
      <c r="K3" s="109">
        <f>SUM(J3)+3</f>
        <v>41.5</v>
      </c>
      <c r="L3" s="15"/>
      <c r="M3" s="110"/>
    </row>
    <row r="4" spans="1:15" s="2" customFormat="1" ht="14.1" customHeight="1" x14ac:dyDescent="0.3">
      <c r="A4" s="14"/>
      <c r="B4" s="26" t="s">
        <v>20</v>
      </c>
      <c r="C4" s="26"/>
      <c r="D4" s="27" t="s">
        <v>39</v>
      </c>
      <c r="E4" s="28"/>
      <c r="F4" s="28"/>
      <c r="G4" s="28"/>
      <c r="H4" s="49"/>
      <c r="I4" s="21"/>
      <c r="J4" s="29"/>
      <c r="K4" s="29"/>
      <c r="L4" s="26"/>
      <c r="M4" s="31"/>
    </row>
    <row r="5" spans="1:15" s="2" customFormat="1" ht="14.1" customHeight="1" x14ac:dyDescent="0.3">
      <c r="A5" s="14">
        <v>2</v>
      </c>
      <c r="B5" s="33" t="s">
        <v>21</v>
      </c>
      <c r="C5" s="33"/>
      <c r="D5" s="34" t="s">
        <v>22</v>
      </c>
      <c r="E5" s="34"/>
      <c r="F5" s="34"/>
      <c r="G5" s="34"/>
      <c r="H5" s="35">
        <f>SUM(I5)-1.4</f>
        <v>28.8</v>
      </c>
      <c r="I5" s="36">
        <v>30.2</v>
      </c>
      <c r="J5" s="23">
        <f>SUM(I5)+1.4</f>
        <v>31.599999999999998</v>
      </c>
      <c r="K5" s="23">
        <f>SUM(J5)+1.4</f>
        <v>33</v>
      </c>
      <c r="L5" s="23"/>
      <c r="M5" s="30"/>
    </row>
    <row r="6" spans="1:15" s="2" customFormat="1" ht="14.1" customHeight="1" x14ac:dyDescent="0.3">
      <c r="A6" s="14"/>
      <c r="B6" s="26" t="s">
        <v>11</v>
      </c>
      <c r="C6" s="26"/>
      <c r="D6" s="27" t="s">
        <v>26</v>
      </c>
      <c r="E6" s="28"/>
      <c r="F6" s="28"/>
      <c r="G6" s="32"/>
      <c r="H6" s="19"/>
      <c r="I6" s="21"/>
      <c r="J6" s="29"/>
      <c r="K6" s="29"/>
      <c r="L6" s="29"/>
      <c r="M6" s="31"/>
    </row>
    <row r="7" spans="1:15" s="2" customFormat="1" ht="14.1" customHeight="1" x14ac:dyDescent="0.3">
      <c r="A7" s="14">
        <v>3</v>
      </c>
      <c r="B7" s="33" t="s">
        <v>19</v>
      </c>
      <c r="C7" s="33"/>
      <c r="D7" s="34" t="s">
        <v>53</v>
      </c>
      <c r="E7" s="34"/>
      <c r="F7" s="34"/>
      <c r="G7" s="34"/>
      <c r="H7" s="35">
        <f>SUM(I7)-1.5</f>
        <v>30.5</v>
      </c>
      <c r="I7" s="36">
        <v>32</v>
      </c>
      <c r="J7" s="23">
        <f>SUM(I7)+1.5</f>
        <v>33.5</v>
      </c>
      <c r="K7" s="23">
        <f>SUM(J7)+1.5</f>
        <v>35</v>
      </c>
      <c r="L7" s="23"/>
      <c r="M7" s="30"/>
    </row>
    <row r="8" spans="1:15" s="2" customFormat="1" ht="14.1" customHeight="1" x14ac:dyDescent="0.3">
      <c r="A8" s="14"/>
      <c r="B8" s="26" t="s">
        <v>24</v>
      </c>
      <c r="C8" s="26"/>
      <c r="D8" s="27" t="s">
        <v>27</v>
      </c>
      <c r="E8" s="28"/>
      <c r="F8" s="28"/>
      <c r="G8" s="32"/>
      <c r="H8" s="19"/>
      <c r="I8" s="21"/>
      <c r="J8" s="29"/>
      <c r="K8" s="29"/>
      <c r="L8" s="29"/>
      <c r="M8" s="31"/>
    </row>
    <row r="9" spans="1:15" s="2" customFormat="1" ht="14.1" customHeight="1" x14ac:dyDescent="0.3">
      <c r="A9" s="14">
        <v>4</v>
      </c>
      <c r="B9" s="33" t="s">
        <v>25</v>
      </c>
      <c r="C9" s="33"/>
      <c r="D9" s="34" t="s">
        <v>9</v>
      </c>
      <c r="E9" s="34"/>
      <c r="F9" s="34"/>
      <c r="G9" s="34"/>
      <c r="H9" s="35">
        <f>SUM(I9)-1.5</f>
        <v>30.5</v>
      </c>
      <c r="I9" s="36">
        <v>32</v>
      </c>
      <c r="J9" s="23">
        <f>SUM(I9)+1.5</f>
        <v>33.5</v>
      </c>
      <c r="K9" s="23">
        <f>SUM(J9)+1.5</f>
        <v>35</v>
      </c>
      <c r="L9" s="23"/>
      <c r="M9" s="30"/>
      <c r="O9" s="2" t="s">
        <v>127</v>
      </c>
    </row>
    <row r="10" spans="1:15" s="2" customFormat="1" ht="14.1" customHeight="1" x14ac:dyDescent="0.3">
      <c r="A10" s="14"/>
      <c r="B10" s="26" t="s">
        <v>12</v>
      </c>
      <c r="C10" s="26"/>
      <c r="D10" s="27" t="s">
        <v>28</v>
      </c>
      <c r="E10" s="28"/>
      <c r="F10" s="28"/>
      <c r="G10" s="32"/>
      <c r="H10" s="19"/>
      <c r="I10" s="21"/>
      <c r="J10" s="29"/>
      <c r="K10" s="29"/>
      <c r="L10" s="29"/>
      <c r="M10" s="31"/>
    </row>
    <row r="11" spans="1:15" s="2" customFormat="1" ht="14.1" customHeight="1" x14ac:dyDescent="0.3">
      <c r="A11" s="14">
        <v>5</v>
      </c>
      <c r="B11" s="33" t="s">
        <v>10</v>
      </c>
      <c r="C11" s="33"/>
      <c r="D11" s="34" t="s">
        <v>0</v>
      </c>
      <c r="E11" s="34"/>
      <c r="F11" s="34"/>
      <c r="G11" s="34"/>
      <c r="H11" s="35">
        <f>SUM(I11)-0.8</f>
        <v>12.2</v>
      </c>
      <c r="I11" s="36">
        <v>13</v>
      </c>
      <c r="J11" s="23">
        <f t="shared" ref="J11:K11" si="0">SUM(I11)+0.8</f>
        <v>13.8</v>
      </c>
      <c r="K11" s="23">
        <f t="shared" si="0"/>
        <v>14.600000000000001</v>
      </c>
      <c r="L11" s="23"/>
      <c r="M11" s="30"/>
    </row>
    <row r="12" spans="1:15" s="2" customFormat="1" ht="14.1" customHeight="1" x14ac:dyDescent="0.3">
      <c r="A12" s="14"/>
      <c r="B12" s="26" t="s">
        <v>13</v>
      </c>
      <c r="C12" s="26"/>
      <c r="D12" s="27" t="s">
        <v>29</v>
      </c>
      <c r="E12" s="28"/>
      <c r="F12" s="28"/>
      <c r="G12" s="32"/>
      <c r="H12" s="19"/>
      <c r="I12" s="21"/>
      <c r="J12" s="29"/>
      <c r="K12" s="29"/>
      <c r="L12" s="29"/>
      <c r="M12" s="31"/>
    </row>
    <row r="13" spans="1:15" s="2" customFormat="1" ht="14.1" customHeight="1" x14ac:dyDescent="0.3">
      <c r="A13" s="14">
        <v>6</v>
      </c>
      <c r="B13" s="33" t="s">
        <v>1</v>
      </c>
      <c r="C13" s="33"/>
      <c r="D13" s="34" t="s">
        <v>2</v>
      </c>
      <c r="E13" s="34"/>
      <c r="F13" s="34"/>
      <c r="G13" s="34"/>
      <c r="H13" s="35">
        <f>SUM(I13)-0.5</f>
        <v>15</v>
      </c>
      <c r="I13" s="36">
        <v>15.5</v>
      </c>
      <c r="J13" s="23">
        <f>SUM(I13)+0.5</f>
        <v>16</v>
      </c>
      <c r="K13" s="23">
        <f>SUM(J13)+0.5</f>
        <v>16.5</v>
      </c>
      <c r="L13" s="33"/>
      <c r="M13" s="30"/>
    </row>
    <row r="14" spans="1:15" s="2" customFormat="1" ht="14.1" customHeight="1" x14ac:dyDescent="0.3">
      <c r="A14" s="14"/>
      <c r="B14" s="26" t="s">
        <v>14</v>
      </c>
      <c r="C14" s="26"/>
      <c r="D14" s="27" t="s">
        <v>60</v>
      </c>
      <c r="E14" s="28"/>
      <c r="F14" s="28"/>
      <c r="G14" s="32"/>
      <c r="H14" s="19"/>
      <c r="I14" s="21"/>
      <c r="J14" s="29"/>
      <c r="K14" s="29"/>
      <c r="L14" s="26"/>
      <c r="M14" s="31"/>
    </row>
    <row r="15" spans="1:15" s="2" customFormat="1" ht="14.1" customHeight="1" x14ac:dyDescent="0.3">
      <c r="A15" s="14">
        <v>7</v>
      </c>
      <c r="B15" s="33" t="s">
        <v>3</v>
      </c>
      <c r="C15" s="33"/>
      <c r="D15" s="34" t="s">
        <v>4</v>
      </c>
      <c r="E15" s="34"/>
      <c r="F15" s="34"/>
      <c r="G15" s="34"/>
      <c r="H15" s="35">
        <f>SUM(I15)-0.3</f>
        <v>6.2</v>
      </c>
      <c r="I15" s="36">
        <v>6.5</v>
      </c>
      <c r="J15" s="23">
        <f>SUM(I15)+0.3</f>
        <v>6.8</v>
      </c>
      <c r="K15" s="23">
        <f>SUM(J15)+0.3</f>
        <v>7.1</v>
      </c>
      <c r="L15" s="33"/>
      <c r="M15" s="30"/>
    </row>
    <row r="16" spans="1:15" s="2" customFormat="1" ht="14.1" customHeight="1" x14ac:dyDescent="0.3">
      <c r="A16" s="14"/>
      <c r="B16" s="26" t="s">
        <v>15</v>
      </c>
      <c r="C16" s="26"/>
      <c r="D16" s="27" t="s">
        <v>59</v>
      </c>
      <c r="E16" s="28"/>
      <c r="F16" s="28"/>
      <c r="G16" s="32"/>
      <c r="H16" s="19"/>
      <c r="I16" s="21"/>
      <c r="J16" s="29"/>
      <c r="K16" s="29"/>
      <c r="L16" s="26"/>
      <c r="M16" s="31"/>
    </row>
    <row r="17" spans="1:13" s="2" customFormat="1" ht="14.1" customHeight="1" x14ac:dyDescent="0.3">
      <c r="A17" s="14">
        <v>8</v>
      </c>
      <c r="B17" s="40" t="s">
        <v>44</v>
      </c>
      <c r="C17" s="41"/>
      <c r="D17" s="42" t="s">
        <v>46</v>
      </c>
      <c r="E17" s="43"/>
      <c r="F17" s="43"/>
      <c r="G17" s="44"/>
      <c r="H17" s="35">
        <f>SUM(I17)-1.4</f>
        <v>35.6</v>
      </c>
      <c r="I17" s="36">
        <v>37</v>
      </c>
      <c r="J17" s="23">
        <f>SUM(I17)+1.4</f>
        <v>38.4</v>
      </c>
      <c r="K17" s="23">
        <f>SUM(J17)+1.4</f>
        <v>39.799999999999997</v>
      </c>
      <c r="L17" s="33"/>
      <c r="M17" s="30"/>
    </row>
    <row r="18" spans="1:13" s="2" customFormat="1" ht="14.1" customHeight="1" x14ac:dyDescent="0.3">
      <c r="A18" s="14"/>
      <c r="B18" s="26" t="s">
        <v>45</v>
      </c>
      <c r="C18" s="26"/>
      <c r="D18" s="27" t="s">
        <v>58</v>
      </c>
      <c r="E18" s="28"/>
      <c r="F18" s="28"/>
      <c r="G18" s="32"/>
      <c r="H18" s="19"/>
      <c r="I18" s="21"/>
      <c r="J18" s="29"/>
      <c r="K18" s="29"/>
      <c r="L18" s="26"/>
      <c r="M18" s="31"/>
    </row>
    <row r="19" spans="1:13" s="2" customFormat="1" ht="14.1" customHeight="1" x14ac:dyDescent="0.3">
      <c r="A19" s="14">
        <v>9</v>
      </c>
      <c r="B19" s="33" t="s">
        <v>5</v>
      </c>
      <c r="C19" s="33"/>
      <c r="D19" s="34" t="s">
        <v>6</v>
      </c>
      <c r="E19" s="34"/>
      <c r="F19" s="34"/>
      <c r="G19" s="34"/>
      <c r="H19" s="35">
        <f>SUM(I19)-2.8</f>
        <v>22.8</v>
      </c>
      <c r="I19" s="36">
        <v>25.6</v>
      </c>
      <c r="J19" s="23">
        <f>SUM(I19)+2.8</f>
        <v>28.400000000000002</v>
      </c>
      <c r="K19" s="23">
        <f>SUM(J19)+2.8</f>
        <v>31.200000000000003</v>
      </c>
      <c r="L19" s="23"/>
      <c r="M19" s="30"/>
    </row>
    <row r="20" spans="1:13" s="2" customFormat="1" ht="14.1" customHeight="1" x14ac:dyDescent="0.3">
      <c r="A20" s="14"/>
      <c r="B20" s="26" t="s">
        <v>16</v>
      </c>
      <c r="C20" s="26"/>
      <c r="D20" s="27" t="s">
        <v>32</v>
      </c>
      <c r="E20" s="28"/>
      <c r="F20" s="28"/>
      <c r="G20" s="32"/>
      <c r="H20" s="19"/>
      <c r="I20" s="21"/>
      <c r="J20" s="29"/>
      <c r="K20" s="29"/>
      <c r="L20" s="29"/>
      <c r="M20" s="31"/>
    </row>
    <row r="21" spans="1:13" s="2" customFormat="1" ht="14.1" customHeight="1" x14ac:dyDescent="0.3">
      <c r="A21" s="14">
        <v>10</v>
      </c>
      <c r="B21" s="33" t="s">
        <v>7</v>
      </c>
      <c r="C21" s="33"/>
      <c r="D21" s="42" t="s">
        <v>8</v>
      </c>
      <c r="E21" s="43"/>
      <c r="F21" s="43"/>
      <c r="G21" s="44"/>
      <c r="H21" s="35"/>
      <c r="I21" s="36"/>
      <c r="J21" s="23"/>
      <c r="K21" s="23"/>
      <c r="L21" s="23"/>
      <c r="M21" s="30"/>
    </row>
    <row r="22" spans="1:13" s="2" customFormat="1" ht="14.1" customHeight="1" x14ac:dyDescent="0.3">
      <c r="A22" s="14"/>
      <c r="B22" s="26" t="s">
        <v>17</v>
      </c>
      <c r="C22" s="26"/>
      <c r="D22" s="27" t="s">
        <v>36</v>
      </c>
      <c r="E22" s="28"/>
      <c r="F22" s="28"/>
      <c r="G22" s="32"/>
      <c r="H22" s="19"/>
      <c r="I22" s="21"/>
      <c r="J22" s="29"/>
      <c r="K22" s="29"/>
      <c r="L22" s="29"/>
      <c r="M22" s="31"/>
    </row>
    <row r="23" spans="1:13" s="2" customFormat="1" ht="14.1" customHeight="1" x14ac:dyDescent="0.3">
      <c r="A23" s="14">
        <v>11</v>
      </c>
      <c r="B23" s="40" t="s">
        <v>54</v>
      </c>
      <c r="C23" s="41"/>
      <c r="D23" s="34" t="s">
        <v>37</v>
      </c>
      <c r="E23" s="34"/>
      <c r="F23" s="34"/>
      <c r="G23" s="34"/>
      <c r="H23" s="35">
        <f>SUM(I23)-0.5</f>
        <v>13.5</v>
      </c>
      <c r="I23" s="36">
        <v>14</v>
      </c>
      <c r="J23" s="23">
        <f>SUM(I23)+0.5</f>
        <v>14.5</v>
      </c>
      <c r="K23" s="23">
        <f>SUM(J23)+0.5</f>
        <v>15</v>
      </c>
      <c r="L23" s="23"/>
      <c r="M23" s="30"/>
    </row>
    <row r="24" spans="1:13" s="2" customFormat="1" ht="14.1" customHeight="1" x14ac:dyDescent="0.3">
      <c r="A24" s="14"/>
      <c r="B24" s="26" t="s">
        <v>18</v>
      </c>
      <c r="C24" s="26"/>
      <c r="D24" s="27" t="s">
        <v>38</v>
      </c>
      <c r="E24" s="28"/>
      <c r="F24" s="28"/>
      <c r="G24" s="32"/>
      <c r="H24" s="19"/>
      <c r="I24" s="21"/>
      <c r="J24" s="29"/>
      <c r="K24" s="29"/>
      <c r="L24" s="29"/>
      <c r="M24" s="31"/>
    </row>
    <row r="25" spans="1:13" s="2" customFormat="1" ht="14.1" customHeight="1" x14ac:dyDescent="0.3">
      <c r="A25" s="14">
        <v>12</v>
      </c>
      <c r="B25" s="40" t="s">
        <v>61</v>
      </c>
      <c r="C25" s="41"/>
      <c r="D25" s="46" t="s">
        <v>57</v>
      </c>
      <c r="E25" s="47"/>
      <c r="F25" s="47"/>
      <c r="G25" s="48"/>
      <c r="H25" s="35">
        <f>SUM(I25)-0.3</f>
        <v>3.2</v>
      </c>
      <c r="I25" s="36">
        <v>3.5</v>
      </c>
      <c r="J25" s="23">
        <f>SUM(I25)+0.3</f>
        <v>3.8</v>
      </c>
      <c r="K25" s="23">
        <f>SUM(J25)+0.3</f>
        <v>4.0999999999999996</v>
      </c>
      <c r="L25" s="33"/>
      <c r="M25" s="30"/>
    </row>
    <row r="26" spans="1:13" s="2" customFormat="1" ht="14.1" customHeight="1" x14ac:dyDescent="0.3">
      <c r="A26" s="14"/>
      <c r="B26" s="56" t="s">
        <v>62</v>
      </c>
      <c r="C26" s="57"/>
      <c r="D26" s="27" t="s">
        <v>56</v>
      </c>
      <c r="E26" s="28"/>
      <c r="F26" s="28"/>
      <c r="G26" s="32"/>
      <c r="H26" s="19"/>
      <c r="I26" s="21"/>
      <c r="J26" s="29"/>
      <c r="K26" s="29"/>
      <c r="L26" s="26"/>
      <c r="M26" s="31"/>
    </row>
    <row r="27" spans="1:13" s="2" customFormat="1" ht="14.1" customHeight="1" x14ac:dyDescent="0.3">
      <c r="A27" s="13">
        <v>13</v>
      </c>
      <c r="B27" s="51"/>
      <c r="C27" s="52"/>
      <c r="D27" s="129"/>
      <c r="E27" s="130"/>
      <c r="F27" s="130"/>
      <c r="G27" s="131"/>
      <c r="H27" s="35"/>
      <c r="I27" s="36"/>
      <c r="J27" s="23"/>
      <c r="K27" s="23"/>
      <c r="L27" s="23"/>
      <c r="M27" s="30"/>
    </row>
    <row r="28" spans="1:13" s="2" customFormat="1" ht="14.1" customHeight="1" thickBot="1" x14ac:dyDescent="0.35">
      <c r="A28" s="79"/>
      <c r="B28" s="84"/>
      <c r="C28" s="85"/>
      <c r="D28" s="126"/>
      <c r="E28" s="127"/>
      <c r="F28" s="127"/>
      <c r="G28" s="128"/>
      <c r="H28" s="80"/>
      <c r="I28" s="81"/>
      <c r="J28" s="82"/>
      <c r="K28" s="82"/>
      <c r="L28" s="82"/>
      <c r="M28" s="83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CB9E-26E2-4C5E-BAA3-2D0E8B712DAC}">
  <sheetPr>
    <tabColor theme="9"/>
    <pageSetUpPr fitToPage="1"/>
  </sheetPr>
  <dimension ref="A1:O51"/>
  <sheetViews>
    <sheetView zoomScale="110" zoomScaleNormal="110" workbookViewId="0">
      <selection activeCell="K3" sqref="K3:K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5" ht="16.5" customHeight="1" thickBot="1" x14ac:dyDescent="0.35">
      <c r="A1" s="9" t="s">
        <v>182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5" ht="16.5" customHeight="1" thickBot="1" x14ac:dyDescent="0.35">
      <c r="A2" s="5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150</v>
      </c>
      <c r="I2" s="3" t="s">
        <v>151</v>
      </c>
      <c r="J2" s="4" t="s">
        <v>152</v>
      </c>
      <c r="K2" s="4" t="s">
        <v>164</v>
      </c>
      <c r="L2" s="4"/>
      <c r="M2" s="4"/>
      <c r="N2" t="s">
        <v>52</v>
      </c>
    </row>
    <row r="3" spans="1:15" s="2" customFormat="1" ht="14.1" customHeight="1" x14ac:dyDescent="0.3">
      <c r="A3" s="13">
        <v>1</v>
      </c>
      <c r="B3" s="15" t="s">
        <v>23</v>
      </c>
      <c r="C3" s="15"/>
      <c r="D3" s="16" t="s">
        <v>55</v>
      </c>
      <c r="E3" s="16"/>
      <c r="F3" s="16"/>
      <c r="G3" s="17"/>
      <c r="H3" s="18">
        <f>SUM(I3)-3</f>
        <v>31.9</v>
      </c>
      <c r="I3" s="20">
        <v>34.9</v>
      </c>
      <c r="J3" s="109">
        <f>SUM(I3)+3</f>
        <v>37.9</v>
      </c>
      <c r="K3" s="109">
        <f>SUM(J3)+3</f>
        <v>40.9</v>
      </c>
      <c r="L3" s="15"/>
      <c r="M3" s="110"/>
    </row>
    <row r="4" spans="1:15" s="2" customFormat="1" ht="14.1" customHeight="1" x14ac:dyDescent="0.3">
      <c r="A4" s="14"/>
      <c r="B4" s="26" t="s">
        <v>20</v>
      </c>
      <c r="C4" s="26"/>
      <c r="D4" s="27" t="s">
        <v>39</v>
      </c>
      <c r="E4" s="28"/>
      <c r="F4" s="28"/>
      <c r="G4" s="28"/>
      <c r="H4" s="49"/>
      <c r="I4" s="21"/>
      <c r="J4" s="29"/>
      <c r="K4" s="29"/>
      <c r="L4" s="26"/>
      <c r="M4" s="31"/>
    </row>
    <row r="5" spans="1:15" s="2" customFormat="1" ht="14.1" customHeight="1" x14ac:dyDescent="0.3">
      <c r="A5" s="14">
        <v>2</v>
      </c>
      <c r="B5" s="33" t="s">
        <v>21</v>
      </c>
      <c r="C5" s="33"/>
      <c r="D5" s="34" t="s">
        <v>22</v>
      </c>
      <c r="E5" s="34"/>
      <c r="F5" s="34"/>
      <c r="G5" s="34"/>
      <c r="H5" s="35">
        <f>SUM(I5)-1.2</f>
        <v>19.2</v>
      </c>
      <c r="I5" s="36">
        <v>20.399999999999999</v>
      </c>
      <c r="J5" s="23">
        <f>SUM(I5)+1.2</f>
        <v>21.599999999999998</v>
      </c>
      <c r="K5" s="23">
        <f>SUM(J5)+1.2</f>
        <v>22.799999999999997</v>
      </c>
      <c r="L5" s="23"/>
      <c r="M5" s="30"/>
    </row>
    <row r="6" spans="1:15" s="2" customFormat="1" ht="14.1" customHeight="1" x14ac:dyDescent="0.3">
      <c r="A6" s="14"/>
      <c r="B6" s="26" t="s">
        <v>11</v>
      </c>
      <c r="C6" s="26"/>
      <c r="D6" s="27" t="s">
        <v>26</v>
      </c>
      <c r="E6" s="28"/>
      <c r="F6" s="28"/>
      <c r="G6" s="32"/>
      <c r="H6" s="19"/>
      <c r="I6" s="21"/>
      <c r="J6" s="29"/>
      <c r="K6" s="29"/>
      <c r="L6" s="29"/>
      <c r="M6" s="31"/>
    </row>
    <row r="7" spans="1:15" s="2" customFormat="1" ht="14.1" customHeight="1" x14ac:dyDescent="0.3">
      <c r="A7" s="14">
        <v>3</v>
      </c>
      <c r="B7" s="33" t="s">
        <v>19</v>
      </c>
      <c r="C7" s="33"/>
      <c r="D7" s="34" t="s">
        <v>53</v>
      </c>
      <c r="E7" s="34"/>
      <c r="F7" s="34"/>
      <c r="G7" s="34"/>
      <c r="H7" s="35">
        <f>SUM(I7)-1.5</f>
        <v>25.5</v>
      </c>
      <c r="I7" s="36">
        <v>27</v>
      </c>
      <c r="J7" s="23">
        <f>SUM(I7)+1.5</f>
        <v>28.5</v>
      </c>
      <c r="K7" s="23">
        <f>SUM(J7)+1.5</f>
        <v>30</v>
      </c>
      <c r="L7" s="23"/>
      <c r="M7" s="30"/>
    </row>
    <row r="8" spans="1:15" s="2" customFormat="1" ht="14.1" customHeight="1" x14ac:dyDescent="0.3">
      <c r="A8" s="14"/>
      <c r="B8" s="26" t="s">
        <v>24</v>
      </c>
      <c r="C8" s="26"/>
      <c r="D8" s="27" t="s">
        <v>27</v>
      </c>
      <c r="E8" s="28"/>
      <c r="F8" s="28"/>
      <c r="G8" s="32"/>
      <c r="H8" s="19"/>
      <c r="I8" s="21"/>
      <c r="J8" s="29"/>
      <c r="K8" s="29"/>
      <c r="L8" s="29"/>
      <c r="M8" s="31"/>
    </row>
    <row r="9" spans="1:15" s="2" customFormat="1" ht="14.1" customHeight="1" x14ac:dyDescent="0.3">
      <c r="A9" s="14">
        <v>4</v>
      </c>
      <c r="B9" s="33" t="s">
        <v>25</v>
      </c>
      <c r="C9" s="33"/>
      <c r="D9" s="34" t="s">
        <v>9</v>
      </c>
      <c r="E9" s="34"/>
      <c r="F9" s="34"/>
      <c r="G9" s="34"/>
      <c r="H9" s="35">
        <f>SUM(I9)-1.5</f>
        <v>25.5</v>
      </c>
      <c r="I9" s="36">
        <v>27</v>
      </c>
      <c r="J9" s="23">
        <f>SUM(I9)+1.5</f>
        <v>28.5</v>
      </c>
      <c r="K9" s="23">
        <f>SUM(J9)+1.5</f>
        <v>30</v>
      </c>
      <c r="L9" s="23"/>
      <c r="M9" s="30"/>
      <c r="O9" s="2" t="s">
        <v>127</v>
      </c>
    </row>
    <row r="10" spans="1:15" s="2" customFormat="1" ht="14.1" customHeight="1" x14ac:dyDescent="0.3">
      <c r="A10" s="14"/>
      <c r="B10" s="26" t="s">
        <v>12</v>
      </c>
      <c r="C10" s="26"/>
      <c r="D10" s="27" t="s">
        <v>28</v>
      </c>
      <c r="E10" s="28"/>
      <c r="F10" s="28"/>
      <c r="G10" s="32"/>
      <c r="H10" s="19"/>
      <c r="I10" s="21"/>
      <c r="J10" s="29"/>
      <c r="K10" s="29"/>
      <c r="L10" s="29"/>
      <c r="M10" s="31"/>
    </row>
    <row r="11" spans="1:15" s="2" customFormat="1" ht="14.1" customHeight="1" x14ac:dyDescent="0.3">
      <c r="A11" s="14">
        <v>5</v>
      </c>
      <c r="B11" s="33" t="s">
        <v>10</v>
      </c>
      <c r="C11" s="33"/>
      <c r="D11" s="34" t="s">
        <v>0</v>
      </c>
      <c r="E11" s="34"/>
      <c r="F11" s="34"/>
      <c r="G11" s="34"/>
      <c r="H11" s="35">
        <f>SUM(I11)-0.8</f>
        <v>11.2</v>
      </c>
      <c r="I11" s="36">
        <v>12</v>
      </c>
      <c r="J11" s="23">
        <f t="shared" ref="J11:K11" si="0">SUM(I11)+0.8</f>
        <v>12.8</v>
      </c>
      <c r="K11" s="23">
        <f t="shared" si="0"/>
        <v>13.600000000000001</v>
      </c>
      <c r="L11" s="23"/>
      <c r="M11" s="30"/>
    </row>
    <row r="12" spans="1:15" s="2" customFormat="1" ht="14.1" customHeight="1" x14ac:dyDescent="0.3">
      <c r="A12" s="14"/>
      <c r="B12" s="26" t="s">
        <v>13</v>
      </c>
      <c r="C12" s="26"/>
      <c r="D12" s="27" t="s">
        <v>29</v>
      </c>
      <c r="E12" s="28"/>
      <c r="F12" s="28"/>
      <c r="G12" s="32"/>
      <c r="H12" s="19"/>
      <c r="I12" s="21"/>
      <c r="J12" s="29"/>
      <c r="K12" s="29"/>
      <c r="L12" s="29"/>
      <c r="M12" s="31"/>
    </row>
    <row r="13" spans="1:15" s="2" customFormat="1" ht="14.1" customHeight="1" x14ac:dyDescent="0.3">
      <c r="A13" s="14">
        <v>6</v>
      </c>
      <c r="B13" s="33" t="s">
        <v>1</v>
      </c>
      <c r="C13" s="33"/>
      <c r="D13" s="34" t="s">
        <v>2</v>
      </c>
      <c r="E13" s="34"/>
      <c r="F13" s="34"/>
      <c r="G13" s="34"/>
      <c r="H13" s="35">
        <f>SUM(I13)-0.5</f>
        <v>10.4</v>
      </c>
      <c r="I13" s="36">
        <v>10.9</v>
      </c>
      <c r="J13" s="23">
        <f>SUM(I13)+0.5</f>
        <v>11.4</v>
      </c>
      <c r="K13" s="23">
        <f>SUM(J13)+0.5</f>
        <v>11.9</v>
      </c>
      <c r="L13" s="33"/>
      <c r="M13" s="30"/>
    </row>
    <row r="14" spans="1:15" s="2" customFormat="1" ht="14.1" customHeight="1" x14ac:dyDescent="0.3">
      <c r="A14" s="14"/>
      <c r="B14" s="26" t="s">
        <v>14</v>
      </c>
      <c r="C14" s="26"/>
      <c r="D14" s="27" t="s">
        <v>60</v>
      </c>
      <c r="E14" s="28"/>
      <c r="F14" s="28"/>
      <c r="G14" s="32"/>
      <c r="H14" s="19"/>
      <c r="I14" s="21"/>
      <c r="J14" s="29"/>
      <c r="K14" s="29"/>
      <c r="L14" s="26"/>
      <c r="M14" s="31"/>
    </row>
    <row r="15" spans="1:15" s="2" customFormat="1" ht="14.1" customHeight="1" x14ac:dyDescent="0.3">
      <c r="A15" s="14">
        <v>7</v>
      </c>
      <c r="B15" s="33" t="s">
        <v>3</v>
      </c>
      <c r="C15" s="33"/>
      <c r="D15" s="34" t="s">
        <v>4</v>
      </c>
      <c r="E15" s="34"/>
      <c r="F15" s="34"/>
      <c r="G15" s="34"/>
      <c r="H15" s="35">
        <f>SUM(I15)-0.3</f>
        <v>4.8</v>
      </c>
      <c r="I15" s="36">
        <v>5.0999999999999996</v>
      </c>
      <c r="J15" s="23">
        <f>SUM(I15)+0.3</f>
        <v>5.3999999999999995</v>
      </c>
      <c r="K15" s="23">
        <f>SUM(J15)+0.3</f>
        <v>5.6999999999999993</v>
      </c>
      <c r="L15" s="33"/>
      <c r="M15" s="30"/>
    </row>
    <row r="16" spans="1:15" s="2" customFormat="1" ht="14.1" customHeight="1" x14ac:dyDescent="0.3">
      <c r="A16" s="14"/>
      <c r="B16" s="26" t="s">
        <v>15</v>
      </c>
      <c r="C16" s="26"/>
      <c r="D16" s="27" t="s">
        <v>59</v>
      </c>
      <c r="E16" s="28"/>
      <c r="F16" s="28"/>
      <c r="G16" s="32"/>
      <c r="H16" s="19"/>
      <c r="I16" s="21"/>
      <c r="J16" s="29"/>
      <c r="K16" s="29"/>
      <c r="L16" s="26"/>
      <c r="M16" s="31"/>
    </row>
    <row r="17" spans="1:13" s="2" customFormat="1" ht="14.1" customHeight="1" x14ac:dyDescent="0.3">
      <c r="A17" s="14">
        <v>8</v>
      </c>
      <c r="B17" s="40" t="s">
        <v>44</v>
      </c>
      <c r="C17" s="41"/>
      <c r="D17" s="42" t="s">
        <v>46</v>
      </c>
      <c r="E17" s="43"/>
      <c r="F17" s="43"/>
      <c r="G17" s="44"/>
      <c r="H17" s="35">
        <f>SUM(I17)-1.4</f>
        <v>29.200000000000003</v>
      </c>
      <c r="I17" s="36">
        <v>30.6</v>
      </c>
      <c r="J17" s="23">
        <f>SUM(I17)+1.4</f>
        <v>32</v>
      </c>
      <c r="K17" s="23">
        <f>SUM(J17)+1.4</f>
        <v>33.4</v>
      </c>
      <c r="L17" s="33"/>
      <c r="M17" s="30"/>
    </row>
    <row r="18" spans="1:13" s="2" customFormat="1" ht="14.1" customHeight="1" x14ac:dyDescent="0.3">
      <c r="A18" s="14"/>
      <c r="B18" s="26" t="s">
        <v>45</v>
      </c>
      <c r="C18" s="26"/>
      <c r="D18" s="27" t="s">
        <v>58</v>
      </c>
      <c r="E18" s="28"/>
      <c r="F18" s="28"/>
      <c r="G18" s="32"/>
      <c r="H18" s="19"/>
      <c r="I18" s="21"/>
      <c r="J18" s="29"/>
      <c r="K18" s="29"/>
      <c r="L18" s="26"/>
      <c r="M18" s="31"/>
    </row>
    <row r="19" spans="1:13" s="2" customFormat="1" ht="14.1" customHeight="1" x14ac:dyDescent="0.3">
      <c r="A19" s="14">
        <v>9</v>
      </c>
      <c r="B19" s="33" t="s">
        <v>5</v>
      </c>
      <c r="C19" s="33"/>
      <c r="D19" s="34" t="s">
        <v>6</v>
      </c>
      <c r="E19" s="34"/>
      <c r="F19" s="34"/>
      <c r="G19" s="34"/>
      <c r="H19" s="35">
        <f>SUM(I19)-2.9</f>
        <v>26.6</v>
      </c>
      <c r="I19" s="36">
        <v>29.5</v>
      </c>
      <c r="J19" s="23">
        <f>SUM(I19)+2.9</f>
        <v>32.4</v>
      </c>
      <c r="K19" s="23">
        <f>SUM(J19)+2.9</f>
        <v>35.299999999999997</v>
      </c>
      <c r="L19" s="23"/>
      <c r="M19" s="30"/>
    </row>
    <row r="20" spans="1:13" s="2" customFormat="1" ht="14.1" customHeight="1" x14ac:dyDescent="0.3">
      <c r="A20" s="14"/>
      <c r="B20" s="26" t="s">
        <v>16</v>
      </c>
      <c r="C20" s="26"/>
      <c r="D20" s="27" t="s">
        <v>32</v>
      </c>
      <c r="E20" s="28"/>
      <c r="F20" s="28"/>
      <c r="G20" s="32"/>
      <c r="H20" s="19"/>
      <c r="I20" s="21"/>
      <c r="J20" s="29"/>
      <c r="K20" s="29"/>
      <c r="L20" s="29"/>
      <c r="M20" s="31"/>
    </row>
    <row r="21" spans="1:13" s="2" customFormat="1" ht="14.1" customHeight="1" x14ac:dyDescent="0.3">
      <c r="A21" s="14">
        <v>10</v>
      </c>
      <c r="B21" s="33" t="s">
        <v>7</v>
      </c>
      <c r="C21" s="33"/>
      <c r="D21" s="42" t="s">
        <v>8</v>
      </c>
      <c r="E21" s="43"/>
      <c r="F21" s="43"/>
      <c r="G21" s="44"/>
      <c r="H21" s="35"/>
      <c r="I21" s="36"/>
      <c r="J21" s="23"/>
      <c r="K21" s="23"/>
      <c r="L21" s="23"/>
      <c r="M21" s="30"/>
    </row>
    <row r="22" spans="1:13" s="2" customFormat="1" ht="14.1" customHeight="1" x14ac:dyDescent="0.3">
      <c r="A22" s="14"/>
      <c r="B22" s="26" t="s">
        <v>17</v>
      </c>
      <c r="C22" s="26"/>
      <c r="D22" s="27" t="s">
        <v>36</v>
      </c>
      <c r="E22" s="28"/>
      <c r="F22" s="28"/>
      <c r="G22" s="32"/>
      <c r="H22" s="19"/>
      <c r="I22" s="21"/>
      <c r="J22" s="29"/>
      <c r="K22" s="29"/>
      <c r="L22" s="29"/>
      <c r="M22" s="31"/>
    </row>
    <row r="23" spans="1:13" s="2" customFormat="1" ht="14.1" customHeight="1" x14ac:dyDescent="0.3">
      <c r="A23" s="14">
        <v>11</v>
      </c>
      <c r="B23" s="40" t="s">
        <v>54</v>
      </c>
      <c r="C23" s="41"/>
      <c r="D23" s="34" t="s">
        <v>37</v>
      </c>
      <c r="E23" s="34"/>
      <c r="F23" s="34"/>
      <c r="G23" s="34"/>
      <c r="H23" s="35">
        <f>SUM(I23)-0.6</f>
        <v>14.3</v>
      </c>
      <c r="I23" s="36">
        <v>14.9</v>
      </c>
      <c r="J23" s="23">
        <f>SUM(I23)+0.6</f>
        <v>15.5</v>
      </c>
      <c r="K23" s="23">
        <f>SUM(J23)+0.6</f>
        <v>16.100000000000001</v>
      </c>
      <c r="L23" s="23"/>
      <c r="M23" s="30"/>
    </row>
    <row r="24" spans="1:13" s="2" customFormat="1" ht="14.1" customHeight="1" x14ac:dyDescent="0.3">
      <c r="A24" s="14"/>
      <c r="B24" s="26" t="s">
        <v>18</v>
      </c>
      <c r="C24" s="26"/>
      <c r="D24" s="27" t="s">
        <v>38</v>
      </c>
      <c r="E24" s="28"/>
      <c r="F24" s="28"/>
      <c r="G24" s="32"/>
      <c r="H24" s="19"/>
      <c r="I24" s="21"/>
      <c r="J24" s="29"/>
      <c r="K24" s="29"/>
      <c r="L24" s="29"/>
      <c r="M24" s="31"/>
    </row>
    <row r="25" spans="1:13" s="2" customFormat="1" ht="14.1" customHeight="1" x14ac:dyDescent="0.3">
      <c r="A25" s="14">
        <v>12</v>
      </c>
      <c r="B25" s="40" t="s">
        <v>183</v>
      </c>
      <c r="C25" s="41"/>
      <c r="D25" s="46"/>
      <c r="E25" s="47"/>
      <c r="F25" s="47"/>
      <c r="G25" s="48"/>
      <c r="H25" s="35">
        <f>SUM(I25)</f>
        <v>8.5</v>
      </c>
      <c r="I25" s="36">
        <v>8.5</v>
      </c>
      <c r="J25" s="23">
        <f>SUM(I25)+0.2</f>
        <v>8.6999999999999993</v>
      </c>
      <c r="K25" s="23">
        <f>SUM(J25)+0.2</f>
        <v>8.8999999999999986</v>
      </c>
      <c r="L25" s="33"/>
      <c r="M25" s="30"/>
    </row>
    <row r="26" spans="1:13" s="2" customFormat="1" ht="14.1" customHeight="1" x14ac:dyDescent="0.3">
      <c r="A26" s="14"/>
      <c r="B26" s="56" t="s">
        <v>184</v>
      </c>
      <c r="C26" s="57"/>
      <c r="D26" s="27"/>
      <c r="E26" s="28"/>
      <c r="F26" s="28"/>
      <c r="G26" s="32"/>
      <c r="H26" s="19"/>
      <c r="I26" s="21"/>
      <c r="J26" s="29"/>
      <c r="K26" s="29"/>
      <c r="L26" s="26"/>
      <c r="M26" s="31"/>
    </row>
    <row r="27" spans="1:13" s="2" customFormat="1" ht="14.1" customHeight="1" x14ac:dyDescent="0.3">
      <c r="A27" s="13">
        <v>13</v>
      </c>
      <c r="B27" s="40" t="s">
        <v>61</v>
      </c>
      <c r="C27" s="41"/>
      <c r="D27" s="46" t="s">
        <v>57</v>
      </c>
      <c r="E27" s="47"/>
      <c r="F27" s="47"/>
      <c r="G27" s="48"/>
      <c r="H27" s="35">
        <f>SUM(I27)-0.3</f>
        <v>2.7</v>
      </c>
      <c r="I27" s="36">
        <v>3</v>
      </c>
      <c r="J27" s="23">
        <f>SUM(I27)+0.3</f>
        <v>3.3</v>
      </c>
      <c r="K27" s="23">
        <f>SUM(J27)+0.3</f>
        <v>3.5999999999999996</v>
      </c>
      <c r="L27" s="23"/>
      <c r="M27" s="30"/>
    </row>
    <row r="28" spans="1:13" s="2" customFormat="1" ht="14.1" customHeight="1" thickBot="1" x14ac:dyDescent="0.35">
      <c r="A28" s="79"/>
      <c r="B28" s="84" t="s">
        <v>62</v>
      </c>
      <c r="C28" s="85"/>
      <c r="D28" s="126" t="s">
        <v>56</v>
      </c>
      <c r="E28" s="127"/>
      <c r="F28" s="127"/>
      <c r="G28" s="128"/>
      <c r="H28" s="80"/>
      <c r="I28" s="81"/>
      <c r="J28" s="82"/>
      <c r="K28" s="82"/>
      <c r="L28" s="82"/>
      <c r="M28" s="83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EC2C-6B54-4055-817B-4604A237B2D9}">
  <sheetPr>
    <tabColor theme="9"/>
    <pageSetUpPr fitToPage="1"/>
  </sheetPr>
  <dimension ref="A1:O51"/>
  <sheetViews>
    <sheetView zoomScale="110" zoomScaleNormal="110" workbookViewId="0">
      <selection activeCell="P15" sqref="P1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5" ht="16.5" customHeight="1" thickBot="1" x14ac:dyDescent="0.35">
      <c r="A1" s="9" t="s">
        <v>191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5" ht="16.5" customHeight="1" thickBot="1" x14ac:dyDescent="0.35">
      <c r="A2" s="5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150</v>
      </c>
      <c r="I2" s="3" t="s">
        <v>151</v>
      </c>
      <c r="J2" s="4" t="s">
        <v>152</v>
      </c>
      <c r="K2" s="4" t="s">
        <v>164</v>
      </c>
      <c r="L2" s="4"/>
      <c r="M2" s="4"/>
      <c r="N2" t="s">
        <v>52</v>
      </c>
    </row>
    <row r="3" spans="1:15" s="2" customFormat="1" ht="14.1" customHeight="1" x14ac:dyDescent="0.3">
      <c r="A3" s="13">
        <v>1</v>
      </c>
      <c r="B3" s="15" t="s">
        <v>23</v>
      </c>
      <c r="C3" s="15"/>
      <c r="D3" s="16" t="s">
        <v>55</v>
      </c>
      <c r="E3" s="16"/>
      <c r="F3" s="16"/>
      <c r="G3" s="17"/>
      <c r="H3" s="18">
        <f>SUM(I3)-3</f>
        <v>32</v>
      </c>
      <c r="I3" s="20">
        <v>35</v>
      </c>
      <c r="J3" s="109">
        <f>SUM(I3)+3</f>
        <v>38</v>
      </c>
      <c r="K3" s="109">
        <f>SUM(J3)+3</f>
        <v>41</v>
      </c>
      <c r="L3" s="15"/>
      <c r="M3" s="110"/>
    </row>
    <row r="4" spans="1:15" s="2" customFormat="1" ht="14.1" customHeight="1" x14ac:dyDescent="0.3">
      <c r="A4" s="14"/>
      <c r="B4" s="26" t="s">
        <v>20</v>
      </c>
      <c r="C4" s="26"/>
      <c r="D4" s="27" t="s">
        <v>39</v>
      </c>
      <c r="E4" s="28"/>
      <c r="F4" s="28"/>
      <c r="G4" s="28"/>
      <c r="H4" s="49"/>
      <c r="I4" s="21"/>
      <c r="J4" s="29"/>
      <c r="K4" s="29"/>
      <c r="L4" s="26"/>
      <c r="M4" s="31"/>
    </row>
    <row r="5" spans="1:15" s="2" customFormat="1" ht="14.1" customHeight="1" x14ac:dyDescent="0.3">
      <c r="A5" s="14">
        <v>2</v>
      </c>
      <c r="B5" s="33" t="s">
        <v>21</v>
      </c>
      <c r="C5" s="33"/>
      <c r="D5" s="34" t="s">
        <v>22</v>
      </c>
      <c r="E5" s="34"/>
      <c r="F5" s="34"/>
      <c r="G5" s="34"/>
      <c r="H5" s="35">
        <f>SUM(I5)-1.4</f>
        <v>28.8</v>
      </c>
      <c r="I5" s="36">
        <v>30.2</v>
      </c>
      <c r="J5" s="23">
        <f>SUM(I5)+1.4</f>
        <v>31.599999999999998</v>
      </c>
      <c r="K5" s="23">
        <f>SUM(J5)+1.4</f>
        <v>33</v>
      </c>
      <c r="L5" s="23"/>
      <c r="M5" s="30"/>
    </row>
    <row r="6" spans="1:15" s="2" customFormat="1" ht="14.1" customHeight="1" x14ac:dyDescent="0.3">
      <c r="A6" s="14"/>
      <c r="B6" s="26" t="s">
        <v>11</v>
      </c>
      <c r="C6" s="26"/>
      <c r="D6" s="27" t="s">
        <v>26</v>
      </c>
      <c r="E6" s="28"/>
      <c r="F6" s="28"/>
      <c r="G6" s="32"/>
      <c r="H6" s="19"/>
      <c r="I6" s="21"/>
      <c r="J6" s="29"/>
      <c r="K6" s="29"/>
      <c r="L6" s="29"/>
      <c r="M6" s="31"/>
    </row>
    <row r="7" spans="1:15" s="2" customFormat="1" ht="14.1" customHeight="1" x14ac:dyDescent="0.3">
      <c r="A7" s="14">
        <v>3</v>
      </c>
      <c r="B7" s="33" t="s">
        <v>19</v>
      </c>
      <c r="C7" s="33"/>
      <c r="D7" s="34" t="s">
        <v>53</v>
      </c>
      <c r="E7" s="34"/>
      <c r="F7" s="34"/>
      <c r="G7" s="34"/>
      <c r="H7" s="35">
        <f>SUM(I7)-1.5</f>
        <v>30.5</v>
      </c>
      <c r="I7" s="36">
        <v>32</v>
      </c>
      <c r="J7" s="23">
        <f>SUM(I7)+1.5</f>
        <v>33.5</v>
      </c>
      <c r="K7" s="23">
        <f>SUM(J7)+1.5</f>
        <v>35</v>
      </c>
      <c r="L7" s="23"/>
      <c r="M7" s="30"/>
    </row>
    <row r="8" spans="1:15" s="2" customFormat="1" ht="14.1" customHeight="1" x14ac:dyDescent="0.3">
      <c r="A8" s="14"/>
      <c r="B8" s="26" t="s">
        <v>24</v>
      </c>
      <c r="C8" s="26"/>
      <c r="D8" s="27" t="s">
        <v>27</v>
      </c>
      <c r="E8" s="28"/>
      <c r="F8" s="28"/>
      <c r="G8" s="32"/>
      <c r="H8" s="19"/>
      <c r="I8" s="21"/>
      <c r="J8" s="29"/>
      <c r="K8" s="29"/>
      <c r="L8" s="29"/>
      <c r="M8" s="31"/>
    </row>
    <row r="9" spans="1:15" s="2" customFormat="1" ht="14.1" customHeight="1" x14ac:dyDescent="0.3">
      <c r="A9" s="14">
        <v>4</v>
      </c>
      <c r="B9" s="33" t="s">
        <v>25</v>
      </c>
      <c r="C9" s="33"/>
      <c r="D9" s="34" t="s">
        <v>9</v>
      </c>
      <c r="E9" s="34"/>
      <c r="F9" s="34"/>
      <c r="G9" s="34"/>
      <c r="H9" s="35">
        <f>SUM(I9)-1.5</f>
        <v>30.5</v>
      </c>
      <c r="I9" s="36">
        <v>32</v>
      </c>
      <c r="J9" s="23">
        <f>SUM(I9)+1.5</f>
        <v>33.5</v>
      </c>
      <c r="K9" s="23">
        <f>SUM(J9)+1.5</f>
        <v>35</v>
      </c>
      <c r="L9" s="23"/>
      <c r="M9" s="30"/>
      <c r="O9" s="2" t="s">
        <v>127</v>
      </c>
    </row>
    <row r="10" spans="1:15" s="2" customFormat="1" ht="14.1" customHeight="1" x14ac:dyDescent="0.3">
      <c r="A10" s="14"/>
      <c r="B10" s="26" t="s">
        <v>12</v>
      </c>
      <c r="C10" s="26"/>
      <c r="D10" s="27" t="s">
        <v>28</v>
      </c>
      <c r="E10" s="28"/>
      <c r="F10" s="28"/>
      <c r="G10" s="32"/>
      <c r="H10" s="19"/>
      <c r="I10" s="21"/>
      <c r="J10" s="29"/>
      <c r="K10" s="29"/>
      <c r="L10" s="29"/>
      <c r="M10" s="31"/>
    </row>
    <row r="11" spans="1:15" s="2" customFormat="1" ht="14.1" customHeight="1" x14ac:dyDescent="0.3">
      <c r="A11" s="14">
        <v>5</v>
      </c>
      <c r="B11" s="33" t="s">
        <v>10</v>
      </c>
      <c r="C11" s="33"/>
      <c r="D11" s="34" t="s">
        <v>0</v>
      </c>
      <c r="E11" s="34"/>
      <c r="F11" s="34"/>
      <c r="G11" s="34"/>
      <c r="H11" s="35">
        <f>SUM(I11)-0.8</f>
        <v>12.1</v>
      </c>
      <c r="I11" s="36">
        <v>12.9</v>
      </c>
      <c r="J11" s="23">
        <f t="shared" ref="J11:K11" si="0">SUM(I11)+0.8</f>
        <v>13.700000000000001</v>
      </c>
      <c r="K11" s="23">
        <f t="shared" si="0"/>
        <v>14.500000000000002</v>
      </c>
      <c r="L11" s="23"/>
      <c r="M11" s="30"/>
    </row>
    <row r="12" spans="1:15" s="2" customFormat="1" ht="14.1" customHeight="1" x14ac:dyDescent="0.3">
      <c r="A12" s="14"/>
      <c r="B12" s="26" t="s">
        <v>13</v>
      </c>
      <c r="C12" s="26"/>
      <c r="D12" s="27" t="s">
        <v>29</v>
      </c>
      <c r="E12" s="28"/>
      <c r="F12" s="28"/>
      <c r="G12" s="32"/>
      <c r="H12" s="19"/>
      <c r="I12" s="21"/>
      <c r="J12" s="29"/>
      <c r="K12" s="29"/>
      <c r="L12" s="29"/>
      <c r="M12" s="31"/>
    </row>
    <row r="13" spans="1:15" s="2" customFormat="1" ht="14.1" customHeight="1" x14ac:dyDescent="0.3">
      <c r="A13" s="14">
        <v>6</v>
      </c>
      <c r="B13" s="33" t="s">
        <v>1</v>
      </c>
      <c r="C13" s="33"/>
      <c r="D13" s="34" t="s">
        <v>2</v>
      </c>
      <c r="E13" s="34"/>
      <c r="F13" s="34"/>
      <c r="G13" s="34"/>
      <c r="H13" s="35">
        <f>SUM(I13)-0.5</f>
        <v>15</v>
      </c>
      <c r="I13" s="36">
        <v>15.5</v>
      </c>
      <c r="J13" s="23">
        <f>SUM(I13)+0.5</f>
        <v>16</v>
      </c>
      <c r="K13" s="23">
        <f>SUM(J13)+0.5</f>
        <v>16.5</v>
      </c>
      <c r="L13" s="33"/>
      <c r="M13" s="30"/>
    </row>
    <row r="14" spans="1:15" s="2" customFormat="1" ht="14.1" customHeight="1" x14ac:dyDescent="0.3">
      <c r="A14" s="14"/>
      <c r="B14" s="26" t="s">
        <v>14</v>
      </c>
      <c r="C14" s="26"/>
      <c r="D14" s="27" t="s">
        <v>60</v>
      </c>
      <c r="E14" s="28"/>
      <c r="F14" s="28"/>
      <c r="G14" s="32"/>
      <c r="H14" s="19"/>
      <c r="I14" s="21"/>
      <c r="J14" s="29"/>
      <c r="K14" s="29"/>
      <c r="L14" s="26"/>
      <c r="M14" s="31"/>
    </row>
    <row r="15" spans="1:15" s="2" customFormat="1" ht="14.1" customHeight="1" x14ac:dyDescent="0.3">
      <c r="A15" s="14">
        <v>7</v>
      </c>
      <c r="B15" s="33" t="s">
        <v>3</v>
      </c>
      <c r="C15" s="33"/>
      <c r="D15" s="34" t="s">
        <v>4</v>
      </c>
      <c r="E15" s="34"/>
      <c r="F15" s="34"/>
      <c r="G15" s="34"/>
      <c r="H15" s="35">
        <f>SUM(I15)-0.3</f>
        <v>6.2</v>
      </c>
      <c r="I15" s="36">
        <v>6.5</v>
      </c>
      <c r="J15" s="23">
        <f>SUM(I15)+0.3</f>
        <v>6.8</v>
      </c>
      <c r="K15" s="23">
        <f>SUM(J15)+0.3</f>
        <v>7.1</v>
      </c>
      <c r="L15" s="33"/>
      <c r="M15" s="30"/>
    </row>
    <row r="16" spans="1:15" s="2" customFormat="1" ht="14.1" customHeight="1" x14ac:dyDescent="0.3">
      <c r="A16" s="14"/>
      <c r="B16" s="26" t="s">
        <v>15</v>
      </c>
      <c r="C16" s="26"/>
      <c r="D16" s="27" t="s">
        <v>59</v>
      </c>
      <c r="E16" s="28"/>
      <c r="F16" s="28"/>
      <c r="G16" s="32"/>
      <c r="H16" s="19"/>
      <c r="I16" s="21"/>
      <c r="J16" s="29"/>
      <c r="K16" s="29"/>
      <c r="L16" s="26"/>
      <c r="M16" s="31"/>
    </row>
    <row r="17" spans="1:13" s="2" customFormat="1" ht="14.1" customHeight="1" x14ac:dyDescent="0.3">
      <c r="A17" s="14">
        <v>8</v>
      </c>
      <c r="B17" s="40" t="s">
        <v>44</v>
      </c>
      <c r="C17" s="41"/>
      <c r="D17" s="42" t="s">
        <v>46</v>
      </c>
      <c r="E17" s="43"/>
      <c r="F17" s="43"/>
      <c r="G17" s="44"/>
      <c r="H17" s="35">
        <f>SUM(I17)-1.4</f>
        <v>35.6</v>
      </c>
      <c r="I17" s="36">
        <v>37</v>
      </c>
      <c r="J17" s="23">
        <f>SUM(I17)+1.4</f>
        <v>38.4</v>
      </c>
      <c r="K17" s="23">
        <f>SUM(J17)+1.4</f>
        <v>39.799999999999997</v>
      </c>
      <c r="L17" s="33"/>
      <c r="M17" s="30"/>
    </row>
    <row r="18" spans="1:13" s="2" customFormat="1" ht="14.1" customHeight="1" x14ac:dyDescent="0.3">
      <c r="A18" s="14"/>
      <c r="B18" s="26" t="s">
        <v>45</v>
      </c>
      <c r="C18" s="26"/>
      <c r="D18" s="27" t="s">
        <v>58</v>
      </c>
      <c r="E18" s="28"/>
      <c r="F18" s="28"/>
      <c r="G18" s="32"/>
      <c r="H18" s="19"/>
      <c r="I18" s="21"/>
      <c r="J18" s="29"/>
      <c r="K18" s="29"/>
      <c r="L18" s="26"/>
      <c r="M18" s="31"/>
    </row>
    <row r="19" spans="1:13" s="2" customFormat="1" ht="14.1" customHeight="1" x14ac:dyDescent="0.3">
      <c r="A19" s="14">
        <v>9</v>
      </c>
      <c r="B19" s="33" t="s">
        <v>5</v>
      </c>
      <c r="C19" s="33"/>
      <c r="D19" s="34" t="s">
        <v>6</v>
      </c>
      <c r="E19" s="34"/>
      <c r="F19" s="34"/>
      <c r="G19" s="34"/>
      <c r="H19" s="35">
        <f>SUM(I19)-2.8</f>
        <v>22.5</v>
      </c>
      <c r="I19" s="36">
        <v>25.3</v>
      </c>
      <c r="J19" s="23">
        <f>SUM(I19)+2.8</f>
        <v>28.1</v>
      </c>
      <c r="K19" s="23">
        <f>SUM(J19)+2.8</f>
        <v>30.900000000000002</v>
      </c>
      <c r="L19" s="23"/>
      <c r="M19" s="30"/>
    </row>
    <row r="20" spans="1:13" s="2" customFormat="1" ht="14.1" customHeight="1" x14ac:dyDescent="0.3">
      <c r="A20" s="14"/>
      <c r="B20" s="26" t="s">
        <v>16</v>
      </c>
      <c r="C20" s="26"/>
      <c r="D20" s="27" t="s">
        <v>32</v>
      </c>
      <c r="E20" s="28"/>
      <c r="F20" s="28"/>
      <c r="G20" s="32"/>
      <c r="H20" s="19"/>
      <c r="I20" s="21"/>
      <c r="J20" s="29"/>
      <c r="K20" s="29"/>
      <c r="L20" s="29"/>
      <c r="M20" s="31"/>
    </row>
    <row r="21" spans="1:13" s="2" customFormat="1" ht="14.1" customHeight="1" x14ac:dyDescent="0.3">
      <c r="A21" s="14">
        <v>10</v>
      </c>
      <c r="B21" s="33" t="s">
        <v>7</v>
      </c>
      <c r="C21" s="33"/>
      <c r="D21" s="42" t="s">
        <v>8</v>
      </c>
      <c r="E21" s="43"/>
      <c r="F21" s="43"/>
      <c r="G21" s="44"/>
      <c r="H21" s="35">
        <f>SUM(I21)-1.6</f>
        <v>24.299999999999997</v>
      </c>
      <c r="I21" s="36">
        <v>25.9</v>
      </c>
      <c r="J21" s="23">
        <f>SUM(I21)+1.6</f>
        <v>27.5</v>
      </c>
      <c r="K21" s="23">
        <f>SUM(J21)+1.6</f>
        <v>29.1</v>
      </c>
      <c r="L21" s="23"/>
      <c r="M21" s="30"/>
    </row>
    <row r="22" spans="1:13" s="2" customFormat="1" ht="14.1" customHeight="1" x14ac:dyDescent="0.3">
      <c r="A22" s="14"/>
      <c r="B22" s="26" t="s">
        <v>17</v>
      </c>
      <c r="C22" s="26"/>
      <c r="D22" s="27" t="s">
        <v>36</v>
      </c>
      <c r="E22" s="28"/>
      <c r="F22" s="28"/>
      <c r="G22" s="32"/>
      <c r="H22" s="19"/>
      <c r="I22" s="21"/>
      <c r="J22" s="29"/>
      <c r="K22" s="29"/>
      <c r="L22" s="29"/>
      <c r="M22" s="31"/>
    </row>
    <row r="23" spans="1:13" s="2" customFormat="1" ht="14.1" customHeight="1" x14ac:dyDescent="0.3">
      <c r="A23" s="14">
        <v>11</v>
      </c>
      <c r="B23" s="40" t="s">
        <v>54</v>
      </c>
      <c r="C23" s="41"/>
      <c r="D23" s="34" t="s">
        <v>37</v>
      </c>
      <c r="E23" s="34"/>
      <c r="F23" s="34"/>
      <c r="G23" s="34"/>
      <c r="H23" s="35">
        <f>SUM(I23)-0.5</f>
        <v>13.5</v>
      </c>
      <c r="I23" s="36">
        <v>14</v>
      </c>
      <c r="J23" s="23">
        <f>SUM(I23)+0.5</f>
        <v>14.5</v>
      </c>
      <c r="K23" s="23">
        <f>SUM(J23)+0.5</f>
        <v>15</v>
      </c>
      <c r="L23" s="23"/>
      <c r="M23" s="30"/>
    </row>
    <row r="24" spans="1:13" s="2" customFormat="1" ht="14.1" customHeight="1" x14ac:dyDescent="0.3">
      <c r="A24" s="14"/>
      <c r="B24" s="26" t="s">
        <v>18</v>
      </c>
      <c r="C24" s="26"/>
      <c r="D24" s="27" t="s">
        <v>38</v>
      </c>
      <c r="E24" s="28"/>
      <c r="F24" s="28"/>
      <c r="G24" s="32"/>
      <c r="H24" s="19"/>
      <c r="I24" s="21"/>
      <c r="J24" s="29"/>
      <c r="K24" s="29"/>
      <c r="L24" s="29"/>
      <c r="M24" s="31"/>
    </row>
    <row r="25" spans="1:13" s="2" customFormat="1" ht="14.1" customHeight="1" x14ac:dyDescent="0.3">
      <c r="A25" s="14">
        <v>12</v>
      </c>
      <c r="B25" s="40" t="s">
        <v>61</v>
      </c>
      <c r="C25" s="41"/>
      <c r="D25" s="46" t="s">
        <v>57</v>
      </c>
      <c r="E25" s="47"/>
      <c r="F25" s="47"/>
      <c r="G25" s="48"/>
      <c r="H25" s="35">
        <f>SUM(I25)-0.2</f>
        <v>2.2999999999999998</v>
      </c>
      <c r="I25" s="36">
        <v>2.5</v>
      </c>
      <c r="J25" s="23">
        <f>SUM(I25)+0.2</f>
        <v>2.7</v>
      </c>
      <c r="K25" s="23">
        <f>SUM(J25)+0.2</f>
        <v>2.9000000000000004</v>
      </c>
      <c r="L25" s="33"/>
      <c r="M25" s="30"/>
    </row>
    <row r="26" spans="1:13" s="2" customFormat="1" ht="14.1" customHeight="1" x14ac:dyDescent="0.3">
      <c r="A26" s="14"/>
      <c r="B26" s="56" t="s">
        <v>62</v>
      </c>
      <c r="C26" s="57"/>
      <c r="D26" s="27" t="s">
        <v>56</v>
      </c>
      <c r="E26" s="28"/>
      <c r="F26" s="28"/>
      <c r="G26" s="32"/>
      <c r="H26" s="19"/>
      <c r="I26" s="21"/>
      <c r="J26" s="29"/>
      <c r="K26" s="29"/>
      <c r="L26" s="26"/>
      <c r="M26" s="31"/>
    </row>
    <row r="27" spans="1:13" s="2" customFormat="1" ht="14.1" customHeight="1" x14ac:dyDescent="0.3">
      <c r="A27" s="13">
        <v>13</v>
      </c>
      <c r="B27" s="51"/>
      <c r="C27" s="52"/>
      <c r="D27" s="129"/>
      <c r="E27" s="130"/>
      <c r="F27" s="130"/>
      <c r="G27" s="131"/>
      <c r="H27" s="35"/>
      <c r="I27" s="36"/>
      <c r="J27" s="23"/>
      <c r="K27" s="23"/>
      <c r="L27" s="23"/>
      <c r="M27" s="30"/>
    </row>
    <row r="28" spans="1:13" s="2" customFormat="1" ht="14.1" customHeight="1" thickBot="1" x14ac:dyDescent="0.35">
      <c r="A28" s="79"/>
      <c r="B28" s="84"/>
      <c r="C28" s="85"/>
      <c r="D28" s="126"/>
      <c r="E28" s="127"/>
      <c r="F28" s="127"/>
      <c r="G28" s="128"/>
      <c r="H28" s="80"/>
      <c r="I28" s="81"/>
      <c r="J28" s="82"/>
      <c r="K28" s="82"/>
      <c r="L28" s="82"/>
      <c r="M28" s="83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C5D8-4A51-4FA7-A87C-38B24857A5FE}">
  <sheetPr>
    <tabColor theme="9"/>
    <pageSetUpPr fitToPage="1"/>
  </sheetPr>
  <dimension ref="A1:O51"/>
  <sheetViews>
    <sheetView zoomScale="110" zoomScaleNormal="110" workbookViewId="0">
      <selection activeCell="P15" sqref="P15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5" ht="16.5" customHeight="1" thickBot="1" x14ac:dyDescent="0.35">
      <c r="A1" s="9" t="s">
        <v>192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5" ht="16.5" customHeight="1" thickBot="1" x14ac:dyDescent="0.35">
      <c r="A2" s="5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150</v>
      </c>
      <c r="I2" s="3" t="s">
        <v>151</v>
      </c>
      <c r="J2" s="4" t="s">
        <v>152</v>
      </c>
      <c r="K2" s="4" t="s">
        <v>164</v>
      </c>
      <c r="L2" s="4"/>
      <c r="M2" s="4"/>
      <c r="N2" t="s">
        <v>52</v>
      </c>
    </row>
    <row r="3" spans="1:15" s="2" customFormat="1" ht="14.1" customHeight="1" x14ac:dyDescent="0.3">
      <c r="A3" s="13">
        <v>1</v>
      </c>
      <c r="B3" s="15" t="s">
        <v>23</v>
      </c>
      <c r="C3" s="15"/>
      <c r="D3" s="16" t="s">
        <v>55</v>
      </c>
      <c r="E3" s="16"/>
      <c r="F3" s="16"/>
      <c r="G3" s="17"/>
      <c r="H3" s="18">
        <f>SUM(I3)-3</f>
        <v>34</v>
      </c>
      <c r="I3" s="20">
        <v>37</v>
      </c>
      <c r="J3" s="109">
        <f>SUM(I3)+3</f>
        <v>40</v>
      </c>
      <c r="K3" s="109">
        <f>SUM(J3)+3</f>
        <v>43</v>
      </c>
      <c r="L3" s="15"/>
      <c r="M3" s="110"/>
    </row>
    <row r="4" spans="1:15" s="2" customFormat="1" ht="14.1" customHeight="1" x14ac:dyDescent="0.3">
      <c r="A4" s="14"/>
      <c r="B4" s="26" t="s">
        <v>20</v>
      </c>
      <c r="C4" s="26"/>
      <c r="D4" s="27" t="s">
        <v>39</v>
      </c>
      <c r="E4" s="28"/>
      <c r="F4" s="28"/>
      <c r="G4" s="28"/>
      <c r="H4" s="49"/>
      <c r="I4" s="21"/>
      <c r="J4" s="29"/>
      <c r="K4" s="29"/>
      <c r="L4" s="26"/>
      <c r="M4" s="31"/>
    </row>
    <row r="5" spans="1:15" s="2" customFormat="1" ht="14.1" customHeight="1" x14ac:dyDescent="0.3">
      <c r="A5" s="14">
        <v>2</v>
      </c>
      <c r="B5" s="33" t="s">
        <v>21</v>
      </c>
      <c r="C5" s="33"/>
      <c r="D5" s="34" t="s">
        <v>22</v>
      </c>
      <c r="E5" s="34"/>
      <c r="F5" s="34"/>
      <c r="G5" s="34"/>
      <c r="H5" s="35">
        <f>SUM(I5)-1.4</f>
        <v>32.6</v>
      </c>
      <c r="I5" s="36">
        <v>34</v>
      </c>
      <c r="J5" s="23">
        <f>SUM(I5)+1.4</f>
        <v>35.4</v>
      </c>
      <c r="K5" s="23">
        <f>SUM(J5)+1.4</f>
        <v>36.799999999999997</v>
      </c>
      <c r="L5" s="23"/>
      <c r="M5" s="30"/>
    </row>
    <row r="6" spans="1:15" s="2" customFormat="1" ht="14.1" customHeight="1" x14ac:dyDescent="0.3">
      <c r="A6" s="14"/>
      <c r="B6" s="26" t="s">
        <v>11</v>
      </c>
      <c r="C6" s="26"/>
      <c r="D6" s="27" t="s">
        <v>26</v>
      </c>
      <c r="E6" s="28"/>
      <c r="F6" s="28"/>
      <c r="G6" s="32"/>
      <c r="H6" s="19"/>
      <c r="I6" s="21"/>
      <c r="J6" s="29"/>
      <c r="K6" s="29"/>
      <c r="L6" s="29"/>
      <c r="M6" s="31"/>
    </row>
    <row r="7" spans="1:15" s="2" customFormat="1" ht="14.1" customHeight="1" x14ac:dyDescent="0.3">
      <c r="A7" s="14">
        <v>3</v>
      </c>
      <c r="B7" s="33" t="s">
        <v>19</v>
      </c>
      <c r="C7" s="33"/>
      <c r="D7" s="34" t="s">
        <v>53</v>
      </c>
      <c r="E7" s="34"/>
      <c r="F7" s="34"/>
      <c r="G7" s="34"/>
      <c r="H7" s="35">
        <f>SUM(I7)-1.5</f>
        <v>32.5</v>
      </c>
      <c r="I7" s="36">
        <v>34</v>
      </c>
      <c r="J7" s="23">
        <f>SUM(I7)+1.5</f>
        <v>35.5</v>
      </c>
      <c r="K7" s="23">
        <f>SUM(J7)+1.5</f>
        <v>37</v>
      </c>
      <c r="L7" s="23"/>
      <c r="M7" s="30"/>
    </row>
    <row r="8" spans="1:15" s="2" customFormat="1" ht="14.1" customHeight="1" x14ac:dyDescent="0.3">
      <c r="A8" s="14"/>
      <c r="B8" s="26" t="s">
        <v>24</v>
      </c>
      <c r="C8" s="26"/>
      <c r="D8" s="27" t="s">
        <v>27</v>
      </c>
      <c r="E8" s="28"/>
      <c r="F8" s="28"/>
      <c r="G8" s="32"/>
      <c r="H8" s="19"/>
      <c r="I8" s="21"/>
      <c r="J8" s="29"/>
      <c r="K8" s="29"/>
      <c r="L8" s="29"/>
      <c r="M8" s="31"/>
    </row>
    <row r="9" spans="1:15" s="2" customFormat="1" ht="14.1" customHeight="1" x14ac:dyDescent="0.3">
      <c r="A9" s="14">
        <v>4</v>
      </c>
      <c r="B9" s="33" t="s">
        <v>25</v>
      </c>
      <c r="C9" s="33"/>
      <c r="D9" s="34" t="s">
        <v>9</v>
      </c>
      <c r="E9" s="34"/>
      <c r="F9" s="34"/>
      <c r="G9" s="34"/>
      <c r="H9" s="35">
        <f>SUM(I9)-1.2</f>
        <v>25.8</v>
      </c>
      <c r="I9" s="36">
        <v>27</v>
      </c>
      <c r="J9" s="23">
        <f>SUM(I9)+1.2</f>
        <v>28.2</v>
      </c>
      <c r="K9" s="23">
        <f>SUM(J9)+1.2</f>
        <v>29.4</v>
      </c>
      <c r="L9" s="23"/>
      <c r="M9" s="30"/>
      <c r="O9" s="2" t="s">
        <v>127</v>
      </c>
    </row>
    <row r="10" spans="1:15" s="2" customFormat="1" ht="14.1" customHeight="1" x14ac:dyDescent="0.3">
      <c r="A10" s="14"/>
      <c r="B10" s="26" t="s">
        <v>12</v>
      </c>
      <c r="C10" s="26"/>
      <c r="D10" s="27" t="s">
        <v>28</v>
      </c>
      <c r="E10" s="28"/>
      <c r="F10" s="28"/>
      <c r="G10" s="32"/>
      <c r="H10" s="19"/>
      <c r="I10" s="21"/>
      <c r="J10" s="29"/>
      <c r="K10" s="29"/>
      <c r="L10" s="29"/>
      <c r="M10" s="31"/>
    </row>
    <row r="11" spans="1:15" s="2" customFormat="1" ht="14.1" customHeight="1" x14ac:dyDescent="0.3">
      <c r="A11" s="14">
        <v>5</v>
      </c>
      <c r="B11" s="33" t="s">
        <v>10</v>
      </c>
      <c r="C11" s="33"/>
      <c r="D11" s="34" t="s">
        <v>0</v>
      </c>
      <c r="E11" s="34"/>
      <c r="F11" s="34"/>
      <c r="G11" s="34"/>
      <c r="H11" s="35">
        <f>SUM(I11)-0.8</f>
        <v>13.2</v>
      </c>
      <c r="I11" s="36">
        <v>14</v>
      </c>
      <c r="J11" s="23">
        <f t="shared" ref="J11:K11" si="0">SUM(I11)+0.8</f>
        <v>14.8</v>
      </c>
      <c r="K11" s="23">
        <f t="shared" si="0"/>
        <v>15.600000000000001</v>
      </c>
      <c r="L11" s="23"/>
      <c r="M11" s="30"/>
    </row>
    <row r="12" spans="1:15" s="2" customFormat="1" ht="14.1" customHeight="1" x14ac:dyDescent="0.3">
      <c r="A12" s="14"/>
      <c r="B12" s="26" t="s">
        <v>13</v>
      </c>
      <c r="C12" s="26"/>
      <c r="D12" s="27" t="s">
        <v>29</v>
      </c>
      <c r="E12" s="28"/>
      <c r="F12" s="28"/>
      <c r="G12" s="32"/>
      <c r="H12" s="19"/>
      <c r="I12" s="21"/>
      <c r="J12" s="29"/>
      <c r="K12" s="29"/>
      <c r="L12" s="29"/>
      <c r="M12" s="31"/>
    </row>
    <row r="13" spans="1:15" s="2" customFormat="1" ht="14.1" customHeight="1" x14ac:dyDescent="0.3">
      <c r="A13" s="14">
        <v>6</v>
      </c>
      <c r="B13" s="33" t="s">
        <v>1</v>
      </c>
      <c r="C13" s="33"/>
      <c r="D13" s="34" t="s">
        <v>2</v>
      </c>
      <c r="E13" s="34"/>
      <c r="F13" s="34"/>
      <c r="G13" s="34"/>
      <c r="H13" s="35">
        <f>SUM(I13)-0.5</f>
        <v>14</v>
      </c>
      <c r="I13" s="36">
        <v>14.5</v>
      </c>
      <c r="J13" s="23">
        <f>SUM(I13)+0.5</f>
        <v>15</v>
      </c>
      <c r="K13" s="23">
        <f>SUM(J13)+0.5</f>
        <v>15.5</v>
      </c>
      <c r="L13" s="33"/>
      <c r="M13" s="30"/>
    </row>
    <row r="14" spans="1:15" s="2" customFormat="1" ht="14.1" customHeight="1" x14ac:dyDescent="0.3">
      <c r="A14" s="14"/>
      <c r="B14" s="26" t="s">
        <v>14</v>
      </c>
      <c r="C14" s="26"/>
      <c r="D14" s="27" t="s">
        <v>60</v>
      </c>
      <c r="E14" s="28"/>
      <c r="F14" s="28"/>
      <c r="G14" s="32"/>
      <c r="H14" s="19"/>
      <c r="I14" s="21"/>
      <c r="J14" s="29"/>
      <c r="K14" s="29"/>
      <c r="L14" s="26"/>
      <c r="M14" s="31"/>
    </row>
    <row r="15" spans="1:15" s="2" customFormat="1" ht="14.1" customHeight="1" x14ac:dyDescent="0.3">
      <c r="A15" s="14">
        <v>7</v>
      </c>
      <c r="B15" s="33" t="s">
        <v>3</v>
      </c>
      <c r="C15" s="33"/>
      <c r="D15" s="34" t="s">
        <v>4</v>
      </c>
      <c r="E15" s="34"/>
      <c r="F15" s="34"/>
      <c r="G15" s="34"/>
      <c r="H15" s="35">
        <f>SUM(I15)-0.3</f>
        <v>6.7</v>
      </c>
      <c r="I15" s="36">
        <v>7</v>
      </c>
      <c r="J15" s="23">
        <f>SUM(I15)+0.3</f>
        <v>7.3</v>
      </c>
      <c r="K15" s="23">
        <f>SUM(J15)+0.3</f>
        <v>7.6</v>
      </c>
      <c r="L15" s="33"/>
      <c r="M15" s="30"/>
    </row>
    <row r="16" spans="1:15" s="2" customFormat="1" ht="14.1" customHeight="1" x14ac:dyDescent="0.3">
      <c r="A16" s="14"/>
      <c r="B16" s="26" t="s">
        <v>15</v>
      </c>
      <c r="C16" s="26"/>
      <c r="D16" s="27" t="s">
        <v>59</v>
      </c>
      <c r="E16" s="28"/>
      <c r="F16" s="28"/>
      <c r="G16" s="32"/>
      <c r="H16" s="19"/>
      <c r="I16" s="21"/>
      <c r="J16" s="29"/>
      <c r="K16" s="29"/>
      <c r="L16" s="26"/>
      <c r="M16" s="31"/>
    </row>
    <row r="17" spans="1:13" s="2" customFormat="1" ht="14.1" customHeight="1" x14ac:dyDescent="0.3">
      <c r="A17" s="14">
        <v>8</v>
      </c>
      <c r="B17" s="40" t="s">
        <v>44</v>
      </c>
      <c r="C17" s="41"/>
      <c r="D17" s="42" t="s">
        <v>46</v>
      </c>
      <c r="E17" s="43"/>
      <c r="F17" s="43"/>
      <c r="G17" s="44"/>
      <c r="H17" s="35">
        <f>SUM(I17)-1.4</f>
        <v>33.6</v>
      </c>
      <c r="I17" s="36">
        <v>35</v>
      </c>
      <c r="J17" s="23">
        <f>SUM(I17)+1.4</f>
        <v>36.4</v>
      </c>
      <c r="K17" s="23">
        <f>SUM(J17)+1.4</f>
        <v>37.799999999999997</v>
      </c>
      <c r="L17" s="33"/>
      <c r="M17" s="30"/>
    </row>
    <row r="18" spans="1:13" s="2" customFormat="1" ht="14.1" customHeight="1" x14ac:dyDescent="0.3">
      <c r="A18" s="14"/>
      <c r="B18" s="26" t="s">
        <v>45</v>
      </c>
      <c r="C18" s="26"/>
      <c r="D18" s="27" t="s">
        <v>58</v>
      </c>
      <c r="E18" s="28"/>
      <c r="F18" s="28"/>
      <c r="G18" s="32"/>
      <c r="H18" s="19"/>
      <c r="I18" s="21"/>
      <c r="J18" s="29"/>
      <c r="K18" s="29"/>
      <c r="L18" s="26"/>
      <c r="M18" s="31"/>
    </row>
    <row r="19" spans="1:13" s="2" customFormat="1" ht="14.1" customHeight="1" x14ac:dyDescent="0.3">
      <c r="A19" s="14">
        <v>9</v>
      </c>
      <c r="B19" s="33" t="s">
        <v>5</v>
      </c>
      <c r="C19" s="33"/>
      <c r="D19" s="34" t="s">
        <v>6</v>
      </c>
      <c r="E19" s="34"/>
      <c r="F19" s="34"/>
      <c r="G19" s="34"/>
      <c r="H19" s="35">
        <f>SUM(I19)-2.8</f>
        <v>19.7</v>
      </c>
      <c r="I19" s="36">
        <v>22.5</v>
      </c>
      <c r="J19" s="23">
        <f>SUM(I19)+2.8</f>
        <v>25.3</v>
      </c>
      <c r="K19" s="23">
        <f>SUM(J19)+2.8</f>
        <v>28.1</v>
      </c>
      <c r="L19" s="23"/>
      <c r="M19" s="30"/>
    </row>
    <row r="20" spans="1:13" s="2" customFormat="1" ht="14.1" customHeight="1" x14ac:dyDescent="0.3">
      <c r="A20" s="14"/>
      <c r="B20" s="26" t="s">
        <v>16</v>
      </c>
      <c r="C20" s="26"/>
      <c r="D20" s="27" t="s">
        <v>32</v>
      </c>
      <c r="E20" s="28"/>
      <c r="F20" s="28"/>
      <c r="G20" s="32"/>
      <c r="H20" s="19"/>
      <c r="I20" s="21"/>
      <c r="J20" s="29"/>
      <c r="K20" s="29"/>
      <c r="L20" s="29"/>
      <c r="M20" s="31"/>
    </row>
    <row r="21" spans="1:13" s="2" customFormat="1" ht="14.1" customHeight="1" x14ac:dyDescent="0.3">
      <c r="A21" s="14">
        <v>10</v>
      </c>
      <c r="B21" s="33" t="s">
        <v>7</v>
      </c>
      <c r="C21" s="33"/>
      <c r="D21" s="42" t="s">
        <v>8</v>
      </c>
      <c r="E21" s="43"/>
      <c r="F21" s="43"/>
      <c r="G21" s="44"/>
      <c r="H21" s="35">
        <f>SUM(I21)-1.5</f>
        <v>24.8</v>
      </c>
      <c r="I21" s="36">
        <v>26.3</v>
      </c>
      <c r="J21" s="23">
        <f>SUM(I21)+1.5</f>
        <v>27.8</v>
      </c>
      <c r="K21" s="23">
        <f>SUM(J21)+1.5</f>
        <v>29.3</v>
      </c>
      <c r="L21" s="23"/>
      <c r="M21" s="30"/>
    </row>
    <row r="22" spans="1:13" s="2" customFormat="1" ht="14.1" customHeight="1" x14ac:dyDescent="0.3">
      <c r="A22" s="14"/>
      <c r="B22" s="26" t="s">
        <v>17</v>
      </c>
      <c r="C22" s="26"/>
      <c r="D22" s="27" t="s">
        <v>36</v>
      </c>
      <c r="E22" s="28"/>
      <c r="F22" s="28"/>
      <c r="G22" s="32"/>
      <c r="H22" s="19"/>
      <c r="I22" s="21"/>
      <c r="J22" s="29"/>
      <c r="K22" s="29"/>
      <c r="L22" s="29"/>
      <c r="M22" s="31"/>
    </row>
    <row r="23" spans="1:13" s="2" customFormat="1" ht="14.1" customHeight="1" x14ac:dyDescent="0.3">
      <c r="A23" s="14">
        <v>11</v>
      </c>
      <c r="B23" s="40" t="s">
        <v>54</v>
      </c>
      <c r="C23" s="41"/>
      <c r="D23" s="34" t="s">
        <v>37</v>
      </c>
      <c r="E23" s="34"/>
      <c r="F23" s="34"/>
      <c r="G23" s="34"/>
      <c r="H23" s="35">
        <f>SUM(I23)-0.5</f>
        <v>13.5</v>
      </c>
      <c r="I23" s="36">
        <v>14</v>
      </c>
      <c r="J23" s="23">
        <f>SUM(I23)+0.5</f>
        <v>14.5</v>
      </c>
      <c r="K23" s="23">
        <f>SUM(J23)+0.5</f>
        <v>15</v>
      </c>
      <c r="L23" s="23"/>
      <c r="M23" s="30"/>
    </row>
    <row r="24" spans="1:13" s="2" customFormat="1" ht="14.1" customHeight="1" x14ac:dyDescent="0.3">
      <c r="A24" s="14"/>
      <c r="B24" s="26" t="s">
        <v>18</v>
      </c>
      <c r="C24" s="26"/>
      <c r="D24" s="27" t="s">
        <v>38</v>
      </c>
      <c r="E24" s="28"/>
      <c r="F24" s="28"/>
      <c r="G24" s="32"/>
      <c r="H24" s="19"/>
      <c r="I24" s="21"/>
      <c r="J24" s="29"/>
      <c r="K24" s="29"/>
      <c r="L24" s="29"/>
      <c r="M24" s="31"/>
    </row>
    <row r="25" spans="1:13" s="2" customFormat="1" ht="14.1" customHeight="1" x14ac:dyDescent="0.3">
      <c r="A25" s="14">
        <v>12</v>
      </c>
      <c r="B25" s="40" t="s">
        <v>183</v>
      </c>
      <c r="C25" s="41"/>
      <c r="D25" s="46"/>
      <c r="E25" s="47"/>
      <c r="F25" s="47"/>
      <c r="G25" s="48"/>
      <c r="H25" s="35">
        <f>SUM(I25)</f>
        <v>6</v>
      </c>
      <c r="I25" s="36">
        <v>6</v>
      </c>
      <c r="J25" s="23">
        <f>SUM(I25)+0.2</f>
        <v>6.2</v>
      </c>
      <c r="K25" s="23">
        <f>SUM(J25)+0.2</f>
        <v>6.4</v>
      </c>
      <c r="L25" s="33"/>
      <c r="M25" s="30"/>
    </row>
    <row r="26" spans="1:13" s="2" customFormat="1" ht="14.1" customHeight="1" x14ac:dyDescent="0.3">
      <c r="A26" s="14"/>
      <c r="B26" s="56" t="s">
        <v>184</v>
      </c>
      <c r="C26" s="57"/>
      <c r="D26" s="27"/>
      <c r="E26" s="28"/>
      <c r="F26" s="28"/>
      <c r="G26" s="32"/>
      <c r="H26" s="19"/>
      <c r="I26" s="21"/>
      <c r="J26" s="29"/>
      <c r="K26" s="29"/>
      <c r="L26" s="26"/>
      <c r="M26" s="31"/>
    </row>
    <row r="27" spans="1:13" s="2" customFormat="1" ht="14.1" customHeight="1" x14ac:dyDescent="0.3">
      <c r="A27" s="13">
        <v>13</v>
      </c>
      <c r="B27" s="40" t="s">
        <v>61</v>
      </c>
      <c r="C27" s="41"/>
      <c r="D27" s="46" t="s">
        <v>57</v>
      </c>
      <c r="E27" s="47"/>
      <c r="F27" s="47"/>
      <c r="G27" s="48"/>
      <c r="H27" s="35">
        <f>SUM(I27)-0.2</f>
        <v>2.8</v>
      </c>
      <c r="I27" s="36">
        <v>3</v>
      </c>
      <c r="J27" s="23">
        <f>SUM(I27)+0.2</f>
        <v>3.2</v>
      </c>
      <c r="K27" s="23">
        <f>SUM(J27)+0.2</f>
        <v>3.4000000000000004</v>
      </c>
      <c r="L27" s="23"/>
      <c r="M27" s="30"/>
    </row>
    <row r="28" spans="1:13" s="2" customFormat="1" ht="14.1" customHeight="1" thickBot="1" x14ac:dyDescent="0.35">
      <c r="A28" s="79"/>
      <c r="B28" s="84" t="s">
        <v>62</v>
      </c>
      <c r="C28" s="85"/>
      <c r="D28" s="126" t="s">
        <v>56</v>
      </c>
      <c r="E28" s="127"/>
      <c r="F28" s="127"/>
      <c r="G28" s="128"/>
      <c r="H28" s="80"/>
      <c r="I28" s="81"/>
      <c r="J28" s="82"/>
      <c r="K28" s="82"/>
      <c r="L28" s="82"/>
      <c r="M28" s="83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CA2A-7C55-454A-A359-D10DDABBC7C6}">
  <sheetPr>
    <tabColor theme="9"/>
    <pageSetUpPr fitToPage="1"/>
  </sheetPr>
  <dimension ref="A1:O51"/>
  <sheetViews>
    <sheetView zoomScale="110" zoomScaleNormal="110" workbookViewId="0">
      <selection activeCell="P22" sqref="P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5" ht="16.5" customHeight="1" thickBot="1" x14ac:dyDescent="0.35">
      <c r="A1" s="9" t="s">
        <v>217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5" ht="16.5" customHeight="1" thickBot="1" x14ac:dyDescent="0.35">
      <c r="A2" s="5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150</v>
      </c>
      <c r="I2" s="3" t="s">
        <v>151</v>
      </c>
      <c r="J2" s="4" t="s">
        <v>152</v>
      </c>
      <c r="K2" s="4" t="s">
        <v>164</v>
      </c>
      <c r="L2" s="4"/>
      <c r="M2" s="4"/>
      <c r="N2" t="s">
        <v>52</v>
      </c>
    </row>
    <row r="3" spans="1:15" s="2" customFormat="1" ht="14.1" customHeight="1" x14ac:dyDescent="0.3">
      <c r="A3" s="13">
        <v>1</v>
      </c>
      <c r="B3" s="15" t="s">
        <v>23</v>
      </c>
      <c r="C3" s="15"/>
      <c r="D3" s="16" t="s">
        <v>55</v>
      </c>
      <c r="E3" s="16"/>
      <c r="F3" s="16"/>
      <c r="G3" s="17"/>
      <c r="H3" s="18">
        <f>SUM(I3)-3</f>
        <v>32</v>
      </c>
      <c r="I3" s="20">
        <v>35</v>
      </c>
      <c r="J3" s="109">
        <f>SUM(I3)+3</f>
        <v>38</v>
      </c>
      <c r="K3" s="109">
        <f>SUM(J3)+3</f>
        <v>41</v>
      </c>
      <c r="L3" s="15"/>
      <c r="M3" s="110"/>
    </row>
    <row r="4" spans="1:15" s="2" customFormat="1" ht="14.1" customHeight="1" x14ac:dyDescent="0.3">
      <c r="A4" s="14"/>
      <c r="B4" s="26" t="s">
        <v>20</v>
      </c>
      <c r="C4" s="26"/>
      <c r="D4" s="27" t="s">
        <v>39</v>
      </c>
      <c r="E4" s="28"/>
      <c r="F4" s="28"/>
      <c r="G4" s="28"/>
      <c r="H4" s="49"/>
      <c r="I4" s="21"/>
      <c r="J4" s="29"/>
      <c r="K4" s="29"/>
      <c r="L4" s="26"/>
      <c r="M4" s="31"/>
    </row>
    <row r="5" spans="1:15" s="2" customFormat="1" ht="14.1" customHeight="1" x14ac:dyDescent="0.3">
      <c r="A5" s="14">
        <v>2</v>
      </c>
      <c r="B5" s="33" t="s">
        <v>21</v>
      </c>
      <c r="C5" s="33"/>
      <c r="D5" s="34" t="s">
        <v>22</v>
      </c>
      <c r="E5" s="34"/>
      <c r="F5" s="34"/>
      <c r="G5" s="34"/>
      <c r="H5" s="35">
        <f>SUM(I5)-1.2</f>
        <v>24.900000000000002</v>
      </c>
      <c r="I5" s="36">
        <v>26.1</v>
      </c>
      <c r="J5" s="23">
        <f>SUM(I5)+1.2</f>
        <v>27.3</v>
      </c>
      <c r="K5" s="23">
        <f>SUM(J5)+1.2</f>
        <v>28.5</v>
      </c>
      <c r="L5" s="23"/>
      <c r="M5" s="30"/>
    </row>
    <row r="6" spans="1:15" s="2" customFormat="1" ht="14.1" customHeight="1" x14ac:dyDescent="0.3">
      <c r="A6" s="14"/>
      <c r="B6" s="26" t="s">
        <v>11</v>
      </c>
      <c r="C6" s="26"/>
      <c r="D6" s="27" t="s">
        <v>26</v>
      </c>
      <c r="E6" s="28"/>
      <c r="F6" s="28"/>
      <c r="G6" s="32"/>
      <c r="H6" s="19"/>
      <c r="I6" s="21"/>
      <c r="J6" s="29"/>
      <c r="K6" s="29"/>
      <c r="L6" s="29"/>
      <c r="M6" s="31"/>
    </row>
    <row r="7" spans="1:15" s="2" customFormat="1" ht="14.1" customHeight="1" x14ac:dyDescent="0.3">
      <c r="A7" s="14">
        <v>3</v>
      </c>
      <c r="B7" s="33" t="s">
        <v>19</v>
      </c>
      <c r="C7" s="33"/>
      <c r="D7" s="34" t="s">
        <v>53</v>
      </c>
      <c r="E7" s="34"/>
      <c r="F7" s="34"/>
      <c r="G7" s="34"/>
      <c r="H7" s="35">
        <f>SUM(I7)-1.5</f>
        <v>33.5</v>
      </c>
      <c r="I7" s="36">
        <v>35</v>
      </c>
      <c r="J7" s="23">
        <f>SUM(I7)+1.5</f>
        <v>36.5</v>
      </c>
      <c r="K7" s="23">
        <f>SUM(J7)+1.5</f>
        <v>38</v>
      </c>
      <c r="L7" s="23"/>
      <c r="M7" s="30"/>
    </row>
    <row r="8" spans="1:15" s="2" customFormat="1" ht="14.1" customHeight="1" x14ac:dyDescent="0.3">
      <c r="A8" s="14"/>
      <c r="B8" s="26" t="s">
        <v>24</v>
      </c>
      <c r="C8" s="26"/>
      <c r="D8" s="27" t="s">
        <v>27</v>
      </c>
      <c r="E8" s="28"/>
      <c r="F8" s="28"/>
      <c r="G8" s="32"/>
      <c r="H8" s="19"/>
      <c r="I8" s="21"/>
      <c r="J8" s="29"/>
      <c r="K8" s="29"/>
      <c r="L8" s="29"/>
      <c r="M8" s="31"/>
    </row>
    <row r="9" spans="1:15" s="2" customFormat="1" ht="14.1" customHeight="1" x14ac:dyDescent="0.3">
      <c r="A9" s="14">
        <v>4</v>
      </c>
      <c r="B9" s="33" t="s">
        <v>25</v>
      </c>
      <c r="C9" s="33"/>
      <c r="D9" s="34" t="s">
        <v>9</v>
      </c>
      <c r="E9" s="34"/>
      <c r="F9" s="34"/>
      <c r="G9" s="34"/>
      <c r="H9" s="35">
        <f>SUM(I9)-1.2</f>
        <v>27.8</v>
      </c>
      <c r="I9" s="36">
        <v>29</v>
      </c>
      <c r="J9" s="23">
        <f>SUM(I9)+1.2</f>
        <v>30.2</v>
      </c>
      <c r="K9" s="23">
        <f>SUM(J9)+1.2</f>
        <v>31.4</v>
      </c>
      <c r="L9" s="23"/>
      <c r="M9" s="30"/>
      <c r="O9" s="2" t="s">
        <v>127</v>
      </c>
    </row>
    <row r="10" spans="1:15" s="2" customFormat="1" ht="14.1" customHeight="1" x14ac:dyDescent="0.3">
      <c r="A10" s="14"/>
      <c r="B10" s="26" t="s">
        <v>12</v>
      </c>
      <c r="C10" s="26"/>
      <c r="D10" s="27" t="s">
        <v>28</v>
      </c>
      <c r="E10" s="28"/>
      <c r="F10" s="28"/>
      <c r="G10" s="32"/>
      <c r="H10" s="19"/>
      <c r="I10" s="21"/>
      <c r="J10" s="29"/>
      <c r="K10" s="29"/>
      <c r="L10" s="29"/>
      <c r="M10" s="31"/>
    </row>
    <row r="11" spans="1:15" s="2" customFormat="1" ht="14.1" customHeight="1" x14ac:dyDescent="0.3">
      <c r="A11" s="14">
        <v>5</v>
      </c>
      <c r="B11" s="33" t="s">
        <v>10</v>
      </c>
      <c r="C11" s="33"/>
      <c r="D11" s="34" t="s">
        <v>0</v>
      </c>
      <c r="E11" s="34"/>
      <c r="F11" s="34"/>
      <c r="G11" s="34"/>
      <c r="H11" s="35">
        <f>SUM(I11)-0.9</f>
        <v>13.2</v>
      </c>
      <c r="I11" s="36">
        <v>14.1</v>
      </c>
      <c r="J11" s="23">
        <f>SUM(I11)+0.9</f>
        <v>15</v>
      </c>
      <c r="K11" s="23">
        <f>SUM(J11)+0.9</f>
        <v>15.9</v>
      </c>
      <c r="L11" s="23"/>
      <c r="M11" s="30"/>
    </row>
    <row r="12" spans="1:15" s="2" customFormat="1" ht="14.1" customHeight="1" x14ac:dyDescent="0.3">
      <c r="A12" s="14"/>
      <c r="B12" s="26" t="s">
        <v>13</v>
      </c>
      <c r="C12" s="26"/>
      <c r="D12" s="27" t="s">
        <v>29</v>
      </c>
      <c r="E12" s="28"/>
      <c r="F12" s="28"/>
      <c r="G12" s="32"/>
      <c r="H12" s="19"/>
      <c r="I12" s="21"/>
      <c r="J12" s="29"/>
      <c r="K12" s="29"/>
      <c r="L12" s="29"/>
      <c r="M12" s="31"/>
    </row>
    <row r="13" spans="1:15" s="2" customFormat="1" ht="14.1" customHeight="1" x14ac:dyDescent="0.3">
      <c r="A13" s="14">
        <v>6</v>
      </c>
      <c r="B13" s="33" t="s">
        <v>1</v>
      </c>
      <c r="C13" s="33"/>
      <c r="D13" s="34" t="s">
        <v>2</v>
      </c>
      <c r="E13" s="34"/>
      <c r="F13" s="34"/>
      <c r="G13" s="34"/>
      <c r="H13" s="35">
        <f>SUM(I13)-0.5</f>
        <v>13.8</v>
      </c>
      <c r="I13" s="36">
        <v>14.3</v>
      </c>
      <c r="J13" s="23">
        <f>SUM(I13)+0.5</f>
        <v>14.8</v>
      </c>
      <c r="K13" s="23">
        <f>SUM(J13)+0.5</f>
        <v>15.3</v>
      </c>
      <c r="L13" s="33"/>
      <c r="M13" s="30"/>
    </row>
    <row r="14" spans="1:15" s="2" customFormat="1" ht="14.1" customHeight="1" x14ac:dyDescent="0.3">
      <c r="A14" s="14"/>
      <c r="B14" s="26" t="s">
        <v>14</v>
      </c>
      <c r="C14" s="26"/>
      <c r="D14" s="27" t="s">
        <v>60</v>
      </c>
      <c r="E14" s="28"/>
      <c r="F14" s="28"/>
      <c r="G14" s="32"/>
      <c r="H14" s="19"/>
      <c r="I14" s="21"/>
      <c r="J14" s="29"/>
      <c r="K14" s="29"/>
      <c r="L14" s="26"/>
      <c r="M14" s="31"/>
    </row>
    <row r="15" spans="1:15" s="2" customFormat="1" ht="14.1" customHeight="1" x14ac:dyDescent="0.3">
      <c r="A15" s="14">
        <v>7</v>
      </c>
      <c r="B15" s="33" t="s">
        <v>3</v>
      </c>
      <c r="C15" s="33"/>
      <c r="D15" s="34" t="s">
        <v>4</v>
      </c>
      <c r="E15" s="34"/>
      <c r="F15" s="34"/>
      <c r="G15" s="34"/>
      <c r="H15" s="35">
        <f>SUM(I15)-0.3</f>
        <v>6.1000000000000005</v>
      </c>
      <c r="I15" s="36">
        <v>6.4</v>
      </c>
      <c r="J15" s="23">
        <f>SUM(I15)+0.3</f>
        <v>6.7</v>
      </c>
      <c r="K15" s="23">
        <f>SUM(J15)+0.3</f>
        <v>7</v>
      </c>
      <c r="L15" s="33"/>
      <c r="M15" s="30"/>
    </row>
    <row r="16" spans="1:15" s="2" customFormat="1" ht="14.1" customHeight="1" x14ac:dyDescent="0.3">
      <c r="A16" s="14"/>
      <c r="B16" s="26" t="s">
        <v>15</v>
      </c>
      <c r="C16" s="26"/>
      <c r="D16" s="27" t="s">
        <v>59</v>
      </c>
      <c r="E16" s="28"/>
      <c r="F16" s="28"/>
      <c r="G16" s="32"/>
      <c r="H16" s="19"/>
      <c r="I16" s="21"/>
      <c r="J16" s="29"/>
      <c r="K16" s="29"/>
      <c r="L16" s="26"/>
      <c r="M16" s="31"/>
    </row>
    <row r="17" spans="1:13" s="2" customFormat="1" ht="14.1" customHeight="1" x14ac:dyDescent="0.3">
      <c r="A17" s="14">
        <v>8</v>
      </c>
      <c r="B17" s="40" t="s">
        <v>44</v>
      </c>
      <c r="C17" s="41"/>
      <c r="D17" s="42" t="s">
        <v>46</v>
      </c>
      <c r="E17" s="43"/>
      <c r="F17" s="43"/>
      <c r="G17" s="44"/>
      <c r="H17" s="35">
        <f>SUM(I17)-1.4</f>
        <v>35.6</v>
      </c>
      <c r="I17" s="36">
        <v>37</v>
      </c>
      <c r="J17" s="23">
        <f>SUM(I17)+1.4</f>
        <v>38.4</v>
      </c>
      <c r="K17" s="23">
        <f>SUM(J17)+1.4</f>
        <v>39.799999999999997</v>
      </c>
      <c r="L17" s="33"/>
      <c r="M17" s="30"/>
    </row>
    <row r="18" spans="1:13" s="2" customFormat="1" ht="14.1" customHeight="1" x14ac:dyDescent="0.3">
      <c r="A18" s="14"/>
      <c r="B18" s="26" t="s">
        <v>45</v>
      </c>
      <c r="C18" s="26"/>
      <c r="D18" s="27" t="s">
        <v>58</v>
      </c>
      <c r="E18" s="28"/>
      <c r="F18" s="28"/>
      <c r="G18" s="32"/>
      <c r="H18" s="19"/>
      <c r="I18" s="21"/>
      <c r="J18" s="29"/>
      <c r="K18" s="29"/>
      <c r="L18" s="26"/>
      <c r="M18" s="31"/>
    </row>
    <row r="19" spans="1:13" s="2" customFormat="1" ht="14.1" customHeight="1" x14ac:dyDescent="0.3">
      <c r="A19" s="14">
        <v>9</v>
      </c>
      <c r="B19" s="33" t="s">
        <v>5</v>
      </c>
      <c r="C19" s="33"/>
      <c r="D19" s="34" t="s">
        <v>6</v>
      </c>
      <c r="E19" s="34"/>
      <c r="F19" s="34"/>
      <c r="G19" s="34"/>
      <c r="H19" s="35">
        <f>SUM(I19)-2.9</f>
        <v>24.6</v>
      </c>
      <c r="I19" s="36">
        <v>27.5</v>
      </c>
      <c r="J19" s="23">
        <f>SUM(I19)+2.9</f>
        <v>30.4</v>
      </c>
      <c r="K19" s="23">
        <f>SUM(J19)+2.9</f>
        <v>33.299999999999997</v>
      </c>
      <c r="L19" s="23"/>
      <c r="M19" s="30"/>
    </row>
    <row r="20" spans="1:13" s="2" customFormat="1" ht="14.1" customHeight="1" x14ac:dyDescent="0.3">
      <c r="A20" s="14"/>
      <c r="B20" s="26" t="s">
        <v>16</v>
      </c>
      <c r="C20" s="26"/>
      <c r="D20" s="27" t="s">
        <v>32</v>
      </c>
      <c r="E20" s="28"/>
      <c r="F20" s="28"/>
      <c r="G20" s="32"/>
      <c r="H20" s="19"/>
      <c r="I20" s="21"/>
      <c r="J20" s="29"/>
      <c r="K20" s="29"/>
      <c r="L20" s="29"/>
      <c r="M20" s="31"/>
    </row>
    <row r="21" spans="1:13" s="2" customFormat="1" ht="14.1" customHeight="1" x14ac:dyDescent="0.3">
      <c r="A21" s="14">
        <v>10</v>
      </c>
      <c r="B21" s="33" t="s">
        <v>7</v>
      </c>
      <c r="C21" s="33"/>
      <c r="D21" s="42" t="s">
        <v>8</v>
      </c>
      <c r="E21" s="43"/>
      <c r="F21" s="43"/>
      <c r="G21" s="44"/>
      <c r="H21" s="35"/>
      <c r="I21" s="36"/>
      <c r="J21" s="23"/>
      <c r="K21" s="23"/>
      <c r="L21" s="23"/>
      <c r="M21" s="30"/>
    </row>
    <row r="22" spans="1:13" s="2" customFormat="1" ht="14.1" customHeight="1" x14ac:dyDescent="0.3">
      <c r="A22" s="14"/>
      <c r="B22" s="26" t="s">
        <v>17</v>
      </c>
      <c r="C22" s="26"/>
      <c r="D22" s="27" t="s">
        <v>36</v>
      </c>
      <c r="E22" s="28"/>
      <c r="F22" s="28"/>
      <c r="G22" s="32"/>
      <c r="H22" s="19"/>
      <c r="I22" s="21"/>
      <c r="J22" s="29"/>
      <c r="K22" s="29"/>
      <c r="L22" s="29"/>
      <c r="M22" s="31"/>
    </row>
    <row r="23" spans="1:13" s="2" customFormat="1" ht="14.1" customHeight="1" x14ac:dyDescent="0.3">
      <c r="A23" s="14">
        <v>11</v>
      </c>
      <c r="B23" s="40" t="s">
        <v>54</v>
      </c>
      <c r="C23" s="41"/>
      <c r="D23" s="34" t="s">
        <v>37</v>
      </c>
      <c r="E23" s="34"/>
      <c r="F23" s="34"/>
      <c r="G23" s="34"/>
      <c r="H23" s="35">
        <f>SUM(I23)-0.5</f>
        <v>13.5</v>
      </c>
      <c r="I23" s="36">
        <v>14</v>
      </c>
      <c r="J23" s="23">
        <f>SUM(I23)+0.5</f>
        <v>14.5</v>
      </c>
      <c r="K23" s="23">
        <f>SUM(J23)+0.5</f>
        <v>15</v>
      </c>
      <c r="L23" s="23"/>
      <c r="M23" s="30"/>
    </row>
    <row r="24" spans="1:13" s="2" customFormat="1" ht="14.1" customHeight="1" x14ac:dyDescent="0.3">
      <c r="A24" s="14"/>
      <c r="B24" s="26" t="s">
        <v>18</v>
      </c>
      <c r="C24" s="26"/>
      <c r="D24" s="27" t="s">
        <v>38</v>
      </c>
      <c r="E24" s="28"/>
      <c r="F24" s="28"/>
      <c r="G24" s="32"/>
      <c r="H24" s="19"/>
      <c r="I24" s="21"/>
      <c r="J24" s="29"/>
      <c r="K24" s="29"/>
      <c r="L24" s="29"/>
      <c r="M24" s="31"/>
    </row>
    <row r="25" spans="1:13" s="2" customFormat="1" ht="14.1" customHeight="1" x14ac:dyDescent="0.3">
      <c r="A25" s="14">
        <v>12</v>
      </c>
      <c r="B25" s="40" t="s">
        <v>61</v>
      </c>
      <c r="C25" s="41"/>
      <c r="D25" s="46" t="s">
        <v>57</v>
      </c>
      <c r="E25" s="47"/>
      <c r="F25" s="47"/>
      <c r="G25" s="48"/>
      <c r="H25" s="35">
        <f>SUM(I25)-0.2</f>
        <v>2.8</v>
      </c>
      <c r="I25" s="36">
        <v>3</v>
      </c>
      <c r="J25" s="23">
        <f>SUM(I25)+0.2</f>
        <v>3.2</v>
      </c>
      <c r="K25" s="23">
        <f>SUM(J25)+0.2</f>
        <v>3.4000000000000004</v>
      </c>
      <c r="L25" s="33"/>
      <c r="M25" s="30"/>
    </row>
    <row r="26" spans="1:13" s="2" customFormat="1" ht="14.1" customHeight="1" x14ac:dyDescent="0.3">
      <c r="A26" s="14"/>
      <c r="B26" s="56" t="s">
        <v>62</v>
      </c>
      <c r="C26" s="57"/>
      <c r="D26" s="27" t="s">
        <v>56</v>
      </c>
      <c r="E26" s="28"/>
      <c r="F26" s="28"/>
      <c r="G26" s="32"/>
      <c r="H26" s="19"/>
      <c r="I26" s="21"/>
      <c r="J26" s="29"/>
      <c r="K26" s="29"/>
      <c r="L26" s="26"/>
      <c r="M26" s="31"/>
    </row>
    <row r="27" spans="1:13" s="2" customFormat="1" ht="14.1" customHeight="1" x14ac:dyDescent="0.3">
      <c r="A27" s="13">
        <v>13</v>
      </c>
      <c r="B27" s="40" t="s">
        <v>183</v>
      </c>
      <c r="C27" s="41"/>
      <c r="D27" s="46"/>
      <c r="E27" s="47"/>
      <c r="F27" s="47"/>
      <c r="G27" s="48"/>
      <c r="H27" s="35">
        <f>SUM(I27)</f>
        <v>8.5</v>
      </c>
      <c r="I27" s="36">
        <v>8.5</v>
      </c>
      <c r="J27" s="23">
        <f>SUM(I27)+0.2</f>
        <v>8.6999999999999993</v>
      </c>
      <c r="K27" s="23">
        <f>SUM(J27)+0.2</f>
        <v>8.8999999999999986</v>
      </c>
      <c r="L27" s="23"/>
      <c r="M27" s="30"/>
    </row>
    <row r="28" spans="1:13" s="2" customFormat="1" ht="14.1" customHeight="1" thickBot="1" x14ac:dyDescent="0.35">
      <c r="A28" s="79"/>
      <c r="B28" s="84" t="s">
        <v>184</v>
      </c>
      <c r="C28" s="85"/>
      <c r="D28" s="126"/>
      <c r="E28" s="127"/>
      <c r="F28" s="127"/>
      <c r="G28" s="128"/>
      <c r="H28" s="80"/>
      <c r="I28" s="81"/>
      <c r="J28" s="82"/>
      <c r="K28" s="82"/>
      <c r="L28" s="82"/>
      <c r="M28" s="83"/>
    </row>
    <row r="29" spans="1:13" ht="14.1" customHeight="1" x14ac:dyDescent="0.3"/>
    <row r="30" spans="1:13" ht="14.1" customHeight="1" x14ac:dyDescent="0.3"/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9898-6A10-47AF-B70F-9F5AF85ACD6D}">
  <sheetPr>
    <tabColor theme="9"/>
    <pageSetUpPr fitToPage="1"/>
  </sheetPr>
  <dimension ref="A1:P51"/>
  <sheetViews>
    <sheetView zoomScale="110" zoomScaleNormal="110" workbookViewId="0">
      <selection activeCell="P12" sqref="P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9" t="s">
        <v>235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6" ht="16.5" customHeight="1" thickBot="1" x14ac:dyDescent="0.35">
      <c r="A2" s="5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150</v>
      </c>
      <c r="I2" s="3" t="s">
        <v>151</v>
      </c>
      <c r="J2" s="4" t="s">
        <v>152</v>
      </c>
      <c r="K2" s="4" t="s">
        <v>164</v>
      </c>
      <c r="L2" s="4"/>
      <c r="M2" s="4"/>
      <c r="N2" t="s">
        <v>52</v>
      </c>
    </row>
    <row r="3" spans="1:16" s="2" customFormat="1" ht="14.1" customHeight="1" x14ac:dyDescent="0.3">
      <c r="A3" s="13">
        <v>1</v>
      </c>
      <c r="B3" s="15" t="s">
        <v>23</v>
      </c>
      <c r="C3" s="15"/>
      <c r="D3" s="16" t="s">
        <v>55</v>
      </c>
      <c r="E3" s="16"/>
      <c r="F3" s="16"/>
      <c r="G3" s="17"/>
      <c r="H3" s="18">
        <f>SUM(I3)-3</f>
        <v>28.5</v>
      </c>
      <c r="I3" s="20">
        <v>31.5</v>
      </c>
      <c r="J3" s="109">
        <f>SUM(I3)+3</f>
        <v>34.5</v>
      </c>
      <c r="K3" s="109">
        <f>SUM(J3)+3</f>
        <v>37.5</v>
      </c>
      <c r="L3" s="22"/>
      <c r="M3" s="123"/>
    </row>
    <row r="4" spans="1:16" s="2" customFormat="1" ht="14.1" customHeight="1" x14ac:dyDescent="0.3">
      <c r="A4" s="14"/>
      <c r="B4" s="26" t="s">
        <v>20</v>
      </c>
      <c r="C4" s="26"/>
      <c r="D4" s="27" t="s">
        <v>39</v>
      </c>
      <c r="E4" s="28"/>
      <c r="F4" s="28"/>
      <c r="G4" s="28"/>
      <c r="H4" s="49"/>
      <c r="I4" s="21"/>
      <c r="J4" s="29"/>
      <c r="K4" s="29"/>
      <c r="L4" s="23"/>
      <c r="M4" s="30"/>
    </row>
    <row r="5" spans="1:16" s="2" customFormat="1" ht="14.1" customHeight="1" x14ac:dyDescent="0.3">
      <c r="A5" s="14">
        <v>2</v>
      </c>
      <c r="B5" s="33" t="s">
        <v>21</v>
      </c>
      <c r="C5" s="33"/>
      <c r="D5" s="34" t="s">
        <v>22</v>
      </c>
      <c r="E5" s="34"/>
      <c r="F5" s="34"/>
      <c r="G5" s="34"/>
      <c r="H5" s="23">
        <f>SUM(I5)-1.4</f>
        <v>22.6</v>
      </c>
      <c r="I5" s="36">
        <v>24</v>
      </c>
      <c r="J5" s="23">
        <f>SUM(I5)+1.4</f>
        <v>25.4</v>
      </c>
      <c r="K5" s="23">
        <f>SUM(J5)+1.4</f>
        <v>26.799999999999997</v>
      </c>
      <c r="L5" s="23"/>
      <c r="M5" s="30"/>
    </row>
    <row r="6" spans="1:16" s="2" customFormat="1" ht="14.1" customHeight="1" x14ac:dyDescent="0.3">
      <c r="A6" s="14"/>
      <c r="B6" s="26" t="s">
        <v>236</v>
      </c>
      <c r="C6" s="26"/>
      <c r="D6" s="27" t="s">
        <v>237</v>
      </c>
      <c r="E6" s="28"/>
      <c r="F6" s="28"/>
      <c r="G6" s="32"/>
      <c r="H6" s="29"/>
      <c r="I6" s="21"/>
      <c r="J6" s="29"/>
      <c r="K6" s="29"/>
      <c r="L6" s="29"/>
      <c r="M6" s="31"/>
    </row>
    <row r="7" spans="1:16" s="2" customFormat="1" ht="14.1" customHeight="1" x14ac:dyDescent="0.3">
      <c r="A7" s="14">
        <v>3</v>
      </c>
      <c r="B7" s="33" t="s">
        <v>19</v>
      </c>
      <c r="C7" s="33"/>
      <c r="D7" s="34" t="s">
        <v>53</v>
      </c>
      <c r="E7" s="34"/>
      <c r="F7" s="34"/>
      <c r="G7" s="34"/>
      <c r="H7" s="23">
        <f>SUM(I7)-1.5</f>
        <v>28.5</v>
      </c>
      <c r="I7" s="36">
        <v>30</v>
      </c>
      <c r="J7" s="23">
        <f>SUM(I7)+1.5</f>
        <v>31.5</v>
      </c>
      <c r="K7" s="23">
        <f>SUM(J7)+1.5</f>
        <v>33</v>
      </c>
      <c r="L7" s="23"/>
      <c r="M7" s="30"/>
    </row>
    <row r="8" spans="1:16" s="2" customFormat="1" ht="14.1" customHeight="1" x14ac:dyDescent="0.3">
      <c r="A8" s="14"/>
      <c r="B8" s="26" t="s">
        <v>24</v>
      </c>
      <c r="C8" s="26"/>
      <c r="D8" s="27" t="s">
        <v>238</v>
      </c>
      <c r="E8" s="28"/>
      <c r="F8" s="28"/>
      <c r="G8" s="32"/>
      <c r="H8" s="29"/>
      <c r="I8" s="21"/>
      <c r="J8" s="29"/>
      <c r="K8" s="29"/>
      <c r="L8" s="29"/>
      <c r="M8" s="31"/>
    </row>
    <row r="9" spans="1:16" s="2" customFormat="1" ht="14.1" customHeight="1" x14ac:dyDescent="0.3">
      <c r="A9" s="14">
        <v>4</v>
      </c>
      <c r="B9" s="33" t="s">
        <v>25</v>
      </c>
      <c r="C9" s="33"/>
      <c r="D9" s="34" t="s">
        <v>9</v>
      </c>
      <c r="E9" s="34"/>
      <c r="F9" s="34"/>
      <c r="G9" s="34"/>
      <c r="H9" s="23">
        <f>SUM(I9)-1.3</f>
        <v>17.7</v>
      </c>
      <c r="I9" s="36">
        <v>19</v>
      </c>
      <c r="J9" s="23">
        <f>SUM(I9)+1.3</f>
        <v>20.3</v>
      </c>
      <c r="K9" s="23">
        <f>SUM(J9)+1.3</f>
        <v>21.6</v>
      </c>
      <c r="L9" s="23"/>
      <c r="M9" s="30"/>
    </row>
    <row r="10" spans="1:16" s="2" customFormat="1" ht="14.1" customHeight="1" x14ac:dyDescent="0.3">
      <c r="A10" s="14"/>
      <c r="B10" s="26" t="s">
        <v>12</v>
      </c>
      <c r="C10" s="26"/>
      <c r="D10" s="27" t="s">
        <v>239</v>
      </c>
      <c r="E10" s="28"/>
      <c r="F10" s="28"/>
      <c r="G10" s="32"/>
      <c r="H10" s="29"/>
      <c r="I10" s="21"/>
      <c r="J10" s="29"/>
      <c r="K10" s="29"/>
      <c r="L10" s="29"/>
      <c r="M10" s="31"/>
    </row>
    <row r="11" spans="1:16" s="2" customFormat="1" ht="14.1" customHeight="1" x14ac:dyDescent="0.3">
      <c r="A11" s="14">
        <v>5</v>
      </c>
      <c r="B11" s="33" t="s">
        <v>142</v>
      </c>
      <c r="C11" s="33"/>
      <c r="D11" s="34"/>
      <c r="E11" s="34"/>
      <c r="F11" s="34"/>
      <c r="G11" s="34"/>
      <c r="H11" s="37">
        <f>SUM(I11)</f>
        <v>3</v>
      </c>
      <c r="I11" s="122">
        <v>3</v>
      </c>
      <c r="J11" s="37">
        <f>SUM(I11)</f>
        <v>3</v>
      </c>
      <c r="K11" s="37">
        <f>SUM(J11)</f>
        <v>3</v>
      </c>
      <c r="L11" s="37"/>
      <c r="M11" s="38"/>
    </row>
    <row r="12" spans="1:16" s="2" customFormat="1" ht="14.1" customHeight="1" x14ac:dyDescent="0.3">
      <c r="A12" s="14"/>
      <c r="B12" s="26" t="s">
        <v>143</v>
      </c>
      <c r="C12" s="26"/>
      <c r="D12" s="27"/>
      <c r="E12" s="28"/>
      <c r="F12" s="28"/>
      <c r="G12" s="32"/>
      <c r="H12" s="37"/>
      <c r="I12" s="122"/>
      <c r="J12" s="37"/>
      <c r="K12" s="37"/>
      <c r="L12" s="37"/>
      <c r="M12" s="38"/>
    </row>
    <row r="13" spans="1:16" s="2" customFormat="1" ht="14.1" customHeight="1" x14ac:dyDescent="0.3">
      <c r="A13" s="14">
        <v>6</v>
      </c>
      <c r="B13" s="33" t="s">
        <v>10</v>
      </c>
      <c r="C13" s="33"/>
      <c r="D13" s="34" t="s">
        <v>0</v>
      </c>
      <c r="E13" s="34"/>
      <c r="F13" s="34"/>
      <c r="G13" s="34"/>
      <c r="H13" s="37">
        <f>SUM(I13)-0.9</f>
        <v>16.100000000000001</v>
      </c>
      <c r="I13" s="122">
        <v>17</v>
      </c>
      <c r="J13" s="37">
        <f>SUM(I13)+0.9</f>
        <v>17.899999999999999</v>
      </c>
      <c r="K13" s="37">
        <f>SUM(J13)+0.9</f>
        <v>18.799999999999997</v>
      </c>
      <c r="L13" s="37"/>
      <c r="M13" s="38"/>
      <c r="P13" s="2" t="s">
        <v>127</v>
      </c>
    </row>
    <row r="14" spans="1:16" s="2" customFormat="1" ht="14.1" customHeight="1" x14ac:dyDescent="0.3">
      <c r="A14" s="14"/>
      <c r="B14" s="26" t="s">
        <v>13</v>
      </c>
      <c r="C14" s="26"/>
      <c r="D14" s="27" t="s">
        <v>240</v>
      </c>
      <c r="E14" s="28"/>
      <c r="F14" s="28"/>
      <c r="G14" s="32"/>
      <c r="H14" s="37"/>
      <c r="I14" s="122"/>
      <c r="J14" s="37"/>
      <c r="K14" s="37"/>
      <c r="L14" s="37"/>
      <c r="M14" s="38"/>
    </row>
    <row r="15" spans="1:16" s="2" customFormat="1" ht="14.1" customHeight="1" x14ac:dyDescent="0.3">
      <c r="A15" s="14">
        <v>7</v>
      </c>
      <c r="B15" s="33" t="s">
        <v>1</v>
      </c>
      <c r="C15" s="33"/>
      <c r="D15" s="34" t="s">
        <v>2</v>
      </c>
      <c r="E15" s="34"/>
      <c r="F15" s="34"/>
      <c r="G15" s="34"/>
      <c r="H15" s="37">
        <f>SUM(I15)-0.5</f>
        <v>14.5</v>
      </c>
      <c r="I15" s="122">
        <v>15</v>
      </c>
      <c r="J15" s="37">
        <f>SUM(I15)+0.5</f>
        <v>15.5</v>
      </c>
      <c r="K15" s="37">
        <f>SUM(J15)+0.5</f>
        <v>16</v>
      </c>
      <c r="L15" s="37"/>
      <c r="M15" s="38"/>
    </row>
    <row r="16" spans="1:16" s="2" customFormat="1" ht="14.1" customHeight="1" x14ac:dyDescent="0.3">
      <c r="A16" s="14"/>
      <c r="B16" s="26" t="s">
        <v>14</v>
      </c>
      <c r="C16" s="26"/>
      <c r="D16" s="27" t="s">
        <v>30</v>
      </c>
      <c r="E16" s="28"/>
      <c r="F16" s="28"/>
      <c r="G16" s="32"/>
      <c r="H16" s="37"/>
      <c r="I16" s="122"/>
      <c r="J16" s="37"/>
      <c r="K16" s="37"/>
      <c r="L16" s="37"/>
      <c r="M16" s="38"/>
    </row>
    <row r="17" spans="1:13" s="2" customFormat="1" ht="14.1" customHeight="1" x14ac:dyDescent="0.3">
      <c r="A17" s="14">
        <v>8</v>
      </c>
      <c r="B17" s="33" t="s">
        <v>3</v>
      </c>
      <c r="C17" s="33"/>
      <c r="D17" s="34" t="s">
        <v>4</v>
      </c>
      <c r="E17" s="34"/>
      <c r="F17" s="34"/>
      <c r="G17" s="34"/>
      <c r="H17" s="37">
        <f>SUM(I17)-0.3</f>
        <v>5.7</v>
      </c>
      <c r="I17" s="122">
        <v>6</v>
      </c>
      <c r="J17" s="37">
        <f>SUM(I17)+0.3</f>
        <v>6.3</v>
      </c>
      <c r="K17" s="37">
        <f>SUM(J17)+0.3</f>
        <v>6.6</v>
      </c>
      <c r="L17" s="37"/>
      <c r="M17" s="38"/>
    </row>
    <row r="18" spans="1:13" s="2" customFormat="1" ht="14.1" customHeight="1" x14ac:dyDescent="0.3">
      <c r="A18" s="14"/>
      <c r="B18" s="26" t="s">
        <v>15</v>
      </c>
      <c r="C18" s="26"/>
      <c r="D18" s="27" t="s">
        <v>31</v>
      </c>
      <c r="E18" s="28"/>
      <c r="F18" s="28"/>
      <c r="G18" s="32"/>
      <c r="H18" s="37"/>
      <c r="I18" s="122"/>
      <c r="J18" s="37"/>
      <c r="K18" s="37"/>
      <c r="L18" s="37"/>
      <c r="M18" s="38"/>
    </row>
    <row r="19" spans="1:13" s="2" customFormat="1" ht="14.1" customHeight="1" x14ac:dyDescent="0.3">
      <c r="A19" s="14">
        <v>9</v>
      </c>
      <c r="B19" s="40" t="s">
        <v>44</v>
      </c>
      <c r="C19" s="41"/>
      <c r="D19" s="42" t="s">
        <v>46</v>
      </c>
      <c r="E19" s="43"/>
      <c r="F19" s="43"/>
      <c r="G19" s="44"/>
      <c r="H19" s="37"/>
      <c r="I19" s="122"/>
      <c r="J19" s="37"/>
      <c r="K19" s="120"/>
      <c r="L19" s="37"/>
      <c r="M19" s="38"/>
    </row>
    <row r="20" spans="1:13" s="2" customFormat="1" ht="14.1" customHeight="1" x14ac:dyDescent="0.3">
      <c r="A20" s="14"/>
      <c r="B20" s="26" t="s">
        <v>45</v>
      </c>
      <c r="C20" s="26"/>
      <c r="D20" s="27" t="s">
        <v>47</v>
      </c>
      <c r="E20" s="28"/>
      <c r="F20" s="28"/>
      <c r="G20" s="32"/>
      <c r="H20" s="37"/>
      <c r="I20" s="122"/>
      <c r="J20" s="37"/>
      <c r="K20" s="120"/>
      <c r="L20" s="37"/>
      <c r="M20" s="38"/>
    </row>
    <row r="21" spans="1:13" s="2" customFormat="1" ht="14.1" customHeight="1" x14ac:dyDescent="0.3">
      <c r="A21" s="14">
        <v>10</v>
      </c>
      <c r="B21" s="33" t="s">
        <v>144</v>
      </c>
      <c r="C21" s="33"/>
      <c r="D21" s="34"/>
      <c r="E21" s="34"/>
      <c r="F21" s="34"/>
      <c r="G21" s="34"/>
      <c r="H21" s="37">
        <f>SUM(I21)</f>
        <v>1.8</v>
      </c>
      <c r="I21" s="122">
        <v>1.8</v>
      </c>
      <c r="J21" s="37">
        <f>SUM(I21)</f>
        <v>1.8</v>
      </c>
      <c r="K21" s="37">
        <f>SUM(J21)</f>
        <v>1.8</v>
      </c>
      <c r="L21" s="37"/>
      <c r="M21" s="38"/>
    </row>
    <row r="22" spans="1:13" s="2" customFormat="1" ht="14.1" customHeight="1" x14ac:dyDescent="0.3">
      <c r="A22" s="14"/>
      <c r="B22" s="26" t="s">
        <v>145</v>
      </c>
      <c r="C22" s="26"/>
      <c r="D22" s="27"/>
      <c r="E22" s="28"/>
      <c r="F22" s="28"/>
      <c r="G22" s="32"/>
      <c r="H22" s="37"/>
      <c r="I22" s="122"/>
      <c r="J22" s="37"/>
      <c r="K22" s="37"/>
      <c r="L22" s="37"/>
      <c r="M22" s="38"/>
    </row>
    <row r="23" spans="1:13" s="2" customFormat="1" ht="14.1" customHeight="1" x14ac:dyDescent="0.3">
      <c r="A23" s="14">
        <v>11</v>
      </c>
      <c r="B23" s="33" t="s">
        <v>5</v>
      </c>
      <c r="C23" s="33"/>
      <c r="D23" s="34" t="s">
        <v>6</v>
      </c>
      <c r="E23" s="34"/>
      <c r="F23" s="34"/>
      <c r="G23" s="34"/>
      <c r="H23" s="37"/>
      <c r="I23" s="122"/>
      <c r="J23" s="37"/>
      <c r="K23" s="37"/>
      <c r="L23" s="37"/>
      <c r="M23" s="38"/>
    </row>
    <row r="24" spans="1:13" s="2" customFormat="1" ht="14.1" customHeight="1" x14ac:dyDescent="0.3">
      <c r="A24" s="14"/>
      <c r="B24" s="26" t="s">
        <v>16</v>
      </c>
      <c r="C24" s="26"/>
      <c r="D24" s="27" t="s">
        <v>32</v>
      </c>
      <c r="E24" s="28"/>
      <c r="F24" s="28"/>
      <c r="G24" s="32"/>
      <c r="H24" s="37"/>
      <c r="I24" s="122"/>
      <c r="J24" s="37"/>
      <c r="K24" s="37"/>
      <c r="L24" s="37"/>
      <c r="M24" s="38"/>
    </row>
    <row r="25" spans="1:13" s="2" customFormat="1" ht="14.1" customHeight="1" x14ac:dyDescent="0.3">
      <c r="A25" s="14">
        <v>12</v>
      </c>
      <c r="B25" s="33" t="s">
        <v>7</v>
      </c>
      <c r="C25" s="33"/>
      <c r="D25" s="42" t="s">
        <v>8</v>
      </c>
      <c r="E25" s="43"/>
      <c r="F25" s="43"/>
      <c r="G25" s="44"/>
      <c r="H25" s="37"/>
      <c r="I25" s="122"/>
      <c r="J25" s="37"/>
      <c r="K25" s="37"/>
      <c r="L25" s="37"/>
      <c r="M25" s="38"/>
    </row>
    <row r="26" spans="1:13" s="2" customFormat="1" ht="14.1" customHeight="1" x14ac:dyDescent="0.3">
      <c r="A26" s="14"/>
      <c r="B26" s="26" t="s">
        <v>17</v>
      </c>
      <c r="C26" s="26"/>
      <c r="D26" s="27" t="s">
        <v>36</v>
      </c>
      <c r="E26" s="28"/>
      <c r="F26" s="28"/>
      <c r="G26" s="32"/>
      <c r="H26" s="37"/>
      <c r="I26" s="122"/>
      <c r="J26" s="37"/>
      <c r="K26" s="37"/>
      <c r="L26" s="37"/>
      <c r="M26" s="38"/>
    </row>
    <row r="27" spans="1:13" s="2" customFormat="1" ht="14.1" customHeight="1" x14ac:dyDescent="0.3">
      <c r="A27" s="14">
        <v>13</v>
      </c>
      <c r="B27" s="40" t="s">
        <v>54</v>
      </c>
      <c r="C27" s="41"/>
      <c r="D27" s="34" t="s">
        <v>37</v>
      </c>
      <c r="E27" s="34"/>
      <c r="F27" s="34"/>
      <c r="G27" s="34"/>
      <c r="H27" s="37"/>
      <c r="I27" s="122"/>
      <c r="J27" s="37"/>
      <c r="K27" s="37"/>
      <c r="L27" s="37"/>
      <c r="M27" s="38"/>
    </row>
    <row r="28" spans="1:13" s="2" customFormat="1" ht="14.1" customHeight="1" x14ac:dyDescent="0.3">
      <c r="A28" s="14"/>
      <c r="B28" s="26" t="s">
        <v>18</v>
      </c>
      <c r="C28" s="26"/>
      <c r="D28" s="27" t="s">
        <v>38</v>
      </c>
      <c r="E28" s="28"/>
      <c r="F28" s="28"/>
      <c r="G28" s="32"/>
      <c r="H28" s="37"/>
      <c r="I28" s="122"/>
      <c r="J28" s="37"/>
      <c r="K28" s="37"/>
      <c r="L28" s="37"/>
      <c r="M28" s="38"/>
    </row>
    <row r="29" spans="1:13" s="2" customFormat="1" ht="14.1" customHeight="1" x14ac:dyDescent="0.3">
      <c r="A29" s="14">
        <v>14</v>
      </c>
      <c r="B29" s="40"/>
      <c r="C29" s="41"/>
      <c r="D29" s="34"/>
      <c r="E29" s="34"/>
      <c r="F29" s="34"/>
      <c r="G29" s="34"/>
      <c r="H29" s="37"/>
      <c r="I29" s="122"/>
      <c r="J29" s="37"/>
      <c r="K29" s="37"/>
      <c r="L29" s="37"/>
      <c r="M29" s="38"/>
    </row>
    <row r="30" spans="1:13" s="2" customFormat="1" ht="14.1" customHeight="1" x14ac:dyDescent="0.3">
      <c r="A30" s="14"/>
      <c r="B30" s="26"/>
      <c r="C30" s="26"/>
      <c r="D30" s="27"/>
      <c r="E30" s="28"/>
      <c r="F30" s="28"/>
      <c r="G30" s="32"/>
      <c r="H30" s="37"/>
      <c r="I30" s="122"/>
      <c r="J30" s="37"/>
      <c r="K30" s="37"/>
      <c r="L30" s="37"/>
      <c r="M30" s="38"/>
    </row>
    <row r="31" spans="1:13" s="2" customFormat="1" ht="14.1" customHeight="1" x14ac:dyDescent="0.3">
      <c r="A31" s="14">
        <v>15</v>
      </c>
      <c r="B31" s="40"/>
      <c r="C31" s="41"/>
      <c r="D31" s="46"/>
      <c r="E31" s="47"/>
      <c r="F31" s="47"/>
      <c r="G31" s="48"/>
      <c r="H31" s="37"/>
      <c r="I31" s="122"/>
      <c r="J31" s="37"/>
      <c r="K31" s="37"/>
      <c r="L31" s="23"/>
      <c r="M31" s="30"/>
    </row>
    <row r="32" spans="1:13" s="2" customFormat="1" ht="14.1" customHeight="1" x14ac:dyDescent="0.3">
      <c r="A32" s="14"/>
      <c r="B32" s="56"/>
      <c r="C32" s="57"/>
      <c r="D32" s="27"/>
      <c r="E32" s="28"/>
      <c r="F32" s="28"/>
      <c r="G32" s="32"/>
      <c r="H32" s="37"/>
      <c r="I32" s="122"/>
      <c r="J32" s="37"/>
      <c r="K32" s="37"/>
      <c r="L32" s="29"/>
      <c r="M32" s="31"/>
    </row>
    <row r="33" spans="1:13" s="2" customFormat="1" ht="14.1" customHeight="1" x14ac:dyDescent="0.3">
      <c r="A33" s="14">
        <v>16</v>
      </c>
      <c r="B33" s="40"/>
      <c r="C33" s="41"/>
      <c r="D33" s="42"/>
      <c r="E33" s="43"/>
      <c r="F33" s="43"/>
      <c r="G33" s="44"/>
      <c r="H33" s="23"/>
      <c r="I33" s="36"/>
      <c r="J33" s="23"/>
      <c r="K33" s="35"/>
      <c r="L33" s="23"/>
      <c r="M33" s="30"/>
    </row>
    <row r="34" spans="1:13" s="2" customFormat="1" ht="14.1" customHeight="1" thickBot="1" x14ac:dyDescent="0.35">
      <c r="A34" s="79"/>
      <c r="B34" s="84"/>
      <c r="C34" s="85"/>
      <c r="D34" s="126"/>
      <c r="E34" s="127"/>
      <c r="F34" s="127"/>
      <c r="G34" s="128"/>
      <c r="H34" s="82"/>
      <c r="I34" s="81"/>
      <c r="J34" s="82"/>
      <c r="K34" s="80"/>
      <c r="L34" s="82"/>
      <c r="M34" s="83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D763-0E09-4B2A-9742-BA891FBD33D0}">
  <sheetPr>
    <tabColor theme="9"/>
    <pageSetUpPr fitToPage="1"/>
  </sheetPr>
  <dimension ref="A1:O51"/>
  <sheetViews>
    <sheetView zoomScale="110" zoomScaleNormal="110" workbookViewId="0">
      <selection sqref="A1:M3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5" ht="16.5" customHeight="1" thickBot="1" x14ac:dyDescent="0.35">
      <c r="A1" s="9" t="s">
        <v>230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5" ht="16.5" customHeight="1" thickBot="1" x14ac:dyDescent="0.35">
      <c r="A2" s="5" t="s">
        <v>33</v>
      </c>
      <c r="B2" s="12" t="s">
        <v>34</v>
      </c>
      <c r="C2" s="12"/>
      <c r="D2" s="12" t="s">
        <v>35</v>
      </c>
      <c r="E2" s="12"/>
      <c r="F2" s="12"/>
      <c r="G2" s="12"/>
      <c r="H2" s="8" t="s">
        <v>150</v>
      </c>
      <c r="I2" s="3" t="s">
        <v>151</v>
      </c>
      <c r="J2" s="4" t="s">
        <v>152</v>
      </c>
      <c r="K2" s="4" t="s">
        <v>164</v>
      </c>
      <c r="L2" s="4"/>
      <c r="M2" s="4"/>
      <c r="N2" t="s">
        <v>52</v>
      </c>
    </row>
    <row r="3" spans="1:15" s="2" customFormat="1" ht="14.1" customHeight="1" x14ac:dyDescent="0.3">
      <c r="A3" s="13">
        <v>1</v>
      </c>
      <c r="B3" s="15" t="s">
        <v>23</v>
      </c>
      <c r="C3" s="15"/>
      <c r="D3" s="16" t="s">
        <v>55</v>
      </c>
      <c r="E3" s="16"/>
      <c r="F3" s="16"/>
      <c r="G3" s="17"/>
      <c r="H3" s="18">
        <f>SUM(I3)-3</f>
        <v>31</v>
      </c>
      <c r="I3" s="20">
        <v>34</v>
      </c>
      <c r="J3" s="109">
        <f>SUM(I3)+3</f>
        <v>37</v>
      </c>
      <c r="K3" s="109">
        <f>SUM(J3)+3</f>
        <v>40</v>
      </c>
      <c r="L3" s="15"/>
      <c r="M3" s="110"/>
    </row>
    <row r="4" spans="1:15" s="2" customFormat="1" ht="14.1" customHeight="1" x14ac:dyDescent="0.3">
      <c r="A4" s="14"/>
      <c r="B4" s="26" t="s">
        <v>20</v>
      </c>
      <c r="C4" s="26"/>
      <c r="D4" s="27" t="s">
        <v>39</v>
      </c>
      <c r="E4" s="28"/>
      <c r="F4" s="28"/>
      <c r="G4" s="28"/>
      <c r="H4" s="49"/>
      <c r="I4" s="21"/>
      <c r="J4" s="29"/>
      <c r="K4" s="29"/>
      <c r="L4" s="26"/>
      <c r="M4" s="31"/>
    </row>
    <row r="5" spans="1:15" s="2" customFormat="1" ht="14.1" customHeight="1" x14ac:dyDescent="0.3">
      <c r="A5" s="14">
        <v>2</v>
      </c>
      <c r="B5" s="33" t="s">
        <v>21</v>
      </c>
      <c r="C5" s="33"/>
      <c r="D5" s="34" t="s">
        <v>22</v>
      </c>
      <c r="E5" s="34"/>
      <c r="F5" s="34"/>
      <c r="G5" s="34"/>
      <c r="H5" s="35">
        <f>SUM(I5)-1.4</f>
        <v>27.6</v>
      </c>
      <c r="I5" s="36">
        <v>29</v>
      </c>
      <c r="J5" s="23">
        <f>SUM(I5)+1.4</f>
        <v>30.4</v>
      </c>
      <c r="K5" s="23">
        <f>SUM(J5)+1.4</f>
        <v>31.799999999999997</v>
      </c>
      <c r="L5" s="23"/>
      <c r="M5" s="30"/>
    </row>
    <row r="6" spans="1:15" s="2" customFormat="1" ht="14.1" customHeight="1" x14ac:dyDescent="0.3">
      <c r="A6" s="14"/>
      <c r="B6" s="26" t="s">
        <v>11</v>
      </c>
      <c r="C6" s="26"/>
      <c r="D6" s="27" t="s">
        <v>26</v>
      </c>
      <c r="E6" s="28"/>
      <c r="F6" s="28"/>
      <c r="G6" s="32"/>
      <c r="H6" s="19"/>
      <c r="I6" s="21"/>
      <c r="J6" s="29"/>
      <c r="K6" s="29"/>
      <c r="L6" s="29"/>
      <c r="M6" s="31"/>
    </row>
    <row r="7" spans="1:15" s="2" customFormat="1" ht="14.1" customHeight="1" x14ac:dyDescent="0.3">
      <c r="A7" s="14">
        <v>3</v>
      </c>
      <c r="B7" s="33" t="s">
        <v>19</v>
      </c>
      <c r="C7" s="33"/>
      <c r="D7" s="34" t="s">
        <v>53</v>
      </c>
      <c r="E7" s="34"/>
      <c r="F7" s="34"/>
      <c r="G7" s="34"/>
      <c r="H7" s="35">
        <f>SUM(I7)-1.5</f>
        <v>27.5</v>
      </c>
      <c r="I7" s="36">
        <v>29</v>
      </c>
      <c r="J7" s="23">
        <f>SUM(I7)+1.5</f>
        <v>30.5</v>
      </c>
      <c r="K7" s="23">
        <f>SUM(J7)+1.5</f>
        <v>32</v>
      </c>
      <c r="L7" s="23"/>
      <c r="M7" s="30"/>
    </row>
    <row r="8" spans="1:15" s="2" customFormat="1" ht="14.1" customHeight="1" x14ac:dyDescent="0.3">
      <c r="A8" s="14"/>
      <c r="B8" s="26" t="s">
        <v>24</v>
      </c>
      <c r="C8" s="26"/>
      <c r="D8" s="27" t="s">
        <v>27</v>
      </c>
      <c r="E8" s="28"/>
      <c r="F8" s="28"/>
      <c r="G8" s="32"/>
      <c r="H8" s="19"/>
      <c r="I8" s="21"/>
      <c r="J8" s="29"/>
      <c r="K8" s="29"/>
      <c r="L8" s="29"/>
      <c r="M8" s="31"/>
    </row>
    <row r="9" spans="1:15" s="2" customFormat="1" ht="14.1" customHeight="1" x14ac:dyDescent="0.3">
      <c r="A9" s="14">
        <v>4</v>
      </c>
      <c r="B9" s="33" t="s">
        <v>25</v>
      </c>
      <c r="C9" s="33"/>
      <c r="D9" s="34" t="s">
        <v>9</v>
      </c>
      <c r="E9" s="34"/>
      <c r="F9" s="34"/>
      <c r="G9" s="34"/>
      <c r="H9" s="35">
        <f>SUM(I9)-1.5</f>
        <v>27.5</v>
      </c>
      <c r="I9" s="36">
        <v>29</v>
      </c>
      <c r="J9" s="23">
        <f>SUM(I9)+1.5</f>
        <v>30.5</v>
      </c>
      <c r="K9" s="23">
        <f>SUM(J9)+1.5</f>
        <v>32</v>
      </c>
      <c r="L9" s="23"/>
      <c r="M9" s="30"/>
      <c r="O9" s="2" t="s">
        <v>127</v>
      </c>
    </row>
    <row r="10" spans="1:15" s="2" customFormat="1" ht="14.1" customHeight="1" x14ac:dyDescent="0.3">
      <c r="A10" s="14"/>
      <c r="B10" s="26" t="s">
        <v>12</v>
      </c>
      <c r="C10" s="26"/>
      <c r="D10" s="27" t="s">
        <v>28</v>
      </c>
      <c r="E10" s="28"/>
      <c r="F10" s="28"/>
      <c r="G10" s="32"/>
      <c r="H10" s="19"/>
      <c r="I10" s="21"/>
      <c r="J10" s="29"/>
      <c r="K10" s="29"/>
      <c r="L10" s="29"/>
      <c r="M10" s="31"/>
    </row>
    <row r="11" spans="1:15" s="2" customFormat="1" ht="14.1" customHeight="1" x14ac:dyDescent="0.3">
      <c r="A11" s="14">
        <v>5</v>
      </c>
      <c r="B11" s="33" t="s">
        <v>10</v>
      </c>
      <c r="C11" s="33"/>
      <c r="D11" s="34" t="s">
        <v>0</v>
      </c>
      <c r="E11" s="34"/>
      <c r="F11" s="34"/>
      <c r="G11" s="34"/>
      <c r="H11" s="35">
        <f>SUM(I11)-0.8</f>
        <v>11.799999999999999</v>
      </c>
      <c r="I11" s="36">
        <v>12.6</v>
      </c>
      <c r="J11" s="23">
        <f t="shared" ref="J11:K11" si="0">SUM(I11)+0.8</f>
        <v>13.4</v>
      </c>
      <c r="K11" s="23">
        <f t="shared" si="0"/>
        <v>14.200000000000001</v>
      </c>
      <c r="L11" s="23"/>
      <c r="M11" s="30"/>
    </row>
    <row r="12" spans="1:15" s="2" customFormat="1" ht="14.1" customHeight="1" x14ac:dyDescent="0.3">
      <c r="A12" s="14"/>
      <c r="B12" s="26" t="s">
        <v>13</v>
      </c>
      <c r="C12" s="26"/>
      <c r="D12" s="27" t="s">
        <v>29</v>
      </c>
      <c r="E12" s="28"/>
      <c r="F12" s="28"/>
      <c r="G12" s="32"/>
      <c r="H12" s="19"/>
      <c r="I12" s="21"/>
      <c r="J12" s="29"/>
      <c r="K12" s="29"/>
      <c r="L12" s="29"/>
      <c r="M12" s="31"/>
    </row>
    <row r="13" spans="1:15" s="2" customFormat="1" ht="14.1" customHeight="1" x14ac:dyDescent="0.3">
      <c r="A13" s="14">
        <v>6</v>
      </c>
      <c r="B13" s="33" t="s">
        <v>1</v>
      </c>
      <c r="C13" s="33"/>
      <c r="D13" s="34" t="s">
        <v>2</v>
      </c>
      <c r="E13" s="34"/>
      <c r="F13" s="34"/>
      <c r="G13" s="34"/>
      <c r="H13" s="35">
        <f>SUM(I13)-0.5</f>
        <v>-0.5</v>
      </c>
      <c r="I13" s="36"/>
      <c r="J13" s="143" t="s">
        <v>232</v>
      </c>
      <c r="K13" s="144"/>
      <c r="L13" s="144"/>
      <c r="M13" s="145"/>
    </row>
    <row r="14" spans="1:15" s="2" customFormat="1" ht="14.1" customHeight="1" x14ac:dyDescent="0.3">
      <c r="A14" s="14"/>
      <c r="B14" s="26" t="s">
        <v>14</v>
      </c>
      <c r="C14" s="26"/>
      <c r="D14" s="27" t="s">
        <v>60</v>
      </c>
      <c r="E14" s="28"/>
      <c r="F14" s="28"/>
      <c r="G14" s="32"/>
      <c r="H14" s="19"/>
      <c r="I14" s="21"/>
      <c r="J14" s="111"/>
      <c r="K14" s="146"/>
      <c r="L14" s="146"/>
      <c r="M14" s="147"/>
    </row>
    <row r="15" spans="1:15" s="2" customFormat="1" ht="14.1" customHeight="1" x14ac:dyDescent="0.3">
      <c r="A15" s="14">
        <v>7</v>
      </c>
      <c r="B15" s="33" t="s">
        <v>3</v>
      </c>
      <c r="C15" s="33"/>
      <c r="D15" s="34" t="s">
        <v>4</v>
      </c>
      <c r="E15" s="34"/>
      <c r="F15" s="34"/>
      <c r="G15" s="34"/>
      <c r="H15" s="35">
        <f>SUM(I15)-0.3</f>
        <v>-0.3</v>
      </c>
      <c r="I15" s="36"/>
      <c r="J15" s="111"/>
      <c r="K15" s="146"/>
      <c r="L15" s="146"/>
      <c r="M15" s="147"/>
    </row>
    <row r="16" spans="1:15" s="2" customFormat="1" ht="14.1" customHeight="1" x14ac:dyDescent="0.3">
      <c r="A16" s="14"/>
      <c r="B16" s="26" t="s">
        <v>15</v>
      </c>
      <c r="C16" s="26"/>
      <c r="D16" s="27" t="s">
        <v>59</v>
      </c>
      <c r="E16" s="28"/>
      <c r="F16" s="28"/>
      <c r="G16" s="32"/>
      <c r="H16" s="19"/>
      <c r="I16" s="21"/>
      <c r="J16" s="111"/>
      <c r="K16" s="146"/>
      <c r="L16" s="146"/>
      <c r="M16" s="147"/>
    </row>
    <row r="17" spans="1:13" s="2" customFormat="1" ht="14.1" customHeight="1" x14ac:dyDescent="0.3">
      <c r="A17" s="14">
        <v>8</v>
      </c>
      <c r="B17" s="40" t="s">
        <v>44</v>
      </c>
      <c r="C17" s="41"/>
      <c r="D17" s="42" t="s">
        <v>46</v>
      </c>
      <c r="E17" s="43"/>
      <c r="F17" s="43"/>
      <c r="G17" s="44"/>
      <c r="H17" s="35">
        <f>SUM(I17)-1.4</f>
        <v>-1.4</v>
      </c>
      <c r="I17" s="36"/>
      <c r="J17" s="111"/>
      <c r="K17" s="146"/>
      <c r="L17" s="146"/>
      <c r="M17" s="147"/>
    </row>
    <row r="18" spans="1:13" s="2" customFormat="1" ht="14.1" customHeight="1" x14ac:dyDescent="0.3">
      <c r="A18" s="14"/>
      <c r="B18" s="26" t="s">
        <v>45</v>
      </c>
      <c r="C18" s="26"/>
      <c r="D18" s="27" t="s">
        <v>58</v>
      </c>
      <c r="E18" s="28"/>
      <c r="F18" s="28"/>
      <c r="G18" s="32"/>
      <c r="H18" s="19"/>
      <c r="I18" s="21"/>
      <c r="J18" s="68"/>
      <c r="K18" s="148"/>
      <c r="L18" s="148"/>
      <c r="M18" s="149"/>
    </row>
    <row r="19" spans="1:13" s="2" customFormat="1" ht="14.1" customHeight="1" x14ac:dyDescent="0.3">
      <c r="A19" s="14">
        <v>9</v>
      </c>
      <c r="B19" s="33" t="s">
        <v>5</v>
      </c>
      <c r="C19" s="33"/>
      <c r="D19" s="34" t="s">
        <v>6</v>
      </c>
      <c r="E19" s="34"/>
      <c r="F19" s="34"/>
      <c r="G19" s="34"/>
      <c r="H19" s="35">
        <f>SUM(I19)-2.8</f>
        <v>21.2</v>
      </c>
      <c r="I19" s="36">
        <v>24</v>
      </c>
      <c r="J19" s="23">
        <f>SUM(I19)+2.8</f>
        <v>26.8</v>
      </c>
      <c r="K19" s="23">
        <f>SUM(J19)+2.8</f>
        <v>29.6</v>
      </c>
      <c r="L19" s="23"/>
      <c r="M19" s="30"/>
    </row>
    <row r="20" spans="1:13" s="2" customFormat="1" ht="14.1" customHeight="1" x14ac:dyDescent="0.3">
      <c r="A20" s="14"/>
      <c r="B20" s="26" t="s">
        <v>16</v>
      </c>
      <c r="C20" s="26"/>
      <c r="D20" s="27" t="s">
        <v>32</v>
      </c>
      <c r="E20" s="28"/>
      <c r="F20" s="28"/>
      <c r="G20" s="32"/>
      <c r="H20" s="19"/>
      <c r="I20" s="21"/>
      <c r="J20" s="29"/>
      <c r="K20" s="29"/>
      <c r="L20" s="29"/>
      <c r="M20" s="31"/>
    </row>
    <row r="21" spans="1:13" s="2" customFormat="1" ht="14.1" customHeight="1" x14ac:dyDescent="0.3">
      <c r="A21" s="14">
        <v>10</v>
      </c>
      <c r="B21" s="33" t="s">
        <v>7</v>
      </c>
      <c r="C21" s="33"/>
      <c r="D21" s="42" t="s">
        <v>8</v>
      </c>
      <c r="E21" s="43"/>
      <c r="F21" s="43"/>
      <c r="G21" s="44"/>
      <c r="H21" s="35">
        <f>SUM(I21)-1.5</f>
        <v>22.3</v>
      </c>
      <c r="I21" s="36">
        <v>23.8</v>
      </c>
      <c r="J21" s="23">
        <f>SUM(I21)+1.5</f>
        <v>25.3</v>
      </c>
      <c r="K21" s="23">
        <f>SUM(J21)+1.5</f>
        <v>26.8</v>
      </c>
      <c r="L21" s="23"/>
      <c r="M21" s="30"/>
    </row>
    <row r="22" spans="1:13" s="2" customFormat="1" ht="14.1" customHeight="1" x14ac:dyDescent="0.3">
      <c r="A22" s="14"/>
      <c r="B22" s="26" t="s">
        <v>17</v>
      </c>
      <c r="C22" s="26"/>
      <c r="D22" s="27" t="s">
        <v>36</v>
      </c>
      <c r="E22" s="28"/>
      <c r="F22" s="28"/>
      <c r="G22" s="32"/>
      <c r="H22" s="19"/>
      <c r="I22" s="21"/>
      <c r="J22" s="29"/>
      <c r="K22" s="29"/>
      <c r="L22" s="29"/>
      <c r="M22" s="31"/>
    </row>
    <row r="23" spans="1:13" s="2" customFormat="1" ht="14.1" customHeight="1" x14ac:dyDescent="0.3">
      <c r="A23" s="14">
        <v>11</v>
      </c>
      <c r="B23" s="40" t="s">
        <v>54</v>
      </c>
      <c r="C23" s="41"/>
      <c r="D23" s="34" t="s">
        <v>37</v>
      </c>
      <c r="E23" s="34"/>
      <c r="F23" s="34"/>
      <c r="G23" s="34"/>
      <c r="H23" s="35">
        <f>SUM(I23)-0.5</f>
        <v>13.5</v>
      </c>
      <c r="I23" s="36">
        <v>14</v>
      </c>
      <c r="J23" s="23">
        <f>SUM(I23)+0.5</f>
        <v>14.5</v>
      </c>
      <c r="K23" s="23">
        <f>SUM(J23)+0.5</f>
        <v>15</v>
      </c>
      <c r="L23" s="23"/>
      <c r="M23" s="30"/>
    </row>
    <row r="24" spans="1:13" s="2" customFormat="1" ht="14.1" customHeight="1" x14ac:dyDescent="0.3">
      <c r="A24" s="14"/>
      <c r="B24" s="26" t="s">
        <v>18</v>
      </c>
      <c r="C24" s="26"/>
      <c r="D24" s="27" t="s">
        <v>38</v>
      </c>
      <c r="E24" s="28"/>
      <c r="F24" s="28"/>
      <c r="G24" s="32"/>
      <c r="H24" s="19"/>
      <c r="I24" s="21"/>
      <c r="J24" s="29"/>
      <c r="K24" s="29"/>
      <c r="L24" s="29"/>
      <c r="M24" s="31"/>
    </row>
    <row r="25" spans="1:13" s="2" customFormat="1" ht="14.1" customHeight="1" x14ac:dyDescent="0.3">
      <c r="A25" s="14">
        <v>12</v>
      </c>
      <c r="B25" s="40" t="s">
        <v>61</v>
      </c>
      <c r="C25" s="41"/>
      <c r="D25" s="46"/>
      <c r="E25" s="47"/>
      <c r="F25" s="47"/>
      <c r="G25" s="48"/>
      <c r="H25" s="23">
        <f>SUM(I25)-0.7</f>
        <v>10.3</v>
      </c>
      <c r="I25" s="36">
        <v>11</v>
      </c>
      <c r="J25" s="23">
        <f>SUM(I25)+0.7</f>
        <v>11.7</v>
      </c>
      <c r="K25" s="23">
        <f>SUM(J25)+0.7</f>
        <v>12.399999999999999</v>
      </c>
      <c r="L25" s="23"/>
      <c r="M25" s="30"/>
    </row>
    <row r="26" spans="1:13" s="2" customFormat="1" ht="14.1" customHeight="1" x14ac:dyDescent="0.3">
      <c r="A26" s="14"/>
      <c r="B26" s="56" t="s">
        <v>62</v>
      </c>
      <c r="C26" s="57"/>
      <c r="D26" s="27" t="s">
        <v>188</v>
      </c>
      <c r="E26" s="28"/>
      <c r="F26" s="28"/>
      <c r="G26" s="32"/>
      <c r="H26" s="29"/>
      <c r="I26" s="21"/>
      <c r="J26" s="29"/>
      <c r="K26" s="29"/>
      <c r="L26" s="29"/>
      <c r="M26" s="31"/>
    </row>
    <row r="27" spans="1:13" s="2" customFormat="1" ht="14.1" customHeight="1" x14ac:dyDescent="0.3">
      <c r="A27" s="13">
        <v>13</v>
      </c>
      <c r="B27" s="40" t="s">
        <v>63</v>
      </c>
      <c r="C27" s="41"/>
      <c r="D27" s="46"/>
      <c r="E27" s="47"/>
      <c r="F27" s="47"/>
      <c r="G27" s="48"/>
      <c r="H27" s="23">
        <f>SUM(I27)-0.4</f>
        <v>5.6</v>
      </c>
      <c r="I27" s="36">
        <v>6</v>
      </c>
      <c r="J27" s="23">
        <f>SUM(I27)+0.4</f>
        <v>6.4</v>
      </c>
      <c r="K27" s="23">
        <f>SUM(J27)+0.4</f>
        <v>6.8000000000000007</v>
      </c>
      <c r="L27" s="23"/>
      <c r="M27" s="30"/>
    </row>
    <row r="28" spans="1:13" s="2" customFormat="1" ht="14.1" customHeight="1" x14ac:dyDescent="0.3">
      <c r="A28" s="45"/>
      <c r="B28" s="51" t="s">
        <v>64</v>
      </c>
      <c r="C28" s="52"/>
      <c r="D28" s="53" t="s">
        <v>231</v>
      </c>
      <c r="E28" s="54"/>
      <c r="F28" s="54"/>
      <c r="G28" s="55"/>
      <c r="H28" s="66"/>
      <c r="I28" s="50"/>
      <c r="J28" s="66"/>
      <c r="K28" s="66"/>
      <c r="L28" s="66"/>
      <c r="M28" s="67"/>
    </row>
    <row r="29" spans="1:13" ht="14.1" customHeight="1" x14ac:dyDescent="0.3">
      <c r="A29" s="14">
        <v>14</v>
      </c>
      <c r="B29" s="40" t="s">
        <v>183</v>
      </c>
      <c r="C29" s="41"/>
      <c r="D29" s="46"/>
      <c r="E29" s="47"/>
      <c r="F29" s="47"/>
      <c r="G29" s="48"/>
      <c r="H29" s="35">
        <f>SUM(I29)</f>
        <v>6</v>
      </c>
      <c r="I29" s="36">
        <v>6</v>
      </c>
      <c r="J29" s="23">
        <f>SUM(I29)+0.2</f>
        <v>6.2</v>
      </c>
      <c r="K29" s="23">
        <f>SUM(J29)+0.2</f>
        <v>6.4</v>
      </c>
      <c r="L29" s="23"/>
      <c r="M29" s="30"/>
    </row>
    <row r="30" spans="1:13" ht="14.1" customHeight="1" thickBot="1" x14ac:dyDescent="0.35">
      <c r="A30" s="79"/>
      <c r="B30" s="84" t="s">
        <v>184</v>
      </c>
      <c r="C30" s="85"/>
      <c r="D30" s="126"/>
      <c r="E30" s="127"/>
      <c r="F30" s="127"/>
      <c r="G30" s="128"/>
      <c r="H30" s="80"/>
      <c r="I30" s="81"/>
      <c r="J30" s="82"/>
      <c r="K30" s="82"/>
      <c r="L30" s="82"/>
      <c r="M30" s="83"/>
    </row>
    <row r="31" spans="1:13" ht="14.1" customHeight="1" x14ac:dyDescent="0.3"/>
    <row r="32" spans="1:13" ht="14.1" customHeight="1" x14ac:dyDescent="0.3"/>
    <row r="33" spans="2:7" ht="14.1" customHeight="1" x14ac:dyDescent="0.3"/>
    <row r="34" spans="2:7" ht="14.1" customHeight="1" x14ac:dyDescent="0.3">
      <c r="B34" s="1"/>
      <c r="C34" s="1"/>
      <c r="D34" s="1"/>
      <c r="E34" s="1"/>
      <c r="F34" s="1"/>
      <c r="G34" s="1"/>
    </row>
    <row r="35" spans="2:7" ht="14.1" customHeight="1" x14ac:dyDescent="0.3">
      <c r="B35" s="1"/>
      <c r="C35" s="1"/>
      <c r="D35" s="1"/>
      <c r="E35" s="1"/>
      <c r="F35" s="1"/>
      <c r="G35" s="1"/>
    </row>
    <row r="36" spans="2:7" ht="14.1" customHeight="1" x14ac:dyDescent="0.3">
      <c r="B36" s="1"/>
      <c r="C36" s="1"/>
      <c r="D36" s="1"/>
      <c r="E36" s="1"/>
      <c r="F36" s="1"/>
      <c r="G36" s="1"/>
    </row>
    <row r="37" spans="2:7" ht="14.1" customHeight="1" x14ac:dyDescent="0.3">
      <c r="B37" s="1"/>
      <c r="C37" s="1"/>
      <c r="D37" s="1"/>
      <c r="E37" s="1"/>
      <c r="F37" s="1"/>
      <c r="G37" s="1"/>
    </row>
    <row r="38" spans="2:7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/>
    <row r="48" spans="2:7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46">
    <mergeCell ref="A29:A30"/>
    <mergeCell ref="B29:C29"/>
    <mergeCell ref="D29:G29"/>
    <mergeCell ref="H29:H30"/>
    <mergeCell ref="I29:I30"/>
    <mergeCell ref="J29:J30"/>
    <mergeCell ref="K29:K30"/>
    <mergeCell ref="L29:L30"/>
    <mergeCell ref="M29:M30"/>
    <mergeCell ref="B30:C30"/>
    <mergeCell ref="D30:G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B18:C18"/>
    <mergeCell ref="D18:G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3:M18"/>
    <mergeCell ref="B16:C16"/>
    <mergeCell ref="D16:G16"/>
    <mergeCell ref="B14:C14"/>
    <mergeCell ref="D14:G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0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22</vt:i4>
      </vt:variant>
    </vt:vector>
  </HeadingPairs>
  <TitlesOfParts>
    <vt:vector size="44" baseType="lpstr">
      <vt:lpstr>SE01</vt:lpstr>
      <vt:lpstr>SE03</vt:lpstr>
      <vt:lpstr>LE01 </vt:lpstr>
      <vt:lpstr>OP01</vt:lpstr>
      <vt:lpstr>OP02</vt:lpstr>
      <vt:lpstr>OU01</vt:lpstr>
      <vt:lpstr>OU02</vt:lpstr>
      <vt:lpstr>OU03 (니트)</vt:lpstr>
      <vt:lpstr>OU04 (니트)</vt:lpstr>
      <vt:lpstr>PT01</vt:lpstr>
      <vt:lpstr>PT02(완사입)</vt:lpstr>
      <vt:lpstr>PT03</vt:lpstr>
      <vt:lpstr>PT04</vt:lpstr>
      <vt:lpstr>PT05</vt:lpstr>
      <vt:lpstr>PT06</vt:lpstr>
      <vt:lpstr>TO01</vt:lpstr>
      <vt:lpstr>TO02</vt:lpstr>
      <vt:lpstr>TO03</vt:lpstr>
      <vt:lpstr>TO04</vt:lpstr>
      <vt:lpstr>TO05</vt:lpstr>
      <vt:lpstr>TO06 (니트)</vt:lpstr>
      <vt:lpstr>TO07</vt:lpstr>
      <vt:lpstr>'LE01 '!Print_Area</vt:lpstr>
      <vt:lpstr>'OP01'!Print_Area</vt:lpstr>
      <vt:lpstr>'OP02'!Print_Area</vt:lpstr>
      <vt:lpstr>'OU01'!Print_Area</vt:lpstr>
      <vt:lpstr>'OU02'!Print_Area</vt:lpstr>
      <vt:lpstr>'OU03 (니트)'!Print_Area</vt:lpstr>
      <vt:lpstr>'OU04 (니트)'!Print_Area</vt:lpstr>
      <vt:lpstr>'PT01'!Print_Area</vt:lpstr>
      <vt:lpstr>'PT02(완사입)'!Print_Area</vt:lpstr>
      <vt:lpstr>'PT03'!Print_Area</vt:lpstr>
      <vt:lpstr>'PT04'!Print_Area</vt:lpstr>
      <vt:lpstr>'PT05'!Print_Area</vt:lpstr>
      <vt:lpstr>'PT06'!Print_Area</vt:lpstr>
      <vt:lpstr>'SE01'!Print_Area</vt:lpstr>
      <vt:lpstr>'SE03'!Print_Area</vt:lpstr>
      <vt:lpstr>'TO01'!Print_Area</vt:lpstr>
      <vt:lpstr>'TO02'!Print_Area</vt:lpstr>
      <vt:lpstr>'TO03'!Print_Area</vt:lpstr>
      <vt:lpstr>'TO04'!Print_Area</vt:lpstr>
      <vt:lpstr>'TO05'!Print_Area</vt:lpstr>
      <vt:lpstr>'TO06 (니트)'!Print_Area</vt:lpstr>
      <vt:lpstr>'TO07'!Print_Area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2026-06-09T02:15:09Z</cp:lastPrinted>
  <dcterms:created xsi:type="dcterms:W3CDTF">2018-05-14T06:17:18Z</dcterms:created>
  <dcterms:modified xsi:type="dcterms:W3CDTF">2026-06-19T02:18:08Z</dcterms:modified>
</cp:coreProperties>
</file>