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작지싸이즈스펙\2027\"/>
    </mc:Choice>
  </mc:AlternateContent>
  <xr:revisionPtr revIDLastSave="0" documentId="13_ncr:1_{3E3B845A-911E-46B3-AFEF-BAF431FE91B5}" xr6:coauthVersionLast="47" xr6:coauthVersionMax="47" xr10:uidLastSave="{00000000-0000-0000-0000-000000000000}"/>
  <bookViews>
    <workbookView xWindow="36720" yWindow="1170" windowWidth="19785" windowHeight="14145" tabRatio="772" firstSheet="22" activeTab="22" xr2:uid="{A5169EC5-901A-41B4-BBF5-38046B3EA48A}"/>
  </bookViews>
  <sheets>
    <sheet name="OP01" sheetId="2393" r:id="rId1"/>
    <sheet name="OP02" sheetId="2340" r:id="rId2"/>
    <sheet name="OP03" sheetId="2394" r:id="rId3"/>
    <sheet name="OP04" sheetId="2395" r:id="rId4"/>
    <sheet name="OP05" sheetId="2360" r:id="rId5"/>
    <sheet name="OP06" sheetId="2396" r:id="rId6"/>
    <sheet name="OP07" sheetId="2397" r:id="rId7"/>
    <sheet name="OP08" sheetId="2398" r:id="rId8"/>
    <sheet name="OP09" sheetId="2374" r:id="rId9"/>
    <sheet name="OP10" sheetId="2372" r:id="rId10"/>
    <sheet name="OP11" sheetId="2429" r:id="rId11"/>
    <sheet name="OP12(니트)" sheetId="2382" r:id="rId12"/>
    <sheet name="OP13" sheetId="2452" r:id="rId13"/>
    <sheet name="OU01" sheetId="2345" r:id="rId14"/>
    <sheet name="OU02" sheetId="2342" r:id="rId15"/>
    <sheet name="OU03" sheetId="2338" r:id="rId16"/>
    <sheet name="OU04" sheetId="2349" r:id="rId17"/>
    <sheet name="OU05" sheetId="2399" r:id="rId18"/>
    <sheet name="OU06" sheetId="2353" r:id="rId19"/>
    <sheet name="OU07" sheetId="2363" r:id="rId20"/>
    <sheet name="OU08" sheetId="2400" r:id="rId21"/>
    <sheet name="OU09(니트) " sheetId="2450" r:id="rId22"/>
    <sheet name="OU10(니트) " sheetId="2381" r:id="rId23"/>
    <sheet name="OU11(니트)" sheetId="2424" r:id="rId24"/>
    <sheet name="OU12" sheetId="2446" r:id="rId25"/>
    <sheet name="OU13" sheetId="2432" r:id="rId26"/>
    <sheet name="OU14(완사입) " sheetId="2423" r:id="rId27"/>
    <sheet name="OU15" sheetId="2443" r:id="rId28"/>
    <sheet name="OU16" sheetId="2453" r:id="rId29"/>
    <sheet name="OU17" sheetId="2457" r:id="rId30"/>
    <sheet name="OU19(니트)" sheetId="2460" r:id="rId31"/>
    <sheet name="OU61" sheetId="2428" r:id="rId32"/>
    <sheet name="PT01" sheetId="2343" r:id="rId33"/>
    <sheet name="PT02" sheetId="2339" r:id="rId34"/>
    <sheet name="PT03" sheetId="2384" r:id="rId35"/>
    <sheet name="PT04" sheetId="2354" r:id="rId36"/>
    <sheet name="PT05" sheetId="2383" r:id="rId37"/>
    <sheet name="PT06" sheetId="2352" r:id="rId38"/>
    <sheet name="PT07" sheetId="2385" r:id="rId39"/>
    <sheet name="PT08" sheetId="2386" r:id="rId40"/>
    <sheet name="PT09(완사입)" sheetId="2347" r:id="rId41"/>
    <sheet name="PT10(완사입)" sheetId="2351" r:id="rId42"/>
    <sheet name="PT11" sheetId="2387" r:id="rId43"/>
    <sheet name="PT12" sheetId="2388" r:id="rId44"/>
    <sheet name="PT13(완사입)" sheetId="2358" r:id="rId45"/>
    <sheet name="PT14" sheetId="2369" r:id="rId46"/>
    <sheet name="PT15" sheetId="2368" r:id="rId47"/>
    <sheet name="PT16(완사입)" sheetId="2364" r:id="rId48"/>
    <sheet name="PT17(완사입)" sheetId="2357" r:id="rId49"/>
    <sheet name="PT18(완사입)" sheetId="2359" r:id="rId50"/>
    <sheet name="PT19(완사입)" sheetId="2362" r:id="rId51"/>
    <sheet name="PT20(완사입)" sheetId="2356" r:id="rId52"/>
    <sheet name="PT21" sheetId="2389" r:id="rId53"/>
    <sheet name="PT22(완사입)" sheetId="2375" r:id="rId54"/>
    <sheet name="PT23" sheetId="2390" r:id="rId55"/>
    <sheet name="PT24(완사입)" sheetId="2380" r:id="rId56"/>
    <sheet name="PT25" sheetId="2444" r:id="rId57"/>
    <sheet name="PT26" sheetId="2431" r:id="rId58"/>
    <sheet name="PT27" sheetId="2449" r:id="rId59"/>
    <sheet name="PT61" sheetId="2445" r:id="rId60"/>
    <sheet name="PT62" sheetId="2430" r:id="rId61"/>
    <sheet name="PT63(완사입)" sheetId="2454" r:id="rId62"/>
    <sheet name="PT64(완사입)" sheetId="2455" r:id="rId63"/>
    <sheet name="SK01" sheetId="2341" r:id="rId64"/>
    <sheet name="SK02" sheetId="2337" r:id="rId65"/>
    <sheet name="SK03" sheetId="2350" r:id="rId66"/>
    <sheet name="SK04" sheetId="2392" r:id="rId67"/>
    <sheet name="SK05" sheetId="2371" r:id="rId68"/>
    <sheet name="SK06" sheetId="2426" r:id="rId69"/>
    <sheet name="SK07(완사입)" sheetId="2361" r:id="rId70"/>
    <sheet name="SK08" sheetId="2391" r:id="rId71"/>
    <sheet name="SK09(완사입)" sheetId="2456" r:id="rId72"/>
    <sheet name="SK10" sheetId="2458" r:id="rId73"/>
    <sheet name="SK11(니트)" sheetId="2459" r:id="rId74"/>
    <sheet name="TO01" sheetId="2344" r:id="rId75"/>
    <sheet name="TO02" sheetId="2402" r:id="rId76"/>
    <sheet name="TO03" sheetId="2348" r:id="rId77"/>
    <sheet name="TO04" sheetId="2403" r:id="rId78"/>
    <sheet name="TO05" sheetId="2404" r:id="rId79"/>
    <sheet name="TO06" sheetId="2405" r:id="rId80"/>
    <sheet name="TO07" sheetId="2406" r:id="rId81"/>
    <sheet name="TO08" sheetId="2407" r:id="rId82"/>
    <sheet name="TO09" sheetId="2408" r:id="rId83"/>
    <sheet name="TO10" sheetId="2365" r:id="rId84"/>
    <sheet name="TO11" sheetId="2409" r:id="rId85"/>
    <sheet name="TO12" sheetId="2366" r:id="rId86"/>
    <sheet name="TO13" sheetId="2367" r:id="rId87"/>
    <sheet name="TO14" sheetId="2425" r:id="rId88"/>
    <sheet name="TO15" sheetId="2410" r:id="rId89"/>
    <sheet name="TO16" sheetId="2411" r:id="rId90"/>
    <sheet name="TO17" sheetId="2412" r:id="rId91"/>
    <sheet name="TO18" sheetId="2413" r:id="rId92"/>
    <sheet name="TO19" sheetId="2414" r:id="rId93"/>
    <sheet name="TO20" sheetId="2370" r:id="rId94"/>
    <sheet name="TO21" sheetId="2415" r:id="rId95"/>
    <sheet name="TO22" sheetId="2433" r:id="rId96"/>
    <sheet name="TO23" sheetId="2416" r:id="rId97"/>
    <sheet name="TO24" sheetId="2417" r:id="rId98"/>
    <sheet name="TO25" sheetId="2418" r:id="rId99"/>
    <sheet name="TO26" sheetId="2379" r:id="rId100"/>
    <sheet name="TO27" sheetId="2419" r:id="rId101"/>
    <sheet name="TO28" sheetId="2377" r:id="rId102"/>
    <sheet name="TO29" sheetId="2420" r:id="rId103"/>
    <sheet name="TO30" sheetId="2373" r:id="rId104"/>
    <sheet name="TO31(니트)" sheetId="2355" r:id="rId105"/>
    <sheet name="TO32" sheetId="2421" r:id="rId106"/>
    <sheet name="TO33" sheetId="2376" r:id="rId107"/>
    <sheet name="TO34" sheetId="2422" r:id="rId108"/>
    <sheet name="TO35" sheetId="2378" r:id="rId109"/>
    <sheet name="TO36" sheetId="2434" r:id="rId110"/>
    <sheet name="TO37" sheetId="2427" r:id="rId111"/>
    <sheet name="TO39" sheetId="2435" r:id="rId112"/>
    <sheet name="TO40" sheetId="2436" r:id="rId113"/>
    <sheet name="TO41" sheetId="2447" r:id="rId114"/>
    <sheet name="TO42" sheetId="2437" r:id="rId115"/>
    <sheet name="TO43" sheetId="2438" r:id="rId116"/>
    <sheet name="TO44" sheetId="2442" r:id="rId117"/>
    <sheet name="TO46" sheetId="2448" r:id="rId118"/>
    <sheet name="TO61" sheetId="2451" r:id="rId119"/>
    <sheet name="TO62" sheetId="2439" r:id="rId120"/>
    <sheet name="TO63" sheetId="2440" r:id="rId121"/>
    <sheet name="TO64" sheetId="2441" r:id="rId122"/>
    <sheet name="TO80(산리오)" sheetId="2461" r:id="rId123"/>
    <sheet name="TO81(산리오)" sheetId="2462" r:id="rId124"/>
    <sheet name="TO82(산리오)" sheetId="2463" r:id="rId125"/>
    <sheet name="TO83(산리오)" sheetId="2464" r:id="rId126"/>
    <sheet name="TO84(산리오)" sheetId="2465" r:id="rId127"/>
    <sheet name="TO85(산리오)" sheetId="2466" r:id="rId128"/>
    <sheet name="TO86(산리오)" sheetId="2467" r:id="rId129"/>
    <sheet name="TO87(산리오)" sheetId="2468" r:id="rId130"/>
    <sheet name="TO88(산리오)" sheetId="2469" r:id="rId131"/>
    <sheet name="TO89(산리오)" sheetId="2470" r:id="rId132"/>
  </sheets>
  <definedNames>
    <definedName name="_xlnm.Print_Area" localSheetId="0">'OP01'!$A$1:$M$32</definedName>
    <definedName name="_xlnm.Print_Area" localSheetId="1">'OP02'!$A$1:$M$32</definedName>
    <definedName name="_xlnm.Print_Area" localSheetId="2">'OP03'!$A$1:$M$32</definedName>
    <definedName name="_xlnm.Print_Area" localSheetId="3">'OP04'!$A$1:$M$40</definedName>
    <definedName name="_xlnm.Print_Area" localSheetId="4">'OP05'!$A$1:$M$32</definedName>
    <definedName name="_xlnm.Print_Area" localSheetId="5">'OP06'!$A$1:$M$32</definedName>
    <definedName name="_xlnm.Print_Area" localSheetId="6">'OP07'!$A$1:$M$36</definedName>
    <definedName name="_xlnm.Print_Area" localSheetId="7">'OP08'!$A$1:$M$32</definedName>
    <definedName name="_xlnm.Print_Area" localSheetId="8">'OP09'!$A$1:$M$34</definedName>
    <definedName name="_xlnm.Print_Area" localSheetId="9">'OP10'!$A$1:$M$32</definedName>
    <definedName name="_xlnm.Print_Area" localSheetId="10">'OP11'!$A$1:$M$40</definedName>
    <definedName name="_xlnm.Print_Area" localSheetId="11">'OP12(니트)'!$A$1:$M$40</definedName>
    <definedName name="_xlnm.Print_Area" localSheetId="12">'OP13'!$A$1:$M$51</definedName>
    <definedName name="_xlnm.Print_Area" localSheetId="13">'OU01'!$A$1:$N$38</definedName>
    <definedName name="_xlnm.Print_Area" localSheetId="14">'OU02'!$A$1:$M$36</definedName>
    <definedName name="_xlnm.Print_Area" localSheetId="15">'OU03'!$A$1:$M$40</definedName>
    <definedName name="_xlnm.Print_Area" localSheetId="16">'OU04'!$A$1:$M$36</definedName>
    <definedName name="_xlnm.Print_Area" localSheetId="17">'OU05'!$A$1:$M$46</definedName>
    <definedName name="_xlnm.Print_Area" localSheetId="18">'OU06'!$A$1:$M$40</definedName>
    <definedName name="_xlnm.Print_Area" localSheetId="19">'OU07'!$A$1:$M$38</definedName>
    <definedName name="_xlnm.Print_Area" localSheetId="20">'OU08'!$A$1:$M$42</definedName>
    <definedName name="_xlnm.Print_Area" localSheetId="21">'OU09(니트) '!$A$1:$N$38</definedName>
    <definedName name="_xlnm.Print_Area" localSheetId="22">'OU10(니트) '!$A$1:$M$38</definedName>
    <definedName name="_xlnm.Print_Area" localSheetId="23">'OU11(니트)'!$A$1:$M$38</definedName>
    <definedName name="_xlnm.Print_Area" localSheetId="24">'OU12'!$A$1:$M$36</definedName>
    <definedName name="_xlnm.Print_Area" localSheetId="25">'OU13'!$A$1:$M$44</definedName>
    <definedName name="_xlnm.Print_Area" localSheetId="26">'OU14(완사입) '!$A$1:$M$44</definedName>
    <definedName name="_xlnm.Print_Area" localSheetId="27">'OU15'!$A$1:$M$36</definedName>
    <definedName name="_xlnm.Print_Area" localSheetId="28">'OU16'!$A$1:$M$47</definedName>
    <definedName name="_xlnm.Print_Area" localSheetId="29">'OU17'!$A$1:$N$40</definedName>
    <definedName name="_xlnm.Print_Area" localSheetId="30">'OU19(니트)'!$A$1:$M$38</definedName>
    <definedName name="_xlnm.Print_Area" localSheetId="31">'OU61'!$A$1:$N$46</definedName>
    <definedName name="_xlnm.Print_Area" localSheetId="32">'PT01'!$A$1:$N$46</definedName>
    <definedName name="_xlnm.Print_Area" localSheetId="33">'PT02'!$A$1:$N$48</definedName>
    <definedName name="_xlnm.Print_Area" localSheetId="34">'PT03'!$A$1:$N$32</definedName>
    <definedName name="_xlnm.Print_Area" localSheetId="35">'PT04'!$A$1:$M$48</definedName>
    <definedName name="_xlnm.Print_Area" localSheetId="36">'PT05'!$A$1:$N$42</definedName>
    <definedName name="_xlnm.Print_Area" localSheetId="37">'PT06'!$A$1:$M$46</definedName>
    <definedName name="_xlnm.Print_Area" localSheetId="38">'PT07'!$A$1:$N$46</definedName>
    <definedName name="_xlnm.Print_Area" localSheetId="39">'PT08'!$A$1:$M$44</definedName>
    <definedName name="_xlnm.Print_Area" localSheetId="40">'PT09(완사입)'!$A$1:$N$44</definedName>
    <definedName name="_xlnm.Print_Area" localSheetId="41">'PT10(완사입)'!$A$1:$N$44</definedName>
    <definedName name="_xlnm.Print_Area" localSheetId="42">'PT11'!$A$1:$M$50</definedName>
    <definedName name="_xlnm.Print_Area" localSheetId="43">'PT12'!$A$1:$N$48</definedName>
    <definedName name="_xlnm.Print_Area" localSheetId="44">'PT13(완사입)'!$A$1:$N$44</definedName>
    <definedName name="_xlnm.Print_Area" localSheetId="45">'PT14'!$A$1:$N$48</definedName>
    <definedName name="_xlnm.Print_Area" localSheetId="46">'PT15'!$A$1:$N$48</definedName>
    <definedName name="_xlnm.Print_Area" localSheetId="47">'PT16(완사입)'!$A$1:$M$44</definedName>
    <definedName name="_xlnm.Print_Area" localSheetId="48">'PT17(완사입)'!$A$1:$M$44</definedName>
    <definedName name="_xlnm.Print_Area" localSheetId="49">'PT18(완사입)'!$A$1:$N$44</definedName>
    <definedName name="_xlnm.Print_Area" localSheetId="50">'PT19(완사입)'!$A$1:$N$46</definedName>
    <definedName name="_xlnm.Print_Area" localSheetId="51">'PT20(완사입)'!$A$1:$M$44</definedName>
    <definedName name="_xlnm.Print_Area" localSheetId="52">'PT21'!$A$1:$M$48</definedName>
    <definedName name="_xlnm.Print_Area" localSheetId="53">'PT22(완사입)'!$A$1:$N$48</definedName>
    <definedName name="_xlnm.Print_Area" localSheetId="54">'PT23'!$A$1:$M$44</definedName>
    <definedName name="_xlnm.Print_Area" localSheetId="55">'PT24(완사입)'!$A$1:$M$44</definedName>
    <definedName name="_xlnm.Print_Area" localSheetId="56">'PT25'!$A$1:$M$46</definedName>
    <definedName name="_xlnm.Print_Area" localSheetId="57">'PT26'!$A$1:$M$48</definedName>
    <definedName name="_xlnm.Print_Area" localSheetId="58">'PT27'!$A$1:$N$44</definedName>
    <definedName name="_xlnm.Print_Area" localSheetId="59">'PT61'!$A$1:$M$44</definedName>
    <definedName name="_xlnm.Print_Area" localSheetId="60">'PT62'!$A$1:$M$42</definedName>
    <definedName name="_xlnm.Print_Area" localSheetId="61">'PT63(완사입)'!$A$1:$M$48</definedName>
    <definedName name="_xlnm.Print_Area" localSheetId="62">'PT64(완사입)'!$A$1:$N$48</definedName>
    <definedName name="_xlnm.Print_Area" localSheetId="63">'SK01'!$A$1:$M$28</definedName>
    <definedName name="_xlnm.Print_Area" localSheetId="64">'SK02'!$A$1:$M$28</definedName>
    <definedName name="_xlnm.Print_Area" localSheetId="65">'SK03'!$A$1:$N$32</definedName>
    <definedName name="_xlnm.Print_Area" localSheetId="66">'SK04'!$A$1:$M$36</definedName>
    <definedName name="_xlnm.Print_Area" localSheetId="67">'SK05'!$A$1:$M$32</definedName>
    <definedName name="_xlnm.Print_Area" localSheetId="68">'SK06'!$A$1:$M$32</definedName>
    <definedName name="_xlnm.Print_Area" localSheetId="69">'SK07(완사입)'!$A$1:$M$42</definedName>
    <definedName name="_xlnm.Print_Area" localSheetId="70">'SK08'!$A$1:$M$36</definedName>
    <definedName name="_xlnm.Print_Area" localSheetId="71">'SK09(완사입)'!$A$1:$M$36</definedName>
    <definedName name="_xlnm.Print_Area" localSheetId="72">'SK10'!$A$1:$M$26</definedName>
    <definedName name="_xlnm.Print_Area" localSheetId="73">'SK11(니트)'!$A$1:$M$28</definedName>
    <definedName name="_xlnm.Print_Area" localSheetId="74">'TO01'!$A$1:$N$32</definedName>
    <definedName name="_xlnm.Print_Area" localSheetId="75">'TO02'!$A$1:$N$40</definedName>
    <definedName name="_xlnm.Print_Area" localSheetId="76">'TO03'!$A$1:$N$38</definedName>
    <definedName name="_xlnm.Print_Area" localSheetId="77">'TO04'!$A$1:$N$34</definedName>
    <definedName name="_xlnm.Print_Area" localSheetId="78">'TO05'!$A$1:$N$36</definedName>
    <definedName name="_xlnm.Print_Area" localSheetId="79">'TO06'!$A$1:$N$28</definedName>
    <definedName name="_xlnm.Print_Area" localSheetId="80">'TO07'!$A$1:$M$28</definedName>
    <definedName name="_xlnm.Print_Area" localSheetId="81">'TO08'!$A$1:$M$36</definedName>
    <definedName name="_xlnm.Print_Area" localSheetId="82">'TO09'!$A$1:$M$34</definedName>
    <definedName name="_xlnm.Print_Area" localSheetId="83">'TO10'!$A$1:$M$36</definedName>
    <definedName name="_xlnm.Print_Area" localSheetId="84">'TO11'!$A$1:$N$28</definedName>
    <definedName name="_xlnm.Print_Area" localSheetId="85">'TO12'!$A$1:$M$36</definedName>
    <definedName name="_xlnm.Print_Area" localSheetId="86">'TO13'!$A$1:$M$36</definedName>
    <definedName name="_xlnm.Print_Area" localSheetId="87">'TO14'!$A$1:$M$36</definedName>
    <definedName name="_xlnm.Print_Area" localSheetId="88">'TO15'!$A$1:$N$36</definedName>
    <definedName name="_xlnm.Print_Area" localSheetId="89">'TO16'!$A$1:$M$28</definedName>
    <definedName name="_xlnm.Print_Area" localSheetId="90">'TO17'!$A$1:$M$28</definedName>
    <definedName name="_xlnm.Print_Area" localSheetId="91">'TO18'!$A$1:$M$28</definedName>
    <definedName name="_xlnm.Print_Area" localSheetId="92">'TO19'!$A$1:$N$28</definedName>
    <definedName name="_xlnm.Print_Area" localSheetId="93">'TO20'!$A$1:$N$36</definedName>
    <definedName name="_xlnm.Print_Area" localSheetId="94">'TO21'!$A$1:$N$28</definedName>
    <definedName name="_xlnm.Print_Area" localSheetId="95">'TO22'!$A$1:$N$28</definedName>
    <definedName name="_xlnm.Print_Area" localSheetId="96">'TO23'!$A$1:$N$28</definedName>
    <definedName name="_xlnm.Print_Area" localSheetId="97">'TO24'!$A$1:$M$40</definedName>
    <definedName name="_xlnm.Print_Area" localSheetId="98">'TO25'!$A$1:$M$28</definedName>
    <definedName name="_xlnm.Print_Area" localSheetId="99">'TO26'!$A$1:$M$36</definedName>
    <definedName name="_xlnm.Print_Area" localSheetId="100">'TO27'!$A$1:$M$34</definedName>
    <definedName name="_xlnm.Print_Area" localSheetId="101">'TO28'!$A$1:$N$36</definedName>
    <definedName name="_xlnm.Print_Area" localSheetId="102">'TO29'!$A$1:$N$34</definedName>
    <definedName name="_xlnm.Print_Area" localSheetId="103">'TO30'!$A$1:$M$36</definedName>
    <definedName name="_xlnm.Print_Area" localSheetId="104">'TO31(니트)'!$A$1:$M$38</definedName>
    <definedName name="_xlnm.Print_Area" localSheetId="105">'TO32'!$A$1:$M$28</definedName>
    <definedName name="_xlnm.Print_Area" localSheetId="106">'TO33'!$A$1:$M$36</definedName>
    <definedName name="_xlnm.Print_Area" localSheetId="107">'TO34'!$A$1:$M$28</definedName>
    <definedName name="_xlnm.Print_Area" localSheetId="108">'TO35'!$A$1:$N$36</definedName>
    <definedName name="_xlnm.Print_Area" localSheetId="109">'TO36'!$A$1:$M$28</definedName>
    <definedName name="_xlnm.Print_Area" localSheetId="110">'TO37'!$A$1:$M$28</definedName>
    <definedName name="_xlnm.Print_Area" localSheetId="111">'TO39'!$A$1:$M$28</definedName>
    <definedName name="_xlnm.Print_Area" localSheetId="112">'TO40'!$A$1:$M$28</definedName>
    <definedName name="_xlnm.Print_Area" localSheetId="113">'TO41'!$A$1:$N$28</definedName>
    <definedName name="_xlnm.Print_Area" localSheetId="114">'TO42'!$A$1:$M$34</definedName>
    <definedName name="_xlnm.Print_Area" localSheetId="115">'TO43'!$A$1:$N$28</definedName>
    <definedName name="_xlnm.Print_Area" localSheetId="116">'TO44'!$A$1:$M$30</definedName>
    <definedName name="_xlnm.Print_Area" localSheetId="117">'TO46'!$A$1:$N$28</definedName>
    <definedName name="_xlnm.Print_Area" localSheetId="118">'TO61'!$A$1:$M$36</definedName>
    <definedName name="_xlnm.Print_Area" localSheetId="119">'TO62'!$A$1:$M$38</definedName>
    <definedName name="_xlnm.Print_Area" localSheetId="120">'TO63'!$A$1:$M$38</definedName>
    <definedName name="_xlnm.Print_Area" localSheetId="121">'TO64'!$A$1:$M$38</definedName>
    <definedName name="_xlnm.Print_Area" localSheetId="122">'TO80(산리오)'!$A$1:$N$28</definedName>
    <definedName name="_xlnm.Print_Area" localSheetId="123">'TO81(산리오)'!$A$1:$M$34</definedName>
    <definedName name="_xlnm.Print_Area" localSheetId="124">'TO82(산리오)'!$A$1:$N$28</definedName>
    <definedName name="_xlnm.Print_Area" localSheetId="125">'TO83(산리오)'!$A$1:$N$28</definedName>
    <definedName name="_xlnm.Print_Area" localSheetId="126">'TO84(산리오)'!$A$1:$M$28</definedName>
    <definedName name="_xlnm.Print_Area" localSheetId="127">'TO85(산리오)'!$A$1:$N$28</definedName>
    <definedName name="_xlnm.Print_Area" localSheetId="128">'TO86(산리오)'!$A$1:$N$28</definedName>
    <definedName name="_xlnm.Print_Area" localSheetId="129">'TO87(산리오)'!$A$1:$M$28</definedName>
    <definedName name="_xlnm.Print_Area" localSheetId="130">'TO88(산리오)'!$A$1:$M$28</definedName>
    <definedName name="_xlnm.Print_Area" localSheetId="131">'TO89(산리오)'!$A$1:$N$28</definedName>
  </definedNames>
  <calcPr calcId="191029"/>
</workbook>
</file>

<file path=xl/calcChain.xml><?xml version="1.0" encoding="utf-8"?>
<calcChain xmlns="http://schemas.openxmlformats.org/spreadsheetml/2006/main">
  <c r="K25" i="2470" l="1"/>
  <c r="L25" i="2470" s="1"/>
  <c r="M25" i="2470" s="1"/>
  <c r="N25" i="2470" s="1"/>
  <c r="I25" i="2470"/>
  <c r="H25" i="2470"/>
  <c r="L23" i="2470"/>
  <c r="M23" i="2470" s="1"/>
  <c r="N23" i="2470" s="1"/>
  <c r="K23" i="2470"/>
  <c r="I23" i="2470"/>
  <c r="H23" i="2470"/>
  <c r="K21" i="2470"/>
  <c r="L21" i="2470" s="1"/>
  <c r="M21" i="2470" s="1"/>
  <c r="N21" i="2470" s="1"/>
  <c r="I21" i="2470"/>
  <c r="H21" i="2470"/>
  <c r="K19" i="2470"/>
  <c r="L19" i="2470" s="1"/>
  <c r="M19" i="2470" s="1"/>
  <c r="N19" i="2470" s="1"/>
  <c r="I19" i="2470"/>
  <c r="H19" i="2470"/>
  <c r="K17" i="2470"/>
  <c r="L17" i="2470" s="1"/>
  <c r="M17" i="2470" s="1"/>
  <c r="N17" i="2470" s="1"/>
  <c r="I17" i="2470"/>
  <c r="H17" i="2470"/>
  <c r="K15" i="2470"/>
  <c r="L15" i="2470" s="1"/>
  <c r="M15" i="2470" s="1"/>
  <c r="N15" i="2470" s="1"/>
  <c r="I15" i="2470"/>
  <c r="H15" i="2470"/>
  <c r="K13" i="2470"/>
  <c r="L13" i="2470" s="1"/>
  <c r="M13" i="2470" s="1"/>
  <c r="N13" i="2470" s="1"/>
  <c r="I13" i="2470"/>
  <c r="H13" i="2470" s="1"/>
  <c r="K11" i="2470"/>
  <c r="L11" i="2470" s="1"/>
  <c r="M11" i="2470" s="1"/>
  <c r="N11" i="2470" s="1"/>
  <c r="I11" i="2470"/>
  <c r="H11" i="2470"/>
  <c r="K9" i="2470"/>
  <c r="L9" i="2470" s="1"/>
  <c r="M9" i="2470" s="1"/>
  <c r="N9" i="2470" s="1"/>
  <c r="I9" i="2470"/>
  <c r="H9" i="2470"/>
  <c r="L7" i="2470"/>
  <c r="M7" i="2470" s="1"/>
  <c r="N7" i="2470" s="1"/>
  <c r="K7" i="2470"/>
  <c r="I7" i="2470"/>
  <c r="H7" i="2470"/>
  <c r="K5" i="2470"/>
  <c r="L5" i="2470" s="1"/>
  <c r="M5" i="2470" s="1"/>
  <c r="N5" i="2470" s="1"/>
  <c r="I5" i="2470"/>
  <c r="H5" i="2470"/>
  <c r="K3" i="2470"/>
  <c r="L3" i="2470" s="1"/>
  <c r="M3" i="2470" s="1"/>
  <c r="N3" i="2470" s="1"/>
  <c r="I3" i="2470"/>
  <c r="H3" i="2470"/>
  <c r="K25" i="2469"/>
  <c r="L25" i="2469" s="1"/>
  <c r="M25" i="2469" s="1"/>
  <c r="I25" i="2469"/>
  <c r="H25" i="2469"/>
  <c r="K23" i="2469"/>
  <c r="L23" i="2469" s="1"/>
  <c r="M23" i="2469" s="1"/>
  <c r="I23" i="2469"/>
  <c r="H23" i="2469"/>
  <c r="K21" i="2469"/>
  <c r="L21" i="2469" s="1"/>
  <c r="M21" i="2469" s="1"/>
  <c r="I21" i="2469"/>
  <c r="H21" i="2469"/>
  <c r="L19" i="2469"/>
  <c r="M19" i="2469" s="1"/>
  <c r="K19" i="2469"/>
  <c r="I19" i="2469"/>
  <c r="H19" i="2469"/>
  <c r="L17" i="2469"/>
  <c r="M17" i="2469" s="1"/>
  <c r="K17" i="2469"/>
  <c r="I17" i="2469"/>
  <c r="H17" i="2469" s="1"/>
  <c r="K15" i="2469"/>
  <c r="L15" i="2469" s="1"/>
  <c r="M15" i="2469" s="1"/>
  <c r="I15" i="2469"/>
  <c r="H15" i="2469"/>
  <c r="K13" i="2469"/>
  <c r="L13" i="2469" s="1"/>
  <c r="M13" i="2469" s="1"/>
  <c r="I13" i="2469"/>
  <c r="H13" i="2469"/>
  <c r="K11" i="2469"/>
  <c r="L11" i="2469" s="1"/>
  <c r="M11" i="2469" s="1"/>
  <c r="I11" i="2469"/>
  <c r="H11" i="2469"/>
  <c r="K9" i="2469"/>
  <c r="L9" i="2469" s="1"/>
  <c r="M9" i="2469" s="1"/>
  <c r="I9" i="2469"/>
  <c r="H9" i="2469"/>
  <c r="K7" i="2469"/>
  <c r="L7" i="2469" s="1"/>
  <c r="M7" i="2469" s="1"/>
  <c r="I7" i="2469"/>
  <c r="H7" i="2469" s="1"/>
  <c r="K5" i="2469"/>
  <c r="L5" i="2469" s="1"/>
  <c r="M5" i="2469" s="1"/>
  <c r="I5" i="2469"/>
  <c r="H5" i="2469" s="1"/>
  <c r="K3" i="2469"/>
  <c r="L3" i="2469" s="1"/>
  <c r="M3" i="2469" s="1"/>
  <c r="I3" i="2469"/>
  <c r="H3" i="2469"/>
  <c r="K25" i="2468"/>
  <c r="L25" i="2468" s="1"/>
  <c r="M25" i="2468" s="1"/>
  <c r="I25" i="2468"/>
  <c r="H25" i="2468"/>
  <c r="K23" i="2468"/>
  <c r="L23" i="2468" s="1"/>
  <c r="M23" i="2468" s="1"/>
  <c r="I23" i="2468"/>
  <c r="H23" i="2468"/>
  <c r="L21" i="2468"/>
  <c r="M21" i="2468" s="1"/>
  <c r="K21" i="2468"/>
  <c r="I21" i="2468"/>
  <c r="H21" i="2468"/>
  <c r="K19" i="2468"/>
  <c r="L19" i="2468" s="1"/>
  <c r="M19" i="2468" s="1"/>
  <c r="I19" i="2468"/>
  <c r="H19" i="2468"/>
  <c r="K17" i="2468"/>
  <c r="L17" i="2468" s="1"/>
  <c r="M17" i="2468" s="1"/>
  <c r="I17" i="2468"/>
  <c r="H17" i="2468"/>
  <c r="K15" i="2468"/>
  <c r="L15" i="2468" s="1"/>
  <c r="M15" i="2468" s="1"/>
  <c r="I15" i="2468"/>
  <c r="H15" i="2468" s="1"/>
  <c r="K13" i="2468"/>
  <c r="L13" i="2468" s="1"/>
  <c r="M13" i="2468" s="1"/>
  <c r="I13" i="2468"/>
  <c r="H13" i="2468"/>
  <c r="L11" i="2468"/>
  <c r="M11" i="2468" s="1"/>
  <c r="K11" i="2468"/>
  <c r="I11" i="2468"/>
  <c r="H11" i="2468"/>
  <c r="L9" i="2468"/>
  <c r="M9" i="2468" s="1"/>
  <c r="K9" i="2468"/>
  <c r="I9" i="2468"/>
  <c r="H9" i="2468" s="1"/>
  <c r="K7" i="2468"/>
  <c r="L7" i="2468" s="1"/>
  <c r="M7" i="2468" s="1"/>
  <c r="I7" i="2468"/>
  <c r="H7" i="2468"/>
  <c r="K5" i="2468"/>
  <c r="L5" i="2468" s="1"/>
  <c r="M5" i="2468" s="1"/>
  <c r="I5" i="2468"/>
  <c r="H5" i="2468"/>
  <c r="K3" i="2468"/>
  <c r="L3" i="2468" s="1"/>
  <c r="M3" i="2468" s="1"/>
  <c r="I3" i="2468"/>
  <c r="H3" i="2468"/>
  <c r="K25" i="2467"/>
  <c r="L25" i="2467" s="1"/>
  <c r="M25" i="2467" s="1"/>
  <c r="N25" i="2467" s="1"/>
  <c r="I25" i="2467"/>
  <c r="H25" i="2467"/>
  <c r="L23" i="2467"/>
  <c r="M23" i="2467" s="1"/>
  <c r="N23" i="2467" s="1"/>
  <c r="K23" i="2467"/>
  <c r="I23" i="2467"/>
  <c r="H23" i="2467"/>
  <c r="K21" i="2467"/>
  <c r="L21" i="2467" s="1"/>
  <c r="M21" i="2467" s="1"/>
  <c r="N21" i="2467" s="1"/>
  <c r="I21" i="2467"/>
  <c r="H21" i="2467"/>
  <c r="K19" i="2467"/>
  <c r="L19" i="2467" s="1"/>
  <c r="M19" i="2467" s="1"/>
  <c r="N19" i="2467" s="1"/>
  <c r="I19" i="2467"/>
  <c r="H19" i="2467"/>
  <c r="K17" i="2467"/>
  <c r="L17" i="2467" s="1"/>
  <c r="M17" i="2467" s="1"/>
  <c r="N17" i="2467" s="1"/>
  <c r="I17" i="2467"/>
  <c r="H17" i="2467"/>
  <c r="K15" i="2467"/>
  <c r="L15" i="2467" s="1"/>
  <c r="M15" i="2467" s="1"/>
  <c r="N15" i="2467" s="1"/>
  <c r="I15" i="2467"/>
  <c r="H15" i="2467"/>
  <c r="K13" i="2467"/>
  <c r="L13" i="2467" s="1"/>
  <c r="M13" i="2467" s="1"/>
  <c r="N13" i="2467" s="1"/>
  <c r="I13" i="2467"/>
  <c r="H13" i="2467" s="1"/>
  <c r="K11" i="2467"/>
  <c r="L11" i="2467" s="1"/>
  <c r="M11" i="2467" s="1"/>
  <c r="N11" i="2467" s="1"/>
  <c r="I11" i="2467"/>
  <c r="H11" i="2467"/>
  <c r="K9" i="2467"/>
  <c r="L9" i="2467" s="1"/>
  <c r="M9" i="2467" s="1"/>
  <c r="N9" i="2467" s="1"/>
  <c r="I9" i="2467"/>
  <c r="H9" i="2467"/>
  <c r="L7" i="2467"/>
  <c r="M7" i="2467" s="1"/>
  <c r="N7" i="2467" s="1"/>
  <c r="K7" i="2467"/>
  <c r="I7" i="2467"/>
  <c r="H7" i="2467"/>
  <c r="K5" i="2467"/>
  <c r="L5" i="2467" s="1"/>
  <c r="M5" i="2467" s="1"/>
  <c r="N5" i="2467" s="1"/>
  <c r="I5" i="2467"/>
  <c r="H5" i="2467" s="1"/>
  <c r="K3" i="2467"/>
  <c r="L3" i="2467" s="1"/>
  <c r="M3" i="2467" s="1"/>
  <c r="N3" i="2467" s="1"/>
  <c r="I3" i="2467"/>
  <c r="H3" i="2467"/>
  <c r="K25" i="2466"/>
  <c r="L25" i="2466" s="1"/>
  <c r="M25" i="2466" s="1"/>
  <c r="N25" i="2466" s="1"/>
  <c r="I25" i="2466"/>
  <c r="H25" i="2466"/>
  <c r="K23" i="2466"/>
  <c r="L23" i="2466" s="1"/>
  <c r="M23" i="2466" s="1"/>
  <c r="N23" i="2466" s="1"/>
  <c r="I23" i="2466"/>
  <c r="H23" i="2466"/>
  <c r="K21" i="2466"/>
  <c r="L21" i="2466" s="1"/>
  <c r="M21" i="2466" s="1"/>
  <c r="N21" i="2466" s="1"/>
  <c r="I21" i="2466"/>
  <c r="H21" i="2466" s="1"/>
  <c r="K19" i="2466"/>
  <c r="L19" i="2466" s="1"/>
  <c r="M19" i="2466" s="1"/>
  <c r="N19" i="2466" s="1"/>
  <c r="I19" i="2466"/>
  <c r="H19" i="2466"/>
  <c r="K17" i="2466"/>
  <c r="L17" i="2466" s="1"/>
  <c r="M17" i="2466" s="1"/>
  <c r="N17" i="2466" s="1"/>
  <c r="I17" i="2466"/>
  <c r="H17" i="2466"/>
  <c r="L15" i="2466"/>
  <c r="M15" i="2466" s="1"/>
  <c r="N15" i="2466" s="1"/>
  <c r="K15" i="2466"/>
  <c r="I15" i="2466"/>
  <c r="H15" i="2466"/>
  <c r="K13" i="2466"/>
  <c r="L13" i="2466" s="1"/>
  <c r="M13" i="2466" s="1"/>
  <c r="N13" i="2466" s="1"/>
  <c r="I13" i="2466"/>
  <c r="H13" i="2466" s="1"/>
  <c r="K11" i="2466"/>
  <c r="L11" i="2466" s="1"/>
  <c r="M11" i="2466" s="1"/>
  <c r="N11" i="2466" s="1"/>
  <c r="I11" i="2466"/>
  <c r="H11" i="2466"/>
  <c r="K9" i="2466"/>
  <c r="L9" i="2466" s="1"/>
  <c r="M9" i="2466" s="1"/>
  <c r="N9" i="2466" s="1"/>
  <c r="I9" i="2466"/>
  <c r="H9" i="2466"/>
  <c r="M7" i="2466"/>
  <c r="N7" i="2466" s="1"/>
  <c r="L7" i="2466"/>
  <c r="K7" i="2466"/>
  <c r="I7" i="2466"/>
  <c r="H7" i="2466"/>
  <c r="K5" i="2466"/>
  <c r="L5" i="2466" s="1"/>
  <c r="M5" i="2466" s="1"/>
  <c r="N5" i="2466" s="1"/>
  <c r="I5" i="2466"/>
  <c r="H5" i="2466" s="1"/>
  <c r="K3" i="2466"/>
  <c r="L3" i="2466" s="1"/>
  <c r="M3" i="2466" s="1"/>
  <c r="N3" i="2466" s="1"/>
  <c r="I3" i="2466"/>
  <c r="H3" i="2466"/>
  <c r="K25" i="2465"/>
  <c r="L25" i="2465" s="1"/>
  <c r="M25" i="2465" s="1"/>
  <c r="I25" i="2465"/>
  <c r="H25" i="2465"/>
  <c r="K23" i="2465"/>
  <c r="L23" i="2465" s="1"/>
  <c r="M23" i="2465" s="1"/>
  <c r="I23" i="2465"/>
  <c r="H23" i="2465" s="1"/>
  <c r="K21" i="2465"/>
  <c r="L21" i="2465" s="1"/>
  <c r="M21" i="2465" s="1"/>
  <c r="I21" i="2465"/>
  <c r="H21" i="2465" s="1"/>
  <c r="K19" i="2465"/>
  <c r="L19" i="2465" s="1"/>
  <c r="M19" i="2465" s="1"/>
  <c r="I19" i="2465"/>
  <c r="H19" i="2465"/>
  <c r="K17" i="2465"/>
  <c r="L17" i="2465" s="1"/>
  <c r="M17" i="2465" s="1"/>
  <c r="I17" i="2465"/>
  <c r="H17" i="2465"/>
  <c r="K15" i="2465"/>
  <c r="L15" i="2465" s="1"/>
  <c r="M15" i="2465" s="1"/>
  <c r="I15" i="2465"/>
  <c r="H15" i="2465"/>
  <c r="L13" i="2465"/>
  <c r="M13" i="2465" s="1"/>
  <c r="K13" i="2465"/>
  <c r="I13" i="2465"/>
  <c r="H13" i="2465"/>
  <c r="K11" i="2465"/>
  <c r="L11" i="2465" s="1"/>
  <c r="M11" i="2465" s="1"/>
  <c r="I11" i="2465"/>
  <c r="H11" i="2465"/>
  <c r="K9" i="2465"/>
  <c r="L9" i="2465" s="1"/>
  <c r="M9" i="2465" s="1"/>
  <c r="I9" i="2465"/>
  <c r="H9" i="2465"/>
  <c r="M7" i="2465"/>
  <c r="K7" i="2465"/>
  <c r="L7" i="2465" s="1"/>
  <c r="I7" i="2465"/>
  <c r="H7" i="2465"/>
  <c r="K5" i="2465"/>
  <c r="L5" i="2465" s="1"/>
  <c r="M5" i="2465" s="1"/>
  <c r="I5" i="2465"/>
  <c r="H5" i="2465"/>
  <c r="L3" i="2465"/>
  <c r="M3" i="2465" s="1"/>
  <c r="K3" i="2465"/>
  <c r="I3" i="2465"/>
  <c r="H3" i="2465"/>
  <c r="K27" i="2464"/>
  <c r="L27" i="2464" s="1"/>
  <c r="M27" i="2464" s="1"/>
  <c r="N27" i="2464" s="1"/>
  <c r="I27" i="2464"/>
  <c r="H27" i="2464"/>
  <c r="K25" i="2464"/>
  <c r="L25" i="2464" s="1"/>
  <c r="M25" i="2464" s="1"/>
  <c r="N25" i="2464" s="1"/>
  <c r="I25" i="2464"/>
  <c r="H25" i="2464"/>
  <c r="K23" i="2464"/>
  <c r="L23" i="2464" s="1"/>
  <c r="M23" i="2464" s="1"/>
  <c r="N23" i="2464" s="1"/>
  <c r="I23" i="2464"/>
  <c r="H23" i="2464"/>
  <c r="K21" i="2464"/>
  <c r="L21" i="2464" s="1"/>
  <c r="M21" i="2464" s="1"/>
  <c r="N21" i="2464" s="1"/>
  <c r="I21" i="2464"/>
  <c r="H21" i="2464"/>
  <c r="K19" i="2464"/>
  <c r="L19" i="2464" s="1"/>
  <c r="M19" i="2464" s="1"/>
  <c r="N19" i="2464" s="1"/>
  <c r="I19" i="2464"/>
  <c r="H19" i="2464" s="1"/>
  <c r="K17" i="2464"/>
  <c r="L17" i="2464" s="1"/>
  <c r="M17" i="2464" s="1"/>
  <c r="N17" i="2464" s="1"/>
  <c r="I17" i="2464"/>
  <c r="H17" i="2464"/>
  <c r="K15" i="2464"/>
  <c r="L15" i="2464" s="1"/>
  <c r="M15" i="2464" s="1"/>
  <c r="N15" i="2464" s="1"/>
  <c r="I15" i="2464"/>
  <c r="H15" i="2464"/>
  <c r="L13" i="2464"/>
  <c r="M13" i="2464" s="1"/>
  <c r="N13" i="2464" s="1"/>
  <c r="K13" i="2464"/>
  <c r="I13" i="2464"/>
  <c r="H13" i="2464"/>
  <c r="K11" i="2464"/>
  <c r="L11" i="2464" s="1"/>
  <c r="M11" i="2464" s="1"/>
  <c r="N11" i="2464" s="1"/>
  <c r="I11" i="2464"/>
  <c r="H11" i="2464"/>
  <c r="K9" i="2464"/>
  <c r="L9" i="2464" s="1"/>
  <c r="M9" i="2464" s="1"/>
  <c r="N9" i="2464" s="1"/>
  <c r="I9" i="2464"/>
  <c r="H9" i="2464"/>
  <c r="K7" i="2464"/>
  <c r="L7" i="2464" s="1"/>
  <c r="M7" i="2464" s="1"/>
  <c r="N7" i="2464" s="1"/>
  <c r="I7" i="2464"/>
  <c r="H7" i="2464"/>
  <c r="K5" i="2464"/>
  <c r="L5" i="2464" s="1"/>
  <c r="M5" i="2464" s="1"/>
  <c r="N5" i="2464" s="1"/>
  <c r="I5" i="2464"/>
  <c r="H5" i="2464"/>
  <c r="K3" i="2464"/>
  <c r="L3" i="2464" s="1"/>
  <c r="M3" i="2464" s="1"/>
  <c r="N3" i="2464" s="1"/>
  <c r="I3" i="2464"/>
  <c r="H3" i="2464" s="1"/>
  <c r="K27" i="2463"/>
  <c r="L27" i="2463" s="1"/>
  <c r="M27" i="2463" s="1"/>
  <c r="N27" i="2463" s="1"/>
  <c r="I27" i="2463"/>
  <c r="H27" i="2463"/>
  <c r="K25" i="2463"/>
  <c r="L25" i="2463" s="1"/>
  <c r="M25" i="2463" s="1"/>
  <c r="N25" i="2463" s="1"/>
  <c r="I25" i="2463"/>
  <c r="H25" i="2463"/>
  <c r="L23" i="2463"/>
  <c r="M23" i="2463" s="1"/>
  <c r="N23" i="2463" s="1"/>
  <c r="K23" i="2463"/>
  <c r="I23" i="2463"/>
  <c r="H23" i="2463"/>
  <c r="K21" i="2463"/>
  <c r="L21" i="2463" s="1"/>
  <c r="M21" i="2463" s="1"/>
  <c r="N21" i="2463" s="1"/>
  <c r="I21" i="2463"/>
  <c r="H21" i="2463" s="1"/>
  <c r="K19" i="2463"/>
  <c r="L19" i="2463" s="1"/>
  <c r="M19" i="2463" s="1"/>
  <c r="N19" i="2463" s="1"/>
  <c r="I19" i="2463"/>
  <c r="H19" i="2463"/>
  <c r="K17" i="2463"/>
  <c r="L17" i="2463" s="1"/>
  <c r="M17" i="2463" s="1"/>
  <c r="N17" i="2463" s="1"/>
  <c r="I17" i="2463"/>
  <c r="H17" i="2463"/>
  <c r="K15" i="2463"/>
  <c r="L15" i="2463" s="1"/>
  <c r="M15" i="2463" s="1"/>
  <c r="N15" i="2463" s="1"/>
  <c r="I15" i="2463"/>
  <c r="H15" i="2463"/>
  <c r="K13" i="2463"/>
  <c r="L13" i="2463" s="1"/>
  <c r="M13" i="2463" s="1"/>
  <c r="N13" i="2463" s="1"/>
  <c r="I13" i="2463"/>
  <c r="H13" i="2463" s="1"/>
  <c r="K11" i="2463"/>
  <c r="L11" i="2463" s="1"/>
  <c r="M11" i="2463" s="1"/>
  <c r="N11" i="2463" s="1"/>
  <c r="I11" i="2463"/>
  <c r="H11" i="2463"/>
  <c r="K9" i="2463"/>
  <c r="L9" i="2463" s="1"/>
  <c r="M9" i="2463" s="1"/>
  <c r="N9" i="2463" s="1"/>
  <c r="I9" i="2463"/>
  <c r="H9" i="2463"/>
  <c r="L7" i="2463"/>
  <c r="M7" i="2463" s="1"/>
  <c r="N7" i="2463" s="1"/>
  <c r="K7" i="2463"/>
  <c r="I7" i="2463"/>
  <c r="H7" i="2463"/>
  <c r="M5" i="2463"/>
  <c r="N5" i="2463" s="1"/>
  <c r="K5" i="2463"/>
  <c r="L5" i="2463" s="1"/>
  <c r="I5" i="2463"/>
  <c r="H5" i="2463" s="1"/>
  <c r="K3" i="2463"/>
  <c r="L3" i="2463" s="1"/>
  <c r="M3" i="2463" s="1"/>
  <c r="N3" i="2463" s="1"/>
  <c r="I3" i="2463"/>
  <c r="H3" i="2463"/>
  <c r="K29" i="2462"/>
  <c r="L29" i="2462" s="1"/>
  <c r="M29" i="2462" s="1"/>
  <c r="I29" i="2462"/>
  <c r="H29" i="2462"/>
  <c r="K27" i="2462"/>
  <c r="L27" i="2462" s="1"/>
  <c r="M27" i="2462" s="1"/>
  <c r="I27" i="2462"/>
  <c r="H27" i="2462" s="1"/>
  <c r="K25" i="2462"/>
  <c r="L25" i="2462" s="1"/>
  <c r="M25" i="2462" s="1"/>
  <c r="I25" i="2462"/>
  <c r="H25" i="2462"/>
  <c r="L23" i="2462"/>
  <c r="M23" i="2462" s="1"/>
  <c r="K23" i="2462"/>
  <c r="I23" i="2462"/>
  <c r="H23" i="2462"/>
  <c r="L21" i="2462"/>
  <c r="M21" i="2462" s="1"/>
  <c r="K21" i="2462"/>
  <c r="I21" i="2462"/>
  <c r="H21" i="2462" s="1"/>
  <c r="K19" i="2462"/>
  <c r="L19" i="2462" s="1"/>
  <c r="M19" i="2462" s="1"/>
  <c r="I19" i="2462"/>
  <c r="H19" i="2462"/>
  <c r="K17" i="2462"/>
  <c r="L17" i="2462" s="1"/>
  <c r="M17" i="2462" s="1"/>
  <c r="I17" i="2462"/>
  <c r="H17" i="2462"/>
  <c r="K15" i="2462"/>
  <c r="L15" i="2462" s="1"/>
  <c r="M15" i="2462" s="1"/>
  <c r="I15" i="2462"/>
  <c r="H15" i="2462"/>
  <c r="K13" i="2462"/>
  <c r="L13" i="2462" s="1"/>
  <c r="M13" i="2462" s="1"/>
  <c r="I13" i="2462"/>
  <c r="H13" i="2462"/>
  <c r="K11" i="2462"/>
  <c r="L11" i="2462" s="1"/>
  <c r="M11" i="2462" s="1"/>
  <c r="I11" i="2462"/>
  <c r="H11" i="2462" s="1"/>
  <c r="K9" i="2462"/>
  <c r="L9" i="2462" s="1"/>
  <c r="M9" i="2462" s="1"/>
  <c r="I9" i="2462"/>
  <c r="H9" i="2462" s="1"/>
  <c r="K7" i="2462"/>
  <c r="L7" i="2462" s="1"/>
  <c r="M7" i="2462" s="1"/>
  <c r="I7" i="2462"/>
  <c r="H7" i="2462"/>
  <c r="K5" i="2462"/>
  <c r="L5" i="2462" s="1"/>
  <c r="M5" i="2462" s="1"/>
  <c r="I5" i="2462"/>
  <c r="H5" i="2462"/>
  <c r="K3" i="2462"/>
  <c r="L3" i="2462" s="1"/>
  <c r="M3" i="2462" s="1"/>
  <c r="I3" i="2462"/>
  <c r="H3" i="2462"/>
  <c r="K25" i="2461"/>
  <c r="L25" i="2461" s="1"/>
  <c r="M25" i="2461" s="1"/>
  <c r="N25" i="2461" s="1"/>
  <c r="I25" i="2461"/>
  <c r="H25" i="2461"/>
  <c r="K23" i="2461"/>
  <c r="L23" i="2461" s="1"/>
  <c r="M23" i="2461" s="1"/>
  <c r="N23" i="2461" s="1"/>
  <c r="I23" i="2461"/>
  <c r="H23" i="2461" s="1"/>
  <c r="K21" i="2461"/>
  <c r="L21" i="2461" s="1"/>
  <c r="M21" i="2461" s="1"/>
  <c r="N21" i="2461" s="1"/>
  <c r="I21" i="2461"/>
  <c r="H21" i="2461"/>
  <c r="K19" i="2461"/>
  <c r="L19" i="2461" s="1"/>
  <c r="M19" i="2461" s="1"/>
  <c r="N19" i="2461" s="1"/>
  <c r="I19" i="2461"/>
  <c r="H19" i="2461"/>
  <c r="L17" i="2461"/>
  <c r="M17" i="2461" s="1"/>
  <c r="N17" i="2461" s="1"/>
  <c r="K17" i="2461"/>
  <c r="I17" i="2461"/>
  <c r="H17" i="2461"/>
  <c r="K15" i="2461"/>
  <c r="L15" i="2461" s="1"/>
  <c r="M15" i="2461" s="1"/>
  <c r="N15" i="2461" s="1"/>
  <c r="I15" i="2461"/>
  <c r="H15" i="2461"/>
  <c r="K13" i="2461"/>
  <c r="L13" i="2461" s="1"/>
  <c r="M13" i="2461" s="1"/>
  <c r="N13" i="2461" s="1"/>
  <c r="I13" i="2461"/>
  <c r="H13" i="2461"/>
  <c r="K11" i="2461"/>
  <c r="L11" i="2461" s="1"/>
  <c r="M11" i="2461" s="1"/>
  <c r="N11" i="2461" s="1"/>
  <c r="I11" i="2461"/>
  <c r="H11" i="2461"/>
  <c r="K9" i="2461"/>
  <c r="L9" i="2461" s="1"/>
  <c r="M9" i="2461" s="1"/>
  <c r="N9" i="2461" s="1"/>
  <c r="I9" i="2461"/>
  <c r="H9" i="2461"/>
  <c r="K7" i="2461"/>
  <c r="L7" i="2461" s="1"/>
  <c r="M7" i="2461" s="1"/>
  <c r="N7" i="2461" s="1"/>
  <c r="I7" i="2461"/>
  <c r="H7" i="2461" s="1"/>
  <c r="K5" i="2461"/>
  <c r="L5" i="2461" s="1"/>
  <c r="M5" i="2461" s="1"/>
  <c r="N5" i="2461" s="1"/>
  <c r="I5" i="2461"/>
  <c r="H5" i="2461"/>
  <c r="K3" i="2461"/>
  <c r="L3" i="2461" s="1"/>
  <c r="M3" i="2461" s="1"/>
  <c r="N3" i="2461" s="1"/>
  <c r="I3" i="2461"/>
  <c r="H3" i="2461"/>
  <c r="M5" i="2452" l="1"/>
  <c r="L5" i="2452"/>
  <c r="K5" i="2452"/>
  <c r="H5" i="2452"/>
  <c r="I5" i="2452"/>
  <c r="K21" i="2452"/>
  <c r="L21" i="2452" s="1"/>
  <c r="M21" i="2452" s="1"/>
  <c r="I21" i="2452"/>
  <c r="H21" i="2452"/>
  <c r="M19" i="2452"/>
  <c r="L19" i="2452"/>
  <c r="K19" i="2452"/>
  <c r="H19" i="2452"/>
  <c r="I19" i="2452"/>
  <c r="K3" i="2452"/>
  <c r="L3" i="2452" s="1"/>
  <c r="M3" i="2452" s="1"/>
  <c r="I3" i="2452"/>
  <c r="H3" i="2452" s="1"/>
  <c r="K17" i="2452"/>
  <c r="L17" i="2452" s="1"/>
  <c r="M17" i="2452" s="1"/>
  <c r="I17" i="2452"/>
  <c r="H17" i="2452" s="1"/>
  <c r="K13" i="2452"/>
  <c r="L13" i="2452" s="1"/>
  <c r="M13" i="2452" s="1"/>
  <c r="K9" i="2452"/>
  <c r="L9" i="2452" s="1"/>
  <c r="M9" i="2452" s="1"/>
  <c r="I9" i="2452"/>
  <c r="H9" i="2452" s="1"/>
  <c r="M25" i="2373"/>
  <c r="L25" i="2373"/>
  <c r="K25" i="2373"/>
  <c r="H25" i="2373"/>
  <c r="I25" i="2373"/>
  <c r="M21" i="2373"/>
  <c r="L21" i="2373"/>
  <c r="K21" i="2373"/>
  <c r="I21" i="2373"/>
  <c r="H21" i="2373" s="1"/>
  <c r="M19" i="2373"/>
  <c r="L19" i="2373"/>
  <c r="K19" i="2373"/>
  <c r="H19" i="2373"/>
  <c r="I19" i="2373"/>
  <c r="I11" i="2373"/>
  <c r="H11" i="2373" s="1"/>
  <c r="K9" i="2373"/>
  <c r="L9" i="2373" s="1"/>
  <c r="M9" i="2373" s="1"/>
  <c r="I9" i="2373"/>
  <c r="H9" i="2373"/>
  <c r="K5" i="2373"/>
  <c r="L5" i="2373" s="1"/>
  <c r="M5" i="2373" s="1"/>
  <c r="I5" i="2373"/>
  <c r="H5" i="2373" s="1"/>
  <c r="M23" i="2460"/>
  <c r="L23" i="2460"/>
  <c r="K23" i="2460"/>
  <c r="H23" i="2460"/>
  <c r="I23" i="2460"/>
  <c r="M13" i="2460" l="1"/>
  <c r="L13" i="2460"/>
  <c r="K13" i="2460"/>
  <c r="H13" i="2460"/>
  <c r="I13" i="2460"/>
  <c r="M9" i="2460"/>
  <c r="L9" i="2460"/>
  <c r="K9" i="2460"/>
  <c r="H9" i="2460"/>
  <c r="I9" i="2460"/>
  <c r="M5" i="2460"/>
  <c r="L5" i="2460"/>
  <c r="K5" i="2460"/>
  <c r="H5" i="2460"/>
  <c r="I5" i="2460"/>
  <c r="M3" i="2460"/>
  <c r="L3" i="2460"/>
  <c r="K3" i="2460"/>
  <c r="H3" i="2460"/>
  <c r="I3" i="2460"/>
  <c r="K31" i="2460"/>
  <c r="L31" i="2460" s="1"/>
  <c r="M31" i="2460" s="1"/>
  <c r="I31" i="2460"/>
  <c r="H31" i="2460" s="1"/>
  <c r="K29" i="2460"/>
  <c r="L29" i="2460" s="1"/>
  <c r="M29" i="2460" s="1"/>
  <c r="I29" i="2460"/>
  <c r="H29" i="2460" s="1"/>
  <c r="K27" i="2460"/>
  <c r="L27" i="2460" s="1"/>
  <c r="M27" i="2460" s="1"/>
  <c r="I27" i="2460"/>
  <c r="H27" i="2460" s="1"/>
  <c r="K25" i="2460"/>
  <c r="L25" i="2460" s="1"/>
  <c r="M25" i="2460" s="1"/>
  <c r="I25" i="2460"/>
  <c r="H25" i="2460"/>
  <c r="K19" i="2460"/>
  <c r="L19" i="2460" s="1"/>
  <c r="M19" i="2460" s="1"/>
  <c r="I19" i="2460"/>
  <c r="H19" i="2460" s="1"/>
  <c r="K17" i="2460"/>
  <c r="L17" i="2460" s="1"/>
  <c r="M17" i="2460" s="1"/>
  <c r="I17" i="2460"/>
  <c r="H17" i="2460" s="1"/>
  <c r="K15" i="2460"/>
  <c r="L15" i="2460" s="1"/>
  <c r="M15" i="2460" s="1"/>
  <c r="I15" i="2460"/>
  <c r="H15" i="2460" s="1"/>
  <c r="K11" i="2460"/>
  <c r="L11" i="2460" s="1"/>
  <c r="M11" i="2460" s="1"/>
  <c r="I11" i="2460"/>
  <c r="H11" i="2460"/>
  <c r="K7" i="2460"/>
  <c r="L7" i="2460" s="1"/>
  <c r="M7" i="2460" s="1"/>
  <c r="I7" i="2460"/>
  <c r="H7" i="2460"/>
  <c r="M15" i="2459" l="1"/>
  <c r="L15" i="2459"/>
  <c r="K15" i="2459"/>
  <c r="H15" i="2459"/>
  <c r="I15" i="2459"/>
  <c r="M11" i="2459"/>
  <c r="L11" i="2459"/>
  <c r="K11" i="2459"/>
  <c r="H11" i="2459"/>
  <c r="I11" i="2459"/>
  <c r="K17" i="2459" l="1"/>
  <c r="L17" i="2459" s="1"/>
  <c r="M17" i="2459" s="1"/>
  <c r="I17" i="2459"/>
  <c r="H17" i="2459"/>
  <c r="K19" i="2459"/>
  <c r="L19" i="2459" s="1"/>
  <c r="M19" i="2459" s="1"/>
  <c r="I19" i="2459"/>
  <c r="H19" i="2459"/>
  <c r="K13" i="2459" l="1"/>
  <c r="L13" i="2459" s="1"/>
  <c r="M13" i="2459" s="1"/>
  <c r="I13" i="2459"/>
  <c r="H13" i="2459" s="1"/>
  <c r="K3" i="2459"/>
  <c r="L3" i="2459" s="1"/>
  <c r="M3" i="2459" s="1"/>
  <c r="I3" i="2459"/>
  <c r="H3" i="2459"/>
  <c r="M21" i="2393"/>
  <c r="L21" i="2393"/>
  <c r="K21" i="2393"/>
  <c r="H21" i="2393"/>
  <c r="I21" i="2393"/>
  <c r="M25" i="2418"/>
  <c r="L25" i="2418"/>
  <c r="K25" i="2418"/>
  <c r="H25" i="2418"/>
  <c r="I25" i="2418"/>
  <c r="M31" i="2397"/>
  <c r="M29" i="2397"/>
  <c r="M27" i="2397"/>
  <c r="M25" i="2397"/>
  <c r="M25" i="2425"/>
  <c r="L25" i="2425"/>
  <c r="K25" i="2425"/>
  <c r="H25" i="2425"/>
  <c r="I25" i="2425"/>
  <c r="L15" i="2337"/>
  <c r="M15" i="2337" s="1"/>
  <c r="K15" i="2337"/>
  <c r="H15" i="2337"/>
  <c r="I15" i="2337"/>
  <c r="K41" i="2361"/>
  <c r="L41" i="2361" s="1"/>
  <c r="M41" i="2361" s="1"/>
  <c r="I41" i="2361"/>
  <c r="H41" i="2361" s="1"/>
  <c r="K39" i="2361"/>
  <c r="L39" i="2361" s="1"/>
  <c r="M39" i="2361" s="1"/>
  <c r="I39" i="2361"/>
  <c r="H39" i="2361"/>
  <c r="K37" i="2361"/>
  <c r="L37" i="2361" s="1"/>
  <c r="M37" i="2361" s="1"/>
  <c r="I37" i="2361"/>
  <c r="H37" i="2361"/>
  <c r="K35" i="2361"/>
  <c r="L35" i="2361" s="1"/>
  <c r="M35" i="2361" s="1"/>
  <c r="I35" i="2361"/>
  <c r="H35" i="2361"/>
  <c r="K33" i="2361"/>
  <c r="L33" i="2361" s="1"/>
  <c r="M33" i="2361" s="1"/>
  <c r="I33" i="2361"/>
  <c r="H33" i="2361" s="1"/>
  <c r="K31" i="2361"/>
  <c r="L31" i="2361" s="1"/>
  <c r="M31" i="2361" s="1"/>
  <c r="I31" i="2361"/>
  <c r="H31" i="2361"/>
  <c r="L13" i="2389"/>
  <c r="M13" i="2389" s="1"/>
  <c r="J13" i="2389"/>
  <c r="I13" i="2389" s="1"/>
  <c r="H13" i="2389" s="1"/>
  <c r="I9" i="2458"/>
  <c r="H9" i="2458" s="1"/>
  <c r="K9" i="2458"/>
  <c r="L9" i="2458" s="1"/>
  <c r="M9" i="2458" s="1"/>
  <c r="K25" i="2458" l="1"/>
  <c r="L25" i="2458" s="1"/>
  <c r="M25" i="2458" s="1"/>
  <c r="I25" i="2458"/>
  <c r="H25" i="2458" s="1"/>
  <c r="K23" i="2458"/>
  <c r="L23" i="2458" s="1"/>
  <c r="M23" i="2458" s="1"/>
  <c r="I23" i="2458"/>
  <c r="H23" i="2458" s="1"/>
  <c r="K21" i="2458"/>
  <c r="L21" i="2458" s="1"/>
  <c r="M21" i="2458" s="1"/>
  <c r="I21" i="2458"/>
  <c r="H21" i="2458" s="1"/>
  <c r="K19" i="2458"/>
  <c r="L19" i="2458" s="1"/>
  <c r="M19" i="2458" s="1"/>
  <c r="I19" i="2458"/>
  <c r="H19" i="2458"/>
  <c r="K17" i="2458"/>
  <c r="L17" i="2458" s="1"/>
  <c r="M17" i="2458" s="1"/>
  <c r="I17" i="2458"/>
  <c r="H17" i="2458" s="1"/>
  <c r="K15" i="2458"/>
  <c r="L15" i="2458" s="1"/>
  <c r="M15" i="2458" s="1"/>
  <c r="I15" i="2458"/>
  <c r="H15" i="2458"/>
  <c r="K7" i="2458"/>
  <c r="L7" i="2458" s="1"/>
  <c r="M7" i="2458" s="1"/>
  <c r="I7" i="2458"/>
  <c r="H7" i="2458" s="1"/>
  <c r="K5" i="2458"/>
  <c r="L5" i="2458" s="1"/>
  <c r="M5" i="2458" s="1"/>
  <c r="I5" i="2458"/>
  <c r="H5" i="2458" s="1"/>
  <c r="K3" i="2458"/>
  <c r="L3" i="2458" s="1"/>
  <c r="M3" i="2458" s="1"/>
  <c r="I3" i="2458"/>
  <c r="H3" i="2458" s="1"/>
  <c r="M3" i="2446"/>
  <c r="M5" i="2446"/>
  <c r="M7" i="2446"/>
  <c r="M9" i="2446"/>
  <c r="M11" i="2446"/>
  <c r="M13" i="2446"/>
  <c r="M15" i="2446"/>
  <c r="M17" i="2446"/>
  <c r="M19" i="2446"/>
  <c r="M21" i="2446"/>
  <c r="M23" i="2446"/>
  <c r="M27" i="2446"/>
  <c r="M29" i="2446"/>
  <c r="M31" i="2446"/>
  <c r="M33" i="2446"/>
  <c r="I37" i="2457"/>
  <c r="H37" i="2457" s="1"/>
  <c r="K35" i="2457"/>
  <c r="L35" i="2457" s="1"/>
  <c r="M35" i="2457" s="1"/>
  <c r="N35" i="2457" s="1"/>
  <c r="I35" i="2457"/>
  <c r="H35" i="2457" s="1"/>
  <c r="K33" i="2457"/>
  <c r="L33" i="2457" s="1"/>
  <c r="M33" i="2457" s="1"/>
  <c r="N33" i="2457" s="1"/>
  <c r="K31" i="2457"/>
  <c r="L31" i="2457" s="1"/>
  <c r="M31" i="2457" s="1"/>
  <c r="N31" i="2457" s="1"/>
  <c r="I33" i="2457"/>
  <c r="H33" i="2457" s="1"/>
  <c r="I31" i="2457"/>
  <c r="H31" i="2457" s="1"/>
  <c r="K27" i="2457"/>
  <c r="L27" i="2457" s="1"/>
  <c r="M27" i="2457" s="1"/>
  <c r="N27" i="2457" s="1"/>
  <c r="I27" i="2457"/>
  <c r="H27" i="2457" s="1"/>
  <c r="K25" i="2457"/>
  <c r="L25" i="2457" s="1"/>
  <c r="M25" i="2457" s="1"/>
  <c r="N25" i="2457" s="1"/>
  <c r="I25" i="2457"/>
  <c r="H25" i="2457" s="1"/>
  <c r="L29" i="2457"/>
  <c r="M29" i="2457" s="1"/>
  <c r="N29" i="2457" s="1"/>
  <c r="L21" i="2457"/>
  <c r="M21" i="2457" s="1"/>
  <c r="N21" i="2457" s="1"/>
  <c r="L23" i="2457"/>
  <c r="M23" i="2457" s="1"/>
  <c r="N23" i="2457" s="1"/>
  <c r="K23" i="2457"/>
  <c r="I23" i="2457"/>
  <c r="H23" i="2457" s="1"/>
  <c r="K21" i="2457"/>
  <c r="I21" i="2457"/>
  <c r="H21" i="2457" s="1"/>
  <c r="K19" i="2457"/>
  <c r="L19" i="2457" s="1"/>
  <c r="M19" i="2457" s="1"/>
  <c r="N19" i="2457" s="1"/>
  <c r="I19" i="2457"/>
  <c r="H19" i="2457" s="1"/>
  <c r="K9" i="2457"/>
  <c r="L9" i="2457" s="1"/>
  <c r="M9" i="2457" s="1"/>
  <c r="N9" i="2457" s="1"/>
  <c r="I9" i="2457"/>
  <c r="H9" i="2457" s="1"/>
  <c r="K7" i="2457"/>
  <c r="L7" i="2457" s="1"/>
  <c r="M7" i="2457" s="1"/>
  <c r="N7" i="2457" s="1"/>
  <c r="I7" i="2457"/>
  <c r="H7" i="2457" s="1"/>
  <c r="K5" i="2457"/>
  <c r="L5" i="2457" s="1"/>
  <c r="M5" i="2457" s="1"/>
  <c r="N5" i="2457" s="1"/>
  <c r="I5" i="2457"/>
  <c r="H5" i="2457" s="1"/>
  <c r="K37" i="2457"/>
  <c r="L37" i="2457" s="1"/>
  <c r="M37" i="2457" s="1"/>
  <c r="N37" i="2457" s="1"/>
  <c r="K29" i="2457"/>
  <c r="I29" i="2457"/>
  <c r="H29" i="2457" s="1"/>
  <c r="K17" i="2457"/>
  <c r="L17" i="2457" s="1"/>
  <c r="M17" i="2457" s="1"/>
  <c r="N17" i="2457" s="1"/>
  <c r="I17" i="2457"/>
  <c r="H17" i="2457" s="1"/>
  <c r="K15" i="2457"/>
  <c r="L15" i="2457" s="1"/>
  <c r="M15" i="2457" s="1"/>
  <c r="N15" i="2457" s="1"/>
  <c r="I15" i="2457"/>
  <c r="H15" i="2457" s="1"/>
  <c r="K13" i="2457"/>
  <c r="L13" i="2457" s="1"/>
  <c r="M13" i="2457" s="1"/>
  <c r="N13" i="2457" s="1"/>
  <c r="I13" i="2457"/>
  <c r="H13" i="2457" s="1"/>
  <c r="K11" i="2457"/>
  <c r="L11" i="2457" s="1"/>
  <c r="M11" i="2457" s="1"/>
  <c r="N11" i="2457" s="1"/>
  <c r="I11" i="2457"/>
  <c r="H11" i="2457" s="1"/>
  <c r="K3" i="2457"/>
  <c r="L3" i="2457" s="1"/>
  <c r="M3" i="2457" s="1"/>
  <c r="N3" i="2457" s="1"/>
  <c r="I3" i="2457"/>
  <c r="H3" i="2457" s="1"/>
  <c r="K39" i="2449"/>
  <c r="L39" i="2449" s="1"/>
  <c r="M39" i="2449" s="1"/>
  <c r="N39" i="2449" s="1"/>
  <c r="I39" i="2449"/>
  <c r="H39" i="2449"/>
  <c r="N3" i="2455"/>
  <c r="N9" i="2455"/>
  <c r="N11" i="2455"/>
  <c r="N13" i="2455"/>
  <c r="N15" i="2455"/>
  <c r="N17" i="2455"/>
  <c r="N19" i="2455"/>
  <c r="N21" i="2455"/>
  <c r="N23" i="2455"/>
  <c r="N25" i="2455"/>
  <c r="N27" i="2455"/>
  <c r="N37" i="2455"/>
  <c r="N39" i="2455"/>
  <c r="N41" i="2455"/>
  <c r="N43" i="2455"/>
  <c r="P9" i="2451"/>
  <c r="P7" i="2451"/>
  <c r="K41" i="2423"/>
  <c r="L41" i="2423" s="1"/>
  <c r="M41" i="2423" s="1"/>
  <c r="I41" i="2423"/>
  <c r="H41" i="2423"/>
  <c r="K39" i="2423"/>
  <c r="L39" i="2423" s="1"/>
  <c r="M39" i="2423" s="1"/>
  <c r="I39" i="2423"/>
  <c r="H39" i="2423" s="1"/>
  <c r="K37" i="2423"/>
  <c r="L37" i="2423" s="1"/>
  <c r="M37" i="2423" s="1"/>
  <c r="I37" i="2423"/>
  <c r="H37" i="2423" s="1"/>
  <c r="K35" i="2423"/>
  <c r="L35" i="2423" s="1"/>
  <c r="M35" i="2423" s="1"/>
  <c r="I35" i="2423"/>
  <c r="H35" i="2423" s="1"/>
  <c r="K33" i="2423" l="1"/>
  <c r="L33" i="2423" s="1"/>
  <c r="M33" i="2423" s="1"/>
  <c r="I33" i="2423"/>
  <c r="H33" i="2423" s="1"/>
  <c r="I29" i="2423"/>
  <c r="H29" i="2423" s="1"/>
  <c r="K29" i="2423"/>
  <c r="L29" i="2423" s="1"/>
  <c r="M29" i="2423" s="1"/>
  <c r="H27" i="2423" l="1"/>
  <c r="I27" i="2423"/>
  <c r="M27" i="2423"/>
  <c r="L27" i="2423"/>
  <c r="K27" i="2423"/>
  <c r="H11" i="2423" l="1"/>
  <c r="I11" i="2423"/>
  <c r="K11" i="2423"/>
  <c r="L11" i="2423" s="1"/>
  <c r="M11" i="2423" s="1"/>
  <c r="I29" i="2456"/>
  <c r="H29" i="2456" s="1"/>
  <c r="K35" i="2456"/>
  <c r="L35" i="2456" s="1"/>
  <c r="M35" i="2456" s="1"/>
  <c r="I35" i="2456"/>
  <c r="H35" i="2456"/>
  <c r="K33" i="2456"/>
  <c r="L33" i="2456" s="1"/>
  <c r="M33" i="2456" s="1"/>
  <c r="I33" i="2456"/>
  <c r="H33" i="2456"/>
  <c r="K31" i="2456"/>
  <c r="L31" i="2456" s="1"/>
  <c r="M31" i="2456" s="1"/>
  <c r="I31" i="2456"/>
  <c r="H31" i="2456"/>
  <c r="K29" i="2456"/>
  <c r="L29" i="2456" s="1"/>
  <c r="M29" i="2456" s="1"/>
  <c r="K27" i="2456"/>
  <c r="L27" i="2456" s="1"/>
  <c r="M27" i="2456" s="1"/>
  <c r="I27" i="2456"/>
  <c r="H27" i="2456" s="1"/>
  <c r="K25" i="2456"/>
  <c r="L25" i="2456" s="1"/>
  <c r="M25" i="2456" s="1"/>
  <c r="I25" i="2456"/>
  <c r="H25" i="2456"/>
  <c r="K9" i="2456"/>
  <c r="L9" i="2456" s="1"/>
  <c r="M9" i="2456" s="1"/>
  <c r="I9" i="2456"/>
  <c r="H9" i="2456"/>
  <c r="H7" i="2456"/>
  <c r="I7" i="2456"/>
  <c r="M7" i="2456"/>
  <c r="L7" i="2456"/>
  <c r="H5" i="2456"/>
  <c r="I5" i="2456"/>
  <c r="M5" i="2456"/>
  <c r="L5" i="2456"/>
  <c r="K5" i="2456"/>
  <c r="K7" i="2456"/>
  <c r="K21" i="2456"/>
  <c r="L21" i="2456" s="1"/>
  <c r="M21" i="2456" s="1"/>
  <c r="I21" i="2456"/>
  <c r="H21" i="2456"/>
  <c r="K19" i="2456"/>
  <c r="L19" i="2456" s="1"/>
  <c r="M19" i="2456" s="1"/>
  <c r="I19" i="2456"/>
  <c r="H19" i="2456"/>
  <c r="L15" i="2456"/>
  <c r="M15" i="2456" s="1"/>
  <c r="K15" i="2456"/>
  <c r="I15" i="2456"/>
  <c r="H15" i="2456"/>
  <c r="K13" i="2456"/>
  <c r="L13" i="2456" s="1"/>
  <c r="M13" i="2456" s="1"/>
  <c r="I13" i="2456"/>
  <c r="H13" i="2456"/>
  <c r="K11" i="2456"/>
  <c r="L11" i="2456" s="1"/>
  <c r="M11" i="2456" s="1"/>
  <c r="I11" i="2456"/>
  <c r="H11" i="2456" s="1"/>
  <c r="K3" i="2456"/>
  <c r="L3" i="2456" s="1"/>
  <c r="M3" i="2456" s="1"/>
  <c r="I3" i="2456"/>
  <c r="H3" i="2456"/>
  <c r="Q4" i="2445"/>
  <c r="Q3" i="2445"/>
  <c r="P19" i="2453"/>
  <c r="K42" i="2453"/>
  <c r="L42" i="2453" s="1"/>
  <c r="M42" i="2453" s="1"/>
  <c r="I42" i="2453"/>
  <c r="H42" i="2453" s="1"/>
  <c r="K40" i="2453"/>
  <c r="L40" i="2453" s="1"/>
  <c r="M40" i="2453" s="1"/>
  <c r="I40" i="2453"/>
  <c r="H40" i="2453" s="1"/>
  <c r="K46" i="2453"/>
  <c r="K44" i="2453"/>
  <c r="K38" i="2453"/>
  <c r="K36" i="2453"/>
  <c r="L36" i="2453"/>
  <c r="M36" i="2453" s="1"/>
  <c r="L38" i="2453"/>
  <c r="M38" i="2453" s="1"/>
  <c r="L44" i="2453"/>
  <c r="M44" i="2453" s="1"/>
  <c r="L46" i="2453"/>
  <c r="M46" i="2453" s="1"/>
  <c r="I46" i="2453"/>
  <c r="H46" i="2453" s="1"/>
  <c r="I44" i="2453"/>
  <c r="H44" i="2453" s="1"/>
  <c r="I38" i="2453"/>
  <c r="H38" i="2453" s="1"/>
  <c r="I36" i="2453"/>
  <c r="H36" i="2453" s="1"/>
  <c r="I29" i="2453"/>
  <c r="I23" i="2455"/>
  <c r="H23" i="2455" s="1"/>
  <c r="K23" i="2455"/>
  <c r="L23" i="2455" s="1"/>
  <c r="M23" i="2455" s="1"/>
  <c r="K17" i="2455"/>
  <c r="L17" i="2455" s="1"/>
  <c r="M17" i="2455" s="1"/>
  <c r="I17" i="2455"/>
  <c r="H17" i="2455"/>
  <c r="K43" i="2455"/>
  <c r="L43" i="2455" s="1"/>
  <c r="M43" i="2455" s="1"/>
  <c r="I43" i="2455"/>
  <c r="H43" i="2455" s="1"/>
  <c r="K41" i="2455"/>
  <c r="L41" i="2455" s="1"/>
  <c r="M41" i="2455" s="1"/>
  <c r="I41" i="2455"/>
  <c r="H41" i="2455"/>
  <c r="K39" i="2455"/>
  <c r="L39" i="2455" s="1"/>
  <c r="M39" i="2455" s="1"/>
  <c r="I39" i="2455"/>
  <c r="H39" i="2455" s="1"/>
  <c r="K37" i="2455"/>
  <c r="L37" i="2455" s="1"/>
  <c r="M37" i="2455" s="1"/>
  <c r="I37" i="2455"/>
  <c r="H37" i="2455" s="1"/>
  <c r="K27" i="2455"/>
  <c r="L27" i="2455" s="1"/>
  <c r="M27" i="2455" s="1"/>
  <c r="I27" i="2455"/>
  <c r="H27" i="2455"/>
  <c r="L25" i="2455"/>
  <c r="M25" i="2455" s="1"/>
  <c r="K25" i="2455"/>
  <c r="I25" i="2455"/>
  <c r="H25" i="2455"/>
  <c r="K21" i="2455"/>
  <c r="L21" i="2455" s="1"/>
  <c r="M21" i="2455" s="1"/>
  <c r="I21" i="2455"/>
  <c r="H21" i="2455" s="1"/>
  <c r="K19" i="2455"/>
  <c r="L19" i="2455" s="1"/>
  <c r="M19" i="2455" s="1"/>
  <c r="I19" i="2455"/>
  <c r="H19" i="2455"/>
  <c r="K15" i="2455"/>
  <c r="L15" i="2455" s="1"/>
  <c r="M15" i="2455" s="1"/>
  <c r="I15" i="2455"/>
  <c r="H15" i="2455" s="1"/>
  <c r="K13" i="2455"/>
  <c r="L13" i="2455" s="1"/>
  <c r="M13" i="2455" s="1"/>
  <c r="I13" i="2455"/>
  <c r="H13" i="2455" s="1"/>
  <c r="K11" i="2455"/>
  <c r="L11" i="2455" s="1"/>
  <c r="M11" i="2455" s="1"/>
  <c r="I11" i="2455"/>
  <c r="H11" i="2455" s="1"/>
  <c r="K9" i="2455"/>
  <c r="L9" i="2455" s="1"/>
  <c r="M9" i="2455" s="1"/>
  <c r="I9" i="2455"/>
  <c r="H9" i="2455"/>
  <c r="K3" i="2455"/>
  <c r="L3" i="2455" s="1"/>
  <c r="M3" i="2455" s="1"/>
  <c r="I3" i="2455"/>
  <c r="H3" i="2455"/>
  <c r="I27" i="2454"/>
  <c r="I25" i="2454"/>
  <c r="I15" i="2454"/>
  <c r="I39" i="2454"/>
  <c r="H39" i="2454" s="1"/>
  <c r="K39" i="2454"/>
  <c r="L39" i="2454" s="1"/>
  <c r="M39" i="2454" s="1"/>
  <c r="K37" i="2454"/>
  <c r="L37" i="2454" s="1"/>
  <c r="M37" i="2454" s="1"/>
  <c r="I37" i="2454"/>
  <c r="H37" i="2454" s="1"/>
  <c r="K23" i="2454"/>
  <c r="L23" i="2454" s="1"/>
  <c r="M23" i="2454" s="1"/>
  <c r="H23" i="2454"/>
  <c r="I23" i="2454"/>
  <c r="H27" i="2454" l="1"/>
  <c r="H25" i="2454"/>
  <c r="K43" i="2454"/>
  <c r="L43" i="2454" s="1"/>
  <c r="M43" i="2454" s="1"/>
  <c r="I43" i="2454"/>
  <c r="H43" i="2454" s="1"/>
  <c r="K41" i="2454"/>
  <c r="L41" i="2454" s="1"/>
  <c r="M41" i="2454" s="1"/>
  <c r="I41" i="2454"/>
  <c r="H41" i="2454"/>
  <c r="K27" i="2454"/>
  <c r="L27" i="2454" s="1"/>
  <c r="M27" i="2454" s="1"/>
  <c r="K25" i="2454"/>
  <c r="L25" i="2454" s="1"/>
  <c r="M25" i="2454" s="1"/>
  <c r="K21" i="2454"/>
  <c r="L21" i="2454" s="1"/>
  <c r="M21" i="2454" s="1"/>
  <c r="I21" i="2454"/>
  <c r="H21" i="2454" s="1"/>
  <c r="K19" i="2454"/>
  <c r="L19" i="2454" s="1"/>
  <c r="M19" i="2454" s="1"/>
  <c r="I19" i="2454"/>
  <c r="H19" i="2454"/>
  <c r="K15" i="2454"/>
  <c r="L15" i="2454" s="1"/>
  <c r="M15" i="2454" s="1"/>
  <c r="H15" i="2454"/>
  <c r="K13" i="2454"/>
  <c r="L13" i="2454" s="1"/>
  <c r="M13" i="2454" s="1"/>
  <c r="I13" i="2454"/>
  <c r="H13" i="2454" s="1"/>
  <c r="K11" i="2454"/>
  <c r="L11" i="2454" s="1"/>
  <c r="M11" i="2454" s="1"/>
  <c r="I11" i="2454"/>
  <c r="H11" i="2454"/>
  <c r="K9" i="2454"/>
  <c r="L9" i="2454" s="1"/>
  <c r="M9" i="2454" s="1"/>
  <c r="I9" i="2454"/>
  <c r="H9" i="2454"/>
  <c r="K3" i="2454"/>
  <c r="L3" i="2454" s="1"/>
  <c r="M3" i="2454" s="1"/>
  <c r="I3" i="2454"/>
  <c r="H3" i="2454"/>
  <c r="K29" i="2453" l="1"/>
  <c r="L29" i="2453" s="1"/>
  <c r="M29" i="2453" s="1"/>
  <c r="K23" i="2453"/>
  <c r="L23" i="2453" s="1"/>
  <c r="M23" i="2453" s="1"/>
  <c r="I23" i="2453"/>
  <c r="H23" i="2453" s="1"/>
  <c r="K21" i="2453"/>
  <c r="L21" i="2453" s="1"/>
  <c r="M21" i="2453" s="1"/>
  <c r="I21" i="2453"/>
  <c r="H21" i="2453" s="1"/>
  <c r="K19" i="2453"/>
  <c r="L19" i="2453" s="1"/>
  <c r="M19" i="2453" s="1"/>
  <c r="I19" i="2453"/>
  <c r="H19" i="2453" s="1"/>
  <c r="K11" i="2453"/>
  <c r="L11" i="2453" s="1"/>
  <c r="M11" i="2453" s="1"/>
  <c r="I11" i="2453"/>
  <c r="H11" i="2453" s="1"/>
  <c r="K7" i="2453"/>
  <c r="L7" i="2453" s="1"/>
  <c r="M7" i="2453" s="1"/>
  <c r="I7" i="2453"/>
  <c r="H7" i="2453" s="1"/>
  <c r="K9" i="2453"/>
  <c r="L9" i="2453" s="1"/>
  <c r="M9" i="2453" s="1"/>
  <c r="I9" i="2453"/>
  <c r="H9" i="2453" s="1"/>
  <c r="K3" i="2453"/>
  <c r="L3" i="2453" s="1"/>
  <c r="M3" i="2453" s="1"/>
  <c r="I3" i="2453"/>
  <c r="H3" i="2453" s="1"/>
  <c r="H29" i="2453"/>
  <c r="K27" i="2453"/>
  <c r="L27" i="2453" s="1"/>
  <c r="M27" i="2453" s="1"/>
  <c r="I27" i="2453"/>
  <c r="H27" i="2453" s="1"/>
  <c r="K25" i="2453"/>
  <c r="L25" i="2453" s="1"/>
  <c r="M25" i="2453" s="1"/>
  <c r="I25" i="2453"/>
  <c r="H25" i="2453" s="1"/>
  <c r="K17" i="2453"/>
  <c r="L17" i="2453" s="1"/>
  <c r="M17" i="2453" s="1"/>
  <c r="I17" i="2453"/>
  <c r="H17" i="2453" s="1"/>
  <c r="K15" i="2453"/>
  <c r="L15" i="2453" s="1"/>
  <c r="M15" i="2453" s="1"/>
  <c r="I15" i="2453"/>
  <c r="H15" i="2453" s="1"/>
  <c r="K13" i="2453"/>
  <c r="L13" i="2453" s="1"/>
  <c r="M13" i="2453" s="1"/>
  <c r="I13" i="2453"/>
  <c r="H13" i="2453" s="1"/>
  <c r="K5" i="2453"/>
  <c r="L5" i="2453" s="1"/>
  <c r="M5" i="2453" s="1"/>
  <c r="I5" i="2453"/>
  <c r="H5" i="2453" s="1"/>
  <c r="K50" i="2452"/>
  <c r="L50" i="2452" s="1"/>
  <c r="M50" i="2452" s="1"/>
  <c r="I50" i="2452"/>
  <c r="H50" i="2452" s="1"/>
  <c r="K15" i="2452"/>
  <c r="L15" i="2452" s="1"/>
  <c r="M15" i="2452" s="1"/>
  <c r="I15" i="2452"/>
  <c r="H15" i="2452" s="1"/>
  <c r="K48" i="2452"/>
  <c r="L48" i="2452" s="1"/>
  <c r="M48" i="2452" s="1"/>
  <c r="I48" i="2452"/>
  <c r="H48" i="2452" s="1"/>
  <c r="K32" i="2452"/>
  <c r="L32" i="2452" s="1"/>
  <c r="M32" i="2452" s="1"/>
  <c r="I32" i="2452"/>
  <c r="H32" i="2452" s="1"/>
  <c r="K11" i="2452"/>
  <c r="L11" i="2452" s="1"/>
  <c r="M11" i="2452" s="1"/>
  <c r="I11" i="2452"/>
  <c r="H11" i="2452"/>
  <c r="R12" i="2452" s="1"/>
  <c r="R13" i="2452" s="1"/>
  <c r="I7" i="2452"/>
  <c r="H7" i="2452" s="1"/>
  <c r="K7" i="2452"/>
  <c r="L7" i="2452" s="1"/>
  <c r="M7" i="2452" s="1"/>
  <c r="I13" i="2452"/>
  <c r="H13" i="2452" s="1"/>
  <c r="K46" i="2452"/>
  <c r="L46" i="2452" s="1"/>
  <c r="M46" i="2452" s="1"/>
  <c r="I46" i="2452"/>
  <c r="H46" i="2452" s="1"/>
  <c r="K44" i="2452"/>
  <c r="L44" i="2452" s="1"/>
  <c r="M44" i="2452" s="1"/>
  <c r="I44" i="2452"/>
  <c r="H44" i="2452" s="1"/>
  <c r="K42" i="2452"/>
  <c r="L42" i="2452" s="1"/>
  <c r="M42" i="2452" s="1"/>
  <c r="I42" i="2452"/>
  <c r="H42" i="2452" s="1"/>
  <c r="K34" i="2452"/>
  <c r="L34" i="2452" s="1"/>
  <c r="M34" i="2452" s="1"/>
  <c r="I34" i="2452"/>
  <c r="H34" i="2452" s="1"/>
  <c r="K26" i="2452"/>
  <c r="L26" i="2452" s="1"/>
  <c r="M26" i="2452" s="1"/>
  <c r="I26" i="2452"/>
  <c r="H26" i="2452" s="1"/>
  <c r="K28" i="2452"/>
  <c r="L28" i="2452" s="1"/>
  <c r="M28" i="2452" s="1"/>
  <c r="I28" i="2452"/>
  <c r="H28" i="2452" s="1"/>
  <c r="K40" i="2452"/>
  <c r="L40" i="2452" s="1"/>
  <c r="M40" i="2452" s="1"/>
  <c r="I40" i="2452"/>
  <c r="H40" i="2452" s="1"/>
  <c r="K38" i="2452"/>
  <c r="L38" i="2452" s="1"/>
  <c r="M38" i="2452" s="1"/>
  <c r="I38" i="2452"/>
  <c r="H38" i="2452" s="1"/>
  <c r="K36" i="2452"/>
  <c r="L36" i="2452" s="1"/>
  <c r="M36" i="2452" s="1"/>
  <c r="I36" i="2452"/>
  <c r="H36" i="2452" s="1"/>
  <c r="K30" i="2452"/>
  <c r="L30" i="2452" s="1"/>
  <c r="M30" i="2452" s="1"/>
  <c r="I30" i="2452"/>
  <c r="H30" i="2452" s="1"/>
  <c r="H21" i="2436"/>
  <c r="H23" i="2436"/>
  <c r="H17" i="2436"/>
  <c r="H15" i="2436"/>
  <c r="H13" i="2436"/>
  <c r="H25" i="2436"/>
  <c r="H3" i="2436"/>
  <c r="H5" i="2436"/>
  <c r="H7" i="2436"/>
  <c r="H9" i="2436"/>
  <c r="H11" i="2436"/>
  <c r="H19" i="2436"/>
  <c r="P12" i="2428"/>
  <c r="P13" i="2428"/>
  <c r="N3" i="2428"/>
  <c r="N5" i="2428"/>
  <c r="N7" i="2428"/>
  <c r="N9" i="2428"/>
  <c r="N11" i="2428"/>
  <c r="N13" i="2428"/>
  <c r="N15" i="2428"/>
  <c r="N17" i="2428"/>
  <c r="N19" i="2428"/>
  <c r="N21" i="2428"/>
  <c r="N23" i="2428"/>
  <c r="N25" i="2428"/>
  <c r="N27" i="2428"/>
  <c r="N29" i="2428"/>
  <c r="N31" i="2428"/>
  <c r="N33" i="2428"/>
  <c r="N35" i="2428"/>
  <c r="P25" i="2441"/>
  <c r="P24" i="2441"/>
  <c r="K27" i="2451"/>
  <c r="L27" i="2451" s="1"/>
  <c r="M27" i="2451" s="1"/>
  <c r="I27" i="2451"/>
  <c r="H27" i="2451" s="1"/>
  <c r="K25" i="2451"/>
  <c r="L25" i="2451" s="1"/>
  <c r="M25" i="2451" s="1"/>
  <c r="I25" i="2451"/>
  <c r="H25" i="2451"/>
  <c r="K23" i="2451"/>
  <c r="L23" i="2451" s="1"/>
  <c r="M23" i="2451" s="1"/>
  <c r="I23" i="2451"/>
  <c r="H23" i="2451"/>
  <c r="K21" i="2451"/>
  <c r="L21" i="2451" s="1"/>
  <c r="M21" i="2451" s="1"/>
  <c r="I21" i="2451"/>
  <c r="H21" i="2451" s="1"/>
  <c r="K19" i="2451"/>
  <c r="L19" i="2451" s="1"/>
  <c r="M19" i="2451" s="1"/>
  <c r="I19" i="2451"/>
  <c r="H19" i="2451" s="1"/>
  <c r="K17" i="2451"/>
  <c r="L17" i="2451" s="1"/>
  <c r="M17" i="2451" s="1"/>
  <c r="I17" i="2451"/>
  <c r="H17" i="2451"/>
  <c r="K15" i="2451"/>
  <c r="L15" i="2451" s="1"/>
  <c r="M15" i="2451" s="1"/>
  <c r="I15" i="2451"/>
  <c r="H15" i="2451"/>
  <c r="K13" i="2451"/>
  <c r="L13" i="2451" s="1"/>
  <c r="M13" i="2451" s="1"/>
  <c r="I13" i="2451"/>
  <c r="H13" i="2451"/>
  <c r="K11" i="2451"/>
  <c r="L11" i="2451" s="1"/>
  <c r="M11" i="2451" s="1"/>
  <c r="I11" i="2451"/>
  <c r="H11" i="2451"/>
  <c r="K7" i="2451"/>
  <c r="L7" i="2451" s="1"/>
  <c r="M7" i="2451" s="1"/>
  <c r="I7" i="2451"/>
  <c r="H7" i="2451" s="1"/>
  <c r="M5" i="2451"/>
  <c r="L5" i="2451"/>
  <c r="K5" i="2451"/>
  <c r="I5" i="2451"/>
  <c r="H5" i="2451"/>
  <c r="K3" i="2451"/>
  <c r="L3" i="2451" s="1"/>
  <c r="M3" i="2451" s="1"/>
  <c r="I3" i="2451"/>
  <c r="H3" i="2451"/>
  <c r="N31" i="2450"/>
  <c r="N29" i="2450"/>
  <c r="N27" i="2450"/>
  <c r="N25" i="2450"/>
  <c r="N23" i="2450"/>
  <c r="N19" i="2450"/>
  <c r="N17" i="2450"/>
  <c r="N15" i="2450"/>
  <c r="N13" i="2450"/>
  <c r="N11" i="2450"/>
  <c r="N9" i="2450"/>
  <c r="N7" i="2450"/>
  <c r="N5" i="2450"/>
  <c r="N3" i="2450"/>
  <c r="M9" i="2450"/>
  <c r="L9" i="2450"/>
  <c r="K9" i="2450"/>
  <c r="I9" i="2450"/>
  <c r="H9" i="2450"/>
  <c r="I3" i="2450"/>
  <c r="H3" i="2450" s="1"/>
  <c r="K3" i="2450"/>
  <c r="L3" i="2450" s="1"/>
  <c r="M3" i="2450" s="1"/>
  <c r="K31" i="2450"/>
  <c r="L31" i="2450" s="1"/>
  <c r="M31" i="2450" s="1"/>
  <c r="I31" i="2450"/>
  <c r="H31" i="2450" s="1"/>
  <c r="K29" i="2450"/>
  <c r="L29" i="2450" s="1"/>
  <c r="M29" i="2450" s="1"/>
  <c r="I29" i="2450"/>
  <c r="H29" i="2450" s="1"/>
  <c r="K27" i="2450"/>
  <c r="L27" i="2450" s="1"/>
  <c r="M27" i="2450" s="1"/>
  <c r="I27" i="2450"/>
  <c r="H27" i="2450"/>
  <c r="K25" i="2450"/>
  <c r="L25" i="2450" s="1"/>
  <c r="M25" i="2450" s="1"/>
  <c r="I25" i="2450"/>
  <c r="H25" i="2450"/>
  <c r="K23" i="2450"/>
  <c r="L23" i="2450" s="1"/>
  <c r="M23" i="2450" s="1"/>
  <c r="I23" i="2450"/>
  <c r="H23" i="2450" s="1"/>
  <c r="K19" i="2450"/>
  <c r="L19" i="2450" s="1"/>
  <c r="M19" i="2450" s="1"/>
  <c r="I19" i="2450"/>
  <c r="H19" i="2450" s="1"/>
  <c r="L17" i="2450"/>
  <c r="M17" i="2450" s="1"/>
  <c r="K17" i="2450"/>
  <c r="I17" i="2450"/>
  <c r="H17" i="2450"/>
  <c r="K15" i="2450"/>
  <c r="L15" i="2450" s="1"/>
  <c r="M15" i="2450" s="1"/>
  <c r="I15" i="2450"/>
  <c r="H15" i="2450" s="1"/>
  <c r="K13" i="2450"/>
  <c r="L13" i="2450" s="1"/>
  <c r="M13" i="2450" s="1"/>
  <c r="I13" i="2450"/>
  <c r="H13" i="2450"/>
  <c r="K11" i="2450"/>
  <c r="L11" i="2450" s="1"/>
  <c r="M11" i="2450" s="1"/>
  <c r="I11" i="2450"/>
  <c r="H11" i="2450" s="1"/>
  <c r="K7" i="2450"/>
  <c r="L7" i="2450" s="1"/>
  <c r="M7" i="2450" s="1"/>
  <c r="I7" i="2450"/>
  <c r="H7" i="2450"/>
  <c r="K5" i="2450"/>
  <c r="L5" i="2450" s="1"/>
  <c r="M5" i="2450" s="1"/>
  <c r="I5" i="2450"/>
  <c r="H5" i="2450" s="1"/>
  <c r="L33" i="2446"/>
  <c r="K33" i="2446"/>
  <c r="H33" i="2446"/>
  <c r="I33" i="2446"/>
  <c r="H31" i="2446"/>
  <c r="I31" i="2446"/>
  <c r="L31" i="2446"/>
  <c r="K31" i="2446"/>
  <c r="H29" i="2446"/>
  <c r="L29" i="2446"/>
  <c r="K29" i="2446"/>
  <c r="I29" i="2446"/>
  <c r="L19" i="2446"/>
  <c r="K19" i="2446"/>
  <c r="H19" i="2446"/>
  <c r="I19" i="2446"/>
  <c r="H11" i="2446"/>
  <c r="K11" i="2446"/>
  <c r="L11" i="2446"/>
  <c r="H7" i="2446"/>
  <c r="H9" i="2446"/>
  <c r="L7" i="2446"/>
  <c r="L9" i="2446"/>
  <c r="K9" i="2446"/>
  <c r="K7" i="2446"/>
  <c r="I9" i="2446"/>
  <c r="I7" i="2446"/>
  <c r="H5" i="2446"/>
  <c r="L5" i="2446"/>
  <c r="K5" i="2446"/>
  <c r="I5" i="2446"/>
  <c r="N3" i="2449"/>
  <c r="N11" i="2449"/>
  <c r="N13" i="2449"/>
  <c r="N15" i="2449"/>
  <c r="N21" i="2449"/>
  <c r="N23" i="2449"/>
  <c r="N25" i="2449"/>
  <c r="N27" i="2449"/>
  <c r="N29" i="2449"/>
  <c r="N31" i="2449"/>
  <c r="N33" i="2449"/>
  <c r="N35" i="2449"/>
  <c r="N37" i="2449"/>
  <c r="M35" i="2449"/>
  <c r="L35" i="2449"/>
  <c r="K35" i="2449"/>
  <c r="K33" i="2449"/>
  <c r="L33" i="2449" s="1"/>
  <c r="M33" i="2449" s="1"/>
  <c r="I33" i="2449"/>
  <c r="H33" i="2449" s="1"/>
  <c r="K29" i="2449"/>
  <c r="L29" i="2449" s="1"/>
  <c r="M29" i="2449" s="1"/>
  <c r="I29" i="2449"/>
  <c r="H29" i="2449" s="1"/>
  <c r="K23" i="2449"/>
  <c r="L23" i="2449" s="1"/>
  <c r="M23" i="2449" s="1"/>
  <c r="I23" i="2449"/>
  <c r="H23" i="2449" s="1"/>
  <c r="I35" i="2449"/>
  <c r="H35" i="2449" s="1"/>
  <c r="K31" i="2449"/>
  <c r="L31" i="2449" s="1"/>
  <c r="M31" i="2449" s="1"/>
  <c r="I31" i="2449"/>
  <c r="H31" i="2449" s="1"/>
  <c r="K27" i="2449"/>
  <c r="L27" i="2449" s="1"/>
  <c r="M27" i="2449" s="1"/>
  <c r="I27" i="2449"/>
  <c r="H27" i="2449" s="1"/>
  <c r="K25" i="2449"/>
  <c r="L25" i="2449" s="1"/>
  <c r="M25" i="2449" s="1"/>
  <c r="I25" i="2449"/>
  <c r="H25" i="2449" s="1"/>
  <c r="K21" i="2449"/>
  <c r="L21" i="2449" s="1"/>
  <c r="M21" i="2449" s="1"/>
  <c r="I21" i="2449"/>
  <c r="H21" i="2449"/>
  <c r="K15" i="2449"/>
  <c r="L15" i="2449" s="1"/>
  <c r="M15" i="2449" s="1"/>
  <c r="I15" i="2449"/>
  <c r="H15" i="2449" s="1"/>
  <c r="K13" i="2449"/>
  <c r="L13" i="2449" s="1"/>
  <c r="M13" i="2449" s="1"/>
  <c r="I13" i="2449"/>
  <c r="H13" i="2449" s="1"/>
  <c r="K11" i="2449"/>
  <c r="L11" i="2449" s="1"/>
  <c r="M11" i="2449" s="1"/>
  <c r="I11" i="2449"/>
  <c r="H11" i="2449" s="1"/>
  <c r="K37" i="2449"/>
  <c r="L37" i="2449" s="1"/>
  <c r="M37" i="2449" s="1"/>
  <c r="I37" i="2449"/>
  <c r="H37" i="2449" s="1"/>
  <c r="K3" i="2449"/>
  <c r="L3" i="2449" s="1"/>
  <c r="M3" i="2449" s="1"/>
  <c r="I3" i="2449"/>
  <c r="H3" i="2449"/>
  <c r="K25" i="2448"/>
  <c r="L25" i="2448" s="1"/>
  <c r="M25" i="2448" s="1"/>
  <c r="N25" i="2448" s="1"/>
  <c r="I25" i="2448"/>
  <c r="H25" i="2448" s="1"/>
  <c r="K19" i="2448"/>
  <c r="L19" i="2448" s="1"/>
  <c r="M19" i="2448" s="1"/>
  <c r="N19" i="2448" s="1"/>
  <c r="I19" i="2448"/>
  <c r="H19" i="2448" s="1"/>
  <c r="I9" i="2448"/>
  <c r="I7" i="2448"/>
  <c r="H7" i="2448" s="1"/>
  <c r="K7" i="2448"/>
  <c r="L7" i="2448" s="1"/>
  <c r="M7" i="2448" s="1"/>
  <c r="N7" i="2448" s="1"/>
  <c r="K5" i="2448"/>
  <c r="L5" i="2448" s="1"/>
  <c r="M5" i="2448" s="1"/>
  <c r="N5" i="2448" s="1"/>
  <c r="I5" i="2448"/>
  <c r="H5" i="2448" s="1"/>
  <c r="I3" i="2448"/>
  <c r="H3" i="2448" s="1"/>
  <c r="K23" i="2448"/>
  <c r="L23" i="2448" s="1"/>
  <c r="M23" i="2448" s="1"/>
  <c r="N23" i="2448" s="1"/>
  <c r="I23" i="2448"/>
  <c r="H23" i="2448" s="1"/>
  <c r="K21" i="2448"/>
  <c r="L21" i="2448" s="1"/>
  <c r="M21" i="2448" s="1"/>
  <c r="N21" i="2448" s="1"/>
  <c r="I21" i="2448"/>
  <c r="H21" i="2448" s="1"/>
  <c r="K17" i="2448"/>
  <c r="L17" i="2448" s="1"/>
  <c r="M17" i="2448" s="1"/>
  <c r="N17" i="2448" s="1"/>
  <c r="I17" i="2448"/>
  <c r="H17" i="2448" s="1"/>
  <c r="K15" i="2448"/>
  <c r="L15" i="2448" s="1"/>
  <c r="M15" i="2448" s="1"/>
  <c r="N15" i="2448" s="1"/>
  <c r="I15" i="2448"/>
  <c r="H15" i="2448" s="1"/>
  <c r="K13" i="2448"/>
  <c r="L13" i="2448" s="1"/>
  <c r="M13" i="2448" s="1"/>
  <c r="N13" i="2448" s="1"/>
  <c r="I13" i="2448"/>
  <c r="H13" i="2448" s="1"/>
  <c r="K11" i="2448"/>
  <c r="L11" i="2448" s="1"/>
  <c r="M11" i="2448" s="1"/>
  <c r="N11" i="2448" s="1"/>
  <c r="I11" i="2448"/>
  <c r="H11" i="2448" s="1"/>
  <c r="K9" i="2448"/>
  <c r="L9" i="2448" s="1"/>
  <c r="M9" i="2448" s="1"/>
  <c r="N9" i="2448" s="1"/>
  <c r="H9" i="2448"/>
  <c r="K3" i="2448"/>
  <c r="L3" i="2448" s="1"/>
  <c r="M3" i="2448" s="1"/>
  <c r="N3" i="2448" s="1"/>
  <c r="K23" i="2380"/>
  <c r="L23" i="2380"/>
  <c r="M23" i="2380" s="1"/>
  <c r="H23" i="2380"/>
  <c r="I23" i="2380"/>
  <c r="K39" i="2380"/>
  <c r="L39" i="2380" s="1"/>
  <c r="M39" i="2380" s="1"/>
  <c r="I39" i="2380"/>
  <c r="H39" i="2380"/>
  <c r="K23" i="2447"/>
  <c r="L23" i="2447" s="1"/>
  <c r="M23" i="2447" s="1"/>
  <c r="N23" i="2447" s="1"/>
  <c r="I23" i="2447"/>
  <c r="H23" i="2447" s="1"/>
  <c r="K21" i="2447"/>
  <c r="L21" i="2447" s="1"/>
  <c r="M21" i="2447" s="1"/>
  <c r="N21" i="2447" s="1"/>
  <c r="I21" i="2447"/>
  <c r="H21" i="2447" s="1"/>
  <c r="K19" i="2447"/>
  <c r="L19" i="2447" s="1"/>
  <c r="M19" i="2447" s="1"/>
  <c r="N19" i="2447" s="1"/>
  <c r="I19" i="2447"/>
  <c r="H19" i="2447" s="1"/>
  <c r="I9" i="2447"/>
  <c r="H9" i="2447" s="1"/>
  <c r="K9" i="2447"/>
  <c r="L9" i="2447" s="1"/>
  <c r="M9" i="2447" s="1"/>
  <c r="N9" i="2447" s="1"/>
  <c r="L5" i="2447"/>
  <c r="M5" i="2447" s="1"/>
  <c r="N5" i="2447" s="1"/>
  <c r="K5" i="2447"/>
  <c r="I5" i="2447"/>
  <c r="H5" i="2447" s="1"/>
  <c r="L3" i="2447"/>
  <c r="M3" i="2447" s="1"/>
  <c r="N3" i="2447" s="1"/>
  <c r="K3" i="2447"/>
  <c r="I3" i="2447"/>
  <c r="H3" i="2447" s="1"/>
  <c r="K25" i="2447"/>
  <c r="L25" i="2447" s="1"/>
  <c r="M25" i="2447" s="1"/>
  <c r="N25" i="2447" s="1"/>
  <c r="I25" i="2447"/>
  <c r="H25" i="2447" s="1"/>
  <c r="K17" i="2447"/>
  <c r="L17" i="2447" s="1"/>
  <c r="M17" i="2447" s="1"/>
  <c r="N17" i="2447" s="1"/>
  <c r="I17" i="2447"/>
  <c r="H17" i="2447" s="1"/>
  <c r="K15" i="2447"/>
  <c r="L15" i="2447" s="1"/>
  <c r="M15" i="2447" s="1"/>
  <c r="N15" i="2447" s="1"/>
  <c r="I15" i="2447"/>
  <c r="H15" i="2447" s="1"/>
  <c r="K13" i="2447"/>
  <c r="L13" i="2447" s="1"/>
  <c r="M13" i="2447" s="1"/>
  <c r="N13" i="2447" s="1"/>
  <c r="I13" i="2447"/>
  <c r="H13" i="2447"/>
  <c r="K11" i="2447"/>
  <c r="L11" i="2447" s="1"/>
  <c r="M11" i="2447" s="1"/>
  <c r="N11" i="2447" s="1"/>
  <c r="I11" i="2447"/>
  <c r="H11" i="2447" s="1"/>
  <c r="K7" i="2447"/>
  <c r="L7" i="2447" s="1"/>
  <c r="M7" i="2447" s="1"/>
  <c r="N7" i="2447" s="1"/>
  <c r="I7" i="2447"/>
  <c r="H7" i="2447" s="1"/>
  <c r="I11" i="2446"/>
  <c r="K27" i="2446"/>
  <c r="L27" i="2446" s="1"/>
  <c r="I27" i="2446"/>
  <c r="H27" i="2446" s="1"/>
  <c r="K23" i="2446"/>
  <c r="L23" i="2446" s="1"/>
  <c r="I23" i="2446"/>
  <c r="H23" i="2446" s="1"/>
  <c r="K3" i="2446"/>
  <c r="L3" i="2446" s="1"/>
  <c r="I3" i="2446"/>
  <c r="H3" i="2446" s="1"/>
  <c r="K21" i="2446"/>
  <c r="L21" i="2446" s="1"/>
  <c r="I21" i="2446"/>
  <c r="H21" i="2446" s="1"/>
  <c r="K17" i="2446"/>
  <c r="L17" i="2446" s="1"/>
  <c r="I17" i="2446"/>
  <c r="H17" i="2446" s="1"/>
  <c r="K15" i="2446"/>
  <c r="L15" i="2446" s="1"/>
  <c r="I15" i="2446"/>
  <c r="H15" i="2446" s="1"/>
  <c r="K13" i="2446"/>
  <c r="L13" i="2446" s="1"/>
  <c r="I13" i="2446"/>
  <c r="H13" i="2446" s="1"/>
  <c r="K43" i="2445"/>
  <c r="L43" i="2445" s="1"/>
  <c r="M43" i="2445" s="1"/>
  <c r="I43" i="2445"/>
  <c r="H43" i="2445" s="1"/>
  <c r="K41" i="2445"/>
  <c r="L41" i="2445" s="1"/>
  <c r="M41" i="2445" s="1"/>
  <c r="I41" i="2445"/>
  <c r="H41" i="2445" s="1"/>
  <c r="K39" i="2445"/>
  <c r="L39" i="2445" s="1"/>
  <c r="M39" i="2445" s="1"/>
  <c r="I39" i="2445"/>
  <c r="H39" i="2445"/>
  <c r="K37" i="2445"/>
  <c r="L37" i="2445" s="1"/>
  <c r="M37" i="2445" s="1"/>
  <c r="I37" i="2445"/>
  <c r="H37" i="2445" s="1"/>
  <c r="K35" i="2445"/>
  <c r="L35" i="2445" s="1"/>
  <c r="M35" i="2445" s="1"/>
  <c r="H35" i="2445"/>
  <c r="I35" i="2445"/>
  <c r="K33" i="2445"/>
  <c r="L33" i="2445" s="1"/>
  <c r="M33" i="2445" s="1"/>
  <c r="I33" i="2445"/>
  <c r="H33" i="2445" s="1"/>
  <c r="K29" i="2445"/>
  <c r="L29" i="2445" s="1"/>
  <c r="I29" i="2445"/>
  <c r="H29" i="2445" s="1"/>
  <c r="M13" i="2445"/>
  <c r="M11" i="2445"/>
  <c r="M3" i="2445"/>
  <c r="Q12" i="2452" l="1"/>
  <c r="Q13" i="2452" s="1"/>
  <c r="Q14" i="2446"/>
  <c r="I3" i="2445"/>
  <c r="H3" i="2445" s="1"/>
  <c r="I11" i="2445"/>
  <c r="I13" i="2445"/>
  <c r="I15" i="2445"/>
  <c r="I21" i="2445"/>
  <c r="H21" i="2445" s="1"/>
  <c r="I23" i="2445"/>
  <c r="H23" i="2445" s="1"/>
  <c r="I25" i="2445"/>
  <c r="H25" i="2445" s="1"/>
  <c r="I27" i="2445"/>
  <c r="H27" i="2445" s="1"/>
  <c r="I31" i="2445"/>
  <c r="H31" i="2445" s="1"/>
  <c r="K15" i="2445"/>
  <c r="L15" i="2445" s="1"/>
  <c r="M15" i="2445" s="1"/>
  <c r="K21" i="2445"/>
  <c r="L21" i="2445" s="1"/>
  <c r="M21" i="2445" s="1"/>
  <c r="K23" i="2445"/>
  <c r="L23" i="2445" s="1"/>
  <c r="M23" i="2445" s="1"/>
  <c r="K25" i="2445"/>
  <c r="L25" i="2445" s="1"/>
  <c r="M25" i="2445" s="1"/>
  <c r="K27" i="2445"/>
  <c r="L27" i="2445" s="1"/>
  <c r="M27" i="2445" s="1"/>
  <c r="M29" i="2445"/>
  <c r="K31" i="2445"/>
  <c r="L31" i="2445" s="1"/>
  <c r="M31" i="2445" s="1"/>
  <c r="K13" i="2445"/>
  <c r="L13" i="2445" s="1"/>
  <c r="K11" i="2445"/>
  <c r="L11" i="2445"/>
  <c r="K3" i="2445"/>
  <c r="L3" i="2445" s="1"/>
  <c r="H15" i="2445"/>
  <c r="H13" i="2445"/>
  <c r="H11" i="2445"/>
  <c r="N3" i="2433"/>
  <c r="N5" i="2433"/>
  <c r="N7" i="2433"/>
  <c r="N9" i="2433"/>
  <c r="N11" i="2433"/>
  <c r="N13" i="2433"/>
  <c r="N15" i="2433"/>
  <c r="N17" i="2433"/>
  <c r="N19" i="2433"/>
  <c r="N21" i="2433"/>
  <c r="N23" i="2433"/>
  <c r="N25" i="2433"/>
  <c r="N27" i="2433"/>
  <c r="K41" i="2444"/>
  <c r="L41" i="2444"/>
  <c r="M41" i="2444" s="1"/>
  <c r="H41" i="2444"/>
  <c r="I41" i="2444"/>
  <c r="K39" i="2444"/>
  <c r="L39" i="2444" s="1"/>
  <c r="M39" i="2444" s="1"/>
  <c r="I39" i="2444"/>
  <c r="H39" i="2444" s="1"/>
  <c r="M37" i="2444"/>
  <c r="K37" i="2444"/>
  <c r="L37" i="2444" s="1"/>
  <c r="I37" i="2444"/>
  <c r="H37" i="2444" s="1"/>
  <c r="M35" i="2444"/>
  <c r="L35" i="2444"/>
  <c r="K35" i="2444"/>
  <c r="H35" i="2444"/>
  <c r="I35" i="2444"/>
  <c r="M33" i="2444"/>
  <c r="L33" i="2444"/>
  <c r="K33" i="2444"/>
  <c r="H33" i="2444"/>
  <c r="I33" i="2444"/>
  <c r="M29" i="2444"/>
  <c r="L29" i="2444"/>
  <c r="K29" i="2444"/>
  <c r="H29" i="2444"/>
  <c r="I29" i="2444"/>
  <c r="L23" i="2444"/>
  <c r="M23" i="2444" s="1"/>
  <c r="K23" i="2444"/>
  <c r="I23" i="2444"/>
  <c r="H23" i="2444" s="1"/>
  <c r="M13" i="2444"/>
  <c r="L13" i="2444"/>
  <c r="K13" i="2444"/>
  <c r="H13" i="2444"/>
  <c r="I13" i="2444"/>
  <c r="M11" i="2444"/>
  <c r="L11" i="2444"/>
  <c r="K11" i="2444"/>
  <c r="H11" i="2444"/>
  <c r="I11" i="2444"/>
  <c r="K31" i="2444"/>
  <c r="L31" i="2444" s="1"/>
  <c r="M31" i="2444" s="1"/>
  <c r="I31" i="2444"/>
  <c r="H31" i="2444" s="1"/>
  <c r="K27" i="2444"/>
  <c r="L27" i="2444" s="1"/>
  <c r="M27" i="2444" s="1"/>
  <c r="I27" i="2444"/>
  <c r="H27" i="2444" s="1"/>
  <c r="K25" i="2444"/>
  <c r="L25" i="2444" s="1"/>
  <c r="M25" i="2444" s="1"/>
  <c r="I25" i="2444"/>
  <c r="H25" i="2444" s="1"/>
  <c r="K21" i="2444"/>
  <c r="L21" i="2444" s="1"/>
  <c r="M21" i="2444" s="1"/>
  <c r="I21" i="2444"/>
  <c r="H21" i="2444" s="1"/>
  <c r="K15" i="2444"/>
  <c r="L15" i="2444" s="1"/>
  <c r="M15" i="2444" s="1"/>
  <c r="I15" i="2444"/>
  <c r="H15" i="2444"/>
  <c r="K3" i="2444"/>
  <c r="L3" i="2444" s="1"/>
  <c r="M3" i="2444" s="1"/>
  <c r="I3" i="2444"/>
  <c r="H3" i="2444"/>
  <c r="K27" i="2443" l="1"/>
  <c r="L27" i="2443" s="1"/>
  <c r="M27" i="2443" s="1"/>
  <c r="I27" i="2443"/>
  <c r="H27" i="2443" s="1"/>
  <c r="K29" i="2443"/>
  <c r="L29" i="2443" s="1"/>
  <c r="M29" i="2443" s="1"/>
  <c r="I29" i="2443"/>
  <c r="H29" i="2443" s="1"/>
  <c r="M23" i="2443"/>
  <c r="L23" i="2443"/>
  <c r="K23" i="2443"/>
  <c r="H23" i="2443"/>
  <c r="I23" i="2443"/>
  <c r="K21" i="2443"/>
  <c r="L21" i="2443" s="1"/>
  <c r="M21" i="2443" s="1"/>
  <c r="I21" i="2443"/>
  <c r="H21" i="2443" s="1"/>
  <c r="L11" i="2443"/>
  <c r="M9" i="2443"/>
  <c r="L9" i="2443"/>
  <c r="K9" i="2443"/>
  <c r="H9" i="2443"/>
  <c r="I9" i="2443"/>
  <c r="L7" i="2443"/>
  <c r="M7" i="2443" s="1"/>
  <c r="K7" i="2443"/>
  <c r="I7" i="2443"/>
  <c r="H7" i="2443" s="1"/>
  <c r="K19" i="2443"/>
  <c r="L19" i="2443" s="1"/>
  <c r="M19" i="2443" s="1"/>
  <c r="I19" i="2443"/>
  <c r="H19" i="2443" s="1"/>
  <c r="K17" i="2443"/>
  <c r="L17" i="2443" s="1"/>
  <c r="M17" i="2443" s="1"/>
  <c r="I17" i="2443"/>
  <c r="H17" i="2443"/>
  <c r="K15" i="2443"/>
  <c r="L15" i="2443" s="1"/>
  <c r="M15" i="2443" s="1"/>
  <c r="I15" i="2443"/>
  <c r="H15" i="2443" s="1"/>
  <c r="K13" i="2443"/>
  <c r="L13" i="2443" s="1"/>
  <c r="M13" i="2443" s="1"/>
  <c r="I13" i="2443"/>
  <c r="H13" i="2443" s="1"/>
  <c r="K11" i="2443"/>
  <c r="M11" i="2443" s="1"/>
  <c r="I11" i="2443"/>
  <c r="H11" i="2443"/>
  <c r="K5" i="2443"/>
  <c r="L5" i="2443" s="1"/>
  <c r="M5" i="2443" s="1"/>
  <c r="I5" i="2443"/>
  <c r="H5" i="2443" s="1"/>
  <c r="K3" i="2443"/>
  <c r="L3" i="2443" s="1"/>
  <c r="M3" i="2443" s="1"/>
  <c r="I3" i="2443"/>
  <c r="H3" i="2443" s="1"/>
  <c r="M5" i="2442"/>
  <c r="L5" i="2442"/>
  <c r="K5" i="2442"/>
  <c r="H5" i="2442"/>
  <c r="I5" i="2442"/>
  <c r="K13" i="2442"/>
  <c r="L13" i="2442" s="1"/>
  <c r="M13" i="2442" s="1"/>
  <c r="I13" i="2442"/>
  <c r="H13" i="2442" s="1"/>
  <c r="K15" i="2442"/>
  <c r="L15" i="2442" s="1"/>
  <c r="M15" i="2442" s="1"/>
  <c r="I15" i="2442"/>
  <c r="H15" i="2442" s="1"/>
  <c r="K17" i="2442"/>
  <c r="L17" i="2442" s="1"/>
  <c r="M17" i="2442" s="1"/>
  <c r="I17" i="2442"/>
  <c r="H17" i="2442"/>
  <c r="K11" i="2442"/>
  <c r="L11" i="2442" s="1"/>
  <c r="M11" i="2442" s="1"/>
  <c r="I11" i="2442"/>
  <c r="H11" i="2442" s="1"/>
  <c r="K7" i="2442"/>
  <c r="L7" i="2442" s="1"/>
  <c r="M7" i="2442" s="1"/>
  <c r="I7" i="2442"/>
  <c r="H7" i="2442" s="1"/>
  <c r="K9" i="2442"/>
  <c r="L9" i="2442" s="1"/>
  <c r="M9" i="2442" s="1"/>
  <c r="I9" i="2442"/>
  <c r="H9" i="2442" s="1"/>
  <c r="K3" i="2442"/>
  <c r="L3" i="2442" s="1"/>
  <c r="M3" i="2442" s="1"/>
  <c r="I3" i="2442"/>
  <c r="H3" i="2442" s="1"/>
  <c r="H29" i="2441"/>
  <c r="M9" i="2441"/>
  <c r="L9" i="2441"/>
  <c r="K9" i="2441"/>
  <c r="J9" i="2441"/>
  <c r="H13" i="2441"/>
  <c r="H15" i="2441"/>
  <c r="H17" i="2441"/>
  <c r="H27" i="2441"/>
  <c r="H25" i="2441"/>
  <c r="M31" i="2441" l="1"/>
  <c r="L31" i="2441"/>
  <c r="K31" i="2441"/>
  <c r="J31" i="2441"/>
  <c r="H31" i="2441"/>
  <c r="J29" i="2441"/>
  <c r="K29" i="2441" s="1"/>
  <c r="L29" i="2441" s="1"/>
  <c r="M29" i="2441" s="1"/>
  <c r="M25" i="2441"/>
  <c r="L25" i="2441"/>
  <c r="K25" i="2441"/>
  <c r="J25" i="2441"/>
  <c r="J27" i="2441"/>
  <c r="K27" i="2441" s="1"/>
  <c r="L27" i="2441" s="1"/>
  <c r="M27" i="2441" s="1"/>
  <c r="M23" i="2441"/>
  <c r="L23" i="2441"/>
  <c r="K23" i="2441"/>
  <c r="J23" i="2441"/>
  <c r="H23" i="2441"/>
  <c r="J21" i="2441"/>
  <c r="K21" i="2441" s="1"/>
  <c r="L21" i="2441" s="1"/>
  <c r="M21" i="2441" s="1"/>
  <c r="H21" i="2441"/>
  <c r="H9" i="2441"/>
  <c r="J7" i="2441"/>
  <c r="K7" i="2441" s="1"/>
  <c r="L7" i="2441" s="1"/>
  <c r="M7" i="2441" s="1"/>
  <c r="H7" i="2441"/>
  <c r="J5" i="2441"/>
  <c r="K5" i="2441" s="1"/>
  <c r="L5" i="2441" s="1"/>
  <c r="M5" i="2441" s="1"/>
  <c r="H5" i="2441"/>
  <c r="J17" i="2441"/>
  <c r="K17" i="2441" s="1"/>
  <c r="L17" i="2441" s="1"/>
  <c r="M17" i="2441" s="1"/>
  <c r="J15" i="2441"/>
  <c r="K15" i="2441" s="1"/>
  <c r="L15" i="2441" s="1"/>
  <c r="M15" i="2441" s="1"/>
  <c r="J13" i="2441"/>
  <c r="K13" i="2441" s="1"/>
  <c r="L13" i="2441" s="1"/>
  <c r="M13" i="2441" s="1"/>
  <c r="J3" i="2441"/>
  <c r="K3" i="2441" s="1"/>
  <c r="L3" i="2441" s="1"/>
  <c r="M3" i="2441" s="1"/>
  <c r="H3" i="2441"/>
  <c r="J27" i="2440"/>
  <c r="K27" i="2440" s="1"/>
  <c r="L27" i="2440" s="1"/>
  <c r="M27" i="2440" s="1"/>
  <c r="H27" i="2440"/>
  <c r="K25" i="2440"/>
  <c r="L25" i="2440" s="1"/>
  <c r="M25" i="2440" s="1"/>
  <c r="J25" i="2440"/>
  <c r="H25" i="2440"/>
  <c r="J23" i="2440"/>
  <c r="K23" i="2440" s="1"/>
  <c r="L23" i="2440" s="1"/>
  <c r="M23" i="2440" s="1"/>
  <c r="H23" i="2440"/>
  <c r="J21" i="2440"/>
  <c r="K21" i="2440" s="1"/>
  <c r="L21" i="2440" s="1"/>
  <c r="M21" i="2440" s="1"/>
  <c r="H21" i="2440"/>
  <c r="J19" i="2440"/>
  <c r="K19" i="2440" s="1"/>
  <c r="L19" i="2440" s="1"/>
  <c r="M19" i="2440" s="1"/>
  <c r="H19" i="2440"/>
  <c r="J17" i="2440"/>
  <c r="K17" i="2440" s="1"/>
  <c r="L17" i="2440" s="1"/>
  <c r="M17" i="2440" s="1"/>
  <c r="H17" i="2440"/>
  <c r="J15" i="2440"/>
  <c r="K15" i="2440" s="1"/>
  <c r="L15" i="2440" s="1"/>
  <c r="M15" i="2440" s="1"/>
  <c r="H15" i="2440"/>
  <c r="J13" i="2440"/>
  <c r="K13" i="2440" s="1"/>
  <c r="L13" i="2440" s="1"/>
  <c r="M13" i="2440" s="1"/>
  <c r="H13" i="2440"/>
  <c r="J11" i="2440"/>
  <c r="K11" i="2440" s="1"/>
  <c r="L11" i="2440" s="1"/>
  <c r="M11" i="2440" s="1"/>
  <c r="H11" i="2440"/>
  <c r="K9" i="2440"/>
  <c r="L9" i="2440" s="1"/>
  <c r="M9" i="2440" s="1"/>
  <c r="J9" i="2440"/>
  <c r="H9" i="2440"/>
  <c r="J7" i="2440"/>
  <c r="K7" i="2440" s="1"/>
  <c r="L7" i="2440" s="1"/>
  <c r="M7" i="2440" s="1"/>
  <c r="H7" i="2440"/>
  <c r="J5" i="2440"/>
  <c r="K5" i="2440" s="1"/>
  <c r="L5" i="2440" s="1"/>
  <c r="M5" i="2440" s="1"/>
  <c r="H5" i="2440"/>
  <c r="L3" i="2440"/>
  <c r="M3" i="2440" s="1"/>
  <c r="K3" i="2440"/>
  <c r="J3" i="2440"/>
  <c r="H3" i="2440"/>
  <c r="M27" i="2439"/>
  <c r="J25" i="2439"/>
  <c r="K25" i="2439" s="1"/>
  <c r="L25" i="2439" s="1"/>
  <c r="M25" i="2439" s="1"/>
  <c r="H25" i="2439"/>
  <c r="J23" i="2439"/>
  <c r="K23" i="2439" s="1"/>
  <c r="L23" i="2439" s="1"/>
  <c r="M23" i="2439" s="1"/>
  <c r="H23" i="2439"/>
  <c r="J21" i="2439"/>
  <c r="K21" i="2439" s="1"/>
  <c r="L21" i="2439" s="1"/>
  <c r="M21" i="2439" s="1"/>
  <c r="H21" i="2439"/>
  <c r="J19" i="2439"/>
  <c r="K19" i="2439" s="1"/>
  <c r="L19" i="2439" s="1"/>
  <c r="M19" i="2439" s="1"/>
  <c r="H19" i="2439"/>
  <c r="J17" i="2439"/>
  <c r="K17" i="2439" s="1"/>
  <c r="L17" i="2439" s="1"/>
  <c r="M17" i="2439" s="1"/>
  <c r="H17" i="2439"/>
  <c r="K15" i="2439"/>
  <c r="L15" i="2439" s="1"/>
  <c r="M15" i="2439" s="1"/>
  <c r="J15" i="2439"/>
  <c r="H15" i="2439"/>
  <c r="J13" i="2439"/>
  <c r="K13" i="2439" s="1"/>
  <c r="L13" i="2439" s="1"/>
  <c r="M13" i="2439" s="1"/>
  <c r="H13" i="2439"/>
  <c r="K11" i="2439"/>
  <c r="L11" i="2439" s="1"/>
  <c r="M11" i="2439" s="1"/>
  <c r="J11" i="2439"/>
  <c r="H11" i="2439"/>
  <c r="J9" i="2439"/>
  <c r="K9" i="2439" s="1"/>
  <c r="L9" i="2439" s="1"/>
  <c r="M9" i="2439" s="1"/>
  <c r="H9" i="2439"/>
  <c r="J7" i="2439"/>
  <c r="K7" i="2439" s="1"/>
  <c r="L7" i="2439" s="1"/>
  <c r="M7" i="2439" s="1"/>
  <c r="H7" i="2439"/>
  <c r="J5" i="2439"/>
  <c r="K5" i="2439" s="1"/>
  <c r="L5" i="2439" s="1"/>
  <c r="M5" i="2439" s="1"/>
  <c r="H5" i="2439"/>
  <c r="J3" i="2439"/>
  <c r="K3" i="2439" s="1"/>
  <c r="L3" i="2439" s="1"/>
  <c r="M3" i="2439" s="1"/>
  <c r="H3" i="2439"/>
  <c r="K25" i="2438"/>
  <c r="L25" i="2438" s="1"/>
  <c r="M25" i="2438" s="1"/>
  <c r="N25" i="2438" s="1"/>
  <c r="I25" i="2438"/>
  <c r="H25" i="2438"/>
  <c r="K23" i="2438"/>
  <c r="L23" i="2438" s="1"/>
  <c r="M23" i="2438" s="1"/>
  <c r="N23" i="2438" s="1"/>
  <c r="I23" i="2438"/>
  <c r="H23" i="2438"/>
  <c r="K21" i="2438"/>
  <c r="L21" i="2438" s="1"/>
  <c r="M21" i="2438" s="1"/>
  <c r="N21" i="2438" s="1"/>
  <c r="I21" i="2438"/>
  <c r="H21" i="2438"/>
  <c r="K19" i="2438"/>
  <c r="L19" i="2438" s="1"/>
  <c r="M19" i="2438" s="1"/>
  <c r="N19" i="2438" s="1"/>
  <c r="I19" i="2438"/>
  <c r="H19" i="2438"/>
  <c r="K17" i="2438"/>
  <c r="L17" i="2438" s="1"/>
  <c r="M17" i="2438" s="1"/>
  <c r="N17" i="2438" s="1"/>
  <c r="I17" i="2438"/>
  <c r="H17" i="2438"/>
  <c r="K15" i="2438"/>
  <c r="L15" i="2438" s="1"/>
  <c r="M15" i="2438" s="1"/>
  <c r="N15" i="2438" s="1"/>
  <c r="I15" i="2438"/>
  <c r="H15" i="2438"/>
  <c r="K13" i="2438"/>
  <c r="L13" i="2438" s="1"/>
  <c r="M13" i="2438" s="1"/>
  <c r="N13" i="2438" s="1"/>
  <c r="I13" i="2438"/>
  <c r="H13" i="2438"/>
  <c r="K11" i="2438"/>
  <c r="L11" i="2438" s="1"/>
  <c r="M11" i="2438" s="1"/>
  <c r="N11" i="2438" s="1"/>
  <c r="I11" i="2438"/>
  <c r="H11" i="2438"/>
  <c r="K9" i="2438"/>
  <c r="L9" i="2438" s="1"/>
  <c r="M9" i="2438" s="1"/>
  <c r="N9" i="2438" s="1"/>
  <c r="I9" i="2438"/>
  <c r="H9" i="2438"/>
  <c r="K7" i="2438"/>
  <c r="L7" i="2438" s="1"/>
  <c r="M7" i="2438" s="1"/>
  <c r="N7" i="2438" s="1"/>
  <c r="I7" i="2438"/>
  <c r="H7" i="2438"/>
  <c r="K5" i="2438"/>
  <c r="L5" i="2438" s="1"/>
  <c r="M5" i="2438" s="1"/>
  <c r="N5" i="2438" s="1"/>
  <c r="I5" i="2438"/>
  <c r="H5" i="2438" s="1"/>
  <c r="K3" i="2438"/>
  <c r="L3" i="2438" s="1"/>
  <c r="M3" i="2438" s="1"/>
  <c r="N3" i="2438" s="1"/>
  <c r="I3" i="2438"/>
  <c r="H3" i="2438"/>
  <c r="L29" i="2437"/>
  <c r="M29" i="2437" s="1"/>
  <c r="K29" i="2437"/>
  <c r="I29" i="2437"/>
  <c r="H29" i="2437"/>
  <c r="K27" i="2437"/>
  <c r="L27" i="2437" s="1"/>
  <c r="M27" i="2437" s="1"/>
  <c r="I27" i="2437"/>
  <c r="H27" i="2437"/>
  <c r="K25" i="2437"/>
  <c r="L25" i="2437" s="1"/>
  <c r="M25" i="2437" s="1"/>
  <c r="I25" i="2437"/>
  <c r="H25" i="2437"/>
  <c r="K23" i="2437"/>
  <c r="L23" i="2437" s="1"/>
  <c r="M23" i="2437" s="1"/>
  <c r="I23" i="2437"/>
  <c r="H23" i="2437"/>
  <c r="K21" i="2437"/>
  <c r="L21" i="2437" s="1"/>
  <c r="M21" i="2437" s="1"/>
  <c r="I21" i="2437"/>
  <c r="H21" i="2437"/>
  <c r="K19" i="2437"/>
  <c r="L19" i="2437" s="1"/>
  <c r="M19" i="2437" s="1"/>
  <c r="I19" i="2437"/>
  <c r="H19" i="2437"/>
  <c r="K17" i="2437"/>
  <c r="L17" i="2437" s="1"/>
  <c r="M17" i="2437" s="1"/>
  <c r="I17" i="2437"/>
  <c r="H17" i="2437" s="1"/>
  <c r="K15" i="2437"/>
  <c r="L15" i="2437" s="1"/>
  <c r="M15" i="2437" s="1"/>
  <c r="I15" i="2437"/>
  <c r="H15" i="2437"/>
  <c r="M13" i="2437"/>
  <c r="L13" i="2437"/>
  <c r="K13" i="2437"/>
  <c r="I13" i="2437"/>
  <c r="H13" i="2437"/>
  <c r="K11" i="2437"/>
  <c r="L11" i="2437" s="1"/>
  <c r="M11" i="2437" s="1"/>
  <c r="I11" i="2437"/>
  <c r="H11" i="2437"/>
  <c r="K9" i="2437"/>
  <c r="L9" i="2437" s="1"/>
  <c r="M9" i="2437" s="1"/>
  <c r="I9" i="2437"/>
  <c r="H9" i="2437"/>
  <c r="K7" i="2437"/>
  <c r="L7" i="2437" s="1"/>
  <c r="M7" i="2437" s="1"/>
  <c r="I7" i="2437"/>
  <c r="H7" i="2437"/>
  <c r="K5" i="2437"/>
  <c r="L5" i="2437" s="1"/>
  <c r="M5" i="2437" s="1"/>
  <c r="I5" i="2437"/>
  <c r="H5" i="2437"/>
  <c r="K3" i="2437"/>
  <c r="L3" i="2437" s="1"/>
  <c r="M3" i="2437" s="1"/>
  <c r="I3" i="2437"/>
  <c r="H3" i="2437"/>
  <c r="L25" i="2436"/>
  <c r="M25" i="2436" s="1"/>
  <c r="J25" i="2436"/>
  <c r="I25" i="2436" s="1"/>
  <c r="L23" i="2436"/>
  <c r="M23" i="2436" s="1"/>
  <c r="J23" i="2436"/>
  <c r="I23" i="2436"/>
  <c r="L21" i="2436"/>
  <c r="M21" i="2436" s="1"/>
  <c r="J21" i="2436"/>
  <c r="I21" i="2436"/>
  <c r="L19" i="2436"/>
  <c r="M19" i="2436" s="1"/>
  <c r="J19" i="2436"/>
  <c r="I19" i="2436" s="1"/>
  <c r="L17" i="2436"/>
  <c r="M17" i="2436" s="1"/>
  <c r="J17" i="2436"/>
  <c r="I17" i="2436" s="1"/>
  <c r="L15" i="2436"/>
  <c r="M15" i="2436" s="1"/>
  <c r="J15" i="2436"/>
  <c r="I15" i="2436" s="1"/>
  <c r="L13" i="2436"/>
  <c r="M13" i="2436" s="1"/>
  <c r="J13" i="2436"/>
  <c r="I13" i="2436"/>
  <c r="L11" i="2436"/>
  <c r="M11" i="2436" s="1"/>
  <c r="J11" i="2436"/>
  <c r="I11" i="2436"/>
  <c r="L9" i="2436"/>
  <c r="M9" i="2436" s="1"/>
  <c r="J9" i="2436"/>
  <c r="I9" i="2436" s="1"/>
  <c r="L7" i="2436"/>
  <c r="M7" i="2436" s="1"/>
  <c r="J7" i="2436"/>
  <c r="I7" i="2436"/>
  <c r="M5" i="2436"/>
  <c r="L5" i="2436"/>
  <c r="J5" i="2436"/>
  <c r="I5" i="2436"/>
  <c r="L3" i="2436"/>
  <c r="M3" i="2436" s="1"/>
  <c r="J3" i="2436"/>
  <c r="I3" i="2436"/>
  <c r="K25" i="2435"/>
  <c r="L25" i="2435" s="1"/>
  <c r="M25" i="2435" s="1"/>
  <c r="I25" i="2435"/>
  <c r="H25" i="2435"/>
  <c r="K23" i="2435"/>
  <c r="L23" i="2435" s="1"/>
  <c r="M23" i="2435" s="1"/>
  <c r="I23" i="2435"/>
  <c r="H23" i="2435"/>
  <c r="K21" i="2435"/>
  <c r="L21" i="2435" s="1"/>
  <c r="M21" i="2435" s="1"/>
  <c r="I21" i="2435"/>
  <c r="H21" i="2435"/>
  <c r="K19" i="2435"/>
  <c r="L19" i="2435" s="1"/>
  <c r="M19" i="2435" s="1"/>
  <c r="I19" i="2435"/>
  <c r="H19" i="2435" s="1"/>
  <c r="K17" i="2435"/>
  <c r="L17" i="2435" s="1"/>
  <c r="M17" i="2435" s="1"/>
  <c r="I17" i="2435"/>
  <c r="H17" i="2435"/>
  <c r="K15" i="2435"/>
  <c r="L15" i="2435" s="1"/>
  <c r="M15" i="2435" s="1"/>
  <c r="I15" i="2435"/>
  <c r="H15" i="2435"/>
  <c r="K13" i="2435"/>
  <c r="L13" i="2435" s="1"/>
  <c r="M13" i="2435" s="1"/>
  <c r="I13" i="2435"/>
  <c r="H13" i="2435"/>
  <c r="K11" i="2435"/>
  <c r="L11" i="2435" s="1"/>
  <c r="M11" i="2435" s="1"/>
  <c r="I11" i="2435"/>
  <c r="H11" i="2435"/>
  <c r="K9" i="2435"/>
  <c r="L9" i="2435" s="1"/>
  <c r="M9" i="2435" s="1"/>
  <c r="I9" i="2435"/>
  <c r="H9" i="2435"/>
  <c r="K7" i="2435"/>
  <c r="L7" i="2435" s="1"/>
  <c r="M7" i="2435" s="1"/>
  <c r="I7" i="2435"/>
  <c r="H7" i="2435"/>
  <c r="K5" i="2435"/>
  <c r="L5" i="2435" s="1"/>
  <c r="M5" i="2435" s="1"/>
  <c r="I5" i="2435"/>
  <c r="H5" i="2435"/>
  <c r="K3" i="2435"/>
  <c r="L3" i="2435" s="1"/>
  <c r="M3" i="2435" s="1"/>
  <c r="I3" i="2435"/>
  <c r="H3" i="2435"/>
  <c r="K25" i="2434"/>
  <c r="L25" i="2434" s="1"/>
  <c r="M25" i="2434" s="1"/>
  <c r="I25" i="2434"/>
  <c r="H25" i="2434"/>
  <c r="K23" i="2434"/>
  <c r="L23" i="2434" s="1"/>
  <c r="M23" i="2434" s="1"/>
  <c r="I23" i="2434"/>
  <c r="H23" i="2434"/>
  <c r="K21" i="2434"/>
  <c r="L21" i="2434" s="1"/>
  <c r="M21" i="2434" s="1"/>
  <c r="I21" i="2434"/>
  <c r="H21" i="2434"/>
  <c r="M19" i="2434"/>
  <c r="K19" i="2434"/>
  <c r="L19" i="2434" s="1"/>
  <c r="I19" i="2434"/>
  <c r="H19" i="2434"/>
  <c r="K17" i="2434"/>
  <c r="L17" i="2434" s="1"/>
  <c r="M17" i="2434" s="1"/>
  <c r="I17" i="2434"/>
  <c r="H17" i="2434" s="1"/>
  <c r="K15" i="2434"/>
  <c r="L15" i="2434" s="1"/>
  <c r="M15" i="2434" s="1"/>
  <c r="I15" i="2434"/>
  <c r="H15" i="2434"/>
  <c r="L13" i="2434"/>
  <c r="M13" i="2434" s="1"/>
  <c r="K13" i="2434"/>
  <c r="I13" i="2434"/>
  <c r="H13" i="2434"/>
  <c r="K11" i="2434"/>
  <c r="L11" i="2434" s="1"/>
  <c r="M11" i="2434" s="1"/>
  <c r="I11" i="2434"/>
  <c r="H11" i="2434"/>
  <c r="K9" i="2434"/>
  <c r="L9" i="2434" s="1"/>
  <c r="M9" i="2434" s="1"/>
  <c r="I9" i="2434"/>
  <c r="H9" i="2434"/>
  <c r="K7" i="2434"/>
  <c r="L7" i="2434" s="1"/>
  <c r="M7" i="2434" s="1"/>
  <c r="I7" i="2434"/>
  <c r="H7" i="2434"/>
  <c r="K5" i="2434"/>
  <c r="L5" i="2434" s="1"/>
  <c r="M5" i="2434" s="1"/>
  <c r="I5" i="2434"/>
  <c r="H5" i="2434"/>
  <c r="K3" i="2434"/>
  <c r="L3" i="2434" s="1"/>
  <c r="M3" i="2434" s="1"/>
  <c r="I3" i="2434"/>
  <c r="H3" i="2434"/>
  <c r="K27" i="2433"/>
  <c r="L27" i="2433" s="1"/>
  <c r="M27" i="2433" s="1"/>
  <c r="I27" i="2433"/>
  <c r="H27" i="2433"/>
  <c r="K25" i="2433"/>
  <c r="L25" i="2433" s="1"/>
  <c r="M25" i="2433" s="1"/>
  <c r="I25" i="2433"/>
  <c r="H25" i="2433"/>
  <c r="K23" i="2433"/>
  <c r="L23" i="2433" s="1"/>
  <c r="M23" i="2433" s="1"/>
  <c r="I23" i="2433"/>
  <c r="H23" i="2433"/>
  <c r="K21" i="2433"/>
  <c r="L21" i="2433" s="1"/>
  <c r="M21" i="2433" s="1"/>
  <c r="I21" i="2433"/>
  <c r="H21" i="2433" s="1"/>
  <c r="K19" i="2433"/>
  <c r="L19" i="2433" s="1"/>
  <c r="M19" i="2433" s="1"/>
  <c r="I19" i="2433"/>
  <c r="H19" i="2433"/>
  <c r="K17" i="2433"/>
  <c r="L17" i="2433" s="1"/>
  <c r="M17" i="2433" s="1"/>
  <c r="I17" i="2433"/>
  <c r="H17" i="2433"/>
  <c r="L15" i="2433"/>
  <c r="M15" i="2433" s="1"/>
  <c r="K15" i="2433"/>
  <c r="I15" i="2433"/>
  <c r="H15" i="2433"/>
  <c r="K13" i="2433"/>
  <c r="L13" i="2433" s="1"/>
  <c r="M13" i="2433" s="1"/>
  <c r="I13" i="2433"/>
  <c r="H13" i="2433"/>
  <c r="K11" i="2433"/>
  <c r="L11" i="2433" s="1"/>
  <c r="M11" i="2433" s="1"/>
  <c r="I11" i="2433"/>
  <c r="H11" i="2433"/>
  <c r="K9" i="2433"/>
  <c r="L9" i="2433" s="1"/>
  <c r="M9" i="2433" s="1"/>
  <c r="I9" i="2433"/>
  <c r="H9" i="2433" s="1"/>
  <c r="K7" i="2433"/>
  <c r="L7" i="2433" s="1"/>
  <c r="M7" i="2433" s="1"/>
  <c r="I7" i="2433"/>
  <c r="H7" i="2433"/>
  <c r="K5" i="2433"/>
  <c r="L5" i="2433" s="1"/>
  <c r="M5" i="2433" s="1"/>
  <c r="I5" i="2433"/>
  <c r="H5" i="2433"/>
  <c r="K3" i="2433"/>
  <c r="L3" i="2433" s="1"/>
  <c r="M3" i="2433" s="1"/>
  <c r="I3" i="2433"/>
  <c r="H3" i="2433" s="1"/>
  <c r="K39" i="2432"/>
  <c r="L39" i="2432" s="1"/>
  <c r="M39" i="2432" s="1"/>
  <c r="I39" i="2432"/>
  <c r="H39" i="2432"/>
  <c r="K37" i="2432"/>
  <c r="L37" i="2432" s="1"/>
  <c r="M37" i="2432" s="1"/>
  <c r="I37" i="2432"/>
  <c r="H37" i="2432"/>
  <c r="K33" i="2432"/>
  <c r="L33" i="2432" s="1"/>
  <c r="M33" i="2432" s="1"/>
  <c r="I33" i="2432"/>
  <c r="H33" i="2432"/>
  <c r="P19" i="2432" s="1"/>
  <c r="K31" i="2432"/>
  <c r="L31" i="2432" s="1"/>
  <c r="M31" i="2432" s="1"/>
  <c r="I31" i="2432"/>
  <c r="H31" i="2432" s="1"/>
  <c r="K29" i="2432"/>
  <c r="L29" i="2432" s="1"/>
  <c r="M29" i="2432" s="1"/>
  <c r="I29" i="2432"/>
  <c r="H29" i="2432"/>
  <c r="K27" i="2432"/>
  <c r="L27" i="2432" s="1"/>
  <c r="M27" i="2432" s="1"/>
  <c r="I27" i="2432"/>
  <c r="H27" i="2432"/>
  <c r="L25" i="2432"/>
  <c r="M25" i="2432" s="1"/>
  <c r="K25" i="2432"/>
  <c r="I25" i="2432"/>
  <c r="H25" i="2432"/>
  <c r="K23" i="2432"/>
  <c r="L23" i="2432" s="1"/>
  <c r="M23" i="2432" s="1"/>
  <c r="I23" i="2432"/>
  <c r="H23" i="2432"/>
  <c r="L21" i="2432"/>
  <c r="M21" i="2432" s="1"/>
  <c r="K21" i="2432"/>
  <c r="I21" i="2432"/>
  <c r="H21" i="2432"/>
  <c r="M19" i="2432"/>
  <c r="L19" i="2432"/>
  <c r="K19" i="2432"/>
  <c r="I19" i="2432"/>
  <c r="H19" i="2432"/>
  <c r="K17" i="2432"/>
  <c r="L17" i="2432" s="1"/>
  <c r="M17" i="2432" s="1"/>
  <c r="I17" i="2432"/>
  <c r="H17" i="2432"/>
  <c r="K15" i="2432"/>
  <c r="L15" i="2432" s="1"/>
  <c r="M15" i="2432" s="1"/>
  <c r="I15" i="2432"/>
  <c r="H15" i="2432"/>
  <c r="K13" i="2432"/>
  <c r="L13" i="2432" s="1"/>
  <c r="M13" i="2432" s="1"/>
  <c r="I13" i="2432"/>
  <c r="H13" i="2432" s="1"/>
  <c r="K11" i="2432"/>
  <c r="L11" i="2432" s="1"/>
  <c r="M11" i="2432" s="1"/>
  <c r="I11" i="2432"/>
  <c r="H11" i="2432"/>
  <c r="K9" i="2432"/>
  <c r="L9" i="2432" s="1"/>
  <c r="M9" i="2432" s="1"/>
  <c r="I9" i="2432"/>
  <c r="H9" i="2432"/>
  <c r="K7" i="2432"/>
  <c r="L7" i="2432" s="1"/>
  <c r="M7" i="2432" s="1"/>
  <c r="I7" i="2432"/>
  <c r="H7" i="2432" s="1"/>
  <c r="L5" i="2432"/>
  <c r="M5" i="2432" s="1"/>
  <c r="K5" i="2432"/>
  <c r="I5" i="2432"/>
  <c r="H5" i="2432"/>
  <c r="K3" i="2432"/>
  <c r="L3" i="2432" s="1"/>
  <c r="M3" i="2432" s="1"/>
  <c r="I3" i="2432"/>
  <c r="H3" i="2432"/>
  <c r="K43" i="2431"/>
  <c r="L43" i="2431" s="1"/>
  <c r="M43" i="2431" s="1"/>
  <c r="I43" i="2431"/>
  <c r="H43" i="2431"/>
  <c r="K41" i="2431"/>
  <c r="L41" i="2431" s="1"/>
  <c r="M41" i="2431" s="1"/>
  <c r="I41" i="2431"/>
  <c r="H41" i="2431"/>
  <c r="O34" i="2431" s="1"/>
  <c r="K39" i="2431"/>
  <c r="L39" i="2431" s="1"/>
  <c r="M39" i="2431" s="1"/>
  <c r="I39" i="2431"/>
  <c r="H39" i="2431"/>
  <c r="L37" i="2431"/>
  <c r="M37" i="2431" s="1"/>
  <c r="K37" i="2431"/>
  <c r="I37" i="2431"/>
  <c r="H37" i="2431"/>
  <c r="K35" i="2431"/>
  <c r="L35" i="2431" s="1"/>
  <c r="M35" i="2431" s="1"/>
  <c r="I35" i="2431"/>
  <c r="H35" i="2431"/>
  <c r="K33" i="2431"/>
  <c r="L33" i="2431" s="1"/>
  <c r="M33" i="2431" s="1"/>
  <c r="I33" i="2431"/>
  <c r="H33" i="2431"/>
  <c r="L31" i="2431"/>
  <c r="M31" i="2431" s="1"/>
  <c r="K31" i="2431"/>
  <c r="I31" i="2431"/>
  <c r="H31" i="2431"/>
  <c r="K29" i="2431"/>
  <c r="L29" i="2431" s="1"/>
  <c r="M29" i="2431" s="1"/>
  <c r="I29" i="2431"/>
  <c r="H29" i="2431"/>
  <c r="K27" i="2431"/>
  <c r="L27" i="2431" s="1"/>
  <c r="M27" i="2431" s="1"/>
  <c r="I27" i="2431"/>
  <c r="H27" i="2431"/>
  <c r="K25" i="2431"/>
  <c r="L25" i="2431" s="1"/>
  <c r="M25" i="2431" s="1"/>
  <c r="I25" i="2431"/>
  <c r="H25" i="2431"/>
  <c r="K23" i="2431"/>
  <c r="L23" i="2431" s="1"/>
  <c r="M23" i="2431" s="1"/>
  <c r="I23" i="2431"/>
  <c r="H23" i="2431"/>
  <c r="L21" i="2431"/>
  <c r="M21" i="2431" s="1"/>
  <c r="K21" i="2431"/>
  <c r="I21" i="2431"/>
  <c r="H21" i="2431"/>
  <c r="K15" i="2431"/>
  <c r="L15" i="2431" s="1"/>
  <c r="M15" i="2431" s="1"/>
  <c r="I15" i="2431"/>
  <c r="H15" i="2431" s="1"/>
  <c r="K13" i="2431"/>
  <c r="L13" i="2431" s="1"/>
  <c r="M13" i="2431" s="1"/>
  <c r="I13" i="2431"/>
  <c r="H13" i="2431"/>
  <c r="K11" i="2431"/>
  <c r="L11" i="2431" s="1"/>
  <c r="M11" i="2431" s="1"/>
  <c r="I11" i="2431"/>
  <c r="H11" i="2431"/>
  <c r="K3" i="2431"/>
  <c r="L3" i="2431" s="1"/>
  <c r="M3" i="2431" s="1"/>
  <c r="I3" i="2431"/>
  <c r="H3" i="2431"/>
  <c r="K41" i="2430"/>
  <c r="L41" i="2430" s="1"/>
  <c r="J41" i="2430"/>
  <c r="H41" i="2430"/>
  <c r="J39" i="2430"/>
  <c r="K39" i="2430" s="1"/>
  <c r="L39" i="2430" s="1"/>
  <c r="H39" i="2430"/>
  <c r="J37" i="2430"/>
  <c r="K37" i="2430" s="1"/>
  <c r="L37" i="2430" s="1"/>
  <c r="H37" i="2430"/>
  <c r="J35" i="2430"/>
  <c r="K35" i="2430" s="1"/>
  <c r="L35" i="2430" s="1"/>
  <c r="H35" i="2430"/>
  <c r="K33" i="2430"/>
  <c r="L33" i="2430" s="1"/>
  <c r="J33" i="2430"/>
  <c r="H33" i="2430"/>
  <c r="J31" i="2430"/>
  <c r="K31" i="2430" s="1"/>
  <c r="L31" i="2430" s="1"/>
  <c r="H31" i="2430"/>
  <c r="J29" i="2430"/>
  <c r="K29" i="2430" s="1"/>
  <c r="L29" i="2430" s="1"/>
  <c r="H29" i="2430"/>
  <c r="J27" i="2430"/>
  <c r="K27" i="2430" s="1"/>
  <c r="L27" i="2430" s="1"/>
  <c r="H27" i="2430"/>
  <c r="K25" i="2430"/>
  <c r="L25" i="2430" s="1"/>
  <c r="J25" i="2430"/>
  <c r="H25" i="2430"/>
  <c r="J23" i="2430"/>
  <c r="K23" i="2430" s="1"/>
  <c r="L23" i="2430" s="1"/>
  <c r="H23" i="2430"/>
  <c r="J21" i="2430"/>
  <c r="K21" i="2430" s="1"/>
  <c r="L21" i="2430" s="1"/>
  <c r="H21" i="2430"/>
  <c r="J15" i="2430"/>
  <c r="K15" i="2430" s="1"/>
  <c r="L15" i="2430" s="1"/>
  <c r="H15" i="2430"/>
  <c r="K13" i="2430"/>
  <c r="L13" i="2430" s="1"/>
  <c r="J13" i="2430"/>
  <c r="H13" i="2430"/>
  <c r="J11" i="2430"/>
  <c r="K11" i="2430" s="1"/>
  <c r="L11" i="2430" s="1"/>
  <c r="H11" i="2430"/>
  <c r="Q3" i="2430"/>
  <c r="J3" i="2430"/>
  <c r="K3" i="2430" s="1"/>
  <c r="L3" i="2430" s="1"/>
  <c r="H3" i="2430"/>
  <c r="Q4" i="2430" l="1"/>
  <c r="P15" i="2429" l="1"/>
  <c r="P14" i="2429"/>
  <c r="P13" i="2429"/>
  <c r="P12" i="2429"/>
  <c r="M37" i="2429"/>
  <c r="L37" i="2429"/>
  <c r="K37" i="2429"/>
  <c r="H37" i="2429"/>
  <c r="I37" i="2429"/>
  <c r="M35" i="2429"/>
  <c r="L35" i="2429"/>
  <c r="K35" i="2429"/>
  <c r="I35" i="2429"/>
  <c r="H35" i="2429"/>
  <c r="M33" i="2429"/>
  <c r="L33" i="2429"/>
  <c r="K33" i="2429"/>
  <c r="H33" i="2429"/>
  <c r="I33" i="2429"/>
  <c r="M31" i="2429"/>
  <c r="L31" i="2429"/>
  <c r="K31" i="2429"/>
  <c r="H31" i="2429"/>
  <c r="I31" i="2429"/>
  <c r="M15" i="2429"/>
  <c r="L15" i="2429"/>
  <c r="K15" i="2429"/>
  <c r="H15" i="2429"/>
  <c r="I15" i="2429"/>
  <c r="M13" i="2429"/>
  <c r="L13" i="2429"/>
  <c r="K13" i="2429"/>
  <c r="H13" i="2429"/>
  <c r="I13" i="2429"/>
  <c r="I11" i="2429"/>
  <c r="M11" i="2429"/>
  <c r="L11" i="2429"/>
  <c r="K11" i="2429"/>
  <c r="H11" i="2429"/>
  <c r="K5" i="2429"/>
  <c r="L5" i="2429" s="1"/>
  <c r="M5" i="2429" s="1"/>
  <c r="I5" i="2429"/>
  <c r="H5" i="2429" s="1"/>
  <c r="K3" i="2429"/>
  <c r="L3" i="2429" s="1"/>
  <c r="M3" i="2429" s="1"/>
  <c r="I3" i="2429"/>
  <c r="H3" i="2429" s="1"/>
  <c r="K17" i="2429"/>
  <c r="L17" i="2429" s="1"/>
  <c r="M17" i="2429" s="1"/>
  <c r="I17" i="2429"/>
  <c r="H17" i="2429" s="1"/>
  <c r="K9" i="2429"/>
  <c r="L9" i="2429" s="1"/>
  <c r="M9" i="2429" s="1"/>
  <c r="I9" i="2429"/>
  <c r="H9" i="2429" s="1"/>
  <c r="L13" i="2428"/>
  <c r="K13" i="2428"/>
  <c r="M13" i="2428" s="1"/>
  <c r="H13" i="2428"/>
  <c r="M11" i="2428"/>
  <c r="L11" i="2428"/>
  <c r="M17" i="2428"/>
  <c r="M35" i="2428"/>
  <c r="L35" i="2428"/>
  <c r="K35" i="2428"/>
  <c r="H35" i="2428"/>
  <c r="I35" i="2428"/>
  <c r="K33" i="2428"/>
  <c r="L33" i="2428" s="1"/>
  <c r="M33" i="2428" s="1"/>
  <c r="I33" i="2428"/>
  <c r="H33" i="2428" s="1"/>
  <c r="K31" i="2428"/>
  <c r="L31" i="2428" s="1"/>
  <c r="M31" i="2428" s="1"/>
  <c r="I31" i="2428"/>
  <c r="H31" i="2428"/>
  <c r="M29" i="2428"/>
  <c r="L29" i="2428"/>
  <c r="K29" i="2428"/>
  <c r="H29" i="2428"/>
  <c r="I29" i="2428"/>
  <c r="K27" i="2428"/>
  <c r="L27" i="2428" s="1"/>
  <c r="M27" i="2428" s="1"/>
  <c r="I27" i="2428"/>
  <c r="H27" i="2428" s="1"/>
  <c r="K25" i="2428"/>
  <c r="L25" i="2428" s="1"/>
  <c r="M25" i="2428" s="1"/>
  <c r="I25" i="2428"/>
  <c r="H25" i="2428"/>
  <c r="K23" i="2428"/>
  <c r="L23" i="2428" s="1"/>
  <c r="M23" i="2428" s="1"/>
  <c r="I23" i="2428"/>
  <c r="H23" i="2428" s="1"/>
  <c r="K21" i="2428"/>
  <c r="L21" i="2428" s="1"/>
  <c r="M21" i="2428" s="1"/>
  <c r="I21" i="2428"/>
  <c r="H21" i="2428"/>
  <c r="K11" i="2428"/>
  <c r="H11" i="2428"/>
  <c r="I11" i="2428"/>
  <c r="K9" i="2428"/>
  <c r="L9" i="2428" s="1"/>
  <c r="M9" i="2428" s="1"/>
  <c r="I9" i="2428"/>
  <c r="H9" i="2428"/>
  <c r="K5" i="2428"/>
  <c r="L5" i="2428" s="1"/>
  <c r="M5" i="2428" s="1"/>
  <c r="I5" i="2428"/>
  <c r="H5" i="2428" s="1"/>
  <c r="K3" i="2428"/>
  <c r="L3" i="2428" s="1"/>
  <c r="M3" i="2428" s="1"/>
  <c r="I3" i="2428"/>
  <c r="H3" i="2428" s="1"/>
  <c r="K19" i="2428"/>
  <c r="L19" i="2428" s="1"/>
  <c r="M19" i="2428" s="1"/>
  <c r="I19" i="2428"/>
  <c r="H19" i="2428" s="1"/>
  <c r="K17" i="2428"/>
  <c r="L17" i="2428" s="1"/>
  <c r="I17" i="2428"/>
  <c r="H17" i="2428"/>
  <c r="K15" i="2428"/>
  <c r="L15" i="2428" s="1"/>
  <c r="M15" i="2428" s="1"/>
  <c r="I15" i="2428"/>
  <c r="H15" i="2428" s="1"/>
  <c r="I13" i="2428"/>
  <c r="K7" i="2428"/>
  <c r="L7" i="2428" s="1"/>
  <c r="M7" i="2428" s="1"/>
  <c r="I7" i="2428"/>
  <c r="H7" i="2428" s="1"/>
  <c r="M23" i="2427" l="1"/>
  <c r="L23" i="2427"/>
  <c r="K23" i="2427"/>
  <c r="H23" i="2427"/>
  <c r="I23" i="2427"/>
  <c r="M21" i="2427"/>
  <c r="L21" i="2427"/>
  <c r="K21" i="2427"/>
  <c r="M9" i="2427"/>
  <c r="L9" i="2427"/>
  <c r="K9" i="2427"/>
  <c r="H9" i="2427"/>
  <c r="I9" i="2427"/>
  <c r="K25" i="2427"/>
  <c r="L25" i="2427" s="1"/>
  <c r="M25" i="2427" s="1"/>
  <c r="I25" i="2427"/>
  <c r="H25" i="2427"/>
  <c r="I21" i="2427"/>
  <c r="H21" i="2427" s="1"/>
  <c r="K19" i="2427"/>
  <c r="L19" i="2427" s="1"/>
  <c r="M19" i="2427" s="1"/>
  <c r="I19" i="2427"/>
  <c r="H19" i="2427"/>
  <c r="K17" i="2427"/>
  <c r="L17" i="2427" s="1"/>
  <c r="M17" i="2427" s="1"/>
  <c r="I17" i="2427"/>
  <c r="H17" i="2427" s="1"/>
  <c r="K15" i="2427"/>
  <c r="L15" i="2427" s="1"/>
  <c r="M15" i="2427" s="1"/>
  <c r="I15" i="2427"/>
  <c r="H15" i="2427" s="1"/>
  <c r="K13" i="2427"/>
  <c r="L13" i="2427" s="1"/>
  <c r="M13" i="2427" s="1"/>
  <c r="I13" i="2427"/>
  <c r="H13" i="2427"/>
  <c r="K11" i="2427"/>
  <c r="L11" i="2427" s="1"/>
  <c r="M11" i="2427" s="1"/>
  <c r="I11" i="2427"/>
  <c r="H11" i="2427"/>
  <c r="K7" i="2427"/>
  <c r="L7" i="2427" s="1"/>
  <c r="M7" i="2427" s="1"/>
  <c r="I7" i="2427"/>
  <c r="H7" i="2427" s="1"/>
  <c r="K5" i="2427"/>
  <c r="L5" i="2427" s="1"/>
  <c r="M5" i="2427" s="1"/>
  <c r="I5" i="2427"/>
  <c r="H5" i="2427" s="1"/>
  <c r="K3" i="2427"/>
  <c r="L3" i="2427" s="1"/>
  <c r="M3" i="2427" s="1"/>
  <c r="I3" i="2427"/>
  <c r="H3" i="2427" s="1"/>
  <c r="P9" i="2426"/>
  <c r="P10" i="2426" s="1"/>
  <c r="M15" i="2426"/>
  <c r="L15" i="2426"/>
  <c r="K15" i="2426"/>
  <c r="H15" i="2426"/>
  <c r="I15" i="2426"/>
  <c r="L17" i="2426"/>
  <c r="M17" i="2426" s="1"/>
  <c r="K17" i="2426"/>
  <c r="I17" i="2426"/>
  <c r="H17" i="2426" s="1"/>
  <c r="K19" i="2426"/>
  <c r="L19" i="2426" s="1"/>
  <c r="M19" i="2426" s="1"/>
  <c r="I19" i="2426"/>
  <c r="H19" i="2426" s="1"/>
  <c r="K11" i="2426"/>
  <c r="L11" i="2426" s="1"/>
  <c r="M11" i="2426" s="1"/>
  <c r="I11" i="2426"/>
  <c r="H11" i="2426" s="1"/>
  <c r="K31" i="2426"/>
  <c r="L31" i="2426" s="1"/>
  <c r="M31" i="2426" s="1"/>
  <c r="I31" i="2426"/>
  <c r="H31" i="2426" s="1"/>
  <c r="K29" i="2426"/>
  <c r="L29" i="2426" s="1"/>
  <c r="M29" i="2426" s="1"/>
  <c r="I29" i="2426"/>
  <c r="H29" i="2426" s="1"/>
  <c r="K27" i="2426"/>
  <c r="L27" i="2426" s="1"/>
  <c r="M27" i="2426" s="1"/>
  <c r="I27" i="2426"/>
  <c r="H27" i="2426" s="1"/>
  <c r="K25" i="2426"/>
  <c r="L25" i="2426" s="1"/>
  <c r="M25" i="2426" s="1"/>
  <c r="I25" i="2426"/>
  <c r="H25" i="2426" s="1"/>
  <c r="K23" i="2426"/>
  <c r="L23" i="2426" s="1"/>
  <c r="M23" i="2426" s="1"/>
  <c r="I23" i="2426"/>
  <c r="H23" i="2426" s="1"/>
  <c r="K21" i="2426"/>
  <c r="L21" i="2426" s="1"/>
  <c r="M21" i="2426" s="1"/>
  <c r="I21" i="2426"/>
  <c r="H21" i="2426" s="1"/>
  <c r="K13" i="2426"/>
  <c r="L13" i="2426" s="1"/>
  <c r="M13" i="2426" s="1"/>
  <c r="I13" i="2426"/>
  <c r="H13" i="2426" s="1"/>
  <c r="K3" i="2426"/>
  <c r="L3" i="2426" s="1"/>
  <c r="M3" i="2426" s="1"/>
  <c r="I3" i="2426"/>
  <c r="H3" i="2426"/>
  <c r="M21" i="2425"/>
  <c r="L21" i="2425"/>
  <c r="K21" i="2425"/>
  <c r="H21" i="2425"/>
  <c r="I21" i="2425"/>
  <c r="K9" i="2425"/>
  <c r="L9" i="2425" s="1"/>
  <c r="M9" i="2425" s="1"/>
  <c r="I9" i="2425"/>
  <c r="H9" i="2425"/>
  <c r="H27" i="2425"/>
  <c r="H23" i="2425"/>
  <c r="H19" i="2425"/>
  <c r="H5" i="2425"/>
  <c r="H3" i="2425"/>
  <c r="K27" i="2425"/>
  <c r="L27" i="2425" s="1"/>
  <c r="M27" i="2425" s="1"/>
  <c r="I27" i="2425"/>
  <c r="K23" i="2425"/>
  <c r="L23" i="2425" s="1"/>
  <c r="M23" i="2425" s="1"/>
  <c r="I23" i="2425"/>
  <c r="K19" i="2425"/>
  <c r="L19" i="2425" s="1"/>
  <c r="M19" i="2425" s="1"/>
  <c r="I19" i="2425"/>
  <c r="K15" i="2425"/>
  <c r="L15" i="2425" s="1"/>
  <c r="M15" i="2425" s="1"/>
  <c r="I15" i="2425"/>
  <c r="H15" i="2425" s="1"/>
  <c r="K13" i="2425"/>
  <c r="L13" i="2425" s="1"/>
  <c r="M13" i="2425" s="1"/>
  <c r="I13" i="2425"/>
  <c r="H13" i="2425" s="1"/>
  <c r="K11" i="2425"/>
  <c r="L11" i="2425" s="1"/>
  <c r="M11" i="2425" s="1"/>
  <c r="I11" i="2425"/>
  <c r="H11" i="2425" s="1"/>
  <c r="K7" i="2425"/>
  <c r="L7" i="2425" s="1"/>
  <c r="M7" i="2425" s="1"/>
  <c r="I7" i="2425"/>
  <c r="H7" i="2425" s="1"/>
  <c r="K5" i="2425"/>
  <c r="L5" i="2425" s="1"/>
  <c r="M5" i="2425" s="1"/>
  <c r="I5" i="2425"/>
  <c r="K3" i="2425"/>
  <c r="L3" i="2425" s="1"/>
  <c r="M3" i="2425" s="1"/>
  <c r="I3" i="2425"/>
  <c r="K31" i="2424"/>
  <c r="L31" i="2424" s="1"/>
  <c r="M31" i="2424" s="1"/>
  <c r="I31" i="2424"/>
  <c r="H31" i="2424"/>
  <c r="M23" i="2424"/>
  <c r="L23" i="2424"/>
  <c r="K23" i="2424"/>
  <c r="H23" i="2424"/>
  <c r="I23" i="2424"/>
  <c r="H9" i="2424"/>
  <c r="I9" i="2424"/>
  <c r="M9" i="2424"/>
  <c r="L9" i="2424"/>
  <c r="K9" i="2424"/>
  <c r="M5" i="2424"/>
  <c r="L5" i="2424"/>
  <c r="K5" i="2424"/>
  <c r="H5" i="2424"/>
  <c r="I5" i="2424"/>
  <c r="M3" i="2424"/>
  <c r="L3" i="2424"/>
  <c r="K3" i="2424"/>
  <c r="H3" i="2424"/>
  <c r="I3" i="2424"/>
  <c r="K29" i="2424"/>
  <c r="L29" i="2424" s="1"/>
  <c r="M29" i="2424" s="1"/>
  <c r="I29" i="2424"/>
  <c r="H29" i="2424" s="1"/>
  <c r="L27" i="2424"/>
  <c r="M27" i="2424" s="1"/>
  <c r="K27" i="2424"/>
  <c r="I27" i="2424"/>
  <c r="H27" i="2424"/>
  <c r="K25" i="2424"/>
  <c r="L25" i="2424" s="1"/>
  <c r="M25" i="2424" s="1"/>
  <c r="I25" i="2424"/>
  <c r="H25" i="2424" s="1"/>
  <c r="K19" i="2424"/>
  <c r="L19" i="2424" s="1"/>
  <c r="M19" i="2424" s="1"/>
  <c r="I19" i="2424"/>
  <c r="H19" i="2424"/>
  <c r="K17" i="2424"/>
  <c r="L17" i="2424" s="1"/>
  <c r="M17" i="2424" s="1"/>
  <c r="I17" i="2424"/>
  <c r="H17" i="2424"/>
  <c r="K15" i="2424"/>
  <c r="L15" i="2424" s="1"/>
  <c r="M15" i="2424" s="1"/>
  <c r="I15" i="2424"/>
  <c r="H15" i="2424"/>
  <c r="L13" i="2424"/>
  <c r="M13" i="2424" s="1"/>
  <c r="K13" i="2424"/>
  <c r="I13" i="2424"/>
  <c r="H13" i="2424" s="1"/>
  <c r="K11" i="2424"/>
  <c r="L11" i="2424" s="1"/>
  <c r="M11" i="2424" s="1"/>
  <c r="I11" i="2424"/>
  <c r="H11" i="2424"/>
  <c r="K7" i="2424"/>
  <c r="L7" i="2424" s="1"/>
  <c r="M7" i="2424" s="1"/>
  <c r="I7" i="2424"/>
  <c r="H7" i="2424"/>
  <c r="K23" i="2423"/>
  <c r="L23" i="2423" s="1"/>
  <c r="M23" i="2423" s="1"/>
  <c r="I23" i="2423"/>
  <c r="H23" i="2423" s="1"/>
  <c r="P26" i="2425" l="1"/>
  <c r="P27" i="2425" s="1"/>
  <c r="I9" i="2423"/>
  <c r="H9" i="2423" s="1"/>
  <c r="K9" i="2423"/>
  <c r="L9" i="2423" s="1"/>
  <c r="M9" i="2423" s="1"/>
  <c r="I5" i="2423"/>
  <c r="H5" i="2423" s="1"/>
  <c r="I7" i="2423"/>
  <c r="H7" i="2423" s="1"/>
  <c r="I3" i="2423"/>
  <c r="H3" i="2423" s="1"/>
  <c r="K3" i="2423"/>
  <c r="L3" i="2423" s="1"/>
  <c r="M3" i="2423" s="1"/>
  <c r="K31" i="2423"/>
  <c r="L31" i="2423" s="1"/>
  <c r="M31" i="2423" s="1"/>
  <c r="I31" i="2423"/>
  <c r="H31" i="2423" s="1"/>
  <c r="K25" i="2423"/>
  <c r="L25" i="2423" s="1"/>
  <c r="M25" i="2423" s="1"/>
  <c r="I25" i="2423"/>
  <c r="H25" i="2423" s="1"/>
  <c r="K19" i="2423"/>
  <c r="L19" i="2423" s="1"/>
  <c r="M19" i="2423" s="1"/>
  <c r="I19" i="2423"/>
  <c r="H19" i="2423" s="1"/>
  <c r="K17" i="2423"/>
  <c r="L17" i="2423" s="1"/>
  <c r="M17" i="2423" s="1"/>
  <c r="I17" i="2423"/>
  <c r="H17" i="2423" s="1"/>
  <c r="K15" i="2423"/>
  <c r="L15" i="2423" s="1"/>
  <c r="M15" i="2423" s="1"/>
  <c r="I15" i="2423"/>
  <c r="H15" i="2423" s="1"/>
  <c r="K13" i="2423"/>
  <c r="L13" i="2423" s="1"/>
  <c r="M13" i="2423" s="1"/>
  <c r="I13" i="2423"/>
  <c r="H13" i="2423" s="1"/>
  <c r="K7" i="2423"/>
  <c r="L7" i="2423" s="1"/>
  <c r="M7" i="2423" s="1"/>
  <c r="K5" i="2423"/>
  <c r="L5" i="2423" s="1"/>
  <c r="M5" i="2423" s="1"/>
  <c r="K25" i="2422"/>
  <c r="L25" i="2422" s="1"/>
  <c r="M25" i="2422" s="1"/>
  <c r="I25" i="2422"/>
  <c r="H25" i="2422" s="1"/>
  <c r="K23" i="2422"/>
  <c r="L23" i="2422" s="1"/>
  <c r="M23" i="2422" s="1"/>
  <c r="I23" i="2422"/>
  <c r="H23" i="2422" s="1"/>
  <c r="K21" i="2422"/>
  <c r="L21" i="2422" s="1"/>
  <c r="M21" i="2422" s="1"/>
  <c r="I21" i="2422"/>
  <c r="H21" i="2422"/>
  <c r="K19" i="2422"/>
  <c r="L19" i="2422" s="1"/>
  <c r="M19" i="2422" s="1"/>
  <c r="I19" i="2422"/>
  <c r="H19" i="2422" s="1"/>
  <c r="K17" i="2422"/>
  <c r="L17" i="2422" s="1"/>
  <c r="M17" i="2422" s="1"/>
  <c r="I17" i="2422"/>
  <c r="H17" i="2422"/>
  <c r="K15" i="2422"/>
  <c r="L15" i="2422" s="1"/>
  <c r="M15" i="2422" s="1"/>
  <c r="I15" i="2422"/>
  <c r="H15" i="2422" s="1"/>
  <c r="L13" i="2422"/>
  <c r="M13" i="2422" s="1"/>
  <c r="K13" i="2422"/>
  <c r="I13" i="2422"/>
  <c r="H13" i="2422"/>
  <c r="K11" i="2422"/>
  <c r="L11" i="2422" s="1"/>
  <c r="M11" i="2422" s="1"/>
  <c r="I11" i="2422"/>
  <c r="H11" i="2422"/>
  <c r="K9" i="2422"/>
  <c r="L9" i="2422" s="1"/>
  <c r="M9" i="2422" s="1"/>
  <c r="I9" i="2422"/>
  <c r="H9" i="2422"/>
  <c r="L7" i="2422"/>
  <c r="M7" i="2422" s="1"/>
  <c r="K7" i="2422"/>
  <c r="I7" i="2422"/>
  <c r="H7" i="2422" s="1"/>
  <c r="M5" i="2422"/>
  <c r="L5" i="2422"/>
  <c r="K5" i="2422"/>
  <c r="I5" i="2422"/>
  <c r="H5" i="2422"/>
  <c r="K3" i="2422"/>
  <c r="L3" i="2422" s="1"/>
  <c r="M3" i="2422" s="1"/>
  <c r="I3" i="2422"/>
  <c r="H3" i="2422"/>
  <c r="K25" i="2421"/>
  <c r="L25" i="2421" s="1"/>
  <c r="M25" i="2421" s="1"/>
  <c r="I25" i="2421"/>
  <c r="H25" i="2421" s="1"/>
  <c r="L23" i="2421"/>
  <c r="M23" i="2421" s="1"/>
  <c r="K23" i="2421"/>
  <c r="I23" i="2421"/>
  <c r="H23" i="2421"/>
  <c r="K21" i="2421"/>
  <c r="L21" i="2421" s="1"/>
  <c r="M21" i="2421" s="1"/>
  <c r="I21" i="2421"/>
  <c r="H21" i="2421"/>
  <c r="K19" i="2421"/>
  <c r="L19" i="2421" s="1"/>
  <c r="M19" i="2421" s="1"/>
  <c r="I19" i="2421"/>
  <c r="H19" i="2421"/>
  <c r="K17" i="2421"/>
  <c r="L17" i="2421" s="1"/>
  <c r="M17" i="2421" s="1"/>
  <c r="I17" i="2421"/>
  <c r="H17" i="2421" s="1"/>
  <c r="K15" i="2421"/>
  <c r="L15" i="2421" s="1"/>
  <c r="M15" i="2421" s="1"/>
  <c r="I15" i="2421"/>
  <c r="H15" i="2421"/>
  <c r="K13" i="2421"/>
  <c r="L13" i="2421" s="1"/>
  <c r="M13" i="2421" s="1"/>
  <c r="I13" i="2421"/>
  <c r="H13" i="2421"/>
  <c r="K11" i="2421"/>
  <c r="L11" i="2421" s="1"/>
  <c r="M11" i="2421" s="1"/>
  <c r="I11" i="2421"/>
  <c r="H11" i="2421" s="1"/>
  <c r="K9" i="2421"/>
  <c r="L9" i="2421" s="1"/>
  <c r="M9" i="2421" s="1"/>
  <c r="I9" i="2421"/>
  <c r="H9" i="2421"/>
  <c r="K7" i="2421"/>
  <c r="L7" i="2421" s="1"/>
  <c r="M7" i="2421" s="1"/>
  <c r="I7" i="2421"/>
  <c r="H7" i="2421"/>
  <c r="L5" i="2421"/>
  <c r="M5" i="2421" s="1"/>
  <c r="K5" i="2421"/>
  <c r="I5" i="2421"/>
  <c r="H5" i="2421"/>
  <c r="K3" i="2421"/>
  <c r="L3" i="2421" s="1"/>
  <c r="M3" i="2421" s="1"/>
  <c r="I3" i="2421"/>
  <c r="H3" i="2421"/>
  <c r="K33" i="2420"/>
  <c r="L33" i="2420" s="1"/>
  <c r="M33" i="2420" s="1"/>
  <c r="N33" i="2420" s="1"/>
  <c r="I33" i="2420"/>
  <c r="H33" i="2420"/>
  <c r="M31" i="2420"/>
  <c r="N31" i="2420" s="1"/>
  <c r="K31" i="2420"/>
  <c r="L31" i="2420" s="1"/>
  <c r="I31" i="2420"/>
  <c r="H31" i="2420" s="1"/>
  <c r="K29" i="2420"/>
  <c r="L29" i="2420" s="1"/>
  <c r="M29" i="2420" s="1"/>
  <c r="N29" i="2420" s="1"/>
  <c r="I29" i="2420"/>
  <c r="H29" i="2420"/>
  <c r="K27" i="2420"/>
  <c r="L27" i="2420" s="1"/>
  <c r="M27" i="2420" s="1"/>
  <c r="N27" i="2420" s="1"/>
  <c r="I27" i="2420"/>
  <c r="H27" i="2420"/>
  <c r="L25" i="2420"/>
  <c r="M25" i="2420" s="1"/>
  <c r="N25" i="2420" s="1"/>
  <c r="K25" i="2420"/>
  <c r="I25" i="2420"/>
  <c r="H25" i="2420"/>
  <c r="L23" i="2420"/>
  <c r="M23" i="2420" s="1"/>
  <c r="N23" i="2420" s="1"/>
  <c r="K23" i="2420"/>
  <c r="I23" i="2420"/>
  <c r="H23" i="2420"/>
  <c r="K21" i="2420"/>
  <c r="L21" i="2420" s="1"/>
  <c r="M21" i="2420" s="1"/>
  <c r="N21" i="2420" s="1"/>
  <c r="I21" i="2420"/>
  <c r="H21" i="2420"/>
  <c r="K19" i="2420"/>
  <c r="L19" i="2420" s="1"/>
  <c r="M19" i="2420" s="1"/>
  <c r="N19" i="2420" s="1"/>
  <c r="I19" i="2420"/>
  <c r="H19" i="2420"/>
  <c r="K17" i="2420"/>
  <c r="L17" i="2420" s="1"/>
  <c r="M17" i="2420" s="1"/>
  <c r="N17" i="2420" s="1"/>
  <c r="I17" i="2420"/>
  <c r="H17" i="2420"/>
  <c r="K15" i="2420"/>
  <c r="L15" i="2420" s="1"/>
  <c r="M15" i="2420" s="1"/>
  <c r="N15" i="2420" s="1"/>
  <c r="I15" i="2420"/>
  <c r="H15" i="2420" s="1"/>
  <c r="K13" i="2420"/>
  <c r="L13" i="2420" s="1"/>
  <c r="M13" i="2420" s="1"/>
  <c r="N13" i="2420" s="1"/>
  <c r="I13" i="2420"/>
  <c r="H13" i="2420"/>
  <c r="L11" i="2420"/>
  <c r="M11" i="2420" s="1"/>
  <c r="N11" i="2420" s="1"/>
  <c r="K11" i="2420"/>
  <c r="I11" i="2420"/>
  <c r="H11" i="2420"/>
  <c r="L9" i="2420"/>
  <c r="M9" i="2420" s="1"/>
  <c r="N9" i="2420" s="1"/>
  <c r="K9" i="2420"/>
  <c r="I9" i="2420"/>
  <c r="H9" i="2420"/>
  <c r="K7" i="2420"/>
  <c r="L7" i="2420" s="1"/>
  <c r="M7" i="2420" s="1"/>
  <c r="N7" i="2420" s="1"/>
  <c r="I7" i="2420"/>
  <c r="H7" i="2420"/>
  <c r="K5" i="2420"/>
  <c r="L5" i="2420" s="1"/>
  <c r="M5" i="2420" s="1"/>
  <c r="N5" i="2420" s="1"/>
  <c r="I5" i="2420"/>
  <c r="H5" i="2420" s="1"/>
  <c r="K3" i="2420"/>
  <c r="L3" i="2420" s="1"/>
  <c r="M3" i="2420" s="1"/>
  <c r="N3" i="2420" s="1"/>
  <c r="I3" i="2420"/>
  <c r="H3" i="2420"/>
  <c r="K29" i="2419"/>
  <c r="L29" i="2419" s="1"/>
  <c r="M29" i="2419" s="1"/>
  <c r="I29" i="2419"/>
  <c r="H29" i="2419"/>
  <c r="K27" i="2419"/>
  <c r="L27" i="2419" s="1"/>
  <c r="M27" i="2419" s="1"/>
  <c r="I27" i="2419"/>
  <c r="H27" i="2419" s="1"/>
  <c r="M25" i="2419"/>
  <c r="L25" i="2419"/>
  <c r="K25" i="2419"/>
  <c r="I25" i="2419"/>
  <c r="H25" i="2419"/>
  <c r="K23" i="2419"/>
  <c r="L23" i="2419" s="1"/>
  <c r="M23" i="2419" s="1"/>
  <c r="I23" i="2419"/>
  <c r="H23" i="2419" s="1"/>
  <c r="K21" i="2419"/>
  <c r="L21" i="2419" s="1"/>
  <c r="M21" i="2419" s="1"/>
  <c r="I21" i="2419"/>
  <c r="H21" i="2419" s="1"/>
  <c r="L19" i="2419"/>
  <c r="M19" i="2419" s="1"/>
  <c r="K19" i="2419"/>
  <c r="I19" i="2419"/>
  <c r="H19" i="2419"/>
  <c r="K17" i="2419"/>
  <c r="L17" i="2419" s="1"/>
  <c r="M17" i="2419" s="1"/>
  <c r="I17" i="2419"/>
  <c r="H17" i="2419"/>
  <c r="K15" i="2419"/>
  <c r="L15" i="2419" s="1"/>
  <c r="M15" i="2419" s="1"/>
  <c r="I15" i="2419"/>
  <c r="H15" i="2419" s="1"/>
  <c r="K13" i="2419"/>
  <c r="L13" i="2419" s="1"/>
  <c r="M13" i="2419" s="1"/>
  <c r="I13" i="2419"/>
  <c r="H13" i="2419" s="1"/>
  <c r="K11" i="2419"/>
  <c r="L11" i="2419" s="1"/>
  <c r="M11" i="2419" s="1"/>
  <c r="I11" i="2419"/>
  <c r="H11" i="2419"/>
  <c r="K9" i="2419"/>
  <c r="L9" i="2419" s="1"/>
  <c r="M9" i="2419" s="1"/>
  <c r="I9" i="2419"/>
  <c r="H9" i="2419"/>
  <c r="M7" i="2419"/>
  <c r="K7" i="2419"/>
  <c r="L7" i="2419" s="1"/>
  <c r="I7" i="2419"/>
  <c r="H7" i="2419" s="1"/>
  <c r="K5" i="2419"/>
  <c r="L5" i="2419" s="1"/>
  <c r="M5" i="2419" s="1"/>
  <c r="I5" i="2419"/>
  <c r="H5" i="2419"/>
  <c r="K3" i="2419"/>
  <c r="L3" i="2419" s="1"/>
  <c r="M3" i="2419" s="1"/>
  <c r="I3" i="2419"/>
  <c r="H3" i="2419"/>
  <c r="K23" i="2418"/>
  <c r="L23" i="2418" s="1"/>
  <c r="M23" i="2418" s="1"/>
  <c r="I23" i="2418"/>
  <c r="H23" i="2418"/>
  <c r="L21" i="2418"/>
  <c r="M21" i="2418" s="1"/>
  <c r="K21" i="2418"/>
  <c r="I21" i="2418"/>
  <c r="H21" i="2418"/>
  <c r="K19" i="2418"/>
  <c r="L19" i="2418" s="1"/>
  <c r="M19" i="2418" s="1"/>
  <c r="I19" i="2418"/>
  <c r="H19" i="2418" s="1"/>
  <c r="M17" i="2418"/>
  <c r="L17" i="2418"/>
  <c r="K17" i="2418"/>
  <c r="I17" i="2418"/>
  <c r="H17" i="2418"/>
  <c r="K15" i="2418"/>
  <c r="L15" i="2418" s="1"/>
  <c r="M15" i="2418" s="1"/>
  <c r="I15" i="2418"/>
  <c r="H15" i="2418"/>
  <c r="K13" i="2418"/>
  <c r="L13" i="2418" s="1"/>
  <c r="M13" i="2418" s="1"/>
  <c r="I13" i="2418"/>
  <c r="H13" i="2418" s="1"/>
  <c r="L11" i="2418"/>
  <c r="M11" i="2418" s="1"/>
  <c r="K11" i="2418"/>
  <c r="I11" i="2418"/>
  <c r="H11" i="2418"/>
  <c r="K9" i="2418"/>
  <c r="L9" i="2418" s="1"/>
  <c r="M9" i="2418" s="1"/>
  <c r="I9" i="2418"/>
  <c r="H9" i="2418"/>
  <c r="K7" i="2418"/>
  <c r="L7" i="2418" s="1"/>
  <c r="M7" i="2418" s="1"/>
  <c r="I7" i="2418"/>
  <c r="H7" i="2418"/>
  <c r="K5" i="2418"/>
  <c r="L5" i="2418" s="1"/>
  <c r="M5" i="2418" s="1"/>
  <c r="I5" i="2418"/>
  <c r="H5" i="2418" s="1"/>
  <c r="K3" i="2418"/>
  <c r="L3" i="2418" s="1"/>
  <c r="M3" i="2418" s="1"/>
  <c r="I3" i="2418"/>
  <c r="H3" i="2418"/>
  <c r="K39" i="2417"/>
  <c r="L39" i="2417" s="1"/>
  <c r="M39" i="2417" s="1"/>
  <c r="I39" i="2417"/>
  <c r="H39" i="2417"/>
  <c r="K37" i="2417"/>
  <c r="L37" i="2417" s="1"/>
  <c r="Q15" i="2417" s="1"/>
  <c r="I37" i="2417"/>
  <c r="H37" i="2417" s="1"/>
  <c r="K35" i="2417"/>
  <c r="L35" i="2417" s="1"/>
  <c r="M35" i="2417" s="1"/>
  <c r="I35" i="2417"/>
  <c r="H35" i="2417"/>
  <c r="K33" i="2417"/>
  <c r="L33" i="2417" s="1"/>
  <c r="M33" i="2417" s="1"/>
  <c r="I33" i="2417"/>
  <c r="H33" i="2417"/>
  <c r="L31" i="2417"/>
  <c r="M31" i="2417" s="1"/>
  <c r="K31" i="2417"/>
  <c r="I31" i="2417"/>
  <c r="H31" i="2417"/>
  <c r="K29" i="2417"/>
  <c r="L29" i="2417" s="1"/>
  <c r="M29" i="2417" s="1"/>
  <c r="I29" i="2417"/>
  <c r="H29" i="2417"/>
  <c r="K27" i="2417"/>
  <c r="L27" i="2417" s="1"/>
  <c r="M27" i="2417" s="1"/>
  <c r="I27" i="2417"/>
  <c r="H27" i="2417"/>
  <c r="K23" i="2417"/>
  <c r="L23" i="2417" s="1"/>
  <c r="M23" i="2417" s="1"/>
  <c r="I23" i="2417"/>
  <c r="H23" i="2417" s="1"/>
  <c r="M19" i="2417"/>
  <c r="L19" i="2417"/>
  <c r="K19" i="2417"/>
  <c r="I19" i="2417"/>
  <c r="H19" i="2417"/>
  <c r="L17" i="2417"/>
  <c r="M17" i="2417" s="1"/>
  <c r="K17" i="2417"/>
  <c r="I17" i="2417"/>
  <c r="H17" i="2417"/>
  <c r="K15" i="2417"/>
  <c r="L15" i="2417" s="1"/>
  <c r="M15" i="2417" s="1"/>
  <c r="I15" i="2417"/>
  <c r="H15" i="2417" s="1"/>
  <c r="M13" i="2417"/>
  <c r="L13" i="2417"/>
  <c r="K13" i="2417"/>
  <c r="I13" i="2417"/>
  <c r="H13" i="2417"/>
  <c r="K11" i="2417"/>
  <c r="L11" i="2417" s="1"/>
  <c r="M11" i="2417" s="1"/>
  <c r="I11" i="2417"/>
  <c r="H11" i="2417" s="1"/>
  <c r="K9" i="2417"/>
  <c r="L9" i="2417" s="1"/>
  <c r="M9" i="2417" s="1"/>
  <c r="I9" i="2417"/>
  <c r="H9" i="2417" s="1"/>
  <c r="L7" i="2417"/>
  <c r="M7" i="2417" s="1"/>
  <c r="K7" i="2417"/>
  <c r="I7" i="2417"/>
  <c r="H7" i="2417"/>
  <c r="K5" i="2417"/>
  <c r="L5" i="2417" s="1"/>
  <c r="M5" i="2417" s="1"/>
  <c r="I5" i="2417"/>
  <c r="H5" i="2417"/>
  <c r="K3" i="2417"/>
  <c r="L3" i="2417" s="1"/>
  <c r="M3" i="2417" s="1"/>
  <c r="I3" i="2417"/>
  <c r="H3" i="2417" s="1"/>
  <c r="L27" i="2416"/>
  <c r="M27" i="2416" s="1"/>
  <c r="N27" i="2416" s="1"/>
  <c r="K27" i="2416"/>
  <c r="I27" i="2416"/>
  <c r="H27" i="2416"/>
  <c r="K25" i="2416"/>
  <c r="L25" i="2416" s="1"/>
  <c r="M25" i="2416" s="1"/>
  <c r="N25" i="2416" s="1"/>
  <c r="I25" i="2416"/>
  <c r="H25" i="2416"/>
  <c r="K23" i="2416"/>
  <c r="L23" i="2416" s="1"/>
  <c r="M23" i="2416" s="1"/>
  <c r="N23" i="2416" s="1"/>
  <c r="I23" i="2416"/>
  <c r="H23" i="2416" s="1"/>
  <c r="K21" i="2416"/>
  <c r="L21" i="2416" s="1"/>
  <c r="M21" i="2416" s="1"/>
  <c r="N21" i="2416" s="1"/>
  <c r="I21" i="2416"/>
  <c r="H21" i="2416"/>
  <c r="L19" i="2416"/>
  <c r="M19" i="2416" s="1"/>
  <c r="N19" i="2416" s="1"/>
  <c r="K19" i="2416"/>
  <c r="I19" i="2416"/>
  <c r="H19" i="2416"/>
  <c r="M17" i="2416"/>
  <c r="N17" i="2416" s="1"/>
  <c r="L17" i="2416"/>
  <c r="K17" i="2416"/>
  <c r="I17" i="2416"/>
  <c r="H17" i="2416" s="1"/>
  <c r="K15" i="2416"/>
  <c r="L15" i="2416" s="1"/>
  <c r="M15" i="2416" s="1"/>
  <c r="N15" i="2416" s="1"/>
  <c r="I15" i="2416"/>
  <c r="H15" i="2416"/>
  <c r="K13" i="2416"/>
  <c r="L13" i="2416" s="1"/>
  <c r="M13" i="2416" s="1"/>
  <c r="N13" i="2416" s="1"/>
  <c r="I13" i="2416"/>
  <c r="H13" i="2416" s="1"/>
  <c r="L11" i="2416"/>
  <c r="M11" i="2416" s="1"/>
  <c r="N11" i="2416" s="1"/>
  <c r="K11" i="2416"/>
  <c r="I11" i="2416"/>
  <c r="H11" i="2416"/>
  <c r="K9" i="2416"/>
  <c r="L9" i="2416" s="1"/>
  <c r="M9" i="2416" s="1"/>
  <c r="N9" i="2416" s="1"/>
  <c r="I9" i="2416"/>
  <c r="H9" i="2416"/>
  <c r="L7" i="2416"/>
  <c r="M7" i="2416" s="1"/>
  <c r="N7" i="2416" s="1"/>
  <c r="K7" i="2416"/>
  <c r="I7" i="2416"/>
  <c r="H7" i="2416" s="1"/>
  <c r="K5" i="2416"/>
  <c r="L5" i="2416" s="1"/>
  <c r="M5" i="2416" s="1"/>
  <c r="N5" i="2416" s="1"/>
  <c r="I5" i="2416"/>
  <c r="H5" i="2416"/>
  <c r="K3" i="2416"/>
  <c r="L3" i="2416" s="1"/>
  <c r="M3" i="2416" s="1"/>
  <c r="N3" i="2416" s="1"/>
  <c r="I3" i="2416"/>
  <c r="H3" i="2416"/>
  <c r="M25" i="2415"/>
  <c r="N25" i="2415" s="1"/>
  <c r="L25" i="2415"/>
  <c r="K25" i="2415"/>
  <c r="I25" i="2415"/>
  <c r="H25" i="2415" s="1"/>
  <c r="K23" i="2415"/>
  <c r="L23" i="2415" s="1"/>
  <c r="M23" i="2415" s="1"/>
  <c r="N23" i="2415" s="1"/>
  <c r="I23" i="2415"/>
  <c r="H23" i="2415"/>
  <c r="K21" i="2415"/>
  <c r="L21" i="2415" s="1"/>
  <c r="M21" i="2415" s="1"/>
  <c r="N21" i="2415" s="1"/>
  <c r="I21" i="2415"/>
  <c r="H21" i="2415"/>
  <c r="L19" i="2415"/>
  <c r="M19" i="2415" s="1"/>
  <c r="N19" i="2415" s="1"/>
  <c r="K19" i="2415"/>
  <c r="I19" i="2415"/>
  <c r="H19" i="2415"/>
  <c r="K17" i="2415"/>
  <c r="L17" i="2415" s="1"/>
  <c r="M17" i="2415" s="1"/>
  <c r="N17" i="2415" s="1"/>
  <c r="I17" i="2415"/>
  <c r="H17" i="2415" s="1"/>
  <c r="L15" i="2415"/>
  <c r="M15" i="2415" s="1"/>
  <c r="N15" i="2415" s="1"/>
  <c r="K15" i="2415"/>
  <c r="I15" i="2415"/>
  <c r="H15" i="2415" s="1"/>
  <c r="K13" i="2415"/>
  <c r="L13" i="2415" s="1"/>
  <c r="M13" i="2415" s="1"/>
  <c r="N13" i="2415" s="1"/>
  <c r="I13" i="2415"/>
  <c r="H13" i="2415"/>
  <c r="K11" i="2415"/>
  <c r="L11" i="2415" s="1"/>
  <c r="M11" i="2415" s="1"/>
  <c r="N11" i="2415" s="1"/>
  <c r="I11" i="2415"/>
  <c r="H11" i="2415"/>
  <c r="K9" i="2415"/>
  <c r="L9" i="2415" s="1"/>
  <c r="M9" i="2415" s="1"/>
  <c r="N9" i="2415" s="1"/>
  <c r="I9" i="2415"/>
  <c r="H9" i="2415" s="1"/>
  <c r="K7" i="2415"/>
  <c r="L7" i="2415" s="1"/>
  <c r="M7" i="2415" s="1"/>
  <c r="N7" i="2415" s="1"/>
  <c r="I7" i="2415"/>
  <c r="H7" i="2415"/>
  <c r="K5" i="2415"/>
  <c r="L5" i="2415" s="1"/>
  <c r="M5" i="2415" s="1"/>
  <c r="N5" i="2415" s="1"/>
  <c r="I5" i="2415"/>
  <c r="H5" i="2415"/>
  <c r="L3" i="2415"/>
  <c r="M3" i="2415" s="1"/>
  <c r="N3" i="2415" s="1"/>
  <c r="K3" i="2415"/>
  <c r="I3" i="2415"/>
  <c r="H3" i="2415"/>
  <c r="L25" i="2414"/>
  <c r="M25" i="2414" s="1"/>
  <c r="N25" i="2414" s="1"/>
  <c r="J25" i="2414"/>
  <c r="I25" i="2414"/>
  <c r="H25" i="2414"/>
  <c r="L23" i="2414"/>
  <c r="M23" i="2414" s="1"/>
  <c r="N23" i="2414" s="1"/>
  <c r="J23" i="2414"/>
  <c r="I23" i="2414" s="1"/>
  <c r="H23" i="2414" s="1"/>
  <c r="N21" i="2414"/>
  <c r="M21" i="2414"/>
  <c r="L21" i="2414"/>
  <c r="J21" i="2414"/>
  <c r="I21" i="2414"/>
  <c r="H21" i="2414"/>
  <c r="M19" i="2414"/>
  <c r="N19" i="2414" s="1"/>
  <c r="L19" i="2414"/>
  <c r="J19" i="2414"/>
  <c r="I19" i="2414"/>
  <c r="H19" i="2414"/>
  <c r="M17" i="2414"/>
  <c r="N17" i="2414" s="1"/>
  <c r="L17" i="2414"/>
  <c r="J17" i="2414"/>
  <c r="I17" i="2414"/>
  <c r="H17" i="2414" s="1"/>
  <c r="L15" i="2414"/>
  <c r="M15" i="2414" s="1"/>
  <c r="N15" i="2414" s="1"/>
  <c r="J15" i="2414"/>
  <c r="I15" i="2414"/>
  <c r="H15" i="2414"/>
  <c r="L13" i="2414"/>
  <c r="M13" i="2414" s="1"/>
  <c r="N13" i="2414" s="1"/>
  <c r="J13" i="2414"/>
  <c r="I13" i="2414"/>
  <c r="H13" i="2414"/>
  <c r="L11" i="2414"/>
  <c r="M11" i="2414" s="1"/>
  <c r="N11" i="2414" s="1"/>
  <c r="J11" i="2414"/>
  <c r="I11" i="2414" s="1"/>
  <c r="H11" i="2414" s="1"/>
  <c r="L9" i="2414"/>
  <c r="M9" i="2414" s="1"/>
  <c r="N9" i="2414" s="1"/>
  <c r="J9" i="2414"/>
  <c r="I9" i="2414"/>
  <c r="H9" i="2414"/>
  <c r="L7" i="2414"/>
  <c r="M7" i="2414" s="1"/>
  <c r="N7" i="2414" s="1"/>
  <c r="J7" i="2414"/>
  <c r="I7" i="2414" s="1"/>
  <c r="H7" i="2414" s="1"/>
  <c r="N5" i="2414"/>
  <c r="M5" i="2414"/>
  <c r="L5" i="2414"/>
  <c r="J5" i="2414"/>
  <c r="I5" i="2414"/>
  <c r="H5" i="2414"/>
  <c r="L3" i="2414"/>
  <c r="M3" i="2414" s="1"/>
  <c r="N3" i="2414" s="1"/>
  <c r="J3" i="2414"/>
  <c r="I3" i="2414"/>
  <c r="H3" i="2414"/>
  <c r="L27" i="2413"/>
  <c r="M27" i="2413" s="1"/>
  <c r="K27" i="2413"/>
  <c r="I27" i="2413"/>
  <c r="H27" i="2413"/>
  <c r="K25" i="2413"/>
  <c r="L25" i="2413" s="1"/>
  <c r="M25" i="2413" s="1"/>
  <c r="I25" i="2413"/>
  <c r="H25" i="2413"/>
  <c r="K23" i="2413"/>
  <c r="L23" i="2413" s="1"/>
  <c r="M23" i="2413" s="1"/>
  <c r="I23" i="2413"/>
  <c r="H23" i="2413"/>
  <c r="K21" i="2413"/>
  <c r="L21" i="2413" s="1"/>
  <c r="M21" i="2413" s="1"/>
  <c r="I21" i="2413"/>
  <c r="H21" i="2413" s="1"/>
  <c r="M19" i="2413"/>
  <c r="L19" i="2413"/>
  <c r="K19" i="2413"/>
  <c r="I19" i="2413"/>
  <c r="H19" i="2413"/>
  <c r="L17" i="2413"/>
  <c r="M17" i="2413" s="1"/>
  <c r="K17" i="2413"/>
  <c r="I17" i="2413"/>
  <c r="H17" i="2413"/>
  <c r="K15" i="2413"/>
  <c r="L15" i="2413" s="1"/>
  <c r="M15" i="2413" s="1"/>
  <c r="I15" i="2413"/>
  <c r="H15" i="2413" s="1"/>
  <c r="L13" i="2413"/>
  <c r="M13" i="2413" s="1"/>
  <c r="K13" i="2413"/>
  <c r="I13" i="2413"/>
  <c r="H13" i="2413"/>
  <c r="K11" i="2413"/>
  <c r="L11" i="2413" s="1"/>
  <c r="M11" i="2413" s="1"/>
  <c r="I11" i="2413"/>
  <c r="H11" i="2413"/>
  <c r="L9" i="2413"/>
  <c r="M9" i="2413" s="1"/>
  <c r="K9" i="2413"/>
  <c r="I9" i="2413"/>
  <c r="H9" i="2413"/>
  <c r="K7" i="2413"/>
  <c r="L7" i="2413" s="1"/>
  <c r="M7" i="2413" s="1"/>
  <c r="I7" i="2413"/>
  <c r="H7" i="2413" s="1"/>
  <c r="K5" i="2413"/>
  <c r="L5" i="2413" s="1"/>
  <c r="M5" i="2413" s="1"/>
  <c r="I5" i="2413"/>
  <c r="H5" i="2413"/>
  <c r="K3" i="2413"/>
  <c r="L3" i="2413" s="1"/>
  <c r="M3" i="2413" s="1"/>
  <c r="I3" i="2413"/>
  <c r="H3" i="2413"/>
  <c r="K25" i="2412"/>
  <c r="L25" i="2412" s="1"/>
  <c r="M25" i="2412" s="1"/>
  <c r="I25" i="2412"/>
  <c r="H25" i="2412" s="1"/>
  <c r="K23" i="2412"/>
  <c r="L23" i="2412" s="1"/>
  <c r="M23" i="2412" s="1"/>
  <c r="I23" i="2412"/>
  <c r="H23" i="2412"/>
  <c r="K21" i="2412"/>
  <c r="L21" i="2412" s="1"/>
  <c r="M21" i="2412" s="1"/>
  <c r="I21" i="2412"/>
  <c r="H21" i="2412"/>
  <c r="L19" i="2412"/>
  <c r="M19" i="2412" s="1"/>
  <c r="K19" i="2412"/>
  <c r="I19" i="2412"/>
  <c r="H19" i="2412"/>
  <c r="K17" i="2412"/>
  <c r="L17" i="2412" s="1"/>
  <c r="M17" i="2412" s="1"/>
  <c r="I17" i="2412"/>
  <c r="H17" i="2412"/>
  <c r="K15" i="2412"/>
  <c r="L15" i="2412" s="1"/>
  <c r="M15" i="2412" s="1"/>
  <c r="I15" i="2412"/>
  <c r="H15" i="2412" s="1"/>
  <c r="K13" i="2412"/>
  <c r="L13" i="2412" s="1"/>
  <c r="M13" i="2412" s="1"/>
  <c r="I13" i="2412"/>
  <c r="H13" i="2412" s="1"/>
  <c r="M11" i="2412"/>
  <c r="L11" i="2412"/>
  <c r="K11" i="2412"/>
  <c r="I11" i="2412"/>
  <c r="H11" i="2412"/>
  <c r="K9" i="2412"/>
  <c r="L9" i="2412" s="1"/>
  <c r="M9" i="2412" s="1"/>
  <c r="I9" i="2412"/>
  <c r="H9" i="2412"/>
  <c r="L7" i="2412"/>
  <c r="M7" i="2412" s="1"/>
  <c r="K7" i="2412"/>
  <c r="I7" i="2412"/>
  <c r="H7" i="2412" s="1"/>
  <c r="L5" i="2412"/>
  <c r="M5" i="2412" s="1"/>
  <c r="K5" i="2412"/>
  <c r="I5" i="2412"/>
  <c r="H5" i="2412"/>
  <c r="K3" i="2412"/>
  <c r="L3" i="2412" s="1"/>
  <c r="M3" i="2412" s="1"/>
  <c r="I3" i="2412"/>
  <c r="H3" i="2412"/>
  <c r="K27" i="2411"/>
  <c r="L27" i="2411" s="1"/>
  <c r="M27" i="2411" s="1"/>
  <c r="I27" i="2411"/>
  <c r="H27" i="2411"/>
  <c r="K25" i="2411"/>
  <c r="L25" i="2411" s="1"/>
  <c r="M25" i="2411" s="1"/>
  <c r="I25" i="2411"/>
  <c r="H25" i="2411" s="1"/>
  <c r="K23" i="2411"/>
  <c r="L23" i="2411" s="1"/>
  <c r="M23" i="2411" s="1"/>
  <c r="I23" i="2411"/>
  <c r="H23" i="2411"/>
  <c r="K21" i="2411"/>
  <c r="L21" i="2411" s="1"/>
  <c r="M21" i="2411" s="1"/>
  <c r="I21" i="2411"/>
  <c r="H21" i="2411"/>
  <c r="K19" i="2411"/>
  <c r="L19" i="2411" s="1"/>
  <c r="M19" i="2411" s="1"/>
  <c r="I19" i="2411"/>
  <c r="H19" i="2411" s="1"/>
  <c r="K17" i="2411"/>
  <c r="L17" i="2411" s="1"/>
  <c r="M17" i="2411" s="1"/>
  <c r="I17" i="2411"/>
  <c r="H17" i="2411"/>
  <c r="L15" i="2411"/>
  <c r="M15" i="2411" s="1"/>
  <c r="K15" i="2411"/>
  <c r="I15" i="2411"/>
  <c r="H15" i="2411"/>
  <c r="L13" i="2411"/>
  <c r="M13" i="2411" s="1"/>
  <c r="K13" i="2411"/>
  <c r="I13" i="2411"/>
  <c r="H13" i="2411"/>
  <c r="K11" i="2411"/>
  <c r="L11" i="2411" s="1"/>
  <c r="M11" i="2411" s="1"/>
  <c r="I11" i="2411"/>
  <c r="H11" i="2411"/>
  <c r="K9" i="2411"/>
  <c r="L9" i="2411" s="1"/>
  <c r="M9" i="2411" s="1"/>
  <c r="I9" i="2411"/>
  <c r="H9" i="2411"/>
  <c r="K7" i="2411"/>
  <c r="L7" i="2411" s="1"/>
  <c r="M7" i="2411" s="1"/>
  <c r="I7" i="2411"/>
  <c r="H7" i="2411" s="1"/>
  <c r="M5" i="2411"/>
  <c r="L5" i="2411"/>
  <c r="K5" i="2411"/>
  <c r="I5" i="2411"/>
  <c r="H5" i="2411"/>
  <c r="K3" i="2411"/>
  <c r="L3" i="2411" s="1"/>
  <c r="M3" i="2411" s="1"/>
  <c r="I3" i="2411"/>
  <c r="H3" i="2411" s="1"/>
  <c r="L33" i="2410"/>
  <c r="M33" i="2410" s="1"/>
  <c r="N33" i="2410" s="1"/>
  <c r="K33" i="2410"/>
  <c r="I33" i="2410"/>
  <c r="H33" i="2410" s="1"/>
  <c r="K31" i="2410"/>
  <c r="L31" i="2410" s="1"/>
  <c r="M31" i="2410" s="1"/>
  <c r="N31" i="2410" s="1"/>
  <c r="I31" i="2410"/>
  <c r="H31" i="2410"/>
  <c r="K29" i="2410"/>
  <c r="L29" i="2410" s="1"/>
  <c r="M29" i="2410" s="1"/>
  <c r="N29" i="2410" s="1"/>
  <c r="I29" i="2410"/>
  <c r="H29" i="2410"/>
  <c r="K27" i="2410"/>
  <c r="L27" i="2410" s="1"/>
  <c r="M27" i="2410" s="1"/>
  <c r="N27" i="2410" s="1"/>
  <c r="I27" i="2410"/>
  <c r="H27" i="2410" s="1"/>
  <c r="K25" i="2410"/>
  <c r="L25" i="2410" s="1"/>
  <c r="M25" i="2410" s="1"/>
  <c r="N25" i="2410" s="1"/>
  <c r="I25" i="2410"/>
  <c r="H25" i="2410"/>
  <c r="K23" i="2410"/>
  <c r="L23" i="2410" s="1"/>
  <c r="M23" i="2410" s="1"/>
  <c r="N23" i="2410" s="1"/>
  <c r="I23" i="2410"/>
  <c r="H23" i="2410"/>
  <c r="L21" i="2410"/>
  <c r="M21" i="2410" s="1"/>
  <c r="N21" i="2410" s="1"/>
  <c r="K21" i="2410"/>
  <c r="I21" i="2410"/>
  <c r="H21" i="2410"/>
  <c r="K19" i="2410"/>
  <c r="L19" i="2410" s="1"/>
  <c r="M19" i="2410" s="1"/>
  <c r="N19" i="2410" s="1"/>
  <c r="I19" i="2410"/>
  <c r="H19" i="2410"/>
  <c r="K17" i="2410"/>
  <c r="L17" i="2410" s="1"/>
  <c r="M17" i="2410" s="1"/>
  <c r="N17" i="2410" s="1"/>
  <c r="I17" i="2410"/>
  <c r="H17" i="2410" s="1"/>
  <c r="K15" i="2410"/>
  <c r="L15" i="2410" s="1"/>
  <c r="M15" i="2410" s="1"/>
  <c r="N15" i="2410" s="1"/>
  <c r="I15" i="2410"/>
  <c r="H15" i="2410"/>
  <c r="R14" i="2410"/>
  <c r="L13" i="2410"/>
  <c r="M13" i="2410" s="1"/>
  <c r="N13" i="2410" s="1"/>
  <c r="K13" i="2410"/>
  <c r="I13" i="2410"/>
  <c r="H13" i="2410"/>
  <c r="N11" i="2410"/>
  <c r="K11" i="2410"/>
  <c r="L11" i="2410" s="1"/>
  <c r="M11" i="2410" s="1"/>
  <c r="I11" i="2410"/>
  <c r="H11" i="2410" s="1"/>
  <c r="K9" i="2410"/>
  <c r="L9" i="2410" s="1"/>
  <c r="M9" i="2410" s="1"/>
  <c r="N9" i="2410" s="1"/>
  <c r="I9" i="2410"/>
  <c r="H9" i="2410"/>
  <c r="K7" i="2410"/>
  <c r="L7" i="2410" s="1"/>
  <c r="M7" i="2410" s="1"/>
  <c r="N7" i="2410" s="1"/>
  <c r="I7" i="2410"/>
  <c r="H7" i="2410" s="1"/>
  <c r="M5" i="2410"/>
  <c r="N5" i="2410" s="1"/>
  <c r="L5" i="2410"/>
  <c r="K5" i="2410"/>
  <c r="I5" i="2410"/>
  <c r="H5" i="2410"/>
  <c r="K3" i="2410"/>
  <c r="L3" i="2410" s="1"/>
  <c r="M3" i="2410" s="1"/>
  <c r="N3" i="2410" s="1"/>
  <c r="I3" i="2410"/>
  <c r="H3" i="2410"/>
  <c r="L27" i="2409"/>
  <c r="M27" i="2409" s="1"/>
  <c r="N27" i="2409" s="1"/>
  <c r="K27" i="2409"/>
  <c r="I27" i="2409"/>
  <c r="H27" i="2409"/>
  <c r="K25" i="2409"/>
  <c r="L25" i="2409" s="1"/>
  <c r="M25" i="2409" s="1"/>
  <c r="N25" i="2409" s="1"/>
  <c r="I25" i="2409"/>
  <c r="H25" i="2409"/>
  <c r="L23" i="2409"/>
  <c r="M23" i="2409" s="1"/>
  <c r="N23" i="2409" s="1"/>
  <c r="K23" i="2409"/>
  <c r="I23" i="2409"/>
  <c r="H23" i="2409"/>
  <c r="K21" i="2409"/>
  <c r="L21" i="2409" s="1"/>
  <c r="M21" i="2409" s="1"/>
  <c r="N21" i="2409" s="1"/>
  <c r="I21" i="2409"/>
  <c r="H21" i="2409" s="1"/>
  <c r="K19" i="2409"/>
  <c r="L19" i="2409" s="1"/>
  <c r="M19" i="2409" s="1"/>
  <c r="N19" i="2409" s="1"/>
  <c r="I19" i="2409"/>
  <c r="H19" i="2409"/>
  <c r="K17" i="2409"/>
  <c r="L17" i="2409" s="1"/>
  <c r="M17" i="2409" s="1"/>
  <c r="N17" i="2409" s="1"/>
  <c r="I17" i="2409"/>
  <c r="H17" i="2409" s="1"/>
  <c r="K15" i="2409"/>
  <c r="L15" i="2409" s="1"/>
  <c r="M15" i="2409" s="1"/>
  <c r="N15" i="2409" s="1"/>
  <c r="I15" i="2409"/>
  <c r="H15" i="2409" s="1"/>
  <c r="K13" i="2409"/>
  <c r="L13" i="2409" s="1"/>
  <c r="M13" i="2409" s="1"/>
  <c r="N13" i="2409" s="1"/>
  <c r="I13" i="2409"/>
  <c r="H13" i="2409" s="1"/>
  <c r="L11" i="2409"/>
  <c r="M11" i="2409" s="1"/>
  <c r="N11" i="2409" s="1"/>
  <c r="K11" i="2409"/>
  <c r="I11" i="2409"/>
  <c r="H11" i="2409"/>
  <c r="K9" i="2409"/>
  <c r="L9" i="2409" s="1"/>
  <c r="M9" i="2409" s="1"/>
  <c r="N9" i="2409" s="1"/>
  <c r="I9" i="2409"/>
  <c r="H9" i="2409"/>
  <c r="K7" i="2409"/>
  <c r="L7" i="2409" s="1"/>
  <c r="M7" i="2409" s="1"/>
  <c r="N7" i="2409" s="1"/>
  <c r="I7" i="2409"/>
  <c r="H7" i="2409"/>
  <c r="K5" i="2409"/>
  <c r="L5" i="2409" s="1"/>
  <c r="M5" i="2409" s="1"/>
  <c r="N5" i="2409" s="1"/>
  <c r="I5" i="2409"/>
  <c r="H5" i="2409" s="1"/>
  <c r="K3" i="2409"/>
  <c r="L3" i="2409" s="1"/>
  <c r="M3" i="2409" s="1"/>
  <c r="N3" i="2409" s="1"/>
  <c r="I3" i="2409"/>
  <c r="H3" i="2409" s="1"/>
  <c r="K27" i="2408"/>
  <c r="L27" i="2408" s="1"/>
  <c r="M27" i="2408" s="1"/>
  <c r="I27" i="2408"/>
  <c r="H27" i="2408"/>
  <c r="K25" i="2408"/>
  <c r="L25" i="2408" s="1"/>
  <c r="M25" i="2408" s="1"/>
  <c r="I25" i="2408"/>
  <c r="H25" i="2408" s="1"/>
  <c r="K21" i="2408"/>
  <c r="L21" i="2408" s="1"/>
  <c r="M21" i="2408" s="1"/>
  <c r="I21" i="2408"/>
  <c r="H21" i="2408"/>
  <c r="K19" i="2408"/>
  <c r="L19" i="2408" s="1"/>
  <c r="M19" i="2408" s="1"/>
  <c r="I19" i="2408"/>
  <c r="H19" i="2408"/>
  <c r="K17" i="2408"/>
  <c r="L17" i="2408" s="1"/>
  <c r="M17" i="2408" s="1"/>
  <c r="I17" i="2408"/>
  <c r="H17" i="2408" s="1"/>
  <c r="K15" i="2408"/>
  <c r="L15" i="2408" s="1"/>
  <c r="M15" i="2408" s="1"/>
  <c r="I15" i="2408"/>
  <c r="H15" i="2408"/>
  <c r="K13" i="2408"/>
  <c r="L13" i="2408" s="1"/>
  <c r="M13" i="2408" s="1"/>
  <c r="I13" i="2408"/>
  <c r="H13" i="2408"/>
  <c r="L11" i="2408"/>
  <c r="M11" i="2408" s="1"/>
  <c r="K11" i="2408"/>
  <c r="I11" i="2408"/>
  <c r="H11" i="2408"/>
  <c r="K9" i="2408"/>
  <c r="L9" i="2408" s="1"/>
  <c r="M9" i="2408" s="1"/>
  <c r="I9" i="2408"/>
  <c r="H9" i="2408"/>
  <c r="K7" i="2408"/>
  <c r="L7" i="2408" s="1"/>
  <c r="M7" i="2408" s="1"/>
  <c r="I7" i="2408"/>
  <c r="H7" i="2408"/>
  <c r="K5" i="2408"/>
  <c r="L5" i="2408" s="1"/>
  <c r="M5" i="2408" s="1"/>
  <c r="I5" i="2408"/>
  <c r="H5" i="2408" s="1"/>
  <c r="M3" i="2408"/>
  <c r="L3" i="2408"/>
  <c r="K3" i="2408"/>
  <c r="I3" i="2408"/>
  <c r="H3" i="2408"/>
  <c r="K25" i="2407"/>
  <c r="L25" i="2407" s="1"/>
  <c r="M25" i="2407" s="1"/>
  <c r="I25" i="2407"/>
  <c r="H25" i="2407" s="1"/>
  <c r="K23" i="2407"/>
  <c r="L23" i="2407" s="1"/>
  <c r="M23" i="2407" s="1"/>
  <c r="I23" i="2407"/>
  <c r="H23" i="2407" s="1"/>
  <c r="L21" i="2407"/>
  <c r="M21" i="2407" s="1"/>
  <c r="K21" i="2407"/>
  <c r="I21" i="2407"/>
  <c r="H21" i="2407"/>
  <c r="K19" i="2407"/>
  <c r="L19" i="2407" s="1"/>
  <c r="M19" i="2407" s="1"/>
  <c r="I19" i="2407"/>
  <c r="H19" i="2407"/>
  <c r="K17" i="2407"/>
  <c r="L17" i="2407" s="1"/>
  <c r="M17" i="2407" s="1"/>
  <c r="I17" i="2407"/>
  <c r="H17" i="2407" s="1"/>
  <c r="K15" i="2407"/>
  <c r="L15" i="2407" s="1"/>
  <c r="M15" i="2407" s="1"/>
  <c r="I15" i="2407"/>
  <c r="H15" i="2407" s="1"/>
  <c r="Q14" i="2407"/>
  <c r="K13" i="2407"/>
  <c r="L13" i="2407" s="1"/>
  <c r="M13" i="2407" s="1"/>
  <c r="I13" i="2407"/>
  <c r="H13" i="2407"/>
  <c r="K11" i="2407"/>
  <c r="L11" i="2407" s="1"/>
  <c r="M11" i="2407" s="1"/>
  <c r="I11" i="2407"/>
  <c r="H11" i="2407"/>
  <c r="K9" i="2407"/>
  <c r="L9" i="2407" s="1"/>
  <c r="M9" i="2407" s="1"/>
  <c r="I9" i="2407"/>
  <c r="H9" i="2407" s="1"/>
  <c r="K7" i="2407"/>
  <c r="L7" i="2407" s="1"/>
  <c r="M7" i="2407" s="1"/>
  <c r="I7" i="2407"/>
  <c r="H7" i="2407" s="1"/>
  <c r="K5" i="2407"/>
  <c r="L5" i="2407" s="1"/>
  <c r="M5" i="2407" s="1"/>
  <c r="I5" i="2407"/>
  <c r="H5" i="2407"/>
  <c r="K3" i="2407"/>
  <c r="L3" i="2407" s="1"/>
  <c r="M3" i="2407" s="1"/>
  <c r="I3" i="2407"/>
  <c r="H3" i="2407" s="1"/>
  <c r="K27" i="2406"/>
  <c r="L27" i="2406" s="1"/>
  <c r="M27" i="2406" s="1"/>
  <c r="I27" i="2406"/>
  <c r="H27" i="2406"/>
  <c r="K25" i="2406"/>
  <c r="L25" i="2406" s="1"/>
  <c r="M25" i="2406" s="1"/>
  <c r="I25" i="2406"/>
  <c r="H25" i="2406" s="1"/>
  <c r="L23" i="2406"/>
  <c r="M23" i="2406" s="1"/>
  <c r="K23" i="2406"/>
  <c r="I23" i="2406"/>
  <c r="H23" i="2406"/>
  <c r="K21" i="2406"/>
  <c r="L21" i="2406" s="1"/>
  <c r="M21" i="2406" s="1"/>
  <c r="I21" i="2406"/>
  <c r="H21" i="2406"/>
  <c r="K19" i="2406"/>
  <c r="L19" i="2406" s="1"/>
  <c r="M19" i="2406" s="1"/>
  <c r="I19" i="2406"/>
  <c r="H19" i="2406"/>
  <c r="L17" i="2406"/>
  <c r="M17" i="2406" s="1"/>
  <c r="K17" i="2406"/>
  <c r="I17" i="2406"/>
  <c r="H17" i="2406"/>
  <c r="M15" i="2406"/>
  <c r="L15" i="2406"/>
  <c r="K15" i="2406"/>
  <c r="I15" i="2406"/>
  <c r="H15" i="2406"/>
  <c r="K13" i="2406"/>
  <c r="L13" i="2406" s="1"/>
  <c r="M13" i="2406" s="1"/>
  <c r="I13" i="2406"/>
  <c r="H13" i="2406"/>
  <c r="K11" i="2406"/>
  <c r="L11" i="2406" s="1"/>
  <c r="M11" i="2406" s="1"/>
  <c r="I11" i="2406"/>
  <c r="H11" i="2406" s="1"/>
  <c r="L9" i="2406"/>
  <c r="M9" i="2406" s="1"/>
  <c r="K9" i="2406"/>
  <c r="I9" i="2406"/>
  <c r="H9" i="2406"/>
  <c r="K7" i="2406"/>
  <c r="L7" i="2406" s="1"/>
  <c r="M7" i="2406" s="1"/>
  <c r="I7" i="2406"/>
  <c r="H7" i="2406"/>
  <c r="K5" i="2406"/>
  <c r="L5" i="2406" s="1"/>
  <c r="M5" i="2406" s="1"/>
  <c r="I5" i="2406"/>
  <c r="H5" i="2406"/>
  <c r="K3" i="2406"/>
  <c r="L3" i="2406" s="1"/>
  <c r="M3" i="2406" s="1"/>
  <c r="I3" i="2406"/>
  <c r="H3" i="2406" s="1"/>
  <c r="K25" i="2405"/>
  <c r="L25" i="2405" s="1"/>
  <c r="M25" i="2405" s="1"/>
  <c r="N25" i="2405" s="1"/>
  <c r="I25" i="2405"/>
  <c r="H25" i="2405"/>
  <c r="K23" i="2405"/>
  <c r="L23" i="2405" s="1"/>
  <c r="M23" i="2405" s="1"/>
  <c r="N23" i="2405" s="1"/>
  <c r="I23" i="2405"/>
  <c r="H23" i="2405" s="1"/>
  <c r="M21" i="2405"/>
  <c r="N21" i="2405" s="1"/>
  <c r="L21" i="2405"/>
  <c r="K21" i="2405"/>
  <c r="I21" i="2405"/>
  <c r="H21" i="2405"/>
  <c r="K19" i="2405"/>
  <c r="L19" i="2405" s="1"/>
  <c r="M19" i="2405" s="1"/>
  <c r="N19" i="2405" s="1"/>
  <c r="I19" i="2405"/>
  <c r="H19" i="2405" s="1"/>
  <c r="L17" i="2405"/>
  <c r="M17" i="2405" s="1"/>
  <c r="N17" i="2405" s="1"/>
  <c r="K17" i="2405"/>
  <c r="I17" i="2405"/>
  <c r="H17" i="2405"/>
  <c r="K15" i="2405"/>
  <c r="L15" i="2405" s="1"/>
  <c r="M15" i="2405" s="1"/>
  <c r="N15" i="2405" s="1"/>
  <c r="I15" i="2405"/>
  <c r="H15" i="2405"/>
  <c r="K13" i="2405"/>
  <c r="L13" i="2405" s="1"/>
  <c r="M13" i="2405" s="1"/>
  <c r="N13" i="2405" s="1"/>
  <c r="I13" i="2405"/>
  <c r="H13" i="2405"/>
  <c r="K11" i="2405"/>
  <c r="L11" i="2405" s="1"/>
  <c r="M11" i="2405" s="1"/>
  <c r="N11" i="2405" s="1"/>
  <c r="I11" i="2405"/>
  <c r="H11" i="2405" s="1"/>
  <c r="K9" i="2405"/>
  <c r="L9" i="2405" s="1"/>
  <c r="M9" i="2405" s="1"/>
  <c r="N9" i="2405" s="1"/>
  <c r="I9" i="2405"/>
  <c r="H9" i="2405"/>
  <c r="K7" i="2405"/>
  <c r="L7" i="2405" s="1"/>
  <c r="M7" i="2405" s="1"/>
  <c r="N7" i="2405" s="1"/>
  <c r="I7" i="2405"/>
  <c r="H7" i="2405" s="1"/>
  <c r="M5" i="2405"/>
  <c r="N5" i="2405" s="1"/>
  <c r="L5" i="2405"/>
  <c r="K5" i="2405"/>
  <c r="I5" i="2405"/>
  <c r="H5" i="2405"/>
  <c r="K3" i="2405"/>
  <c r="L3" i="2405" s="1"/>
  <c r="M3" i="2405" s="1"/>
  <c r="N3" i="2405" s="1"/>
  <c r="I3" i="2405"/>
  <c r="H3" i="2405"/>
  <c r="L29" i="2404"/>
  <c r="M29" i="2404" s="1"/>
  <c r="N29" i="2404" s="1"/>
  <c r="K29" i="2404"/>
  <c r="I29" i="2404"/>
  <c r="H29" i="2404"/>
  <c r="K27" i="2404"/>
  <c r="L27" i="2404" s="1"/>
  <c r="M27" i="2404" s="1"/>
  <c r="N27" i="2404" s="1"/>
  <c r="I27" i="2404"/>
  <c r="H27" i="2404"/>
  <c r="K25" i="2404"/>
  <c r="L25" i="2404" s="1"/>
  <c r="M25" i="2404" s="1"/>
  <c r="N25" i="2404" s="1"/>
  <c r="I25" i="2404"/>
  <c r="H25" i="2404"/>
  <c r="P25" i="2404" s="1"/>
  <c r="L23" i="2404"/>
  <c r="M23" i="2404" s="1"/>
  <c r="N23" i="2404" s="1"/>
  <c r="K23" i="2404"/>
  <c r="I23" i="2404"/>
  <c r="H23" i="2404"/>
  <c r="K21" i="2404"/>
  <c r="L21" i="2404" s="1"/>
  <c r="M21" i="2404" s="1"/>
  <c r="N21" i="2404" s="1"/>
  <c r="I21" i="2404"/>
  <c r="H21" i="2404"/>
  <c r="K19" i="2404"/>
  <c r="L19" i="2404" s="1"/>
  <c r="M19" i="2404" s="1"/>
  <c r="N19" i="2404" s="1"/>
  <c r="I19" i="2404"/>
  <c r="H19" i="2404" s="1"/>
  <c r="K17" i="2404"/>
  <c r="L17" i="2404" s="1"/>
  <c r="M17" i="2404" s="1"/>
  <c r="N17" i="2404" s="1"/>
  <c r="I17" i="2404"/>
  <c r="H17" i="2404"/>
  <c r="K15" i="2404"/>
  <c r="L15" i="2404" s="1"/>
  <c r="M15" i="2404" s="1"/>
  <c r="N15" i="2404" s="1"/>
  <c r="I15" i="2404"/>
  <c r="H15" i="2404"/>
  <c r="K13" i="2404"/>
  <c r="L13" i="2404" s="1"/>
  <c r="M13" i="2404" s="1"/>
  <c r="N13" i="2404" s="1"/>
  <c r="I13" i="2404"/>
  <c r="H13" i="2404" s="1"/>
  <c r="K11" i="2404"/>
  <c r="L11" i="2404" s="1"/>
  <c r="M11" i="2404" s="1"/>
  <c r="N11" i="2404" s="1"/>
  <c r="I11" i="2404"/>
  <c r="H11" i="2404"/>
  <c r="K9" i="2404"/>
  <c r="L9" i="2404" s="1"/>
  <c r="M9" i="2404" s="1"/>
  <c r="N9" i="2404" s="1"/>
  <c r="I9" i="2404"/>
  <c r="H9" i="2404"/>
  <c r="L7" i="2404"/>
  <c r="M7" i="2404" s="1"/>
  <c r="N7" i="2404" s="1"/>
  <c r="K7" i="2404"/>
  <c r="I7" i="2404"/>
  <c r="H7" i="2404"/>
  <c r="K5" i="2404"/>
  <c r="L5" i="2404" s="1"/>
  <c r="M5" i="2404" s="1"/>
  <c r="N5" i="2404" s="1"/>
  <c r="I5" i="2404"/>
  <c r="H5" i="2404" s="1"/>
  <c r="K3" i="2404"/>
  <c r="L3" i="2404" s="1"/>
  <c r="M3" i="2404" s="1"/>
  <c r="N3" i="2404" s="1"/>
  <c r="I3" i="2404"/>
  <c r="H3" i="2404" s="1"/>
  <c r="K31" i="2403"/>
  <c r="L31" i="2403" s="1"/>
  <c r="M31" i="2403" s="1"/>
  <c r="N31" i="2403" s="1"/>
  <c r="I31" i="2403"/>
  <c r="H31" i="2403"/>
  <c r="L29" i="2403"/>
  <c r="K29" i="2403"/>
  <c r="I29" i="2403"/>
  <c r="H29" i="2403"/>
  <c r="K27" i="2403"/>
  <c r="L27" i="2403" s="1"/>
  <c r="M27" i="2403" s="1"/>
  <c r="N27" i="2403" s="1"/>
  <c r="I27" i="2403"/>
  <c r="H27" i="2403" s="1"/>
  <c r="K25" i="2403"/>
  <c r="L25" i="2403" s="1"/>
  <c r="M25" i="2403" s="1"/>
  <c r="N25" i="2403" s="1"/>
  <c r="I25" i="2403"/>
  <c r="H25" i="2403"/>
  <c r="K23" i="2403"/>
  <c r="L23" i="2403" s="1"/>
  <c r="M23" i="2403" s="1"/>
  <c r="N23" i="2403" s="1"/>
  <c r="I23" i="2403"/>
  <c r="H23" i="2403"/>
  <c r="L21" i="2403"/>
  <c r="M21" i="2403" s="1"/>
  <c r="N21" i="2403" s="1"/>
  <c r="K21" i="2403"/>
  <c r="I21" i="2403"/>
  <c r="H21" i="2403"/>
  <c r="K19" i="2403"/>
  <c r="L19" i="2403" s="1"/>
  <c r="M19" i="2403" s="1"/>
  <c r="N19" i="2403" s="1"/>
  <c r="I19" i="2403"/>
  <c r="H19" i="2403"/>
  <c r="L13" i="2403"/>
  <c r="M13" i="2403" s="1"/>
  <c r="N13" i="2403" s="1"/>
  <c r="K13" i="2403"/>
  <c r="I13" i="2403"/>
  <c r="H13" i="2403"/>
  <c r="K11" i="2403"/>
  <c r="L11" i="2403" s="1"/>
  <c r="M11" i="2403" s="1"/>
  <c r="N11" i="2403" s="1"/>
  <c r="I11" i="2403"/>
  <c r="H11" i="2403"/>
  <c r="K9" i="2403"/>
  <c r="L9" i="2403" s="1"/>
  <c r="M9" i="2403" s="1"/>
  <c r="N9" i="2403" s="1"/>
  <c r="I9" i="2403"/>
  <c r="H9" i="2403"/>
  <c r="K7" i="2403"/>
  <c r="L7" i="2403" s="1"/>
  <c r="M7" i="2403" s="1"/>
  <c r="N7" i="2403" s="1"/>
  <c r="I7" i="2403"/>
  <c r="H7" i="2403" s="1"/>
  <c r="K5" i="2403"/>
  <c r="L5" i="2403" s="1"/>
  <c r="M5" i="2403" s="1"/>
  <c r="N5" i="2403" s="1"/>
  <c r="I5" i="2403"/>
  <c r="H5" i="2403"/>
  <c r="K3" i="2403"/>
  <c r="L3" i="2403" s="1"/>
  <c r="M3" i="2403" s="1"/>
  <c r="N3" i="2403" s="1"/>
  <c r="I3" i="2403"/>
  <c r="H3" i="2403" s="1"/>
  <c r="M39" i="2402"/>
  <c r="N39" i="2402" s="1"/>
  <c r="L39" i="2402"/>
  <c r="K39" i="2402"/>
  <c r="I39" i="2402"/>
  <c r="H39" i="2402"/>
  <c r="K37" i="2402"/>
  <c r="L37" i="2402" s="1"/>
  <c r="M37" i="2402" s="1"/>
  <c r="N37" i="2402" s="1"/>
  <c r="I37" i="2402"/>
  <c r="H37" i="2402"/>
  <c r="L35" i="2402"/>
  <c r="M35" i="2402" s="1"/>
  <c r="N35" i="2402" s="1"/>
  <c r="K35" i="2402"/>
  <c r="I35" i="2402"/>
  <c r="H35" i="2402"/>
  <c r="K33" i="2402"/>
  <c r="L33" i="2402" s="1"/>
  <c r="M33" i="2402" s="1"/>
  <c r="N33" i="2402" s="1"/>
  <c r="I33" i="2402"/>
  <c r="H33" i="2402"/>
  <c r="K31" i="2402"/>
  <c r="L31" i="2402" s="1"/>
  <c r="M31" i="2402" s="1"/>
  <c r="N31" i="2402" s="1"/>
  <c r="I31" i="2402"/>
  <c r="H31" i="2402"/>
  <c r="K29" i="2402"/>
  <c r="L29" i="2402" s="1"/>
  <c r="M29" i="2402" s="1"/>
  <c r="N29" i="2402" s="1"/>
  <c r="I29" i="2402"/>
  <c r="H29" i="2402" s="1"/>
  <c r="K27" i="2402"/>
  <c r="L27" i="2402" s="1"/>
  <c r="M27" i="2402" s="1"/>
  <c r="N27" i="2402" s="1"/>
  <c r="I27" i="2402"/>
  <c r="H27" i="2402"/>
  <c r="K25" i="2402"/>
  <c r="L25" i="2402" s="1"/>
  <c r="M25" i="2402" s="1"/>
  <c r="N25" i="2402" s="1"/>
  <c r="I25" i="2402"/>
  <c r="H25" i="2402" s="1"/>
  <c r="M23" i="2402"/>
  <c r="N23" i="2402" s="1"/>
  <c r="L23" i="2402"/>
  <c r="K23" i="2402"/>
  <c r="I23" i="2402"/>
  <c r="H23" i="2402"/>
  <c r="K21" i="2402"/>
  <c r="L21" i="2402" s="1"/>
  <c r="M21" i="2402" s="1"/>
  <c r="N21" i="2402" s="1"/>
  <c r="I21" i="2402"/>
  <c r="H21" i="2402" s="1"/>
  <c r="L19" i="2402"/>
  <c r="M19" i="2402" s="1"/>
  <c r="N19" i="2402" s="1"/>
  <c r="K19" i="2402"/>
  <c r="I19" i="2402"/>
  <c r="H19" i="2402"/>
  <c r="K17" i="2402"/>
  <c r="L17" i="2402" s="1"/>
  <c r="M17" i="2402" s="1"/>
  <c r="N17" i="2402" s="1"/>
  <c r="I17" i="2402"/>
  <c r="H17" i="2402"/>
  <c r="K15" i="2402"/>
  <c r="L15" i="2402" s="1"/>
  <c r="M15" i="2402" s="1"/>
  <c r="N15" i="2402" s="1"/>
  <c r="I15" i="2402"/>
  <c r="H15" i="2402" s="1"/>
  <c r="L13" i="2402"/>
  <c r="M13" i="2402" s="1"/>
  <c r="N13" i="2402" s="1"/>
  <c r="K13" i="2402"/>
  <c r="I13" i="2402"/>
  <c r="H13" i="2402"/>
  <c r="K11" i="2402"/>
  <c r="L11" i="2402" s="1"/>
  <c r="I11" i="2402"/>
  <c r="H11" i="2402"/>
  <c r="K9" i="2402"/>
  <c r="L9" i="2402" s="1"/>
  <c r="M9" i="2402" s="1"/>
  <c r="N9" i="2402" s="1"/>
  <c r="I9" i="2402"/>
  <c r="H9" i="2402" s="1"/>
  <c r="K7" i="2402"/>
  <c r="L7" i="2402" s="1"/>
  <c r="M7" i="2402" s="1"/>
  <c r="N7" i="2402" s="1"/>
  <c r="I7" i="2402"/>
  <c r="H7" i="2402"/>
  <c r="L5" i="2402"/>
  <c r="M5" i="2402" s="1"/>
  <c r="N5" i="2402" s="1"/>
  <c r="K5" i="2402"/>
  <c r="I5" i="2402"/>
  <c r="H5" i="2402"/>
  <c r="M3" i="2402"/>
  <c r="N3" i="2402" s="1"/>
  <c r="L3" i="2402"/>
  <c r="K3" i="2402"/>
  <c r="I3" i="2402"/>
  <c r="H3" i="2402" s="1"/>
  <c r="K41" i="2400"/>
  <c r="L41" i="2400" s="1"/>
  <c r="M41" i="2400" s="1"/>
  <c r="I41" i="2400"/>
  <c r="H41" i="2400"/>
  <c r="L39" i="2400"/>
  <c r="M39" i="2400" s="1"/>
  <c r="P13" i="2400" s="1"/>
  <c r="P14" i="2400" s="1"/>
  <c r="K39" i="2400"/>
  <c r="I39" i="2400"/>
  <c r="H39" i="2400"/>
  <c r="K37" i="2400"/>
  <c r="L37" i="2400" s="1"/>
  <c r="M37" i="2400" s="1"/>
  <c r="I37" i="2400"/>
  <c r="H37" i="2400" s="1"/>
  <c r="K35" i="2400"/>
  <c r="L35" i="2400" s="1"/>
  <c r="M35" i="2400" s="1"/>
  <c r="I35" i="2400"/>
  <c r="H35" i="2400"/>
  <c r="K33" i="2400"/>
  <c r="L33" i="2400" s="1"/>
  <c r="M33" i="2400" s="1"/>
  <c r="I33" i="2400"/>
  <c r="H33" i="2400"/>
  <c r="L29" i="2400"/>
  <c r="M29" i="2400" s="1"/>
  <c r="K29" i="2400"/>
  <c r="I29" i="2400"/>
  <c r="H29" i="2400" s="1"/>
  <c r="K27" i="2400"/>
  <c r="I27" i="2400"/>
  <c r="H27" i="2400" s="1"/>
  <c r="Q13" i="2400" s="1"/>
  <c r="Q14" i="2400" s="1"/>
  <c r="K25" i="2400"/>
  <c r="L25" i="2400" s="1"/>
  <c r="M25" i="2400" s="1"/>
  <c r="I25" i="2400"/>
  <c r="H25" i="2400"/>
  <c r="K23" i="2400"/>
  <c r="L23" i="2400" s="1"/>
  <c r="M23" i="2400" s="1"/>
  <c r="I23" i="2400"/>
  <c r="H23" i="2400" s="1"/>
  <c r="K21" i="2400"/>
  <c r="L21" i="2400" s="1"/>
  <c r="M21" i="2400" s="1"/>
  <c r="I21" i="2400"/>
  <c r="H21" i="2400"/>
  <c r="K19" i="2400"/>
  <c r="L19" i="2400" s="1"/>
  <c r="M19" i="2400" s="1"/>
  <c r="I19" i="2400"/>
  <c r="H19" i="2400"/>
  <c r="K17" i="2400"/>
  <c r="L17" i="2400" s="1"/>
  <c r="M17" i="2400" s="1"/>
  <c r="I17" i="2400"/>
  <c r="H17" i="2400"/>
  <c r="K15" i="2400"/>
  <c r="L15" i="2400" s="1"/>
  <c r="M15" i="2400" s="1"/>
  <c r="I15" i="2400"/>
  <c r="H15" i="2400" s="1"/>
  <c r="L13" i="2400"/>
  <c r="M13" i="2400" s="1"/>
  <c r="K13" i="2400"/>
  <c r="I13" i="2400"/>
  <c r="H13" i="2400" s="1"/>
  <c r="K11" i="2400"/>
  <c r="L11" i="2400" s="1"/>
  <c r="M11" i="2400" s="1"/>
  <c r="I11" i="2400"/>
  <c r="H11" i="2400"/>
  <c r="K7" i="2400"/>
  <c r="L7" i="2400" s="1"/>
  <c r="M7" i="2400" s="1"/>
  <c r="I7" i="2400"/>
  <c r="H7" i="2400"/>
  <c r="K5" i="2400"/>
  <c r="L5" i="2400" s="1"/>
  <c r="M5" i="2400" s="1"/>
  <c r="I5" i="2400"/>
  <c r="H5" i="2400"/>
  <c r="K3" i="2400"/>
  <c r="L3" i="2400" s="1"/>
  <c r="M3" i="2400" s="1"/>
  <c r="I3" i="2400"/>
  <c r="H3" i="2400"/>
  <c r="K45" i="2399"/>
  <c r="L45" i="2399" s="1"/>
  <c r="M45" i="2399" s="1"/>
  <c r="I45" i="2399"/>
  <c r="H45" i="2399"/>
  <c r="K43" i="2399"/>
  <c r="L43" i="2399" s="1"/>
  <c r="M43" i="2399" s="1"/>
  <c r="I43" i="2399"/>
  <c r="H43" i="2399" s="1"/>
  <c r="K41" i="2399"/>
  <c r="L41" i="2399" s="1"/>
  <c r="M41" i="2399" s="1"/>
  <c r="I41" i="2399"/>
  <c r="H41" i="2399" s="1"/>
  <c r="K39" i="2399"/>
  <c r="L39" i="2399" s="1"/>
  <c r="M39" i="2399" s="1"/>
  <c r="I39" i="2399"/>
  <c r="H39" i="2399"/>
  <c r="K37" i="2399"/>
  <c r="L37" i="2399" s="1"/>
  <c r="M37" i="2399" s="1"/>
  <c r="I37" i="2399"/>
  <c r="H37" i="2399" s="1"/>
  <c r="K35" i="2399"/>
  <c r="L35" i="2399" s="1"/>
  <c r="M35" i="2399" s="1"/>
  <c r="I35" i="2399"/>
  <c r="H35" i="2399" s="1"/>
  <c r="K31" i="2399"/>
  <c r="L31" i="2399" s="1"/>
  <c r="M31" i="2399" s="1"/>
  <c r="I31" i="2399"/>
  <c r="H31" i="2399" s="1"/>
  <c r="K29" i="2399"/>
  <c r="L29" i="2399" s="1"/>
  <c r="M29" i="2399" s="1"/>
  <c r="I29" i="2399"/>
  <c r="H29" i="2399" s="1"/>
  <c r="K27" i="2399"/>
  <c r="L27" i="2399" s="1"/>
  <c r="M27" i="2399" s="1"/>
  <c r="I27" i="2399"/>
  <c r="H27" i="2399"/>
  <c r="K25" i="2399"/>
  <c r="L25" i="2399" s="1"/>
  <c r="M25" i="2399" s="1"/>
  <c r="I25" i="2399"/>
  <c r="H25" i="2399"/>
  <c r="K23" i="2399"/>
  <c r="L23" i="2399" s="1"/>
  <c r="M23" i="2399" s="1"/>
  <c r="I23" i="2399"/>
  <c r="H23" i="2399"/>
  <c r="K21" i="2399"/>
  <c r="L21" i="2399" s="1"/>
  <c r="M21" i="2399" s="1"/>
  <c r="I21" i="2399"/>
  <c r="H21" i="2399" s="1"/>
  <c r="K19" i="2399"/>
  <c r="L19" i="2399" s="1"/>
  <c r="M19" i="2399" s="1"/>
  <c r="I19" i="2399"/>
  <c r="H19" i="2399"/>
  <c r="K17" i="2399"/>
  <c r="L17" i="2399" s="1"/>
  <c r="M17" i="2399" s="1"/>
  <c r="I17" i="2399"/>
  <c r="H17" i="2399"/>
  <c r="K15" i="2399"/>
  <c r="L15" i="2399" s="1"/>
  <c r="M15" i="2399" s="1"/>
  <c r="I15" i="2399"/>
  <c r="H15" i="2399"/>
  <c r="K13" i="2399"/>
  <c r="L13" i="2399" s="1"/>
  <c r="M13" i="2399" s="1"/>
  <c r="I13" i="2399"/>
  <c r="H13" i="2399" s="1"/>
  <c r="K11" i="2399"/>
  <c r="L11" i="2399" s="1"/>
  <c r="M11" i="2399" s="1"/>
  <c r="I11" i="2399"/>
  <c r="H11" i="2399"/>
  <c r="K9" i="2399"/>
  <c r="L9" i="2399" s="1"/>
  <c r="M9" i="2399" s="1"/>
  <c r="I9" i="2399"/>
  <c r="H9" i="2399" s="1"/>
  <c r="K7" i="2399"/>
  <c r="L7" i="2399" s="1"/>
  <c r="M7" i="2399" s="1"/>
  <c r="I7" i="2399"/>
  <c r="H7" i="2399" s="1"/>
  <c r="K5" i="2399"/>
  <c r="L5" i="2399" s="1"/>
  <c r="M5" i="2399" s="1"/>
  <c r="I5" i="2399"/>
  <c r="H5" i="2399" s="1"/>
  <c r="K3" i="2399"/>
  <c r="L3" i="2399" s="1"/>
  <c r="M3" i="2399" s="1"/>
  <c r="I3" i="2399"/>
  <c r="H3" i="2399"/>
  <c r="I3" i="2398"/>
  <c r="H3" i="2398" s="1"/>
  <c r="K3" i="2398"/>
  <c r="L3" i="2398"/>
  <c r="M3" i="2398"/>
  <c r="I5" i="2398"/>
  <c r="H5" i="2398" s="1"/>
  <c r="K5" i="2398"/>
  <c r="L5" i="2398"/>
  <c r="M5" i="2398"/>
  <c r="I7" i="2398"/>
  <c r="H7" i="2398" s="1"/>
  <c r="K7" i="2398"/>
  <c r="L7" i="2398"/>
  <c r="M7" i="2398"/>
  <c r="H9" i="2398"/>
  <c r="Q11" i="2398" s="1"/>
  <c r="Q12" i="2398" s="1"/>
  <c r="I9" i="2398"/>
  <c r="K9" i="2398"/>
  <c r="L9" i="2398"/>
  <c r="M9" i="2398"/>
  <c r="I11" i="2398"/>
  <c r="H11" i="2398" s="1"/>
  <c r="K11" i="2398"/>
  <c r="L11" i="2398"/>
  <c r="M11" i="2398"/>
  <c r="I13" i="2398"/>
  <c r="H13" i="2398" s="1"/>
  <c r="K13" i="2398"/>
  <c r="L13" i="2398"/>
  <c r="M13" i="2398"/>
  <c r="I15" i="2398"/>
  <c r="H15" i="2398" s="1"/>
  <c r="K15" i="2398"/>
  <c r="L15" i="2398"/>
  <c r="M15" i="2398"/>
  <c r="I17" i="2398"/>
  <c r="H17" i="2398" s="1"/>
  <c r="K17" i="2398"/>
  <c r="L17" i="2398"/>
  <c r="M17" i="2398"/>
  <c r="I19" i="2398"/>
  <c r="H19" i="2398" s="1"/>
  <c r="K19" i="2398"/>
  <c r="L19" i="2398"/>
  <c r="M19" i="2398" s="1"/>
  <c r="I21" i="2398"/>
  <c r="H21" i="2398" s="1"/>
  <c r="K21" i="2398"/>
  <c r="L21" i="2398"/>
  <c r="M21" i="2398"/>
  <c r="I25" i="2398"/>
  <c r="H25" i="2398" s="1"/>
  <c r="Q14" i="2398" s="1"/>
  <c r="Q15" i="2398" s="1"/>
  <c r="K25" i="2398"/>
  <c r="L25" i="2398"/>
  <c r="M25" i="2398"/>
  <c r="I27" i="2398"/>
  <c r="H27" i="2398" s="1"/>
  <c r="K27" i="2398"/>
  <c r="L27" i="2398"/>
  <c r="M27" i="2398"/>
  <c r="I29" i="2398"/>
  <c r="H29" i="2398" s="1"/>
  <c r="K29" i="2398"/>
  <c r="L29" i="2398"/>
  <c r="M29" i="2398"/>
  <c r="I3" i="2397"/>
  <c r="H3" i="2397" s="1"/>
  <c r="K3" i="2397"/>
  <c r="L3" i="2397" s="1"/>
  <c r="M3" i="2397" s="1"/>
  <c r="I5" i="2397"/>
  <c r="H5" i="2397" s="1"/>
  <c r="K5" i="2397"/>
  <c r="L5" i="2397"/>
  <c r="M5" i="2397" s="1"/>
  <c r="I7" i="2397"/>
  <c r="H7" i="2397" s="1"/>
  <c r="K7" i="2397"/>
  <c r="L7" i="2397"/>
  <c r="M7" i="2397"/>
  <c r="I9" i="2397"/>
  <c r="H9" i="2397" s="1"/>
  <c r="K9" i="2397"/>
  <c r="L9" i="2397"/>
  <c r="M9" i="2397" s="1"/>
  <c r="I11" i="2397"/>
  <c r="H11" i="2397" s="1"/>
  <c r="K11" i="2397"/>
  <c r="L11" i="2397"/>
  <c r="M11" i="2397" s="1"/>
  <c r="I13" i="2397"/>
  <c r="H13" i="2397" s="1"/>
  <c r="K13" i="2397"/>
  <c r="L13" i="2397" s="1"/>
  <c r="M13" i="2397" s="1"/>
  <c r="I15" i="2397"/>
  <c r="H15" i="2397" s="1"/>
  <c r="K15" i="2397"/>
  <c r="L15" i="2397" s="1"/>
  <c r="M15" i="2397" s="1"/>
  <c r="I17" i="2397"/>
  <c r="H17" i="2397" s="1"/>
  <c r="K17" i="2397"/>
  <c r="L17" i="2397"/>
  <c r="M17" i="2397" s="1"/>
  <c r="I19" i="2397"/>
  <c r="H19" i="2397" s="1"/>
  <c r="K19" i="2397"/>
  <c r="L19" i="2397"/>
  <c r="M19" i="2397"/>
  <c r="I23" i="2397"/>
  <c r="H23" i="2397" s="1"/>
  <c r="K23" i="2397"/>
  <c r="L23" i="2397" s="1"/>
  <c r="M23" i="2397" s="1"/>
  <c r="I25" i="2397"/>
  <c r="H25" i="2397" s="1"/>
  <c r="K25" i="2397"/>
  <c r="L25" i="2397"/>
  <c r="I27" i="2397"/>
  <c r="H27" i="2397" s="1"/>
  <c r="K27" i="2397"/>
  <c r="L27" i="2397"/>
  <c r="I29" i="2397"/>
  <c r="H29" i="2397" s="1"/>
  <c r="K29" i="2397"/>
  <c r="L29" i="2397"/>
  <c r="I31" i="2397"/>
  <c r="H31" i="2397" s="1"/>
  <c r="K31" i="2397"/>
  <c r="L31" i="2397"/>
  <c r="I33" i="2397"/>
  <c r="H33" i="2397" s="1"/>
  <c r="K33" i="2397"/>
  <c r="L33" i="2397" s="1"/>
  <c r="M33" i="2397" s="1"/>
  <c r="I3" i="2396"/>
  <c r="H3" i="2396" s="1"/>
  <c r="K3" i="2396"/>
  <c r="L3" i="2396"/>
  <c r="M3" i="2396"/>
  <c r="I5" i="2396"/>
  <c r="H5" i="2396" s="1"/>
  <c r="K5" i="2396"/>
  <c r="L5" i="2396"/>
  <c r="M5" i="2396"/>
  <c r="I7" i="2396"/>
  <c r="H7" i="2396" s="1"/>
  <c r="K7" i="2396"/>
  <c r="L7" i="2396"/>
  <c r="M7" i="2396"/>
  <c r="I9" i="2396"/>
  <c r="H9" i="2396" s="1"/>
  <c r="Q11" i="2396" s="1"/>
  <c r="Q12" i="2396" s="1"/>
  <c r="K9" i="2396"/>
  <c r="L9" i="2396"/>
  <c r="M9" i="2396"/>
  <c r="N9" i="2396"/>
  <c r="I11" i="2396"/>
  <c r="H11" i="2396" s="1"/>
  <c r="K11" i="2396"/>
  <c r="L11" i="2396"/>
  <c r="M11" i="2396"/>
  <c r="I13" i="2396"/>
  <c r="H13" i="2396" s="1"/>
  <c r="K13" i="2396"/>
  <c r="L13" i="2396"/>
  <c r="M13" i="2396"/>
  <c r="I15" i="2396"/>
  <c r="H15" i="2396" s="1"/>
  <c r="K15" i="2396"/>
  <c r="L15" i="2396"/>
  <c r="M15" i="2396"/>
  <c r="I17" i="2396"/>
  <c r="H17" i="2396" s="1"/>
  <c r="K17" i="2396"/>
  <c r="L17" i="2396"/>
  <c r="M17" i="2396"/>
  <c r="I19" i="2396"/>
  <c r="H19" i="2396" s="1"/>
  <c r="K19" i="2396"/>
  <c r="L19" i="2396"/>
  <c r="M19" i="2396"/>
  <c r="I21" i="2396"/>
  <c r="H21" i="2396" s="1"/>
  <c r="K21" i="2396"/>
  <c r="L21" i="2396"/>
  <c r="M21" i="2396"/>
  <c r="I23" i="2396"/>
  <c r="H23" i="2396" s="1"/>
  <c r="K23" i="2396"/>
  <c r="L23" i="2396"/>
  <c r="M23" i="2396"/>
  <c r="I25" i="2396"/>
  <c r="H25" i="2396" s="1"/>
  <c r="Q14" i="2396" s="1"/>
  <c r="Q15" i="2396" s="1"/>
  <c r="K25" i="2396"/>
  <c r="L25" i="2396"/>
  <c r="M25" i="2396"/>
  <c r="I27" i="2396"/>
  <c r="H27" i="2396" s="1"/>
  <c r="K27" i="2396"/>
  <c r="L27" i="2396"/>
  <c r="M27" i="2396"/>
  <c r="H29" i="2396"/>
  <c r="I29" i="2396"/>
  <c r="K29" i="2396"/>
  <c r="L29" i="2396"/>
  <c r="M29" i="2396"/>
  <c r="I3" i="2395"/>
  <c r="H3" i="2395" s="1"/>
  <c r="K3" i="2395"/>
  <c r="L3" i="2395"/>
  <c r="M3" i="2395"/>
  <c r="I5" i="2395"/>
  <c r="H5" i="2395" s="1"/>
  <c r="K5" i="2395"/>
  <c r="L5" i="2395"/>
  <c r="M5" i="2395"/>
  <c r="I9" i="2395"/>
  <c r="H9" i="2395" s="1"/>
  <c r="K9" i="2395"/>
  <c r="L9" i="2395"/>
  <c r="M9" i="2395"/>
  <c r="I11" i="2395"/>
  <c r="H11" i="2395" s="1"/>
  <c r="K11" i="2395"/>
  <c r="L11" i="2395"/>
  <c r="M11" i="2395"/>
  <c r="I13" i="2395"/>
  <c r="H13" i="2395" s="1"/>
  <c r="K13" i="2395"/>
  <c r="L13" i="2395"/>
  <c r="M13" i="2395"/>
  <c r="I15" i="2395"/>
  <c r="H15" i="2395" s="1"/>
  <c r="K15" i="2395"/>
  <c r="L15" i="2395" s="1"/>
  <c r="M15" i="2395" s="1"/>
  <c r="I17" i="2395"/>
  <c r="H17" i="2395" s="1"/>
  <c r="K17" i="2395"/>
  <c r="L17" i="2395"/>
  <c r="M17" i="2395"/>
  <c r="I31" i="2395"/>
  <c r="H31" i="2395" s="1"/>
  <c r="K31" i="2395"/>
  <c r="L31" i="2395"/>
  <c r="M31" i="2395"/>
  <c r="I33" i="2395"/>
  <c r="H33" i="2395" s="1"/>
  <c r="K33" i="2395"/>
  <c r="L33" i="2395"/>
  <c r="M33" i="2395" s="1"/>
  <c r="I35" i="2395"/>
  <c r="H35" i="2395" s="1"/>
  <c r="K35" i="2395"/>
  <c r="L35" i="2395"/>
  <c r="M35" i="2395"/>
  <c r="I3" i="2394"/>
  <c r="H3" i="2394" s="1"/>
  <c r="K3" i="2394"/>
  <c r="L3" i="2394"/>
  <c r="I5" i="2394"/>
  <c r="H5" i="2394" s="1"/>
  <c r="K5" i="2394"/>
  <c r="L5" i="2394"/>
  <c r="I7" i="2394"/>
  <c r="H7" i="2394" s="1"/>
  <c r="K7" i="2394"/>
  <c r="L7" i="2394"/>
  <c r="I9" i="2394"/>
  <c r="H9" i="2394" s="1"/>
  <c r="K9" i="2394"/>
  <c r="L9" i="2394"/>
  <c r="I11" i="2394"/>
  <c r="H11" i="2394" s="1"/>
  <c r="K11" i="2394"/>
  <c r="L11" i="2394"/>
  <c r="I13" i="2394"/>
  <c r="H13" i="2394" s="1"/>
  <c r="K13" i="2394"/>
  <c r="L13" i="2394"/>
  <c r="I15" i="2394"/>
  <c r="H15" i="2394" s="1"/>
  <c r="K15" i="2394"/>
  <c r="L15" i="2394"/>
  <c r="I17" i="2394"/>
  <c r="H17" i="2394" s="1"/>
  <c r="K17" i="2394"/>
  <c r="L17" i="2394"/>
  <c r="I19" i="2394"/>
  <c r="H19" i="2394" s="1"/>
  <c r="K19" i="2394"/>
  <c r="L19" i="2394"/>
  <c r="I21" i="2394"/>
  <c r="H21" i="2394" s="1"/>
  <c r="K21" i="2394"/>
  <c r="L21" i="2394"/>
  <c r="I23" i="2394"/>
  <c r="H23" i="2394" s="1"/>
  <c r="K23" i="2394"/>
  <c r="L23" i="2394"/>
  <c r="I25" i="2394"/>
  <c r="H25" i="2394" s="1"/>
  <c r="K25" i="2394"/>
  <c r="L25" i="2394"/>
  <c r="I27" i="2394"/>
  <c r="H27" i="2394" s="1"/>
  <c r="K27" i="2394"/>
  <c r="L27" i="2394"/>
  <c r="I29" i="2394"/>
  <c r="H29" i="2394" s="1"/>
  <c r="K29" i="2394"/>
  <c r="L29" i="2394"/>
  <c r="K29" i="2393"/>
  <c r="L29" i="2393" s="1"/>
  <c r="M29" i="2393" s="1"/>
  <c r="I29" i="2393"/>
  <c r="H29" i="2393"/>
  <c r="K27" i="2393"/>
  <c r="L27" i="2393" s="1"/>
  <c r="M27" i="2393" s="1"/>
  <c r="I27" i="2393"/>
  <c r="H27" i="2393"/>
  <c r="K25" i="2393"/>
  <c r="L25" i="2393" s="1"/>
  <c r="M25" i="2393" s="1"/>
  <c r="I25" i="2393"/>
  <c r="H25" i="2393" s="1"/>
  <c r="K19" i="2393"/>
  <c r="L19" i="2393" s="1"/>
  <c r="M19" i="2393" s="1"/>
  <c r="I19" i="2393"/>
  <c r="H19" i="2393" s="1"/>
  <c r="K17" i="2393"/>
  <c r="L17" i="2393" s="1"/>
  <c r="M17" i="2393" s="1"/>
  <c r="I17" i="2393"/>
  <c r="H17" i="2393"/>
  <c r="K15" i="2393"/>
  <c r="L15" i="2393" s="1"/>
  <c r="M15" i="2393" s="1"/>
  <c r="I15" i="2393"/>
  <c r="H15" i="2393" s="1"/>
  <c r="K13" i="2393"/>
  <c r="L13" i="2393" s="1"/>
  <c r="M13" i="2393" s="1"/>
  <c r="I13" i="2393"/>
  <c r="H13" i="2393" s="1"/>
  <c r="K11" i="2393"/>
  <c r="L11" i="2393" s="1"/>
  <c r="M11" i="2393" s="1"/>
  <c r="I11" i="2393"/>
  <c r="H11" i="2393" s="1"/>
  <c r="K9" i="2393"/>
  <c r="L9" i="2393" s="1"/>
  <c r="M9" i="2393" s="1"/>
  <c r="I9" i="2393"/>
  <c r="H9" i="2393"/>
  <c r="K7" i="2393"/>
  <c r="L7" i="2393" s="1"/>
  <c r="M7" i="2393" s="1"/>
  <c r="I7" i="2393"/>
  <c r="H7" i="2393"/>
  <c r="K5" i="2393"/>
  <c r="L5" i="2393" s="1"/>
  <c r="M5" i="2393" s="1"/>
  <c r="I5" i="2393"/>
  <c r="H5" i="2393"/>
  <c r="K3" i="2393"/>
  <c r="L3" i="2393" s="1"/>
  <c r="M3" i="2393" s="1"/>
  <c r="I3" i="2393"/>
  <c r="H3" i="2393" s="1"/>
  <c r="K35" i="2392"/>
  <c r="L35" i="2392" s="1"/>
  <c r="M35" i="2392" s="1"/>
  <c r="I35" i="2392"/>
  <c r="H35" i="2392"/>
  <c r="K33" i="2392"/>
  <c r="L33" i="2392" s="1"/>
  <c r="M33" i="2392" s="1"/>
  <c r="I33" i="2392"/>
  <c r="H33" i="2392"/>
  <c r="K31" i="2392"/>
  <c r="L31" i="2392" s="1"/>
  <c r="M31" i="2392" s="1"/>
  <c r="I31" i="2392"/>
  <c r="H31" i="2392"/>
  <c r="K29" i="2392"/>
  <c r="L29" i="2392" s="1"/>
  <c r="M29" i="2392" s="1"/>
  <c r="I29" i="2392"/>
  <c r="H29" i="2392"/>
  <c r="K27" i="2392"/>
  <c r="L27" i="2392" s="1"/>
  <c r="M27" i="2392" s="1"/>
  <c r="I27" i="2392"/>
  <c r="H27" i="2392" s="1"/>
  <c r="K25" i="2392"/>
  <c r="L25" i="2392" s="1"/>
  <c r="M25" i="2392" s="1"/>
  <c r="I25" i="2392"/>
  <c r="H25" i="2392"/>
  <c r="L21" i="2392"/>
  <c r="M21" i="2392" s="1"/>
  <c r="K21" i="2392"/>
  <c r="I21" i="2392"/>
  <c r="H21" i="2392"/>
  <c r="K19" i="2392"/>
  <c r="L19" i="2392" s="1"/>
  <c r="M19" i="2392" s="1"/>
  <c r="I19" i="2392"/>
  <c r="H19" i="2392"/>
  <c r="K17" i="2392"/>
  <c r="L17" i="2392" s="1"/>
  <c r="M17" i="2392" s="1"/>
  <c r="I17" i="2392"/>
  <c r="H17" i="2392"/>
  <c r="K15" i="2392"/>
  <c r="L15" i="2392" s="1"/>
  <c r="M15" i="2392" s="1"/>
  <c r="I15" i="2392"/>
  <c r="H15" i="2392" s="1"/>
  <c r="K13" i="2392"/>
  <c r="L13" i="2392" s="1"/>
  <c r="M13" i="2392" s="1"/>
  <c r="I13" i="2392"/>
  <c r="H13" i="2392"/>
  <c r="K11" i="2392"/>
  <c r="L11" i="2392" s="1"/>
  <c r="M11" i="2392" s="1"/>
  <c r="I11" i="2392"/>
  <c r="H11" i="2392"/>
  <c r="K3" i="2392"/>
  <c r="L3" i="2392" s="1"/>
  <c r="M3" i="2392" s="1"/>
  <c r="I3" i="2392"/>
  <c r="H3" i="2392" s="1"/>
  <c r="K35" i="2391"/>
  <c r="L35" i="2391" s="1"/>
  <c r="M35" i="2391" s="1"/>
  <c r="I35" i="2391"/>
  <c r="H35" i="2391"/>
  <c r="K33" i="2391"/>
  <c r="L33" i="2391" s="1"/>
  <c r="M33" i="2391" s="1"/>
  <c r="I33" i="2391"/>
  <c r="H33" i="2391"/>
  <c r="K31" i="2391"/>
  <c r="L31" i="2391" s="1"/>
  <c r="M31" i="2391" s="1"/>
  <c r="I31" i="2391"/>
  <c r="H31" i="2391"/>
  <c r="K29" i="2391"/>
  <c r="L29" i="2391" s="1"/>
  <c r="M29" i="2391" s="1"/>
  <c r="I29" i="2391"/>
  <c r="H29" i="2391"/>
  <c r="K27" i="2391"/>
  <c r="L27" i="2391" s="1"/>
  <c r="M27" i="2391" s="1"/>
  <c r="I27" i="2391"/>
  <c r="H27" i="2391"/>
  <c r="K25" i="2391"/>
  <c r="L25" i="2391" s="1"/>
  <c r="M25" i="2391" s="1"/>
  <c r="I25" i="2391"/>
  <c r="H25" i="2391"/>
  <c r="L19" i="2391"/>
  <c r="M19" i="2391" s="1"/>
  <c r="K19" i="2391"/>
  <c r="I19" i="2391"/>
  <c r="H19" i="2391"/>
  <c r="K17" i="2391"/>
  <c r="L17" i="2391" s="1"/>
  <c r="I17" i="2391"/>
  <c r="H17" i="2391"/>
  <c r="K15" i="2391"/>
  <c r="L15" i="2391" s="1"/>
  <c r="M15" i="2391" s="1"/>
  <c r="I15" i="2391"/>
  <c r="H15" i="2391"/>
  <c r="K13" i="2391"/>
  <c r="L13" i="2391" s="1"/>
  <c r="M13" i="2391" s="1"/>
  <c r="I13" i="2391"/>
  <c r="H13" i="2391" s="1"/>
  <c r="K11" i="2391"/>
  <c r="L11" i="2391" s="1"/>
  <c r="M11" i="2391" s="1"/>
  <c r="I11" i="2391"/>
  <c r="H11" i="2391"/>
  <c r="K3" i="2391"/>
  <c r="L3" i="2391" s="1"/>
  <c r="M3" i="2391" s="1"/>
  <c r="I3" i="2391"/>
  <c r="H3" i="2391" s="1"/>
  <c r="K41" i="2390"/>
  <c r="L41" i="2390" s="1"/>
  <c r="I41" i="2390"/>
  <c r="H41" i="2390"/>
  <c r="Q40" i="2390"/>
  <c r="K39" i="2390"/>
  <c r="L39" i="2390" s="1"/>
  <c r="M39" i="2390" s="1"/>
  <c r="I39" i="2390"/>
  <c r="H39" i="2390"/>
  <c r="K37" i="2390"/>
  <c r="L37" i="2390" s="1"/>
  <c r="M37" i="2390" s="1"/>
  <c r="I37" i="2390"/>
  <c r="H37" i="2390"/>
  <c r="K35" i="2390"/>
  <c r="L35" i="2390" s="1"/>
  <c r="M35" i="2390" s="1"/>
  <c r="I35" i="2390"/>
  <c r="H35" i="2390"/>
  <c r="K33" i="2390"/>
  <c r="L33" i="2390" s="1"/>
  <c r="M33" i="2390" s="1"/>
  <c r="I33" i="2390"/>
  <c r="H33" i="2390"/>
  <c r="K31" i="2390"/>
  <c r="L31" i="2390" s="1"/>
  <c r="M31" i="2390" s="1"/>
  <c r="I31" i="2390"/>
  <c r="H31" i="2390"/>
  <c r="K29" i="2390"/>
  <c r="L29" i="2390" s="1"/>
  <c r="M29" i="2390" s="1"/>
  <c r="I29" i="2390"/>
  <c r="H29" i="2390"/>
  <c r="K27" i="2390"/>
  <c r="L27" i="2390" s="1"/>
  <c r="M27" i="2390" s="1"/>
  <c r="I27" i="2390"/>
  <c r="H27" i="2390"/>
  <c r="K25" i="2390"/>
  <c r="L25" i="2390" s="1"/>
  <c r="M25" i="2390" s="1"/>
  <c r="I25" i="2390"/>
  <c r="H25" i="2390"/>
  <c r="K23" i="2390"/>
  <c r="L23" i="2390" s="1"/>
  <c r="M23" i="2390" s="1"/>
  <c r="I23" i="2390"/>
  <c r="H23" i="2390"/>
  <c r="K21" i="2390"/>
  <c r="L21" i="2390" s="1"/>
  <c r="M21" i="2390" s="1"/>
  <c r="I21" i="2390"/>
  <c r="H21" i="2390"/>
  <c r="K15" i="2390"/>
  <c r="L15" i="2390" s="1"/>
  <c r="M15" i="2390" s="1"/>
  <c r="I15" i="2390"/>
  <c r="H15" i="2390"/>
  <c r="K13" i="2390"/>
  <c r="L13" i="2390" s="1"/>
  <c r="M13" i="2390" s="1"/>
  <c r="I13" i="2390"/>
  <c r="H13" i="2390"/>
  <c r="K11" i="2390"/>
  <c r="L11" i="2390" s="1"/>
  <c r="M11" i="2390" s="1"/>
  <c r="I11" i="2390"/>
  <c r="H11" i="2390"/>
  <c r="K3" i="2390"/>
  <c r="L3" i="2390" s="1"/>
  <c r="M3" i="2390" s="1"/>
  <c r="I3" i="2390"/>
  <c r="H3" i="2390"/>
  <c r="L43" i="2389"/>
  <c r="M43" i="2389" s="1"/>
  <c r="J43" i="2389"/>
  <c r="I43" i="2389" s="1"/>
  <c r="H43" i="2389" s="1"/>
  <c r="M41" i="2389"/>
  <c r="L41" i="2389"/>
  <c r="J41" i="2389"/>
  <c r="I41" i="2389"/>
  <c r="H41" i="2389" s="1"/>
  <c r="L39" i="2389"/>
  <c r="M39" i="2389" s="1"/>
  <c r="J39" i="2389"/>
  <c r="I39" i="2389"/>
  <c r="H39" i="2389" s="1"/>
  <c r="L37" i="2389"/>
  <c r="M37" i="2389" s="1"/>
  <c r="J37" i="2389"/>
  <c r="I37" i="2389"/>
  <c r="H37" i="2389" s="1"/>
  <c r="L35" i="2389"/>
  <c r="M35" i="2389" s="1"/>
  <c r="J35" i="2389"/>
  <c r="I35" i="2389"/>
  <c r="H35" i="2389" s="1"/>
  <c r="L33" i="2389"/>
  <c r="M33" i="2389" s="1"/>
  <c r="J33" i="2389"/>
  <c r="I33" i="2389" s="1"/>
  <c r="H33" i="2389" s="1"/>
  <c r="L31" i="2389"/>
  <c r="M31" i="2389" s="1"/>
  <c r="J31" i="2389"/>
  <c r="I31" i="2389" s="1"/>
  <c r="H31" i="2389" s="1"/>
  <c r="L29" i="2389"/>
  <c r="M29" i="2389" s="1"/>
  <c r="J29" i="2389"/>
  <c r="I29" i="2389" s="1"/>
  <c r="H29" i="2389" s="1"/>
  <c r="L27" i="2389"/>
  <c r="M27" i="2389" s="1"/>
  <c r="J27" i="2389"/>
  <c r="I27" i="2389"/>
  <c r="H27" i="2389" s="1"/>
  <c r="L25" i="2389"/>
  <c r="M25" i="2389" s="1"/>
  <c r="J25" i="2389"/>
  <c r="I25" i="2389" s="1"/>
  <c r="H25" i="2389" s="1"/>
  <c r="L23" i="2389"/>
  <c r="M23" i="2389" s="1"/>
  <c r="J23" i="2389"/>
  <c r="I23" i="2389" s="1"/>
  <c r="H23" i="2389" s="1"/>
  <c r="L21" i="2389"/>
  <c r="M21" i="2389" s="1"/>
  <c r="J21" i="2389"/>
  <c r="I21" i="2389" s="1"/>
  <c r="H21" i="2389" s="1"/>
  <c r="L15" i="2389"/>
  <c r="M15" i="2389" s="1"/>
  <c r="J15" i="2389"/>
  <c r="I15" i="2389" s="1"/>
  <c r="H15" i="2389" s="1"/>
  <c r="L11" i="2389"/>
  <c r="M11" i="2389" s="1"/>
  <c r="J11" i="2389"/>
  <c r="I11" i="2389" s="1"/>
  <c r="H11" i="2389" s="1"/>
  <c r="L3" i="2389"/>
  <c r="M3" i="2389" s="1"/>
  <c r="J3" i="2389"/>
  <c r="I3" i="2389"/>
  <c r="H3" i="2389" s="1"/>
  <c r="K45" i="2388"/>
  <c r="L45" i="2388" s="1"/>
  <c r="M45" i="2388" s="1"/>
  <c r="N45" i="2388" s="1"/>
  <c r="I45" i="2388"/>
  <c r="H45" i="2388"/>
  <c r="K43" i="2388"/>
  <c r="L43" i="2388" s="1"/>
  <c r="M43" i="2388" s="1"/>
  <c r="N43" i="2388" s="1"/>
  <c r="I43" i="2388"/>
  <c r="H43" i="2388"/>
  <c r="K41" i="2388"/>
  <c r="L41" i="2388" s="1"/>
  <c r="M41" i="2388" s="1"/>
  <c r="N41" i="2388" s="1"/>
  <c r="I41" i="2388"/>
  <c r="H41" i="2388" s="1"/>
  <c r="K39" i="2388"/>
  <c r="L39" i="2388" s="1"/>
  <c r="M39" i="2388" s="1"/>
  <c r="N39" i="2388" s="1"/>
  <c r="I39" i="2388"/>
  <c r="H39" i="2388"/>
  <c r="K37" i="2388"/>
  <c r="L37" i="2388" s="1"/>
  <c r="M37" i="2388" s="1"/>
  <c r="N37" i="2388" s="1"/>
  <c r="I37" i="2388"/>
  <c r="H37" i="2388"/>
  <c r="M35" i="2388"/>
  <c r="N35" i="2388" s="1"/>
  <c r="L35" i="2388"/>
  <c r="K35" i="2388"/>
  <c r="I35" i="2388"/>
  <c r="H35" i="2388"/>
  <c r="K33" i="2388"/>
  <c r="L33" i="2388" s="1"/>
  <c r="M33" i="2388" s="1"/>
  <c r="N33" i="2388" s="1"/>
  <c r="I33" i="2388"/>
  <c r="H33" i="2388"/>
  <c r="K31" i="2388"/>
  <c r="L31" i="2388" s="1"/>
  <c r="M31" i="2388" s="1"/>
  <c r="N31" i="2388" s="1"/>
  <c r="I31" i="2388"/>
  <c r="H31" i="2388"/>
  <c r="K29" i="2388"/>
  <c r="L29" i="2388" s="1"/>
  <c r="M29" i="2388" s="1"/>
  <c r="N29" i="2388" s="1"/>
  <c r="I29" i="2388"/>
  <c r="H29" i="2388"/>
  <c r="K27" i="2388"/>
  <c r="L27" i="2388" s="1"/>
  <c r="M27" i="2388" s="1"/>
  <c r="N27" i="2388" s="1"/>
  <c r="I27" i="2388"/>
  <c r="H27" i="2388"/>
  <c r="K25" i="2388"/>
  <c r="L25" i="2388" s="1"/>
  <c r="M25" i="2388" s="1"/>
  <c r="N25" i="2388" s="1"/>
  <c r="I25" i="2388"/>
  <c r="H25" i="2388" s="1"/>
  <c r="K23" i="2388"/>
  <c r="L23" i="2388" s="1"/>
  <c r="M23" i="2388" s="1"/>
  <c r="N23" i="2388" s="1"/>
  <c r="I23" i="2388"/>
  <c r="H23" i="2388"/>
  <c r="K21" i="2388"/>
  <c r="L21" i="2388" s="1"/>
  <c r="M21" i="2388" s="1"/>
  <c r="N21" i="2388" s="1"/>
  <c r="I21" i="2388"/>
  <c r="H21" i="2388"/>
  <c r="K15" i="2388"/>
  <c r="L15" i="2388" s="1"/>
  <c r="M15" i="2388" s="1"/>
  <c r="N15" i="2388" s="1"/>
  <c r="I15" i="2388"/>
  <c r="H15" i="2388"/>
  <c r="K13" i="2388"/>
  <c r="L13" i="2388" s="1"/>
  <c r="M13" i="2388" s="1"/>
  <c r="N13" i="2388" s="1"/>
  <c r="I13" i="2388"/>
  <c r="H13" i="2388"/>
  <c r="K11" i="2388"/>
  <c r="L11" i="2388" s="1"/>
  <c r="M11" i="2388" s="1"/>
  <c r="N11" i="2388" s="1"/>
  <c r="I11" i="2388"/>
  <c r="H11" i="2388" s="1"/>
  <c r="K3" i="2388"/>
  <c r="L3" i="2388" s="1"/>
  <c r="M3" i="2388" s="1"/>
  <c r="N3" i="2388" s="1"/>
  <c r="I3" i="2388"/>
  <c r="H3" i="2388"/>
  <c r="L49" i="2387"/>
  <c r="M49" i="2387" s="1"/>
  <c r="K49" i="2387"/>
  <c r="I49" i="2387"/>
  <c r="H49" i="2387"/>
  <c r="K47" i="2387"/>
  <c r="L47" i="2387" s="1"/>
  <c r="M47" i="2387" s="1"/>
  <c r="I47" i="2387"/>
  <c r="H47" i="2387"/>
  <c r="K45" i="2387"/>
  <c r="L45" i="2387" s="1"/>
  <c r="I45" i="2387"/>
  <c r="H45" i="2387"/>
  <c r="K43" i="2387"/>
  <c r="L43" i="2387" s="1"/>
  <c r="M43" i="2387" s="1"/>
  <c r="I43" i="2387"/>
  <c r="H43" i="2387"/>
  <c r="K41" i="2387"/>
  <c r="L41" i="2387" s="1"/>
  <c r="M41" i="2387" s="1"/>
  <c r="I41" i="2387"/>
  <c r="H41" i="2387"/>
  <c r="K39" i="2387"/>
  <c r="L39" i="2387" s="1"/>
  <c r="M39" i="2387" s="1"/>
  <c r="I39" i="2387"/>
  <c r="H39" i="2387"/>
  <c r="K37" i="2387"/>
  <c r="L37" i="2387" s="1"/>
  <c r="M37" i="2387" s="1"/>
  <c r="I37" i="2387"/>
  <c r="H37" i="2387"/>
  <c r="K35" i="2387"/>
  <c r="L35" i="2387" s="1"/>
  <c r="M35" i="2387" s="1"/>
  <c r="I35" i="2387"/>
  <c r="H35" i="2387"/>
  <c r="K33" i="2387"/>
  <c r="L33" i="2387" s="1"/>
  <c r="M33" i="2387" s="1"/>
  <c r="I33" i="2387"/>
  <c r="H33" i="2387"/>
  <c r="K31" i="2387"/>
  <c r="L31" i="2387" s="1"/>
  <c r="M31" i="2387" s="1"/>
  <c r="I31" i="2387"/>
  <c r="H31" i="2387" s="1"/>
  <c r="K29" i="2387"/>
  <c r="L29" i="2387" s="1"/>
  <c r="M29" i="2387" s="1"/>
  <c r="I29" i="2387"/>
  <c r="H29" i="2387"/>
  <c r="K27" i="2387"/>
  <c r="L27" i="2387" s="1"/>
  <c r="M27" i="2387" s="1"/>
  <c r="I27" i="2387"/>
  <c r="H27" i="2387"/>
  <c r="K25" i="2387"/>
  <c r="L25" i="2387" s="1"/>
  <c r="M25" i="2387" s="1"/>
  <c r="I25" i="2387"/>
  <c r="H25" i="2387" s="1"/>
  <c r="K23" i="2387"/>
  <c r="L23" i="2387" s="1"/>
  <c r="M23" i="2387" s="1"/>
  <c r="I23" i="2387"/>
  <c r="H23" i="2387"/>
  <c r="L21" i="2387"/>
  <c r="M21" i="2387" s="1"/>
  <c r="K21" i="2387"/>
  <c r="I21" i="2387"/>
  <c r="H21" i="2387" s="1"/>
  <c r="K15" i="2387"/>
  <c r="L15" i="2387" s="1"/>
  <c r="M15" i="2387" s="1"/>
  <c r="I15" i="2387"/>
  <c r="H15" i="2387"/>
  <c r="K13" i="2387"/>
  <c r="L13" i="2387" s="1"/>
  <c r="M13" i="2387" s="1"/>
  <c r="I13" i="2387"/>
  <c r="H13" i="2387"/>
  <c r="K11" i="2387"/>
  <c r="L11" i="2387" s="1"/>
  <c r="M11" i="2387" s="1"/>
  <c r="I11" i="2387"/>
  <c r="H11" i="2387"/>
  <c r="K3" i="2387"/>
  <c r="L3" i="2387" s="1"/>
  <c r="M3" i="2387" s="1"/>
  <c r="I3" i="2387"/>
  <c r="H3" i="2387"/>
  <c r="K43" i="2386"/>
  <c r="L43" i="2386" s="1"/>
  <c r="M43" i="2386" s="1"/>
  <c r="I43" i="2386"/>
  <c r="H43" i="2386"/>
  <c r="K41" i="2386"/>
  <c r="L41" i="2386" s="1"/>
  <c r="M41" i="2386" s="1"/>
  <c r="I41" i="2386"/>
  <c r="H41" i="2386"/>
  <c r="K39" i="2386"/>
  <c r="L39" i="2386" s="1"/>
  <c r="M39" i="2386" s="1"/>
  <c r="I39" i="2386"/>
  <c r="H39" i="2386"/>
  <c r="K37" i="2386"/>
  <c r="L37" i="2386" s="1"/>
  <c r="M37" i="2386" s="1"/>
  <c r="I37" i="2386"/>
  <c r="H37" i="2386"/>
  <c r="K35" i="2386"/>
  <c r="L35" i="2386" s="1"/>
  <c r="M35" i="2386" s="1"/>
  <c r="I35" i="2386"/>
  <c r="H35" i="2386"/>
  <c r="K33" i="2386"/>
  <c r="L33" i="2386" s="1"/>
  <c r="M33" i="2386" s="1"/>
  <c r="I33" i="2386"/>
  <c r="H33" i="2386"/>
  <c r="L31" i="2386"/>
  <c r="M31" i="2386" s="1"/>
  <c r="K31" i="2386"/>
  <c r="I31" i="2386"/>
  <c r="H31" i="2386"/>
  <c r="K29" i="2386"/>
  <c r="L29" i="2386" s="1"/>
  <c r="M29" i="2386" s="1"/>
  <c r="I29" i="2386"/>
  <c r="H29" i="2386"/>
  <c r="K27" i="2386"/>
  <c r="L27" i="2386" s="1"/>
  <c r="M27" i="2386" s="1"/>
  <c r="I27" i="2386"/>
  <c r="H27" i="2386"/>
  <c r="K25" i="2386"/>
  <c r="L25" i="2386" s="1"/>
  <c r="M25" i="2386" s="1"/>
  <c r="I25" i="2386"/>
  <c r="H25" i="2386"/>
  <c r="K23" i="2386"/>
  <c r="L23" i="2386" s="1"/>
  <c r="M23" i="2386" s="1"/>
  <c r="I23" i="2386"/>
  <c r="H23" i="2386"/>
  <c r="K21" i="2386"/>
  <c r="L21" i="2386" s="1"/>
  <c r="M21" i="2386" s="1"/>
  <c r="I21" i="2386"/>
  <c r="H21" i="2386"/>
  <c r="K15" i="2386"/>
  <c r="L15" i="2386" s="1"/>
  <c r="M15" i="2386" s="1"/>
  <c r="I15" i="2386"/>
  <c r="H15" i="2386" s="1"/>
  <c r="K13" i="2386"/>
  <c r="L13" i="2386" s="1"/>
  <c r="M13" i="2386" s="1"/>
  <c r="I13" i="2386"/>
  <c r="H13" i="2386"/>
  <c r="K11" i="2386"/>
  <c r="L11" i="2386" s="1"/>
  <c r="M11" i="2386" s="1"/>
  <c r="I11" i="2386"/>
  <c r="H11" i="2386"/>
  <c r="K9" i="2386"/>
  <c r="L9" i="2386" s="1"/>
  <c r="M9" i="2386" s="1"/>
  <c r="I9" i="2386"/>
  <c r="K3" i="2386"/>
  <c r="L3" i="2386" s="1"/>
  <c r="M3" i="2386" s="1"/>
  <c r="I3" i="2386"/>
  <c r="H3" i="2386"/>
  <c r="K37" i="2385"/>
  <c r="L37" i="2385" s="1"/>
  <c r="M37" i="2385" s="1"/>
  <c r="N37" i="2385" s="1"/>
  <c r="I37" i="2385"/>
  <c r="H37" i="2385"/>
  <c r="K35" i="2385"/>
  <c r="L35" i="2385" s="1"/>
  <c r="M35" i="2385" s="1"/>
  <c r="N35" i="2385" s="1"/>
  <c r="I35" i="2385"/>
  <c r="H35" i="2385"/>
  <c r="K33" i="2385"/>
  <c r="L33" i="2385" s="1"/>
  <c r="M33" i="2385" s="1"/>
  <c r="N33" i="2385" s="1"/>
  <c r="I33" i="2385"/>
  <c r="H33" i="2385"/>
  <c r="K31" i="2385"/>
  <c r="L31" i="2385" s="1"/>
  <c r="M31" i="2385" s="1"/>
  <c r="N31" i="2385" s="1"/>
  <c r="I31" i="2385"/>
  <c r="H31" i="2385"/>
  <c r="K29" i="2385"/>
  <c r="L29" i="2385" s="1"/>
  <c r="M29" i="2385" s="1"/>
  <c r="N29" i="2385" s="1"/>
  <c r="I29" i="2385"/>
  <c r="H29" i="2385"/>
  <c r="K27" i="2385"/>
  <c r="L27" i="2385" s="1"/>
  <c r="M27" i="2385" s="1"/>
  <c r="N27" i="2385" s="1"/>
  <c r="I27" i="2385"/>
  <c r="H27" i="2385"/>
  <c r="K25" i="2385"/>
  <c r="L25" i="2385" s="1"/>
  <c r="M25" i="2385" s="1"/>
  <c r="N25" i="2385" s="1"/>
  <c r="I25" i="2385"/>
  <c r="H25" i="2385"/>
  <c r="K23" i="2385"/>
  <c r="L23" i="2385" s="1"/>
  <c r="M23" i="2385" s="1"/>
  <c r="N23" i="2385" s="1"/>
  <c r="I23" i="2385"/>
  <c r="H23" i="2385"/>
  <c r="K21" i="2385"/>
  <c r="L21" i="2385" s="1"/>
  <c r="M21" i="2385" s="1"/>
  <c r="N21" i="2385" s="1"/>
  <c r="I21" i="2385"/>
  <c r="H21" i="2385"/>
  <c r="K15" i="2385"/>
  <c r="L15" i="2385" s="1"/>
  <c r="M15" i="2385" s="1"/>
  <c r="N15" i="2385" s="1"/>
  <c r="I15" i="2385"/>
  <c r="H15" i="2385"/>
  <c r="K13" i="2385"/>
  <c r="L13" i="2385" s="1"/>
  <c r="M13" i="2385" s="1"/>
  <c r="N13" i="2385" s="1"/>
  <c r="I13" i="2385"/>
  <c r="H13" i="2385"/>
  <c r="K11" i="2385"/>
  <c r="L11" i="2385" s="1"/>
  <c r="M11" i="2385" s="1"/>
  <c r="N11" i="2385" s="1"/>
  <c r="I11" i="2385"/>
  <c r="H11" i="2385"/>
  <c r="K3" i="2385"/>
  <c r="L3" i="2385" s="1"/>
  <c r="M3" i="2385" s="1"/>
  <c r="N3" i="2385" s="1"/>
  <c r="I3" i="2385"/>
  <c r="H3" i="2385"/>
  <c r="Q27" i="2384"/>
  <c r="L27" i="2384"/>
  <c r="M27" i="2384" s="1"/>
  <c r="N27" i="2384" s="1"/>
  <c r="K27" i="2384"/>
  <c r="I27" i="2384"/>
  <c r="H27" i="2384"/>
  <c r="K25" i="2384"/>
  <c r="L25" i="2384" s="1"/>
  <c r="M25" i="2384" s="1"/>
  <c r="N25" i="2384" s="1"/>
  <c r="I25" i="2384"/>
  <c r="H25" i="2384"/>
  <c r="L23" i="2384"/>
  <c r="M23" i="2384" s="1"/>
  <c r="N23" i="2384" s="1"/>
  <c r="K23" i="2384"/>
  <c r="I23" i="2384"/>
  <c r="H23" i="2384"/>
  <c r="K21" i="2384"/>
  <c r="L21" i="2384" s="1"/>
  <c r="M21" i="2384" s="1"/>
  <c r="N21" i="2384" s="1"/>
  <c r="I21" i="2384"/>
  <c r="H21" i="2384" s="1"/>
  <c r="K19" i="2384"/>
  <c r="L19" i="2384" s="1"/>
  <c r="M19" i="2384" s="1"/>
  <c r="N19" i="2384" s="1"/>
  <c r="I19" i="2384"/>
  <c r="H19" i="2384"/>
  <c r="K17" i="2384"/>
  <c r="L17" i="2384" s="1"/>
  <c r="M17" i="2384" s="1"/>
  <c r="N17" i="2384" s="1"/>
  <c r="I17" i="2384"/>
  <c r="H17" i="2384"/>
  <c r="K15" i="2384"/>
  <c r="L15" i="2384" s="1"/>
  <c r="M15" i="2384" s="1"/>
  <c r="N15" i="2384" s="1"/>
  <c r="I15" i="2384"/>
  <c r="H15" i="2384"/>
  <c r="K13" i="2384"/>
  <c r="L13" i="2384" s="1"/>
  <c r="M13" i="2384" s="1"/>
  <c r="N13" i="2384" s="1"/>
  <c r="I13" i="2384"/>
  <c r="H13" i="2384" s="1"/>
  <c r="K11" i="2384"/>
  <c r="L11" i="2384" s="1"/>
  <c r="M11" i="2384" s="1"/>
  <c r="N11" i="2384" s="1"/>
  <c r="I11" i="2384"/>
  <c r="H11" i="2384"/>
  <c r="K9" i="2384"/>
  <c r="L9" i="2384" s="1"/>
  <c r="M9" i="2384" s="1"/>
  <c r="N9" i="2384" s="1"/>
  <c r="I9" i="2384"/>
  <c r="H9" i="2384"/>
  <c r="L7" i="2384"/>
  <c r="M7" i="2384" s="1"/>
  <c r="N7" i="2384" s="1"/>
  <c r="K7" i="2384"/>
  <c r="I7" i="2384"/>
  <c r="H7" i="2384"/>
  <c r="K3" i="2384"/>
  <c r="L3" i="2384" s="1"/>
  <c r="M3" i="2384" s="1"/>
  <c r="N3" i="2384" s="1"/>
  <c r="I3" i="2384"/>
  <c r="H3" i="2384"/>
  <c r="K41" i="2383"/>
  <c r="L41" i="2383" s="1"/>
  <c r="M41" i="2383" s="1"/>
  <c r="N41" i="2383" s="1"/>
  <c r="I41" i="2383"/>
  <c r="H41" i="2383"/>
  <c r="K39" i="2383"/>
  <c r="L39" i="2383" s="1"/>
  <c r="M39" i="2383" s="1"/>
  <c r="N39" i="2383" s="1"/>
  <c r="I39" i="2383"/>
  <c r="H39" i="2383"/>
  <c r="K37" i="2383"/>
  <c r="L37" i="2383" s="1"/>
  <c r="M37" i="2383" s="1"/>
  <c r="N37" i="2383" s="1"/>
  <c r="I37" i="2383"/>
  <c r="H37" i="2383" s="1"/>
  <c r="K35" i="2383"/>
  <c r="L35" i="2383" s="1"/>
  <c r="M35" i="2383" s="1"/>
  <c r="N35" i="2383" s="1"/>
  <c r="I35" i="2383"/>
  <c r="H35" i="2383"/>
  <c r="K33" i="2383"/>
  <c r="L33" i="2383" s="1"/>
  <c r="M33" i="2383" s="1"/>
  <c r="N33" i="2383" s="1"/>
  <c r="I33" i="2383"/>
  <c r="H33" i="2383"/>
  <c r="M31" i="2383"/>
  <c r="N31" i="2383" s="1"/>
  <c r="L31" i="2383"/>
  <c r="K31" i="2383"/>
  <c r="I31" i="2383"/>
  <c r="H31" i="2383"/>
  <c r="K29" i="2383"/>
  <c r="L29" i="2383" s="1"/>
  <c r="M29" i="2383" s="1"/>
  <c r="N29" i="2383" s="1"/>
  <c r="I29" i="2383"/>
  <c r="H29" i="2383"/>
  <c r="K27" i="2383"/>
  <c r="L27" i="2383" s="1"/>
  <c r="M27" i="2383" s="1"/>
  <c r="N27" i="2383" s="1"/>
  <c r="I27" i="2383"/>
  <c r="H27" i="2383"/>
  <c r="K25" i="2383"/>
  <c r="L25" i="2383" s="1"/>
  <c r="M25" i="2383" s="1"/>
  <c r="N25" i="2383" s="1"/>
  <c r="I25" i="2383"/>
  <c r="H25" i="2383"/>
  <c r="K23" i="2383"/>
  <c r="L23" i="2383" s="1"/>
  <c r="M23" i="2383" s="1"/>
  <c r="N23" i="2383" s="1"/>
  <c r="I23" i="2383"/>
  <c r="H23" i="2383"/>
  <c r="K21" i="2383"/>
  <c r="L21" i="2383" s="1"/>
  <c r="M21" i="2383" s="1"/>
  <c r="N21" i="2383" s="1"/>
  <c r="I21" i="2383"/>
  <c r="H21" i="2383" s="1"/>
  <c r="K15" i="2383"/>
  <c r="L15" i="2383" s="1"/>
  <c r="M15" i="2383" s="1"/>
  <c r="N15" i="2383" s="1"/>
  <c r="I15" i="2383"/>
  <c r="H15" i="2383"/>
  <c r="K13" i="2383"/>
  <c r="L13" i="2383" s="1"/>
  <c r="M13" i="2383" s="1"/>
  <c r="N13" i="2383" s="1"/>
  <c r="I13" i="2383"/>
  <c r="H13" i="2383"/>
  <c r="M11" i="2383"/>
  <c r="N11" i="2383" s="1"/>
  <c r="L11" i="2383"/>
  <c r="K11" i="2383"/>
  <c r="I11" i="2383"/>
  <c r="H11" i="2383"/>
  <c r="K9" i="2383"/>
  <c r="L9" i="2383" s="1"/>
  <c r="M9" i="2383" s="1"/>
  <c r="N9" i="2383" s="1"/>
  <c r="I9" i="2383"/>
  <c r="K3" i="2383"/>
  <c r="L3" i="2383" s="1"/>
  <c r="M3" i="2383" s="1"/>
  <c r="N3" i="2383" s="1"/>
  <c r="I3" i="2383"/>
  <c r="H3" i="2383"/>
  <c r="P15" i="2374"/>
  <c r="P16" i="2374" s="1"/>
  <c r="N3" i="2375"/>
  <c r="N9" i="2375"/>
  <c r="N11" i="2375"/>
  <c r="N13" i="2375"/>
  <c r="N15" i="2375"/>
  <c r="N17" i="2375"/>
  <c r="N19" i="2375"/>
  <c r="N21" i="2375"/>
  <c r="N23" i="2375"/>
  <c r="N25" i="2375"/>
  <c r="N27" i="2375"/>
  <c r="N37" i="2375"/>
  <c r="N39" i="2375"/>
  <c r="N41" i="2375"/>
  <c r="N43" i="2375"/>
  <c r="Q26" i="2377"/>
  <c r="Q27" i="2377"/>
  <c r="M37" i="2382"/>
  <c r="L37" i="2382"/>
  <c r="K37" i="2382"/>
  <c r="H37" i="2382"/>
  <c r="I37" i="2382"/>
  <c r="M35" i="2382"/>
  <c r="L35" i="2382"/>
  <c r="K35" i="2382"/>
  <c r="H35" i="2382"/>
  <c r="I35" i="2382"/>
  <c r="K33" i="2382"/>
  <c r="L33" i="2382" s="1"/>
  <c r="M33" i="2382" s="1"/>
  <c r="K31" i="2382"/>
  <c r="L31" i="2382" s="1"/>
  <c r="M31" i="2382" s="1"/>
  <c r="I31" i="2382"/>
  <c r="H31" i="2382" s="1"/>
  <c r="I33" i="2382"/>
  <c r="H33" i="2382" s="1"/>
  <c r="K25" i="2382"/>
  <c r="L25" i="2382" s="1"/>
  <c r="M25" i="2382" s="1"/>
  <c r="I25" i="2382"/>
  <c r="H25" i="2382" s="1"/>
  <c r="K23" i="2382"/>
  <c r="L23" i="2382" s="1"/>
  <c r="M23" i="2382" s="1"/>
  <c r="I23" i="2382"/>
  <c r="H23" i="2382" s="1"/>
  <c r="K9" i="2382"/>
  <c r="L9" i="2382" s="1"/>
  <c r="M9" i="2382" s="1"/>
  <c r="H9" i="2382"/>
  <c r="I9" i="2382"/>
  <c r="K5" i="2382"/>
  <c r="L5" i="2382" s="1"/>
  <c r="M5" i="2382" s="1"/>
  <c r="I5" i="2382"/>
  <c r="H5" i="2382" s="1"/>
  <c r="K21" i="2382"/>
  <c r="L21" i="2382" s="1"/>
  <c r="M21" i="2382" s="1"/>
  <c r="I21" i="2382"/>
  <c r="H21" i="2382" s="1"/>
  <c r="K29" i="2382"/>
  <c r="L29" i="2382" s="1"/>
  <c r="M29" i="2382" s="1"/>
  <c r="I29" i="2382"/>
  <c r="H29" i="2382" s="1"/>
  <c r="K27" i="2382"/>
  <c r="L27" i="2382" s="1"/>
  <c r="M27" i="2382" s="1"/>
  <c r="I27" i="2382"/>
  <c r="H27" i="2382"/>
  <c r="K17" i="2382"/>
  <c r="L17" i="2382" s="1"/>
  <c r="M17" i="2382" s="1"/>
  <c r="I17" i="2382"/>
  <c r="H17" i="2382"/>
  <c r="K15" i="2382"/>
  <c r="L15" i="2382" s="1"/>
  <c r="M15" i="2382" s="1"/>
  <c r="I15" i="2382"/>
  <c r="H15" i="2382"/>
  <c r="K13" i="2382"/>
  <c r="L13" i="2382" s="1"/>
  <c r="M13" i="2382" s="1"/>
  <c r="I13" i="2382"/>
  <c r="H13" i="2382" s="1"/>
  <c r="K11" i="2382"/>
  <c r="L11" i="2382" s="1"/>
  <c r="M11" i="2382" s="1"/>
  <c r="I11" i="2382"/>
  <c r="H11" i="2382"/>
  <c r="K7" i="2382"/>
  <c r="L7" i="2382" s="1"/>
  <c r="M7" i="2382" s="1"/>
  <c r="I7" i="2382"/>
  <c r="H7" i="2382"/>
  <c r="K3" i="2382"/>
  <c r="L3" i="2382" s="1"/>
  <c r="M3" i="2382" s="1"/>
  <c r="I3" i="2382"/>
  <c r="H3" i="2382" s="1"/>
  <c r="Q12" i="2397" l="1"/>
  <c r="Q13" i="2397" s="1"/>
  <c r="M11" i="2402"/>
  <c r="N11" i="2402" s="1"/>
  <c r="M29" i="2403"/>
  <c r="N29" i="2403" s="1"/>
  <c r="M37" i="2417"/>
  <c r="L27" i="2400"/>
  <c r="M27" i="2400" s="1"/>
  <c r="Q12" i="2393"/>
  <c r="Q13" i="2393" s="1"/>
  <c r="M41" i="2390"/>
  <c r="M45" i="2387"/>
  <c r="P27" i="2387" s="1"/>
  <c r="K29" i="2381"/>
  <c r="L29" i="2381" s="1"/>
  <c r="M29" i="2381" s="1"/>
  <c r="I29" i="2381"/>
  <c r="H29" i="2381"/>
  <c r="K27" i="2381"/>
  <c r="L27" i="2381" s="1"/>
  <c r="M27" i="2381" s="1"/>
  <c r="I27" i="2381"/>
  <c r="H27" i="2381" s="1"/>
  <c r="M25" i="2381"/>
  <c r="L25" i="2381"/>
  <c r="K25" i="2381"/>
  <c r="H25" i="2381"/>
  <c r="I25" i="2381"/>
  <c r="M23" i="2381"/>
  <c r="L23" i="2381"/>
  <c r="K23" i="2381"/>
  <c r="H23" i="2381"/>
  <c r="I23" i="2381"/>
  <c r="M5" i="2381"/>
  <c r="L5" i="2381"/>
  <c r="K5" i="2381"/>
  <c r="H5" i="2381"/>
  <c r="I5" i="2381"/>
  <c r="R14" i="2403" l="1"/>
  <c r="R16" i="2402"/>
  <c r="Q16" i="2400"/>
  <c r="Q17" i="2400" s="1"/>
  <c r="Q40" i="2387"/>
  <c r="H9" i="2381"/>
  <c r="I9" i="2381"/>
  <c r="M9" i="2381"/>
  <c r="L9" i="2381"/>
  <c r="K9" i="2381"/>
  <c r="L19" i="2381"/>
  <c r="M19" i="2381" s="1"/>
  <c r="K19" i="2381"/>
  <c r="I19" i="2381"/>
  <c r="H19" i="2381"/>
  <c r="K17" i="2381"/>
  <c r="L17" i="2381" s="1"/>
  <c r="M17" i="2381" s="1"/>
  <c r="I17" i="2381"/>
  <c r="H17" i="2381" s="1"/>
  <c r="K15" i="2381"/>
  <c r="L15" i="2381" s="1"/>
  <c r="M15" i="2381" s="1"/>
  <c r="I15" i="2381"/>
  <c r="H15" i="2381"/>
  <c r="K13" i="2381"/>
  <c r="L13" i="2381" s="1"/>
  <c r="M13" i="2381" s="1"/>
  <c r="I13" i="2381"/>
  <c r="H13" i="2381" s="1"/>
  <c r="K11" i="2381"/>
  <c r="L11" i="2381" s="1"/>
  <c r="M11" i="2381" s="1"/>
  <c r="I11" i="2381"/>
  <c r="H11" i="2381" s="1"/>
  <c r="K7" i="2381"/>
  <c r="L7" i="2381" s="1"/>
  <c r="M7" i="2381" s="1"/>
  <c r="I7" i="2381"/>
  <c r="H7" i="2381" s="1"/>
  <c r="K3" i="2381"/>
  <c r="L3" i="2381" s="1"/>
  <c r="M3" i="2381" s="1"/>
  <c r="I3" i="2381"/>
  <c r="H3" i="2381" s="1"/>
  <c r="K41" i="2380"/>
  <c r="L41" i="2380" s="1"/>
  <c r="M41" i="2380" s="1"/>
  <c r="I41" i="2380"/>
  <c r="H41" i="2380" s="1"/>
  <c r="K37" i="2380"/>
  <c r="L37" i="2380" s="1"/>
  <c r="M37" i="2380" s="1"/>
  <c r="I37" i="2380"/>
  <c r="H37" i="2380"/>
  <c r="K27" i="2380"/>
  <c r="L27" i="2380" s="1"/>
  <c r="M27" i="2380" s="1"/>
  <c r="I27" i="2380"/>
  <c r="H27" i="2380"/>
  <c r="K25" i="2380"/>
  <c r="L25" i="2380" s="1"/>
  <c r="M25" i="2380" s="1"/>
  <c r="I25" i="2380"/>
  <c r="H25" i="2380"/>
  <c r="K21" i="2380"/>
  <c r="L21" i="2380" s="1"/>
  <c r="M21" i="2380" s="1"/>
  <c r="I21" i="2380"/>
  <c r="H21" i="2380"/>
  <c r="K19" i="2380"/>
  <c r="L19" i="2380" s="1"/>
  <c r="M19" i="2380" s="1"/>
  <c r="I19" i="2380"/>
  <c r="H19" i="2380"/>
  <c r="K17" i="2380"/>
  <c r="L17" i="2380" s="1"/>
  <c r="M17" i="2380" s="1"/>
  <c r="I17" i="2380"/>
  <c r="H17" i="2380"/>
  <c r="K15" i="2380"/>
  <c r="L15" i="2380" s="1"/>
  <c r="M15" i="2380" s="1"/>
  <c r="I15" i="2380"/>
  <c r="H15" i="2380"/>
  <c r="K13" i="2380"/>
  <c r="L13" i="2380" s="1"/>
  <c r="M13" i="2380" s="1"/>
  <c r="I13" i="2380"/>
  <c r="H13" i="2380" s="1"/>
  <c r="K11" i="2380"/>
  <c r="L11" i="2380" s="1"/>
  <c r="M11" i="2380" s="1"/>
  <c r="I11" i="2380"/>
  <c r="H11" i="2380" s="1"/>
  <c r="K9" i="2380"/>
  <c r="L9" i="2380" s="1"/>
  <c r="M9" i="2380" s="1"/>
  <c r="I9" i="2380"/>
  <c r="H9" i="2380"/>
  <c r="K3" i="2380"/>
  <c r="L3" i="2380" s="1"/>
  <c r="M3" i="2380" s="1"/>
  <c r="I3" i="2380"/>
  <c r="H3" i="2380"/>
  <c r="P24" i="2379"/>
  <c r="P23" i="2379"/>
  <c r="K27" i="2379"/>
  <c r="L27" i="2379" s="1"/>
  <c r="M27" i="2379" s="1"/>
  <c r="I27" i="2379"/>
  <c r="H27" i="2379" s="1"/>
  <c r="M25" i="2379"/>
  <c r="L25" i="2379"/>
  <c r="K25" i="2379"/>
  <c r="I25" i="2379"/>
  <c r="H25" i="2379" s="1"/>
  <c r="M19" i="2379"/>
  <c r="L19" i="2379"/>
  <c r="K19" i="2379"/>
  <c r="H19" i="2379"/>
  <c r="I19" i="2379"/>
  <c r="K9" i="2379"/>
  <c r="L9" i="2379" s="1"/>
  <c r="M9" i="2379" s="1"/>
  <c r="I9" i="2379"/>
  <c r="H9" i="2379"/>
  <c r="M5" i="2379"/>
  <c r="L5" i="2379"/>
  <c r="K5" i="2379"/>
  <c r="H5" i="2379"/>
  <c r="I5" i="2379"/>
  <c r="K23" i="2379"/>
  <c r="L23" i="2379" s="1"/>
  <c r="M23" i="2379" s="1"/>
  <c r="I23" i="2379"/>
  <c r="H23" i="2379"/>
  <c r="K17" i="2379"/>
  <c r="L17" i="2379" s="1"/>
  <c r="M17" i="2379" s="1"/>
  <c r="I17" i="2379"/>
  <c r="H17" i="2379"/>
  <c r="K15" i="2379"/>
  <c r="L15" i="2379" s="1"/>
  <c r="M15" i="2379" s="1"/>
  <c r="I15" i="2379"/>
  <c r="H15" i="2379" s="1"/>
  <c r="K13" i="2379"/>
  <c r="L13" i="2379" s="1"/>
  <c r="M13" i="2379" s="1"/>
  <c r="I13" i="2379"/>
  <c r="H13" i="2379"/>
  <c r="L11" i="2379"/>
  <c r="M11" i="2379" s="1"/>
  <c r="K11" i="2379"/>
  <c r="I11" i="2379"/>
  <c r="H11" i="2379"/>
  <c r="K7" i="2379"/>
  <c r="L7" i="2379" s="1"/>
  <c r="M7" i="2379" s="1"/>
  <c r="I7" i="2379"/>
  <c r="H7" i="2379"/>
  <c r="K3" i="2379"/>
  <c r="L3" i="2379" s="1"/>
  <c r="M3" i="2379" s="1"/>
  <c r="I3" i="2379"/>
  <c r="H3" i="2379" s="1"/>
  <c r="L11" i="2378"/>
  <c r="M11" i="2378" s="1"/>
  <c r="N11" i="2378" s="1"/>
  <c r="K21" i="2378"/>
  <c r="L21" i="2378" s="1"/>
  <c r="M21" i="2378" s="1"/>
  <c r="N21" i="2378" s="1"/>
  <c r="I21" i="2378"/>
  <c r="H21" i="2378" s="1"/>
  <c r="N19" i="2378"/>
  <c r="M19" i="2378"/>
  <c r="L19" i="2378"/>
  <c r="K19" i="2378"/>
  <c r="H19" i="2378"/>
  <c r="I19" i="2378"/>
  <c r="K11" i="2378"/>
  <c r="K9" i="2378"/>
  <c r="L9" i="2378" s="1"/>
  <c r="M9" i="2378" s="1"/>
  <c r="N9" i="2378" s="1"/>
  <c r="I9" i="2378"/>
  <c r="H9" i="2378"/>
  <c r="K5" i="2378"/>
  <c r="L5" i="2378" s="1"/>
  <c r="M5" i="2378" s="1"/>
  <c r="N5" i="2378" s="1"/>
  <c r="I5" i="2378"/>
  <c r="H5" i="2378" s="1"/>
  <c r="K25" i="2378"/>
  <c r="L25" i="2378" s="1"/>
  <c r="M25" i="2378" s="1"/>
  <c r="N25" i="2378" s="1"/>
  <c r="I25" i="2378"/>
  <c r="H25" i="2378"/>
  <c r="K23" i="2378"/>
  <c r="L23" i="2378" s="1"/>
  <c r="M23" i="2378" s="1"/>
  <c r="N23" i="2378" s="1"/>
  <c r="I23" i="2378"/>
  <c r="H23" i="2378" s="1"/>
  <c r="K17" i="2378"/>
  <c r="L17" i="2378" s="1"/>
  <c r="M17" i="2378" s="1"/>
  <c r="N17" i="2378" s="1"/>
  <c r="I17" i="2378"/>
  <c r="H17" i="2378" s="1"/>
  <c r="K15" i="2378"/>
  <c r="L15" i="2378" s="1"/>
  <c r="M15" i="2378" s="1"/>
  <c r="N15" i="2378" s="1"/>
  <c r="I15" i="2378"/>
  <c r="H15" i="2378"/>
  <c r="K13" i="2378"/>
  <c r="L13" i="2378" s="1"/>
  <c r="M13" i="2378" s="1"/>
  <c r="N13" i="2378" s="1"/>
  <c r="I13" i="2378"/>
  <c r="H13" i="2378" s="1"/>
  <c r="I11" i="2378"/>
  <c r="H11" i="2378" s="1"/>
  <c r="K7" i="2378"/>
  <c r="L7" i="2378" s="1"/>
  <c r="M7" i="2378" s="1"/>
  <c r="N7" i="2378" s="1"/>
  <c r="I7" i="2378"/>
  <c r="H7" i="2378" s="1"/>
  <c r="K3" i="2378"/>
  <c r="L3" i="2378" s="1"/>
  <c r="M3" i="2378" s="1"/>
  <c r="N3" i="2378" s="1"/>
  <c r="I3" i="2378"/>
  <c r="H3" i="2378"/>
  <c r="L11" i="2377"/>
  <c r="N27" i="2377"/>
  <c r="M27" i="2377"/>
  <c r="L27" i="2377"/>
  <c r="K27" i="2377"/>
  <c r="I27" i="2377"/>
  <c r="N25" i="2377"/>
  <c r="M25" i="2377"/>
  <c r="L25" i="2377"/>
  <c r="K25" i="2377"/>
  <c r="I25" i="2377"/>
  <c r="N21" i="2377"/>
  <c r="M21" i="2377"/>
  <c r="L21" i="2377"/>
  <c r="K21" i="2377"/>
  <c r="I21" i="2377"/>
  <c r="N9" i="2377"/>
  <c r="M9" i="2377"/>
  <c r="L9" i="2377"/>
  <c r="K9" i="2377"/>
  <c r="I9" i="2377"/>
  <c r="N3" i="2377"/>
  <c r="M3" i="2377"/>
  <c r="L3" i="2377"/>
  <c r="K3" i="2377"/>
  <c r="I3" i="2377"/>
  <c r="K23" i="2377"/>
  <c r="L23" i="2377" s="1"/>
  <c r="M23" i="2377" s="1"/>
  <c r="N23" i="2377" s="1"/>
  <c r="I23" i="2377"/>
  <c r="K19" i="2377"/>
  <c r="L19" i="2377" s="1"/>
  <c r="M19" i="2377" s="1"/>
  <c r="N19" i="2377" s="1"/>
  <c r="I19" i="2377"/>
  <c r="K17" i="2377"/>
  <c r="L17" i="2377" s="1"/>
  <c r="M17" i="2377" s="1"/>
  <c r="N17" i="2377" s="1"/>
  <c r="I17" i="2377"/>
  <c r="K15" i="2377"/>
  <c r="L15" i="2377" s="1"/>
  <c r="M15" i="2377" s="1"/>
  <c r="N15" i="2377" s="1"/>
  <c r="I15" i="2377"/>
  <c r="K13" i="2377"/>
  <c r="L13" i="2377" s="1"/>
  <c r="M13" i="2377" s="1"/>
  <c r="N13" i="2377" s="1"/>
  <c r="I13" i="2377"/>
  <c r="K11" i="2377"/>
  <c r="I11" i="2377"/>
  <c r="K7" i="2377"/>
  <c r="L7" i="2377" s="1"/>
  <c r="M7" i="2377" s="1"/>
  <c r="N7" i="2377" s="1"/>
  <c r="I7" i="2377"/>
  <c r="K5" i="2377"/>
  <c r="L5" i="2377" s="1"/>
  <c r="M5" i="2377" s="1"/>
  <c r="N5" i="2377" s="1"/>
  <c r="I5" i="2377"/>
  <c r="P10" i="2350"/>
  <c r="Q10" i="2350"/>
  <c r="Q13" i="2350"/>
  <c r="R13" i="2350"/>
  <c r="R10" i="2350"/>
  <c r="N3" i="2350"/>
  <c r="N5" i="2350"/>
  <c r="N7" i="2350"/>
  <c r="N11" i="2350"/>
  <c r="N13" i="2350"/>
  <c r="N15" i="2350"/>
  <c r="N17" i="2350"/>
  <c r="N21" i="2350"/>
  <c r="N23" i="2350"/>
  <c r="N25" i="2350"/>
  <c r="N27" i="2350"/>
  <c r="N29" i="2350"/>
  <c r="N31" i="2350"/>
  <c r="K25" i="2376"/>
  <c r="L25" i="2376" s="1"/>
  <c r="M25" i="2376" s="1"/>
  <c r="I25" i="2376"/>
  <c r="H25" i="2376" s="1"/>
  <c r="K21" i="2376"/>
  <c r="L21" i="2376" s="1"/>
  <c r="M21" i="2376" s="1"/>
  <c r="I21" i="2376"/>
  <c r="H21" i="2376"/>
  <c r="M19" i="2376"/>
  <c r="L19" i="2376"/>
  <c r="K19" i="2376"/>
  <c r="H19" i="2376"/>
  <c r="I19" i="2376"/>
  <c r="K9" i="2376"/>
  <c r="L9" i="2376" s="1"/>
  <c r="M9" i="2376" s="1"/>
  <c r="I9" i="2376"/>
  <c r="H9" i="2376" s="1"/>
  <c r="M7" i="2376"/>
  <c r="L7" i="2376"/>
  <c r="K7" i="2376"/>
  <c r="H7" i="2376"/>
  <c r="I7" i="2376"/>
  <c r="M5" i="2376"/>
  <c r="L5" i="2376"/>
  <c r="K5" i="2376"/>
  <c r="H5" i="2376"/>
  <c r="I5" i="2376"/>
  <c r="K23" i="2376"/>
  <c r="L23" i="2376" s="1"/>
  <c r="M23" i="2376" s="1"/>
  <c r="I23" i="2376"/>
  <c r="H23" i="2376"/>
  <c r="K17" i="2376"/>
  <c r="L17" i="2376" s="1"/>
  <c r="M17" i="2376" s="1"/>
  <c r="I17" i="2376"/>
  <c r="H17" i="2376" s="1"/>
  <c r="K15" i="2376"/>
  <c r="L15" i="2376" s="1"/>
  <c r="M15" i="2376" s="1"/>
  <c r="I15" i="2376"/>
  <c r="H15" i="2376" s="1"/>
  <c r="K13" i="2376"/>
  <c r="L13" i="2376" s="1"/>
  <c r="M13" i="2376" s="1"/>
  <c r="I13" i="2376"/>
  <c r="H13" i="2376"/>
  <c r="K11" i="2376"/>
  <c r="L11" i="2376" s="1"/>
  <c r="M11" i="2376" s="1"/>
  <c r="I11" i="2376"/>
  <c r="H11" i="2376" s="1"/>
  <c r="K3" i="2376"/>
  <c r="L3" i="2376" s="1"/>
  <c r="M3" i="2376" s="1"/>
  <c r="I3" i="2376"/>
  <c r="H3" i="2376" s="1"/>
  <c r="K43" i="2375"/>
  <c r="L43" i="2375" s="1"/>
  <c r="M43" i="2375" s="1"/>
  <c r="I43" i="2375"/>
  <c r="H43" i="2375" s="1"/>
  <c r="K41" i="2375"/>
  <c r="L41" i="2375" s="1"/>
  <c r="M41" i="2375" s="1"/>
  <c r="I41" i="2375"/>
  <c r="H41" i="2375" s="1"/>
  <c r="I37" i="2375"/>
  <c r="K39" i="2375"/>
  <c r="L39" i="2375" s="1"/>
  <c r="M39" i="2375" s="1"/>
  <c r="I39" i="2375"/>
  <c r="H39" i="2375" s="1"/>
  <c r="K37" i="2375"/>
  <c r="L37" i="2375" s="1"/>
  <c r="M37" i="2375" s="1"/>
  <c r="H37" i="2375"/>
  <c r="K27" i="2375"/>
  <c r="L27" i="2375" s="1"/>
  <c r="M27" i="2375" s="1"/>
  <c r="I27" i="2375"/>
  <c r="H27" i="2375"/>
  <c r="K25" i="2375"/>
  <c r="L25" i="2375" s="1"/>
  <c r="M25" i="2375" s="1"/>
  <c r="I25" i="2375"/>
  <c r="H25" i="2375" s="1"/>
  <c r="K23" i="2375"/>
  <c r="L23" i="2375" s="1"/>
  <c r="M23" i="2375" s="1"/>
  <c r="I23" i="2375"/>
  <c r="H23" i="2375"/>
  <c r="K21" i="2375"/>
  <c r="L21" i="2375" s="1"/>
  <c r="M21" i="2375" s="1"/>
  <c r="I21" i="2375"/>
  <c r="H21" i="2375"/>
  <c r="K19" i="2375"/>
  <c r="L19" i="2375" s="1"/>
  <c r="M19" i="2375" s="1"/>
  <c r="I19" i="2375"/>
  <c r="H19" i="2375"/>
  <c r="K17" i="2375"/>
  <c r="L17" i="2375" s="1"/>
  <c r="M17" i="2375" s="1"/>
  <c r="I17" i="2375"/>
  <c r="H17" i="2375"/>
  <c r="K15" i="2375"/>
  <c r="L15" i="2375" s="1"/>
  <c r="M15" i="2375" s="1"/>
  <c r="I15" i="2375"/>
  <c r="H15" i="2375" s="1"/>
  <c r="K13" i="2375"/>
  <c r="L13" i="2375" s="1"/>
  <c r="M13" i="2375" s="1"/>
  <c r="I13" i="2375"/>
  <c r="H13" i="2375" s="1"/>
  <c r="K11" i="2375"/>
  <c r="L11" i="2375" s="1"/>
  <c r="M11" i="2375" s="1"/>
  <c r="I11" i="2375"/>
  <c r="H11" i="2375" s="1"/>
  <c r="K9" i="2375"/>
  <c r="L9" i="2375" s="1"/>
  <c r="M9" i="2375" s="1"/>
  <c r="I9" i="2375"/>
  <c r="H9" i="2375" s="1"/>
  <c r="K3" i="2375"/>
  <c r="L3" i="2375" s="1"/>
  <c r="M3" i="2375" s="1"/>
  <c r="I3" i="2375"/>
  <c r="H3" i="2375" s="1"/>
  <c r="K25" i="2374"/>
  <c r="L25" i="2374" s="1"/>
  <c r="M25" i="2374" s="1"/>
  <c r="I25" i="2374"/>
  <c r="H25" i="2374" s="1"/>
  <c r="K27" i="2374"/>
  <c r="L27" i="2374" s="1"/>
  <c r="M27" i="2374" s="1"/>
  <c r="I27" i="2374"/>
  <c r="H27" i="2374" s="1"/>
  <c r="K29" i="2374"/>
  <c r="L29" i="2374" s="1"/>
  <c r="M29" i="2374" s="1"/>
  <c r="I29" i="2374"/>
  <c r="H29" i="2374"/>
  <c r="K21" i="2374"/>
  <c r="L21" i="2374" s="1"/>
  <c r="M21" i="2374" s="1"/>
  <c r="I21" i="2374"/>
  <c r="H21" i="2374" s="1"/>
  <c r="K19" i="2374"/>
  <c r="L19" i="2374" s="1"/>
  <c r="M19" i="2374" s="1"/>
  <c r="I19" i="2374"/>
  <c r="H19" i="2374" s="1"/>
  <c r="I11" i="2374"/>
  <c r="H11" i="2374" s="1"/>
  <c r="K11" i="2374"/>
  <c r="K7" i="2374"/>
  <c r="L7" i="2374" s="1"/>
  <c r="M7" i="2374" s="1"/>
  <c r="I7" i="2374"/>
  <c r="H7" i="2374" s="1"/>
  <c r="K5" i="2374"/>
  <c r="L5" i="2374" s="1"/>
  <c r="M5" i="2374" s="1"/>
  <c r="I5" i="2374"/>
  <c r="H5" i="2374" s="1"/>
  <c r="K23" i="2374"/>
  <c r="L23" i="2374" s="1"/>
  <c r="M23" i="2374" s="1"/>
  <c r="I23" i="2374"/>
  <c r="H23" i="2374" s="1"/>
  <c r="K17" i="2374"/>
  <c r="L17" i="2374" s="1"/>
  <c r="M17" i="2374" s="1"/>
  <c r="I17" i="2374"/>
  <c r="H17" i="2374" s="1"/>
  <c r="K15" i="2374"/>
  <c r="L15" i="2374" s="1"/>
  <c r="M15" i="2374" s="1"/>
  <c r="I15" i="2374"/>
  <c r="H15" i="2374" s="1"/>
  <c r="K13" i="2374"/>
  <c r="L13" i="2374" s="1"/>
  <c r="M13" i="2374" s="1"/>
  <c r="I13" i="2374"/>
  <c r="H13" i="2374" s="1"/>
  <c r="K9" i="2374"/>
  <c r="L9" i="2374" s="1"/>
  <c r="I9" i="2374"/>
  <c r="H9" i="2374"/>
  <c r="K3" i="2374"/>
  <c r="L3" i="2374" s="1"/>
  <c r="M3" i="2374" s="1"/>
  <c r="I3" i="2374"/>
  <c r="H3" i="2374"/>
  <c r="K29" i="2373"/>
  <c r="L29" i="2373" s="1"/>
  <c r="M29" i="2373" s="1"/>
  <c r="I29" i="2373"/>
  <c r="H29" i="2373" s="1"/>
  <c r="K27" i="2373"/>
  <c r="L27" i="2373" s="1"/>
  <c r="M27" i="2373" s="1"/>
  <c r="I27" i="2373"/>
  <c r="H27" i="2373" s="1"/>
  <c r="P26" i="2373" s="1"/>
  <c r="P27" i="2373" s="1"/>
  <c r="K11" i="2373"/>
  <c r="L11" i="2373" s="1"/>
  <c r="M11" i="2373" s="1"/>
  <c r="K7" i="2373"/>
  <c r="L7" i="2373" s="1"/>
  <c r="M7" i="2373" s="1"/>
  <c r="I7" i="2373"/>
  <c r="H7" i="2373" s="1"/>
  <c r="K23" i="2373"/>
  <c r="L23" i="2373" s="1"/>
  <c r="M23" i="2373" s="1"/>
  <c r="I23" i="2373"/>
  <c r="H23" i="2373" s="1"/>
  <c r="K17" i="2373"/>
  <c r="L17" i="2373" s="1"/>
  <c r="M17" i="2373" s="1"/>
  <c r="I17" i="2373"/>
  <c r="H17" i="2373"/>
  <c r="K15" i="2373"/>
  <c r="L15" i="2373" s="1"/>
  <c r="M15" i="2373" s="1"/>
  <c r="I15" i="2373"/>
  <c r="H15" i="2373" s="1"/>
  <c r="K13" i="2373"/>
  <c r="L13" i="2373" s="1"/>
  <c r="M13" i="2373" s="1"/>
  <c r="I13" i="2373"/>
  <c r="H13" i="2373" s="1"/>
  <c r="K3" i="2373"/>
  <c r="L3" i="2373" s="1"/>
  <c r="M3" i="2373" s="1"/>
  <c r="I3" i="2373"/>
  <c r="H3" i="2373" s="1"/>
  <c r="N43" i="2362"/>
  <c r="N41" i="2362"/>
  <c r="N39" i="2362"/>
  <c r="N37" i="2362"/>
  <c r="N33" i="2362"/>
  <c r="N27" i="2362"/>
  <c r="N25" i="2362"/>
  <c r="N23" i="2362"/>
  <c r="N21" i="2362"/>
  <c r="N19" i="2362"/>
  <c r="N17" i="2362"/>
  <c r="N15" i="2362"/>
  <c r="N13" i="2362"/>
  <c r="N11" i="2362"/>
  <c r="N9" i="2362"/>
  <c r="N3" i="2362"/>
  <c r="M11" i="2377" l="1"/>
  <c r="N11" i="2377" s="1"/>
  <c r="L11" i="2374"/>
  <c r="M11" i="2374" s="1"/>
  <c r="M9" i="2374"/>
  <c r="H15" i="2372"/>
  <c r="L15" i="2372"/>
  <c r="M15" i="2372" s="1"/>
  <c r="L17" i="2372"/>
  <c r="M17" i="2372" s="1"/>
  <c r="K17" i="2372"/>
  <c r="I17" i="2372"/>
  <c r="H17" i="2372"/>
  <c r="K15" i="2372"/>
  <c r="I15" i="2372"/>
  <c r="K19" i="2372"/>
  <c r="L19" i="2372" s="1"/>
  <c r="M19" i="2372" s="1"/>
  <c r="I19" i="2372"/>
  <c r="H19" i="2372"/>
  <c r="K21" i="2372"/>
  <c r="L21" i="2372" s="1"/>
  <c r="M21" i="2372" s="1"/>
  <c r="I21" i="2372"/>
  <c r="H21" i="2372"/>
  <c r="K23" i="2372"/>
  <c r="L23" i="2372" s="1"/>
  <c r="M23" i="2372" s="1"/>
  <c r="I23" i="2372"/>
  <c r="H23" i="2372"/>
  <c r="I13" i="2372"/>
  <c r="H13" i="2372" s="1"/>
  <c r="K13" i="2372"/>
  <c r="L13" i="2372"/>
  <c r="M13" i="2372"/>
  <c r="K11" i="2372"/>
  <c r="L11" i="2372" s="1"/>
  <c r="M11" i="2372" s="1"/>
  <c r="I11" i="2372"/>
  <c r="H11" i="2372"/>
  <c r="M9" i="2372"/>
  <c r="L9" i="2372"/>
  <c r="K9" i="2372"/>
  <c r="H9" i="2372"/>
  <c r="I9" i="2372"/>
  <c r="M5" i="2372" l="1"/>
  <c r="L5" i="2372"/>
  <c r="K5" i="2372"/>
  <c r="I5" i="2372"/>
  <c r="H5" i="2372" s="1"/>
  <c r="K3" i="2372"/>
  <c r="L3" i="2372" s="1"/>
  <c r="M3" i="2372" s="1"/>
  <c r="I3" i="2372"/>
  <c r="H3" i="2372" s="1"/>
  <c r="K7" i="2372"/>
  <c r="L7" i="2372" s="1"/>
  <c r="M7" i="2372" s="1"/>
  <c r="I7" i="2372"/>
  <c r="H7" i="2372" s="1"/>
  <c r="M17" i="2371"/>
  <c r="M15" i="2371"/>
  <c r="L15" i="2371"/>
  <c r="K15" i="2371"/>
  <c r="M19" i="2371"/>
  <c r="L19" i="2371"/>
  <c r="K19" i="2371"/>
  <c r="I19" i="2371"/>
  <c r="H19" i="2371" s="1"/>
  <c r="L17" i="2371"/>
  <c r="K17" i="2371"/>
  <c r="H17" i="2371"/>
  <c r="I17" i="2371"/>
  <c r="H15" i="2371"/>
  <c r="I15" i="2371"/>
  <c r="L13" i="2371"/>
  <c r="M13" i="2371" s="1"/>
  <c r="K13" i="2371"/>
  <c r="I13" i="2371"/>
  <c r="H13" i="2371" s="1"/>
  <c r="K11" i="2371"/>
  <c r="L11" i="2371" s="1"/>
  <c r="M11" i="2371" s="1"/>
  <c r="I11" i="2371"/>
  <c r="H11" i="2371" s="1"/>
  <c r="K3" i="2371"/>
  <c r="L3" i="2371" s="1"/>
  <c r="M3" i="2371" s="1"/>
  <c r="I3" i="2371"/>
  <c r="H3" i="2371"/>
  <c r="N9" i="2370" l="1"/>
  <c r="M9" i="2370"/>
  <c r="L9" i="2370"/>
  <c r="K9" i="2370"/>
  <c r="H9" i="2370"/>
  <c r="I9" i="2370"/>
  <c r="N25" i="2370"/>
  <c r="M25" i="2370"/>
  <c r="L25" i="2370"/>
  <c r="K25" i="2370"/>
  <c r="H25" i="2370"/>
  <c r="I25" i="2370"/>
  <c r="K21" i="2370"/>
  <c r="L21" i="2370" s="1"/>
  <c r="M21" i="2370" s="1"/>
  <c r="N21" i="2370" s="1"/>
  <c r="I21" i="2370"/>
  <c r="H21" i="2370" s="1"/>
  <c r="N19" i="2370"/>
  <c r="M19" i="2370"/>
  <c r="L19" i="2370"/>
  <c r="K19" i="2370"/>
  <c r="H19" i="2370"/>
  <c r="I19" i="2370"/>
  <c r="N7" i="2370" l="1"/>
  <c r="M7" i="2370"/>
  <c r="L7" i="2370"/>
  <c r="K7" i="2370"/>
  <c r="H7" i="2370"/>
  <c r="I7" i="2370"/>
  <c r="K5" i="2370"/>
  <c r="L5" i="2370" s="1"/>
  <c r="M5" i="2370" s="1"/>
  <c r="N5" i="2370" s="1"/>
  <c r="I5" i="2370"/>
  <c r="H5" i="2370" s="1"/>
  <c r="N23" i="2370"/>
  <c r="N11" i="2370"/>
  <c r="K23" i="2370"/>
  <c r="L23" i="2370" s="1"/>
  <c r="M23" i="2370" s="1"/>
  <c r="I23" i="2370"/>
  <c r="H23" i="2370"/>
  <c r="K17" i="2370"/>
  <c r="L17" i="2370" s="1"/>
  <c r="M17" i="2370" s="1"/>
  <c r="N17" i="2370" s="1"/>
  <c r="I17" i="2370"/>
  <c r="H17" i="2370" s="1"/>
  <c r="K15" i="2370"/>
  <c r="L15" i="2370" s="1"/>
  <c r="M15" i="2370" s="1"/>
  <c r="N15" i="2370" s="1"/>
  <c r="I15" i="2370"/>
  <c r="H15" i="2370" s="1"/>
  <c r="K13" i="2370"/>
  <c r="L13" i="2370" s="1"/>
  <c r="M13" i="2370" s="1"/>
  <c r="N13" i="2370" s="1"/>
  <c r="I13" i="2370"/>
  <c r="H13" i="2370" s="1"/>
  <c r="K11" i="2370"/>
  <c r="L11" i="2370" s="1"/>
  <c r="M11" i="2370" s="1"/>
  <c r="I11" i="2370"/>
  <c r="H11" i="2370" s="1"/>
  <c r="K3" i="2370"/>
  <c r="L3" i="2370" s="1"/>
  <c r="M3" i="2370" s="1"/>
  <c r="N3" i="2370" s="1"/>
  <c r="I3" i="2370"/>
  <c r="H3" i="2370" s="1"/>
  <c r="N27" i="2368" l="1"/>
  <c r="M27" i="2368"/>
  <c r="N27" i="2369"/>
  <c r="M27" i="2369"/>
  <c r="K19" i="2369"/>
  <c r="L19" i="2369" s="1"/>
  <c r="M19" i="2369" s="1"/>
  <c r="N19" i="2369" s="1"/>
  <c r="I19" i="2369"/>
  <c r="H19" i="2369"/>
  <c r="K17" i="2369"/>
  <c r="L17" i="2369" s="1"/>
  <c r="M17" i="2369" s="1"/>
  <c r="N17" i="2369" s="1"/>
  <c r="I17" i="2369"/>
  <c r="H17" i="2369"/>
  <c r="N35" i="2369"/>
  <c r="M35" i="2369"/>
  <c r="L35" i="2369"/>
  <c r="K35" i="2369"/>
  <c r="H35" i="2369"/>
  <c r="I35" i="2369"/>
  <c r="K33" i="2369"/>
  <c r="L33" i="2369" s="1"/>
  <c r="M33" i="2369" s="1"/>
  <c r="N33" i="2369" s="1"/>
  <c r="I33" i="2369"/>
  <c r="H33" i="2369" s="1"/>
  <c r="N29" i="2369"/>
  <c r="M29" i="2369"/>
  <c r="L29" i="2369"/>
  <c r="K29" i="2369"/>
  <c r="H29" i="2369"/>
  <c r="I29" i="2369"/>
  <c r="K23" i="2369"/>
  <c r="L23" i="2369" s="1"/>
  <c r="M23" i="2369" s="1"/>
  <c r="N23" i="2369" s="1"/>
  <c r="I23" i="2369"/>
  <c r="H23" i="2369" s="1"/>
  <c r="K13" i="2369"/>
  <c r="L13" i="2369" s="1"/>
  <c r="M13" i="2369" s="1"/>
  <c r="N13" i="2369" s="1"/>
  <c r="I13" i="2369"/>
  <c r="H13" i="2369" s="1"/>
  <c r="K11" i="2369"/>
  <c r="L11" i="2369" s="1"/>
  <c r="M11" i="2369" s="1"/>
  <c r="N11" i="2369" s="1"/>
  <c r="I11" i="2369"/>
  <c r="H11" i="2369" s="1"/>
  <c r="K9" i="2369"/>
  <c r="L9" i="2369" s="1"/>
  <c r="M9" i="2369" s="1"/>
  <c r="N9" i="2369" s="1"/>
  <c r="I9" i="2369"/>
  <c r="H9" i="2369"/>
  <c r="K39" i="2369"/>
  <c r="L39" i="2369" s="1"/>
  <c r="M39" i="2369" s="1"/>
  <c r="N39" i="2369" s="1"/>
  <c r="I39" i="2369"/>
  <c r="H39" i="2369" s="1"/>
  <c r="K37" i="2369"/>
  <c r="L37" i="2369" s="1"/>
  <c r="M37" i="2369" s="1"/>
  <c r="N37" i="2369" s="1"/>
  <c r="I37" i="2369"/>
  <c r="H37" i="2369" s="1"/>
  <c r="K31" i="2369"/>
  <c r="L31" i="2369" s="1"/>
  <c r="M31" i="2369" s="1"/>
  <c r="N31" i="2369" s="1"/>
  <c r="I31" i="2369"/>
  <c r="H31" i="2369"/>
  <c r="K27" i="2369"/>
  <c r="L27" i="2369" s="1"/>
  <c r="I27" i="2369"/>
  <c r="H27" i="2369" s="1"/>
  <c r="K25" i="2369"/>
  <c r="L25" i="2369" s="1"/>
  <c r="M25" i="2369" s="1"/>
  <c r="N25" i="2369" s="1"/>
  <c r="I25" i="2369"/>
  <c r="H25" i="2369" s="1"/>
  <c r="K21" i="2369"/>
  <c r="L21" i="2369" s="1"/>
  <c r="M21" i="2369" s="1"/>
  <c r="N21" i="2369" s="1"/>
  <c r="I21" i="2369"/>
  <c r="H21" i="2369"/>
  <c r="K15" i="2369"/>
  <c r="L15" i="2369" s="1"/>
  <c r="M15" i="2369" s="1"/>
  <c r="N15" i="2369" s="1"/>
  <c r="I15" i="2369"/>
  <c r="H15" i="2369"/>
  <c r="K3" i="2369"/>
  <c r="L3" i="2369" s="1"/>
  <c r="M3" i="2369" s="1"/>
  <c r="N3" i="2369" s="1"/>
  <c r="I3" i="2369"/>
  <c r="H3" i="2369"/>
  <c r="N39" i="2368"/>
  <c r="M39" i="2368"/>
  <c r="L39" i="2368"/>
  <c r="K39" i="2368"/>
  <c r="H39" i="2368"/>
  <c r="I39" i="2368"/>
  <c r="K37" i="2368"/>
  <c r="L37" i="2368" s="1"/>
  <c r="M37" i="2368" s="1"/>
  <c r="N37" i="2368" s="1"/>
  <c r="I37" i="2368"/>
  <c r="H37" i="2368" s="1"/>
  <c r="I35" i="2368"/>
  <c r="H35" i="2368" s="1"/>
  <c r="I33" i="2368"/>
  <c r="H33" i="2368" s="1"/>
  <c r="K33" i="2368"/>
  <c r="L33" i="2368" s="1"/>
  <c r="M33" i="2368" s="1"/>
  <c r="N33" i="2368" s="1"/>
  <c r="L29" i="2368"/>
  <c r="M29" i="2368" s="1"/>
  <c r="N29" i="2368" s="1"/>
  <c r="K29" i="2368"/>
  <c r="K23" i="2368"/>
  <c r="L23" i="2368" s="1"/>
  <c r="M23" i="2368" s="1"/>
  <c r="N23" i="2368" s="1"/>
  <c r="I23" i="2368"/>
  <c r="H23" i="2368" s="1"/>
  <c r="K45" i="2368"/>
  <c r="L45" i="2368" s="1"/>
  <c r="M45" i="2368" s="1"/>
  <c r="N45" i="2368" s="1"/>
  <c r="I45" i="2368"/>
  <c r="H45" i="2368"/>
  <c r="K43" i="2368"/>
  <c r="L43" i="2368" s="1"/>
  <c r="M43" i="2368" s="1"/>
  <c r="N43" i="2368" s="1"/>
  <c r="I43" i="2368"/>
  <c r="H43" i="2368"/>
  <c r="K41" i="2368"/>
  <c r="L41" i="2368" s="1"/>
  <c r="M41" i="2368" s="1"/>
  <c r="N41" i="2368" s="1"/>
  <c r="I41" i="2368"/>
  <c r="H41" i="2368"/>
  <c r="K35" i="2368"/>
  <c r="L35" i="2368" s="1"/>
  <c r="M35" i="2368" s="1"/>
  <c r="K31" i="2368"/>
  <c r="L31" i="2368" s="1"/>
  <c r="M31" i="2368" s="1"/>
  <c r="N31" i="2368" s="1"/>
  <c r="I31" i="2368"/>
  <c r="H31" i="2368"/>
  <c r="I29" i="2368"/>
  <c r="H29" i="2368" s="1"/>
  <c r="K27" i="2368"/>
  <c r="L27" i="2368" s="1"/>
  <c r="I27" i="2368"/>
  <c r="H27" i="2368" s="1"/>
  <c r="K25" i="2368"/>
  <c r="L25" i="2368" s="1"/>
  <c r="M25" i="2368" s="1"/>
  <c r="N25" i="2368" s="1"/>
  <c r="I25" i="2368"/>
  <c r="H25" i="2368" s="1"/>
  <c r="K21" i="2368"/>
  <c r="L21" i="2368" s="1"/>
  <c r="M21" i="2368" s="1"/>
  <c r="N21" i="2368" s="1"/>
  <c r="I21" i="2368"/>
  <c r="H21" i="2368" s="1"/>
  <c r="K15" i="2368"/>
  <c r="L15" i="2368" s="1"/>
  <c r="M15" i="2368" s="1"/>
  <c r="N15" i="2368" s="1"/>
  <c r="I15" i="2368"/>
  <c r="H15" i="2368" s="1"/>
  <c r="K13" i="2368"/>
  <c r="L13" i="2368" s="1"/>
  <c r="M13" i="2368" s="1"/>
  <c r="N13" i="2368" s="1"/>
  <c r="I13" i="2368"/>
  <c r="H13" i="2368"/>
  <c r="K11" i="2368"/>
  <c r="L11" i="2368" s="1"/>
  <c r="M11" i="2368" s="1"/>
  <c r="N11" i="2368" s="1"/>
  <c r="I11" i="2368"/>
  <c r="H11" i="2368" s="1"/>
  <c r="K3" i="2368"/>
  <c r="L3" i="2368" s="1"/>
  <c r="M3" i="2368" s="1"/>
  <c r="N3" i="2368" s="1"/>
  <c r="I3" i="2368"/>
  <c r="H3" i="2368" s="1"/>
  <c r="P26" i="2367"/>
  <c r="P25" i="2367"/>
  <c r="M29" i="2367"/>
  <c r="L29" i="2367"/>
  <c r="K29" i="2367"/>
  <c r="H29" i="2367"/>
  <c r="I29" i="2367"/>
  <c r="M27" i="2367"/>
  <c r="L27" i="2367"/>
  <c r="K27" i="2367"/>
  <c r="H27" i="2367"/>
  <c r="I27" i="2367"/>
  <c r="K25" i="2367"/>
  <c r="H25" i="2367"/>
  <c r="I25" i="2367"/>
  <c r="L25" i="2367"/>
  <c r="M25" i="2367" s="1"/>
  <c r="K23" i="2367"/>
  <c r="L23" i="2367" s="1"/>
  <c r="M23" i="2367" s="1"/>
  <c r="I23" i="2367"/>
  <c r="H23" i="2367"/>
  <c r="K21" i="2367"/>
  <c r="L21" i="2367" s="1"/>
  <c r="M21" i="2367" s="1"/>
  <c r="I21" i="2367"/>
  <c r="H21" i="2367"/>
  <c r="K19" i="2367"/>
  <c r="L19" i="2367" s="1"/>
  <c r="M19" i="2367" s="1"/>
  <c r="I19" i="2367"/>
  <c r="H19" i="2367"/>
  <c r="K17" i="2367"/>
  <c r="L17" i="2367" s="1"/>
  <c r="M17" i="2367" s="1"/>
  <c r="I17" i="2367"/>
  <c r="H17" i="2367" s="1"/>
  <c r="K15" i="2367"/>
  <c r="L15" i="2367" s="1"/>
  <c r="M15" i="2367" s="1"/>
  <c r="I15" i="2367"/>
  <c r="H15" i="2367"/>
  <c r="K13" i="2367"/>
  <c r="L13" i="2367" s="1"/>
  <c r="M13" i="2367" s="1"/>
  <c r="I13" i="2367"/>
  <c r="H13" i="2367"/>
  <c r="K11" i="2367"/>
  <c r="L11" i="2367" s="1"/>
  <c r="M11" i="2367" s="1"/>
  <c r="I11" i="2367"/>
  <c r="H11" i="2367"/>
  <c r="K9" i="2367"/>
  <c r="L9" i="2367" s="1"/>
  <c r="M9" i="2367" s="1"/>
  <c r="I9" i="2367"/>
  <c r="H9" i="2367" s="1"/>
  <c r="K7" i="2367"/>
  <c r="L7" i="2367" s="1"/>
  <c r="M7" i="2367" s="1"/>
  <c r="I7" i="2367"/>
  <c r="H7" i="2367" s="1"/>
  <c r="K5" i="2367"/>
  <c r="L5" i="2367" s="1"/>
  <c r="M5" i="2367" s="1"/>
  <c r="I5" i="2367"/>
  <c r="H5" i="2367" s="1"/>
  <c r="K3" i="2367"/>
  <c r="L3" i="2367" s="1"/>
  <c r="M3" i="2367" s="1"/>
  <c r="I3" i="2367"/>
  <c r="H3" i="2367" s="1"/>
  <c r="M27" i="2366"/>
  <c r="L27" i="2366"/>
  <c r="K27" i="2366"/>
  <c r="H27" i="2366"/>
  <c r="I27" i="2366"/>
  <c r="M25" i="2366"/>
  <c r="L25" i="2366"/>
  <c r="K25" i="2366"/>
  <c r="I25" i="2366"/>
  <c r="H25" i="2366" s="1"/>
  <c r="M21" i="2366"/>
  <c r="L21" i="2366"/>
  <c r="K21" i="2366"/>
  <c r="H21" i="2366"/>
  <c r="I21" i="2366"/>
  <c r="M19" i="2366"/>
  <c r="L19" i="2366"/>
  <c r="K19" i="2366"/>
  <c r="H19" i="2366"/>
  <c r="I19" i="2366"/>
  <c r="L11" i="2366"/>
  <c r="M11" i="2366" s="1"/>
  <c r="K11" i="2366"/>
  <c r="I11" i="2366"/>
  <c r="H11" i="2366" s="1"/>
  <c r="K9" i="2366"/>
  <c r="L9" i="2366" s="1"/>
  <c r="M9" i="2366" s="1"/>
  <c r="I9" i="2366"/>
  <c r="H9" i="2366"/>
  <c r="H7" i="2366"/>
  <c r="I7" i="2366"/>
  <c r="M7" i="2366"/>
  <c r="L7" i="2366"/>
  <c r="K7" i="2366"/>
  <c r="H5" i="2366"/>
  <c r="M5" i="2366"/>
  <c r="L5" i="2366"/>
  <c r="K5" i="2366"/>
  <c r="I5" i="2366"/>
  <c r="L3" i="2366"/>
  <c r="M3" i="2366" s="1"/>
  <c r="K3" i="2366"/>
  <c r="I3" i="2366"/>
  <c r="H3" i="2366" s="1"/>
  <c r="K23" i="2366"/>
  <c r="L23" i="2366" s="1"/>
  <c r="M23" i="2366" s="1"/>
  <c r="I23" i="2366"/>
  <c r="H23" i="2366" s="1"/>
  <c r="K17" i="2366"/>
  <c r="L17" i="2366" s="1"/>
  <c r="M17" i="2366" s="1"/>
  <c r="I17" i="2366"/>
  <c r="H17" i="2366" s="1"/>
  <c r="K15" i="2366"/>
  <c r="L15" i="2366" s="1"/>
  <c r="M15" i="2366" s="1"/>
  <c r="I15" i="2366"/>
  <c r="H15" i="2366" s="1"/>
  <c r="K13" i="2366"/>
  <c r="L13" i="2366" s="1"/>
  <c r="M13" i="2366" s="1"/>
  <c r="I13" i="2366"/>
  <c r="H13" i="2366" s="1"/>
  <c r="K31" i="2365"/>
  <c r="L31" i="2365" s="1"/>
  <c r="M31" i="2365" s="1"/>
  <c r="I31" i="2365"/>
  <c r="H31" i="2365"/>
  <c r="M29" i="2365"/>
  <c r="L29" i="2365"/>
  <c r="K29" i="2365"/>
  <c r="H29" i="2365"/>
  <c r="I29" i="2365"/>
  <c r="K27" i="2365"/>
  <c r="L27" i="2365" s="1"/>
  <c r="M27" i="2365" s="1"/>
  <c r="I27" i="2365"/>
  <c r="H27" i="2365" s="1"/>
  <c r="K25" i="2365"/>
  <c r="L25" i="2365" s="1"/>
  <c r="M25" i="2365" s="1"/>
  <c r="I25" i="2365"/>
  <c r="H25" i="2365" s="1"/>
  <c r="K21" i="2365"/>
  <c r="L21" i="2365" s="1"/>
  <c r="M21" i="2365" s="1"/>
  <c r="I21" i="2365"/>
  <c r="H21" i="2365" s="1"/>
  <c r="K19" i="2365"/>
  <c r="L19" i="2365" s="1"/>
  <c r="M19" i="2365" s="1"/>
  <c r="I19" i="2365"/>
  <c r="H19" i="2365" s="1"/>
  <c r="K11" i="2365"/>
  <c r="L11" i="2365" s="1"/>
  <c r="M11" i="2365" s="1"/>
  <c r="I11" i="2365"/>
  <c r="H11" i="2365" s="1"/>
  <c r="K9" i="2365"/>
  <c r="L9" i="2365" s="1"/>
  <c r="M9" i="2365" s="1"/>
  <c r="I9" i="2365"/>
  <c r="H9" i="2365"/>
  <c r="K5" i="2365"/>
  <c r="L5" i="2365" s="1"/>
  <c r="M5" i="2365" s="1"/>
  <c r="I5" i="2365"/>
  <c r="H5" i="2365" s="1"/>
  <c r="K3" i="2365"/>
  <c r="L3" i="2365" s="1"/>
  <c r="M3" i="2365" s="1"/>
  <c r="I3" i="2365"/>
  <c r="H3" i="2365" s="1"/>
  <c r="K23" i="2365"/>
  <c r="L23" i="2365" s="1"/>
  <c r="M23" i="2365" s="1"/>
  <c r="I23" i="2365"/>
  <c r="H23" i="2365" s="1"/>
  <c r="K17" i="2365"/>
  <c r="L17" i="2365" s="1"/>
  <c r="M17" i="2365" s="1"/>
  <c r="I17" i="2365"/>
  <c r="H17" i="2365"/>
  <c r="K15" i="2365"/>
  <c r="L15" i="2365" s="1"/>
  <c r="M15" i="2365" s="1"/>
  <c r="I15" i="2365"/>
  <c r="H15" i="2365" s="1"/>
  <c r="K13" i="2365"/>
  <c r="L13" i="2365" s="1"/>
  <c r="M13" i="2365" s="1"/>
  <c r="I13" i="2365"/>
  <c r="H13" i="2365" s="1"/>
  <c r="K7" i="2365"/>
  <c r="L7" i="2365" s="1"/>
  <c r="M7" i="2365" s="1"/>
  <c r="I7" i="2365"/>
  <c r="H7" i="2365" s="1"/>
  <c r="K41" i="2364"/>
  <c r="L41" i="2364" s="1"/>
  <c r="M41" i="2364" s="1"/>
  <c r="I41" i="2364"/>
  <c r="H41" i="2364" s="1"/>
  <c r="K39" i="2364"/>
  <c r="L39" i="2364" s="1"/>
  <c r="M39" i="2364" s="1"/>
  <c r="I39" i="2364"/>
  <c r="H39" i="2364" s="1"/>
  <c r="K37" i="2364"/>
  <c r="L37" i="2364" s="1"/>
  <c r="M37" i="2364" s="1"/>
  <c r="I37" i="2364"/>
  <c r="H37" i="2364"/>
  <c r="K27" i="2364"/>
  <c r="L27" i="2364" s="1"/>
  <c r="M27" i="2364" s="1"/>
  <c r="I27" i="2364"/>
  <c r="H27" i="2364"/>
  <c r="K25" i="2364"/>
  <c r="L25" i="2364" s="1"/>
  <c r="M25" i="2364" s="1"/>
  <c r="I25" i="2364"/>
  <c r="H25" i="2364" s="1"/>
  <c r="K23" i="2364"/>
  <c r="L23" i="2364" s="1"/>
  <c r="M23" i="2364" s="1"/>
  <c r="I23" i="2364"/>
  <c r="H23" i="2364" s="1"/>
  <c r="K21" i="2364"/>
  <c r="L21" i="2364" s="1"/>
  <c r="M21" i="2364" s="1"/>
  <c r="I21" i="2364"/>
  <c r="H21" i="2364"/>
  <c r="K19" i="2364"/>
  <c r="L19" i="2364" s="1"/>
  <c r="M19" i="2364" s="1"/>
  <c r="I19" i="2364"/>
  <c r="H19" i="2364"/>
  <c r="K17" i="2364"/>
  <c r="L17" i="2364" s="1"/>
  <c r="M17" i="2364" s="1"/>
  <c r="I17" i="2364"/>
  <c r="H17" i="2364"/>
  <c r="K15" i="2364"/>
  <c r="L15" i="2364" s="1"/>
  <c r="M15" i="2364" s="1"/>
  <c r="I15" i="2364"/>
  <c r="H15" i="2364"/>
  <c r="K13" i="2364"/>
  <c r="L13" i="2364" s="1"/>
  <c r="M13" i="2364" s="1"/>
  <c r="I13" i="2364"/>
  <c r="H13" i="2364" s="1"/>
  <c r="K11" i="2364"/>
  <c r="L11" i="2364" s="1"/>
  <c r="M11" i="2364" s="1"/>
  <c r="I11" i="2364"/>
  <c r="H11" i="2364" s="1"/>
  <c r="K9" i="2364"/>
  <c r="L9" i="2364" s="1"/>
  <c r="M9" i="2364" s="1"/>
  <c r="I9" i="2364"/>
  <c r="H9" i="2364"/>
  <c r="K3" i="2364"/>
  <c r="L3" i="2364" s="1"/>
  <c r="M3" i="2364" s="1"/>
  <c r="I3" i="2364"/>
  <c r="H3" i="2364"/>
  <c r="K33" i="2363"/>
  <c r="L33" i="2363" s="1"/>
  <c r="M33" i="2363" s="1"/>
  <c r="I33" i="2363"/>
  <c r="H33" i="2363"/>
  <c r="I31" i="2363"/>
  <c r="H31" i="2363" s="1"/>
  <c r="K31" i="2363"/>
  <c r="L31" i="2363" s="1"/>
  <c r="M31" i="2363" s="1"/>
  <c r="K29" i="2363"/>
  <c r="L29" i="2363" s="1"/>
  <c r="M29" i="2363" s="1"/>
  <c r="I29" i="2363"/>
  <c r="H29" i="2363" s="1"/>
  <c r="K25" i="2363"/>
  <c r="L25" i="2363" s="1"/>
  <c r="M25" i="2363" s="1"/>
  <c r="I25" i="2363"/>
  <c r="H25" i="2363" s="1"/>
  <c r="P14" i="2363" s="1"/>
  <c r="K21" i="2363"/>
  <c r="L21" i="2363" s="1"/>
  <c r="M21" i="2363" s="1"/>
  <c r="I21" i="2363"/>
  <c r="H21" i="2363" s="1"/>
  <c r="K19" i="2363"/>
  <c r="L19" i="2363" s="1"/>
  <c r="M19" i="2363" s="1"/>
  <c r="I19" i="2363"/>
  <c r="H19" i="2363"/>
  <c r="I9" i="2363"/>
  <c r="H9" i="2363" s="1"/>
  <c r="K9" i="2363"/>
  <c r="L9" i="2363" s="1"/>
  <c r="M9" i="2363" s="1"/>
  <c r="K5" i="2363"/>
  <c r="L5" i="2363" s="1"/>
  <c r="M5" i="2363" s="1"/>
  <c r="I5" i="2363"/>
  <c r="H5" i="2363" s="1"/>
  <c r="K27" i="2363"/>
  <c r="L27" i="2363" s="1"/>
  <c r="M27" i="2363" s="1"/>
  <c r="I27" i="2363"/>
  <c r="H27" i="2363" s="1"/>
  <c r="K23" i="2363"/>
  <c r="L23" i="2363" s="1"/>
  <c r="M23" i="2363" s="1"/>
  <c r="I23" i="2363"/>
  <c r="H23" i="2363" s="1"/>
  <c r="K17" i="2363"/>
  <c r="L17" i="2363" s="1"/>
  <c r="M17" i="2363" s="1"/>
  <c r="I17" i="2363"/>
  <c r="H17" i="2363" s="1"/>
  <c r="K15" i="2363"/>
  <c r="L15" i="2363" s="1"/>
  <c r="M15" i="2363" s="1"/>
  <c r="I15" i="2363"/>
  <c r="H15" i="2363" s="1"/>
  <c r="K13" i="2363"/>
  <c r="L13" i="2363" s="1"/>
  <c r="M13" i="2363" s="1"/>
  <c r="I13" i="2363"/>
  <c r="H13" i="2363"/>
  <c r="K11" i="2363"/>
  <c r="I11" i="2363"/>
  <c r="H11" i="2363" s="1"/>
  <c r="K7" i="2363"/>
  <c r="L7" i="2363" s="1"/>
  <c r="M7" i="2363" s="1"/>
  <c r="I7" i="2363"/>
  <c r="H7" i="2363" s="1"/>
  <c r="K3" i="2363"/>
  <c r="L3" i="2363" s="1"/>
  <c r="M3" i="2363" s="1"/>
  <c r="I3" i="2363"/>
  <c r="H3" i="2363" s="1"/>
  <c r="K33" i="2362"/>
  <c r="L33" i="2362" s="1"/>
  <c r="M33" i="2362" s="1"/>
  <c r="I33" i="2362"/>
  <c r="H33" i="2362" s="1"/>
  <c r="K43" i="2362"/>
  <c r="L43" i="2362" s="1"/>
  <c r="M43" i="2362" s="1"/>
  <c r="I43" i="2362"/>
  <c r="H43" i="2362"/>
  <c r="K41" i="2362"/>
  <c r="L41" i="2362" s="1"/>
  <c r="M41" i="2362" s="1"/>
  <c r="I41" i="2362"/>
  <c r="H41" i="2362"/>
  <c r="K39" i="2362"/>
  <c r="L39" i="2362" s="1"/>
  <c r="M39" i="2362" s="1"/>
  <c r="I39" i="2362"/>
  <c r="H39" i="2362"/>
  <c r="K37" i="2362"/>
  <c r="L37" i="2362" s="1"/>
  <c r="M37" i="2362" s="1"/>
  <c r="I37" i="2362"/>
  <c r="H37" i="2362"/>
  <c r="K27" i="2362"/>
  <c r="L27" i="2362" s="1"/>
  <c r="M27" i="2362" s="1"/>
  <c r="I27" i="2362"/>
  <c r="H27" i="2362" s="1"/>
  <c r="K25" i="2362"/>
  <c r="L25" i="2362" s="1"/>
  <c r="M25" i="2362" s="1"/>
  <c r="I25" i="2362"/>
  <c r="H25" i="2362" s="1"/>
  <c r="K23" i="2362"/>
  <c r="L23" i="2362" s="1"/>
  <c r="M23" i="2362" s="1"/>
  <c r="I23" i="2362"/>
  <c r="H23" i="2362"/>
  <c r="K21" i="2362"/>
  <c r="L21" i="2362" s="1"/>
  <c r="M21" i="2362" s="1"/>
  <c r="I21" i="2362"/>
  <c r="H21" i="2362"/>
  <c r="K19" i="2362"/>
  <c r="L19" i="2362" s="1"/>
  <c r="M19" i="2362" s="1"/>
  <c r="I19" i="2362"/>
  <c r="H19" i="2362"/>
  <c r="K17" i="2362"/>
  <c r="L17" i="2362" s="1"/>
  <c r="M17" i="2362" s="1"/>
  <c r="I17" i="2362"/>
  <c r="H17" i="2362" s="1"/>
  <c r="K15" i="2362"/>
  <c r="L15" i="2362" s="1"/>
  <c r="M15" i="2362" s="1"/>
  <c r="I15" i="2362"/>
  <c r="H15" i="2362"/>
  <c r="K13" i="2362"/>
  <c r="L13" i="2362" s="1"/>
  <c r="M13" i="2362" s="1"/>
  <c r="I13" i="2362"/>
  <c r="H13" i="2362"/>
  <c r="K11" i="2362"/>
  <c r="L11" i="2362" s="1"/>
  <c r="M11" i="2362" s="1"/>
  <c r="I11" i="2362"/>
  <c r="H11" i="2362" s="1"/>
  <c r="K9" i="2362"/>
  <c r="L9" i="2362" s="1"/>
  <c r="M9" i="2362" s="1"/>
  <c r="I9" i="2362"/>
  <c r="H9" i="2362"/>
  <c r="K3" i="2362"/>
  <c r="L3" i="2362" s="1"/>
  <c r="M3" i="2362" s="1"/>
  <c r="I3" i="2362"/>
  <c r="H3" i="2362"/>
  <c r="P13" i="2363" l="1"/>
  <c r="P15" i="2363" s="1"/>
  <c r="P16" i="2363" s="1"/>
  <c r="N35" i="2368"/>
  <c r="L11" i="2363"/>
  <c r="M11" i="2363" s="1"/>
  <c r="K17" i="2361"/>
  <c r="L17" i="2361" s="1"/>
  <c r="M17" i="2361" s="1"/>
  <c r="I17" i="2361"/>
  <c r="H17" i="2361" s="1"/>
  <c r="K29" i="2361"/>
  <c r="L29" i="2361" s="1"/>
  <c r="M29" i="2361" s="1"/>
  <c r="I29" i="2361"/>
  <c r="H29" i="2361" s="1"/>
  <c r="K27" i="2361"/>
  <c r="L27" i="2361" s="1"/>
  <c r="M27" i="2361" s="1"/>
  <c r="I27" i="2361"/>
  <c r="H27" i="2361"/>
  <c r="K13" i="2361"/>
  <c r="L13" i="2361" s="1"/>
  <c r="M13" i="2361" s="1"/>
  <c r="I13" i="2361"/>
  <c r="H13" i="2361" s="1"/>
  <c r="K25" i="2361"/>
  <c r="L25" i="2361" s="1"/>
  <c r="M25" i="2361" s="1"/>
  <c r="I25" i="2361"/>
  <c r="H25" i="2361"/>
  <c r="K23" i="2361"/>
  <c r="L23" i="2361" s="1"/>
  <c r="M23" i="2361" s="1"/>
  <c r="I23" i="2361"/>
  <c r="H23" i="2361" s="1"/>
  <c r="K21" i="2361"/>
  <c r="L21" i="2361" s="1"/>
  <c r="M21" i="2361" s="1"/>
  <c r="I21" i="2361"/>
  <c r="H21" i="2361"/>
  <c r="K19" i="2361"/>
  <c r="L19" i="2361" s="1"/>
  <c r="M19" i="2361" s="1"/>
  <c r="I19" i="2361"/>
  <c r="H19" i="2361" s="1"/>
  <c r="K15" i="2361"/>
  <c r="L15" i="2361" s="1"/>
  <c r="M15" i="2361" s="1"/>
  <c r="I15" i="2361"/>
  <c r="H15" i="2361" s="1"/>
  <c r="K11" i="2361"/>
  <c r="L11" i="2361" s="1"/>
  <c r="M11" i="2361" s="1"/>
  <c r="I11" i="2361"/>
  <c r="H11" i="2361" s="1"/>
  <c r="K9" i="2361"/>
  <c r="L9" i="2361" s="1"/>
  <c r="M9" i="2361" s="1"/>
  <c r="I9" i="2361"/>
  <c r="H9" i="2361"/>
  <c r="K3" i="2361"/>
  <c r="L3" i="2361" s="1"/>
  <c r="M3" i="2361" s="1"/>
  <c r="I3" i="2361"/>
  <c r="H3" i="2361"/>
  <c r="P23" i="2360" l="1"/>
  <c r="P22" i="2360"/>
  <c r="P16" i="2360"/>
  <c r="P15" i="2360"/>
  <c r="K21" i="2360"/>
  <c r="L21" i="2360" s="1"/>
  <c r="M27" i="2360"/>
  <c r="L27" i="2360"/>
  <c r="K27" i="2360"/>
  <c r="H27" i="2360"/>
  <c r="I27" i="2360"/>
  <c r="M25" i="2360"/>
  <c r="L25" i="2360"/>
  <c r="K25" i="2360"/>
  <c r="H25" i="2360"/>
  <c r="I25" i="2360"/>
  <c r="K23" i="2360"/>
  <c r="L23" i="2360" s="1"/>
  <c r="M23" i="2360" s="1"/>
  <c r="I23" i="2360"/>
  <c r="H23" i="2360" s="1"/>
  <c r="I21" i="2360"/>
  <c r="H21" i="2360" s="1"/>
  <c r="M9" i="2360"/>
  <c r="L9" i="2360"/>
  <c r="K9" i="2360"/>
  <c r="H9" i="2360"/>
  <c r="I9" i="2360"/>
  <c r="K5" i="2360"/>
  <c r="L5" i="2360" s="1"/>
  <c r="M5" i="2360" s="1"/>
  <c r="I5" i="2360"/>
  <c r="H5" i="2360" s="1"/>
  <c r="K3" i="2360"/>
  <c r="L3" i="2360" s="1"/>
  <c r="M3" i="2360" s="1"/>
  <c r="I3" i="2360"/>
  <c r="H3" i="2360" s="1"/>
  <c r="K17" i="2360"/>
  <c r="L17" i="2360" s="1"/>
  <c r="M17" i="2360" s="1"/>
  <c r="I17" i="2360"/>
  <c r="H17" i="2360"/>
  <c r="K15" i="2360"/>
  <c r="L15" i="2360" s="1"/>
  <c r="M15" i="2360" s="1"/>
  <c r="I15" i="2360"/>
  <c r="H15" i="2360" s="1"/>
  <c r="K13" i="2360"/>
  <c r="L13" i="2360" s="1"/>
  <c r="M13" i="2360" s="1"/>
  <c r="I13" i="2360"/>
  <c r="H13" i="2360" s="1"/>
  <c r="K7" i="2360"/>
  <c r="L7" i="2360" s="1"/>
  <c r="M7" i="2360" s="1"/>
  <c r="I7" i="2360"/>
  <c r="H7" i="2360"/>
  <c r="K39" i="2359"/>
  <c r="L39" i="2359" s="1"/>
  <c r="M39" i="2359" s="1"/>
  <c r="I39" i="2359"/>
  <c r="H39" i="2359"/>
  <c r="K37" i="2359"/>
  <c r="L37" i="2359" s="1"/>
  <c r="M37" i="2359" s="1"/>
  <c r="I37" i="2359"/>
  <c r="H37" i="2359"/>
  <c r="N23" i="2359"/>
  <c r="M23" i="2359"/>
  <c r="L23" i="2359"/>
  <c r="K23" i="2359"/>
  <c r="H23" i="2359"/>
  <c r="I23" i="2359"/>
  <c r="M21" i="2360" l="1"/>
  <c r="K43" i="2359"/>
  <c r="L43" i="2359" s="1"/>
  <c r="M43" i="2359" s="1"/>
  <c r="N43" i="2359" s="1"/>
  <c r="I43" i="2359"/>
  <c r="H43" i="2359"/>
  <c r="K41" i="2359"/>
  <c r="L41" i="2359" s="1"/>
  <c r="M41" i="2359" s="1"/>
  <c r="N41" i="2359" s="1"/>
  <c r="I41" i="2359"/>
  <c r="H41" i="2359"/>
  <c r="N39" i="2359"/>
  <c r="N37" i="2359"/>
  <c r="K27" i="2359"/>
  <c r="L27" i="2359" s="1"/>
  <c r="M27" i="2359" s="1"/>
  <c r="N27" i="2359" s="1"/>
  <c r="I27" i="2359"/>
  <c r="H27" i="2359"/>
  <c r="M25" i="2359"/>
  <c r="N25" i="2359" s="1"/>
  <c r="L25" i="2359"/>
  <c r="K25" i="2359"/>
  <c r="I25" i="2359"/>
  <c r="H25" i="2359"/>
  <c r="K21" i="2359"/>
  <c r="L21" i="2359" s="1"/>
  <c r="M21" i="2359" s="1"/>
  <c r="N21" i="2359" s="1"/>
  <c r="I21" i="2359"/>
  <c r="H21" i="2359"/>
  <c r="K19" i="2359"/>
  <c r="L19" i="2359" s="1"/>
  <c r="M19" i="2359" s="1"/>
  <c r="N19" i="2359" s="1"/>
  <c r="I19" i="2359"/>
  <c r="H19" i="2359"/>
  <c r="K17" i="2359"/>
  <c r="L17" i="2359" s="1"/>
  <c r="M17" i="2359" s="1"/>
  <c r="N17" i="2359" s="1"/>
  <c r="I17" i="2359"/>
  <c r="H17" i="2359"/>
  <c r="K15" i="2359"/>
  <c r="L15" i="2359" s="1"/>
  <c r="M15" i="2359" s="1"/>
  <c r="N15" i="2359" s="1"/>
  <c r="I15" i="2359"/>
  <c r="H15" i="2359" s="1"/>
  <c r="K13" i="2359"/>
  <c r="L13" i="2359" s="1"/>
  <c r="M13" i="2359" s="1"/>
  <c r="N13" i="2359" s="1"/>
  <c r="I13" i="2359"/>
  <c r="H13" i="2359" s="1"/>
  <c r="K11" i="2359"/>
  <c r="L11" i="2359" s="1"/>
  <c r="M11" i="2359" s="1"/>
  <c r="N11" i="2359" s="1"/>
  <c r="I11" i="2359"/>
  <c r="H11" i="2359"/>
  <c r="L9" i="2359"/>
  <c r="M9" i="2359" s="1"/>
  <c r="N9" i="2359" s="1"/>
  <c r="K9" i="2359"/>
  <c r="I9" i="2359"/>
  <c r="H9" i="2359"/>
  <c r="K3" i="2359"/>
  <c r="L3" i="2359" s="1"/>
  <c r="M3" i="2359" s="1"/>
  <c r="N3" i="2359" s="1"/>
  <c r="I3" i="2359"/>
  <c r="H3" i="2359"/>
  <c r="N39" i="2358"/>
  <c r="N37" i="2358"/>
  <c r="K39" i="2358"/>
  <c r="L39" i="2358" s="1"/>
  <c r="M39" i="2358" s="1"/>
  <c r="I39" i="2358"/>
  <c r="H39" i="2358"/>
  <c r="K37" i="2358"/>
  <c r="L37" i="2358" s="1"/>
  <c r="M37" i="2358" s="1"/>
  <c r="I37" i="2358"/>
  <c r="H37" i="2358" s="1"/>
  <c r="N23" i="2358"/>
  <c r="M23" i="2358"/>
  <c r="L23" i="2358"/>
  <c r="K23" i="2358"/>
  <c r="H23" i="2358"/>
  <c r="I23" i="2358"/>
  <c r="N43" i="2358"/>
  <c r="N25" i="2358"/>
  <c r="N21" i="2358"/>
  <c r="N19" i="2358"/>
  <c r="N17" i="2358"/>
  <c r="N15" i="2358"/>
  <c r="N11" i="2358"/>
  <c r="N9" i="2358"/>
  <c r="N3" i="2358"/>
  <c r="K43" i="2358"/>
  <c r="L43" i="2358" s="1"/>
  <c r="M43" i="2358" s="1"/>
  <c r="I43" i="2358"/>
  <c r="H43" i="2358"/>
  <c r="K41" i="2358"/>
  <c r="L41" i="2358" s="1"/>
  <c r="M41" i="2358" s="1"/>
  <c r="N41" i="2358" s="1"/>
  <c r="I41" i="2358"/>
  <c r="H41" i="2358" s="1"/>
  <c r="K27" i="2358"/>
  <c r="L27" i="2358" s="1"/>
  <c r="M27" i="2358" s="1"/>
  <c r="N27" i="2358" s="1"/>
  <c r="I27" i="2358"/>
  <c r="H27" i="2358" s="1"/>
  <c r="K25" i="2358"/>
  <c r="L25" i="2358" s="1"/>
  <c r="M25" i="2358" s="1"/>
  <c r="I25" i="2358"/>
  <c r="H25" i="2358" s="1"/>
  <c r="K21" i="2358"/>
  <c r="L21" i="2358" s="1"/>
  <c r="M21" i="2358" s="1"/>
  <c r="I21" i="2358"/>
  <c r="H21" i="2358" s="1"/>
  <c r="K19" i="2358"/>
  <c r="L19" i="2358" s="1"/>
  <c r="M19" i="2358" s="1"/>
  <c r="I19" i="2358"/>
  <c r="H19" i="2358"/>
  <c r="K17" i="2358"/>
  <c r="L17" i="2358" s="1"/>
  <c r="M17" i="2358" s="1"/>
  <c r="I17" i="2358"/>
  <c r="H17" i="2358" s="1"/>
  <c r="K15" i="2358"/>
  <c r="L15" i="2358" s="1"/>
  <c r="M15" i="2358" s="1"/>
  <c r="I15" i="2358"/>
  <c r="H15" i="2358"/>
  <c r="K13" i="2358"/>
  <c r="L13" i="2358" s="1"/>
  <c r="M13" i="2358" s="1"/>
  <c r="N13" i="2358" s="1"/>
  <c r="I13" i="2358"/>
  <c r="H13" i="2358" s="1"/>
  <c r="K11" i="2358"/>
  <c r="L11" i="2358" s="1"/>
  <c r="M11" i="2358" s="1"/>
  <c r="I11" i="2358"/>
  <c r="H11" i="2358" s="1"/>
  <c r="K9" i="2358"/>
  <c r="L9" i="2358" s="1"/>
  <c r="M9" i="2358" s="1"/>
  <c r="I9" i="2358"/>
  <c r="H9" i="2358"/>
  <c r="K3" i="2358"/>
  <c r="L3" i="2358" s="1"/>
  <c r="M3" i="2358" s="1"/>
  <c r="I3" i="2358"/>
  <c r="H3" i="2358"/>
  <c r="K39" i="2357"/>
  <c r="L39" i="2357" s="1"/>
  <c r="M39" i="2357" s="1"/>
  <c r="I39" i="2357"/>
  <c r="H39" i="2357"/>
  <c r="K37" i="2357"/>
  <c r="L37" i="2357" s="1"/>
  <c r="M37" i="2357" s="1"/>
  <c r="I37" i="2357"/>
  <c r="H37" i="2357"/>
  <c r="I39" i="2356"/>
  <c r="H39" i="2356" s="1"/>
  <c r="K39" i="2356"/>
  <c r="L39" i="2356" s="1"/>
  <c r="M39" i="2356" s="1"/>
  <c r="M37" i="2356"/>
  <c r="L37" i="2356"/>
  <c r="K37" i="2356"/>
  <c r="H37" i="2356"/>
  <c r="I37" i="2356"/>
  <c r="K43" i="2357"/>
  <c r="L43" i="2357" s="1"/>
  <c r="M43" i="2357" s="1"/>
  <c r="I43" i="2357"/>
  <c r="H43" i="2357"/>
  <c r="K41" i="2357"/>
  <c r="L41" i="2357" s="1"/>
  <c r="M41" i="2357" s="1"/>
  <c r="I41" i="2357"/>
  <c r="H41" i="2357"/>
  <c r="K27" i="2357"/>
  <c r="L27" i="2357" s="1"/>
  <c r="M27" i="2357" s="1"/>
  <c r="I27" i="2357"/>
  <c r="H27" i="2357"/>
  <c r="K25" i="2357"/>
  <c r="L25" i="2357" s="1"/>
  <c r="M25" i="2357" s="1"/>
  <c r="I25" i="2357"/>
  <c r="H25" i="2357"/>
  <c r="K23" i="2357"/>
  <c r="L23" i="2357" s="1"/>
  <c r="M23" i="2357" s="1"/>
  <c r="I23" i="2357"/>
  <c r="H23" i="2357"/>
  <c r="K21" i="2357"/>
  <c r="L21" i="2357" s="1"/>
  <c r="M21" i="2357" s="1"/>
  <c r="I21" i="2357"/>
  <c r="H21" i="2357"/>
  <c r="K19" i="2357"/>
  <c r="L19" i="2357" s="1"/>
  <c r="M19" i="2357" s="1"/>
  <c r="I19" i="2357"/>
  <c r="H19" i="2357"/>
  <c r="K17" i="2357"/>
  <c r="L17" i="2357" s="1"/>
  <c r="M17" i="2357" s="1"/>
  <c r="I17" i="2357"/>
  <c r="H17" i="2357" s="1"/>
  <c r="K15" i="2357"/>
  <c r="L15" i="2357" s="1"/>
  <c r="M15" i="2357" s="1"/>
  <c r="I15" i="2357"/>
  <c r="H15" i="2357"/>
  <c r="K13" i="2357"/>
  <c r="L13" i="2357" s="1"/>
  <c r="M13" i="2357" s="1"/>
  <c r="I13" i="2357"/>
  <c r="H13" i="2357"/>
  <c r="K11" i="2357"/>
  <c r="L11" i="2357" s="1"/>
  <c r="M11" i="2357" s="1"/>
  <c r="I11" i="2357"/>
  <c r="H11" i="2357"/>
  <c r="K9" i="2357"/>
  <c r="L9" i="2357" s="1"/>
  <c r="M9" i="2357" s="1"/>
  <c r="I9" i="2357"/>
  <c r="H9" i="2357"/>
  <c r="K3" i="2357"/>
  <c r="L3" i="2357" s="1"/>
  <c r="M3" i="2357" s="1"/>
  <c r="I3" i="2357"/>
  <c r="H3" i="2357"/>
  <c r="M23" i="2356"/>
  <c r="L23" i="2356"/>
  <c r="K23" i="2356"/>
  <c r="H23" i="2356"/>
  <c r="I23" i="2356"/>
  <c r="K43" i="2356"/>
  <c r="L43" i="2356" s="1"/>
  <c r="M43" i="2356" s="1"/>
  <c r="I43" i="2356"/>
  <c r="H43" i="2356" s="1"/>
  <c r="K41" i="2356"/>
  <c r="L41" i="2356" s="1"/>
  <c r="M41" i="2356" s="1"/>
  <c r="I41" i="2356"/>
  <c r="H41" i="2356" s="1"/>
  <c r="K27" i="2356"/>
  <c r="L27" i="2356" s="1"/>
  <c r="M27" i="2356" s="1"/>
  <c r="I27" i="2356"/>
  <c r="H27" i="2356"/>
  <c r="K25" i="2356"/>
  <c r="L25" i="2356" s="1"/>
  <c r="M25" i="2356" s="1"/>
  <c r="I25" i="2356"/>
  <c r="H25" i="2356" s="1"/>
  <c r="K21" i="2356"/>
  <c r="L21" i="2356" s="1"/>
  <c r="M21" i="2356" s="1"/>
  <c r="I21" i="2356"/>
  <c r="H21" i="2356"/>
  <c r="K19" i="2356"/>
  <c r="L19" i="2356" s="1"/>
  <c r="M19" i="2356" s="1"/>
  <c r="I19" i="2356"/>
  <c r="H19" i="2356"/>
  <c r="K17" i="2356"/>
  <c r="L17" i="2356" s="1"/>
  <c r="M17" i="2356" s="1"/>
  <c r="I17" i="2356"/>
  <c r="H17" i="2356" s="1"/>
  <c r="K15" i="2356"/>
  <c r="L15" i="2356" s="1"/>
  <c r="M15" i="2356" s="1"/>
  <c r="I15" i="2356"/>
  <c r="H15" i="2356" s="1"/>
  <c r="K13" i="2356"/>
  <c r="L13" i="2356" s="1"/>
  <c r="M13" i="2356" s="1"/>
  <c r="I13" i="2356"/>
  <c r="H13" i="2356" s="1"/>
  <c r="K11" i="2356"/>
  <c r="L11" i="2356" s="1"/>
  <c r="M11" i="2356" s="1"/>
  <c r="I11" i="2356"/>
  <c r="H11" i="2356" s="1"/>
  <c r="K9" i="2356"/>
  <c r="L9" i="2356" s="1"/>
  <c r="M9" i="2356" s="1"/>
  <c r="I9" i="2356"/>
  <c r="H9" i="2356" s="1"/>
  <c r="K3" i="2356"/>
  <c r="L3" i="2356" s="1"/>
  <c r="M3" i="2356" s="1"/>
  <c r="I3" i="2356"/>
  <c r="H3" i="2356"/>
  <c r="K19" i="2355"/>
  <c r="L19" i="2355" s="1"/>
  <c r="M19" i="2355" s="1"/>
  <c r="I19" i="2355"/>
  <c r="H19" i="2355" s="1"/>
  <c r="I9" i="2355"/>
  <c r="H9" i="2355" s="1"/>
  <c r="K9" i="2355"/>
  <c r="L9" i="2355" s="1"/>
  <c r="M9" i="2355" s="1"/>
  <c r="K17" i="2355"/>
  <c r="L17" i="2355" s="1"/>
  <c r="M17" i="2355" s="1"/>
  <c r="I17" i="2355"/>
  <c r="H17" i="2355" s="1"/>
  <c r="K15" i="2355"/>
  <c r="L15" i="2355" s="1"/>
  <c r="M15" i="2355" s="1"/>
  <c r="I15" i="2355"/>
  <c r="H15" i="2355" s="1"/>
  <c r="K13" i="2355"/>
  <c r="L13" i="2355" s="1"/>
  <c r="M13" i="2355" s="1"/>
  <c r="I13" i="2355"/>
  <c r="H13" i="2355" s="1"/>
  <c r="K11" i="2355"/>
  <c r="L11" i="2355" s="1"/>
  <c r="M11" i="2355" s="1"/>
  <c r="I11" i="2355"/>
  <c r="H11" i="2355" s="1"/>
  <c r="K7" i="2355"/>
  <c r="L7" i="2355" s="1"/>
  <c r="M7" i="2355" s="1"/>
  <c r="I7" i="2355"/>
  <c r="H7" i="2355" s="1"/>
  <c r="K5" i="2355"/>
  <c r="L5" i="2355" s="1"/>
  <c r="M5" i="2355" s="1"/>
  <c r="I5" i="2355"/>
  <c r="H5" i="2355" s="1"/>
  <c r="K3" i="2355"/>
  <c r="L3" i="2355" s="1"/>
  <c r="M3" i="2355" s="1"/>
  <c r="I3" i="2355"/>
  <c r="H3" i="2355" s="1"/>
  <c r="M45" i="2354" l="1"/>
  <c r="L45" i="2354"/>
  <c r="K45" i="2354"/>
  <c r="H45" i="2354"/>
  <c r="I45" i="2354"/>
  <c r="M41" i="2354"/>
  <c r="L41" i="2354"/>
  <c r="K41" i="2354"/>
  <c r="H41" i="2354"/>
  <c r="I41" i="2354"/>
  <c r="K43" i="2354"/>
  <c r="L43" i="2354" s="1"/>
  <c r="M43" i="2354" s="1"/>
  <c r="I43" i="2354"/>
  <c r="H43" i="2354"/>
  <c r="K35" i="2354"/>
  <c r="L35" i="2354" s="1"/>
  <c r="M35" i="2354" s="1"/>
  <c r="I35" i="2354"/>
  <c r="H35" i="2354" s="1"/>
  <c r="K33" i="2354"/>
  <c r="L33" i="2354" s="1"/>
  <c r="M33" i="2354" s="1"/>
  <c r="I33" i="2354"/>
  <c r="H33" i="2354" s="1"/>
  <c r="K29" i="2354"/>
  <c r="L29" i="2354" s="1"/>
  <c r="M29" i="2354" s="1"/>
  <c r="I29" i="2354"/>
  <c r="H29" i="2354" s="1"/>
  <c r="K23" i="2354"/>
  <c r="L23" i="2354" s="1"/>
  <c r="M23" i="2354" s="1"/>
  <c r="I23" i="2354"/>
  <c r="H23" i="2354" s="1"/>
  <c r="K13" i="2354"/>
  <c r="L13" i="2354" s="1"/>
  <c r="M13" i="2354" s="1"/>
  <c r="I13" i="2354"/>
  <c r="H13" i="2354" s="1"/>
  <c r="K11" i="2354"/>
  <c r="L11" i="2354" s="1"/>
  <c r="M11" i="2354" s="1"/>
  <c r="I11" i="2354"/>
  <c r="H11" i="2354" s="1"/>
  <c r="K31" i="2354"/>
  <c r="L31" i="2354" s="1"/>
  <c r="M31" i="2354" s="1"/>
  <c r="I31" i="2354"/>
  <c r="H31" i="2354" s="1"/>
  <c r="K27" i="2354"/>
  <c r="L27" i="2354" s="1"/>
  <c r="M27" i="2354" s="1"/>
  <c r="I27" i="2354"/>
  <c r="H27" i="2354" s="1"/>
  <c r="K25" i="2354"/>
  <c r="L25" i="2354" s="1"/>
  <c r="M25" i="2354" s="1"/>
  <c r="I25" i="2354"/>
  <c r="H25" i="2354" s="1"/>
  <c r="K21" i="2354"/>
  <c r="L21" i="2354" s="1"/>
  <c r="M21" i="2354" s="1"/>
  <c r="I21" i="2354"/>
  <c r="H21" i="2354"/>
  <c r="K15" i="2354"/>
  <c r="L15" i="2354" s="1"/>
  <c r="M15" i="2354" s="1"/>
  <c r="I15" i="2354"/>
  <c r="H15" i="2354" s="1"/>
  <c r="K3" i="2354"/>
  <c r="L3" i="2354" s="1"/>
  <c r="M3" i="2354" s="1"/>
  <c r="I3" i="2354"/>
  <c r="H3" i="2354"/>
  <c r="P17" i="2353"/>
  <c r="P16" i="2353"/>
  <c r="P14" i="2353"/>
  <c r="P13" i="2353"/>
  <c r="L35" i="2353"/>
  <c r="M35" i="2353" s="1"/>
  <c r="K35" i="2353"/>
  <c r="I35" i="2353"/>
  <c r="H35" i="2353" s="1"/>
  <c r="M31" i="2353"/>
  <c r="L31" i="2353"/>
  <c r="K31" i="2353"/>
  <c r="K27" i="2353"/>
  <c r="L27" i="2353" s="1"/>
  <c r="M27" i="2353" s="1"/>
  <c r="I27" i="2353"/>
  <c r="H27" i="2353" s="1"/>
  <c r="L11" i="2353"/>
  <c r="M11" i="2353" s="1"/>
  <c r="K11" i="2353"/>
  <c r="I11" i="2353"/>
  <c r="H11" i="2353" s="1"/>
  <c r="K5" i="2353"/>
  <c r="L5" i="2353" s="1"/>
  <c r="M5" i="2353" s="1"/>
  <c r="I5" i="2353"/>
  <c r="H5" i="2353"/>
  <c r="I31" i="2353" l="1"/>
  <c r="H31" i="2353" s="1"/>
  <c r="K29" i="2353"/>
  <c r="I29" i="2353"/>
  <c r="H29" i="2353" s="1"/>
  <c r="K23" i="2353"/>
  <c r="L23" i="2353" s="1"/>
  <c r="M23" i="2353" s="1"/>
  <c r="I23" i="2353"/>
  <c r="H23" i="2353" s="1"/>
  <c r="K21" i="2353"/>
  <c r="L21" i="2353" s="1"/>
  <c r="M21" i="2353" s="1"/>
  <c r="I21" i="2353"/>
  <c r="H21" i="2353"/>
  <c r="K19" i="2353"/>
  <c r="L19" i="2353" s="1"/>
  <c r="M19" i="2353" s="1"/>
  <c r="I19" i="2353"/>
  <c r="H19" i="2353" s="1"/>
  <c r="K17" i="2353"/>
  <c r="L17" i="2353" s="1"/>
  <c r="M17" i="2353" s="1"/>
  <c r="I17" i="2353"/>
  <c r="H17" i="2353" s="1"/>
  <c r="K13" i="2353"/>
  <c r="L13" i="2353" s="1"/>
  <c r="I13" i="2353"/>
  <c r="H13" i="2353" s="1"/>
  <c r="K9" i="2353"/>
  <c r="L9" i="2353" s="1"/>
  <c r="M9" i="2353" s="1"/>
  <c r="I9" i="2353"/>
  <c r="H9" i="2353" s="1"/>
  <c r="K3" i="2353"/>
  <c r="L3" i="2353" s="1"/>
  <c r="M3" i="2353" s="1"/>
  <c r="I3" i="2353"/>
  <c r="H3" i="2353" s="1"/>
  <c r="K43" i="2352"/>
  <c r="L43" i="2352" s="1"/>
  <c r="M43" i="2352" s="1"/>
  <c r="I43" i="2352"/>
  <c r="H43" i="2352" s="1"/>
  <c r="M35" i="2352"/>
  <c r="L35" i="2352"/>
  <c r="K35" i="2352"/>
  <c r="H35" i="2352"/>
  <c r="I35" i="2352"/>
  <c r="K33" i="2352"/>
  <c r="L33" i="2352" s="1"/>
  <c r="M33" i="2352" s="1"/>
  <c r="I33" i="2352"/>
  <c r="H33" i="2352" s="1"/>
  <c r="K29" i="2352"/>
  <c r="L29" i="2352" s="1"/>
  <c r="M29" i="2352" s="1"/>
  <c r="I29" i="2352"/>
  <c r="H29" i="2352" s="1"/>
  <c r="M13" i="2353" l="1"/>
  <c r="L29" i="2353"/>
  <c r="M29" i="2353" s="1"/>
  <c r="K13" i="2352"/>
  <c r="L13" i="2352" s="1"/>
  <c r="M13" i="2352" s="1"/>
  <c r="I13" i="2352"/>
  <c r="H13" i="2352" s="1"/>
  <c r="K11" i="2352"/>
  <c r="L11" i="2352" s="1"/>
  <c r="M11" i="2352" s="1"/>
  <c r="I11" i="2352"/>
  <c r="H11" i="2352" s="1"/>
  <c r="K41" i="2352"/>
  <c r="L41" i="2352" s="1"/>
  <c r="M41" i="2352" s="1"/>
  <c r="I41" i="2352"/>
  <c r="H41" i="2352" s="1"/>
  <c r="K39" i="2352"/>
  <c r="L39" i="2352" s="1"/>
  <c r="M39" i="2352" s="1"/>
  <c r="I39" i="2352"/>
  <c r="H39" i="2352" s="1"/>
  <c r="K37" i="2352"/>
  <c r="L37" i="2352" s="1"/>
  <c r="M37" i="2352" s="1"/>
  <c r="I37" i="2352"/>
  <c r="H37" i="2352"/>
  <c r="K31" i="2352"/>
  <c r="L31" i="2352" s="1"/>
  <c r="M31" i="2352" s="1"/>
  <c r="I31" i="2352"/>
  <c r="H31" i="2352" s="1"/>
  <c r="K27" i="2352"/>
  <c r="L27" i="2352" s="1"/>
  <c r="M27" i="2352" s="1"/>
  <c r="I27" i="2352"/>
  <c r="H27" i="2352" s="1"/>
  <c r="K25" i="2352"/>
  <c r="L25" i="2352" s="1"/>
  <c r="M25" i="2352" s="1"/>
  <c r="I25" i="2352"/>
  <c r="H25" i="2352" s="1"/>
  <c r="K23" i="2352"/>
  <c r="L23" i="2352" s="1"/>
  <c r="M23" i="2352" s="1"/>
  <c r="I23" i="2352"/>
  <c r="H23" i="2352" s="1"/>
  <c r="K21" i="2352"/>
  <c r="L21" i="2352" s="1"/>
  <c r="M21" i="2352" s="1"/>
  <c r="I21" i="2352"/>
  <c r="H21" i="2352" s="1"/>
  <c r="K15" i="2352"/>
  <c r="L15" i="2352" s="1"/>
  <c r="M15" i="2352" s="1"/>
  <c r="I15" i="2352"/>
  <c r="H15" i="2352" s="1"/>
  <c r="K3" i="2352"/>
  <c r="L3" i="2352" s="1"/>
  <c r="M3" i="2352" s="1"/>
  <c r="I3" i="2352"/>
  <c r="H3" i="2352" s="1"/>
  <c r="N39" i="2351"/>
  <c r="M39" i="2351"/>
  <c r="L39" i="2351"/>
  <c r="K39" i="2351"/>
  <c r="I39" i="2351"/>
  <c r="H39" i="2351" s="1"/>
  <c r="N37" i="2351"/>
  <c r="M37" i="2351"/>
  <c r="L37" i="2351"/>
  <c r="K37" i="2351"/>
  <c r="H37" i="2351"/>
  <c r="I37" i="2351"/>
  <c r="H23" i="2351"/>
  <c r="I23" i="2351"/>
  <c r="N23" i="2351"/>
  <c r="M23" i="2351"/>
  <c r="L23" i="2351"/>
  <c r="K23" i="2351"/>
  <c r="K43" i="2351"/>
  <c r="L43" i="2351" s="1"/>
  <c r="M43" i="2351" s="1"/>
  <c r="N43" i="2351" s="1"/>
  <c r="I43" i="2351"/>
  <c r="H43" i="2351" s="1"/>
  <c r="K41" i="2351"/>
  <c r="L41" i="2351" s="1"/>
  <c r="M41" i="2351" s="1"/>
  <c r="N41" i="2351" s="1"/>
  <c r="I41" i="2351"/>
  <c r="H41" i="2351" s="1"/>
  <c r="K27" i="2351"/>
  <c r="L27" i="2351" s="1"/>
  <c r="M27" i="2351" s="1"/>
  <c r="N27" i="2351" s="1"/>
  <c r="I27" i="2351"/>
  <c r="H27" i="2351"/>
  <c r="K25" i="2351"/>
  <c r="L25" i="2351" s="1"/>
  <c r="M25" i="2351" s="1"/>
  <c r="N25" i="2351" s="1"/>
  <c r="I25" i="2351"/>
  <c r="H25" i="2351"/>
  <c r="K21" i="2351"/>
  <c r="L21" i="2351" s="1"/>
  <c r="M21" i="2351" s="1"/>
  <c r="N21" i="2351" s="1"/>
  <c r="I21" i="2351"/>
  <c r="H21" i="2351" s="1"/>
  <c r="K19" i="2351"/>
  <c r="L19" i="2351" s="1"/>
  <c r="M19" i="2351" s="1"/>
  <c r="N19" i="2351" s="1"/>
  <c r="I19" i="2351"/>
  <c r="H19" i="2351" s="1"/>
  <c r="K17" i="2351"/>
  <c r="L17" i="2351" s="1"/>
  <c r="M17" i="2351" s="1"/>
  <c r="N17" i="2351" s="1"/>
  <c r="I17" i="2351"/>
  <c r="H17" i="2351"/>
  <c r="K15" i="2351"/>
  <c r="L15" i="2351" s="1"/>
  <c r="M15" i="2351" s="1"/>
  <c r="N15" i="2351" s="1"/>
  <c r="I15" i="2351"/>
  <c r="H15" i="2351"/>
  <c r="K13" i="2351"/>
  <c r="L13" i="2351" s="1"/>
  <c r="M13" i="2351" s="1"/>
  <c r="N13" i="2351" s="1"/>
  <c r="I13" i="2351"/>
  <c r="H13" i="2351" s="1"/>
  <c r="K11" i="2351"/>
  <c r="L11" i="2351" s="1"/>
  <c r="M11" i="2351" s="1"/>
  <c r="N11" i="2351" s="1"/>
  <c r="I11" i="2351"/>
  <c r="H11" i="2351" s="1"/>
  <c r="K9" i="2351"/>
  <c r="L9" i="2351" s="1"/>
  <c r="M9" i="2351" s="1"/>
  <c r="N9" i="2351" s="1"/>
  <c r="I9" i="2351"/>
  <c r="H9" i="2351"/>
  <c r="L3" i="2351"/>
  <c r="M3" i="2351" s="1"/>
  <c r="N3" i="2351" s="1"/>
  <c r="K3" i="2351"/>
  <c r="I3" i="2351"/>
  <c r="H3" i="2351"/>
  <c r="M29" i="2350"/>
  <c r="L29" i="2350"/>
  <c r="K29" i="2350"/>
  <c r="K31" i="2350"/>
  <c r="L31" i="2350" s="1"/>
  <c r="M31" i="2350" s="1"/>
  <c r="M15" i="2350"/>
  <c r="K15" i="2350"/>
  <c r="L15" i="2350"/>
  <c r="I15" i="2350"/>
  <c r="H15" i="2350" s="1"/>
  <c r="K17" i="2350"/>
  <c r="L17" i="2350" s="1"/>
  <c r="M17" i="2350" s="1"/>
  <c r="I17" i="2350"/>
  <c r="H17" i="2350" s="1"/>
  <c r="K23" i="2350"/>
  <c r="L23" i="2350" s="1"/>
  <c r="M23" i="2350" s="1"/>
  <c r="L7" i="2350"/>
  <c r="M7" i="2350" s="1"/>
  <c r="K7" i="2350"/>
  <c r="H7" i="2350"/>
  <c r="I7" i="2350"/>
  <c r="K5" i="2350"/>
  <c r="L5" i="2350" s="1"/>
  <c r="M5" i="2350" s="1"/>
  <c r="I5" i="2350"/>
  <c r="H5" i="2350" s="1"/>
  <c r="I31" i="2350"/>
  <c r="H31" i="2350" s="1"/>
  <c r="I29" i="2350"/>
  <c r="H29" i="2350" s="1"/>
  <c r="K27" i="2350"/>
  <c r="L27" i="2350" s="1"/>
  <c r="M27" i="2350" s="1"/>
  <c r="I27" i="2350"/>
  <c r="H27" i="2350" s="1"/>
  <c r="K25" i="2350"/>
  <c r="L25" i="2350" s="1"/>
  <c r="M25" i="2350" s="1"/>
  <c r="I25" i="2350"/>
  <c r="H25" i="2350" s="1"/>
  <c r="I23" i="2350"/>
  <c r="H23" i="2350"/>
  <c r="K21" i="2350"/>
  <c r="L21" i="2350" s="1"/>
  <c r="M21" i="2350" s="1"/>
  <c r="I21" i="2350"/>
  <c r="H21" i="2350" s="1"/>
  <c r="K13" i="2350"/>
  <c r="L13" i="2350" s="1"/>
  <c r="M13" i="2350" s="1"/>
  <c r="I13" i="2350"/>
  <c r="H13" i="2350" s="1"/>
  <c r="K11" i="2350"/>
  <c r="L11" i="2350" s="1"/>
  <c r="M11" i="2350" s="1"/>
  <c r="I11" i="2350"/>
  <c r="H11" i="2350" s="1"/>
  <c r="K9" i="2350"/>
  <c r="L9" i="2350" s="1"/>
  <c r="M9" i="2350" s="1"/>
  <c r="N9" i="2350" s="1"/>
  <c r="I9" i="2350"/>
  <c r="H9" i="2350" s="1"/>
  <c r="K3" i="2350"/>
  <c r="L3" i="2350" s="1"/>
  <c r="M3" i="2350" s="1"/>
  <c r="I3" i="2350"/>
  <c r="H3" i="2350"/>
  <c r="H11" i="2349"/>
  <c r="K25" i="2349"/>
  <c r="L25" i="2349" s="1"/>
  <c r="M25" i="2349" s="1"/>
  <c r="I25" i="2349"/>
  <c r="H25" i="2349" s="1"/>
  <c r="I27" i="2342"/>
  <c r="H27" i="2342" s="1"/>
  <c r="K27" i="2342"/>
  <c r="L27" i="2342"/>
  <c r="M27" i="2342"/>
  <c r="I25" i="2342"/>
  <c r="H25" i="2342"/>
  <c r="K25" i="2342"/>
  <c r="L25" i="2342" s="1"/>
  <c r="M25" i="2342" s="1"/>
  <c r="K23" i="2349"/>
  <c r="L23" i="2349" s="1"/>
  <c r="M23" i="2349" s="1"/>
  <c r="I23" i="2349"/>
  <c r="H23" i="2349" s="1"/>
  <c r="K21" i="2349"/>
  <c r="L21" i="2349" s="1"/>
  <c r="M21" i="2349" s="1"/>
  <c r="I21" i="2349"/>
  <c r="H21" i="2349"/>
  <c r="K19" i="2349"/>
  <c r="L19" i="2349" s="1"/>
  <c r="M19" i="2349" s="1"/>
  <c r="I19" i="2349"/>
  <c r="H19" i="2349" s="1"/>
  <c r="K17" i="2349"/>
  <c r="L17" i="2349" s="1"/>
  <c r="M17" i="2349" s="1"/>
  <c r="I17" i="2349"/>
  <c r="H17" i="2349" s="1"/>
  <c r="L15" i="2349"/>
  <c r="M15" i="2349" s="1"/>
  <c r="K15" i="2349"/>
  <c r="I15" i="2349"/>
  <c r="H15" i="2349" s="1"/>
  <c r="K13" i="2349"/>
  <c r="L13" i="2349" s="1"/>
  <c r="M13" i="2349" s="1"/>
  <c r="I13" i="2349"/>
  <c r="H13" i="2349" s="1"/>
  <c r="K11" i="2349"/>
  <c r="L11" i="2349" s="1"/>
  <c r="M11" i="2349" s="1"/>
  <c r="I11" i="2349"/>
  <c r="K9" i="2349"/>
  <c r="L9" i="2349" s="1"/>
  <c r="M9" i="2349" s="1"/>
  <c r="I9" i="2349"/>
  <c r="H9" i="2349"/>
  <c r="K7" i="2349"/>
  <c r="L7" i="2349" s="1"/>
  <c r="M7" i="2349" s="1"/>
  <c r="I7" i="2349"/>
  <c r="H7" i="2349"/>
  <c r="K5" i="2349"/>
  <c r="L5" i="2349" s="1"/>
  <c r="M5" i="2349" s="1"/>
  <c r="I5" i="2349"/>
  <c r="H5" i="2349" s="1"/>
  <c r="K3" i="2349"/>
  <c r="L3" i="2349" s="1"/>
  <c r="M3" i="2349" s="1"/>
  <c r="I3" i="2349"/>
  <c r="H3" i="2349" s="1"/>
  <c r="K33" i="2348"/>
  <c r="L33" i="2348" s="1"/>
  <c r="M33" i="2348" s="1"/>
  <c r="N33" i="2348" s="1"/>
  <c r="I33" i="2348"/>
  <c r="H33" i="2348"/>
  <c r="K31" i="2348"/>
  <c r="L31" i="2348" s="1"/>
  <c r="M31" i="2348" s="1"/>
  <c r="N31" i="2348" s="1"/>
  <c r="I31" i="2348"/>
  <c r="H31" i="2348" s="1"/>
  <c r="K3" i="2348"/>
  <c r="L3" i="2348" s="1"/>
  <c r="M3" i="2348" s="1"/>
  <c r="N3" i="2348" s="1"/>
  <c r="I3" i="2348"/>
  <c r="H3" i="2348" s="1"/>
  <c r="K29" i="2348"/>
  <c r="L29" i="2348" s="1"/>
  <c r="M29" i="2348" s="1"/>
  <c r="N29" i="2348" s="1"/>
  <c r="I29" i="2348"/>
  <c r="H29" i="2348"/>
  <c r="K25" i="2348"/>
  <c r="L25" i="2348" s="1"/>
  <c r="M25" i="2348" s="1"/>
  <c r="N25" i="2348" s="1"/>
  <c r="I25" i="2348"/>
  <c r="H25" i="2348" s="1"/>
  <c r="K21" i="2348"/>
  <c r="L21" i="2348" s="1"/>
  <c r="M21" i="2348" s="1"/>
  <c r="N21" i="2348" s="1"/>
  <c r="I21" i="2348"/>
  <c r="H21" i="2348" s="1"/>
  <c r="K19" i="2348"/>
  <c r="L19" i="2348" s="1"/>
  <c r="M19" i="2348" s="1"/>
  <c r="N19" i="2348" s="1"/>
  <c r="I19" i="2348"/>
  <c r="H19" i="2348"/>
  <c r="K17" i="2348"/>
  <c r="L17" i="2348" s="1"/>
  <c r="M17" i="2348" s="1"/>
  <c r="N17" i="2348" s="1"/>
  <c r="I17" i="2348"/>
  <c r="H17" i="2348"/>
  <c r="K15" i="2348"/>
  <c r="L15" i="2348" s="1"/>
  <c r="M15" i="2348" s="1"/>
  <c r="N15" i="2348" s="1"/>
  <c r="I15" i="2348"/>
  <c r="H15" i="2348"/>
  <c r="K13" i="2348"/>
  <c r="L13" i="2348" s="1"/>
  <c r="M13" i="2348" s="1"/>
  <c r="N13" i="2348" s="1"/>
  <c r="I13" i="2348"/>
  <c r="H13" i="2348" s="1"/>
  <c r="K11" i="2348"/>
  <c r="L11" i="2348" s="1"/>
  <c r="M11" i="2348" s="1"/>
  <c r="N11" i="2348" s="1"/>
  <c r="I11" i="2348"/>
  <c r="H11" i="2348" s="1"/>
  <c r="K9" i="2348"/>
  <c r="L9" i="2348" s="1"/>
  <c r="M9" i="2348" s="1"/>
  <c r="N9" i="2348" s="1"/>
  <c r="I9" i="2348"/>
  <c r="H9" i="2348" s="1"/>
  <c r="K7" i="2348"/>
  <c r="L7" i="2348" s="1"/>
  <c r="M7" i="2348" s="1"/>
  <c r="N7" i="2348" s="1"/>
  <c r="I7" i="2348"/>
  <c r="H7" i="2348" s="1"/>
  <c r="K5" i="2348"/>
  <c r="L5" i="2348" s="1"/>
  <c r="M5" i="2348" s="1"/>
  <c r="N5" i="2348" s="1"/>
  <c r="I5" i="2348"/>
  <c r="H5" i="2348" s="1"/>
  <c r="H39" i="2347"/>
  <c r="I39" i="2347"/>
  <c r="K39" i="2347"/>
  <c r="L39" i="2347"/>
  <c r="M39" i="2347"/>
  <c r="N39" i="2347"/>
  <c r="N37" i="2347"/>
  <c r="M37" i="2347"/>
  <c r="L37" i="2347"/>
  <c r="K37" i="2347"/>
  <c r="H37" i="2347"/>
  <c r="I37" i="2347"/>
  <c r="H23" i="2347"/>
  <c r="I23" i="2347"/>
  <c r="N23" i="2347"/>
  <c r="M23" i="2347"/>
  <c r="L23" i="2347"/>
  <c r="K23" i="2347"/>
  <c r="K9" i="2347"/>
  <c r="L9" i="2347" s="1"/>
  <c r="M9" i="2347" s="1"/>
  <c r="N9" i="2347" s="1"/>
  <c r="I9" i="2347"/>
  <c r="H9" i="2347"/>
  <c r="K43" i="2347" l="1"/>
  <c r="L43" i="2347" s="1"/>
  <c r="M43" i="2347" s="1"/>
  <c r="N43" i="2347" s="1"/>
  <c r="I43" i="2347"/>
  <c r="H43" i="2347" s="1"/>
  <c r="K41" i="2347"/>
  <c r="L41" i="2347" s="1"/>
  <c r="M41" i="2347" s="1"/>
  <c r="N41" i="2347" s="1"/>
  <c r="I41" i="2347"/>
  <c r="H41" i="2347" s="1"/>
  <c r="K27" i="2347"/>
  <c r="L27" i="2347" s="1"/>
  <c r="M27" i="2347" s="1"/>
  <c r="N27" i="2347" s="1"/>
  <c r="I27" i="2347"/>
  <c r="H27" i="2347" s="1"/>
  <c r="K25" i="2347"/>
  <c r="L25" i="2347" s="1"/>
  <c r="M25" i="2347" s="1"/>
  <c r="N25" i="2347" s="1"/>
  <c r="I25" i="2347"/>
  <c r="H25" i="2347" s="1"/>
  <c r="K21" i="2347"/>
  <c r="L21" i="2347" s="1"/>
  <c r="M21" i="2347" s="1"/>
  <c r="N21" i="2347" s="1"/>
  <c r="I21" i="2347"/>
  <c r="H21" i="2347" s="1"/>
  <c r="K19" i="2347"/>
  <c r="L19" i="2347" s="1"/>
  <c r="M19" i="2347" s="1"/>
  <c r="N19" i="2347" s="1"/>
  <c r="I19" i="2347"/>
  <c r="H19" i="2347" s="1"/>
  <c r="K17" i="2347"/>
  <c r="L17" i="2347" s="1"/>
  <c r="M17" i="2347" s="1"/>
  <c r="N17" i="2347" s="1"/>
  <c r="I17" i="2347"/>
  <c r="H17" i="2347" s="1"/>
  <c r="K15" i="2347"/>
  <c r="L15" i="2347" s="1"/>
  <c r="M15" i="2347" s="1"/>
  <c r="N15" i="2347" s="1"/>
  <c r="I15" i="2347"/>
  <c r="H15" i="2347" s="1"/>
  <c r="K13" i="2347"/>
  <c r="L13" i="2347" s="1"/>
  <c r="M13" i="2347" s="1"/>
  <c r="N13" i="2347" s="1"/>
  <c r="I13" i="2347"/>
  <c r="H13" i="2347" s="1"/>
  <c r="K11" i="2347"/>
  <c r="L11" i="2347" s="1"/>
  <c r="M11" i="2347" s="1"/>
  <c r="N11" i="2347" s="1"/>
  <c r="I11" i="2347"/>
  <c r="H11" i="2347" s="1"/>
  <c r="K3" i="2347"/>
  <c r="L3" i="2347" s="1"/>
  <c r="M3" i="2347" s="1"/>
  <c r="N3" i="2347" s="1"/>
  <c r="I3" i="2347"/>
  <c r="H3" i="2347"/>
  <c r="Q17" i="2345" l="1"/>
  <c r="Q16" i="2345"/>
  <c r="L33" i="2345"/>
  <c r="M33" i="2345"/>
  <c r="N33" i="2345"/>
  <c r="K33" i="2345"/>
  <c r="H33" i="2345"/>
  <c r="I33" i="2345"/>
  <c r="Q14" i="2345"/>
  <c r="Q13" i="2345"/>
  <c r="H7" i="2345"/>
  <c r="K27" i="2345"/>
  <c r="L27" i="2345" s="1"/>
  <c r="M27" i="2345" s="1"/>
  <c r="N27" i="2345" s="1"/>
  <c r="I27" i="2345"/>
  <c r="H27" i="2345" s="1"/>
  <c r="K25" i="2345" l="1"/>
  <c r="L25" i="2345" s="1"/>
  <c r="M25" i="2345" s="1"/>
  <c r="N25" i="2345" s="1"/>
  <c r="I25" i="2345"/>
  <c r="H25" i="2345" s="1"/>
  <c r="K23" i="2345"/>
  <c r="L23" i="2345" s="1"/>
  <c r="M23" i="2345" s="1"/>
  <c r="N23" i="2345" s="1"/>
  <c r="I23" i="2345"/>
  <c r="H23" i="2345" s="1"/>
  <c r="N3" i="2345"/>
  <c r="N5" i="2345"/>
  <c r="N9" i="2345"/>
  <c r="N11" i="2345"/>
  <c r="K9" i="2345"/>
  <c r="L9" i="2345" s="1"/>
  <c r="M9" i="2345" s="1"/>
  <c r="I9" i="2345"/>
  <c r="H9" i="2345" s="1"/>
  <c r="K7" i="2345"/>
  <c r="L7" i="2345" s="1"/>
  <c r="M7" i="2345" s="1"/>
  <c r="N7" i="2345" s="1"/>
  <c r="K5" i="2345"/>
  <c r="L5" i="2345" s="1"/>
  <c r="M5" i="2345" s="1"/>
  <c r="I7" i="2345" l="1"/>
  <c r="I5" i="2345"/>
  <c r="H5" i="2345" s="1"/>
  <c r="K29" i="2345"/>
  <c r="L29" i="2345" s="1"/>
  <c r="M29" i="2345" s="1"/>
  <c r="N29" i="2345" s="1"/>
  <c r="I29" i="2345"/>
  <c r="H29" i="2345" s="1"/>
  <c r="K21" i="2345"/>
  <c r="L21" i="2345" s="1"/>
  <c r="M21" i="2345" s="1"/>
  <c r="N21" i="2345" s="1"/>
  <c r="I21" i="2345"/>
  <c r="H21" i="2345" s="1"/>
  <c r="K19" i="2345"/>
  <c r="L19" i="2345" s="1"/>
  <c r="M19" i="2345" s="1"/>
  <c r="N19" i="2345" s="1"/>
  <c r="I19" i="2345"/>
  <c r="H19" i="2345"/>
  <c r="K17" i="2345"/>
  <c r="L17" i="2345" s="1"/>
  <c r="M17" i="2345" s="1"/>
  <c r="N17" i="2345" s="1"/>
  <c r="I17" i="2345"/>
  <c r="H17" i="2345"/>
  <c r="K15" i="2345"/>
  <c r="L15" i="2345" s="1"/>
  <c r="M15" i="2345" s="1"/>
  <c r="N15" i="2345" s="1"/>
  <c r="I15" i="2345"/>
  <c r="H15" i="2345" s="1"/>
  <c r="K13" i="2345"/>
  <c r="L13" i="2345" s="1"/>
  <c r="M13" i="2345" s="1"/>
  <c r="N13" i="2345" s="1"/>
  <c r="I13" i="2345"/>
  <c r="H13" i="2345" s="1"/>
  <c r="K11" i="2345"/>
  <c r="L11" i="2345" s="1"/>
  <c r="M11" i="2345" s="1"/>
  <c r="I11" i="2345"/>
  <c r="H11" i="2345" s="1"/>
  <c r="K3" i="2345"/>
  <c r="L3" i="2345" s="1"/>
  <c r="M3" i="2345" s="1"/>
  <c r="I3" i="2345"/>
  <c r="H3" i="2345" s="1"/>
  <c r="L31" i="2344"/>
  <c r="M31" i="2344" s="1"/>
  <c r="N31" i="2344" s="1"/>
  <c r="K31" i="2344"/>
  <c r="I31" i="2344"/>
  <c r="H31" i="2344" s="1"/>
  <c r="K27" i="2344"/>
  <c r="L27" i="2344" s="1"/>
  <c r="M27" i="2344" s="1"/>
  <c r="N27" i="2344" s="1"/>
  <c r="I27" i="2344"/>
  <c r="H27" i="2344" s="1"/>
  <c r="K25" i="2344"/>
  <c r="L25" i="2344" s="1"/>
  <c r="M25" i="2344" s="1"/>
  <c r="N25" i="2344" s="1"/>
  <c r="I25" i="2344"/>
  <c r="H25" i="2344" s="1"/>
  <c r="K21" i="2344"/>
  <c r="L21" i="2344" s="1"/>
  <c r="M21" i="2344" s="1"/>
  <c r="N21" i="2344" s="1"/>
  <c r="I21" i="2344"/>
  <c r="H21" i="2344" s="1"/>
  <c r="K19" i="2344"/>
  <c r="L19" i="2344" s="1"/>
  <c r="M19" i="2344" s="1"/>
  <c r="N19" i="2344" s="1"/>
  <c r="I19" i="2344"/>
  <c r="H19" i="2344" s="1"/>
  <c r="I9" i="2344"/>
  <c r="H9" i="2344" s="1"/>
  <c r="K9" i="2344"/>
  <c r="L9" i="2344" s="1"/>
  <c r="M9" i="2344" s="1"/>
  <c r="N9" i="2344" s="1"/>
  <c r="K5" i="2344"/>
  <c r="L5" i="2344" s="1"/>
  <c r="M5" i="2344" s="1"/>
  <c r="N5" i="2344" s="1"/>
  <c r="I5" i="2344"/>
  <c r="H5" i="2344" s="1"/>
  <c r="K29" i="2344"/>
  <c r="L29" i="2344" s="1"/>
  <c r="M29" i="2344" s="1"/>
  <c r="N29" i="2344" s="1"/>
  <c r="I29" i="2344"/>
  <c r="H29" i="2344" s="1"/>
  <c r="K23" i="2344"/>
  <c r="L23" i="2344" s="1"/>
  <c r="M23" i="2344" s="1"/>
  <c r="N23" i="2344" s="1"/>
  <c r="I23" i="2344"/>
  <c r="H23" i="2344" s="1"/>
  <c r="K17" i="2344"/>
  <c r="L17" i="2344" s="1"/>
  <c r="M17" i="2344" s="1"/>
  <c r="N17" i="2344" s="1"/>
  <c r="I17" i="2344"/>
  <c r="H17" i="2344" s="1"/>
  <c r="K15" i="2344"/>
  <c r="L15" i="2344" s="1"/>
  <c r="M15" i="2344" s="1"/>
  <c r="N15" i="2344" s="1"/>
  <c r="I15" i="2344"/>
  <c r="H15" i="2344" s="1"/>
  <c r="K13" i="2344"/>
  <c r="L13" i="2344" s="1"/>
  <c r="M13" i="2344" s="1"/>
  <c r="N13" i="2344" s="1"/>
  <c r="I13" i="2344"/>
  <c r="H13" i="2344" s="1"/>
  <c r="K11" i="2344"/>
  <c r="L11" i="2344" s="1"/>
  <c r="M11" i="2344" s="1"/>
  <c r="N11" i="2344" s="1"/>
  <c r="I11" i="2344"/>
  <c r="H11" i="2344" s="1"/>
  <c r="K7" i="2344"/>
  <c r="L7" i="2344" s="1"/>
  <c r="M7" i="2344" s="1"/>
  <c r="N7" i="2344" s="1"/>
  <c r="I7" i="2344"/>
  <c r="H7" i="2344" s="1"/>
  <c r="K3" i="2344"/>
  <c r="L3" i="2344" s="1"/>
  <c r="M3" i="2344" s="1"/>
  <c r="N3" i="2344" s="1"/>
  <c r="I3" i="2344"/>
  <c r="H3" i="2344" s="1"/>
  <c r="K43" i="2343" l="1"/>
  <c r="L43" i="2343" s="1"/>
  <c r="I43" i="2343"/>
  <c r="H43" i="2343" s="1"/>
  <c r="K41" i="2343"/>
  <c r="L41" i="2343" s="1"/>
  <c r="M41" i="2343" s="1"/>
  <c r="N41" i="2343" s="1"/>
  <c r="I41" i="2343"/>
  <c r="H41" i="2343"/>
  <c r="K39" i="2343"/>
  <c r="L39" i="2343" s="1"/>
  <c r="M39" i="2343" s="1"/>
  <c r="N39" i="2343" s="1"/>
  <c r="I39" i="2343"/>
  <c r="H39" i="2343" s="1"/>
  <c r="K37" i="2343"/>
  <c r="L37" i="2343" s="1"/>
  <c r="M37" i="2343" s="1"/>
  <c r="N37" i="2343" s="1"/>
  <c r="I37" i="2343"/>
  <c r="H37" i="2343"/>
  <c r="L35" i="2343"/>
  <c r="M35" i="2343" s="1"/>
  <c r="N35" i="2343" s="1"/>
  <c r="K35" i="2343"/>
  <c r="I35" i="2343"/>
  <c r="H35" i="2343"/>
  <c r="L33" i="2343"/>
  <c r="M33" i="2343" s="1"/>
  <c r="N33" i="2343" s="1"/>
  <c r="K33" i="2343"/>
  <c r="I33" i="2343"/>
  <c r="H33" i="2343"/>
  <c r="K31" i="2343"/>
  <c r="L31" i="2343" s="1"/>
  <c r="M31" i="2343" s="1"/>
  <c r="N31" i="2343" s="1"/>
  <c r="I31" i="2343"/>
  <c r="H31" i="2343"/>
  <c r="K29" i="2343"/>
  <c r="L29" i="2343" s="1"/>
  <c r="M29" i="2343" s="1"/>
  <c r="N29" i="2343" s="1"/>
  <c r="I29" i="2343"/>
  <c r="H29" i="2343"/>
  <c r="K27" i="2343"/>
  <c r="L27" i="2343" s="1"/>
  <c r="M27" i="2343" s="1"/>
  <c r="N27" i="2343" s="1"/>
  <c r="I27" i="2343"/>
  <c r="H27" i="2343" s="1"/>
  <c r="K25" i="2343"/>
  <c r="L25" i="2343" s="1"/>
  <c r="M25" i="2343" s="1"/>
  <c r="N25" i="2343" s="1"/>
  <c r="I25" i="2343"/>
  <c r="H25" i="2343"/>
  <c r="K23" i="2343"/>
  <c r="L23" i="2343" s="1"/>
  <c r="M23" i="2343" s="1"/>
  <c r="N23" i="2343" s="1"/>
  <c r="I23" i="2343"/>
  <c r="H23" i="2343" s="1"/>
  <c r="K21" i="2343"/>
  <c r="L21" i="2343" s="1"/>
  <c r="M21" i="2343" s="1"/>
  <c r="N21" i="2343" s="1"/>
  <c r="I21" i="2343"/>
  <c r="H21" i="2343"/>
  <c r="K15" i="2343"/>
  <c r="L15" i="2343" s="1"/>
  <c r="M15" i="2343" s="1"/>
  <c r="N15" i="2343" s="1"/>
  <c r="I15" i="2343"/>
  <c r="H15" i="2343"/>
  <c r="M13" i="2343"/>
  <c r="N13" i="2343" s="1"/>
  <c r="L13" i="2343"/>
  <c r="K13" i="2343"/>
  <c r="I13" i="2343"/>
  <c r="H13" i="2343" s="1"/>
  <c r="K11" i="2343"/>
  <c r="L11" i="2343" s="1"/>
  <c r="M11" i="2343" s="1"/>
  <c r="N11" i="2343" s="1"/>
  <c r="I11" i="2343"/>
  <c r="H11" i="2343"/>
  <c r="K3" i="2343"/>
  <c r="L3" i="2343" s="1"/>
  <c r="M3" i="2343" s="1"/>
  <c r="N3" i="2343" s="1"/>
  <c r="I3" i="2343"/>
  <c r="H3" i="2343"/>
  <c r="K23" i="2342"/>
  <c r="L23" i="2342" s="1"/>
  <c r="M23" i="2342" s="1"/>
  <c r="I23" i="2342"/>
  <c r="H23" i="2342" s="1"/>
  <c r="K19" i="2342"/>
  <c r="L19" i="2342" s="1"/>
  <c r="M19" i="2342" s="1"/>
  <c r="I19" i="2342"/>
  <c r="H19" i="2342" s="1"/>
  <c r="K11" i="2342"/>
  <c r="L11" i="2342" s="1"/>
  <c r="M11" i="2342" s="1"/>
  <c r="I11" i="2342"/>
  <c r="H11" i="2342" s="1"/>
  <c r="K9" i="2342"/>
  <c r="L9" i="2342" s="1"/>
  <c r="M9" i="2342" s="1"/>
  <c r="I9" i="2342"/>
  <c r="H9" i="2342" s="1"/>
  <c r="K5" i="2342"/>
  <c r="L5" i="2342" s="1"/>
  <c r="M5" i="2342" s="1"/>
  <c r="I5" i="2342"/>
  <c r="H5" i="2342" s="1"/>
  <c r="K3" i="2342"/>
  <c r="L3" i="2342" s="1"/>
  <c r="M3" i="2342" s="1"/>
  <c r="I3" i="2342"/>
  <c r="H3" i="2342" s="1"/>
  <c r="K21" i="2342"/>
  <c r="L21" i="2342" s="1"/>
  <c r="M21" i="2342" s="1"/>
  <c r="I21" i="2342"/>
  <c r="H21" i="2342" s="1"/>
  <c r="K17" i="2342"/>
  <c r="L17" i="2342" s="1"/>
  <c r="M17" i="2342" s="1"/>
  <c r="I17" i="2342"/>
  <c r="H17" i="2342" s="1"/>
  <c r="K15" i="2342"/>
  <c r="L15" i="2342" s="1"/>
  <c r="M15" i="2342" s="1"/>
  <c r="I15" i="2342"/>
  <c r="H15" i="2342"/>
  <c r="K13" i="2342"/>
  <c r="L13" i="2342" s="1"/>
  <c r="M13" i="2342" s="1"/>
  <c r="I13" i="2342"/>
  <c r="H13" i="2342" s="1"/>
  <c r="K7" i="2342"/>
  <c r="L7" i="2342" s="1"/>
  <c r="M7" i="2342" s="1"/>
  <c r="I7" i="2342"/>
  <c r="H7" i="2342" s="1"/>
  <c r="K19" i="2341"/>
  <c r="L19" i="2341" s="1"/>
  <c r="M19" i="2341" s="1"/>
  <c r="I19" i="2341"/>
  <c r="H19" i="2341" s="1"/>
  <c r="K17" i="2341"/>
  <c r="L17" i="2341" s="1"/>
  <c r="M17" i="2341" s="1"/>
  <c r="I17" i="2341"/>
  <c r="H17" i="2341" s="1"/>
  <c r="H15" i="2341"/>
  <c r="I15" i="2341"/>
  <c r="M15" i="2341"/>
  <c r="L15" i="2341"/>
  <c r="K15" i="2341"/>
  <c r="K9" i="2341"/>
  <c r="L9" i="2341" s="1"/>
  <c r="M9" i="2341" s="1"/>
  <c r="I9" i="2341"/>
  <c r="H9" i="2341" s="1"/>
  <c r="M7" i="2341"/>
  <c r="L7" i="2341"/>
  <c r="K7" i="2341"/>
  <c r="H7" i="2341"/>
  <c r="I7" i="2341"/>
  <c r="M5" i="2341"/>
  <c r="L5" i="2341"/>
  <c r="K5" i="2341"/>
  <c r="H5" i="2341"/>
  <c r="I5" i="2341"/>
  <c r="K13" i="2341"/>
  <c r="L13" i="2341" s="1"/>
  <c r="M13" i="2341" s="1"/>
  <c r="I13" i="2341"/>
  <c r="H13" i="2341" s="1"/>
  <c r="K11" i="2341"/>
  <c r="L11" i="2341" s="1"/>
  <c r="M11" i="2341" s="1"/>
  <c r="I11" i="2341"/>
  <c r="H11" i="2341"/>
  <c r="K3" i="2341"/>
  <c r="L3" i="2341" s="1"/>
  <c r="M3" i="2341" s="1"/>
  <c r="I3" i="2341"/>
  <c r="H3" i="2341"/>
  <c r="M11" i="2340"/>
  <c r="L11" i="2340"/>
  <c r="I29" i="2340"/>
  <c r="H29" i="2340" s="1"/>
  <c r="K29" i="2340"/>
  <c r="L29" i="2340" s="1"/>
  <c r="M29" i="2340" s="1"/>
  <c r="H27" i="2340"/>
  <c r="L27" i="2340"/>
  <c r="M27" i="2340" s="1"/>
  <c r="K27" i="2340"/>
  <c r="I27" i="2340"/>
  <c r="K25" i="2340"/>
  <c r="L25" i="2340" s="1"/>
  <c r="M25" i="2340" s="1"/>
  <c r="I25" i="2340"/>
  <c r="H25" i="2340" s="1"/>
  <c r="M43" i="2343" l="1"/>
  <c r="N43" i="2343" s="1"/>
  <c r="Q27" i="2343"/>
  <c r="K9" i="2340"/>
  <c r="L9" i="2340" s="1"/>
  <c r="M9" i="2340" s="1"/>
  <c r="I9" i="2340"/>
  <c r="H9" i="2340"/>
  <c r="I11" i="2340"/>
  <c r="H11" i="2340" s="1"/>
  <c r="K11" i="2340"/>
  <c r="I5" i="2340"/>
  <c r="H5" i="2340" s="1"/>
  <c r="K5" i="2340"/>
  <c r="L5" i="2340" s="1"/>
  <c r="M5" i="2340" s="1"/>
  <c r="K17" i="2340"/>
  <c r="L17" i="2340" s="1"/>
  <c r="M17" i="2340" s="1"/>
  <c r="I17" i="2340"/>
  <c r="H17" i="2340" s="1"/>
  <c r="K15" i="2340"/>
  <c r="L15" i="2340" s="1"/>
  <c r="M15" i="2340" s="1"/>
  <c r="I15" i="2340"/>
  <c r="H15" i="2340" s="1"/>
  <c r="K13" i="2340"/>
  <c r="L13" i="2340" s="1"/>
  <c r="M13" i="2340" s="1"/>
  <c r="I13" i="2340"/>
  <c r="H13" i="2340" s="1"/>
  <c r="K7" i="2340"/>
  <c r="L7" i="2340" s="1"/>
  <c r="M7" i="2340" s="1"/>
  <c r="I7" i="2340"/>
  <c r="H7" i="2340" s="1"/>
  <c r="K3" i="2340"/>
  <c r="L3" i="2340" s="1"/>
  <c r="M3" i="2340" s="1"/>
  <c r="I3" i="2340"/>
  <c r="H3" i="2340" s="1"/>
  <c r="Q27" i="2339" l="1"/>
  <c r="K45" i="2339"/>
  <c r="L45" i="2339" s="1"/>
  <c r="M45" i="2339" s="1"/>
  <c r="N45" i="2339" s="1"/>
  <c r="I45" i="2339"/>
  <c r="H45" i="2339" s="1"/>
  <c r="I35" i="2339"/>
  <c r="H35" i="2339" s="1"/>
  <c r="H37" i="2339"/>
  <c r="N35" i="2339"/>
  <c r="L35" i="2339"/>
  <c r="H29" i="2339"/>
  <c r="N29" i="2339"/>
  <c r="N27" i="2339"/>
  <c r="M27" i="2339"/>
  <c r="N3" i="2339"/>
  <c r="N11" i="2339"/>
  <c r="N13" i="2339"/>
  <c r="N15" i="2339"/>
  <c r="N21" i="2339"/>
  <c r="N23" i="2339"/>
  <c r="N25" i="2339"/>
  <c r="N31" i="2339"/>
  <c r="N33" i="2339"/>
  <c r="N37" i="2339"/>
  <c r="N39" i="2339"/>
  <c r="N41" i="2339"/>
  <c r="N43" i="2339"/>
  <c r="L33" i="2339"/>
  <c r="M33" i="2339"/>
  <c r="K33" i="2339"/>
  <c r="H33" i="2339"/>
  <c r="I33" i="2339"/>
  <c r="L23" i="2339"/>
  <c r="M23" i="2339"/>
  <c r="K23" i="2339"/>
  <c r="H23" i="2339"/>
  <c r="I23" i="2339"/>
  <c r="K47" i="2339"/>
  <c r="L47" i="2339" s="1"/>
  <c r="M47" i="2339" s="1"/>
  <c r="N47" i="2339" s="1"/>
  <c r="I47" i="2339"/>
  <c r="H47" i="2339" s="1"/>
  <c r="I39" i="2339"/>
  <c r="H39" i="2339" s="1"/>
  <c r="K39" i="2339"/>
  <c r="L39" i="2339" s="1"/>
  <c r="M39" i="2339" s="1"/>
  <c r="K37" i="2339"/>
  <c r="L37" i="2339" s="1"/>
  <c r="M37" i="2339" s="1"/>
  <c r="I37" i="2339"/>
  <c r="K35" i="2339"/>
  <c r="M35" i="2339" s="1"/>
  <c r="K29" i="2339"/>
  <c r="L29" i="2339" s="1"/>
  <c r="M29" i="2339" s="1"/>
  <c r="I29" i="2339"/>
  <c r="I13" i="2339"/>
  <c r="H13" i="2339" s="1"/>
  <c r="K13" i="2339"/>
  <c r="L13" i="2339" s="1"/>
  <c r="M13" i="2339" s="1"/>
  <c r="K43" i="2339"/>
  <c r="L43" i="2339" s="1"/>
  <c r="M43" i="2339" s="1"/>
  <c r="I43" i="2339"/>
  <c r="H43" i="2339" s="1"/>
  <c r="K41" i="2339"/>
  <c r="L41" i="2339" s="1"/>
  <c r="M41" i="2339" s="1"/>
  <c r="I41" i="2339"/>
  <c r="H41" i="2339" s="1"/>
  <c r="K31" i="2339"/>
  <c r="L31" i="2339" s="1"/>
  <c r="M31" i="2339" s="1"/>
  <c r="I31" i="2339"/>
  <c r="H31" i="2339" s="1"/>
  <c r="K27" i="2339"/>
  <c r="L27" i="2339" s="1"/>
  <c r="I27" i="2339"/>
  <c r="H27" i="2339"/>
  <c r="K25" i="2339"/>
  <c r="L25" i="2339" s="1"/>
  <c r="M25" i="2339" s="1"/>
  <c r="I25" i="2339"/>
  <c r="H25" i="2339" s="1"/>
  <c r="K21" i="2339"/>
  <c r="L21" i="2339" s="1"/>
  <c r="M21" i="2339" s="1"/>
  <c r="I21" i="2339"/>
  <c r="H21" i="2339" s="1"/>
  <c r="K15" i="2339"/>
  <c r="L15" i="2339" s="1"/>
  <c r="M15" i="2339" s="1"/>
  <c r="I15" i="2339"/>
  <c r="H15" i="2339" s="1"/>
  <c r="K11" i="2339"/>
  <c r="L11" i="2339" s="1"/>
  <c r="M11" i="2339" s="1"/>
  <c r="I11" i="2339"/>
  <c r="H11" i="2339" s="1"/>
  <c r="K3" i="2339"/>
  <c r="L3" i="2339" s="1"/>
  <c r="M3" i="2339" s="1"/>
  <c r="I3" i="2339"/>
  <c r="H3" i="2339"/>
  <c r="Q13" i="2338"/>
  <c r="K13" i="2338"/>
  <c r="L13" i="2338" s="1"/>
  <c r="M13" i="2338" s="1"/>
  <c r="K11" i="2338" l="1"/>
  <c r="L11" i="2338" s="1"/>
  <c r="M11" i="2338" s="1"/>
  <c r="N11" i="2338" s="1"/>
  <c r="I11" i="2338"/>
  <c r="H11" i="2338" s="1"/>
  <c r="K39" i="2338"/>
  <c r="L39" i="2338" s="1"/>
  <c r="M39" i="2338" s="1"/>
  <c r="N39" i="2338" s="1"/>
  <c r="I39" i="2338"/>
  <c r="H39" i="2338" s="1"/>
  <c r="I37" i="2338"/>
  <c r="H37" i="2338" s="1"/>
  <c r="K37" i="2338"/>
  <c r="L37" i="2338" s="1"/>
  <c r="M37" i="2338" s="1"/>
  <c r="N37" i="2338" s="1"/>
  <c r="K35" i="2338"/>
  <c r="L35" i="2338" s="1"/>
  <c r="M35" i="2338" s="1"/>
  <c r="N35" i="2338" s="1"/>
  <c r="I35" i="2338"/>
  <c r="H35" i="2338" s="1"/>
  <c r="I3" i="2338" l="1"/>
  <c r="K27" i="2338"/>
  <c r="L27" i="2338" s="1"/>
  <c r="M27" i="2338" s="1"/>
  <c r="N27" i="2338" s="1"/>
  <c r="I27" i="2338"/>
  <c r="H27" i="2338" s="1"/>
  <c r="I7" i="2338"/>
  <c r="H7" i="2338" s="1"/>
  <c r="K7" i="2338"/>
  <c r="L7" i="2338" s="1"/>
  <c r="M7" i="2338" s="1"/>
  <c r="N7" i="2338" s="1"/>
  <c r="K9" i="2338"/>
  <c r="L9" i="2338" s="1"/>
  <c r="M9" i="2338" s="1"/>
  <c r="N9" i="2338" s="1"/>
  <c r="I9" i="2338"/>
  <c r="H9" i="2338" s="1"/>
  <c r="K29" i="2338"/>
  <c r="L29" i="2338" s="1"/>
  <c r="M29" i="2338" s="1"/>
  <c r="N29" i="2338" s="1"/>
  <c r="I29" i="2338"/>
  <c r="H29" i="2338" s="1"/>
  <c r="K31" i="2338" l="1"/>
  <c r="L31" i="2338" s="1"/>
  <c r="M31" i="2338" s="1"/>
  <c r="N31" i="2338" s="1"/>
  <c r="I31" i="2338"/>
  <c r="H31" i="2338" s="1"/>
  <c r="K25" i="2338"/>
  <c r="L25" i="2338" s="1"/>
  <c r="M25" i="2338" s="1"/>
  <c r="N25" i="2338" s="1"/>
  <c r="I25" i="2338"/>
  <c r="H25" i="2338" s="1"/>
  <c r="K23" i="2338"/>
  <c r="L23" i="2338" s="1"/>
  <c r="M23" i="2338" s="1"/>
  <c r="N23" i="2338" s="1"/>
  <c r="I23" i="2338"/>
  <c r="H23" i="2338" s="1"/>
  <c r="K21" i="2338"/>
  <c r="L21" i="2338" s="1"/>
  <c r="M21" i="2338" s="1"/>
  <c r="N21" i="2338" s="1"/>
  <c r="I21" i="2338"/>
  <c r="H21" i="2338" s="1"/>
  <c r="K19" i="2338"/>
  <c r="L19" i="2338" s="1"/>
  <c r="M19" i="2338" s="1"/>
  <c r="N19" i="2338" s="1"/>
  <c r="I19" i="2338"/>
  <c r="H19" i="2338" s="1"/>
  <c r="K17" i="2338"/>
  <c r="L17" i="2338" s="1"/>
  <c r="M17" i="2338" s="1"/>
  <c r="N17" i="2338" s="1"/>
  <c r="I17" i="2338"/>
  <c r="H17" i="2338" s="1"/>
  <c r="K15" i="2338"/>
  <c r="L15" i="2338" s="1"/>
  <c r="M15" i="2338" s="1"/>
  <c r="N15" i="2338" s="1"/>
  <c r="I15" i="2338"/>
  <c r="H15" i="2338" s="1"/>
  <c r="I13" i="2338"/>
  <c r="H13" i="2338" s="1"/>
  <c r="K5" i="2338"/>
  <c r="L5" i="2338" s="1"/>
  <c r="M5" i="2338" s="1"/>
  <c r="N5" i="2338" s="1"/>
  <c r="I5" i="2338"/>
  <c r="H5" i="2338" s="1"/>
  <c r="K3" i="2338"/>
  <c r="L3" i="2338" s="1"/>
  <c r="M3" i="2338" s="1"/>
  <c r="N3" i="2338" s="1"/>
  <c r="H3" i="2338"/>
  <c r="N13" i="2338" l="1"/>
  <c r="Q14" i="2338" l="1"/>
  <c r="K23" i="2337"/>
  <c r="L23" i="2337" s="1"/>
  <c r="M23" i="2337" s="1"/>
  <c r="I23" i="2337"/>
  <c r="H23" i="2337" s="1"/>
  <c r="K9" i="2337"/>
  <c r="L9" i="2337" s="1"/>
  <c r="M9" i="2337" s="1"/>
  <c r="I9" i="2337"/>
  <c r="H9" i="2337" s="1"/>
  <c r="P9" i="2337" l="1"/>
  <c r="P10" i="2337" s="1"/>
  <c r="K7" i="2337"/>
  <c r="L7" i="2337" s="1"/>
  <c r="M7" i="2337" s="1"/>
  <c r="I7" i="2337"/>
  <c r="H7" i="2337" s="1"/>
  <c r="K5" i="2337"/>
  <c r="L5" i="2337" s="1"/>
  <c r="M5" i="2337" s="1"/>
  <c r="I5" i="2337"/>
  <c r="H5" i="2337" s="1"/>
  <c r="K27" i="2337"/>
  <c r="L27" i="2337" s="1"/>
  <c r="M27" i="2337" s="1"/>
  <c r="I27" i="2337"/>
  <c r="H27" i="2337" s="1"/>
  <c r="K25" i="2337"/>
  <c r="L25" i="2337" s="1"/>
  <c r="M25" i="2337" s="1"/>
  <c r="I25" i="2337"/>
  <c r="H25" i="2337" s="1"/>
  <c r="K21" i="2337"/>
  <c r="L21" i="2337" s="1"/>
  <c r="M21" i="2337" s="1"/>
  <c r="I21" i="2337"/>
  <c r="H21" i="2337" s="1"/>
  <c r="K19" i="2337"/>
  <c r="L19" i="2337" s="1"/>
  <c r="M19" i="2337" s="1"/>
  <c r="I19" i="2337"/>
  <c r="H19" i="2337" s="1"/>
  <c r="K17" i="2337"/>
  <c r="L17" i="2337" s="1"/>
  <c r="M17" i="2337" s="1"/>
  <c r="I17" i="2337"/>
  <c r="H17" i="2337" s="1"/>
  <c r="K13" i="2337"/>
  <c r="L13" i="2337" s="1"/>
  <c r="M13" i="2337" s="1"/>
  <c r="I13" i="2337"/>
  <c r="H13" i="2337" s="1"/>
  <c r="K11" i="2337"/>
  <c r="L11" i="2337" s="1"/>
  <c r="M11" i="2337" s="1"/>
  <c r="I11" i="2337"/>
  <c r="H11" i="2337" s="1"/>
  <c r="K3" i="2337"/>
  <c r="L3" i="2337" s="1"/>
  <c r="M3" i="2337" s="1"/>
  <c r="I3" i="2337"/>
  <c r="H3" i="2337"/>
</calcChain>
</file>

<file path=xl/sharedStrings.xml><?xml version="1.0" encoding="utf-8"?>
<sst xmlns="http://schemas.openxmlformats.org/spreadsheetml/2006/main" count="8800" uniqueCount="867">
  <si>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</si>
  <si>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</si>
  <si>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</si>
  <si>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</si>
  <si>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</si>
  <si>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</si>
  <si>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</si>
  <si>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</si>
  <si>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</si>
  <si>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</si>
  <si>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</si>
  <si>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HIP </t>
  </si>
  <si>
    <t xml:space="preserve">BASED ON ZIPPER FLY OUT LINE ,STRIGHT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</si>
  <si>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</si>
  <si>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</si>
  <si>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</si>
  <si>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</si>
  <si>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</si>
  <si>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</si>
  <si>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</si>
  <si>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</si>
  <si>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</si>
  <si>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</si>
  <si>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</si>
  <si>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</si>
  <si>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</si>
  <si>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</si>
  <si>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</si>
  <si>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</si>
  <si>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</si>
  <si>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</si>
  <si>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</si>
  <si>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후드장(모자길이)</t>
  </si>
  <si>
    <t>후드폭(모자폭)</t>
  </si>
  <si>
    <t>총기장(뒷목)</t>
  </si>
  <si>
    <t>목둘레</t>
  </si>
  <si>
    <t>카라폭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</si>
  <si>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</si>
  <si>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</si>
  <si>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</si>
  <si>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</si>
  <si>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</si>
  <si>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</si>
  <si>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</si>
  <si>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</si>
  <si>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</si>
  <si>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</si>
  <si>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</si>
  <si>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</si>
  <si>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</si>
  <si>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</si>
  <si>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</si>
  <si>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</si>
  <si>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</si>
  <si>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</si>
  <si>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</si>
  <si>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</si>
  <si>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</si>
  <si>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</si>
  <si>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</si>
  <si>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</si>
  <si>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</si>
  <si>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</si>
  <si>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</si>
  <si>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</si>
  <si>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</si>
  <si>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</si>
  <si>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</si>
  <si>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CUFF OPENING </t>
    <phoneticPr fontId="2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</si>
  <si>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</si>
  <si>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</si>
  <si>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</si>
  <si>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</si>
  <si>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</si>
  <si>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</si>
  <si>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</si>
  <si>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COLLAR WIDTH</t>
    <phoneticPr fontId="2" type="noConversion"/>
  </si>
  <si>
    <t>HOOD LENGTH</t>
    <phoneticPr fontId="2" type="noConversion"/>
  </si>
  <si>
    <t xml:space="preserve">FROM CENTER LENGTH TO EDGE </t>
    <phoneticPr fontId="2" type="noConversion"/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</si>
  <si>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</si>
  <si>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</si>
  <si>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</si>
  <si>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모자의 가장 돌출된 부위를 수평으로 잰 길이</t>
    <phoneticPr fontId="1" type="noConversion"/>
  </si>
  <si>
    <t>FROM FRONT NECK CENTER TO VERTICAL</t>
    <phoneticPr fontId="1" type="noConversion"/>
  </si>
  <si>
    <t>앞목중심에서 수직으로</t>
    <phoneticPr fontId="1" type="noConversion"/>
  </si>
  <si>
    <t>목라인(NECK LINE)을 따라 잰 곡선의 둘레길이</t>
    <phoneticPr fontId="1" type="noConversion"/>
  </si>
  <si>
    <t>허리완성사이즈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</si>
  <si>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</si>
  <si>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</si>
  <si>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</si>
  <si>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</si>
  <si>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</si>
  <si>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</si>
  <si>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</si>
  <si>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</si>
  <si>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</si>
  <si>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</si>
  <si>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</si>
  <si>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</si>
  <si>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 xml:space="preserve">CUFFS OPENING </t>
    <phoneticPr fontId="2" type="noConversion"/>
  </si>
  <si>
    <t>옆목점에서 밑단까지의 직선길이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</si>
  <si>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</si>
  <si>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</si>
  <si>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</si>
  <si>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</si>
  <si>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</si>
  <si>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</si>
  <si>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</si>
  <si>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</si>
  <si>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</si>
  <si>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</si>
  <si>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</si>
  <si>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</si>
  <si>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</si>
  <si>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</si>
  <si>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</si>
  <si>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</si>
  <si>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t>와끼선을 기준으로 오비끝에서 밑단 끝까지의 길이</t>
    <phoneticPr fontId="1" type="noConversion"/>
  </si>
  <si>
    <t>치마기장</t>
    <phoneticPr fontId="1" type="noConversion"/>
  </si>
  <si>
    <t xml:space="preserve">SKIRT LENGTH 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</si>
  <si>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</si>
  <si>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</si>
  <si>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</si>
  <si>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</si>
  <si>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</si>
  <si>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오비포함, 와끼기준</t>
    <phoneticPr fontId="1" type="noConversion"/>
  </si>
  <si>
    <t>허리에서 수직으로 (오비포함)</t>
    <phoneticPr fontId="1" type="noConversion"/>
  </si>
  <si>
    <t>오비포함 와끼 기준</t>
    <phoneticPr fontId="1" type="noConversion"/>
  </si>
  <si>
    <t>나나밴드</t>
    <phoneticPr fontId="1" type="noConversion"/>
  </si>
  <si>
    <t>ADIJUSTABLE BAND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</si>
  <si>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</si>
  <si>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</si>
  <si>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</si>
  <si>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</si>
  <si>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</si>
  <si>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2XL</t>
    <phoneticPr fontId="1" type="noConversion"/>
  </si>
  <si>
    <t>3XL</t>
    <phoneticPr fontId="1" type="noConversion"/>
  </si>
  <si>
    <t>뒤지퍼길이</t>
    <phoneticPr fontId="1" type="noConversion"/>
  </si>
  <si>
    <t>위치 B</t>
    <phoneticPr fontId="1" type="noConversion"/>
  </si>
  <si>
    <t>POINT B</t>
    <phoneticPr fontId="1" type="noConversion"/>
  </si>
  <si>
    <t>위치 A</t>
    <phoneticPr fontId="1" type="noConversion"/>
  </si>
  <si>
    <t>POINT A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</si>
  <si>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</si>
  <si>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</si>
  <si>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</si>
  <si>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WITHOUT NECK BAND</t>
    <phoneticPr fontId="2" type="noConversion"/>
  </si>
  <si>
    <t>BASED ON ZIPPER FLY OUT LINE ,STRIGHT</t>
    <phoneticPr fontId="1" type="noConversion"/>
  </si>
  <si>
    <t>HPS TO BOTTOM EDGE</t>
    <phoneticPr fontId="2" type="noConversion"/>
  </si>
  <si>
    <t>BACK PLACKET LENGTH</t>
    <phoneticPr fontId="1" type="noConversion"/>
  </si>
  <si>
    <t>뒤단작길이</t>
    <phoneticPr fontId="1" type="noConversion"/>
  </si>
  <si>
    <t>SINGLE WELT POCKET</t>
    <phoneticPr fontId="2" type="noConversion"/>
  </si>
  <si>
    <t>구찌길이</t>
    <phoneticPr fontId="1" type="noConversion"/>
  </si>
  <si>
    <t>POINT C</t>
    <phoneticPr fontId="1" type="noConversion"/>
  </si>
  <si>
    <t>위치 C</t>
    <phoneticPr fontId="1" type="noConversion"/>
  </si>
  <si>
    <t>4XL</t>
    <phoneticPr fontId="1" type="noConversion"/>
  </si>
  <si>
    <t>LONG SLEEVE LENGTH</t>
    <phoneticPr fontId="2" type="noConversion"/>
  </si>
  <si>
    <t>SHORT SLEEVE LENGTH</t>
    <phoneticPr fontId="2" type="noConversion"/>
  </si>
  <si>
    <t>앞주머니높이</t>
    <phoneticPr fontId="1" type="noConversion"/>
  </si>
  <si>
    <t>FRONT POCKET HEIGHT</t>
    <phoneticPr fontId="1" type="noConversion"/>
  </si>
  <si>
    <t>앞주머니너비</t>
    <phoneticPr fontId="1" type="noConversion"/>
  </si>
  <si>
    <t>FRONT POCKET WIDTH</t>
    <phoneticPr fontId="1" type="noConversion"/>
  </si>
  <si>
    <t xml:space="preserve">옆목점을 수평으로 잰 길이 </t>
    <phoneticPr fontId="1" type="noConversion"/>
  </si>
  <si>
    <t>FRONT YOKE LENGTH</t>
    <phoneticPr fontId="7" type="noConversion"/>
  </si>
  <si>
    <t>앞요크기장</t>
    <phoneticPr fontId="7" type="noConversion"/>
  </si>
  <si>
    <t>앞중심</t>
    <phoneticPr fontId="7" type="noConversion"/>
  </si>
  <si>
    <t>뒤요크기장</t>
    <phoneticPr fontId="7" type="noConversion"/>
  </si>
  <si>
    <t>BACK YOKE LENGTH</t>
    <phoneticPr fontId="7" type="noConversion"/>
  </si>
  <si>
    <t>WAIST E-BAND</t>
    <phoneticPr fontId="2" type="noConversion"/>
  </si>
  <si>
    <t xml:space="preserve">옆목점에서 앞목중심의 수직 길이 </t>
    <phoneticPr fontId="1" type="noConversion"/>
  </si>
  <si>
    <t>1ST SKIRT LENGTH</t>
    <phoneticPr fontId="24" type="noConversion"/>
  </si>
  <si>
    <t>2ND SKIRT LENGTH</t>
    <phoneticPr fontId="24" type="noConversion"/>
  </si>
  <si>
    <t>BOTTOM 4G BAND</t>
    <phoneticPr fontId="2" type="noConversion"/>
  </si>
  <si>
    <t>밑단4골고무줄</t>
    <phoneticPr fontId="24" type="noConversion"/>
  </si>
  <si>
    <t xml:space="preserve"> </t>
    <phoneticPr fontId="24" type="noConversion"/>
  </si>
  <si>
    <t>FRONT POCKET LENGTH</t>
    <phoneticPr fontId="24" type="noConversion"/>
  </si>
  <si>
    <t>앞주머니입구</t>
    <phoneticPr fontId="24" type="noConversion"/>
  </si>
  <si>
    <t>BACK POCKET WIDTH</t>
    <phoneticPr fontId="24" type="noConversion"/>
  </si>
  <si>
    <t>뒤주머니너비</t>
    <phoneticPr fontId="24" type="noConversion"/>
  </si>
  <si>
    <t>뒤주머니높이</t>
    <phoneticPr fontId="24" type="noConversion"/>
  </si>
  <si>
    <t>BOTTOM STRING LENGTH</t>
    <phoneticPr fontId="24" type="noConversion"/>
  </si>
  <si>
    <t>밑단스트링길이</t>
    <phoneticPr fontId="24" type="noConversion"/>
  </si>
  <si>
    <t>WAIST STRING LENGTH</t>
    <phoneticPr fontId="24" type="noConversion"/>
  </si>
  <si>
    <t>허리스트링길이</t>
    <phoneticPr fontId="24" type="noConversion"/>
  </si>
  <si>
    <t>FRONT YOKE LENGTH</t>
    <phoneticPr fontId="24" type="noConversion"/>
  </si>
  <si>
    <t>앞요크기장</t>
    <phoneticPr fontId="24" type="noConversion"/>
  </si>
  <si>
    <t>앞중심</t>
    <phoneticPr fontId="24" type="noConversion"/>
  </si>
  <si>
    <t>BACK YOKE LENGTH</t>
    <phoneticPr fontId="24" type="noConversion"/>
  </si>
  <si>
    <t>뒤요크기장</t>
    <phoneticPr fontId="24" type="noConversion"/>
  </si>
  <si>
    <t>뒤중심</t>
    <phoneticPr fontId="24" type="noConversion"/>
  </si>
  <si>
    <t>오비포함</t>
    <phoneticPr fontId="24" type="noConversion"/>
  </si>
  <si>
    <t>보이는부분</t>
    <phoneticPr fontId="24" type="noConversion"/>
  </si>
  <si>
    <t>긴소매기장</t>
    <phoneticPr fontId="24" type="noConversion"/>
  </si>
  <si>
    <t>짧은소매기장</t>
    <phoneticPr fontId="24" type="noConversion"/>
  </si>
  <si>
    <t>BACK ZIPPER LENGTH</t>
    <phoneticPr fontId="1" type="noConversion"/>
  </si>
  <si>
    <t>뒤중심</t>
    <phoneticPr fontId="7" type="noConversion"/>
  </si>
  <si>
    <t>TOP LENGTH</t>
    <phoneticPr fontId="2" type="noConversion"/>
  </si>
  <si>
    <t>1단프릴기장</t>
    <phoneticPr fontId="24" type="noConversion"/>
  </si>
  <si>
    <t>2단프릴기장</t>
    <phoneticPr fontId="24" type="noConversion"/>
  </si>
  <si>
    <t>상의 기장(옆목)</t>
    <phoneticPr fontId="24" type="noConversion"/>
  </si>
  <si>
    <t>TOTAL FRILL LENGTH</t>
    <phoneticPr fontId="24" type="noConversion"/>
  </si>
  <si>
    <t>총프릴기장</t>
    <phoneticPr fontId="24" type="noConversion"/>
  </si>
  <si>
    <t>1ST FRILL LENGTH</t>
    <phoneticPr fontId="24" type="noConversion"/>
  </si>
  <si>
    <t>2ND FRILL LENGTH</t>
    <phoneticPr fontId="24" type="noConversion"/>
  </si>
  <si>
    <t>3RD FRILL LENGTH</t>
    <phoneticPr fontId="24" type="noConversion"/>
  </si>
  <si>
    <t>3단프릴기장</t>
    <phoneticPr fontId="24" type="noConversion"/>
  </si>
  <si>
    <t>완성사이즈</t>
    <phoneticPr fontId="5" type="noConversion"/>
  </si>
  <si>
    <t>STYLE NO: JZSSK02-W#R02</t>
    <phoneticPr fontId="1" type="noConversion"/>
  </si>
  <si>
    <t>4G</t>
    <phoneticPr fontId="24" type="noConversion"/>
  </si>
  <si>
    <t>BOTTOM BAND</t>
    <phoneticPr fontId="2" type="noConversion"/>
  </si>
  <si>
    <t>밑단고무줄길이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</si>
  <si>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</si>
  <si>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CENTER BACK HIGHT</t>
    <phoneticPr fontId="1" type="noConversion"/>
  </si>
  <si>
    <t>중심에서 수직으로 잰 길이</t>
    <phoneticPr fontId="1" type="noConversion"/>
  </si>
  <si>
    <t>WELT POCKET LENGTH</t>
    <phoneticPr fontId="2" type="noConversion"/>
  </si>
  <si>
    <t>FRONT ZIPPER LENGTH</t>
    <phoneticPr fontId="1" type="noConversion"/>
  </si>
  <si>
    <t>앞지퍼길이</t>
    <phoneticPr fontId="1" type="noConversion"/>
  </si>
  <si>
    <t>YKK</t>
    <phoneticPr fontId="1" type="noConversion"/>
  </si>
  <si>
    <t>단추 채운 완성상태</t>
    <phoneticPr fontId="1" type="noConversion"/>
  </si>
  <si>
    <t>FRONT CHEST</t>
    <phoneticPr fontId="2" type="noConversion"/>
  </si>
  <si>
    <t>BACK CHEST</t>
    <phoneticPr fontId="2" type="noConversion"/>
  </si>
  <si>
    <t>뒤판 가슴(상동)</t>
    <phoneticPr fontId="1" type="noConversion"/>
  </si>
  <si>
    <t>앞판 가슴(상동)</t>
    <phoneticPr fontId="1" type="noConversion"/>
  </si>
  <si>
    <r>
      <t xml:space="preserve">어깨끝점과 겨드랑이 점을 직선으로 잰 길이 </t>
    </r>
    <r>
      <rPr>
        <sz val="7.5"/>
        <color rgb="FFFF0000"/>
        <rFont val="맑은 고딕"/>
        <family val="3"/>
        <charset val="129"/>
        <scheme val="minor"/>
      </rPr>
      <t>(뒤판기준)</t>
    </r>
    <phoneticPr fontId="1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</si>
  <si>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</si>
  <si>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" type="noConversion"/>
  </si>
  <si>
    <r>
      <t xml:space="preserve">ROUND ,@ NECK SEWING  LINE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" type="noConversion"/>
  </si>
  <si>
    <t>FROM ARMHOLE JOINING POINT ,CIRCLE ROUND(둘레)</t>
    <phoneticPr fontId="2" type="noConversion"/>
  </si>
  <si>
    <r>
      <t>암홀겨드랑이 양끝점을 수평으로 잰 길이</t>
    </r>
    <r>
      <rPr>
        <sz val="7.5"/>
        <color rgb="FFFF0000"/>
        <rFont val="맑은 고딕"/>
        <family val="3"/>
        <charset val="129"/>
        <scheme val="minor"/>
      </rPr>
      <t>(셔링펼친상태)</t>
    </r>
    <phoneticPr fontId="1" type="noConversion"/>
  </si>
  <si>
    <r>
      <t>앞중심에서 수평으로 잰길이</t>
    </r>
    <r>
      <rPr>
        <sz val="7.5"/>
        <color rgb="FFFF0000"/>
        <rFont val="맑은 고딕"/>
        <family val="3"/>
        <charset val="129"/>
        <scheme val="minor"/>
      </rPr>
      <t>(지퍼제외/앞넥셔링펼친상태)</t>
    </r>
    <phoneticPr fontId="24" type="noConversion"/>
  </si>
  <si>
    <r>
      <t xml:space="preserve">앞넥중심에서 수직으로 잰 길이 </t>
    </r>
    <r>
      <rPr>
        <sz val="7.5"/>
        <color rgb="FFFF0000"/>
        <rFont val="맑은 고딕"/>
        <family val="3"/>
        <charset val="129"/>
        <scheme val="minor"/>
      </rPr>
      <t>(앞넥셔링펼친상태)</t>
    </r>
    <phoneticPr fontId="24" type="noConversion"/>
  </si>
  <si>
    <t>금속라벨</t>
    <phoneticPr fontId="24" type="noConversion"/>
  </si>
  <si>
    <t>뒤요크절개선중심에서 수직으로잰 길이</t>
    <phoneticPr fontId="1" type="noConversion"/>
  </si>
  <si>
    <r>
      <t xml:space="preserve">15mm-BAND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24" type="noConversion"/>
  </si>
  <si>
    <r>
      <t xml:space="preserve">INCLUDE WAIST BAND TO EDGE </t>
    </r>
    <r>
      <rPr>
        <sz val="7.5"/>
        <color rgb="FFFF0000"/>
        <rFont val="맑은 고딕"/>
        <family val="3"/>
        <charset val="129"/>
        <scheme val="minor"/>
      </rPr>
      <t>(넥셔링펼친상태)</t>
    </r>
    <phoneticPr fontId="1" type="noConversion"/>
  </si>
  <si>
    <r>
      <t xml:space="preserve">POINT TO POINT </t>
    </r>
    <r>
      <rPr>
        <sz val="7.5"/>
        <color rgb="FFFF0000"/>
        <rFont val="맑은 고딕"/>
        <family val="3"/>
        <charset val="129"/>
        <scheme val="minor"/>
      </rPr>
      <t>(뒤판기준-넥셔링잡은상태)</t>
    </r>
    <phoneticPr fontId="2" type="noConversion"/>
  </si>
  <si>
    <t>STYLE NO: JZSOU03-W#R01</t>
    <phoneticPr fontId="1" type="noConversion"/>
  </si>
  <si>
    <t>15MM</t>
    <phoneticPr fontId="24" type="noConversion"/>
  </si>
  <si>
    <t>STYLE NO: JZSPT02-W#G05</t>
    <phoneticPr fontId="1" type="noConversion"/>
  </si>
  <si>
    <t>장식스트링</t>
    <phoneticPr fontId="24" type="noConversion"/>
  </si>
  <si>
    <t>4XL</t>
  </si>
  <si>
    <r>
      <t>오비 와끼끝에서 주머니입구 까지의 가로길이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" type="noConversion"/>
  </si>
  <si>
    <t>노출길이=양쪽 각16cm</t>
    <phoneticPr fontId="24" type="noConversion"/>
  </si>
  <si>
    <t>앞댕고끝점 기준으로 양쪽 수평선의 길이</t>
    <phoneticPr fontId="1" type="noConversion"/>
  </si>
  <si>
    <t xml:space="preserve"> </t>
    <phoneticPr fontId="2" type="noConversion"/>
  </si>
  <si>
    <t>목라인(NECK LINE)을 따라 잰 곡선의 둘레길</t>
    <phoneticPr fontId="1" type="noConversion"/>
  </si>
  <si>
    <t>STYLE NO: JZSOP02-W#H15</t>
    <phoneticPr fontId="1" type="noConversion"/>
  </si>
  <si>
    <t>밑단 양쪽끝점을 수평으로 잰 길이</t>
    <phoneticPr fontId="24" type="noConversion"/>
  </si>
  <si>
    <t>BACK ZIPPER LENGTH</t>
    <phoneticPr fontId="6" type="noConversion"/>
  </si>
  <si>
    <t>뒤지퍼길이</t>
    <phoneticPr fontId="6" type="noConversion"/>
  </si>
  <si>
    <t>혼솔지퍼</t>
    <phoneticPr fontId="24" type="noConversion"/>
  </si>
  <si>
    <t>STYLE NO: JZSSK01-W#H03</t>
    <phoneticPr fontId="1" type="noConversion"/>
  </si>
  <si>
    <t>여유분 +4cm</t>
    <phoneticPr fontId="24" type="noConversion"/>
  </si>
  <si>
    <t>BOTTOM RUFFLE LENGTH</t>
    <phoneticPr fontId="2" type="noConversion"/>
  </si>
  <si>
    <t>밑단러플기장</t>
    <phoneticPr fontId="24" type="noConversion"/>
  </si>
  <si>
    <t>FRONT POCKET WIDTH</t>
    <phoneticPr fontId="24" type="noConversion"/>
  </si>
  <si>
    <t>FRONT POCKET HEIGHT</t>
    <phoneticPr fontId="2" type="noConversion"/>
  </si>
  <si>
    <t>앞주머니너비</t>
    <phoneticPr fontId="24" type="noConversion"/>
  </si>
  <si>
    <t>앞주머니높이</t>
    <phoneticPr fontId="24" type="noConversion"/>
  </si>
  <si>
    <t>12mm울 제외</t>
    <phoneticPr fontId="24" type="noConversion"/>
  </si>
  <si>
    <t>STYLE NO: JZSOU02-W#H04</t>
    <phoneticPr fontId="1" type="noConversion"/>
  </si>
  <si>
    <t>울풀기 제외</t>
    <phoneticPr fontId="24" type="noConversion"/>
  </si>
  <si>
    <t>STYLE NO: JZSPT01-K#G04</t>
    <phoneticPr fontId="1" type="noConversion"/>
  </si>
  <si>
    <t>FRONT YOKE LENGTH</t>
    <phoneticPr fontId="1" type="noConversion"/>
  </si>
  <si>
    <t>앞요크길이</t>
    <phoneticPr fontId="1" type="noConversion"/>
  </si>
  <si>
    <t>앞넥중심에서 립달림선까지 수직으로 잰 길이</t>
    <phoneticPr fontId="24" type="noConversion"/>
  </si>
  <si>
    <t>BACK YOKE LENGTH</t>
    <phoneticPr fontId="1" type="noConversion"/>
  </si>
  <si>
    <t>뒤요크길이</t>
    <phoneticPr fontId="1" type="noConversion"/>
  </si>
  <si>
    <t>뒷넥중심에서 립달림선까지 수직으로 잰 길이</t>
    <phoneticPr fontId="24" type="noConversion"/>
  </si>
  <si>
    <t>앞중심에서 수평으로 잰 길이</t>
    <phoneticPr fontId="24" type="noConversion"/>
  </si>
  <si>
    <t>앞중심에서 수직으로 잰 길이</t>
    <phoneticPr fontId="24" type="noConversion"/>
  </si>
  <si>
    <t>STYLE NO: JZSTO01-K#G03</t>
    <phoneticPr fontId="1" type="noConversion"/>
  </si>
  <si>
    <t>STYLE NO: JZSOU01-W#G01</t>
    <phoneticPr fontId="1" type="noConversion"/>
  </si>
  <si>
    <t xml:space="preserve">어깨 양끝점을 수평으로 잰 길이 </t>
    <phoneticPr fontId="1" type="noConversion"/>
  </si>
  <si>
    <r>
      <t xml:space="preserve">30mm-BAND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24" type="noConversion"/>
  </si>
  <si>
    <t>30MM</t>
    <phoneticPr fontId="24" type="noConversion"/>
  </si>
  <si>
    <t>암홀겨드랑이 양끝점을 수평으로 잰 길이</t>
    <phoneticPr fontId="1" type="noConversion"/>
  </si>
  <si>
    <r>
      <t xml:space="preserve">25mm-BAND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24" type="noConversion"/>
  </si>
  <si>
    <r>
      <t xml:space="preserve">암홀 겨드랑이 지점에서 수평으로 잰 길이 </t>
    </r>
    <r>
      <rPr>
        <sz val="7.5"/>
        <color rgb="FFFF0000"/>
        <rFont val="맑은 고딕"/>
        <family val="3"/>
        <charset val="129"/>
        <scheme val="minor"/>
      </rPr>
      <t>(셔링펼친상태)</t>
    </r>
    <phoneticPr fontId="1" type="noConversion"/>
  </si>
  <si>
    <r>
      <t xml:space="preserve">INCLUDE WAIST BAND TO EDGE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</si>
  <si>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와펜-뒤중심</t>
    <phoneticPr fontId="24" type="noConversion"/>
  </si>
  <si>
    <t>STYLE NO: JZSOP03-W#R03</t>
    <phoneticPr fontId="1" type="noConversion"/>
  </si>
  <si>
    <t>TOP LENGTH(C/B)</t>
    <phoneticPr fontId="2" type="noConversion"/>
  </si>
  <si>
    <t>총기장(뒷목)</t>
    <phoneticPr fontId="24" type="noConversion"/>
  </si>
  <si>
    <t>상의 기장(뒷목)</t>
    <phoneticPr fontId="24" type="noConversion"/>
  </si>
  <si>
    <t>뒷목 중심에서 절개선까지 직선길이</t>
    <phoneticPr fontId="24" type="noConversion"/>
  </si>
  <si>
    <t xml:space="preserve"> SKIRT LENGTH</t>
    <phoneticPr fontId="1" type="noConversion"/>
  </si>
  <si>
    <t>와끼기준</t>
    <phoneticPr fontId="24" type="noConversion"/>
  </si>
  <si>
    <t>STYLE NO: JZSPT09-D#A02(완사입)</t>
    <phoneticPr fontId="1" type="noConversion"/>
  </si>
  <si>
    <t>L 사이즈</t>
    <phoneticPr fontId="24" type="noConversion"/>
  </si>
  <si>
    <t>여유분=4cm, 단추에서 단추사이 14cm</t>
    <phoneticPr fontId="24" type="noConversion"/>
  </si>
  <si>
    <t>STYLE NO: JZSTO03-W#H07</t>
    <phoneticPr fontId="1" type="noConversion"/>
  </si>
  <si>
    <t xml:space="preserve">NECK BAND CENTER HIGHT </t>
    <phoneticPr fontId="2" type="noConversion"/>
  </si>
  <si>
    <t xml:space="preserve">AT CENTER BACK HIGHT </t>
    <phoneticPr fontId="1" type="noConversion"/>
  </si>
  <si>
    <t>고시폭</t>
  </si>
  <si>
    <t>뒷목 중심에서 고시 수직으로 잰 길이</t>
  </si>
  <si>
    <t xml:space="preserve">AT CENTER BACK HIGHT WITHOUT NECK BAND </t>
  </si>
  <si>
    <t>뒷목 중심에서 고시 분량을 빼고 수직으로 잰 길이</t>
  </si>
  <si>
    <t>COLLAR POINT</t>
    <phoneticPr fontId="2" type="noConversion"/>
  </si>
  <si>
    <t xml:space="preserve">COLLAR WIDTH AT EDGE </t>
  </si>
  <si>
    <t>카라포인트길이</t>
  </si>
  <si>
    <t>앞목쪽 카라 길이</t>
  </si>
  <si>
    <t>단추채웠을때</t>
    <phoneticPr fontId="1" type="noConversion"/>
  </si>
  <si>
    <t>카라폭(레이스제외)</t>
    <phoneticPr fontId="24" type="noConversion"/>
  </si>
  <si>
    <t>소매기장(레이스제외)</t>
    <phoneticPr fontId="24" type="noConversion"/>
  </si>
  <si>
    <t>STYLE NO: JZSOU04-W#H06</t>
    <phoneticPr fontId="1" type="noConversion"/>
  </si>
  <si>
    <t>WELT POCKET LENGTH</t>
    <phoneticPr fontId="1" type="noConversion"/>
  </si>
  <si>
    <t>앞구찌길이</t>
    <phoneticPr fontId="1" type="noConversion"/>
  </si>
  <si>
    <t>STYLE NO: JZSSK03-W#H08</t>
    <phoneticPr fontId="1" type="noConversion"/>
  </si>
  <si>
    <t>여유분=4cm</t>
    <phoneticPr fontId="24" type="noConversion"/>
  </si>
  <si>
    <t>와끼에서</t>
    <phoneticPr fontId="24" type="noConversion"/>
  </si>
  <si>
    <t>STYLE NO: JZSPT10-D#G06(완사입)</t>
    <phoneticPr fontId="1" type="noConversion"/>
  </si>
  <si>
    <t>STYLE NO: JZSPT06-W#R10</t>
    <phoneticPr fontId="1" type="noConversion"/>
  </si>
  <si>
    <t>바지밑단스트링길이</t>
    <phoneticPr fontId="24" type="noConversion"/>
  </si>
  <si>
    <t>스토퍼 고리연결 14cm</t>
    <phoneticPr fontId="24" type="noConversion"/>
  </si>
  <si>
    <t>STYLE NO: JZSOU06-W#R12</t>
    <phoneticPr fontId="1" type="noConversion"/>
  </si>
  <si>
    <t>25MM</t>
    <phoneticPr fontId="24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</si>
  <si>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</si>
  <si>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</si>
  <si>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</si>
  <si>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</si>
  <si>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 xml:space="preserve">암홀 겨드랑이 지점에서 수평으로 잰 길이 </t>
    <phoneticPr fontId="1" type="noConversion"/>
  </si>
  <si>
    <t>BOTTOM 30mm BAND</t>
    <phoneticPr fontId="2" type="noConversion"/>
  </si>
  <si>
    <t>밑단30mm고무줄길이</t>
    <phoneticPr fontId="1" type="noConversion"/>
  </si>
  <si>
    <t xml:space="preserve">어깨끝점과 겨드랑이 점을 직선으로 잰 길이 </t>
    <phoneticPr fontId="1" type="noConversion"/>
  </si>
  <si>
    <t>SLEEVE 25mm BAND</t>
    <phoneticPr fontId="2" type="noConversion"/>
  </si>
  <si>
    <t>소매25mm고무줄</t>
    <phoneticPr fontId="24" type="noConversion"/>
  </si>
  <si>
    <t>FRONT POCKET LENGTH</t>
    <phoneticPr fontId="2" type="noConversion"/>
  </si>
  <si>
    <t>앞주머니입구</t>
    <phoneticPr fontId="1" type="noConversion"/>
  </si>
  <si>
    <t>지퍼제외</t>
    <phoneticPr fontId="24" type="noConversion"/>
  </si>
  <si>
    <t>STYLE NO: JZSPT04-K#H14</t>
    <phoneticPr fontId="1" type="noConversion"/>
  </si>
  <si>
    <t>SKIRT YOKE LENGTH</t>
    <phoneticPr fontId="24" type="noConversion"/>
  </si>
  <si>
    <t>스커트 요크기장</t>
    <phoneticPr fontId="24" type="noConversion"/>
  </si>
  <si>
    <t>SKIRT  LENGTH</t>
    <phoneticPr fontId="24" type="noConversion"/>
  </si>
  <si>
    <t>스커트 기장</t>
    <phoneticPr fontId="24" type="noConversion"/>
  </si>
  <si>
    <t>오비포함 와끼 기준</t>
    <phoneticPr fontId="24" type="noConversion"/>
  </si>
  <si>
    <t>오비제외</t>
    <phoneticPr fontId="24" type="noConversion"/>
  </si>
  <si>
    <t>SKIRT PLEATS LENGTH</t>
    <phoneticPr fontId="24" type="noConversion"/>
  </si>
  <si>
    <t>스커트 주름기장</t>
    <phoneticPr fontId="24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</si>
  <si>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</si>
  <si>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</si>
  <si>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어깨너비</t>
    <phoneticPr fontId="24" type="noConversion"/>
  </si>
  <si>
    <t>START ARM HOLE JOINING POINT TO POINT(1/2)</t>
    <phoneticPr fontId="1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</si>
  <si>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</si>
  <si>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</si>
  <si>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</si>
  <si>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에리립 폭</t>
    <phoneticPr fontId="1" type="noConversion"/>
  </si>
  <si>
    <t>목라인(NECK LINE)을 따라 잰 곡선의 둘레길이</t>
  </si>
  <si>
    <t>소매기장</t>
    <phoneticPr fontId="1" type="noConversion"/>
  </si>
  <si>
    <t>SLEEVE RIB WIDTH</t>
    <phoneticPr fontId="2" type="noConversion"/>
  </si>
  <si>
    <t>소매립 폭</t>
    <phoneticPr fontId="1" type="noConversion"/>
  </si>
  <si>
    <t>STYLE NO: JZSPT20-D#A07(완사입)</t>
    <phoneticPr fontId="1" type="noConversion"/>
  </si>
  <si>
    <t>STYLE NO: JZSPT17-D#R21(완사입)</t>
    <phoneticPr fontId="1" type="noConversion"/>
  </si>
  <si>
    <t>STYLE NO: JZSPT13-D#H26(완사입)</t>
    <phoneticPr fontId="1" type="noConversion"/>
  </si>
  <si>
    <t>STYLE NO: JZSPT18-D#R22(완사입)</t>
    <phoneticPr fontId="1" type="noConversion"/>
  </si>
  <si>
    <t>STYLE NO: JZSOP05-K#H09</t>
    <phoneticPr fontId="1" type="noConversion"/>
  </si>
  <si>
    <t>WAIST 6G BAND</t>
    <phoneticPr fontId="2" type="noConversion"/>
  </si>
  <si>
    <t>허리6골고무줄</t>
    <phoneticPr fontId="24" type="noConversion"/>
  </si>
  <si>
    <r>
      <t>목라인(NECK LINE)을 따라 잰 곡선의 둘레길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</si>
  <si>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>옆목점에서 앞목중심의 수직 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</si>
  <si>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</si>
  <si>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 xml:space="preserve">SHOULDER 4G BAND </t>
    <phoneticPr fontId="24" type="noConversion"/>
  </si>
  <si>
    <t>어깨 4골 고무줄</t>
    <phoneticPr fontId="24" type="noConversion"/>
  </si>
  <si>
    <t>SKIRT LENGTH</t>
    <phoneticPr fontId="24" type="noConversion"/>
  </si>
  <si>
    <t>치마기장</t>
    <phoneticPr fontId="24" type="noConversion"/>
  </si>
  <si>
    <t>밑단프릴 포함</t>
    <phoneticPr fontId="24" type="noConversion"/>
  </si>
  <si>
    <t>6골고무줄</t>
    <phoneticPr fontId="24" type="noConversion"/>
  </si>
  <si>
    <t>4골고무줄</t>
    <phoneticPr fontId="24" type="noConversion"/>
  </si>
  <si>
    <t xml:space="preserve">TOTAL SKIRT LENGTH </t>
    <phoneticPr fontId="1" type="noConversion"/>
  </si>
  <si>
    <t>총치마기장</t>
    <phoneticPr fontId="1" type="noConversion"/>
  </si>
  <si>
    <t>STYLE NO: JZSSK07-D#A04</t>
    <phoneticPr fontId="1" type="noConversion"/>
  </si>
  <si>
    <t>STYLE NO: JZSPT19-D#Y06(완사입)</t>
    <phoneticPr fontId="1" type="noConversion"/>
  </si>
  <si>
    <t>부츠컷 시범스펙보냄</t>
    <phoneticPr fontId="24" type="noConversion"/>
  </si>
  <si>
    <t>STYLE NO: JZSOU07-K#R13</t>
    <phoneticPr fontId="1" type="noConversion"/>
  </si>
  <si>
    <t>BOTTOM 20mm BAND</t>
    <phoneticPr fontId="2" type="noConversion"/>
  </si>
  <si>
    <t>밑단 20mm 고무줄</t>
    <phoneticPr fontId="24" type="noConversion"/>
  </si>
  <si>
    <t>SLEEVE 20mm BAND</t>
    <phoneticPr fontId="2" type="noConversion"/>
  </si>
  <si>
    <t>소매20mm고무줄</t>
    <phoneticPr fontId="24" type="noConversion"/>
  </si>
  <si>
    <t>옆목</t>
    <phoneticPr fontId="24" type="noConversion"/>
  </si>
  <si>
    <t>20mm고무줄</t>
    <phoneticPr fontId="24" type="noConversion"/>
  </si>
  <si>
    <t>밑단</t>
    <phoneticPr fontId="24" type="noConversion"/>
  </si>
  <si>
    <t>소매</t>
    <phoneticPr fontId="24" type="noConversion"/>
  </si>
  <si>
    <t>STYLE NO: JZSPT16-D#R20(완사입)</t>
    <phoneticPr fontId="1" type="noConversion"/>
  </si>
  <si>
    <t>WAIST FRILL LENGTH</t>
    <phoneticPr fontId="24" type="noConversion"/>
  </si>
  <si>
    <t>오비프릴 기장</t>
    <phoneticPr fontId="24" type="noConversion"/>
  </si>
  <si>
    <t>STYLE NO: JZSTO10-K#R15</t>
    <phoneticPr fontId="1" type="noConversion"/>
  </si>
  <si>
    <t>BUSTIER LENGTH</t>
    <phoneticPr fontId="24" type="noConversion"/>
  </si>
  <si>
    <t>뷔스티에 기장</t>
    <phoneticPr fontId="24" type="noConversion"/>
  </si>
  <si>
    <t>앞중심 길이</t>
    <phoneticPr fontId="24" type="noConversion"/>
  </si>
  <si>
    <t>BOTTOM FRILL LENGTH</t>
    <phoneticPr fontId="24" type="noConversion"/>
  </si>
  <si>
    <t>밑단프릴기장</t>
    <phoneticPr fontId="24" type="noConversion"/>
  </si>
  <si>
    <t>SHOULDER STRAP LENGTH</t>
    <phoneticPr fontId="24" type="noConversion"/>
  </si>
  <si>
    <t>어깨끈길이</t>
    <phoneticPr fontId="24" type="noConversion"/>
  </si>
  <si>
    <t>짧은쪽</t>
    <phoneticPr fontId="24" type="noConversion"/>
  </si>
  <si>
    <t>긴쪽</t>
    <phoneticPr fontId="24" type="noConversion"/>
  </si>
  <si>
    <t>STYLE NO: JZSTO12-K#R17</t>
    <phoneticPr fontId="1" type="noConversion"/>
  </si>
  <si>
    <t>앞중심에서</t>
    <phoneticPr fontId="24" type="noConversion"/>
  </si>
  <si>
    <t>밑단에서</t>
    <phoneticPr fontId="24" type="noConversion"/>
  </si>
  <si>
    <t>STYLE NO: JZSTO13-K#R04</t>
    <phoneticPr fontId="1" type="noConversion"/>
  </si>
  <si>
    <t>SIDESEAM 4G BAND</t>
    <phoneticPr fontId="1" type="noConversion"/>
  </si>
  <si>
    <t>와끼4골고무줄</t>
    <phoneticPr fontId="1" type="noConversion"/>
  </si>
  <si>
    <t>앞요크기장</t>
    <phoneticPr fontId="1" type="noConversion"/>
  </si>
  <si>
    <t>뒤요크 기장</t>
    <phoneticPr fontId="24" type="noConversion"/>
  </si>
  <si>
    <t>STYLE NO: JZSPT15-K#H23</t>
    <phoneticPr fontId="1" type="noConversion"/>
  </si>
  <si>
    <t>노출길이=16cm</t>
    <phoneticPr fontId="24" type="noConversion"/>
  </si>
  <si>
    <t>STYLE NO: JZSPT14-W#H24(가먼트 워싱)</t>
    <phoneticPr fontId="1" type="noConversion"/>
  </si>
  <si>
    <t>STYLE NO: JZSTO20-K#G07</t>
    <phoneticPr fontId="1" type="noConversion"/>
  </si>
  <si>
    <t>STYLE NO: JZSSK05-W#Y07</t>
    <phoneticPr fontId="1" type="noConversion"/>
  </si>
  <si>
    <t>YOKE LENGTH</t>
    <phoneticPr fontId="1" type="noConversion"/>
  </si>
  <si>
    <t>요크기장</t>
    <phoneticPr fontId="1" type="noConversion"/>
  </si>
  <si>
    <t xml:space="preserve"> SKIRT LENGTH </t>
    <phoneticPr fontId="1" type="noConversion"/>
  </si>
  <si>
    <t>1ST SKIRT LENGTH</t>
    <phoneticPr fontId="1" type="noConversion"/>
  </si>
  <si>
    <t>1단치마길이</t>
    <phoneticPr fontId="1" type="noConversion"/>
  </si>
  <si>
    <t>2ND SKIRT LENGTH</t>
    <phoneticPr fontId="1" type="noConversion"/>
  </si>
  <si>
    <t>2단치마길이</t>
    <phoneticPr fontId="1" type="noConversion"/>
  </si>
  <si>
    <t>치마기장(오비프릴제외)</t>
    <phoneticPr fontId="1" type="noConversion"/>
  </si>
  <si>
    <t>레이스 포함</t>
    <phoneticPr fontId="24" type="noConversion"/>
  </si>
  <si>
    <t>STYLE NO: JZSTO31-S#A05(니트)</t>
    <phoneticPr fontId="1" type="noConversion"/>
  </si>
  <si>
    <t>STYLE NO: JZSOP10-W#Y08</t>
    <phoneticPr fontId="1" type="noConversion"/>
  </si>
  <si>
    <t>총기장(뒤중심)</t>
    <phoneticPr fontId="24" type="noConversion"/>
  </si>
  <si>
    <t>SHOULDER STRAP LENGTH</t>
    <phoneticPr fontId="2" type="noConversion"/>
  </si>
  <si>
    <t>어깨끈 길이</t>
    <phoneticPr fontId="24" type="noConversion"/>
  </si>
  <si>
    <t xml:space="preserve">끈조절 분량 5cm </t>
    <phoneticPr fontId="24" type="noConversion"/>
  </si>
  <si>
    <t>WAIST SWEEP (1/2)</t>
    <phoneticPr fontId="2" type="noConversion"/>
  </si>
  <si>
    <t>허리둘레(반품)</t>
    <phoneticPr fontId="24" type="noConversion"/>
  </si>
  <si>
    <t>FRONT UPPER CHEST</t>
    <phoneticPr fontId="2" type="noConversion"/>
  </si>
  <si>
    <t>앞바대 폭</t>
    <phoneticPr fontId="1" type="noConversion"/>
  </si>
  <si>
    <t>끈에서 끈 직선길이</t>
    <phoneticPr fontId="1" type="noConversion"/>
  </si>
  <si>
    <t>BACK UPPER CHEST</t>
    <phoneticPr fontId="2" type="noConversion"/>
  </si>
  <si>
    <t>뒤바대 폭</t>
    <phoneticPr fontId="1" type="noConversion"/>
  </si>
  <si>
    <t>OUTSIDE SKIRT LENGTH</t>
    <phoneticPr fontId="24" type="noConversion"/>
  </si>
  <si>
    <t>겉치마 기장</t>
    <phoneticPr fontId="24" type="noConversion"/>
  </si>
  <si>
    <t>INSIDE SKIRT LENGTH</t>
    <phoneticPr fontId="24" type="noConversion"/>
  </si>
  <si>
    <t>속치마 기장</t>
    <phoneticPr fontId="24" type="noConversion"/>
  </si>
  <si>
    <t>FRONT UPPER LENGTH</t>
    <phoneticPr fontId="24" type="noConversion"/>
  </si>
  <si>
    <t>앞바데기장</t>
    <phoneticPr fontId="24" type="noConversion"/>
  </si>
  <si>
    <t>BACK UPPER LENGTH</t>
    <phoneticPr fontId="24" type="noConversion"/>
  </si>
  <si>
    <t>뒤바데기장</t>
    <phoneticPr fontId="24" type="noConversion"/>
  </si>
  <si>
    <t>바데끝에서</t>
    <phoneticPr fontId="24" type="noConversion"/>
  </si>
  <si>
    <t>STYLE NO: JZSTO30-K#G07</t>
    <phoneticPr fontId="1" type="noConversion"/>
  </si>
  <si>
    <t>SHORT SLEEVE LENGTH</t>
    <phoneticPr fontId="24" type="noConversion"/>
  </si>
  <si>
    <t>짧은소매 기장</t>
    <phoneticPr fontId="24" type="noConversion"/>
  </si>
  <si>
    <t>SHORT SLEEVE 4G BAND</t>
    <phoneticPr fontId="24" type="noConversion"/>
  </si>
  <si>
    <t>짧은소매 4G 고무줄</t>
    <phoneticPr fontId="24" type="noConversion"/>
  </si>
  <si>
    <t>FRONT PLACKET LENGTH</t>
    <phoneticPr fontId="24" type="noConversion"/>
  </si>
  <si>
    <t>앞단작길이</t>
    <phoneticPr fontId="24" type="noConversion"/>
  </si>
  <si>
    <t>가슴(뒤상동)</t>
    <phoneticPr fontId="1" type="noConversion"/>
  </si>
  <si>
    <t>STYLE NO: JZSOP09-K#R26</t>
    <phoneticPr fontId="1" type="noConversion"/>
  </si>
  <si>
    <t>STYLE NO: JZSPT22-D#Y11(완사입)</t>
    <phoneticPr fontId="1" type="noConversion"/>
  </si>
  <si>
    <t>STYLE NO: JZSTO33-K#A09</t>
    <phoneticPr fontId="1" type="noConversion"/>
  </si>
  <si>
    <t>3XL</t>
    <phoneticPr fontId="24" type="noConversion"/>
  </si>
  <si>
    <t>4XL</t>
    <phoneticPr fontId="24" type="noConversion"/>
  </si>
  <si>
    <t>L</t>
    <phoneticPr fontId="24" type="noConversion"/>
  </si>
  <si>
    <t>STYLE NO: JZSTO28-K#G10</t>
    <phoneticPr fontId="1" type="noConversion"/>
  </si>
  <si>
    <t>STYLE NO: JZSTO35-K#N11</t>
    <phoneticPr fontId="1" type="noConversion"/>
  </si>
  <si>
    <t>STYLE NO: JZSTO26-K#Y04</t>
    <phoneticPr fontId="1" type="noConversion"/>
  </si>
  <si>
    <t>SLEEVE 4G BAND</t>
    <phoneticPr fontId="2" type="noConversion"/>
  </si>
  <si>
    <t>소매4골고무줄</t>
    <phoneticPr fontId="24" type="noConversion"/>
  </si>
  <si>
    <t>STYLE NO: JZSPT24-W#N17(완사입)</t>
    <phoneticPr fontId="1" type="noConversion"/>
  </si>
  <si>
    <t>바지기장(프릴제외)</t>
    <phoneticPr fontId="24" type="noConversion"/>
  </si>
  <si>
    <t>STYLE NO: JZSOU10-S#R18(니트)</t>
    <phoneticPr fontId="1" type="noConversion"/>
  </si>
  <si>
    <t xml:space="preserve">HPS TO BOTTOM EDGE </t>
    <phoneticPr fontId="2" type="noConversion"/>
  </si>
  <si>
    <t>WAIST (1/2)</t>
    <phoneticPr fontId="2" type="noConversion"/>
  </si>
  <si>
    <t>WAIST RIB WIDTH</t>
    <phoneticPr fontId="2" type="noConversion"/>
  </si>
  <si>
    <t>허리립 폭</t>
    <phoneticPr fontId="1" type="noConversion"/>
  </si>
  <si>
    <t xml:space="preserve">SKIRT LENGTH </t>
    <phoneticPr fontId="24" type="noConversion"/>
  </si>
  <si>
    <t>치마기장(허리립포함)</t>
    <phoneticPr fontId="24" type="noConversion"/>
  </si>
  <si>
    <t>STYLE NO: JZSOP12-S#H30 ( 완사입 )</t>
    <phoneticPr fontId="1" type="noConversion"/>
  </si>
  <si>
    <t>TOP LENGTH</t>
    <phoneticPr fontId="24" type="noConversion"/>
  </si>
  <si>
    <t>허리립 제외</t>
    <phoneticPr fontId="24" type="noConversion"/>
  </si>
  <si>
    <t>상의기장(옆목)</t>
    <phoneticPr fontId="24" type="noConversion"/>
  </si>
  <si>
    <t>허리립 포함</t>
    <phoneticPr fontId="24" type="noConversion"/>
  </si>
  <si>
    <t>WELT POCKET LENGTH</t>
    <phoneticPr fontId="24" type="noConversion"/>
  </si>
  <si>
    <t>구찌길이</t>
    <phoneticPr fontId="24" type="noConversion"/>
  </si>
  <si>
    <t>FRONT PLACKET WIDTH</t>
    <phoneticPr fontId="24" type="noConversion"/>
  </si>
  <si>
    <t>앞단작 폭</t>
    <phoneticPr fontId="24" type="noConversion"/>
  </si>
  <si>
    <t>STYLE NO: JZSPT05-W#H13</t>
    <phoneticPr fontId="1" type="noConversion"/>
  </si>
  <si>
    <t xml:space="preserve">BASED ON ZIPPER FLY OUT LINE ,STRIGHT </t>
    <phoneticPr fontId="1" type="noConversion"/>
  </si>
  <si>
    <t>FRILL LENGTH</t>
  </si>
  <si>
    <t>프릴 기장</t>
  </si>
  <si>
    <t>와끼기준,오비제외</t>
    <phoneticPr fontId="24" type="noConversion"/>
  </si>
  <si>
    <t>STYLE NO: JZSPT03-K#H01</t>
    <phoneticPr fontId="1" type="noConversion"/>
  </si>
  <si>
    <t>STYLE NO: JZSPT07-K#R11</t>
    <phoneticPr fontId="1" type="noConversion"/>
  </si>
  <si>
    <t>STYLE NO: JZSPT08-K#R19</t>
    <phoneticPr fontId="1" type="noConversion"/>
  </si>
  <si>
    <t>앞주머니끝점에서 수직으로 잰 길이</t>
    <phoneticPr fontId="24" type="noConversion"/>
  </si>
  <si>
    <t>와끼선을 기준으로 수평으로 잰 길이</t>
    <phoneticPr fontId="24" type="noConversion"/>
  </si>
  <si>
    <t>STYLE NO: JZSPT11-K#G09</t>
    <phoneticPr fontId="1" type="noConversion"/>
  </si>
  <si>
    <r>
      <t xml:space="preserve">CROCH TO EDGE </t>
    </r>
    <r>
      <rPr>
        <sz val="7.5"/>
        <color rgb="FFFF0000"/>
        <rFont val="맑은 고딕"/>
        <family val="3"/>
        <charset val="129"/>
        <scheme val="minor"/>
      </rPr>
      <t>(셔링잡은상태)</t>
    </r>
    <phoneticPr fontId="24" type="noConversion"/>
  </si>
  <si>
    <t>밑단둘레+고정노출(12cm)</t>
    <phoneticPr fontId="24" type="noConversion"/>
  </si>
  <si>
    <t>앞주머니</t>
    <phoneticPr fontId="24" type="noConversion"/>
  </si>
  <si>
    <t>STYLE NO: JZSPT12-K#H21</t>
    <phoneticPr fontId="1" type="noConversion"/>
  </si>
  <si>
    <t>STYLE NO: JZSPT21-K#A08</t>
    <phoneticPr fontId="1" type="noConversion"/>
  </si>
  <si>
    <t>BACK POCKET WIDTH</t>
  </si>
  <si>
    <t>뒤주머니너비</t>
  </si>
  <si>
    <r>
      <t xml:space="preserve">바텍에서 바텍까지의 직선길이 </t>
    </r>
    <r>
      <rPr>
        <sz val="7.5"/>
        <color rgb="FFFF0000"/>
        <rFont val="맑은 고딕"/>
        <family val="3"/>
        <charset val="129"/>
        <scheme val="minor"/>
      </rPr>
      <t>(주머니입구)</t>
    </r>
    <phoneticPr fontId="24" type="noConversion"/>
  </si>
  <si>
    <t>BACK POCKET HEIGHT</t>
  </si>
  <si>
    <t>뒤주머니높이</t>
  </si>
  <si>
    <t>하트중심</t>
    <phoneticPr fontId="24" type="noConversion"/>
  </si>
  <si>
    <t>STYLE NO: JZSPT23-K#Y12</t>
    <phoneticPr fontId="1" type="noConversion"/>
  </si>
  <si>
    <r>
      <t>앞댕고끝점 기준으로 양쪽 수평선의 길이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1" type="noConversion"/>
  </si>
  <si>
    <t>WAIST STRAP LENGTH</t>
    <phoneticPr fontId="24" type="noConversion"/>
  </si>
  <si>
    <t>장식-레이스끈 노출</t>
    <phoneticPr fontId="24" type="noConversion"/>
  </si>
  <si>
    <t>허리끈길이</t>
    <phoneticPr fontId="24" type="noConversion"/>
  </si>
  <si>
    <t>노출길이 S-L:13cm / XL-2XL:15cm</t>
    <phoneticPr fontId="24" type="noConversion"/>
  </si>
  <si>
    <t>STYLE NO: JZSSK08-W#Y10</t>
    <phoneticPr fontId="1" type="noConversion"/>
  </si>
  <si>
    <t>YOKE LENGTH</t>
    <phoneticPr fontId="24" type="noConversion"/>
  </si>
  <si>
    <t>요크기장</t>
    <phoneticPr fontId="24" type="noConversion"/>
  </si>
  <si>
    <t xml:space="preserve">오비제외 </t>
    <phoneticPr fontId="24" type="noConversion"/>
  </si>
  <si>
    <t>1단치마길이</t>
    <phoneticPr fontId="24" type="noConversion"/>
  </si>
  <si>
    <r>
      <t>보이는부분</t>
    </r>
    <r>
      <rPr>
        <sz val="7.5"/>
        <color rgb="FFFF0000"/>
        <rFont val="맑은 고딕"/>
        <family val="3"/>
        <charset val="129"/>
        <scheme val="major"/>
      </rPr>
      <t xml:space="preserve"> (밑단-프릴포함)</t>
    </r>
    <phoneticPr fontId="24" type="noConversion"/>
  </si>
  <si>
    <t>2단치마길이</t>
    <phoneticPr fontId="24" type="noConversion"/>
  </si>
  <si>
    <r>
      <t xml:space="preserve">보이는부분 </t>
    </r>
    <r>
      <rPr>
        <sz val="7.5"/>
        <color rgb="FFFF0000"/>
        <rFont val="맑은 고딕"/>
        <family val="3"/>
        <charset val="129"/>
        <scheme val="major"/>
      </rPr>
      <t>(밑단-프릴포함)</t>
    </r>
    <phoneticPr fontId="24" type="noConversion"/>
  </si>
  <si>
    <t>와끼선을 기준으로 바지 밑단 끝까지의 길이(오비포함)</t>
    <phoneticPr fontId="1" type="noConversion"/>
  </si>
  <si>
    <t>STYLE NO: JZSSK04-W#R14</t>
    <phoneticPr fontId="1" type="noConversion"/>
  </si>
  <si>
    <r>
      <t>와끼선을 기준으로 1단치마달림선까지</t>
    </r>
    <r>
      <rPr>
        <sz val="7.5"/>
        <color rgb="FFFF0000"/>
        <rFont val="맑은 고딕"/>
        <family val="3"/>
        <charset val="129"/>
        <scheme val="minor"/>
      </rPr>
      <t xml:space="preserve"> (오비제외)</t>
    </r>
    <phoneticPr fontId="24" type="noConversion"/>
  </si>
  <si>
    <r>
      <t>오비제외</t>
    </r>
    <r>
      <rPr>
        <sz val="7.5"/>
        <color rgb="FFFF0000"/>
        <rFont val="맑은 고딕"/>
        <family val="3"/>
        <charset val="129"/>
        <scheme val="major"/>
      </rPr>
      <t xml:space="preserve"> (밑단레이스,프릴포함)</t>
    </r>
    <phoneticPr fontId="24" type="noConversion"/>
  </si>
  <si>
    <t>3RD SKIRT LENGTH</t>
    <phoneticPr fontId="24" type="noConversion"/>
  </si>
  <si>
    <t>3단치마길이</t>
    <phoneticPr fontId="24" type="noConversion"/>
  </si>
  <si>
    <t>STYLE NO: JZSOP01-W#G02</t>
    <phoneticPr fontId="1" type="noConversion"/>
  </si>
  <si>
    <r>
      <t xml:space="preserve">4G-BAND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24" type="noConversion"/>
  </si>
  <si>
    <t>CUFF OPENING 4G-BAND</t>
    <phoneticPr fontId="2" type="noConversion"/>
  </si>
  <si>
    <t xml:space="preserve">소매부리 4골밴드 </t>
    <phoneticPr fontId="24" type="noConversion"/>
  </si>
  <si>
    <t>망콘솔자퍼</t>
    <phoneticPr fontId="24" type="noConversion"/>
  </si>
  <si>
    <t>어깨 끝점에서 소매절개선까지의 직선 길이</t>
    <phoneticPr fontId="24" type="noConversion"/>
  </si>
  <si>
    <t>와펜</t>
    <phoneticPr fontId="24" type="noConversion"/>
  </si>
  <si>
    <t>SHOULDER STRAP</t>
    <phoneticPr fontId="2" type="noConversion"/>
  </si>
  <si>
    <t>뒤중심에서 밑단까지의 직선길이</t>
    <phoneticPr fontId="1" type="noConversion"/>
  </si>
  <si>
    <t>총기장(뒤중심)</t>
    <phoneticPr fontId="2" type="noConversion"/>
  </si>
  <si>
    <r>
      <t xml:space="preserve">CB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</si>
  <si>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앞중심에서 밑단까지의 직선길이</t>
    <phoneticPr fontId="1" type="noConversion"/>
  </si>
  <si>
    <t>총기장(앞중심)</t>
    <phoneticPr fontId="2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</si>
  <si>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</si>
  <si>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STYLE NO: JZSOP04-W#H11</t>
    <phoneticPr fontId="1" type="noConversion"/>
  </si>
  <si>
    <t xml:space="preserve">앞중심에서 수평으로 잰 길이 </t>
    <phoneticPr fontId="24" type="noConversion"/>
  </si>
  <si>
    <t>옆목에서 절개선까지 직선길이</t>
    <phoneticPr fontId="24" type="noConversion"/>
  </si>
  <si>
    <t>6G</t>
    <phoneticPr fontId="24" type="noConversion"/>
  </si>
  <si>
    <t>6G-BAND (완성사이즈)</t>
    <phoneticPr fontId="24" type="noConversion"/>
  </si>
  <si>
    <t>STYLE NO: JZSOP06-K#Y01</t>
    <phoneticPr fontId="1" type="noConversion"/>
  </si>
  <si>
    <r>
      <t xml:space="preserve">허리절개선에서 밑단까지 잰 길이 </t>
    </r>
    <r>
      <rPr>
        <sz val="7.5"/>
        <color rgb="FFFF0000"/>
        <rFont val="맑은 고딕"/>
        <family val="3"/>
        <charset val="129"/>
        <scheme val="minor"/>
      </rPr>
      <t>(와끼기준)</t>
    </r>
    <phoneticPr fontId="24" type="noConversion"/>
  </si>
  <si>
    <r>
      <t xml:space="preserve">2G-BAND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24" type="noConversion"/>
  </si>
  <si>
    <t>FROM SHOULDER POINT TO EDGE</t>
    <phoneticPr fontId="2" type="noConversion"/>
  </si>
  <si>
    <t>STYLE NO: JZSOP07-W#A01</t>
    <phoneticPr fontId="1" type="noConversion"/>
  </si>
  <si>
    <r>
      <t xml:space="preserve">허리절개선에서 </t>
    </r>
    <r>
      <rPr>
        <sz val="7.5"/>
        <color rgb="FFFF0000"/>
        <rFont val="맑은 고딕"/>
        <family val="3"/>
        <charset val="129"/>
        <scheme val="minor"/>
      </rPr>
      <t>밑단스칼럽 튀어나온 끝점</t>
    </r>
    <r>
      <rPr>
        <sz val="7.5"/>
        <rFont val="맑은 고딕"/>
        <family val="3"/>
        <charset val="129"/>
        <scheme val="minor"/>
      </rPr>
      <t>까지 잰 길이</t>
    </r>
    <phoneticPr fontId="24" type="noConversion"/>
  </si>
  <si>
    <r>
      <t xml:space="preserve">소매기장 </t>
    </r>
    <r>
      <rPr>
        <sz val="7.5"/>
        <color rgb="FFFF0000"/>
        <rFont val="맑은 고딕"/>
        <family val="3"/>
        <charset val="129"/>
        <scheme val="minor"/>
      </rPr>
      <t>(안감)</t>
    </r>
    <phoneticPr fontId="24" type="noConversion"/>
  </si>
  <si>
    <r>
      <t xml:space="preserve">뒷목 중심에서 </t>
    </r>
    <r>
      <rPr>
        <sz val="7.5"/>
        <color rgb="FFFF0000"/>
        <rFont val="맑은 고딕"/>
        <family val="3"/>
        <charset val="129"/>
        <scheme val="minor"/>
      </rPr>
      <t>밑단스칼럽 튀어나온 끝점</t>
    </r>
    <r>
      <rPr>
        <sz val="7.5"/>
        <rFont val="맑은 고딕"/>
        <family val="3"/>
        <charset val="129"/>
        <scheme val="minor"/>
      </rPr>
      <t>까지 직선길이</t>
    </r>
    <phoneticPr fontId="1" type="noConversion"/>
  </si>
  <si>
    <t>STYLE NO: JZSOP08-W#R25</t>
    <phoneticPr fontId="1" type="noConversion"/>
  </si>
  <si>
    <t>STYLE NO: JZSOU05-W#H20</t>
    <phoneticPr fontId="1" type="noConversion"/>
  </si>
  <si>
    <t>허리 고무줄 완성</t>
    <phoneticPr fontId="1" type="noConversion"/>
  </si>
  <si>
    <t>WITHOUT NECK BAND (INSIDE)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</si>
  <si>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</si>
  <si>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카라폭</t>
    <phoneticPr fontId="24" type="noConversion"/>
  </si>
  <si>
    <t>FRONT ZIPPER</t>
    <phoneticPr fontId="2" type="noConversion"/>
  </si>
  <si>
    <t xml:space="preserve">YKK </t>
    <phoneticPr fontId="1" type="noConversion"/>
  </si>
  <si>
    <r>
      <t>앞넥중심에서 허리프릴까지 수직으로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24" type="noConversion"/>
  </si>
  <si>
    <t>BACK YOKE LENGTH</t>
    <phoneticPr fontId="2" type="noConversion"/>
  </si>
  <si>
    <t>뒤요크 기장</t>
  </si>
  <si>
    <t>뒷목중심에서 절개선까지 수직으로 잰 길이</t>
    <phoneticPr fontId="1" type="noConversion"/>
  </si>
  <si>
    <t>BOTTOM LENGTH</t>
    <phoneticPr fontId="2" type="noConversion"/>
  </si>
  <si>
    <t>밑단 기장</t>
    <phoneticPr fontId="24" type="noConversion"/>
  </si>
  <si>
    <r>
      <rPr>
        <sz val="7.5"/>
        <color theme="1"/>
        <rFont val="맑은 고딕"/>
        <family val="3"/>
        <charset val="129"/>
        <scheme val="minor"/>
      </rPr>
      <t>허리프릴끝선에서 밑단까지 수직으로 잰 길이</t>
    </r>
    <r>
      <rPr>
        <sz val="7.5"/>
        <color rgb="FFFF0000"/>
        <rFont val="맑은 고딕"/>
        <family val="3"/>
        <charset val="129"/>
        <scheme val="minor"/>
      </rPr>
      <t xml:space="preserve"> (와끼기준)</t>
    </r>
    <phoneticPr fontId="24" type="noConversion"/>
  </si>
  <si>
    <t>WAIST FRILL HIGHT</t>
    <phoneticPr fontId="2" type="noConversion"/>
  </si>
  <si>
    <t>허리 프릴 폭</t>
    <phoneticPr fontId="1" type="noConversion"/>
  </si>
  <si>
    <t>옆목점에서 수직으로</t>
    <phoneticPr fontId="1" type="noConversion"/>
  </si>
  <si>
    <r>
      <t xml:space="preserve">앞중심에서 수평으로 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</si>
  <si>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STYLE NO: JZSOU08-W#Y02</t>
    <phoneticPr fontId="1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</si>
  <si>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</si>
  <si>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스트일</t>
    <phoneticPr fontId="24" type="noConversion"/>
  </si>
  <si>
    <t>20MM</t>
    <phoneticPr fontId="24" type="noConversion"/>
  </si>
  <si>
    <t>BAND</t>
    <phoneticPr fontId="24" type="noConversion"/>
  </si>
  <si>
    <t>상단 기장</t>
    <phoneticPr fontId="24" type="noConversion"/>
  </si>
  <si>
    <t>뒷목중심에서 허리절개선까지 수직으로 잰 길이</t>
    <phoneticPr fontId="24" type="noConversion"/>
  </si>
  <si>
    <t>노출길이=12cm,양쪽 24cm 포함</t>
    <phoneticPr fontId="24" type="noConversion"/>
  </si>
  <si>
    <r>
      <t xml:space="preserve">위치 A </t>
    </r>
    <r>
      <rPr>
        <sz val="7.5"/>
        <color rgb="FFFF0000"/>
        <rFont val="맑은 고딕"/>
        <family val="3"/>
        <charset val="129"/>
        <scheme val="minor"/>
      </rPr>
      <t>(주머니)</t>
    </r>
    <phoneticPr fontId="1" type="noConversion"/>
  </si>
  <si>
    <t>STYLE NO: JZSTO02-W#H02</t>
    <phoneticPr fontId="1" type="noConversion"/>
  </si>
  <si>
    <t>STRIGHT (1/2)</t>
    <phoneticPr fontId="24" type="noConversion"/>
  </si>
  <si>
    <t>허리둘레(반품)</t>
    <phoneticPr fontId="1" type="noConversion"/>
  </si>
  <si>
    <t>허리절개선의 양끝점을 수평으로 잰길이</t>
    <phoneticPr fontId="24" type="noConversion"/>
  </si>
  <si>
    <t>BACK WAIST 4G BAND</t>
    <phoneticPr fontId="2" type="noConversion"/>
  </si>
  <si>
    <t>뒤허리 4골고무줄</t>
    <phoneticPr fontId="24" type="noConversion"/>
  </si>
  <si>
    <t>4G-BAND (완성사이즈)</t>
    <phoneticPr fontId="24" type="noConversion"/>
  </si>
  <si>
    <t>BOTTOM FRILL LENGTH</t>
    <phoneticPr fontId="2" type="noConversion"/>
  </si>
  <si>
    <r>
      <rPr>
        <sz val="7.5"/>
        <color theme="1"/>
        <rFont val="맑은 고딕"/>
        <family val="3"/>
        <charset val="129"/>
        <scheme val="minor"/>
      </rPr>
      <t>절개선에서 밑단까지 수직으로 잰 길이</t>
    </r>
    <r>
      <rPr>
        <sz val="7.5"/>
        <color rgb="FFFF0000"/>
        <rFont val="맑은 고딕"/>
        <family val="3"/>
        <charset val="129"/>
        <scheme val="minor"/>
      </rPr>
      <t xml:space="preserve"> (중심기준)</t>
    </r>
    <phoneticPr fontId="24" type="noConversion"/>
  </si>
  <si>
    <t>BUSTIER TOTAL LENGTH</t>
    <phoneticPr fontId="24" type="noConversion"/>
  </si>
  <si>
    <t>뷔스티에-총장</t>
    <phoneticPr fontId="24" type="noConversion"/>
  </si>
  <si>
    <t>앞중심기준으로 수직으로 잰 길이</t>
    <phoneticPr fontId="24" type="noConversion"/>
  </si>
  <si>
    <t>상단 양끝점을 수평으로 잰 길이</t>
    <phoneticPr fontId="24" type="noConversion"/>
  </si>
  <si>
    <t xml:space="preserve">CHEST </t>
    <phoneticPr fontId="2" type="noConversion"/>
  </si>
  <si>
    <t>뷔스티에-가슴(상동)</t>
    <phoneticPr fontId="1" type="noConversion"/>
  </si>
  <si>
    <t>밑단에서 수직으로 잰 길이</t>
    <phoneticPr fontId="24" type="noConversion"/>
  </si>
  <si>
    <t>와끼에서 수평으로 잰 길이</t>
    <phoneticPr fontId="24" type="noConversion"/>
  </si>
  <si>
    <t>STYLE NO: JZSTO04-K#H19</t>
    <phoneticPr fontId="1" type="noConversion"/>
  </si>
  <si>
    <t>FRONT LENGTH</t>
    <phoneticPr fontId="24" type="noConversion"/>
  </si>
  <si>
    <t>앞 총장</t>
    <phoneticPr fontId="24" type="noConversion"/>
  </si>
  <si>
    <t>앞넥랍빠중심기준으로 수직으로 잰 길이</t>
    <phoneticPr fontId="24" type="noConversion"/>
  </si>
  <si>
    <t>랍빠끝에서 랍빠끝까지 직선길이</t>
    <phoneticPr fontId="1" type="noConversion"/>
  </si>
  <si>
    <t>STYLE NO: JZSTO05-K#H17</t>
    <phoneticPr fontId="1" type="noConversion"/>
  </si>
  <si>
    <r>
      <t xml:space="preserve">보이는 부분의 완성사이즈 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24" type="noConversion"/>
  </si>
  <si>
    <t>앞넥중심에서 수직으로 잰 길이</t>
    <phoneticPr fontId="24" type="noConversion"/>
  </si>
  <si>
    <t>STYLE NO: JZSTO06-K#H16</t>
    <phoneticPr fontId="1" type="noConversion"/>
  </si>
  <si>
    <r>
      <t xml:space="preserve">앞목중심에서 수직으로 </t>
    </r>
    <r>
      <rPr>
        <sz val="7.5"/>
        <color rgb="FFFF0000"/>
        <rFont val="맑은 고딕"/>
        <family val="3"/>
        <charset val="129"/>
        <scheme val="minor"/>
      </rPr>
      <t>(넥랍빠 포함)</t>
    </r>
    <phoneticPr fontId="1" type="noConversion"/>
  </si>
  <si>
    <t>STYLE NO: JZSTO07-K#h15</t>
    <phoneticPr fontId="1" type="noConversion"/>
  </si>
  <si>
    <t>3XL</t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</si>
  <si>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 xml:space="preserve"> (레이스 포함)</t>
    </r>
    <phoneticPr fontId="1" type="noConversion"/>
  </si>
  <si>
    <t xml:space="preserve"> GRAPHIC POINT A</t>
    <phoneticPr fontId="1" type="noConversion"/>
  </si>
  <si>
    <t>나염위치 A</t>
    <phoneticPr fontId="1" type="noConversion"/>
  </si>
  <si>
    <t xml:space="preserve">BOTTOM LACE </t>
    <phoneticPr fontId="2" type="noConversion"/>
  </si>
  <si>
    <t>밑단 레이스</t>
    <phoneticPr fontId="24" type="noConversion"/>
  </si>
  <si>
    <t>레이스 보이는 부분 (노출길이)</t>
    <phoneticPr fontId="24" type="noConversion"/>
  </si>
  <si>
    <t>STYLE NO: JZSTO08-K#H12</t>
    <phoneticPr fontId="1" type="noConversion"/>
  </si>
  <si>
    <t>첫번째테잎시작선에서 밑단까지 수직으로 잰 길이</t>
    <phoneticPr fontId="24" type="noConversion"/>
  </si>
  <si>
    <t>STYLE NO: JYSTO09-K#H10</t>
    <phoneticPr fontId="1" type="noConversion"/>
  </si>
  <si>
    <t>COLLARS WIDTH</t>
    <phoneticPr fontId="2" type="noConversion"/>
  </si>
  <si>
    <t>카라폭</t>
    <phoneticPr fontId="1" type="noConversion"/>
  </si>
  <si>
    <t>옆목, 레이스(20mm노출)제외</t>
    <phoneticPr fontId="1" type="noConversion"/>
  </si>
  <si>
    <t>STYLE NO: JZSTO11-K#R16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</si>
  <si>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</t>
    </r>
    <r>
      <rPr>
        <sz val="7.5"/>
        <color rgb="FFFF0000"/>
        <rFont val="맑은 고딕"/>
        <family val="3"/>
        <charset val="129"/>
        <scheme val="minor"/>
      </rPr>
      <t>-배색넥랍빠)</t>
    </r>
    <phoneticPr fontId="1" type="noConversion"/>
  </si>
  <si>
    <r>
      <t xml:space="preserve">ROUND ,@ NECK SEWING  LINE </t>
    </r>
    <r>
      <rPr>
        <sz val="7.5"/>
        <color rgb="FFFF0000"/>
        <rFont val="맑은 고딕"/>
        <family val="3"/>
        <charset val="129"/>
        <scheme val="minor"/>
      </rPr>
      <t>(배색넥랍빠)</t>
    </r>
    <phoneticPr fontId="1" type="noConversion"/>
  </si>
  <si>
    <t>STYLE NO: JZSTO15-K#R06</t>
    <phoneticPr fontId="1" type="noConversion"/>
  </si>
  <si>
    <t>FRONT,BACK UPPER CHEST</t>
    <phoneticPr fontId="2" type="noConversion"/>
  </si>
  <si>
    <t>앞,뒤바대 폭</t>
    <phoneticPr fontId="1" type="noConversion"/>
  </si>
  <si>
    <t>STYLE NO: JZSTO16-K#R07</t>
    <phoneticPr fontId="1" type="noConversion"/>
  </si>
  <si>
    <t>STYLE NO: JZSTO17-K#R08</t>
    <phoneticPr fontId="1" type="noConversion"/>
  </si>
  <si>
    <t>STYLE NO: JZSTO18-K#A03</t>
    <phoneticPr fontId="1" type="noConversion"/>
  </si>
  <si>
    <t>앞넥중심에서 수평으로 잰 길이</t>
    <phoneticPr fontId="24" type="noConversion"/>
  </si>
  <si>
    <t>STYLE NO: JZSTO19-K#G08</t>
    <phoneticPr fontId="1" type="noConversion"/>
  </si>
  <si>
    <t>XS</t>
    <phoneticPr fontId="1" type="noConversion"/>
  </si>
  <si>
    <t>STYLE NO: JZSTO21-K#H18</t>
    <phoneticPr fontId="1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</si>
  <si>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</si>
  <si>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t>STYLE NO: JZSTO23-K#R23</t>
    <phoneticPr fontId="1" type="noConversion"/>
  </si>
  <si>
    <t>BACK FRONT NECK CENTER TO VERTICAL</t>
    <phoneticPr fontId="1" type="noConversion"/>
  </si>
  <si>
    <t>뒷목중심에서 수직으로</t>
    <phoneticPr fontId="1" type="noConversion"/>
  </si>
  <si>
    <t>STYLE NO: JZSTO24-K#R24</t>
    <phoneticPr fontId="1" type="noConversion"/>
  </si>
  <si>
    <t>2g</t>
    <phoneticPr fontId="24" type="noConversion"/>
  </si>
  <si>
    <r>
      <t>뷔스티에-총장</t>
    </r>
    <r>
      <rPr>
        <sz val="7.5"/>
        <color rgb="FFFF0000"/>
        <rFont val="맑은 고딕"/>
        <family val="3"/>
        <charset val="129"/>
        <scheme val="minor"/>
      </rPr>
      <t>(뒤판)</t>
    </r>
    <phoneticPr fontId="24" type="noConversion"/>
  </si>
  <si>
    <r>
      <t xml:space="preserve">뒤중심기준으로 수직으로 잰 길이 </t>
    </r>
    <r>
      <rPr>
        <sz val="7.5"/>
        <color rgb="FFFF0000"/>
        <rFont val="맑은 고딕"/>
        <family val="3"/>
        <charset val="129"/>
        <scheme val="minor"/>
      </rPr>
      <t>(밑단25mm프릴포함)</t>
    </r>
    <phoneticPr fontId="24" type="noConversion"/>
  </si>
  <si>
    <t>BOTTOM SWEEP</t>
    <phoneticPr fontId="2" type="noConversion"/>
  </si>
  <si>
    <t>뷔스티에-밑단둘레</t>
    <phoneticPr fontId="24" type="noConversion"/>
  </si>
  <si>
    <t>FRONTUPPER CHEST</t>
    <phoneticPr fontId="2" type="noConversion"/>
  </si>
  <si>
    <t>보이는 부분의 완성사이즈</t>
    <phoneticPr fontId="24" type="noConversion"/>
  </si>
  <si>
    <t>FRONT 2G-BAND</t>
    <phoneticPr fontId="2" type="noConversion"/>
  </si>
  <si>
    <t xml:space="preserve">앞 2골밴드 </t>
    <phoneticPr fontId="24" type="noConversion"/>
  </si>
  <si>
    <t>밑단 프릴 기장</t>
    <phoneticPr fontId="24" type="noConversion"/>
  </si>
  <si>
    <t>STYLE NO: JZSTO25-K#Y03</t>
    <phoneticPr fontId="1" type="noConversion"/>
  </si>
  <si>
    <t>STYLE NO: JZSTO27-K#Y05</t>
    <phoneticPr fontId="1" type="noConversion"/>
  </si>
  <si>
    <t>.</t>
    <phoneticPr fontId="2" type="noConversion"/>
  </si>
  <si>
    <r>
      <t xml:space="preserve">FROM SHOULDER POINT TO EDGE </t>
    </r>
    <r>
      <rPr>
        <sz val="7.5"/>
        <color rgb="FFFF0000"/>
        <rFont val="맑은 고딕"/>
        <family val="3"/>
        <charset val="129"/>
        <scheme val="minor"/>
      </rPr>
      <t>(레이스 제외)</t>
    </r>
    <phoneticPr fontId="2" type="noConversion"/>
  </si>
  <si>
    <r>
      <t xml:space="preserve">소매통 </t>
    </r>
    <r>
      <rPr>
        <sz val="7.5"/>
        <color rgb="FFFF0000"/>
        <rFont val="맑은 고딕"/>
        <family val="3"/>
        <charset val="129"/>
        <scheme val="minor"/>
      </rPr>
      <t>(짧은소매)</t>
    </r>
    <phoneticPr fontId="24" type="noConversion"/>
  </si>
  <si>
    <t xml:space="preserve">LONG CUFFS OPENING </t>
    <phoneticPr fontId="2" type="noConversion"/>
  </si>
  <si>
    <t>긴소매부리</t>
    <phoneticPr fontId="24" type="noConversion"/>
  </si>
  <si>
    <t xml:space="preserve">SHORT CUFFS OPENING </t>
    <phoneticPr fontId="2" type="noConversion"/>
  </si>
  <si>
    <t>짧은소매부리</t>
    <phoneticPr fontId="24" type="noConversion"/>
  </si>
  <si>
    <t>STYLE NO:JZSTO29-K#G13</t>
    <phoneticPr fontId="1" type="noConversion"/>
  </si>
  <si>
    <t>OUTSIDE TOTAL LENGTH</t>
    <phoneticPr fontId="24" type="noConversion"/>
  </si>
  <si>
    <t>겉-총장</t>
    <phoneticPr fontId="24" type="noConversion"/>
  </si>
  <si>
    <t>OUTSIDE CHEST (1/2)</t>
    <phoneticPr fontId="2" type="noConversion"/>
  </si>
  <si>
    <t>겉-가슴(상동)</t>
    <phoneticPr fontId="1" type="noConversion"/>
  </si>
  <si>
    <t>OUTSIDE BOTTOM SWEEP(1/2)</t>
    <phoneticPr fontId="2" type="noConversion"/>
  </si>
  <si>
    <t>겉-밑단둘레(반품)</t>
    <phoneticPr fontId="24" type="noConversion"/>
  </si>
  <si>
    <t>밑단와끼에서 수평으로 잰 길이</t>
    <phoneticPr fontId="24" type="noConversion"/>
  </si>
  <si>
    <t>STYLE NO: JZSTO32-K#A06</t>
    <phoneticPr fontId="1" type="noConversion"/>
  </si>
  <si>
    <t>STYLE NO: JZSTO34-K#A10</t>
    <phoneticPr fontId="1" type="noConversion"/>
  </si>
  <si>
    <t>STYLE NO: JZSOU14-W#N13(인디고)</t>
    <phoneticPr fontId="1" type="noConversion"/>
  </si>
  <si>
    <t>FRONT BOTTOM SWEEP (1/2)</t>
    <phoneticPr fontId="2" type="noConversion"/>
  </si>
  <si>
    <t>앞밑단둘레(반품)</t>
    <phoneticPr fontId="24" type="noConversion"/>
  </si>
  <si>
    <t>BACK BOTTOM BAND</t>
    <phoneticPr fontId="2" type="noConversion"/>
  </si>
  <si>
    <t>뒤밑단고무줄</t>
    <phoneticPr fontId="24" type="noConversion"/>
  </si>
  <si>
    <t>STYLE NO: JZSOU11-S#R19(니트)</t>
    <phoneticPr fontId="1" type="noConversion"/>
  </si>
  <si>
    <t>STYLE NO: JZSTO14-K#R05</t>
    <phoneticPr fontId="1" type="noConversion"/>
  </si>
  <si>
    <t>2골고무줄</t>
    <phoneticPr fontId="24" type="noConversion"/>
  </si>
  <si>
    <t>FRONT LACE 4G BAND</t>
    <phoneticPr fontId="1" type="noConversion"/>
  </si>
  <si>
    <t>앞레이스 2골고무줄</t>
    <phoneticPr fontId="1" type="noConversion"/>
  </si>
  <si>
    <t>SHOULDER STRAP LENGTH</t>
    <phoneticPr fontId="1" type="noConversion"/>
  </si>
  <si>
    <t>어깨끈길이</t>
    <phoneticPr fontId="1" type="noConversion"/>
  </si>
  <si>
    <t>랍바끝에서</t>
    <phoneticPr fontId="24" type="noConversion"/>
  </si>
  <si>
    <t>완성사이즈</t>
    <phoneticPr fontId="24" type="noConversion"/>
  </si>
  <si>
    <t>STYLE NO: JZSSK06-W#G14</t>
    <phoneticPr fontId="1" type="noConversion"/>
  </si>
  <si>
    <t>요크기장(오비포함)</t>
    <phoneticPr fontId="1" type="noConversion"/>
  </si>
  <si>
    <t>YOKE 4G BAND</t>
    <phoneticPr fontId="2" type="noConversion"/>
  </si>
  <si>
    <t>요크4골고무줄</t>
    <phoneticPr fontId="24" type="noConversion"/>
  </si>
  <si>
    <t>BOTTOM SKIRT LENGTH</t>
    <phoneticPr fontId="1" type="noConversion"/>
  </si>
  <si>
    <t>밑단치마기장</t>
    <phoneticPr fontId="1" type="noConversion"/>
  </si>
  <si>
    <t>옆목점에서 수직</t>
    <phoneticPr fontId="24" type="noConversion"/>
  </si>
  <si>
    <t>STYLE NO: JZSOU61-W#G11</t>
    <phoneticPr fontId="1" type="noConversion"/>
  </si>
  <si>
    <t>WAIST STRING LENGTH</t>
    <phoneticPr fontId="2" type="noConversion"/>
  </si>
  <si>
    <t>SLEEVE 10mm FOLDING BAND</t>
    <phoneticPr fontId="2" type="noConversion"/>
  </si>
  <si>
    <t xml:space="preserve">앞중심에서 </t>
    <phoneticPr fontId="24" type="noConversion"/>
  </si>
  <si>
    <t>소매10mm접밴드</t>
    <phoneticPr fontId="24" type="noConversion"/>
  </si>
  <si>
    <t>허리스트링</t>
    <phoneticPr fontId="24" type="noConversion"/>
  </si>
  <si>
    <t>STYLE NO: JZSOP11-W#G12</t>
    <phoneticPr fontId="1" type="noConversion"/>
  </si>
  <si>
    <t>허리6골 고무줄</t>
    <phoneticPr fontId="24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</si>
  <si>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(셔링펴서)</t>
    </r>
    <phoneticPr fontId="1" type="noConversion"/>
  </si>
  <si>
    <t>FRONT UPPER CHEST 6G BAND</t>
    <phoneticPr fontId="2" type="noConversion"/>
  </si>
  <si>
    <t>앞바대 6골고무줄</t>
    <phoneticPr fontId="1" type="noConversion"/>
  </si>
  <si>
    <t>BACK UPPER CHEST 6G BAND</t>
    <phoneticPr fontId="2" type="noConversion"/>
  </si>
  <si>
    <t>뒤바대 6골고무줄</t>
    <phoneticPr fontId="1" type="noConversion"/>
  </si>
  <si>
    <t>TOTAL SKIRT LENGTH</t>
    <phoneticPr fontId="1" type="noConversion"/>
  </si>
  <si>
    <t>1단치마기장</t>
    <phoneticPr fontId="1" type="noConversion"/>
  </si>
  <si>
    <t>3RD SKIRT LENGTH</t>
    <phoneticPr fontId="1" type="noConversion"/>
  </si>
  <si>
    <t>2단치마기장</t>
    <phoneticPr fontId="1" type="noConversion"/>
  </si>
  <si>
    <t>3단치마기장</t>
    <phoneticPr fontId="1" type="noConversion"/>
  </si>
  <si>
    <t>위프릴제외</t>
    <phoneticPr fontId="24" type="noConversion"/>
  </si>
  <si>
    <t>끈조절 분량 5cm , 고리포함</t>
    <phoneticPr fontId="24" type="noConversion"/>
  </si>
  <si>
    <t>STYLE NO: JZSTO37-K#Y09</t>
    <phoneticPr fontId="1" type="noConversion"/>
  </si>
  <si>
    <t>STYLE NO: JZSPT62-K#Y17</t>
    <phoneticPr fontId="1" type="noConversion"/>
  </si>
  <si>
    <t>2XL</t>
    <phoneticPr fontId="24" type="noConversion"/>
  </si>
  <si>
    <t>오비 스티치 끝선에서 수직으로</t>
    <phoneticPr fontId="24" type="noConversion"/>
  </si>
  <si>
    <r>
      <t xml:space="preserve">와끼선을 기준으로 수평으로 잰 길이 </t>
    </r>
    <r>
      <rPr>
        <sz val="7.5"/>
        <color rgb="FFFF0000"/>
        <rFont val="맑은 고딕"/>
        <family val="3"/>
        <charset val="129"/>
        <scheme val="minor"/>
      </rPr>
      <t>(펼쳤을때)</t>
    </r>
    <phoneticPr fontId="24" type="noConversion"/>
  </si>
  <si>
    <t>STYLE NO: JZSPT26-K#R37</t>
    <phoneticPr fontId="1" type="noConversion"/>
  </si>
  <si>
    <t>노출길이=양쪽 각13cm</t>
    <phoneticPr fontId="24" type="noConversion"/>
  </si>
  <si>
    <t>STYLE NO: JZSOU13-K#R28</t>
    <phoneticPr fontId="1" type="noConversion"/>
  </si>
  <si>
    <t>F-BOTTOM RIB WLDTH</t>
    <phoneticPr fontId="2" type="noConversion"/>
  </si>
  <si>
    <t>앞밑단 립 폭</t>
    <phoneticPr fontId="24" type="noConversion"/>
  </si>
  <si>
    <r>
      <t>앞중심기준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24" type="noConversion"/>
  </si>
  <si>
    <t>B-BOTTOM RIB WLDTH</t>
    <phoneticPr fontId="2" type="noConversion"/>
  </si>
  <si>
    <t>뒤밑단 립 폭</t>
    <phoneticPr fontId="24" type="noConversion"/>
  </si>
  <si>
    <t>뒤중심기준</t>
    <phoneticPr fontId="24" type="noConversion"/>
  </si>
  <si>
    <t>HOOD BAND</t>
    <phoneticPr fontId="2" type="noConversion"/>
  </si>
  <si>
    <t>후드 속 밴드</t>
    <phoneticPr fontId="24" type="noConversion"/>
  </si>
  <si>
    <t>15mm-BAND</t>
    <phoneticPr fontId="24" type="noConversion"/>
  </si>
  <si>
    <r>
      <t>앞중심에서</t>
    </r>
    <r>
      <rPr>
        <sz val="7.5"/>
        <color rgb="FFFF0000"/>
        <rFont val="맑은 고딕"/>
        <family val="3"/>
        <charset val="129"/>
        <scheme val="minor"/>
      </rPr>
      <t xml:space="preserve"> (지퍼제외)</t>
    </r>
    <phoneticPr fontId="24" type="noConversion"/>
  </si>
  <si>
    <t>STYLE NO: JZSTO22-K#H25</t>
    <phoneticPr fontId="1" type="noConversion"/>
  </si>
  <si>
    <t>STYLE NO: JZSTO36-K#G16</t>
    <phoneticPr fontId="1" type="noConversion"/>
  </si>
  <si>
    <t>STYLE NO: JZSTO39-K#G17</t>
    <phoneticPr fontId="1" type="noConversion"/>
  </si>
  <si>
    <t>STYLE NO: JZSTO40-K#H15</t>
    <phoneticPr fontId="1" type="noConversion"/>
  </si>
  <si>
    <t>STYLE NO: JZSTO42-K#H33</t>
    <phoneticPr fontId="1" type="noConversion"/>
  </si>
  <si>
    <t>옆목, 레이스 제외</t>
    <phoneticPr fontId="1" type="noConversion"/>
  </si>
  <si>
    <t>앞중심</t>
    <phoneticPr fontId="1" type="noConversion"/>
  </si>
  <si>
    <t>STYLE NO: JZSTO43-K#H34</t>
    <phoneticPr fontId="1" type="noConversion"/>
  </si>
  <si>
    <t>STYLE NO: JZSTO62-K#Y14</t>
    <phoneticPr fontId="1" type="noConversion"/>
  </si>
  <si>
    <r>
      <t>옆목점을 수평으로 잰 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</si>
  <si>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</si>
  <si>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소매기장</t>
    <phoneticPr fontId="24" type="noConversion"/>
  </si>
  <si>
    <t>FROM BACK NECK CENTER TO VERTICAL</t>
    <phoneticPr fontId="1" type="noConversion"/>
  </si>
  <si>
    <t xml:space="preserve">뒷목중심에서 수직으로 </t>
    <phoneticPr fontId="1" type="noConversion"/>
  </si>
  <si>
    <t>STYLE NO: JZSTO63-K#Y15</t>
    <phoneticPr fontId="1" type="noConversion"/>
  </si>
  <si>
    <t xml:space="preserve">앞목중심에서 수직으로 </t>
    <phoneticPr fontId="1" type="noConversion"/>
  </si>
  <si>
    <t>STYLE NO: JZSTO64-W#Y19</t>
    <phoneticPr fontId="1" type="noConversion"/>
  </si>
  <si>
    <r>
      <t>암홀 겨드랑이 지점에서 소매중심의 수직 길이</t>
    </r>
    <r>
      <rPr>
        <sz val="7.5"/>
        <color rgb="FFFF0000"/>
        <rFont val="맑은 고딕"/>
        <family val="3"/>
        <charset val="129"/>
        <scheme val="minor"/>
      </rPr>
      <t>(셔링펴서)</t>
    </r>
    <phoneticPr fontId="1" type="noConversion"/>
  </si>
  <si>
    <t>CUFFS 4G BAND</t>
    <phoneticPr fontId="2" type="noConversion"/>
  </si>
  <si>
    <t>소매 4골 고무줄</t>
    <phoneticPr fontId="24" type="noConversion"/>
  </si>
  <si>
    <t>BACK SLIT LENGTH</t>
    <phoneticPr fontId="24" type="noConversion"/>
  </si>
  <si>
    <t>뒤트임길이</t>
    <phoneticPr fontId="24" type="noConversion"/>
  </si>
  <si>
    <t>STYLE NO: JZSTO44-K#H44</t>
    <phoneticPr fontId="1" type="noConversion"/>
  </si>
  <si>
    <t xml:space="preserve">BACK NECK DROP </t>
    <phoneticPr fontId="2" type="noConversion"/>
  </si>
  <si>
    <t>뒷목깊이</t>
    <phoneticPr fontId="24" type="noConversion"/>
  </si>
  <si>
    <t>MAKE IMAGE LINE TO CENTER NECK BACK</t>
    <phoneticPr fontId="2" type="noConversion"/>
  </si>
  <si>
    <r>
      <t xml:space="preserve">옆목점에서 뒷목중심의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</si>
  <si>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STYLE NO: JZSOU15-K#H46</t>
    <phoneticPr fontId="1" type="noConversion"/>
  </si>
  <si>
    <t>STYLE NO: JZSPT25-K#H45</t>
    <phoneticPr fontId="1" type="noConversion"/>
  </si>
  <si>
    <t>허리 장식 스트링길이</t>
    <phoneticPr fontId="24" type="noConversion"/>
  </si>
  <si>
    <t>장식스트링 노출길이=16cm</t>
    <phoneticPr fontId="24" type="noConversion"/>
  </si>
  <si>
    <t>STYLE NO: JZSPT61-W#Y16</t>
    <phoneticPr fontId="1" type="noConversion"/>
  </si>
  <si>
    <t>2XS</t>
    <phoneticPr fontId="1" type="noConversion"/>
  </si>
  <si>
    <t>XL</t>
    <phoneticPr fontId="24" type="noConversion"/>
  </si>
  <si>
    <r>
      <t xml:space="preserve">INCLUDE WAIST BAND TO EDGE </t>
    </r>
    <r>
      <rPr>
        <sz val="7.5"/>
        <color rgb="FFFF0000"/>
        <rFont val="맑은 고딕"/>
        <family val="3"/>
        <charset val="129"/>
        <scheme val="minor"/>
      </rPr>
      <t>(오비프릴포함)</t>
    </r>
    <phoneticPr fontId="1" type="noConversion"/>
  </si>
  <si>
    <t>STYLE NO: JZSOU12-K#A12</t>
    <phoneticPr fontId="1" type="noConversion"/>
  </si>
  <si>
    <t>SLEEVELESS TOTAL LENGTH</t>
    <phoneticPr fontId="24" type="noConversion"/>
  </si>
  <si>
    <t>SLEEVELESS CHEST (1/2)</t>
    <phoneticPr fontId="2" type="noConversion"/>
  </si>
  <si>
    <t>나시-가슴(상동)</t>
    <phoneticPr fontId="1" type="noConversion"/>
  </si>
  <si>
    <t>나시-총장(뒤중심)</t>
    <phoneticPr fontId="24" type="noConversion"/>
  </si>
  <si>
    <t>랍빠끝중심에서 수직으로 잰 길이</t>
    <phoneticPr fontId="24" type="noConversion"/>
  </si>
  <si>
    <t>STYLE NO: JZSTO41-K#N16</t>
    <phoneticPr fontId="1" type="noConversion"/>
  </si>
  <si>
    <t>앞밑위(프릴제외)</t>
    <phoneticPr fontId="24" type="noConversion"/>
  </si>
  <si>
    <t>뒤밑위(프릴제외)</t>
    <phoneticPr fontId="24" type="noConversion"/>
  </si>
  <si>
    <t xml:space="preserve">FRONT POCKET LENGTH </t>
    <phoneticPr fontId="1" type="noConversion"/>
  </si>
  <si>
    <t>STYLE NO: JZSTO46-K#G19</t>
    <phoneticPr fontId="1" type="noConversion"/>
  </si>
  <si>
    <r>
      <t xml:space="preserve">옆목점에서 밑단까지의 직선길이 </t>
    </r>
    <r>
      <rPr>
        <sz val="7.5"/>
        <color rgb="FFFF0000"/>
        <rFont val="맑은 고딕"/>
        <family val="3"/>
        <charset val="129"/>
        <scheme val="minor"/>
      </rPr>
      <t>(뒤판기준)</t>
    </r>
    <phoneticPr fontId="1" type="noConversion"/>
  </si>
  <si>
    <t>STYLE NO: JZSPT27-K#G20</t>
    <phoneticPr fontId="1" type="noConversion"/>
  </si>
  <si>
    <t>앞밑위</t>
    <phoneticPr fontId="24" type="noConversion"/>
  </si>
  <si>
    <t>뒤밑위</t>
    <phoneticPr fontId="24" type="noConversion"/>
  </si>
  <si>
    <r>
      <t>바지기장</t>
    </r>
    <r>
      <rPr>
        <sz val="7.5"/>
        <color rgb="FFFF0000"/>
        <rFont val="맑은 고딕"/>
        <family val="3"/>
        <charset val="129"/>
        <scheme val="minor"/>
      </rPr>
      <t>(배색오비포함)</t>
    </r>
    <phoneticPr fontId="24" type="noConversion"/>
  </si>
  <si>
    <t>배색오비포함(12mm노출)</t>
    <phoneticPr fontId="1" type="noConversion"/>
  </si>
  <si>
    <r>
      <t>INCLUDE WAIST BAND TO EDGE</t>
    </r>
    <r>
      <rPr>
        <sz val="7.5"/>
        <color rgb="FFFF0000"/>
        <rFont val="맑은 고딕"/>
        <family val="3"/>
        <charset val="129"/>
        <scheme val="minor"/>
      </rPr>
      <t>(배색오비-12mm노출)</t>
    </r>
    <phoneticPr fontId="1" type="noConversion"/>
  </si>
  <si>
    <r>
      <t>허리에서 수직으로</t>
    </r>
    <r>
      <rPr>
        <sz val="7.5"/>
        <color rgb="FFFF0000"/>
        <rFont val="맑은 고딕"/>
        <family val="3"/>
        <charset val="129"/>
        <scheme val="minor"/>
      </rPr>
      <t>(배색오비-12mm노출)</t>
    </r>
    <phoneticPr fontId="1" type="noConversion"/>
  </si>
  <si>
    <t>STYLE NO: JZSOU09-S#H22(니트)</t>
    <phoneticPr fontId="1" type="noConversion"/>
  </si>
  <si>
    <t>STYLE NO: JZSTO61-W#Y13</t>
    <phoneticPr fontId="1" type="noConversion"/>
  </si>
  <si>
    <t>2XS</t>
    <phoneticPr fontId="24" type="noConversion"/>
  </si>
  <si>
    <t>총기장(뒷중심)</t>
    <phoneticPr fontId="2" type="noConversion"/>
  </si>
  <si>
    <t>CHEST 4G BAND</t>
    <phoneticPr fontId="2" type="noConversion"/>
  </si>
  <si>
    <t>상동 4골 밴드</t>
    <phoneticPr fontId="1" type="noConversion"/>
  </si>
  <si>
    <t>암홀 겨드랑이 지점에서 소매중심의 수직 길이</t>
    <phoneticPr fontId="1" type="noConversion"/>
  </si>
  <si>
    <t>CUFFS 6G BAND</t>
    <phoneticPr fontId="2" type="noConversion"/>
  </si>
  <si>
    <t>소매 6골 고무줄</t>
    <phoneticPr fontId="24" type="noConversion"/>
  </si>
  <si>
    <t>중심</t>
    <phoneticPr fontId="24" type="noConversion"/>
  </si>
  <si>
    <r>
      <t>중심</t>
    </r>
    <r>
      <rPr>
        <sz val="7.5"/>
        <color rgb="FFFF0000"/>
        <rFont val="맑은 고딕"/>
        <family val="3"/>
        <charset val="129"/>
        <scheme val="minor"/>
      </rPr>
      <t>(뒷트임 부분)</t>
    </r>
    <phoneticPr fontId="24" type="noConversion"/>
  </si>
  <si>
    <t>6골</t>
    <phoneticPr fontId="24" type="noConversion"/>
  </si>
  <si>
    <t>STYLE NO: JZSOP13-K#G18</t>
    <phoneticPr fontId="1" type="noConversion"/>
  </si>
  <si>
    <t>옆목점에서 상의밑단까지 직선길이</t>
    <phoneticPr fontId="24" type="noConversion"/>
  </si>
  <si>
    <t>TOP (상의)</t>
    <phoneticPr fontId="24" type="noConversion"/>
  </si>
  <si>
    <t>HPS TO BOTTOM EDGE</t>
    <phoneticPr fontId="24" type="noConversion"/>
  </si>
  <si>
    <t>허리 6골 고무줄</t>
    <phoneticPr fontId="24" type="noConversion"/>
  </si>
  <si>
    <t>F/B UPPER CHEST</t>
    <phoneticPr fontId="2" type="noConversion"/>
  </si>
  <si>
    <t>앞/뒤바대 폭</t>
    <phoneticPr fontId="1" type="noConversion"/>
  </si>
  <si>
    <t>와끼기준,보이는 부분</t>
    <phoneticPr fontId="24" type="noConversion"/>
  </si>
  <si>
    <t>STYLE NO: JZSOU16-W#Y20</t>
    <phoneticPr fontId="1" type="noConversion"/>
  </si>
  <si>
    <t>가슴(앞상동)</t>
    <phoneticPr fontId="1" type="noConversion"/>
  </si>
  <si>
    <r>
      <t>INCLUDE WAIST BAND TO EDGE</t>
    </r>
    <r>
      <rPr>
        <sz val="7.5"/>
        <color rgb="FFFF0000"/>
        <rFont val="맑은 고딕"/>
        <family val="3"/>
        <charset val="129"/>
        <scheme val="minor"/>
      </rPr>
      <t xml:space="preserve"> (지퍼포함)</t>
    </r>
    <phoneticPr fontId="1" type="noConversion"/>
  </si>
  <si>
    <r>
      <t>INCLUDE WAIST BAND TO EDGE</t>
    </r>
    <r>
      <rPr>
        <sz val="7.5"/>
        <color rgb="FFFF0000"/>
        <rFont val="맑은 고딕"/>
        <family val="3"/>
        <charset val="129"/>
        <scheme val="minor"/>
      </rPr>
      <t xml:space="preserve"> (셔링펼쳤을떄)</t>
    </r>
    <phoneticPr fontId="1" type="noConversion"/>
  </si>
  <si>
    <r>
      <rPr>
        <sz val="7.5"/>
        <color theme="1"/>
        <rFont val="맑은 고딕"/>
        <family val="3"/>
        <charset val="129"/>
        <scheme val="minor"/>
      </rPr>
      <t xml:space="preserve">절개선에서 밑단까지 수직으로 잰 길이 </t>
    </r>
    <r>
      <rPr>
        <sz val="7.5"/>
        <color rgb="FFFF0000"/>
        <rFont val="맑은 고딕"/>
        <family val="3"/>
        <charset val="129"/>
        <scheme val="minor"/>
      </rPr>
      <t>(와끼기준)</t>
    </r>
    <phoneticPr fontId="24" type="noConversion"/>
  </si>
  <si>
    <t>후드챙 폭</t>
    <phoneticPr fontId="24" type="noConversion"/>
  </si>
  <si>
    <t>HOOD BRIM WIDTH</t>
    <phoneticPr fontId="2" type="noConversion"/>
  </si>
  <si>
    <t>SLEEVE 6G BAND</t>
    <phoneticPr fontId="2" type="noConversion"/>
  </si>
  <si>
    <t>소매 6골 밴드</t>
    <phoneticPr fontId="24" type="noConversion"/>
  </si>
  <si>
    <t>파우치</t>
    <phoneticPr fontId="24" type="noConversion"/>
  </si>
  <si>
    <t>POUCH HEIGHT</t>
    <phoneticPr fontId="1" type="noConversion"/>
  </si>
  <si>
    <t>파우치 높이</t>
    <phoneticPr fontId="1" type="noConversion"/>
  </si>
  <si>
    <t>POUCH LENGTH (1/2)</t>
    <phoneticPr fontId="1" type="noConversion"/>
  </si>
  <si>
    <t>입구선에서 수직으로 잰 길이</t>
    <phoneticPr fontId="24" type="noConversion"/>
  </si>
  <si>
    <t>옆절개선에서 수평으로 잰 길이</t>
    <phoneticPr fontId="24" type="noConversion"/>
  </si>
  <si>
    <t>STYLE NO: JZSPT63-D#Y21</t>
    <phoneticPr fontId="1" type="noConversion"/>
  </si>
  <si>
    <t>S 사이즈</t>
    <phoneticPr fontId="24" type="noConversion"/>
  </si>
  <si>
    <t>여유분=4cm, 단추에서 단추사이 11cm</t>
    <phoneticPr fontId="24" type="noConversion"/>
  </si>
  <si>
    <t>하트 입구</t>
    <phoneticPr fontId="24" type="noConversion"/>
  </si>
  <si>
    <t>오비제외 앞중심</t>
    <phoneticPr fontId="1" type="noConversion"/>
  </si>
  <si>
    <t>STYLE NO: JZSPT64-D#Y22</t>
    <phoneticPr fontId="1" type="noConversion"/>
  </si>
  <si>
    <t>바지기장</t>
    <phoneticPr fontId="24" type="noConversion"/>
  </si>
  <si>
    <t xml:space="preserve">BOTTOM WIDTH </t>
    <phoneticPr fontId="2" type="noConversion"/>
  </si>
  <si>
    <t>밑단 폭</t>
    <phoneticPr fontId="24" type="noConversion"/>
  </si>
  <si>
    <t>POUCH STRAP LENGTH</t>
    <phoneticPr fontId="1" type="noConversion"/>
  </si>
  <si>
    <t>파우치 입구 끈</t>
    <phoneticPr fontId="1" type="noConversion"/>
  </si>
  <si>
    <t>제원단 6mm랍빠</t>
    <phoneticPr fontId="24" type="noConversion"/>
  </si>
  <si>
    <t>밑단둘레(반품)</t>
    <phoneticPr fontId="24" type="noConversion"/>
  </si>
  <si>
    <t>파우치 너비 (반품)</t>
    <phoneticPr fontId="1" type="noConversion"/>
  </si>
  <si>
    <t>여유분:13cm포함</t>
    <phoneticPr fontId="24" type="noConversion"/>
  </si>
  <si>
    <t>밑단원</t>
    <phoneticPr fontId="24" type="noConversion"/>
  </si>
  <si>
    <t>엉덩이둘레(주름잡아서)</t>
    <phoneticPr fontId="24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</si>
  <si>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(주름펴서)</t>
    </r>
    <phoneticPr fontId="1" type="noConversion"/>
  </si>
  <si>
    <t>STYLE NO: JZSSK09-W#N14(완사입)</t>
    <phoneticPr fontId="1" type="noConversion"/>
  </si>
  <si>
    <t>소매부리(단추채운길이)</t>
    <phoneticPr fontId="24" type="noConversion"/>
  </si>
  <si>
    <t>FRONT WELT POCKET</t>
    <phoneticPr fontId="24" type="noConversion"/>
  </si>
  <si>
    <t>앞구찌길이</t>
    <phoneticPr fontId="24" type="noConversion"/>
  </si>
  <si>
    <t xml:space="preserve"> FLAT POCKET WIDE </t>
    <phoneticPr fontId="1" type="noConversion"/>
  </si>
  <si>
    <t>FLAT POCKET HEIGHT</t>
    <phoneticPr fontId="1" type="noConversion"/>
  </si>
  <si>
    <t>후다가로</t>
    <phoneticPr fontId="24" type="noConversion"/>
  </si>
  <si>
    <t>후다세로</t>
    <phoneticPr fontId="24" type="noConversion"/>
  </si>
  <si>
    <t>POCKET STECHES WIDE</t>
    <phoneticPr fontId="24" type="noConversion"/>
  </si>
  <si>
    <t>앞주머니스테치가로</t>
    <phoneticPr fontId="24" type="noConversion"/>
  </si>
  <si>
    <t>앞주머니스테치세로</t>
    <phoneticPr fontId="24" type="noConversion"/>
  </si>
  <si>
    <t>소매통 4골고무줄</t>
    <phoneticPr fontId="24" type="noConversion"/>
  </si>
  <si>
    <t>BICEP 4G BAND</t>
    <phoneticPr fontId="2" type="noConversion"/>
  </si>
  <si>
    <t>STYLE NO: JZSOU17-W#G22</t>
    <phoneticPr fontId="1" type="noConversion"/>
  </si>
  <si>
    <t>POINT TO POINT</t>
    <phoneticPr fontId="2" type="noConversion"/>
  </si>
  <si>
    <t>ROUND ,@ NECK SEWING  LINE</t>
    <phoneticPr fontId="1" type="noConversion"/>
  </si>
  <si>
    <t>소매 밑단의 둘레 길이</t>
    <phoneticPr fontId="1" type="noConversion"/>
  </si>
  <si>
    <t>옆넥에서 수직으로 잰 길이</t>
    <phoneticPr fontId="24" type="noConversion"/>
  </si>
  <si>
    <t>앞중심(단추중심)에서 수평으로 잰길이</t>
    <phoneticPr fontId="24" type="noConversion"/>
  </si>
  <si>
    <t>STYLE NO: JZSSK10-K#R31</t>
    <phoneticPr fontId="1" type="noConversion"/>
  </si>
  <si>
    <t>WAIST RIB WLDTH</t>
    <phoneticPr fontId="2" type="noConversion"/>
  </si>
  <si>
    <t>오비 립 폭</t>
    <phoneticPr fontId="24" type="noConversion"/>
  </si>
  <si>
    <t>오비끝에서 립끝선까지 수직으로 잰 길이</t>
    <phoneticPr fontId="1" type="noConversion"/>
  </si>
  <si>
    <r>
      <t>옆목점에서 앞목중심의 수직길이</t>
    </r>
    <r>
      <rPr>
        <sz val="7.5"/>
        <color indexed="10"/>
        <rFont val="맑은 고딕"/>
        <family val="3"/>
        <charset val="129"/>
      </rPr>
      <t>(샘플사이즈-배색넥랍빠)</t>
    </r>
    <phoneticPr fontId="1" type="noConversion"/>
  </si>
  <si>
    <t>STYLE NO: JZSSK11-S#H49</t>
    <phoneticPr fontId="1" type="noConversion"/>
  </si>
  <si>
    <t>밑단립폭</t>
    <phoneticPr fontId="24" type="noConversion"/>
  </si>
  <si>
    <t>STYLE NO: JZSOU19-S#H48(니트)</t>
    <phoneticPr fontId="1" type="noConversion"/>
  </si>
  <si>
    <t>뒤기장(뒤중심)</t>
    <phoneticPr fontId="2" type="noConversion"/>
  </si>
  <si>
    <t>앞기장(앞중심)</t>
    <phoneticPr fontId="2" type="noConversion"/>
  </si>
  <si>
    <t>STYLE NO: JZSTO80-K#R43</t>
    <phoneticPr fontId="1" type="noConversion"/>
  </si>
  <si>
    <t>STYLE NO: JZSTO81-K#Y23 &lt;핑크&gt;</t>
    <phoneticPr fontId="1" type="noConversion"/>
  </si>
  <si>
    <t>STYLE NO: JZSTO82-K#G23</t>
    <phoneticPr fontId="1" type="noConversion"/>
  </si>
  <si>
    <t>STYLE NO: JZSTO83-K#G24</t>
    <phoneticPr fontId="1" type="noConversion"/>
  </si>
  <si>
    <t>STYLE NO: JZSTO84-K#G25</t>
    <phoneticPr fontId="1" type="noConversion"/>
  </si>
  <si>
    <r>
      <t xml:space="preserve">옆목점에서 밑단까지의 직선길이 </t>
    </r>
    <r>
      <rPr>
        <sz val="7.5"/>
        <color rgb="FFFF0000"/>
        <rFont val="맑은 고딕"/>
        <family val="3"/>
        <charset val="129"/>
        <scheme val="minor"/>
      </rPr>
      <t>(와끼기준)</t>
    </r>
    <phoneticPr fontId="1" type="noConversion"/>
  </si>
  <si>
    <t xml:space="preserve">앞목중심랍빠끝에서 수직으로 </t>
    <phoneticPr fontId="1" type="noConversion"/>
  </si>
  <si>
    <t>STYLE NO: JZSTO85-K#G26</t>
    <phoneticPr fontId="1" type="noConversion"/>
  </si>
  <si>
    <t>STYLE NO: JZSTO86-K#G27</t>
    <phoneticPr fontId="1" type="noConversion"/>
  </si>
  <si>
    <t>STYLE NO: JZSTO87-K#H50</t>
    <phoneticPr fontId="1" type="noConversion"/>
  </si>
  <si>
    <t>STYLE NO: JZSTO88-K#H51</t>
    <phoneticPr fontId="1" type="noConversion"/>
  </si>
  <si>
    <t>STYLE NO: JZSTO89-K#R44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</si>
</sst>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7.5"/>
      <color theme="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7.5"/>
      <color rgb="FFFFFF00"/>
      <name val="맑은 고딕"/>
      <family val="3"/>
      <charset val="129"/>
      <scheme val="minor"/>
    </font>
    <font>
      <sz val="7.5"/>
      <color theme="0" tint="-4.9989318521683403E-2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  <font>
      <sz val="6.5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8" fillId="0" borderId="0">
      <alignment vertical="center"/>
    </xf>
  </cellStyleXfs>
  <cellXfs count="278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/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0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13" fillId="0" borderId="48" xfId="0" applyFont="1" applyBorder="1">
      <alignment vertical="center"/>
    </xf>
    <xf numFmtId="0" fontId="25" fillId="0" borderId="30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9" fillId="0" borderId="54" xfId="0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9" fillId="2" borderId="22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6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6" fillId="0" borderId="34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9" fillId="2" borderId="42" xfId="0" applyFont="1" applyFill="1" applyBorder="1" applyAlignment="1">
      <alignment horizontal="center" vertical="center"/>
    </xf>
    <xf numFmtId="0" fontId="0" fillId="0" borderId="79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16" fillId="0" borderId="6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6" xfId="0" applyFont="1" applyBorder="1" applyAlignment="1">
      <alignment horizontal="left" vertical="center"/>
    </xf>
    <xf numFmtId="0" fontId="16" fillId="0" borderId="68" xfId="0" applyFont="1" applyBorder="1" applyAlignment="1">
      <alignment horizontal="left" vertical="center"/>
    </xf>
    <xf numFmtId="0" fontId="16" fillId="0" borderId="67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3" borderId="60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6" fillId="2" borderId="19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9" fillId="0" borderId="75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16" fillId="0" borderId="69" xfId="0" applyFont="1" applyBorder="1" applyAlignment="1">
      <alignment horizontal="left" vertical="center"/>
    </xf>
    <xf numFmtId="0" fontId="9" fillId="0" borderId="69" xfId="0" applyFont="1" applyBorder="1" applyAlignment="1">
      <alignment horizontal="center" vertical="center"/>
    </xf>
    <xf numFmtId="0" fontId="9" fillId="2" borderId="75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39" xfId="0" applyFont="1" applyBorder="1" applyAlignment="1">
      <alignment horizontal="left" vertical="center"/>
    </xf>
    <xf numFmtId="0" fontId="9" fillId="0" borderId="77" xfId="0" applyFont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30" fillId="0" borderId="79" xfId="0" applyFont="1" applyBorder="1" applyAlignment="1">
      <alignment horizontal="left" vertical="center"/>
    </xf>
    <xf numFmtId="0" fontId="30" fillId="0" borderId="78" xfId="0" applyFont="1" applyBorder="1" applyAlignment="1">
      <alignment horizontal="left" vertical="center"/>
    </xf>
    <xf numFmtId="0" fontId="30" fillId="0" borderId="80" xfId="0" applyFont="1" applyBorder="1" applyAlignment="1">
      <alignment horizontal="left" vertical="center"/>
    </xf>
    <xf numFmtId="0" fontId="16" fillId="0" borderId="66" xfId="0" applyFont="1" applyBorder="1" applyAlignment="1">
      <alignment horizontal="left" vertical="center" wrapText="1"/>
    </xf>
    <xf numFmtId="0" fontId="16" fillId="0" borderId="68" xfId="0" applyFont="1" applyBorder="1" applyAlignment="1">
      <alignment horizontal="left" vertical="center" wrapText="1"/>
    </xf>
    <xf numFmtId="0" fontId="16" fillId="0" borderId="67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49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2" borderId="69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2" fillId="3" borderId="4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22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1" fillId="0" borderId="28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38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9" fillId="0" borderId="50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22" fillId="0" borderId="69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22" fillId="0" borderId="19" xfId="0" applyFont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2" borderId="53" xfId="0" applyFon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24" xfId="0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0" borderId="56" xfId="0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9" fillId="3" borderId="19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</cellXfs>
  <cellStyles count="3">
    <cellStyle name="표준" xfId="0" builtinId="0"/>
    <cellStyle name="표준 2" xfId="1" xr:uid="{4507B50C-9675-4E2F-91D4-A7C0CE25037B}"/>
    <cellStyle name="표준 2 2" xfId="2" xr:uid="{EF9C2F7F-3F20-4D7E-9BD7-6DD39044B1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DE68-9C77-4E75-8659-B1B972CF251D}">
  <sheetPr>
    <tabColor theme="5"/>
    <pageSetUpPr fitToPage="1"/>
  </sheetPr>
  <dimension ref="A1:Q57"/>
  <sheetViews>
    <sheetView zoomScale="110" zoomScaleNormal="110" workbookViewId="0">
      <selection activeCell="P19" sqref="P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517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70">
        <f>SUM(I3)-4.9</f>
        <v>55.5</v>
      </c>
      <c r="I3" s="70">
        <f>SUM(J3)-4.9</f>
        <v>60.4</v>
      </c>
      <c r="J3" s="71">
        <v>65.3</v>
      </c>
      <c r="K3" s="70">
        <f>SUM(J3)+4.9</f>
        <v>70.2</v>
      </c>
      <c r="L3" s="70">
        <f>SUM(K3)+4.9</f>
        <v>75.100000000000009</v>
      </c>
      <c r="M3" s="72">
        <f>SUM(L3)+4.9</f>
        <v>80.000000000000014</v>
      </c>
    </row>
    <row r="4" spans="1:17" s="1" customFormat="1" ht="14.1" customHeight="1">
      <c r="A4" s="40"/>
      <c r="B4" s="52" t="s">
        <v>282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20.299999999999997</v>
      </c>
      <c r="I5" s="51">
        <f>SUM(J5)-1.6</f>
        <v>21.9</v>
      </c>
      <c r="J5" s="60">
        <v>23.5</v>
      </c>
      <c r="K5" s="51">
        <f>SUM(J5)+1.4</f>
        <v>24.9</v>
      </c>
      <c r="L5" s="51">
        <f t="shared" ref="L5:M5" si="0">SUM(K5)+1.4</f>
        <v>26.299999999999997</v>
      </c>
      <c r="M5" s="61">
        <f t="shared" si="0"/>
        <v>27.699999999999996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28.5</v>
      </c>
      <c r="I7" s="51">
        <f>SUM(J7)-2.25</f>
        <v>30.75</v>
      </c>
      <c r="J7" s="60">
        <v>33</v>
      </c>
      <c r="K7" s="51">
        <f>SUM(J7)+2</f>
        <v>35</v>
      </c>
      <c r="L7" s="51">
        <f t="shared" ref="L7:M7" si="1">SUM(K7)+2</f>
        <v>37</v>
      </c>
      <c r="M7" s="61">
        <f t="shared" si="1"/>
        <v>39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7" s="1" customFormat="1" ht="14.1" customHeight="1">
      <c r="A9" s="40">
        <v>4</v>
      </c>
      <c r="B9" s="56" t="s">
        <v>281</v>
      </c>
      <c r="C9" s="56"/>
      <c r="D9" s="55"/>
      <c r="E9" s="55"/>
      <c r="F9" s="55"/>
      <c r="G9" s="55"/>
      <c r="H9" s="51">
        <f>SUM(I9)-1.8</f>
        <v>19.399999999999999</v>
      </c>
      <c r="I9" s="51">
        <f>SUM(J9)-1.8</f>
        <v>21.2</v>
      </c>
      <c r="J9" s="60">
        <v>23</v>
      </c>
      <c r="K9" s="51">
        <f>SUM(J9)+1.8</f>
        <v>24.8</v>
      </c>
      <c r="L9" s="51">
        <f t="shared" ref="L9:M9" si="2">SUM(K9)+1.8</f>
        <v>26.6</v>
      </c>
      <c r="M9" s="61">
        <f t="shared" si="2"/>
        <v>28.400000000000002</v>
      </c>
    </row>
    <row r="10" spans="1:17" s="1" customFormat="1" ht="14.1" customHeight="1" thickBot="1">
      <c r="A10" s="40"/>
      <c r="B10" s="52" t="s">
        <v>283</v>
      </c>
      <c r="C10" s="52"/>
      <c r="D10" s="36" t="s">
        <v>284</v>
      </c>
      <c r="E10" s="37"/>
      <c r="F10" s="37"/>
      <c r="G10" s="38"/>
      <c r="H10" s="23"/>
      <c r="I10" s="23"/>
      <c r="J10" s="21"/>
      <c r="K10" s="23"/>
      <c r="L10" s="23"/>
      <c r="M10" s="25"/>
    </row>
    <row r="11" spans="1:17" s="1" customFormat="1" ht="14.1" customHeight="1" thickTop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14.5</v>
      </c>
      <c r="I11" s="51">
        <f>SUM(J11)-0.9</f>
        <v>15.4</v>
      </c>
      <c r="J11" s="39">
        <v>16.3</v>
      </c>
      <c r="K11" s="32">
        <f>SUM(J11)+0.9</f>
        <v>17.2</v>
      </c>
      <c r="L11" s="32">
        <f t="shared" ref="L11:M11" si="3">SUM(K11)+0.9</f>
        <v>18.099999999999998</v>
      </c>
      <c r="M11" s="33">
        <f t="shared" si="3"/>
        <v>18.999999999999996</v>
      </c>
      <c r="Q11" s="11" t="s">
        <v>207</v>
      </c>
    </row>
    <row r="12" spans="1:17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3"/>
      <c r="Q12" s="12">
        <f>SUM(H21+H21+I21+I21+J21+J21+K21+K21+L21+L21+H25+H25+I25+I25+J25+J25+K25+K25+L25+L25)</f>
        <v>220</v>
      </c>
    </row>
    <row r="13" spans="1:17" s="1" customFormat="1" ht="14.1" customHeight="1" thickBo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 t="shared" ref="L13:M13" si="4">SUM(K13)+0.6</f>
        <v>14.399999999999999</v>
      </c>
      <c r="M13" s="33">
        <f t="shared" si="4"/>
        <v>14.999999999999998</v>
      </c>
      <c r="Q13" s="13">
        <f>SUM(Q12/91.44/5*1.08)</f>
        <v>0.51968503937007882</v>
      </c>
    </row>
    <row r="14" spans="1:17" s="1" customFormat="1" ht="14.1" customHeight="1" thickTop="1">
      <c r="A14" s="40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33"/>
    </row>
    <row r="15" spans="1:17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</v>
      </c>
      <c r="I15" s="51">
        <f>SUM(J15)-0.3</f>
        <v>6.3</v>
      </c>
      <c r="J15" s="39">
        <v>6.6</v>
      </c>
      <c r="K15" s="32">
        <f>SUM(J15)+0.3</f>
        <v>6.8999999999999995</v>
      </c>
      <c r="L15" s="32">
        <f t="shared" ref="L15:M15" si="5">SUM(K15)+0.3</f>
        <v>7.1999999999999993</v>
      </c>
      <c r="M15" s="33">
        <f t="shared" si="5"/>
        <v>7.4999999999999991</v>
      </c>
    </row>
    <row r="16" spans="1:17" s="1" customFormat="1" ht="14.1" customHeight="1">
      <c r="A16" s="40"/>
      <c r="B16" s="52" t="s">
        <v>28</v>
      </c>
      <c r="C16" s="52"/>
      <c r="D16" s="36" t="s">
        <v>168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32.5</v>
      </c>
      <c r="I17" s="51">
        <f>SUM(J17)-1.6</f>
        <v>34.1</v>
      </c>
      <c r="J17" s="39">
        <v>35.700000000000003</v>
      </c>
      <c r="K17" s="32">
        <f>SUM(J17)+1.6</f>
        <v>37.300000000000004</v>
      </c>
      <c r="L17" s="32">
        <f t="shared" ref="L17:M17" si="6">SUM(K17)+1.6</f>
        <v>38.900000000000006</v>
      </c>
      <c r="M17" s="33">
        <f t="shared" si="6"/>
        <v>40.500000000000007</v>
      </c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34.799999999999997</v>
      </c>
      <c r="I19" s="51">
        <f>SUM(J19)-3.7</f>
        <v>38.5</v>
      </c>
      <c r="J19" s="60">
        <v>42.2</v>
      </c>
      <c r="K19" s="51">
        <f>SUM(J19)+3.8</f>
        <v>46</v>
      </c>
      <c r="L19" s="51">
        <f t="shared" ref="L19:M19" si="7">SUM(K19)+3.8</f>
        <v>49.8</v>
      </c>
      <c r="M19" s="61">
        <f t="shared" si="7"/>
        <v>53.599999999999994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5"/>
    </row>
    <row r="21" spans="1:13" s="1" customFormat="1" ht="14.1" customHeight="1">
      <c r="A21" s="40">
        <v>10</v>
      </c>
      <c r="B21" s="56" t="s">
        <v>838</v>
      </c>
      <c r="C21" s="56"/>
      <c r="D21" s="55"/>
      <c r="E21" s="55"/>
      <c r="F21" s="55"/>
      <c r="G21" s="55"/>
      <c r="H21" s="51">
        <f>SUM(I21)-0.3</f>
        <v>5.4</v>
      </c>
      <c r="I21" s="51">
        <f>SUM(J21)-0.3</f>
        <v>5.7</v>
      </c>
      <c r="J21" s="39">
        <v>6</v>
      </c>
      <c r="K21" s="32">
        <f>SUM(J21)+0.3</f>
        <v>6.3</v>
      </c>
      <c r="L21" s="32">
        <f>SUM(K21)+0.3</f>
        <v>6.6</v>
      </c>
      <c r="M21" s="33">
        <f>SUM(L21)+0.3</f>
        <v>6.8999999999999995</v>
      </c>
    </row>
    <row r="22" spans="1:13" s="1" customFormat="1" ht="14.1" customHeight="1">
      <c r="A22" s="40"/>
      <c r="B22" s="52" t="s">
        <v>837</v>
      </c>
      <c r="C22" s="52"/>
      <c r="D22" s="36" t="s">
        <v>518</v>
      </c>
      <c r="E22" s="37"/>
      <c r="F22" s="37"/>
      <c r="G22" s="38"/>
      <c r="H22" s="23"/>
      <c r="I22" s="23"/>
      <c r="J22" s="39"/>
      <c r="K22" s="32"/>
      <c r="L22" s="32"/>
      <c r="M22" s="33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/>
      <c r="I23" s="51"/>
      <c r="J23" s="39"/>
      <c r="K23" s="32"/>
      <c r="L23" s="32"/>
      <c r="M23" s="33"/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519</v>
      </c>
      <c r="C25" s="50"/>
      <c r="D25" s="55"/>
      <c r="E25" s="55"/>
      <c r="F25" s="55"/>
      <c r="G25" s="55"/>
      <c r="H25" s="51">
        <f>SUM(I25)-0.6</f>
        <v>14.8</v>
      </c>
      <c r="I25" s="51">
        <f>SUM(J25)-0.6</f>
        <v>15.4</v>
      </c>
      <c r="J25" s="39">
        <v>16</v>
      </c>
      <c r="K25" s="32">
        <f>SUM(J25)+0.6</f>
        <v>16.600000000000001</v>
      </c>
      <c r="L25" s="32">
        <f>SUM(K25)+0.6</f>
        <v>17.200000000000003</v>
      </c>
      <c r="M25" s="33">
        <f>SUM(L25)+0.6</f>
        <v>17.800000000000004</v>
      </c>
    </row>
    <row r="26" spans="1:13" s="1" customFormat="1" ht="14.1" customHeight="1">
      <c r="A26" s="40"/>
      <c r="B26" s="52" t="s">
        <v>520</v>
      </c>
      <c r="C26" s="52"/>
      <c r="D26" s="36" t="s">
        <v>518</v>
      </c>
      <c r="E26" s="37"/>
      <c r="F26" s="37"/>
      <c r="G26" s="38"/>
      <c r="H26" s="23"/>
      <c r="I26" s="23"/>
      <c r="J26" s="39"/>
      <c r="K26" s="32"/>
      <c r="L26" s="32"/>
      <c r="M26" s="33"/>
    </row>
    <row r="27" spans="1:13" s="1" customFormat="1" ht="14.1" customHeight="1">
      <c r="A27" s="40">
        <v>13</v>
      </c>
      <c r="B27" s="53" t="s">
        <v>285</v>
      </c>
      <c r="C27" s="54"/>
      <c r="D27" s="44"/>
      <c r="E27" s="45"/>
      <c r="F27" s="45"/>
      <c r="G27" s="46"/>
      <c r="H27" s="47">
        <f>SUM(I27)-3.1</f>
        <v>36.099999999999994</v>
      </c>
      <c r="I27" s="47">
        <f>SUM(J27)-3.1</f>
        <v>39.199999999999996</v>
      </c>
      <c r="J27" s="21">
        <v>42.3</v>
      </c>
      <c r="K27" s="23">
        <f>SUM(J27)+3.1</f>
        <v>45.4</v>
      </c>
      <c r="L27" s="23">
        <f t="shared" ref="L27:M27" si="8">SUM(K27)+3.1</f>
        <v>48.5</v>
      </c>
      <c r="M27" s="25">
        <f t="shared" si="8"/>
        <v>51.6</v>
      </c>
    </row>
    <row r="28" spans="1:13" s="1" customFormat="1" ht="14.1" customHeight="1">
      <c r="A28" s="40"/>
      <c r="B28" s="34" t="s">
        <v>118</v>
      </c>
      <c r="C28" s="35"/>
      <c r="D28" s="36" t="s">
        <v>286</v>
      </c>
      <c r="E28" s="37"/>
      <c r="F28" s="37"/>
      <c r="G28" s="38"/>
      <c r="H28" s="23"/>
      <c r="I28" s="23"/>
      <c r="J28" s="39"/>
      <c r="K28" s="32"/>
      <c r="L28" s="32"/>
      <c r="M28" s="33"/>
    </row>
    <row r="29" spans="1:13" s="1" customFormat="1" ht="14.1" customHeight="1">
      <c r="A29" s="40">
        <v>14</v>
      </c>
      <c r="B29" s="49" t="s">
        <v>193</v>
      </c>
      <c r="C29" s="50"/>
      <c r="D29" s="44"/>
      <c r="E29" s="45"/>
      <c r="F29" s="45"/>
      <c r="G29" s="46"/>
      <c r="H29" s="51">
        <f>SUM(I29)-2.4</f>
        <v>27.200000000000003</v>
      </c>
      <c r="I29" s="51">
        <f>SUM(J29)-2.4</f>
        <v>29.6</v>
      </c>
      <c r="J29" s="39">
        <v>32</v>
      </c>
      <c r="K29" s="32">
        <f>SUM(J29)+2.4</f>
        <v>34.4</v>
      </c>
      <c r="L29" s="32">
        <f t="shared" ref="L29:M29" si="9">SUM(K29)+2.4</f>
        <v>36.799999999999997</v>
      </c>
      <c r="M29" s="33">
        <f t="shared" si="9"/>
        <v>39.199999999999996</v>
      </c>
    </row>
    <row r="30" spans="1:13" s="1" customFormat="1" ht="14.1" customHeight="1">
      <c r="A30" s="40"/>
      <c r="B30" s="34" t="s">
        <v>137</v>
      </c>
      <c r="C30" s="35"/>
      <c r="D30" s="36" t="s">
        <v>521</v>
      </c>
      <c r="E30" s="37"/>
      <c r="F30" s="37"/>
      <c r="G30" s="38"/>
      <c r="H30" s="23"/>
      <c r="I30" s="23"/>
      <c r="J30" s="39"/>
      <c r="K30" s="32"/>
      <c r="L30" s="32"/>
      <c r="M30" s="33"/>
    </row>
    <row r="31" spans="1:13" s="1" customFormat="1" ht="14.1" customHeight="1">
      <c r="A31" s="40">
        <v>15</v>
      </c>
      <c r="B31" s="42"/>
      <c r="C31" s="43"/>
      <c r="D31" s="44"/>
      <c r="E31" s="45"/>
      <c r="F31" s="45"/>
      <c r="G31" s="46"/>
      <c r="H31" s="47"/>
      <c r="I31" s="47"/>
      <c r="J31" s="21"/>
      <c r="K31" s="23"/>
      <c r="L31" s="23"/>
      <c r="M31" s="25"/>
    </row>
    <row r="32" spans="1:13" s="1" customFormat="1" ht="13.5" customHeight="1" thickBot="1">
      <c r="A32" s="41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AB77-8D6F-4495-8EF0-7EB5930C44C8}">
  <sheetPr>
    <tabColor theme="5"/>
    <pageSetUpPr fitToPage="1"/>
  </sheetPr>
  <dimension ref="A1:M57"/>
  <sheetViews>
    <sheetView zoomScale="110" zoomScaleNormal="110" workbookViewId="0">
      <selection activeCell="O19" sqref="O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245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70">
        <f>SUM(I3)-4.9</f>
        <v>51.2</v>
      </c>
      <c r="I3" s="70">
        <f>SUM(J3)-4.9</f>
        <v>56.1</v>
      </c>
      <c r="J3" s="71">
        <v>61</v>
      </c>
      <c r="K3" s="70">
        <f>SUM(J3)+4.9</f>
        <v>65.900000000000006</v>
      </c>
      <c r="L3" s="70">
        <f>SUM(K3)+4.9</f>
        <v>70.800000000000011</v>
      </c>
      <c r="M3" s="84">
        <f>SUM(L3)+4.9</f>
        <v>75.700000000000017</v>
      </c>
    </row>
    <row r="4" spans="1:13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73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23.5</v>
      </c>
      <c r="I5" s="51">
        <f>SUM(J5)-1.8</f>
        <v>25.3</v>
      </c>
      <c r="J5" s="60">
        <v>27.1</v>
      </c>
      <c r="K5" s="51">
        <f>SUM(J5)+1.6</f>
        <v>28.700000000000003</v>
      </c>
      <c r="L5" s="51">
        <f t="shared" ref="L5:M5" si="0">SUM(K5)+1.6</f>
        <v>30.300000000000004</v>
      </c>
      <c r="M5" s="75">
        <f t="shared" si="0"/>
        <v>31.900000000000006</v>
      </c>
    </row>
    <row r="6" spans="1:13" s="1" customFormat="1" ht="14.1" customHeight="1">
      <c r="A6" s="66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73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30</v>
      </c>
      <c r="I7" s="51">
        <f>SUM(J7)-2.25</f>
        <v>32.25</v>
      </c>
      <c r="J7" s="60">
        <v>34.5</v>
      </c>
      <c r="K7" s="51">
        <f>SUM(J7)+2</f>
        <v>36.5</v>
      </c>
      <c r="L7" s="51">
        <f>SUM(K7)+2</f>
        <v>38.5</v>
      </c>
      <c r="M7" s="75">
        <f>SUM(L7)+2</f>
        <v>40.5</v>
      </c>
    </row>
    <row r="8" spans="1:13" s="1" customFormat="1" ht="14.1" customHeight="1">
      <c r="A8" s="66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73">
        <v>4</v>
      </c>
      <c r="B9" s="56" t="s">
        <v>43</v>
      </c>
      <c r="C9" s="56"/>
      <c r="D9" s="68"/>
      <c r="E9" s="68"/>
      <c r="F9" s="68"/>
      <c r="G9" s="68"/>
      <c r="H9" s="51">
        <f>SUM(I9)-3.2</f>
        <v>43.599999999999994</v>
      </c>
      <c r="I9" s="51">
        <f>SUM(J9)-3.2</f>
        <v>46.8</v>
      </c>
      <c r="J9" s="39">
        <v>50</v>
      </c>
      <c r="K9" s="32">
        <f>SUM(J9)+2.9</f>
        <v>52.9</v>
      </c>
      <c r="L9" s="32">
        <f t="shared" ref="L9:M9" si="1">SUM(K9)+2.9</f>
        <v>55.8</v>
      </c>
      <c r="M9" s="82">
        <f t="shared" si="1"/>
        <v>58.699999999999996</v>
      </c>
    </row>
    <row r="10" spans="1:13" s="1" customFormat="1" ht="14.1" customHeight="1">
      <c r="A10" s="66"/>
      <c r="B10" s="52" t="s">
        <v>25</v>
      </c>
      <c r="C10" s="52"/>
      <c r="D10" s="36" t="s">
        <v>246</v>
      </c>
      <c r="E10" s="37"/>
      <c r="F10" s="37"/>
      <c r="G10" s="38"/>
      <c r="H10" s="23"/>
      <c r="I10" s="23"/>
      <c r="J10" s="39"/>
      <c r="K10" s="32"/>
      <c r="L10" s="32"/>
      <c r="M10" s="82"/>
    </row>
    <row r="11" spans="1:13" s="1" customFormat="1" ht="14.1" customHeight="1">
      <c r="A11" s="73">
        <v>5</v>
      </c>
      <c r="B11" s="49" t="s">
        <v>10</v>
      </c>
      <c r="C11" s="50"/>
      <c r="D11" s="57" t="s">
        <v>0</v>
      </c>
      <c r="E11" s="58"/>
      <c r="F11" s="58"/>
      <c r="G11" s="59"/>
      <c r="H11" s="51">
        <f>SUM(I11)-0.8</f>
        <v>15.2</v>
      </c>
      <c r="I11" s="51">
        <f>SUM(J11)-0.8</f>
        <v>16</v>
      </c>
      <c r="J11" s="60">
        <v>16.8</v>
      </c>
      <c r="K11" s="51">
        <f>SUM(J11)+0.9</f>
        <v>17.7</v>
      </c>
      <c r="L11" s="51">
        <f>SUM(K11)+0.8</f>
        <v>18.5</v>
      </c>
      <c r="M11" s="75">
        <f>SUM(L11)+0.9</f>
        <v>19.399999999999999</v>
      </c>
    </row>
    <row r="12" spans="1:13" s="1" customFormat="1" ht="14.1" customHeight="1">
      <c r="A12" s="66"/>
      <c r="B12" s="34" t="s">
        <v>26</v>
      </c>
      <c r="C12" s="35"/>
      <c r="D12" s="36" t="s">
        <v>47</v>
      </c>
      <c r="E12" s="37"/>
      <c r="F12" s="37"/>
      <c r="G12" s="38"/>
      <c r="H12" s="23"/>
      <c r="I12" s="23"/>
      <c r="J12" s="21"/>
      <c r="K12" s="23"/>
      <c r="L12" s="23"/>
      <c r="M12" s="76"/>
    </row>
    <row r="13" spans="1:13" s="1" customFormat="1" ht="14.1" customHeight="1">
      <c r="A13" s="73">
        <v>6</v>
      </c>
      <c r="B13" s="56" t="s">
        <v>1</v>
      </c>
      <c r="C13" s="56"/>
      <c r="D13" s="55" t="s">
        <v>243</v>
      </c>
      <c r="E13" s="55"/>
      <c r="F13" s="55"/>
      <c r="G13" s="55"/>
      <c r="H13" s="51">
        <f>SUM(I13)-0.6</f>
        <v>14.5</v>
      </c>
      <c r="I13" s="51">
        <f>SUM(J13)-0.6</f>
        <v>15.1</v>
      </c>
      <c r="J13" s="39">
        <v>15.7</v>
      </c>
      <c r="K13" s="32">
        <f>SUM(J13)+0.6</f>
        <v>16.3</v>
      </c>
      <c r="L13" s="32">
        <f>SUM(K13)+0.6</f>
        <v>16.900000000000002</v>
      </c>
      <c r="M13" s="82">
        <f>SUM(L13)+0.6</f>
        <v>17.500000000000004</v>
      </c>
    </row>
    <row r="14" spans="1:13" s="1" customFormat="1" ht="14.1" customHeight="1">
      <c r="A14" s="66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73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6.4</v>
      </c>
      <c r="I15" s="51">
        <f>SUM(J15)-0.3</f>
        <v>6.7</v>
      </c>
      <c r="J15" s="39">
        <v>7</v>
      </c>
      <c r="K15" s="32">
        <f>SUM(J15)+0.3</f>
        <v>7.3</v>
      </c>
      <c r="L15" s="32">
        <f>SUM(K15)+0.3</f>
        <v>7.6</v>
      </c>
      <c r="M15" s="82">
        <f>SUM(L15)+0.3</f>
        <v>7.8999999999999995</v>
      </c>
    </row>
    <row r="16" spans="1:13" s="1" customFormat="1" ht="14.1" customHeight="1">
      <c r="A16" s="66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73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37.4</v>
      </c>
      <c r="I17" s="51">
        <f>SUM(J17)-1.6</f>
        <v>39</v>
      </c>
      <c r="J17" s="39">
        <v>40.6</v>
      </c>
      <c r="K17" s="32">
        <f>SUM(J17)+1.6</f>
        <v>42.2</v>
      </c>
      <c r="L17" s="32">
        <f>SUM(K17)+1.6</f>
        <v>43.800000000000004</v>
      </c>
      <c r="M17" s="82">
        <f>SUM(L17)+1.6</f>
        <v>45.400000000000006</v>
      </c>
    </row>
    <row r="18" spans="1:13" s="1" customFormat="1" ht="14.1" customHeight="1">
      <c r="A18" s="66"/>
      <c r="B18" s="52" t="s">
        <v>35</v>
      </c>
      <c r="C18" s="52"/>
      <c r="D18" s="36" t="s">
        <v>244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73">
        <v>9</v>
      </c>
      <c r="B19" s="56" t="s">
        <v>4</v>
      </c>
      <c r="C19" s="56"/>
      <c r="D19" s="55" t="s">
        <v>5</v>
      </c>
      <c r="E19" s="55"/>
      <c r="F19" s="55"/>
      <c r="G19" s="55"/>
      <c r="H19" s="51"/>
      <c r="I19" s="51"/>
      <c r="J19" s="60"/>
      <c r="K19" s="51"/>
      <c r="L19" s="51"/>
      <c r="M19" s="75"/>
    </row>
    <row r="20" spans="1:13" s="1" customFormat="1" ht="14.1" customHeight="1">
      <c r="A20" s="66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73">
        <v>10</v>
      </c>
      <c r="B21" s="56" t="s">
        <v>6</v>
      </c>
      <c r="C21" s="56"/>
      <c r="D21" s="57" t="s">
        <v>7</v>
      </c>
      <c r="E21" s="58"/>
      <c r="F21" s="58"/>
      <c r="G21" s="59"/>
      <c r="H21" s="51"/>
      <c r="I21" s="51"/>
      <c r="J21" s="39"/>
      <c r="K21" s="32"/>
      <c r="L21" s="32"/>
      <c r="M21" s="82"/>
    </row>
    <row r="22" spans="1:13" s="1" customFormat="1" ht="14.1" customHeight="1">
      <c r="A22" s="66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73">
        <v>11</v>
      </c>
      <c r="B23" s="49" t="s">
        <v>68</v>
      </c>
      <c r="C23" s="50"/>
      <c r="D23" s="55" t="s">
        <v>69</v>
      </c>
      <c r="E23" s="55"/>
      <c r="F23" s="55"/>
      <c r="G23" s="55"/>
      <c r="H23" s="51"/>
      <c r="I23" s="51"/>
      <c r="J23" s="39"/>
      <c r="K23" s="32"/>
      <c r="L23" s="32"/>
      <c r="M23" s="82"/>
    </row>
    <row r="24" spans="1:13" s="1" customFormat="1" ht="14.1" customHeight="1">
      <c r="A24" s="66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73">
        <v>12</v>
      </c>
      <c r="B25" s="49" t="s">
        <v>160</v>
      </c>
      <c r="C25" s="50"/>
      <c r="D25" s="57"/>
      <c r="E25" s="58"/>
      <c r="F25" s="58"/>
      <c r="G25" s="59"/>
      <c r="H25" s="51">
        <f>SUM(I25)-0.6</f>
        <v>8.8000000000000007</v>
      </c>
      <c r="I25" s="51">
        <f>SUM(J25)-0.6</f>
        <v>9.4</v>
      </c>
      <c r="J25" s="60">
        <v>10</v>
      </c>
      <c r="K25" s="51">
        <f>SUM(J25)+0.6</f>
        <v>10.6</v>
      </c>
      <c r="L25" s="51">
        <f t="shared" ref="L25:M25" si="2">SUM(K25)+0.6</f>
        <v>11.2</v>
      </c>
      <c r="M25" s="75">
        <f t="shared" si="2"/>
        <v>11.799999999999999</v>
      </c>
    </row>
    <row r="26" spans="1:13" s="1" customFormat="1" ht="14.1" customHeight="1">
      <c r="A26" s="66"/>
      <c r="B26" s="77" t="s">
        <v>159</v>
      </c>
      <c r="C26" s="78"/>
      <c r="D26" s="79"/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73">
        <v>13</v>
      </c>
      <c r="B27" s="49" t="s">
        <v>158</v>
      </c>
      <c r="C27" s="50"/>
      <c r="D27" s="57"/>
      <c r="E27" s="58"/>
      <c r="F27" s="58"/>
      <c r="G27" s="59"/>
      <c r="H27" s="51">
        <f>SUM(I27)-0.6</f>
        <v>9.3000000000000007</v>
      </c>
      <c r="I27" s="51">
        <f>SUM(J27)-0.6</f>
        <v>9.9</v>
      </c>
      <c r="J27" s="60">
        <v>10.5</v>
      </c>
      <c r="K27" s="51">
        <f>SUM(J27)+0.6</f>
        <v>11.1</v>
      </c>
      <c r="L27" s="51">
        <f t="shared" ref="L27:M27" si="3">SUM(K27)+0.6</f>
        <v>11.7</v>
      </c>
      <c r="M27" s="75">
        <f t="shared" si="3"/>
        <v>12.299999999999999</v>
      </c>
    </row>
    <row r="28" spans="1:13" s="1" customFormat="1" ht="14.1" customHeight="1">
      <c r="A28" s="66"/>
      <c r="B28" s="77" t="s">
        <v>157</v>
      </c>
      <c r="C28" s="78"/>
      <c r="D28" s="79"/>
      <c r="E28" s="80"/>
      <c r="F28" s="80"/>
      <c r="G28" s="81"/>
      <c r="H28" s="23"/>
      <c r="I28" s="23"/>
      <c r="J28" s="21"/>
      <c r="K28" s="23"/>
      <c r="L28" s="23"/>
      <c r="M28" s="76"/>
    </row>
    <row r="29" spans="1:13" s="1" customFormat="1" ht="14.1" customHeight="1">
      <c r="A29" s="73">
        <v>14</v>
      </c>
      <c r="B29" s="49" t="s">
        <v>247</v>
      </c>
      <c r="C29" s="50"/>
      <c r="D29" s="55"/>
      <c r="E29" s="55"/>
      <c r="F29" s="55"/>
      <c r="G29" s="55"/>
      <c r="H29" s="51">
        <f>SUM(I29)-2.4</f>
        <v>27.200000000000003</v>
      </c>
      <c r="I29" s="51">
        <f>SUM(J29)-2.4</f>
        <v>29.6</v>
      </c>
      <c r="J29" s="60">
        <v>32</v>
      </c>
      <c r="K29" s="51">
        <f>SUM(J29)+2.4</f>
        <v>34.4</v>
      </c>
      <c r="L29" s="51">
        <f t="shared" ref="L29:M29" si="4">SUM(K29)+2.4</f>
        <v>36.799999999999997</v>
      </c>
      <c r="M29" s="75">
        <f t="shared" si="4"/>
        <v>39.199999999999996</v>
      </c>
    </row>
    <row r="30" spans="1:13" s="1" customFormat="1" ht="14.1" customHeight="1">
      <c r="A30" s="66"/>
      <c r="B30" s="34" t="s">
        <v>248</v>
      </c>
      <c r="C30" s="35"/>
      <c r="D30" s="36" t="s">
        <v>249</v>
      </c>
      <c r="E30" s="37"/>
      <c r="F30" s="37"/>
      <c r="G30" s="38"/>
      <c r="H30" s="23"/>
      <c r="I30" s="23"/>
      <c r="J30" s="21"/>
      <c r="K30" s="23"/>
      <c r="L30" s="23"/>
      <c r="M30" s="76"/>
    </row>
    <row r="31" spans="1:13" s="1" customFormat="1" ht="14.1" customHeight="1">
      <c r="A31" s="73">
        <v>15</v>
      </c>
      <c r="B31" s="42"/>
      <c r="C31" s="43"/>
      <c r="D31" s="44"/>
      <c r="E31" s="45"/>
      <c r="F31" s="45"/>
      <c r="G31" s="46"/>
      <c r="H31" s="47"/>
      <c r="I31" s="47"/>
      <c r="J31" s="21"/>
      <c r="K31" s="23"/>
      <c r="L31" s="23"/>
      <c r="M31" s="25"/>
    </row>
    <row r="32" spans="1:13" s="1" customFormat="1" ht="14.1" customHeight="1" thickBot="1">
      <c r="A32" s="74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25:J26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3AF7-F98C-4A27-BB39-F5075A5321A3}">
  <sheetPr>
    <tabColor theme="5"/>
    <pageSetUpPr fitToPage="1"/>
  </sheetPr>
  <dimension ref="A1:M57"/>
  <sheetViews>
    <sheetView zoomScale="110" zoomScaleNormal="110" workbookViewId="0">
      <selection activeCell="G35" sqref="G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280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85">
        <f>SUM(I3)-4.9</f>
        <v>55.600000000000009</v>
      </c>
      <c r="I3" s="70">
        <f>SUM(J3)-4.9</f>
        <v>60.500000000000007</v>
      </c>
      <c r="J3" s="71">
        <v>65.400000000000006</v>
      </c>
      <c r="K3" s="70">
        <f>SUM(J3)+4.9</f>
        <v>70.300000000000011</v>
      </c>
      <c r="L3" s="70">
        <f>SUM(K3)+4.9</f>
        <v>75.200000000000017</v>
      </c>
      <c r="M3" s="84"/>
    </row>
    <row r="4" spans="1:13" s="1" customFormat="1" ht="14.1" customHeight="1">
      <c r="A4" s="40"/>
      <c r="B4" s="52" t="s">
        <v>282</v>
      </c>
      <c r="C4" s="52"/>
      <c r="D4" s="36" t="s">
        <v>101</v>
      </c>
      <c r="E4" s="37"/>
      <c r="F4" s="37"/>
      <c r="G4" s="37"/>
      <c r="H4" s="86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87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>SUM(K5)+1.6</f>
        <v>28.200000000000003</v>
      </c>
      <c r="M5" s="75"/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86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87">
        <f>SUM(I7)-2.25</f>
        <v>28.5</v>
      </c>
      <c r="I7" s="51">
        <f>SUM(J7)-2.25</f>
        <v>30.75</v>
      </c>
      <c r="J7" s="60">
        <v>33</v>
      </c>
      <c r="K7" s="51">
        <f>SUM(J7)+2</f>
        <v>35</v>
      </c>
      <c r="L7" s="51">
        <f>SUM(K7)+2</f>
        <v>37</v>
      </c>
      <c r="M7" s="75"/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86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281</v>
      </c>
      <c r="C9" s="56"/>
      <c r="D9" s="55"/>
      <c r="E9" s="55"/>
      <c r="F9" s="55"/>
      <c r="G9" s="55"/>
      <c r="H9" s="87">
        <f>SUM(I9)-1.8</f>
        <v>18.299999999999997</v>
      </c>
      <c r="I9" s="51">
        <f>SUM(J9)-1.8</f>
        <v>20.099999999999998</v>
      </c>
      <c r="J9" s="60">
        <v>21.9</v>
      </c>
      <c r="K9" s="51">
        <f>SUM(J9)+1.8</f>
        <v>23.7</v>
      </c>
      <c r="L9" s="51">
        <f>SUM(K9)+1.8</f>
        <v>25.5</v>
      </c>
      <c r="M9" s="75"/>
    </row>
    <row r="10" spans="1:13" s="1" customFormat="1" ht="14.1" customHeight="1">
      <c r="A10" s="40"/>
      <c r="B10" s="52" t="s">
        <v>283</v>
      </c>
      <c r="C10" s="52"/>
      <c r="D10" s="36" t="s">
        <v>284</v>
      </c>
      <c r="E10" s="37"/>
      <c r="F10" s="37"/>
      <c r="G10" s="38"/>
      <c r="H10" s="86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15.2</v>
      </c>
      <c r="I11" s="51">
        <f>SUM(J11)-0.8</f>
        <v>16</v>
      </c>
      <c r="J11" s="39">
        <v>16.8</v>
      </c>
      <c r="K11" s="32">
        <f>SUM(J11)+0.8</f>
        <v>17.600000000000001</v>
      </c>
      <c r="L11" s="32">
        <f>SUM(K11)+0.8</f>
        <v>18.400000000000002</v>
      </c>
      <c r="M11" s="82"/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23"/>
      <c r="J12" s="39"/>
      <c r="K12" s="32"/>
      <c r="L12" s="32"/>
      <c r="M12" s="82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87">
        <f>SUM(I13)-0.6</f>
        <v>12.700000000000001</v>
      </c>
      <c r="I13" s="51">
        <f>SUM(J13)-0.6</f>
        <v>13.3</v>
      </c>
      <c r="J13" s="39">
        <v>13.9</v>
      </c>
      <c r="K13" s="32">
        <f>SUM(J13)+0.6</f>
        <v>14.5</v>
      </c>
      <c r="L13" s="32">
        <f>SUM(K13)+0.6</f>
        <v>15.1</v>
      </c>
      <c r="M13" s="82"/>
    </row>
    <row r="14" spans="1:13" s="1" customFormat="1" ht="14.1" customHeight="1">
      <c r="A14" s="40"/>
      <c r="B14" s="52" t="s">
        <v>27</v>
      </c>
      <c r="C14" s="52"/>
      <c r="D14" s="36" t="s">
        <v>161</v>
      </c>
      <c r="E14" s="37"/>
      <c r="F14" s="37"/>
      <c r="G14" s="38"/>
      <c r="H14" s="86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87">
        <f>SUM(I15)-0.3</f>
        <v>5</v>
      </c>
      <c r="I15" s="51">
        <f>SUM(J15)-0.3</f>
        <v>5.3</v>
      </c>
      <c r="J15" s="39">
        <v>5.6</v>
      </c>
      <c r="K15" s="32">
        <f>SUM(J15)+0.3</f>
        <v>5.8999999999999995</v>
      </c>
      <c r="L15" s="32">
        <f>SUM(K15)+0.3</f>
        <v>6.1999999999999993</v>
      </c>
      <c r="M15" s="82"/>
    </row>
    <row r="16" spans="1:13" s="1" customFormat="1" ht="14.1" customHeight="1">
      <c r="A16" s="40"/>
      <c r="B16" s="52" t="s">
        <v>28</v>
      </c>
      <c r="C16" s="52"/>
      <c r="D16" s="36" t="s">
        <v>168</v>
      </c>
      <c r="E16" s="37"/>
      <c r="F16" s="37"/>
      <c r="G16" s="38"/>
      <c r="H16" s="86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87">
        <f>SUM(I17)-1.6</f>
        <v>31.799999999999997</v>
      </c>
      <c r="I17" s="51">
        <f>SUM(J17)-1.6</f>
        <v>33.4</v>
      </c>
      <c r="J17" s="39">
        <v>35</v>
      </c>
      <c r="K17" s="32">
        <f>SUM(J17)+1.6</f>
        <v>36.6</v>
      </c>
      <c r="L17" s="32">
        <f>SUM(K17)+1.6</f>
        <v>38.200000000000003</v>
      </c>
      <c r="M17" s="82"/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86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49" t="s">
        <v>156</v>
      </c>
      <c r="C19" s="50"/>
      <c r="D19" s="55"/>
      <c r="E19" s="55"/>
      <c r="F19" s="55"/>
      <c r="G19" s="55"/>
      <c r="H19" s="87">
        <f>SUM(I19)-0.9</f>
        <v>13.2</v>
      </c>
      <c r="I19" s="51">
        <f>SUM(J19)-0.9</f>
        <v>14.1</v>
      </c>
      <c r="J19" s="39">
        <v>15</v>
      </c>
      <c r="K19" s="32">
        <f>SUM(J19)+0.9</f>
        <v>15.9</v>
      </c>
      <c r="L19" s="32">
        <f>SUM(K19)+0.9</f>
        <v>16.8</v>
      </c>
      <c r="M19" s="82"/>
    </row>
    <row r="20" spans="1:13" s="1" customFormat="1" ht="14.1" customHeight="1">
      <c r="A20" s="40"/>
      <c r="B20" s="52" t="s">
        <v>192</v>
      </c>
      <c r="C20" s="52"/>
      <c r="D20" s="36" t="s">
        <v>522</v>
      </c>
      <c r="E20" s="37"/>
      <c r="F20" s="37"/>
      <c r="G20" s="38"/>
      <c r="H20" s="86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87">
        <f>SUM(I21)-3.6</f>
        <v>33.299999999999997</v>
      </c>
      <c r="I21" s="51">
        <f>SUM(J21)-3.6</f>
        <v>36.9</v>
      </c>
      <c r="J21" s="60">
        <v>40.5</v>
      </c>
      <c r="K21" s="51">
        <f>SUM(J21)+3.7</f>
        <v>44.2</v>
      </c>
      <c r="L21" s="51">
        <f>SUM(K21)+3.7</f>
        <v>47.900000000000006</v>
      </c>
      <c r="M21" s="75"/>
    </row>
    <row r="22" spans="1:13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86"/>
      <c r="I22" s="23"/>
      <c r="J22" s="21"/>
      <c r="K22" s="23"/>
      <c r="L22" s="23"/>
      <c r="M22" s="76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87">
        <f>SUM(I23)-1.3</f>
        <v>24.4</v>
      </c>
      <c r="I23" s="51">
        <f>SUM(J23)-1.3</f>
        <v>25.7</v>
      </c>
      <c r="J23" s="39">
        <v>27</v>
      </c>
      <c r="K23" s="32">
        <f>SUM(J23)+1.3</f>
        <v>28.3</v>
      </c>
      <c r="L23" s="32">
        <f>SUM(K23)+1.3</f>
        <v>29.6</v>
      </c>
      <c r="M23" s="82"/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86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68</v>
      </c>
      <c r="C25" s="50"/>
      <c r="D25" s="55" t="s">
        <v>69</v>
      </c>
      <c r="E25" s="55"/>
      <c r="F25" s="55"/>
      <c r="G25" s="55"/>
      <c r="H25" s="87">
        <f>SUM(I25)-0.6</f>
        <v>14</v>
      </c>
      <c r="I25" s="51">
        <f>SUM(J25)-0.6</f>
        <v>14.6</v>
      </c>
      <c r="J25" s="39">
        <v>15.2</v>
      </c>
      <c r="K25" s="32">
        <f>SUM(J25)+0.6</f>
        <v>15.799999999999999</v>
      </c>
      <c r="L25" s="32">
        <f>SUM(K25)+0.6</f>
        <v>16.399999999999999</v>
      </c>
      <c r="M25" s="82"/>
    </row>
    <row r="26" spans="1:13" s="1" customFormat="1" ht="14.1" customHeight="1">
      <c r="A26" s="40"/>
      <c r="B26" s="52" t="s">
        <v>31</v>
      </c>
      <c r="C26" s="52"/>
      <c r="D26" s="36" t="s">
        <v>70</v>
      </c>
      <c r="E26" s="37"/>
      <c r="F26" s="37"/>
      <c r="G26" s="38"/>
      <c r="H26" s="86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53" t="s">
        <v>285</v>
      </c>
      <c r="C27" s="54"/>
      <c r="D27" s="44"/>
      <c r="E27" s="45"/>
      <c r="F27" s="45"/>
      <c r="G27" s="46"/>
      <c r="H27" s="88">
        <f>SUM(I27)-3.1</f>
        <v>37.299999999999997</v>
      </c>
      <c r="I27" s="47">
        <f>SUM(J27)-3.1</f>
        <v>40.4</v>
      </c>
      <c r="J27" s="21">
        <v>43.5</v>
      </c>
      <c r="K27" s="23">
        <f>SUM(J27)+3.1</f>
        <v>46.6</v>
      </c>
      <c r="L27" s="23">
        <f>SUM(K27)+3.1</f>
        <v>49.7</v>
      </c>
      <c r="M27" s="76"/>
    </row>
    <row r="28" spans="1:13" s="1" customFormat="1" ht="14.1" customHeight="1">
      <c r="A28" s="40"/>
      <c r="B28" s="34" t="s">
        <v>118</v>
      </c>
      <c r="C28" s="35"/>
      <c r="D28" s="36" t="s">
        <v>286</v>
      </c>
      <c r="E28" s="37"/>
      <c r="F28" s="37"/>
      <c r="G28" s="38"/>
      <c r="H28" s="86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49" t="s">
        <v>193</v>
      </c>
      <c r="C29" s="50"/>
      <c r="D29" s="44"/>
      <c r="E29" s="45"/>
      <c r="F29" s="45"/>
      <c r="G29" s="46"/>
      <c r="H29" s="87">
        <f>SUM(I29)-2.4</f>
        <v>24.200000000000003</v>
      </c>
      <c r="I29" s="51">
        <f>SUM(J29)-2.4</f>
        <v>26.6</v>
      </c>
      <c r="J29" s="39">
        <v>29</v>
      </c>
      <c r="K29" s="32">
        <f>SUM(J29)+2.4</f>
        <v>31.4</v>
      </c>
      <c r="L29" s="32">
        <f>SUM(K29)+2.4</f>
        <v>33.799999999999997</v>
      </c>
      <c r="M29" s="82"/>
    </row>
    <row r="30" spans="1:13" s="1" customFormat="1" ht="14.1" customHeight="1">
      <c r="A30" s="40"/>
      <c r="B30" s="34" t="s">
        <v>137</v>
      </c>
      <c r="C30" s="35"/>
      <c r="D30" s="36"/>
      <c r="E30" s="37"/>
      <c r="F30" s="37"/>
      <c r="G30" s="38"/>
      <c r="H30" s="86"/>
      <c r="I30" s="23"/>
      <c r="J30" s="39"/>
      <c r="K30" s="32"/>
      <c r="L30" s="32"/>
      <c r="M30" s="82"/>
    </row>
    <row r="31" spans="1:13" s="1" customFormat="1" ht="14.1" customHeight="1">
      <c r="A31" s="40">
        <v>15</v>
      </c>
      <c r="B31" s="42"/>
      <c r="C31" s="43"/>
      <c r="D31" s="44"/>
      <c r="E31" s="45"/>
      <c r="F31" s="45"/>
      <c r="G31" s="46"/>
      <c r="H31" s="47"/>
      <c r="I31" s="47"/>
      <c r="J31" s="21"/>
      <c r="K31" s="23"/>
      <c r="L31" s="23"/>
      <c r="M31" s="25"/>
    </row>
    <row r="32" spans="1:13" s="1" customFormat="1" ht="13.5" customHeight="1" thickBot="1">
      <c r="A32" s="41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customFormat="1" ht="14.1" customHeight="1"/>
    <row r="50" customFormat="1" ht="14.1" customHeight="1"/>
    <row r="51" customFormat="1" ht="14.1" customHeight="1"/>
    <row r="52" customFormat="1" ht="14.1" customHeight="1"/>
    <row r="53" customFormat="1" ht="14.1" customHeight="1"/>
    <row r="54" customFormat="1" ht="14.1" customHeight="1"/>
    <row r="55" customFormat="1" ht="14.1" customHeight="1"/>
    <row r="56" customFormat="1" ht="14.1" customHeight="1"/>
    <row r="57" customFormat="1" ht="14.1" customHeight="1"/>
  </sheetData>
  <mergeCells count="168">
    <mergeCell ref="L31:L32"/>
    <mergeCell ref="M31:M32"/>
    <mergeCell ref="A27:A28"/>
    <mergeCell ref="B27:C27"/>
    <mergeCell ref="D27:G27"/>
    <mergeCell ref="H27:H28"/>
    <mergeCell ref="I27:I28"/>
    <mergeCell ref="A29:A30"/>
    <mergeCell ref="B29:C29"/>
    <mergeCell ref="J31:J32"/>
    <mergeCell ref="J29:J30"/>
    <mergeCell ref="K29:K30"/>
    <mergeCell ref="L29:L30"/>
    <mergeCell ref="M29:M30"/>
    <mergeCell ref="B28:C28"/>
    <mergeCell ref="D28:G28"/>
    <mergeCell ref="L27:L28"/>
    <mergeCell ref="M27:M28"/>
    <mergeCell ref="J27:J28"/>
    <mergeCell ref="B32:C32"/>
    <mergeCell ref="D32:G32"/>
    <mergeCell ref="A31:A32"/>
    <mergeCell ref="B31:C31"/>
    <mergeCell ref="D31:G31"/>
    <mergeCell ref="H31:H32"/>
    <mergeCell ref="I31:I32"/>
    <mergeCell ref="B30:C30"/>
    <mergeCell ref="D30:G30"/>
    <mergeCell ref="K27:K28"/>
    <mergeCell ref="B26:C26"/>
    <mergeCell ref="D26:G26"/>
    <mergeCell ref="K31:K32"/>
    <mergeCell ref="A25:A26"/>
    <mergeCell ref="B25:C25"/>
    <mergeCell ref="H25:H26"/>
    <mergeCell ref="I25:I26"/>
    <mergeCell ref="A23:A24"/>
    <mergeCell ref="B23:C23"/>
    <mergeCell ref="D29:G29"/>
    <mergeCell ref="H29:H30"/>
    <mergeCell ref="I29:I30"/>
    <mergeCell ref="L19:L20"/>
    <mergeCell ref="L23:L24"/>
    <mergeCell ref="D23:G23"/>
    <mergeCell ref="H23:H24"/>
    <mergeCell ref="I23:I24"/>
    <mergeCell ref="J23:J24"/>
    <mergeCell ref="A21:A22"/>
    <mergeCell ref="J25:J26"/>
    <mergeCell ref="K25:K26"/>
    <mergeCell ref="K23:K24"/>
    <mergeCell ref="J21:J22"/>
    <mergeCell ref="K21:K22"/>
    <mergeCell ref="M19:M20"/>
    <mergeCell ref="K17:K18"/>
    <mergeCell ref="L17:L18"/>
    <mergeCell ref="M17:M18"/>
    <mergeCell ref="B18:C18"/>
    <mergeCell ref="D18:G18"/>
    <mergeCell ref="J17:J18"/>
    <mergeCell ref="L25:L26"/>
    <mergeCell ref="M25:M26"/>
    <mergeCell ref="L21:L22"/>
    <mergeCell ref="M21:M22"/>
    <mergeCell ref="B22:C22"/>
    <mergeCell ref="D22:G22"/>
    <mergeCell ref="B21:C21"/>
    <mergeCell ref="D21:G21"/>
    <mergeCell ref="H21:H22"/>
    <mergeCell ref="I21:I22"/>
    <mergeCell ref="M23:M24"/>
    <mergeCell ref="B24:C24"/>
    <mergeCell ref="D24:G24"/>
    <mergeCell ref="J19:J20"/>
    <mergeCell ref="K19:K20"/>
    <mergeCell ref="B20:C20"/>
    <mergeCell ref="D25:G25"/>
    <mergeCell ref="A17:A18"/>
    <mergeCell ref="B17:C17"/>
    <mergeCell ref="D17:G17"/>
    <mergeCell ref="H17:H18"/>
    <mergeCell ref="I17:I18"/>
    <mergeCell ref="A19:A20"/>
    <mergeCell ref="B19:C19"/>
    <mergeCell ref="D19:G19"/>
    <mergeCell ref="H19:H20"/>
    <mergeCell ref="I19:I20"/>
    <mergeCell ref="D20:G20"/>
    <mergeCell ref="J15:J16"/>
    <mergeCell ref="J11:J12"/>
    <mergeCell ref="K11:K12"/>
    <mergeCell ref="L11:L12"/>
    <mergeCell ref="M11:M12"/>
    <mergeCell ref="B12:C12"/>
    <mergeCell ref="D12:G12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K15:K16"/>
    <mergeCell ref="L15:L16"/>
    <mergeCell ref="M15:M16"/>
    <mergeCell ref="B16:C16"/>
    <mergeCell ref="D16:G16"/>
    <mergeCell ref="M13:M14"/>
    <mergeCell ref="B14:C14"/>
    <mergeCell ref="K13:K14"/>
    <mergeCell ref="L13:L14"/>
    <mergeCell ref="A11:A12"/>
    <mergeCell ref="B11:C11"/>
    <mergeCell ref="D11:G11"/>
    <mergeCell ref="H11:H12"/>
    <mergeCell ref="I11:I12"/>
    <mergeCell ref="A9:A10"/>
    <mergeCell ref="B9:C9"/>
    <mergeCell ref="D14:G14"/>
    <mergeCell ref="J13:J14"/>
    <mergeCell ref="I13:I14"/>
    <mergeCell ref="L7:L8"/>
    <mergeCell ref="M7:M8"/>
    <mergeCell ref="B8:C8"/>
    <mergeCell ref="D8:G8"/>
    <mergeCell ref="K5:K6"/>
    <mergeCell ref="L5:L6"/>
    <mergeCell ref="M5:M6"/>
    <mergeCell ref="K7:K8"/>
    <mergeCell ref="D9:G9"/>
    <mergeCell ref="H9:H10"/>
    <mergeCell ref="I9:I10"/>
    <mergeCell ref="K9:K10"/>
    <mergeCell ref="L9:L10"/>
    <mergeCell ref="B10:C10"/>
    <mergeCell ref="D10:G10"/>
    <mergeCell ref="M9:M10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7:C7"/>
    <mergeCell ref="D7:G7"/>
    <mergeCell ref="H7:H8"/>
    <mergeCell ref="I7:I8"/>
    <mergeCell ref="J7:J8"/>
    <mergeCell ref="L3:L4"/>
    <mergeCell ref="M3:M4"/>
    <mergeCell ref="B4:C4"/>
    <mergeCell ref="D4:G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C44A-333B-4F88-85FE-6C8D159C79DC}">
  <sheetPr>
    <tabColor theme="5"/>
    <pageSetUpPr fitToPage="1"/>
  </sheetPr>
  <dimension ref="A1:M49"/>
  <sheetViews>
    <sheetView topLeftCell="A10" zoomScale="110" zoomScaleNormal="110" workbookViewId="0">
      <selection activeCell="D35" sqref="D35:G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531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83">
        <v>1</v>
      </c>
      <c r="B3" s="101" t="s">
        <v>41</v>
      </c>
      <c r="C3" s="101"/>
      <c r="D3" s="102" t="s">
        <v>530</v>
      </c>
      <c r="E3" s="102"/>
      <c r="F3" s="102"/>
      <c r="G3" s="103"/>
      <c r="H3" s="70">
        <f>SUM(I3)-4.5</f>
        <v>47.6</v>
      </c>
      <c r="I3" s="70">
        <f>SUM(J3)-4.5</f>
        <v>52.1</v>
      </c>
      <c r="J3" s="71">
        <v>56.6</v>
      </c>
      <c r="K3" s="70">
        <f>SUM(J3)+4.5</f>
        <v>61.1</v>
      </c>
      <c r="L3" s="70">
        <f>SUM(K3)+4.5</f>
        <v>65.599999999999994</v>
      </c>
      <c r="M3" s="84">
        <f>SUM(L3)+4.5</f>
        <v>70.099999999999994</v>
      </c>
    </row>
    <row r="4" spans="1:13" s="1" customFormat="1" ht="14.1" customHeight="1">
      <c r="A4" s="66"/>
      <c r="B4" s="52" t="s">
        <v>529</v>
      </c>
      <c r="C4" s="52"/>
      <c r="D4" s="36" t="s">
        <v>528</v>
      </c>
      <c r="E4" s="37"/>
      <c r="F4" s="37"/>
      <c r="G4" s="37"/>
      <c r="H4" s="47"/>
      <c r="I4" s="47"/>
      <c r="J4" s="21"/>
      <c r="K4" s="47"/>
      <c r="L4" s="47"/>
      <c r="M4" s="104"/>
    </row>
    <row r="5" spans="1:13" s="1" customFormat="1" ht="14.1" customHeight="1">
      <c r="A5" s="73">
        <v>2</v>
      </c>
      <c r="B5" s="105" t="s">
        <v>41</v>
      </c>
      <c r="C5" s="105"/>
      <c r="D5" s="99" t="s">
        <v>527</v>
      </c>
      <c r="E5" s="99"/>
      <c r="F5" s="99"/>
      <c r="G5" s="67"/>
      <c r="H5" s="51">
        <f>SUM(I5)-4.5</f>
        <v>48.2</v>
      </c>
      <c r="I5" s="51">
        <f>SUM(J5)-4.5</f>
        <v>52.7</v>
      </c>
      <c r="J5" s="100">
        <v>57.2</v>
      </c>
      <c r="K5" s="51">
        <f>SUM(J5)+4.5</f>
        <v>61.7</v>
      </c>
      <c r="L5" s="51">
        <f>SUM(K5)+4.5</f>
        <v>66.2</v>
      </c>
      <c r="M5" s="75">
        <f>SUM(L5)+4.5</f>
        <v>70.7</v>
      </c>
    </row>
    <row r="6" spans="1:13" s="1" customFormat="1" ht="14.1" customHeight="1">
      <c r="A6" s="66"/>
      <c r="B6" s="52" t="s">
        <v>526</v>
      </c>
      <c r="C6" s="52"/>
      <c r="D6" s="36" t="s">
        <v>525</v>
      </c>
      <c r="E6" s="37"/>
      <c r="F6" s="37"/>
      <c r="G6" s="37"/>
      <c r="H6" s="23"/>
      <c r="I6" s="23"/>
      <c r="J6" s="21"/>
      <c r="K6" s="23"/>
      <c r="L6" s="23"/>
      <c r="M6" s="76"/>
    </row>
    <row r="7" spans="1:13" s="1" customFormat="1" ht="14.1" customHeight="1">
      <c r="A7" s="73">
        <v>3</v>
      </c>
      <c r="B7" s="56" t="s">
        <v>39</v>
      </c>
      <c r="C7" s="56"/>
      <c r="D7" s="55" t="s">
        <v>40</v>
      </c>
      <c r="E7" s="55"/>
      <c r="F7" s="55"/>
      <c r="G7" s="55"/>
      <c r="H7" s="51"/>
      <c r="I7" s="51"/>
      <c r="J7" s="60"/>
      <c r="K7" s="51"/>
      <c r="L7" s="51"/>
      <c r="M7" s="75"/>
    </row>
    <row r="8" spans="1:13" s="1" customFormat="1" ht="14.1" customHeight="1">
      <c r="A8" s="66"/>
      <c r="B8" s="52" t="s">
        <v>24</v>
      </c>
      <c r="C8" s="52"/>
      <c r="D8" s="36" t="s">
        <v>44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73">
        <v>4</v>
      </c>
      <c r="B9" s="56" t="s">
        <v>37</v>
      </c>
      <c r="C9" s="56"/>
      <c r="D9" s="55" t="s">
        <v>73</v>
      </c>
      <c r="E9" s="55"/>
      <c r="F9" s="55"/>
      <c r="G9" s="55"/>
      <c r="H9" s="51">
        <f>SUM(I9)-2.25</f>
        <v>29.6</v>
      </c>
      <c r="I9" s="51">
        <f>SUM(J9)-2.25</f>
        <v>31.85</v>
      </c>
      <c r="J9" s="60">
        <v>34.1</v>
      </c>
      <c r="K9" s="51">
        <f>SUM(J9)+2</f>
        <v>36.1</v>
      </c>
      <c r="L9" s="51">
        <f>SUM(K9)+2</f>
        <v>38.1</v>
      </c>
      <c r="M9" s="75">
        <f>SUM(L9)+2</f>
        <v>40.1</v>
      </c>
    </row>
    <row r="10" spans="1:13" s="1" customFormat="1" ht="14.1" customHeight="1">
      <c r="A10" s="66"/>
      <c r="B10" s="52" t="s">
        <v>42</v>
      </c>
      <c r="C10" s="52"/>
      <c r="D10" s="36" t="s">
        <v>45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73">
        <v>5</v>
      </c>
      <c r="B11" s="56" t="s">
        <v>422</v>
      </c>
      <c r="C11" s="56"/>
      <c r="D11" s="55" t="s">
        <v>8</v>
      </c>
      <c r="E11" s="55"/>
      <c r="F11" s="55"/>
      <c r="G11" s="55"/>
      <c r="H11" s="51">
        <f>SUM(I11)-2</f>
        <v>27</v>
      </c>
      <c r="I11" s="51">
        <f>SUM(J11)-2</f>
        <v>29</v>
      </c>
      <c r="J11" s="60">
        <v>31</v>
      </c>
      <c r="K11" s="51">
        <f>SUM(J11)+1.8</f>
        <v>32.799999999999997</v>
      </c>
      <c r="L11" s="51">
        <f>SUM(K11)+1.8</f>
        <v>34.599999999999994</v>
      </c>
      <c r="M11" s="75">
        <f>SUM(L11)+1.8</f>
        <v>36.399999999999991</v>
      </c>
    </row>
    <row r="12" spans="1:13" s="1" customFormat="1" ht="14.1" customHeight="1">
      <c r="A12" s="66"/>
      <c r="B12" s="52" t="s">
        <v>423</v>
      </c>
      <c r="C12" s="52"/>
      <c r="D12" s="36" t="s">
        <v>46</v>
      </c>
      <c r="E12" s="37"/>
      <c r="F12" s="37"/>
      <c r="G12" s="38"/>
      <c r="H12" s="23"/>
      <c r="I12" s="23"/>
      <c r="J12" s="21"/>
      <c r="K12" s="23"/>
      <c r="L12" s="23"/>
      <c r="M12" s="76"/>
    </row>
    <row r="13" spans="1:13" s="1" customFormat="1" ht="14.1" customHeight="1">
      <c r="A13" s="73">
        <v>6</v>
      </c>
      <c r="B13" s="49" t="s">
        <v>424</v>
      </c>
      <c r="C13" s="50"/>
      <c r="D13" s="57"/>
      <c r="E13" s="58"/>
      <c r="F13" s="58"/>
      <c r="G13" s="59"/>
      <c r="H13" s="51">
        <f>SUM(I13)-1</f>
        <v>13.8</v>
      </c>
      <c r="I13" s="51">
        <f>SUM(J13)-1</f>
        <v>14.8</v>
      </c>
      <c r="J13" s="60">
        <v>15.8</v>
      </c>
      <c r="K13" s="51">
        <f>SUM(J13)+1</f>
        <v>16.8</v>
      </c>
      <c r="L13" s="51">
        <f>SUM(K13)+1</f>
        <v>17.8</v>
      </c>
      <c r="M13" s="75">
        <f>SUM(L13)+1</f>
        <v>18.8</v>
      </c>
    </row>
    <row r="14" spans="1:13" s="1" customFormat="1" ht="14.1" customHeight="1">
      <c r="A14" s="66"/>
      <c r="B14" s="52" t="s">
        <v>425</v>
      </c>
      <c r="C14" s="52"/>
      <c r="D14" s="36" t="s">
        <v>426</v>
      </c>
      <c r="E14" s="37"/>
      <c r="F14" s="37"/>
      <c r="G14" s="38"/>
      <c r="H14" s="23"/>
      <c r="I14" s="23"/>
      <c r="J14" s="21"/>
      <c r="K14" s="23"/>
      <c r="L14" s="23"/>
      <c r="M14" s="76"/>
    </row>
    <row r="15" spans="1:13" s="1" customFormat="1" ht="14.1" customHeight="1">
      <c r="A15" s="73">
        <v>7</v>
      </c>
      <c r="B15" s="49" t="s">
        <v>427</v>
      </c>
      <c r="C15" s="50"/>
      <c r="D15" s="57"/>
      <c r="E15" s="58"/>
      <c r="F15" s="58"/>
      <c r="G15" s="59"/>
      <c r="H15" s="51">
        <f>SUM(I15)-1</f>
        <v>13</v>
      </c>
      <c r="I15" s="51">
        <f>SUM(J15)-1</f>
        <v>14</v>
      </c>
      <c r="J15" s="60">
        <v>15</v>
      </c>
      <c r="K15" s="51">
        <f>SUM(J15)+1</f>
        <v>16</v>
      </c>
      <c r="L15" s="51">
        <f>SUM(K15)+1</f>
        <v>17</v>
      </c>
      <c r="M15" s="75">
        <f>SUM(L15)+1</f>
        <v>18</v>
      </c>
    </row>
    <row r="16" spans="1:13" s="1" customFormat="1" ht="14.1" customHeight="1">
      <c r="A16" s="66"/>
      <c r="B16" s="52" t="s">
        <v>428</v>
      </c>
      <c r="C16" s="52"/>
      <c r="D16" s="36" t="s">
        <v>426</v>
      </c>
      <c r="E16" s="37"/>
      <c r="F16" s="37"/>
      <c r="G16" s="38"/>
      <c r="H16" s="23"/>
      <c r="I16" s="23"/>
      <c r="J16" s="21"/>
      <c r="K16" s="23"/>
      <c r="L16" s="23"/>
      <c r="M16" s="76"/>
    </row>
    <row r="17" spans="1:13" s="1" customFormat="1" ht="14.1" customHeight="1">
      <c r="A17" s="73">
        <v>8</v>
      </c>
      <c r="B17" s="56" t="s">
        <v>524</v>
      </c>
      <c r="C17" s="56"/>
      <c r="D17" s="57"/>
      <c r="E17" s="58"/>
      <c r="F17" s="58"/>
      <c r="G17" s="59"/>
      <c r="H17" s="51">
        <f>SUM(I17)-1</f>
        <v>14.5</v>
      </c>
      <c r="I17" s="51">
        <f>SUM(J17)-1</f>
        <v>15.5</v>
      </c>
      <c r="J17" s="39">
        <v>16.5</v>
      </c>
      <c r="K17" s="51">
        <f>SUM(J17)+1</f>
        <v>17.5</v>
      </c>
      <c r="L17" s="51">
        <f>SUM(K17)+1</f>
        <v>18.5</v>
      </c>
      <c r="M17" s="75">
        <f>SUM(L17)+1</f>
        <v>19.5</v>
      </c>
    </row>
    <row r="18" spans="1:13" s="1" customFormat="1" ht="14.1" customHeight="1">
      <c r="A18" s="66"/>
      <c r="B18" s="52" t="s">
        <v>391</v>
      </c>
      <c r="C18" s="52"/>
      <c r="D18" s="36" t="s">
        <v>421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73">
        <v>9</v>
      </c>
      <c r="B19" s="56" t="s">
        <v>1</v>
      </c>
      <c r="C19" s="56"/>
      <c r="D19" s="55" t="s">
        <v>145</v>
      </c>
      <c r="E19" s="55"/>
      <c r="F19" s="55"/>
      <c r="G19" s="55"/>
      <c r="H19" s="51"/>
      <c r="I19" s="51"/>
      <c r="J19" s="39"/>
      <c r="K19" s="32"/>
      <c r="L19" s="32"/>
      <c r="M19" s="82"/>
    </row>
    <row r="20" spans="1:13" s="1" customFormat="1" ht="14.1" customHeight="1">
      <c r="A20" s="66"/>
      <c r="B20" s="52" t="s">
        <v>27</v>
      </c>
      <c r="C20" s="52"/>
      <c r="D20" s="36" t="s">
        <v>48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73">
        <v>10</v>
      </c>
      <c r="B21" s="56" t="s">
        <v>2</v>
      </c>
      <c r="C21" s="56"/>
      <c r="D21" s="55" t="s">
        <v>3</v>
      </c>
      <c r="E21" s="55"/>
      <c r="F21" s="55"/>
      <c r="G21" s="55"/>
      <c r="H21" s="51"/>
      <c r="I21" s="51"/>
      <c r="J21" s="39"/>
      <c r="K21" s="32"/>
      <c r="L21" s="32"/>
      <c r="M21" s="82"/>
    </row>
    <row r="22" spans="1:13" s="1" customFormat="1" ht="14.1" customHeight="1">
      <c r="A22" s="66"/>
      <c r="B22" s="52" t="s">
        <v>28</v>
      </c>
      <c r="C22" s="52"/>
      <c r="D22" s="36" t="s">
        <v>168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73">
        <v>11</v>
      </c>
      <c r="B23" s="49" t="s">
        <v>74</v>
      </c>
      <c r="C23" s="50"/>
      <c r="D23" s="57" t="s">
        <v>75</v>
      </c>
      <c r="E23" s="58"/>
      <c r="F23" s="58"/>
      <c r="G23" s="59"/>
      <c r="H23" s="51"/>
      <c r="I23" s="51"/>
      <c r="J23" s="39"/>
      <c r="K23" s="32"/>
      <c r="L23" s="32"/>
      <c r="M23" s="82"/>
    </row>
    <row r="24" spans="1:13" s="1" customFormat="1" ht="14.1" customHeight="1">
      <c r="A24" s="66"/>
      <c r="B24" s="52" t="s">
        <v>35</v>
      </c>
      <c r="C24" s="52"/>
      <c r="D24" s="36" t="s">
        <v>85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73">
        <v>12</v>
      </c>
      <c r="B25" s="56" t="s">
        <v>4</v>
      </c>
      <c r="C25" s="56"/>
      <c r="D25" s="55" t="s">
        <v>5</v>
      </c>
      <c r="E25" s="55"/>
      <c r="F25" s="55"/>
      <c r="G25" s="55"/>
      <c r="H25" s="51"/>
      <c r="I25" s="51"/>
      <c r="J25" s="39"/>
      <c r="K25" s="32"/>
      <c r="L25" s="32"/>
      <c r="M25" s="82"/>
    </row>
    <row r="26" spans="1:13" s="1" customFormat="1" ht="14.1" customHeight="1">
      <c r="A26" s="66"/>
      <c r="B26" s="52" t="s">
        <v>29</v>
      </c>
      <c r="C26" s="52"/>
      <c r="D26" s="36" t="s">
        <v>50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73">
        <v>13</v>
      </c>
      <c r="B27" s="56" t="s">
        <v>6</v>
      </c>
      <c r="C27" s="56"/>
      <c r="D27" s="57" t="s">
        <v>7</v>
      </c>
      <c r="E27" s="58"/>
      <c r="F27" s="58"/>
      <c r="G27" s="59"/>
      <c r="H27" s="51"/>
      <c r="I27" s="51"/>
      <c r="J27" s="39"/>
      <c r="K27" s="32"/>
      <c r="L27" s="32"/>
      <c r="M27" s="82"/>
    </row>
    <row r="28" spans="1:13" s="1" customFormat="1" ht="14.1" customHeight="1">
      <c r="A28" s="66"/>
      <c r="B28" s="52" t="s">
        <v>30</v>
      </c>
      <c r="C28" s="52"/>
      <c r="D28" s="36" t="s">
        <v>67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3" ht="14.1" customHeight="1">
      <c r="A29" s="73">
        <v>14</v>
      </c>
      <c r="B29" s="49" t="s">
        <v>99</v>
      </c>
      <c r="C29" s="50"/>
      <c r="D29" s="55" t="s">
        <v>69</v>
      </c>
      <c r="E29" s="55"/>
      <c r="F29" s="55"/>
      <c r="G29" s="55"/>
      <c r="H29" s="51"/>
      <c r="I29" s="51"/>
      <c r="J29" s="39"/>
      <c r="K29" s="32"/>
      <c r="L29" s="32"/>
      <c r="M29" s="82"/>
    </row>
    <row r="30" spans="1:13" ht="14.1" customHeight="1">
      <c r="A30" s="66"/>
      <c r="B30" s="52" t="s">
        <v>31</v>
      </c>
      <c r="C30" s="52"/>
      <c r="D30" s="36" t="s">
        <v>70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3" ht="14.1" customHeight="1">
      <c r="A31" s="73">
        <v>15</v>
      </c>
      <c r="B31" s="53" t="s">
        <v>285</v>
      </c>
      <c r="C31" s="54"/>
      <c r="D31" s="44"/>
      <c r="E31" s="45"/>
      <c r="F31" s="45"/>
      <c r="G31" s="46"/>
      <c r="H31" s="47">
        <f>SUM(I31)-3.2</f>
        <v>35.099999999999994</v>
      </c>
      <c r="I31" s="47">
        <f>SUM(J31)-3.2</f>
        <v>38.299999999999997</v>
      </c>
      <c r="J31" s="21">
        <v>41.5</v>
      </c>
      <c r="K31" s="23">
        <f>SUM(J31)+3.2</f>
        <v>44.7</v>
      </c>
      <c r="L31" s="23">
        <f>SUM(K31)+3.2</f>
        <v>47.900000000000006</v>
      </c>
      <c r="M31" s="76">
        <f>SUM(L31)+3.2</f>
        <v>51.100000000000009</v>
      </c>
    </row>
    <row r="32" spans="1:13" ht="14.1" customHeight="1">
      <c r="A32" s="66"/>
      <c r="B32" s="34" t="s">
        <v>118</v>
      </c>
      <c r="C32" s="35"/>
      <c r="D32" s="36" t="s">
        <v>286</v>
      </c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73">
        <v>16</v>
      </c>
      <c r="B33" s="49" t="s">
        <v>193</v>
      </c>
      <c r="C33" s="50"/>
      <c r="D33" s="44"/>
      <c r="E33" s="45"/>
      <c r="F33" s="45"/>
      <c r="G33" s="46"/>
      <c r="H33" s="51">
        <f>SUM(I33)-2</f>
        <v>22</v>
      </c>
      <c r="I33" s="51">
        <f>SUM(J33)-2</f>
        <v>24</v>
      </c>
      <c r="J33" s="39">
        <v>26</v>
      </c>
      <c r="K33" s="32">
        <f>SUM(J33)+2</f>
        <v>28</v>
      </c>
      <c r="L33" s="32">
        <f>SUM(K33)+2</f>
        <v>30</v>
      </c>
      <c r="M33" s="82">
        <f>SUM(L33)+2</f>
        <v>32</v>
      </c>
    </row>
    <row r="34" spans="1:13" ht="14.1" customHeight="1">
      <c r="A34" s="66"/>
      <c r="B34" s="34" t="s">
        <v>137</v>
      </c>
      <c r="C34" s="35"/>
      <c r="D34" s="36" t="s">
        <v>249</v>
      </c>
      <c r="E34" s="37"/>
      <c r="F34" s="37"/>
      <c r="G34" s="38"/>
      <c r="H34" s="23"/>
      <c r="I34" s="23"/>
      <c r="J34" s="39"/>
      <c r="K34" s="32"/>
      <c r="L34" s="32"/>
      <c r="M34" s="82"/>
    </row>
    <row r="35" spans="1:13" ht="14.1" customHeight="1">
      <c r="A35" s="73">
        <v>17</v>
      </c>
      <c r="B35" s="49" t="s">
        <v>141</v>
      </c>
      <c r="C35" s="50"/>
      <c r="D35" s="93" t="s">
        <v>523</v>
      </c>
      <c r="E35" s="94"/>
      <c r="F35" s="94"/>
      <c r="G35" s="95"/>
      <c r="H35" s="51">
        <f>SUM(I35)</f>
        <v>1.5</v>
      </c>
      <c r="I35" s="51">
        <f>SUM(J35)</f>
        <v>1.5</v>
      </c>
      <c r="J35" s="39">
        <v>1.5</v>
      </c>
      <c r="K35" s="32">
        <f>SUM(J35)</f>
        <v>1.5</v>
      </c>
      <c r="L35" s="32">
        <f>SUM(K35)</f>
        <v>1.5</v>
      </c>
      <c r="M35" s="82">
        <f>SUM(L35)</f>
        <v>1.5</v>
      </c>
    </row>
    <row r="36" spans="1:13" ht="14.1" customHeight="1">
      <c r="A36" s="66"/>
      <c r="B36" s="34" t="s">
        <v>140</v>
      </c>
      <c r="C36" s="35"/>
      <c r="D36" s="36" t="s">
        <v>268</v>
      </c>
      <c r="E36" s="37"/>
      <c r="F36" s="37"/>
      <c r="G36" s="38"/>
      <c r="H36" s="23"/>
      <c r="I36" s="23"/>
      <c r="J36" s="60"/>
      <c r="K36" s="32"/>
      <c r="L36" s="32"/>
      <c r="M36" s="82"/>
    </row>
    <row r="37" spans="1:13" ht="14.1" customHeight="1">
      <c r="A37" s="73">
        <v>18</v>
      </c>
      <c r="B37" s="49"/>
      <c r="C37" s="50"/>
      <c r="D37" s="96"/>
      <c r="E37" s="97"/>
      <c r="F37" s="97"/>
      <c r="G37" s="98"/>
      <c r="H37" s="51"/>
      <c r="I37" s="51"/>
      <c r="J37" s="60"/>
      <c r="K37" s="51"/>
      <c r="L37" s="51"/>
      <c r="M37" s="75"/>
    </row>
    <row r="38" spans="1:13" ht="14.1" customHeight="1">
      <c r="A38" s="66"/>
      <c r="B38" s="34"/>
      <c r="C38" s="35"/>
      <c r="D38" s="89"/>
      <c r="E38" s="90"/>
      <c r="F38" s="90"/>
      <c r="G38" s="91"/>
      <c r="H38" s="23"/>
      <c r="I38" s="23"/>
      <c r="J38" s="21"/>
      <c r="K38" s="23"/>
      <c r="L38" s="23"/>
      <c r="M38" s="76"/>
    </row>
    <row r="39" spans="1:13" ht="14.1" customHeight="1">
      <c r="A39" s="73">
        <v>19</v>
      </c>
      <c r="B39" s="49"/>
      <c r="C39" s="50"/>
      <c r="D39" s="93"/>
      <c r="E39" s="94"/>
      <c r="F39" s="94"/>
      <c r="G39" s="95"/>
      <c r="H39" s="51"/>
      <c r="I39" s="51"/>
      <c r="J39" s="39"/>
      <c r="K39" s="32"/>
      <c r="L39" s="32"/>
      <c r="M39" s="82"/>
    </row>
    <row r="40" spans="1:13" ht="14.1" customHeight="1" thickBot="1">
      <c r="A40" s="74"/>
      <c r="B40" s="27"/>
      <c r="C40" s="28"/>
      <c r="D40" s="29"/>
      <c r="E40" s="30"/>
      <c r="F40" s="30"/>
      <c r="G40" s="31"/>
      <c r="H40" s="48"/>
      <c r="I40" s="48"/>
      <c r="J40" s="22"/>
      <c r="K40" s="24"/>
      <c r="L40" s="24"/>
      <c r="M40" s="92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customFormat="1" ht="14.1" customHeight="1"/>
  </sheetData>
  <mergeCells count="212"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A7:A8"/>
    <mergeCell ref="B7:C7"/>
    <mergeCell ref="D7:G7"/>
    <mergeCell ref="H7:H8"/>
    <mergeCell ref="I7:I8"/>
    <mergeCell ref="D6:G6"/>
    <mergeCell ref="J7:J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I9:I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B24:C24"/>
    <mergeCell ref="D24:G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5:K26"/>
    <mergeCell ref="L25:L26"/>
    <mergeCell ref="M25:M26"/>
    <mergeCell ref="B26:C26"/>
    <mergeCell ref="D26:G26"/>
    <mergeCell ref="J25:J26"/>
    <mergeCell ref="J27:J28"/>
    <mergeCell ref="K27:K28"/>
    <mergeCell ref="L27:L28"/>
    <mergeCell ref="M27:M28"/>
    <mergeCell ref="B28:C28"/>
    <mergeCell ref="D28:G28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9:K30"/>
    <mergeCell ref="L29:L30"/>
    <mergeCell ref="M29:M30"/>
    <mergeCell ref="B30:C30"/>
    <mergeCell ref="D30:G30"/>
    <mergeCell ref="J29:J30"/>
    <mergeCell ref="J31:J32"/>
    <mergeCell ref="K31:K32"/>
    <mergeCell ref="L31:L32"/>
    <mergeCell ref="M31:M32"/>
    <mergeCell ref="B32:C32"/>
    <mergeCell ref="D32:G32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K33:K34"/>
    <mergeCell ref="L33:L34"/>
    <mergeCell ref="M33:M34"/>
    <mergeCell ref="B34:C34"/>
    <mergeCell ref="D34:G34"/>
    <mergeCell ref="J33:J34"/>
    <mergeCell ref="J35:J36"/>
    <mergeCell ref="K35:K36"/>
    <mergeCell ref="L35:L36"/>
    <mergeCell ref="M35:M36"/>
    <mergeCell ref="B36:C36"/>
    <mergeCell ref="D36:G36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7:K38"/>
    <mergeCell ref="L37:L38"/>
    <mergeCell ref="M37:M38"/>
    <mergeCell ref="B38:C38"/>
    <mergeCell ref="D38:G38"/>
    <mergeCell ref="J37:J38"/>
    <mergeCell ref="J39:J40"/>
    <mergeCell ref="K39:K40"/>
    <mergeCell ref="L39:L40"/>
    <mergeCell ref="M39:M40"/>
    <mergeCell ref="B40:C40"/>
    <mergeCell ref="D40:G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904F-E0A1-4B06-AF80-C8705B6C303B}">
  <sheetPr>
    <tabColor theme="5"/>
    <pageSetUpPr fitToPage="1"/>
  </sheetPr>
  <dimension ref="A1:P57"/>
  <sheetViews>
    <sheetView zoomScale="110" zoomScaleNormal="110" workbookViewId="0">
      <selection activeCell="O24" sqref="O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62" t="s">
        <v>354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6" s="1" customFormat="1" ht="14.1" customHeight="1">
      <c r="A3" s="83">
        <v>1</v>
      </c>
      <c r="B3" s="101" t="s">
        <v>41</v>
      </c>
      <c r="C3" s="101"/>
      <c r="D3" s="67" t="s">
        <v>102</v>
      </c>
      <c r="E3" s="68"/>
      <c r="F3" s="68"/>
      <c r="G3" s="69"/>
      <c r="H3" s="70">
        <f>SUM(I3)-5</f>
        <v>58</v>
      </c>
      <c r="I3" s="70">
        <f>SUM(J3)-5</f>
        <v>63</v>
      </c>
      <c r="J3" s="71">
        <v>68</v>
      </c>
      <c r="K3" s="70">
        <f>SUM(J3)+5</f>
        <v>73</v>
      </c>
      <c r="L3" s="70">
        <f>SUM(K3)+5</f>
        <v>78</v>
      </c>
      <c r="M3" s="72">
        <f>SUM(L3)+5</f>
        <v>83</v>
      </c>
    </row>
    <row r="4" spans="1:16" s="1" customFormat="1" ht="14.1" customHeight="1">
      <c r="A4" s="66"/>
      <c r="B4" s="52" t="s">
        <v>38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5"/>
    </row>
    <row r="5" spans="1:16" s="1" customFormat="1" ht="14.1" customHeight="1">
      <c r="A5" s="73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44</v>
      </c>
      <c r="I5" s="51">
        <f>SUM(J5)-4.5</f>
        <v>48.5</v>
      </c>
      <c r="J5" s="60">
        <v>53</v>
      </c>
      <c r="K5" s="51">
        <f>SUM(J5)+4.5</f>
        <v>57.5</v>
      </c>
      <c r="L5" s="51">
        <f>SUM(K5)+4.5</f>
        <v>62</v>
      </c>
      <c r="M5" s="61">
        <f>SUM(L5)+4.5</f>
        <v>66.5</v>
      </c>
    </row>
    <row r="6" spans="1:16" s="1" customFormat="1" ht="14.1" customHeight="1">
      <c r="A6" s="66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21"/>
      <c r="K6" s="23"/>
      <c r="L6" s="23"/>
      <c r="M6" s="25"/>
    </row>
    <row r="7" spans="1:16" s="1" customFormat="1" ht="14.1" customHeight="1">
      <c r="A7" s="73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29</v>
      </c>
      <c r="I7" s="51">
        <f>SUM(J7)-2.25</f>
        <v>31.25</v>
      </c>
      <c r="J7" s="60">
        <v>33.5</v>
      </c>
      <c r="K7" s="51">
        <f>SUM(J7)+2</f>
        <v>35.5</v>
      </c>
      <c r="L7" s="51">
        <f>SUM(K7)+2</f>
        <v>37.5</v>
      </c>
      <c r="M7" s="61">
        <f>SUM(L7)+2</f>
        <v>39.5</v>
      </c>
    </row>
    <row r="8" spans="1:16" s="1" customFormat="1" ht="14.1" customHeight="1">
      <c r="A8" s="66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6" s="1" customFormat="1" ht="14.1" customHeight="1">
      <c r="A9" s="73">
        <v>4</v>
      </c>
      <c r="B9" s="56" t="s">
        <v>355</v>
      </c>
      <c r="C9" s="56"/>
      <c r="D9" s="68"/>
      <c r="E9" s="68"/>
      <c r="F9" s="68"/>
      <c r="G9" s="68"/>
      <c r="H9" s="51">
        <f>SUM(I9)-3</f>
        <v>52</v>
      </c>
      <c r="I9" s="51">
        <f>SUM(J9)-3</f>
        <v>55</v>
      </c>
      <c r="J9" s="39">
        <v>58</v>
      </c>
      <c r="K9" s="32">
        <f>SUM(J9)+3</f>
        <v>61</v>
      </c>
      <c r="L9" s="32">
        <f>SUM(K9)+3</f>
        <v>64</v>
      </c>
      <c r="M9" s="33">
        <f>SUM(L9)+3</f>
        <v>67</v>
      </c>
    </row>
    <row r="10" spans="1:16" s="1" customFormat="1" ht="14.1" customHeight="1">
      <c r="A10" s="66"/>
      <c r="B10" s="52" t="s">
        <v>356</v>
      </c>
      <c r="C10" s="52"/>
      <c r="D10" s="36"/>
      <c r="E10" s="37"/>
      <c r="F10" s="37"/>
      <c r="G10" s="38"/>
      <c r="H10" s="23"/>
      <c r="I10" s="23"/>
      <c r="J10" s="39"/>
      <c r="K10" s="32"/>
      <c r="L10" s="32"/>
      <c r="M10" s="33"/>
    </row>
    <row r="11" spans="1:16" s="1" customFormat="1" ht="14.1" customHeight="1">
      <c r="A11" s="73">
        <v>5</v>
      </c>
      <c r="B11" s="49" t="s">
        <v>10</v>
      </c>
      <c r="C11" s="50"/>
      <c r="D11" s="57" t="s">
        <v>0</v>
      </c>
      <c r="E11" s="58"/>
      <c r="F11" s="58"/>
      <c r="G11" s="59"/>
      <c r="H11" s="51"/>
      <c r="I11" s="51"/>
      <c r="J11" s="60"/>
      <c r="K11" s="51"/>
      <c r="L11" s="51"/>
      <c r="M11" s="61"/>
    </row>
    <row r="12" spans="1:16" s="1" customFormat="1" ht="14.1" customHeight="1">
      <c r="A12" s="66"/>
      <c r="B12" s="34" t="s">
        <v>26</v>
      </c>
      <c r="C12" s="35"/>
      <c r="D12" s="36" t="s">
        <v>47</v>
      </c>
      <c r="E12" s="37"/>
      <c r="F12" s="37"/>
      <c r="G12" s="38"/>
      <c r="H12" s="23"/>
      <c r="I12" s="23"/>
      <c r="J12" s="21"/>
      <c r="K12" s="23"/>
      <c r="L12" s="23"/>
      <c r="M12" s="25"/>
    </row>
    <row r="13" spans="1:16" s="1" customFormat="1" ht="14.1" customHeight="1">
      <c r="A13" s="73">
        <v>6</v>
      </c>
      <c r="B13" s="56" t="s">
        <v>1</v>
      </c>
      <c r="C13" s="56"/>
      <c r="D13" s="55" t="s">
        <v>243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3">
        <f>SUM(L13)+0.6</f>
        <v>18.800000000000004</v>
      </c>
    </row>
    <row r="14" spans="1:16" s="1" customFormat="1" ht="14.1" customHeight="1">
      <c r="A14" s="66"/>
      <c r="B14" s="52" t="s">
        <v>27</v>
      </c>
      <c r="C14" s="52"/>
      <c r="D14" s="36" t="s">
        <v>359</v>
      </c>
      <c r="E14" s="37"/>
      <c r="F14" s="37"/>
      <c r="G14" s="38"/>
      <c r="H14" s="23"/>
      <c r="I14" s="23"/>
      <c r="J14" s="39"/>
      <c r="K14" s="32"/>
      <c r="L14" s="32"/>
      <c r="M14" s="33"/>
      <c r="P14" s="1" t="s">
        <v>365</v>
      </c>
    </row>
    <row r="15" spans="1:16" s="1" customFormat="1" ht="14.1" customHeight="1">
      <c r="A15" s="73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</v>
      </c>
      <c r="I15" s="51">
        <f>SUM(J15)-0.3</f>
        <v>5.3</v>
      </c>
      <c r="J15" s="39">
        <v>5.6</v>
      </c>
      <c r="K15" s="32">
        <f>SUM(J15)+0.3</f>
        <v>5.8999999999999995</v>
      </c>
      <c r="L15" s="32">
        <f>SUM(K15)+0.3</f>
        <v>6.1999999999999993</v>
      </c>
      <c r="M15" s="33">
        <f>SUM(L15)+0.3</f>
        <v>6.4999999999999991</v>
      </c>
      <c r="P15" s="1">
        <f>SUM(H9+I9+J9+K9+L9)</f>
        <v>290</v>
      </c>
    </row>
    <row r="16" spans="1:16" s="1" customFormat="1" ht="14.1" customHeight="1">
      <c r="A16" s="66"/>
      <c r="B16" s="52" t="s">
        <v>28</v>
      </c>
      <c r="C16" s="52"/>
      <c r="D16" s="36" t="s">
        <v>358</v>
      </c>
      <c r="E16" s="37"/>
      <c r="F16" s="37"/>
      <c r="G16" s="38"/>
      <c r="H16" s="23"/>
      <c r="I16" s="23"/>
      <c r="J16" s="39"/>
      <c r="K16" s="32"/>
      <c r="L16" s="32"/>
      <c r="M16" s="33"/>
      <c r="P16" s="1">
        <f>SUM(P15/91.44/5*1.08)</f>
        <v>0.68503937007874016</v>
      </c>
    </row>
    <row r="17" spans="1:16" s="1" customFormat="1" ht="14.1" customHeight="1">
      <c r="A17" s="73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37.799999999999997</v>
      </c>
      <c r="I17" s="51">
        <f>SUM(J17)-1.6</f>
        <v>39.4</v>
      </c>
      <c r="J17" s="39">
        <v>41</v>
      </c>
      <c r="K17" s="32">
        <f>SUM(J17)+1.6</f>
        <v>42.6</v>
      </c>
      <c r="L17" s="32">
        <f>SUM(K17)+1.6</f>
        <v>44.2</v>
      </c>
      <c r="M17" s="33">
        <f>SUM(L17)+1.6</f>
        <v>45.800000000000004</v>
      </c>
    </row>
    <row r="18" spans="1:16" s="1" customFormat="1" ht="14.1" customHeight="1">
      <c r="A18" s="66"/>
      <c r="B18" s="52" t="s">
        <v>35</v>
      </c>
      <c r="C18" s="52"/>
      <c r="D18" s="36" t="s">
        <v>357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6" s="1" customFormat="1" ht="14.1" customHeight="1">
      <c r="A19" s="73">
        <v>9</v>
      </c>
      <c r="B19" s="56" t="s">
        <v>4</v>
      </c>
      <c r="C19" s="56"/>
      <c r="D19" s="55" t="s">
        <v>5</v>
      </c>
      <c r="E19" s="55"/>
      <c r="F19" s="55"/>
      <c r="G19" s="55"/>
      <c r="H19" s="51"/>
      <c r="I19" s="51"/>
      <c r="J19" s="60"/>
      <c r="K19" s="51"/>
      <c r="L19" s="51"/>
      <c r="M19" s="61"/>
    </row>
    <row r="20" spans="1:16" s="1" customFormat="1" ht="14.1" customHeight="1">
      <c r="A20" s="66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5"/>
    </row>
    <row r="21" spans="1:16" s="1" customFormat="1" ht="14.1" customHeight="1">
      <c r="A21" s="73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23.499999999999996</v>
      </c>
      <c r="I21" s="51">
        <f>SUM(J21)-1.6</f>
        <v>25.099999999999998</v>
      </c>
      <c r="J21" s="39">
        <v>26.7</v>
      </c>
      <c r="K21" s="32">
        <f>SUM(J21)+1.7</f>
        <v>28.4</v>
      </c>
      <c r="L21" s="32">
        <f>SUM(K21)+1.6</f>
        <v>30</v>
      </c>
      <c r="M21" s="33">
        <f>SUM(L21)+1.6</f>
        <v>31.6</v>
      </c>
      <c r="P21" s="1" t="s">
        <v>366</v>
      </c>
    </row>
    <row r="22" spans="1:16" s="1" customFormat="1" ht="14.1" customHeight="1">
      <c r="A22" s="66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3"/>
      <c r="P22" s="1">
        <f>SUM(H25+H25+I25+I25+J25+J25+K25+K25+L25+L25)</f>
        <v>35</v>
      </c>
    </row>
    <row r="23" spans="1:16" s="1" customFormat="1" ht="14.1" customHeight="1">
      <c r="A23" s="73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14.8</v>
      </c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33">
        <f>SUM(L23)+0.6</f>
        <v>17.800000000000004</v>
      </c>
      <c r="P23" s="1">
        <f>SUM(P22/91.44/5*1.08)</f>
        <v>8.2677165354330714E-2</v>
      </c>
    </row>
    <row r="24" spans="1:16" s="1" customFormat="1" ht="14.1" customHeight="1">
      <c r="A24" s="66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6" s="1" customFormat="1" ht="14.1" customHeight="1">
      <c r="A25" s="73">
        <v>12</v>
      </c>
      <c r="B25" s="49" t="s">
        <v>360</v>
      </c>
      <c r="C25" s="50"/>
      <c r="D25" s="57"/>
      <c r="E25" s="58"/>
      <c r="F25" s="58"/>
      <c r="G25" s="59"/>
      <c r="H25" s="51">
        <f>SUM(I25)-0.1</f>
        <v>3.3</v>
      </c>
      <c r="I25" s="51">
        <f>SUM(J25)-0.1</f>
        <v>3.4</v>
      </c>
      <c r="J25" s="39">
        <v>3.5</v>
      </c>
      <c r="K25" s="32">
        <f>SUM(J25)+0.1</f>
        <v>3.6</v>
      </c>
      <c r="L25" s="32">
        <f>SUM(K25)+0.1</f>
        <v>3.7</v>
      </c>
      <c r="M25" s="33">
        <f>SUM(L25)+0.1</f>
        <v>3.8000000000000003</v>
      </c>
    </row>
    <row r="26" spans="1:16" s="1" customFormat="1" ht="14.1" customHeight="1">
      <c r="A26" s="66"/>
      <c r="B26" s="77" t="s">
        <v>361</v>
      </c>
      <c r="C26" s="78"/>
      <c r="D26" s="79"/>
      <c r="E26" s="80"/>
      <c r="F26" s="80"/>
      <c r="G26" s="81"/>
      <c r="H26" s="23"/>
      <c r="I26" s="23"/>
      <c r="J26" s="39"/>
      <c r="K26" s="32"/>
      <c r="L26" s="32"/>
      <c r="M26" s="33"/>
    </row>
    <row r="27" spans="1:16" s="1" customFormat="1" ht="14.1" customHeight="1">
      <c r="A27" s="73">
        <v>13</v>
      </c>
      <c r="B27" s="49" t="s">
        <v>362</v>
      </c>
      <c r="C27" s="50"/>
      <c r="D27" s="57"/>
      <c r="E27" s="58"/>
      <c r="F27" s="58"/>
      <c r="G27" s="59"/>
      <c r="H27" s="51">
        <f>SUM(I27)-3</f>
        <v>37.5</v>
      </c>
      <c r="I27" s="51">
        <f>SUM(J27)-3</f>
        <v>40.5</v>
      </c>
      <c r="J27" s="39">
        <v>43.5</v>
      </c>
      <c r="K27" s="32">
        <f>SUM(J27)+3</f>
        <v>46.5</v>
      </c>
      <c r="L27" s="32">
        <f>SUM(K27)+3</f>
        <v>49.5</v>
      </c>
      <c r="M27" s="33">
        <f>SUM(L27)+3</f>
        <v>52.5</v>
      </c>
    </row>
    <row r="28" spans="1:16" s="1" customFormat="1" ht="14.1" customHeight="1">
      <c r="A28" s="66"/>
      <c r="B28" s="77" t="s">
        <v>363</v>
      </c>
      <c r="C28" s="78"/>
      <c r="D28" s="79" t="s">
        <v>364</v>
      </c>
      <c r="E28" s="80"/>
      <c r="F28" s="80"/>
      <c r="G28" s="81"/>
      <c r="H28" s="23"/>
      <c r="I28" s="23"/>
      <c r="J28" s="39"/>
      <c r="K28" s="32"/>
      <c r="L28" s="32"/>
      <c r="M28" s="33"/>
    </row>
    <row r="29" spans="1:16" s="1" customFormat="1" ht="14.1" customHeight="1">
      <c r="A29" s="73">
        <v>14</v>
      </c>
      <c r="B29" s="49"/>
      <c r="C29" s="50"/>
      <c r="D29" s="55"/>
      <c r="E29" s="55"/>
      <c r="F29" s="55"/>
      <c r="G29" s="55"/>
      <c r="H29" s="51"/>
      <c r="I29" s="51"/>
      <c r="J29" s="60"/>
      <c r="K29" s="51"/>
      <c r="L29" s="51"/>
      <c r="M29" s="61"/>
    </row>
    <row r="30" spans="1:16" s="1" customFormat="1" ht="14.1" customHeight="1">
      <c r="A30" s="66"/>
      <c r="B30" s="34"/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25"/>
    </row>
    <row r="31" spans="1:16" s="1" customFormat="1" ht="14.1" customHeight="1">
      <c r="A31" s="73">
        <v>15</v>
      </c>
      <c r="B31" s="42"/>
      <c r="C31" s="43"/>
      <c r="D31" s="44"/>
      <c r="E31" s="45"/>
      <c r="F31" s="45"/>
      <c r="G31" s="46"/>
      <c r="H31" s="47"/>
      <c r="I31" s="47"/>
      <c r="J31" s="21"/>
      <c r="K31" s="23"/>
      <c r="L31" s="23"/>
      <c r="M31" s="25"/>
    </row>
    <row r="32" spans="1:16" s="1" customFormat="1" ht="14.1" customHeight="1" thickBot="1">
      <c r="A32" s="74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3DC0-93DA-43F5-9283-D1A4410F80E3}">
  <sheetPr>
    <tabColor theme="5"/>
    <pageSetUpPr fitToPage="1"/>
  </sheetPr>
  <dimension ref="A1:Q57"/>
  <sheetViews>
    <sheetView zoomScale="110" zoomScaleNormal="110" workbookViewId="0">
      <selection activeCell="G35" sqref="G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536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101" t="s">
        <v>41</v>
      </c>
      <c r="C3" s="101"/>
      <c r="D3" s="67" t="s">
        <v>102</v>
      </c>
      <c r="E3" s="68"/>
      <c r="F3" s="68"/>
      <c r="G3" s="69"/>
      <c r="H3" s="70">
        <f>SUM(I3)-5</f>
        <v>57.5</v>
      </c>
      <c r="I3" s="70">
        <f>SUM(J3)-5</f>
        <v>62.5</v>
      </c>
      <c r="J3" s="71">
        <v>67.5</v>
      </c>
      <c r="K3" s="70">
        <f>SUM(J3)+5</f>
        <v>72.5</v>
      </c>
      <c r="L3" s="70">
        <f>SUM(K3)+5</f>
        <v>77.5</v>
      </c>
      <c r="M3" s="72">
        <f>SUM(L3)+5</f>
        <v>82.5</v>
      </c>
    </row>
    <row r="4" spans="1:17" s="1" customFormat="1" ht="14.1" customHeight="1">
      <c r="A4" s="40"/>
      <c r="B4" s="52" t="s">
        <v>38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22.4</v>
      </c>
      <c r="I5" s="51">
        <f>SUM(J5)-1.8</f>
        <v>24.2</v>
      </c>
      <c r="J5" s="60">
        <v>26</v>
      </c>
      <c r="K5" s="51">
        <f>SUM(J5)+1.6</f>
        <v>27.6</v>
      </c>
      <c r="L5" s="51">
        <f>SUM(K5)+1.6</f>
        <v>29.200000000000003</v>
      </c>
      <c r="M5" s="61">
        <f>SUM(L5)+1.6</f>
        <v>30.800000000000004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28.5</v>
      </c>
      <c r="I7" s="51">
        <f>SUM(J7)-2.25</f>
        <v>30.75</v>
      </c>
      <c r="J7" s="60">
        <v>33</v>
      </c>
      <c r="K7" s="51">
        <f>SUM(J7)+2</f>
        <v>35</v>
      </c>
      <c r="L7" s="51">
        <f>SUM(K7)+2</f>
        <v>37</v>
      </c>
      <c r="M7" s="61">
        <f>SUM(L7)+2</f>
        <v>39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7" s="1" customFormat="1" ht="14.1" customHeight="1" thickBot="1">
      <c r="A9" s="40">
        <v>4</v>
      </c>
      <c r="B9" s="56" t="s">
        <v>355</v>
      </c>
      <c r="C9" s="56"/>
      <c r="D9" s="55"/>
      <c r="E9" s="55"/>
      <c r="F9" s="55"/>
      <c r="G9" s="55"/>
      <c r="H9" s="51">
        <f>SUM(I9)-3</f>
        <v>53</v>
      </c>
      <c r="I9" s="51">
        <f>SUM(J9)-3</f>
        <v>56</v>
      </c>
      <c r="J9" s="60">
        <v>59</v>
      </c>
      <c r="K9" s="51">
        <f>SUM(J9)+3</f>
        <v>62</v>
      </c>
      <c r="L9" s="51">
        <f>SUM(K9)+3</f>
        <v>65</v>
      </c>
      <c r="M9" s="61">
        <f>SUM(L9)+3</f>
        <v>68</v>
      </c>
      <c r="N9" s="61">
        <f>SUM(M9)+3</f>
        <v>71</v>
      </c>
    </row>
    <row r="10" spans="1:17" s="1" customFormat="1" ht="14.1" customHeight="1" thickTop="1">
      <c r="A10" s="40"/>
      <c r="B10" s="52" t="s">
        <v>356</v>
      </c>
      <c r="C10" s="52"/>
      <c r="D10" s="36" t="s">
        <v>535</v>
      </c>
      <c r="E10" s="37"/>
      <c r="F10" s="37"/>
      <c r="G10" s="38"/>
      <c r="H10" s="23"/>
      <c r="I10" s="23"/>
      <c r="J10" s="21"/>
      <c r="K10" s="23"/>
      <c r="L10" s="23"/>
      <c r="M10" s="25"/>
      <c r="N10" s="25"/>
      <c r="Q10" s="11" t="s">
        <v>534</v>
      </c>
    </row>
    <row r="11" spans="1:17" s="1" customFormat="1" ht="14.1" customHeight="1">
      <c r="A11" s="40">
        <v>5</v>
      </c>
      <c r="B11" s="56" t="s">
        <v>195</v>
      </c>
      <c r="C11" s="56"/>
      <c r="D11" s="55"/>
      <c r="E11" s="55"/>
      <c r="F11" s="55"/>
      <c r="G11" s="55"/>
      <c r="H11" s="51">
        <f>SUM(I11)-2</f>
        <v>21.5</v>
      </c>
      <c r="I11" s="51">
        <f>SUM(J11)-2</f>
        <v>23.5</v>
      </c>
      <c r="J11" s="60">
        <v>25.5</v>
      </c>
      <c r="K11" s="51">
        <f>SUM(J11)+2</f>
        <v>27.5</v>
      </c>
      <c r="L11" s="51">
        <f>SUM(K11)+2</f>
        <v>29.5</v>
      </c>
      <c r="M11" s="61">
        <f>SUM(L11)+2</f>
        <v>31.5</v>
      </c>
      <c r="Q11" s="12">
        <f>SUM(H9+I9+J9+K9+L9)</f>
        <v>295</v>
      </c>
    </row>
    <row r="12" spans="1:17" s="1" customFormat="1" ht="14.1" customHeight="1" thickBot="1">
      <c r="A12" s="40"/>
      <c r="B12" s="52" t="s">
        <v>198</v>
      </c>
      <c r="C12" s="52"/>
      <c r="D12" s="36" t="s">
        <v>533</v>
      </c>
      <c r="E12" s="37"/>
      <c r="F12" s="37"/>
      <c r="G12" s="38"/>
      <c r="H12" s="23"/>
      <c r="I12" s="23"/>
      <c r="J12" s="21"/>
      <c r="K12" s="23"/>
      <c r="L12" s="23"/>
      <c r="M12" s="25"/>
      <c r="Q12" s="13">
        <f>SUM(Q11/91.44/5*1.08)</f>
        <v>0.6968503937007875</v>
      </c>
    </row>
    <row r="13" spans="1:17" s="1" customFormat="1" ht="14.1" customHeight="1" thickTop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12.899999999999999</v>
      </c>
      <c r="I13" s="51">
        <f>SUM(J13)-0.8</f>
        <v>13.7</v>
      </c>
      <c r="J13" s="39">
        <v>14.5</v>
      </c>
      <c r="K13" s="32">
        <f>SUM(J13)+0.8</f>
        <v>15.3</v>
      </c>
      <c r="L13" s="32">
        <f>SUM(K13)+0.8</f>
        <v>16.100000000000001</v>
      </c>
      <c r="M13" s="33">
        <f>SUM(L13)+0.8</f>
        <v>16.900000000000002</v>
      </c>
      <c r="Q13" s="12" t="s">
        <v>207</v>
      </c>
    </row>
    <row r="14" spans="1:17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32"/>
      <c r="L14" s="32"/>
      <c r="M14" s="33"/>
      <c r="Q14" s="12">
        <f>SUM(H25+H25+I25+I25+J25+J25+K25+K25+L25+L25)</f>
        <v>160</v>
      </c>
    </row>
    <row r="15" spans="1:17" s="1" customFormat="1" ht="14.1" customHeight="1" thickBo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11.3</v>
      </c>
      <c r="I15" s="51">
        <f>SUM(J15)-0.6</f>
        <v>11.9</v>
      </c>
      <c r="J15" s="39">
        <v>12.5</v>
      </c>
      <c r="K15" s="32">
        <f>SUM(J15)+0.6</f>
        <v>13.1</v>
      </c>
      <c r="L15" s="32">
        <f>SUM(K15)+0.6</f>
        <v>13.7</v>
      </c>
      <c r="M15" s="33">
        <f>SUM(L15)+0.6</f>
        <v>14.299999999999999</v>
      </c>
      <c r="Q15" s="13">
        <f>SUM(Q14/5/91.44*1.08)</f>
        <v>0.37795275590551186</v>
      </c>
    </row>
    <row r="16" spans="1:17" s="1" customFormat="1" ht="14.1" customHeight="1" thickTop="1">
      <c r="A16" s="40"/>
      <c r="B16" s="52" t="s">
        <v>27</v>
      </c>
      <c r="C16" s="52"/>
      <c r="D16" s="36" t="s">
        <v>120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4.7</v>
      </c>
      <c r="I17" s="51">
        <f>SUM(J17)-0.3</f>
        <v>5</v>
      </c>
      <c r="J17" s="39">
        <v>5.3</v>
      </c>
      <c r="K17" s="32">
        <f>SUM(J17)+0.3</f>
        <v>5.6</v>
      </c>
      <c r="L17" s="32">
        <f>SUM(K17)+0.3</f>
        <v>5.8999999999999995</v>
      </c>
      <c r="M17" s="33">
        <f>SUM(L17)+0.3</f>
        <v>6.1999999999999993</v>
      </c>
    </row>
    <row r="18" spans="1:13" s="1" customFormat="1" ht="14.1" customHeight="1">
      <c r="A18" s="40"/>
      <c r="B18" s="52" t="s">
        <v>28</v>
      </c>
      <c r="C18" s="52"/>
      <c r="D18" s="36" t="s">
        <v>121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49" t="s">
        <v>74</v>
      </c>
      <c r="C19" s="50"/>
      <c r="D19" s="57" t="s">
        <v>75</v>
      </c>
      <c r="E19" s="58"/>
      <c r="F19" s="58"/>
      <c r="G19" s="59"/>
      <c r="H19" s="51">
        <f>SUM(I19)-1.6</f>
        <v>30.799999999999997</v>
      </c>
      <c r="I19" s="51">
        <f>SUM(J19)-1.6</f>
        <v>32.4</v>
      </c>
      <c r="J19" s="39">
        <v>34</v>
      </c>
      <c r="K19" s="32">
        <f>SUM(J19)+1.6</f>
        <v>35.6</v>
      </c>
      <c r="L19" s="32">
        <f>SUM(K19)+1.6</f>
        <v>37.200000000000003</v>
      </c>
      <c r="M19" s="33">
        <f>SUM(L19)+1.6</f>
        <v>38.800000000000004</v>
      </c>
    </row>
    <row r="20" spans="1:13" s="1" customFormat="1" ht="14.1" customHeight="1">
      <c r="A20" s="40"/>
      <c r="B20" s="52" t="s">
        <v>35</v>
      </c>
      <c r="C20" s="52"/>
      <c r="D20" s="36" t="s">
        <v>122</v>
      </c>
      <c r="E20" s="37"/>
      <c r="F20" s="37"/>
      <c r="G20" s="38"/>
      <c r="H20" s="23"/>
      <c r="I20" s="23"/>
      <c r="J20" s="39"/>
      <c r="K20" s="32"/>
      <c r="L20" s="32"/>
      <c r="M20" s="33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>
        <f>SUM(I21)-3.6</f>
        <v>33.4</v>
      </c>
      <c r="I21" s="51">
        <f>SUM(J21)-3.6</f>
        <v>37</v>
      </c>
      <c r="J21" s="60">
        <v>40.6</v>
      </c>
      <c r="K21" s="51">
        <f>SUM(J21)+3.7</f>
        <v>44.300000000000004</v>
      </c>
      <c r="L21" s="51">
        <f>SUM(K21)+3.7</f>
        <v>48.000000000000007</v>
      </c>
      <c r="M21" s="61">
        <f>SUM(L21)+3.7</f>
        <v>51.70000000000001</v>
      </c>
    </row>
    <row r="22" spans="1:13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23"/>
      <c r="I22" s="23"/>
      <c r="J22" s="21"/>
      <c r="K22" s="23"/>
      <c r="L22" s="23"/>
      <c r="M22" s="25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>
        <f>SUM(I23)-1.5</f>
        <v>23.7</v>
      </c>
      <c r="I23" s="51">
        <f>SUM(J23)-1.5</f>
        <v>25.2</v>
      </c>
      <c r="J23" s="39">
        <v>26.7</v>
      </c>
      <c r="K23" s="32">
        <f>SUM(J23)+1.5</f>
        <v>28.2</v>
      </c>
      <c r="L23" s="32">
        <f>SUM(K23)+1.5</f>
        <v>29.7</v>
      </c>
      <c r="M23" s="33">
        <f>SUM(L23)+1.5</f>
        <v>31.2</v>
      </c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519</v>
      </c>
      <c r="C25" s="50"/>
      <c r="D25" s="55"/>
      <c r="E25" s="55"/>
      <c r="F25" s="55"/>
      <c r="G25" s="55"/>
      <c r="H25" s="51">
        <f>SUM(I25)-0.6</f>
        <v>14.8</v>
      </c>
      <c r="I25" s="51">
        <f>SUM(J25)-0.6</f>
        <v>15.4</v>
      </c>
      <c r="J25" s="39">
        <v>16</v>
      </c>
      <c r="K25" s="32">
        <f>SUM(J25)+0.6</f>
        <v>16.600000000000001</v>
      </c>
      <c r="L25" s="32">
        <f>SUM(K25)+0.6</f>
        <v>17.200000000000003</v>
      </c>
      <c r="M25" s="33">
        <f>SUM(L25)+0.6</f>
        <v>17.800000000000004</v>
      </c>
    </row>
    <row r="26" spans="1:13" s="1" customFormat="1" ht="14.1" customHeight="1">
      <c r="A26" s="40"/>
      <c r="B26" s="52" t="s">
        <v>520</v>
      </c>
      <c r="C26" s="52"/>
      <c r="D26" s="36" t="s">
        <v>518</v>
      </c>
      <c r="E26" s="37"/>
      <c r="F26" s="37"/>
      <c r="G26" s="38"/>
      <c r="H26" s="23"/>
      <c r="I26" s="23"/>
      <c r="J26" s="39"/>
      <c r="K26" s="32"/>
      <c r="L26" s="32"/>
      <c r="M26" s="33"/>
    </row>
    <row r="27" spans="1:13" s="1" customFormat="1" ht="14.1" customHeight="1">
      <c r="A27" s="40">
        <v>13</v>
      </c>
      <c r="B27" s="53" t="s">
        <v>285</v>
      </c>
      <c r="C27" s="54"/>
      <c r="D27" s="44"/>
      <c r="E27" s="45"/>
      <c r="F27" s="45"/>
      <c r="G27" s="46"/>
      <c r="H27" s="47">
        <f>SUM(I27)-3</f>
        <v>36</v>
      </c>
      <c r="I27" s="47">
        <f>SUM(J27)-3</f>
        <v>39</v>
      </c>
      <c r="J27" s="21">
        <v>42</v>
      </c>
      <c r="K27" s="23">
        <f>SUM(J27)+3</f>
        <v>45</v>
      </c>
      <c r="L27" s="23">
        <f>SUM(K27)+3</f>
        <v>48</v>
      </c>
      <c r="M27" s="25">
        <f>SUM(L27)+3</f>
        <v>51</v>
      </c>
    </row>
    <row r="28" spans="1:13" s="1" customFormat="1" ht="14.1" customHeight="1">
      <c r="A28" s="40"/>
      <c r="B28" s="34" t="s">
        <v>118</v>
      </c>
      <c r="C28" s="35"/>
      <c r="D28" s="36" t="s">
        <v>286</v>
      </c>
      <c r="E28" s="37"/>
      <c r="F28" s="37"/>
      <c r="G28" s="38"/>
      <c r="H28" s="23"/>
      <c r="I28" s="23"/>
      <c r="J28" s="39"/>
      <c r="K28" s="32"/>
      <c r="L28" s="32"/>
      <c r="M28" s="33"/>
    </row>
    <row r="29" spans="1:13" s="1" customFormat="1" ht="14.1" customHeight="1">
      <c r="A29" s="40">
        <v>14</v>
      </c>
      <c r="B29" s="49" t="s">
        <v>141</v>
      </c>
      <c r="C29" s="50"/>
      <c r="D29" s="93"/>
      <c r="E29" s="94"/>
      <c r="F29" s="94"/>
      <c r="G29" s="95"/>
      <c r="H29" s="51">
        <f>SUM(I29)-0.3</f>
        <v>3.3000000000000003</v>
      </c>
      <c r="I29" s="51">
        <f>SUM(J29)-0.3</f>
        <v>3.6</v>
      </c>
      <c r="J29" s="21">
        <v>3.9</v>
      </c>
      <c r="K29" s="32">
        <f>SUM(J29)+0.3</f>
        <v>4.2</v>
      </c>
      <c r="L29" s="32">
        <f>SUM(K29)+0.3</f>
        <v>4.5</v>
      </c>
      <c r="M29" s="33">
        <f>SUM(L29)+0.3</f>
        <v>4.8</v>
      </c>
    </row>
    <row r="30" spans="1:13" s="1" customFormat="1" ht="14.1" customHeight="1">
      <c r="A30" s="40"/>
      <c r="B30" s="34" t="s">
        <v>140</v>
      </c>
      <c r="C30" s="35"/>
      <c r="D30" s="36" t="s">
        <v>532</v>
      </c>
      <c r="E30" s="37"/>
      <c r="F30" s="37"/>
      <c r="G30" s="38"/>
      <c r="H30" s="23"/>
      <c r="I30" s="23"/>
      <c r="J30" s="39"/>
      <c r="K30" s="32"/>
      <c r="L30" s="32"/>
      <c r="M30" s="33"/>
    </row>
    <row r="31" spans="1:13" s="1" customFormat="1" ht="14.1" customHeight="1">
      <c r="A31" s="40">
        <v>15</v>
      </c>
      <c r="B31" s="42"/>
      <c r="C31" s="43"/>
      <c r="D31" s="44"/>
      <c r="E31" s="45"/>
      <c r="F31" s="45"/>
      <c r="G31" s="46"/>
      <c r="H31" s="47"/>
      <c r="I31" s="47"/>
      <c r="J31" s="21"/>
      <c r="K31" s="23"/>
      <c r="L31" s="23"/>
      <c r="M31" s="25"/>
    </row>
    <row r="32" spans="1:13" s="1" customFormat="1" ht="13.5" customHeight="1" thickBot="1">
      <c r="A32" s="41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4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4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4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customFormat="1" ht="14.1" customHeight="1"/>
    <row r="50" customFormat="1" ht="14.1" customHeight="1"/>
    <row r="51" customFormat="1" ht="14.1" customHeight="1"/>
    <row r="52" customFormat="1" ht="14.1" customHeight="1"/>
    <row r="53" customFormat="1" ht="14.1" customHeight="1"/>
    <row r="54" customFormat="1" ht="14.1" customHeight="1"/>
    <row r="55" customFormat="1" ht="14.1" customHeight="1"/>
    <row r="56" customFormat="1" ht="14.1" customHeight="1"/>
    <row r="57" customFormat="1" ht="14.1" customHeight="1"/>
  </sheetData>
  <mergeCells count="169">
    <mergeCell ref="N9:N10"/>
    <mergeCell ref="A9:A10"/>
    <mergeCell ref="B9:C9"/>
    <mergeCell ref="D9:G9"/>
    <mergeCell ref="H9:H10"/>
    <mergeCell ref="I9:I10"/>
    <mergeCell ref="J9:J10"/>
    <mergeCell ref="K9:K10"/>
    <mergeCell ref="L9:L10"/>
    <mergeCell ref="M9:M10"/>
    <mergeCell ref="D31:G31"/>
    <mergeCell ref="H31:H32"/>
    <mergeCell ref="I31:I32"/>
    <mergeCell ref="J31:J32"/>
    <mergeCell ref="K29:K30"/>
    <mergeCell ref="L29:L30"/>
    <mergeCell ref="B10:C10"/>
    <mergeCell ref="D10:G10"/>
    <mergeCell ref="A1:M1"/>
    <mergeCell ref="K31:K32"/>
    <mergeCell ref="L31:L32"/>
    <mergeCell ref="M31:M32"/>
    <mergeCell ref="B32:C32"/>
    <mergeCell ref="D32:G32"/>
    <mergeCell ref="A31:A32"/>
    <mergeCell ref="B31:C31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M25:M26"/>
    <mergeCell ref="B26:C26"/>
    <mergeCell ref="D26:G26"/>
    <mergeCell ref="K27:K28"/>
    <mergeCell ref="L27:L28"/>
    <mergeCell ref="M27:M28"/>
    <mergeCell ref="B28:C28"/>
    <mergeCell ref="D28:G28"/>
    <mergeCell ref="J25:J26"/>
    <mergeCell ref="J27:J28"/>
    <mergeCell ref="K25:K26"/>
    <mergeCell ref="L25:L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M21:M22"/>
    <mergeCell ref="B22:C22"/>
    <mergeCell ref="D22:G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23:J24"/>
    <mergeCell ref="K21:K22"/>
    <mergeCell ref="L21:L22"/>
    <mergeCell ref="M17:M18"/>
    <mergeCell ref="B18:C18"/>
    <mergeCell ref="D18:G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9:J20"/>
    <mergeCell ref="K17:K18"/>
    <mergeCell ref="L17:L18"/>
    <mergeCell ref="M13:M14"/>
    <mergeCell ref="B14:C14"/>
    <mergeCell ref="D14:G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5:J16"/>
    <mergeCell ref="K13:K14"/>
    <mergeCell ref="L13:L14"/>
    <mergeCell ref="M7:M8"/>
    <mergeCell ref="B8:C8"/>
    <mergeCell ref="D8:G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A7:A8"/>
    <mergeCell ref="B7:C7"/>
    <mergeCell ref="D7:G7"/>
    <mergeCell ref="H7:H8"/>
    <mergeCell ref="I7:I8"/>
    <mergeCell ref="J7:J8"/>
    <mergeCell ref="J11:J12"/>
    <mergeCell ref="K7:K8"/>
    <mergeCell ref="L7:L8"/>
    <mergeCell ref="L3:L4"/>
    <mergeCell ref="M3:M4"/>
    <mergeCell ref="B4:C4"/>
    <mergeCell ref="D4:G4"/>
    <mergeCell ref="J3:J4"/>
    <mergeCell ref="K3:K4"/>
    <mergeCell ref="H3:H4"/>
    <mergeCell ref="I3:I4"/>
    <mergeCell ref="J5:J6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04C2-3589-4BDE-8FEE-786E0014F39B}">
  <sheetPr>
    <tabColor theme="5"/>
    <pageSetUpPr fitToPage="1"/>
  </sheetPr>
  <dimension ref="A1:Q57"/>
  <sheetViews>
    <sheetView zoomScale="110" zoomScaleNormal="110" workbookViewId="0">
      <selection activeCell="P17" sqref="P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540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70">
        <f>SUM(I3)-4.9</f>
        <v>55.2</v>
      </c>
      <c r="I3" s="70">
        <f>SUM(J3)-4.9</f>
        <v>60.1</v>
      </c>
      <c r="J3" s="71">
        <v>65</v>
      </c>
      <c r="K3" s="70">
        <f>SUM(J3)+4.9</f>
        <v>69.900000000000006</v>
      </c>
      <c r="L3" s="70">
        <f>SUM(K3)+4.9</f>
        <v>74.800000000000011</v>
      </c>
      <c r="M3" s="72">
        <f>SUM(L3)+4.9</f>
        <v>79.700000000000017</v>
      </c>
    </row>
    <row r="4" spans="1:17" s="1" customFormat="1" ht="14.1" customHeight="1">
      <c r="A4" s="40"/>
      <c r="B4" s="52" t="s">
        <v>282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19.799999999999997</v>
      </c>
      <c r="I5" s="51">
        <f>SUM(J5)-1.6</f>
        <v>21.4</v>
      </c>
      <c r="J5" s="60">
        <v>23</v>
      </c>
      <c r="K5" s="51">
        <f>SUM(J5)+1.4</f>
        <v>24.4</v>
      </c>
      <c r="L5" s="51">
        <f>SUM(K5)+1.4</f>
        <v>25.799999999999997</v>
      </c>
      <c r="M5" s="61">
        <f>SUM(L5)+1.4</f>
        <v>27.199999999999996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28.1</v>
      </c>
      <c r="I7" s="51">
        <f>SUM(J7)-2.25</f>
        <v>30.35</v>
      </c>
      <c r="J7" s="60">
        <v>32.6</v>
      </c>
      <c r="K7" s="51">
        <f>SUM(J7)+2</f>
        <v>34.6</v>
      </c>
      <c r="L7" s="51">
        <f>SUM(K7)+2</f>
        <v>36.6</v>
      </c>
      <c r="M7" s="61">
        <f>SUM(L7)+2</f>
        <v>38.6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7" s="1" customFormat="1" ht="14.1" customHeight="1">
      <c r="A9" s="40">
        <v>4</v>
      </c>
      <c r="B9" s="56" t="s">
        <v>281</v>
      </c>
      <c r="C9" s="56"/>
      <c r="D9" s="55"/>
      <c r="E9" s="55"/>
      <c r="F9" s="55"/>
      <c r="G9" s="55"/>
      <c r="H9" s="51">
        <f>SUM(I9)-1.8</f>
        <v>19.099999999999998</v>
      </c>
      <c r="I9" s="51">
        <f>SUM(J9)-1.8</f>
        <v>20.9</v>
      </c>
      <c r="J9" s="60">
        <v>22.7</v>
      </c>
      <c r="K9" s="51">
        <f>SUM(J9)+1.8</f>
        <v>24.5</v>
      </c>
      <c r="L9" s="51">
        <f>SUM(K9)+1.8</f>
        <v>26.3</v>
      </c>
      <c r="M9" s="61">
        <f>SUM(L9)+1.8</f>
        <v>28.1</v>
      </c>
    </row>
    <row r="10" spans="1:17" s="1" customFormat="1" ht="14.1" customHeight="1" thickBot="1">
      <c r="A10" s="40"/>
      <c r="B10" s="52" t="s">
        <v>283</v>
      </c>
      <c r="C10" s="52"/>
      <c r="D10" s="36" t="s">
        <v>284</v>
      </c>
      <c r="E10" s="37"/>
      <c r="F10" s="37"/>
      <c r="G10" s="38"/>
      <c r="H10" s="23"/>
      <c r="I10" s="23"/>
      <c r="J10" s="21"/>
      <c r="K10" s="23"/>
      <c r="L10" s="23"/>
      <c r="M10" s="25"/>
    </row>
    <row r="11" spans="1:17" s="1" customFormat="1" ht="14.1" customHeight="1" thickTop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14</v>
      </c>
      <c r="I11" s="51">
        <f>SUM(J11)-0.9</f>
        <v>14.9</v>
      </c>
      <c r="J11" s="39">
        <v>15.8</v>
      </c>
      <c r="K11" s="32">
        <f>SUM(J11)+0.9</f>
        <v>16.7</v>
      </c>
      <c r="L11" s="32">
        <f>SUM(K11)+0.9</f>
        <v>17.599999999999998</v>
      </c>
      <c r="M11" s="33">
        <f>SUM(L11)+0.9</f>
        <v>18.499999999999996</v>
      </c>
      <c r="Q11" s="11" t="s">
        <v>207</v>
      </c>
    </row>
    <row r="12" spans="1:17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3"/>
      <c r="Q12" s="12">
        <f>SUM(H23+H23+I23+I23+J23+J23+K23+K23+L23+L23)</f>
        <v>160</v>
      </c>
    </row>
    <row r="13" spans="1:17" s="1" customFormat="1" ht="14.1" customHeight="1" thickBo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33">
        <f>SUM(L13)+0.6</f>
        <v>14.999999999999998</v>
      </c>
      <c r="Q13" s="13">
        <f>SUM(Q12/91.44/5*1.08)</f>
        <v>0.37795275590551186</v>
      </c>
    </row>
    <row r="14" spans="1:17" s="1" customFormat="1" ht="14.1" customHeight="1" thickTop="1">
      <c r="A14" s="40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33"/>
    </row>
    <row r="15" spans="1:17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33">
        <f>SUM(L15)+0.3</f>
        <v>7.3</v>
      </c>
    </row>
    <row r="16" spans="1:17" s="1" customFormat="1" ht="14.1" customHeight="1">
      <c r="A16" s="40"/>
      <c r="B16" s="52" t="s">
        <v>28</v>
      </c>
      <c r="C16" s="52"/>
      <c r="D16" s="36" t="s">
        <v>168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32.099999999999994</v>
      </c>
      <c r="I17" s="51">
        <f>SUM(J17)-1.6</f>
        <v>33.699999999999996</v>
      </c>
      <c r="J17" s="39">
        <v>35.299999999999997</v>
      </c>
      <c r="K17" s="32">
        <f>SUM(J17)+1.6</f>
        <v>36.9</v>
      </c>
      <c r="L17" s="32">
        <f>SUM(K17)+1.6</f>
        <v>38.5</v>
      </c>
      <c r="M17" s="33">
        <f>SUM(L17)+1.6</f>
        <v>40.1</v>
      </c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56" t="s">
        <v>4</v>
      </c>
      <c r="C19" s="56"/>
      <c r="D19" s="55" t="s">
        <v>539</v>
      </c>
      <c r="E19" s="55"/>
      <c r="F19" s="55"/>
      <c r="G19" s="55"/>
      <c r="H19" s="51">
        <f>SUM(I19)-3.7</f>
        <v>35.099999999999994</v>
      </c>
      <c r="I19" s="51">
        <f>SUM(J19)-3.7</f>
        <v>38.799999999999997</v>
      </c>
      <c r="J19" s="60">
        <v>42.5</v>
      </c>
      <c r="K19" s="51">
        <f>SUM(J19)+3.8</f>
        <v>46.3</v>
      </c>
      <c r="L19" s="51">
        <f>SUM(K19)+3.8</f>
        <v>50.099999999999994</v>
      </c>
      <c r="M19" s="61">
        <f>SUM(L19)+3.8</f>
        <v>53.899999999999991</v>
      </c>
    </row>
    <row r="20" spans="1:13" s="1" customFormat="1" ht="14.1" customHeight="1">
      <c r="A20" s="40"/>
      <c r="B20" s="52" t="s">
        <v>730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/>
      <c r="I21" s="51"/>
      <c r="J21" s="39"/>
      <c r="K21" s="32"/>
      <c r="L21" s="32"/>
      <c r="M21" s="33"/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3"/>
    </row>
    <row r="23" spans="1:13" s="1" customFormat="1" ht="14.1" customHeight="1">
      <c r="A23" s="40">
        <v>11</v>
      </c>
      <c r="B23" s="49" t="s">
        <v>519</v>
      </c>
      <c r="C23" s="50"/>
      <c r="D23" s="55"/>
      <c r="E23" s="55"/>
      <c r="F23" s="55"/>
      <c r="G23" s="55"/>
      <c r="H23" s="51">
        <f>SUM(I23)-0.6</f>
        <v>14.8</v>
      </c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33">
        <f>SUM(L23)+0.6</f>
        <v>17.800000000000004</v>
      </c>
    </row>
    <row r="24" spans="1:13" s="1" customFormat="1" ht="14.1" customHeight="1">
      <c r="A24" s="40"/>
      <c r="B24" s="52" t="s">
        <v>520</v>
      </c>
      <c r="C24" s="52"/>
      <c r="D24" s="36" t="s">
        <v>518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199</v>
      </c>
      <c r="C25" s="50"/>
      <c r="D25" s="55"/>
      <c r="E25" s="55"/>
      <c r="F25" s="55"/>
      <c r="G25" s="55"/>
      <c r="H25" s="47">
        <f>SUM(I25)-3.1</f>
        <v>36.099999999999994</v>
      </c>
      <c r="I25" s="47">
        <f>SUM(J25)-3.1</f>
        <v>39.199999999999996</v>
      </c>
      <c r="J25" s="21">
        <v>42.3</v>
      </c>
      <c r="K25" s="23">
        <f>SUM(J25)+3.1</f>
        <v>45.4</v>
      </c>
      <c r="L25" s="23">
        <f>SUM(K25)+3.1</f>
        <v>48.5</v>
      </c>
      <c r="M25" s="25">
        <f>SUM(L25)+3.1</f>
        <v>51.6</v>
      </c>
    </row>
    <row r="26" spans="1:13" s="1" customFormat="1" ht="14.1" customHeight="1">
      <c r="A26" s="40"/>
      <c r="B26" s="52" t="s">
        <v>200</v>
      </c>
      <c r="C26" s="52"/>
      <c r="D26" s="36" t="s">
        <v>537</v>
      </c>
      <c r="E26" s="37"/>
      <c r="F26" s="37"/>
      <c r="G26" s="38"/>
      <c r="H26" s="23"/>
      <c r="I26" s="23"/>
      <c r="J26" s="39"/>
      <c r="K26" s="32"/>
      <c r="L26" s="32"/>
      <c r="M26" s="33"/>
    </row>
    <row r="27" spans="1:13" s="1" customFormat="1" ht="14.1" customHeight="1">
      <c r="A27" s="40">
        <v>13</v>
      </c>
      <c r="B27" s="49" t="s">
        <v>201</v>
      </c>
      <c r="C27" s="50"/>
      <c r="D27" s="55"/>
      <c r="E27" s="55"/>
      <c r="F27" s="55"/>
      <c r="G27" s="55"/>
      <c r="H27" s="47">
        <f>SUM(I27)-0.9</f>
        <v>10.899999999999999</v>
      </c>
      <c r="I27" s="47">
        <f>SUM(J27)-0.9</f>
        <v>11.799999999999999</v>
      </c>
      <c r="J27" s="21">
        <v>12.7</v>
      </c>
      <c r="K27" s="23">
        <f>SUM(J27)+0.9</f>
        <v>13.6</v>
      </c>
      <c r="L27" s="23">
        <f>SUM(K27)+0.9</f>
        <v>14.5</v>
      </c>
      <c r="M27" s="25">
        <f>SUM(L27)+0.9</f>
        <v>15.4</v>
      </c>
    </row>
    <row r="28" spans="1:13" s="1" customFormat="1" ht="14.1" customHeight="1">
      <c r="A28" s="40"/>
      <c r="B28" s="52" t="s">
        <v>196</v>
      </c>
      <c r="C28" s="52"/>
      <c r="D28" s="36"/>
      <c r="E28" s="37"/>
      <c r="F28" s="37"/>
      <c r="G28" s="38"/>
      <c r="H28" s="23"/>
      <c r="I28" s="23"/>
      <c r="J28" s="39"/>
      <c r="K28" s="32"/>
      <c r="L28" s="32"/>
      <c r="M28" s="33"/>
    </row>
    <row r="29" spans="1:13" s="1" customFormat="1" ht="14.1" customHeight="1">
      <c r="A29" s="40">
        <v>14</v>
      </c>
      <c r="B29" s="49" t="s">
        <v>202</v>
      </c>
      <c r="C29" s="50"/>
      <c r="D29" s="55"/>
      <c r="E29" s="55"/>
      <c r="F29" s="55"/>
      <c r="G29" s="55"/>
      <c r="H29" s="47">
        <f>SUM(I29)-1</f>
        <v>11.6</v>
      </c>
      <c r="I29" s="47">
        <f>SUM(J29)-1</f>
        <v>12.6</v>
      </c>
      <c r="J29" s="21">
        <v>13.6</v>
      </c>
      <c r="K29" s="23">
        <f>SUM(J29)+1</f>
        <v>14.6</v>
      </c>
      <c r="L29" s="23">
        <f>SUM(K29)+1</f>
        <v>15.6</v>
      </c>
      <c r="M29" s="25">
        <f>SUM(L29)+1</f>
        <v>16.600000000000001</v>
      </c>
    </row>
    <row r="30" spans="1:13" s="1" customFormat="1" ht="14.1" customHeight="1">
      <c r="A30" s="40"/>
      <c r="B30" s="52" t="s">
        <v>197</v>
      </c>
      <c r="C30" s="52"/>
      <c r="D30" s="36" t="s">
        <v>190</v>
      </c>
      <c r="E30" s="37"/>
      <c r="F30" s="37"/>
      <c r="G30" s="38"/>
      <c r="H30" s="23"/>
      <c r="I30" s="23"/>
      <c r="J30" s="39"/>
      <c r="K30" s="32"/>
      <c r="L30" s="32"/>
      <c r="M30" s="33"/>
    </row>
    <row r="31" spans="1:13" s="1" customFormat="1" ht="14.1" customHeight="1">
      <c r="A31" s="40">
        <v>15</v>
      </c>
      <c r="B31" s="49" t="s">
        <v>203</v>
      </c>
      <c r="C31" s="50"/>
      <c r="D31" s="55"/>
      <c r="E31" s="55"/>
      <c r="F31" s="55"/>
      <c r="G31" s="55"/>
      <c r="H31" s="47">
        <f>SUM(I31)-1.2</f>
        <v>13.600000000000001</v>
      </c>
      <c r="I31" s="47">
        <f>SUM(J31)-1.2</f>
        <v>14.8</v>
      </c>
      <c r="J31" s="21">
        <v>16</v>
      </c>
      <c r="K31" s="23">
        <f>SUM(J31)+1.2</f>
        <v>17.2</v>
      </c>
      <c r="L31" s="23">
        <f>SUM(K31)+1.2</f>
        <v>18.399999999999999</v>
      </c>
      <c r="M31" s="25">
        <f>SUM(L31)+1.2</f>
        <v>19.599999999999998</v>
      </c>
    </row>
    <row r="32" spans="1:13" s="1" customFormat="1" ht="13.5" customHeight="1">
      <c r="A32" s="40"/>
      <c r="B32" s="52" t="s">
        <v>204</v>
      </c>
      <c r="C32" s="52"/>
      <c r="D32" s="36" t="s">
        <v>190</v>
      </c>
      <c r="E32" s="37"/>
      <c r="F32" s="37"/>
      <c r="G32" s="38"/>
      <c r="H32" s="23"/>
      <c r="I32" s="23"/>
      <c r="J32" s="39"/>
      <c r="K32" s="32"/>
      <c r="L32" s="32"/>
      <c r="M32" s="33"/>
    </row>
    <row r="33" spans="1:13" s="1" customFormat="1" ht="14.1" customHeight="1">
      <c r="A33" s="40">
        <v>16</v>
      </c>
      <c r="B33" s="49" t="s">
        <v>193</v>
      </c>
      <c r="C33" s="50"/>
      <c r="D33" s="44"/>
      <c r="E33" s="45"/>
      <c r="F33" s="45"/>
      <c r="G33" s="46"/>
      <c r="H33" s="51">
        <f>SUM(I33)-2.4</f>
        <v>26.200000000000003</v>
      </c>
      <c r="I33" s="51">
        <f>SUM(J33)-2.4</f>
        <v>28.6</v>
      </c>
      <c r="J33" s="39">
        <v>31</v>
      </c>
      <c r="K33" s="32">
        <f>SUM(J33)+2.4</f>
        <v>33.4</v>
      </c>
      <c r="L33" s="32">
        <f>SUM(K33)+2.4</f>
        <v>35.799999999999997</v>
      </c>
      <c r="M33" s="33">
        <f>SUM(L33)+2.4</f>
        <v>38.199999999999996</v>
      </c>
    </row>
    <row r="34" spans="1:13" s="1" customFormat="1" ht="14.1" customHeight="1">
      <c r="A34" s="40"/>
      <c r="B34" s="34" t="s">
        <v>137</v>
      </c>
      <c r="C34" s="35"/>
      <c r="D34" s="36" t="s">
        <v>521</v>
      </c>
      <c r="E34" s="37"/>
      <c r="F34" s="37"/>
      <c r="G34" s="38"/>
      <c r="H34" s="23"/>
      <c r="I34" s="23"/>
      <c r="J34" s="39"/>
      <c r="K34" s="32"/>
      <c r="L34" s="32"/>
      <c r="M34" s="33"/>
    </row>
    <row r="35" spans="1:13" s="1" customFormat="1" ht="14.1" customHeight="1">
      <c r="A35" s="40">
        <v>17</v>
      </c>
      <c r="B35" s="42"/>
      <c r="C35" s="43"/>
      <c r="D35" s="44"/>
      <c r="E35" s="45"/>
      <c r="F35" s="45"/>
      <c r="G35" s="46"/>
      <c r="H35" s="47"/>
      <c r="I35" s="47"/>
      <c r="J35" s="21"/>
      <c r="K35" s="23"/>
      <c r="L35" s="23"/>
      <c r="M35" s="25"/>
    </row>
    <row r="36" spans="1:13" s="1" customFormat="1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2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90"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A7:A8"/>
    <mergeCell ref="B7:C7"/>
    <mergeCell ref="D7:G7"/>
    <mergeCell ref="H7:H8"/>
    <mergeCell ref="I7:I8"/>
    <mergeCell ref="D6:G6"/>
    <mergeCell ref="J7:J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I9:I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K19:K20"/>
    <mergeCell ref="L19:L20"/>
    <mergeCell ref="M19:M20"/>
    <mergeCell ref="B20:C20"/>
    <mergeCell ref="D20:G20"/>
    <mergeCell ref="A21:A22"/>
    <mergeCell ref="B21:C21"/>
    <mergeCell ref="D21:G21"/>
    <mergeCell ref="H21:H22"/>
    <mergeCell ref="I21:I22"/>
    <mergeCell ref="J21:J22"/>
    <mergeCell ref="K21:K22"/>
    <mergeCell ref="L21:L22"/>
    <mergeCell ref="M21:M22"/>
    <mergeCell ref="B22:C22"/>
    <mergeCell ref="D22:G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27:A28"/>
    <mergeCell ref="B27:C27"/>
    <mergeCell ref="D27:G27"/>
    <mergeCell ref="H27:H28"/>
    <mergeCell ref="I27:I28"/>
    <mergeCell ref="A31:A32"/>
    <mergeCell ref="B31:C31"/>
    <mergeCell ref="I33:I34"/>
    <mergeCell ref="K25:K26"/>
    <mergeCell ref="A29:A30"/>
    <mergeCell ref="B29:C29"/>
    <mergeCell ref="D29:G29"/>
    <mergeCell ref="H29:H30"/>
    <mergeCell ref="I29:I30"/>
    <mergeCell ref="K27:K28"/>
    <mergeCell ref="J31:J32"/>
    <mergeCell ref="K31:K32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L31:L32"/>
    <mergeCell ref="M31:M32"/>
    <mergeCell ref="B32:C32"/>
    <mergeCell ref="D32:G32"/>
    <mergeCell ref="D31:G31"/>
    <mergeCell ref="H31:H32"/>
    <mergeCell ref="I31:I32"/>
    <mergeCell ref="L27:L28"/>
    <mergeCell ref="M27:M28"/>
    <mergeCell ref="B28:C28"/>
    <mergeCell ref="D28:G28"/>
    <mergeCell ref="J27:J28"/>
    <mergeCell ref="K29:K30"/>
    <mergeCell ref="L29:L30"/>
    <mergeCell ref="M29:M30"/>
    <mergeCell ref="B30:C30"/>
    <mergeCell ref="D30:G30"/>
    <mergeCell ref="J29:J3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44AE-F1B8-4517-BA68-CA907A136380}">
  <sheetPr>
    <tabColor theme="5"/>
    <pageSetUpPr fitToPage="1"/>
  </sheetPr>
  <dimension ref="A1:Q57"/>
  <sheetViews>
    <sheetView zoomScale="110" zoomScaleNormal="110" workbookViewId="0">
      <selection activeCell="G35" sqref="G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544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70">
        <f>SUM(I3)-4.9</f>
        <v>57.7</v>
      </c>
      <c r="I3" s="70">
        <f>SUM(J3)-4.9</f>
        <v>62.6</v>
      </c>
      <c r="J3" s="71">
        <v>67.5</v>
      </c>
      <c r="K3" s="70">
        <f>SUM(J3)+4.9</f>
        <v>72.400000000000006</v>
      </c>
      <c r="L3" s="70">
        <f>SUM(K3)+4.9</f>
        <v>77.300000000000011</v>
      </c>
      <c r="M3" s="72">
        <f>SUM(L3)+4.9</f>
        <v>82.200000000000017</v>
      </c>
    </row>
    <row r="4" spans="1:17" s="1" customFormat="1" ht="14.1" customHeight="1">
      <c r="A4" s="40"/>
      <c r="B4" s="52" t="s">
        <v>282</v>
      </c>
      <c r="C4" s="52"/>
      <c r="D4" s="36" t="s">
        <v>543</v>
      </c>
      <c r="E4" s="37"/>
      <c r="F4" s="37"/>
      <c r="G4" s="37"/>
      <c r="H4" s="23"/>
      <c r="I4" s="23"/>
      <c r="J4" s="21"/>
      <c r="K4" s="23"/>
      <c r="L4" s="23"/>
      <c r="M4" s="2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20.799999999999997</v>
      </c>
      <c r="I5" s="51">
        <f>SUM(J5)-1.6</f>
        <v>22.4</v>
      </c>
      <c r="J5" s="60">
        <v>24</v>
      </c>
      <c r="K5" s="51">
        <f>SUM(J5)+1.4</f>
        <v>25.4</v>
      </c>
      <c r="L5" s="51">
        <f>SUM(K5)+1.4</f>
        <v>26.799999999999997</v>
      </c>
      <c r="M5" s="61">
        <f>SUM(L5)+1.4</f>
        <v>28.199999999999996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28.6</v>
      </c>
      <c r="I7" s="51">
        <f>SUM(J7)-2.25</f>
        <v>30.85</v>
      </c>
      <c r="J7" s="60">
        <v>33.1</v>
      </c>
      <c r="K7" s="51">
        <f>SUM(J7)+2</f>
        <v>35.1</v>
      </c>
      <c r="L7" s="51">
        <f>SUM(K7)+2</f>
        <v>37.1</v>
      </c>
      <c r="M7" s="61">
        <f>SUM(L7)+2</f>
        <v>39.1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7" s="1" customFormat="1" ht="14.1" customHeight="1" thickBot="1">
      <c r="A9" s="40">
        <v>4</v>
      </c>
      <c r="B9" s="56" t="s">
        <v>422</v>
      </c>
      <c r="C9" s="56"/>
      <c r="D9" s="55" t="s">
        <v>8</v>
      </c>
      <c r="E9" s="55"/>
      <c r="F9" s="55"/>
      <c r="G9" s="55"/>
      <c r="H9" s="51">
        <f>SUM(I9)-2.1</f>
        <v>26.299999999999997</v>
      </c>
      <c r="I9" s="51">
        <f>SUM(J9)-2.1</f>
        <v>28.4</v>
      </c>
      <c r="J9" s="60">
        <v>30.5</v>
      </c>
      <c r="K9" s="51">
        <f>SUM(J9)+1.9</f>
        <v>32.4</v>
      </c>
      <c r="L9" s="51">
        <f>SUM(K9)+1.9</f>
        <v>34.299999999999997</v>
      </c>
      <c r="M9" s="61">
        <f>SUM(L9)+1.9</f>
        <v>36.199999999999996</v>
      </c>
    </row>
    <row r="10" spans="1:17" s="1" customFormat="1" ht="14.1" customHeight="1" thickTop="1">
      <c r="A10" s="40"/>
      <c r="B10" s="52" t="s">
        <v>423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5"/>
      <c r="Q10" s="11" t="s">
        <v>534</v>
      </c>
    </row>
    <row r="11" spans="1:17" s="1" customFormat="1" ht="14.1" customHeight="1">
      <c r="A11" s="40">
        <v>5</v>
      </c>
      <c r="B11" s="56" t="s">
        <v>281</v>
      </c>
      <c r="C11" s="56"/>
      <c r="D11" s="55"/>
      <c r="E11" s="55"/>
      <c r="F11" s="55"/>
      <c r="G11" s="55"/>
      <c r="H11" s="51">
        <f>SUM(I11)-1.9</f>
        <v>20.200000000000003</v>
      </c>
      <c r="I11" s="51">
        <f>SUM(J11)-1.9</f>
        <v>22.1</v>
      </c>
      <c r="J11" s="60">
        <v>24</v>
      </c>
      <c r="K11" s="51">
        <f>SUM(J11)+1.9</f>
        <v>25.9</v>
      </c>
      <c r="L11" s="51">
        <f>SUM(K11)+1.9</f>
        <v>27.799999999999997</v>
      </c>
      <c r="M11" s="61">
        <f>SUM(L11)+1.9</f>
        <v>29.699999999999996</v>
      </c>
      <c r="Q11" s="12">
        <f>SUM(H9+I9+J9+K9+L9)</f>
        <v>151.89999999999998</v>
      </c>
    </row>
    <row r="12" spans="1:17" s="1" customFormat="1" ht="14.1" customHeight="1" thickBot="1">
      <c r="A12" s="40"/>
      <c r="B12" s="52" t="s">
        <v>283</v>
      </c>
      <c r="C12" s="52"/>
      <c r="D12" s="36" t="s">
        <v>284</v>
      </c>
      <c r="E12" s="37"/>
      <c r="F12" s="37"/>
      <c r="G12" s="38"/>
      <c r="H12" s="23"/>
      <c r="I12" s="23"/>
      <c r="J12" s="21"/>
      <c r="K12" s="23"/>
      <c r="L12" s="23"/>
      <c r="M12" s="25"/>
      <c r="Q12" s="13">
        <f>SUM(Q11/91.44/5*1.08)</f>
        <v>0.35881889763779523</v>
      </c>
    </row>
    <row r="13" spans="1:17" s="1" customFormat="1" ht="14.1" customHeight="1" thickTop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SUM(I13)-0.9</f>
        <v>14.5</v>
      </c>
      <c r="I13" s="51">
        <f>SUM(J13)-0.9</f>
        <v>15.4</v>
      </c>
      <c r="J13" s="39">
        <v>16.3</v>
      </c>
      <c r="K13" s="32">
        <f>SUM(J13)+0.9</f>
        <v>17.2</v>
      </c>
      <c r="L13" s="32">
        <f>SUM(K13)+0.9</f>
        <v>18.099999999999998</v>
      </c>
      <c r="M13" s="33">
        <f>SUM(L13)+0.9</f>
        <v>18.999999999999996</v>
      </c>
      <c r="Q13" s="12" t="s">
        <v>207</v>
      </c>
    </row>
    <row r="14" spans="1:17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32"/>
      <c r="L14" s="32"/>
      <c r="M14" s="33"/>
      <c r="Q14" s="12">
        <f>SUM(H25+H25+I25+I25+J25+J25+K25+K25+L25+L25)</f>
        <v>160</v>
      </c>
    </row>
    <row r="15" spans="1:17" s="1" customFormat="1" ht="14.1" customHeight="1" thickBo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11.4</v>
      </c>
      <c r="I15" s="51">
        <f>SUM(J15)-0.6</f>
        <v>12</v>
      </c>
      <c r="J15" s="39">
        <v>12.6</v>
      </c>
      <c r="K15" s="32">
        <f>SUM(J15)+0.6</f>
        <v>13.2</v>
      </c>
      <c r="L15" s="32">
        <f>SUM(K15)+0.6</f>
        <v>13.799999999999999</v>
      </c>
      <c r="M15" s="33">
        <f>SUM(L15)+0.6</f>
        <v>14.399999999999999</v>
      </c>
      <c r="Q15" s="13">
        <f>SUM(Q14/5/91.44*1.08)</f>
        <v>0.37795275590551186</v>
      </c>
    </row>
    <row r="16" spans="1:17" s="1" customFormat="1" ht="14.1" customHeight="1" thickTop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5.7</v>
      </c>
      <c r="I17" s="51">
        <f>SUM(J17)-0.3</f>
        <v>6</v>
      </c>
      <c r="J17" s="39">
        <v>6.3</v>
      </c>
      <c r="K17" s="32">
        <f>SUM(J17)+0.3</f>
        <v>6.6</v>
      </c>
      <c r="L17" s="32">
        <f>SUM(K17)+0.3</f>
        <v>6.8999999999999995</v>
      </c>
      <c r="M17" s="33">
        <f>SUM(L17)+0.3</f>
        <v>7.1999999999999993</v>
      </c>
    </row>
    <row r="18" spans="1:13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49" t="s">
        <v>74</v>
      </c>
      <c r="C19" s="50"/>
      <c r="D19" s="57" t="s">
        <v>75</v>
      </c>
      <c r="E19" s="58"/>
      <c r="F19" s="58"/>
      <c r="G19" s="59"/>
      <c r="H19" s="51">
        <f>SUM(I19)-1.6</f>
        <v>31</v>
      </c>
      <c r="I19" s="51">
        <f>SUM(J19)-1.6</f>
        <v>32.6</v>
      </c>
      <c r="J19" s="39">
        <v>34.200000000000003</v>
      </c>
      <c r="K19" s="32">
        <f>SUM(J19)+1.6</f>
        <v>35.800000000000004</v>
      </c>
      <c r="L19" s="32">
        <f>SUM(K19)+1.6</f>
        <v>37.400000000000006</v>
      </c>
      <c r="M19" s="33">
        <f>SUM(L19)+1.6</f>
        <v>39.000000000000007</v>
      </c>
    </row>
    <row r="20" spans="1:13" s="1" customFormat="1" ht="14.1" customHeight="1">
      <c r="A20" s="40"/>
      <c r="B20" s="52" t="s">
        <v>35</v>
      </c>
      <c r="C20" s="52"/>
      <c r="D20" s="36" t="s">
        <v>85</v>
      </c>
      <c r="E20" s="37"/>
      <c r="F20" s="37"/>
      <c r="G20" s="38"/>
      <c r="H20" s="23"/>
      <c r="I20" s="23"/>
      <c r="J20" s="39"/>
      <c r="K20" s="32"/>
      <c r="L20" s="32"/>
      <c r="M20" s="33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>
        <f>SUM(I21)-3.7</f>
        <v>34.099999999999994</v>
      </c>
      <c r="I21" s="51">
        <f>SUM(J21)-3.7</f>
        <v>37.799999999999997</v>
      </c>
      <c r="J21" s="60">
        <v>41.5</v>
      </c>
      <c r="K21" s="51">
        <f>SUM(J21)+3.8</f>
        <v>45.3</v>
      </c>
      <c r="L21" s="51">
        <f>SUM(K21)+3.8</f>
        <v>49.099999999999994</v>
      </c>
      <c r="M21" s="61">
        <f>SUM(L21)+3.7</f>
        <v>52.8</v>
      </c>
    </row>
    <row r="22" spans="1:13" s="1" customFormat="1" ht="14.1" customHeight="1">
      <c r="A22" s="40"/>
      <c r="B22" s="52" t="s">
        <v>542</v>
      </c>
      <c r="C22" s="52"/>
      <c r="D22" s="36" t="s">
        <v>50</v>
      </c>
      <c r="E22" s="37"/>
      <c r="F22" s="37"/>
      <c r="G22" s="38"/>
      <c r="H22" s="23"/>
      <c r="I22" s="23"/>
      <c r="J22" s="21"/>
      <c r="K22" s="23"/>
      <c r="L22" s="23"/>
      <c r="M22" s="25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/>
      <c r="I23" s="51"/>
      <c r="J23" s="39"/>
      <c r="K23" s="32"/>
      <c r="L23" s="32"/>
      <c r="M23" s="33"/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519</v>
      </c>
      <c r="C25" s="50"/>
      <c r="D25" s="55"/>
      <c r="E25" s="55"/>
      <c r="F25" s="55"/>
      <c r="G25" s="55"/>
      <c r="H25" s="51">
        <f>SUM(I25)-0.6</f>
        <v>14.8</v>
      </c>
      <c r="I25" s="51">
        <f>SUM(J25)-0.6</f>
        <v>15.4</v>
      </c>
      <c r="J25" s="39">
        <v>16</v>
      </c>
      <c r="K25" s="32">
        <f>SUM(J25)+0.6</f>
        <v>16.600000000000001</v>
      </c>
      <c r="L25" s="32">
        <f>SUM(K25)+0.6</f>
        <v>17.200000000000003</v>
      </c>
      <c r="M25" s="33">
        <f>SUM(L25)+0.6</f>
        <v>17.800000000000004</v>
      </c>
    </row>
    <row r="26" spans="1:13" s="1" customFormat="1" ht="14.1" customHeight="1">
      <c r="A26" s="40"/>
      <c r="B26" s="52" t="s">
        <v>520</v>
      </c>
      <c r="C26" s="52"/>
      <c r="D26" s="36" t="s">
        <v>518</v>
      </c>
      <c r="E26" s="37"/>
      <c r="F26" s="37"/>
      <c r="G26" s="38"/>
      <c r="H26" s="23"/>
      <c r="I26" s="23"/>
      <c r="J26" s="39"/>
      <c r="K26" s="32"/>
      <c r="L26" s="32"/>
      <c r="M26" s="33"/>
    </row>
    <row r="27" spans="1:13" s="1" customFormat="1" ht="14.1" customHeight="1">
      <c r="A27" s="40">
        <v>13</v>
      </c>
      <c r="B27" s="53" t="s">
        <v>285</v>
      </c>
      <c r="C27" s="54"/>
      <c r="D27" s="106" t="s">
        <v>286</v>
      </c>
      <c r="E27" s="106"/>
      <c r="F27" s="106"/>
      <c r="G27" s="106"/>
      <c r="H27" s="47">
        <f>SUM(I27)-3</f>
        <v>37.5</v>
      </c>
      <c r="I27" s="47">
        <f>SUM(J27)-3</f>
        <v>40.5</v>
      </c>
      <c r="J27" s="21">
        <v>43.5</v>
      </c>
      <c r="K27" s="23">
        <f>SUM(J27)+3</f>
        <v>46.5</v>
      </c>
      <c r="L27" s="23">
        <f>SUM(K27)+3</f>
        <v>49.5</v>
      </c>
      <c r="M27" s="25">
        <f>SUM(L27)+3</f>
        <v>52.5</v>
      </c>
    </row>
    <row r="28" spans="1:13" s="1" customFormat="1" ht="14.1" customHeight="1">
      <c r="A28" s="40"/>
      <c r="B28" s="34" t="s">
        <v>118</v>
      </c>
      <c r="C28" s="35"/>
      <c r="D28" s="36" t="s">
        <v>541</v>
      </c>
      <c r="E28" s="37"/>
      <c r="F28" s="37"/>
      <c r="G28" s="38"/>
      <c r="H28" s="23"/>
      <c r="I28" s="23"/>
      <c r="J28" s="39"/>
      <c r="K28" s="32"/>
      <c r="L28" s="32"/>
      <c r="M28" s="33"/>
    </row>
    <row r="29" spans="1:13" s="1" customFormat="1" ht="14.1" customHeight="1">
      <c r="A29" s="40">
        <v>14</v>
      </c>
      <c r="B29" s="49" t="s">
        <v>193</v>
      </c>
      <c r="C29" s="50"/>
      <c r="D29" s="44"/>
      <c r="E29" s="45"/>
      <c r="F29" s="45"/>
      <c r="G29" s="46"/>
      <c r="H29" s="51">
        <f>SUM(I29)-2.4</f>
        <v>27.5</v>
      </c>
      <c r="I29" s="51">
        <f>SUM(J29)-2.4</f>
        <v>29.9</v>
      </c>
      <c r="J29" s="39">
        <v>32.299999999999997</v>
      </c>
      <c r="K29" s="32">
        <f>SUM(J29)+2.4</f>
        <v>34.699999999999996</v>
      </c>
      <c r="L29" s="32">
        <f>SUM(K29)+2.4</f>
        <v>37.099999999999994</v>
      </c>
      <c r="M29" s="33">
        <f>SUM(L29)+0.3</f>
        <v>37.399999999999991</v>
      </c>
    </row>
    <row r="30" spans="1:13" s="1" customFormat="1" ht="14.1" customHeight="1">
      <c r="A30" s="40"/>
      <c r="B30" s="34" t="s">
        <v>137</v>
      </c>
      <c r="C30" s="35"/>
      <c r="D30" s="36" t="s">
        <v>521</v>
      </c>
      <c r="E30" s="37"/>
      <c r="F30" s="37"/>
      <c r="G30" s="38"/>
      <c r="H30" s="23"/>
      <c r="I30" s="23"/>
      <c r="J30" s="39"/>
      <c r="K30" s="32"/>
      <c r="L30" s="32"/>
      <c r="M30" s="33"/>
    </row>
    <row r="31" spans="1:13" s="1" customFormat="1" ht="14.1" customHeight="1">
      <c r="A31" s="40">
        <v>15</v>
      </c>
      <c r="B31" s="49"/>
      <c r="C31" s="50"/>
      <c r="D31" s="44"/>
      <c r="E31" s="45"/>
      <c r="F31" s="45"/>
      <c r="G31" s="46"/>
      <c r="H31" s="51"/>
      <c r="I31" s="51"/>
      <c r="J31" s="39"/>
      <c r="K31" s="32"/>
      <c r="L31" s="32"/>
      <c r="M31" s="25"/>
    </row>
    <row r="32" spans="1:13" s="1" customFormat="1" ht="13.5" customHeight="1" thickBot="1">
      <c r="A32" s="41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4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4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4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customFormat="1" ht="14.1" customHeight="1"/>
    <row r="50" customFormat="1" ht="14.1" customHeight="1"/>
    <row r="51" customFormat="1" ht="14.1" customHeight="1"/>
    <row r="52" customFormat="1" ht="14.1" customHeight="1"/>
    <row r="53" customFormat="1" ht="14.1" customHeight="1"/>
    <row r="54" customFormat="1" ht="14.1" customHeight="1"/>
    <row r="55" customFormat="1" ht="14.1" customHeight="1"/>
    <row r="56" customFormat="1" ht="14.1" customHeight="1"/>
    <row r="57" customFormat="1" ht="14.1" customHeight="1"/>
  </sheetData>
  <mergeCells count="168"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A7:A8"/>
    <mergeCell ref="B7:C7"/>
    <mergeCell ref="D7:G7"/>
    <mergeCell ref="H7:H8"/>
    <mergeCell ref="I7:I8"/>
    <mergeCell ref="D6:G6"/>
    <mergeCell ref="J7:J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I9:I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B24:C24"/>
    <mergeCell ref="D24:G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5:K26"/>
    <mergeCell ref="L25:L26"/>
    <mergeCell ref="M25:M26"/>
    <mergeCell ref="B26:C26"/>
    <mergeCell ref="D26:G26"/>
    <mergeCell ref="J25:J26"/>
    <mergeCell ref="J27:J28"/>
    <mergeCell ref="K27:K28"/>
    <mergeCell ref="L27:L28"/>
    <mergeCell ref="M27:M28"/>
    <mergeCell ref="B28:C28"/>
    <mergeCell ref="D28:G28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9:K30"/>
    <mergeCell ref="L29:L30"/>
    <mergeCell ref="M29:M30"/>
    <mergeCell ref="B30:C30"/>
    <mergeCell ref="D30:G30"/>
    <mergeCell ref="J29:J30"/>
    <mergeCell ref="J31:J32"/>
    <mergeCell ref="K31:K32"/>
    <mergeCell ref="L31:L32"/>
    <mergeCell ref="M31:M32"/>
    <mergeCell ref="B32:C32"/>
    <mergeCell ref="D32:G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8D50-5F18-46ED-B56B-B8E268BD8336}">
  <sheetPr>
    <tabColor theme="5"/>
    <pageSetUpPr fitToPage="1"/>
  </sheetPr>
  <dimension ref="A1:P57"/>
  <sheetViews>
    <sheetView zoomScale="110" zoomScaleNormal="110" workbookViewId="0">
      <selection activeCell="B3" sqref="B3:G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62" t="s">
        <v>446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6" s="1" customFormat="1" ht="14.1" customHeight="1">
      <c r="A3" s="83">
        <v>1</v>
      </c>
      <c r="B3" s="101" t="s">
        <v>41</v>
      </c>
      <c r="C3" s="101"/>
      <c r="D3" s="102" t="s">
        <v>147</v>
      </c>
      <c r="E3" s="102"/>
      <c r="F3" s="102"/>
      <c r="G3" s="103"/>
      <c r="H3" s="70">
        <f>SUM(I3)-5</f>
        <v>55</v>
      </c>
      <c r="I3" s="70">
        <f>SUM(J3)-5</f>
        <v>60</v>
      </c>
      <c r="J3" s="71">
        <v>65</v>
      </c>
      <c r="K3" s="70">
        <f>SUM(J3)+5</f>
        <v>70</v>
      </c>
      <c r="L3" s="70">
        <f>SUM(K3)+5</f>
        <v>75</v>
      </c>
      <c r="M3" s="84">
        <f>SUM(L3)+5</f>
        <v>80</v>
      </c>
    </row>
    <row r="4" spans="1:16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6" s="1" customFormat="1" ht="14.1" customHeight="1">
      <c r="A5" s="73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21.799999999999997</v>
      </c>
      <c r="I5" s="51">
        <f>SUM(J5)-1.6</f>
        <v>23.4</v>
      </c>
      <c r="J5" s="60">
        <v>25</v>
      </c>
      <c r="K5" s="51">
        <f>SUM(J5)+1.4</f>
        <v>26.4</v>
      </c>
      <c r="L5" s="51">
        <f>SUM(K5)+1.4</f>
        <v>27.799999999999997</v>
      </c>
      <c r="M5" s="75">
        <f>SUM(L5)+1.4</f>
        <v>29.199999999999996</v>
      </c>
    </row>
    <row r="6" spans="1:16" s="1" customFormat="1" ht="14.1" customHeight="1">
      <c r="A6" s="66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6" s="1" customFormat="1" ht="14.1" customHeight="1">
      <c r="A7" s="73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27</v>
      </c>
      <c r="I7" s="51">
        <f>SUM(J7)-2</f>
        <v>29</v>
      </c>
      <c r="J7" s="60">
        <v>31</v>
      </c>
      <c r="K7" s="51">
        <f>SUM(J7)+1.8</f>
        <v>32.799999999999997</v>
      </c>
      <c r="L7" s="51">
        <f>SUM(K7)+1.8</f>
        <v>34.599999999999994</v>
      </c>
      <c r="M7" s="75">
        <f>SUM(L7)+1.8</f>
        <v>36.399999999999991</v>
      </c>
    </row>
    <row r="8" spans="1:16" s="1" customFormat="1" ht="14.1" customHeight="1">
      <c r="A8" s="66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6" s="1" customFormat="1" ht="14.1" customHeight="1">
      <c r="A9" s="73">
        <v>4</v>
      </c>
      <c r="B9" s="56" t="s">
        <v>355</v>
      </c>
      <c r="C9" s="56"/>
      <c r="D9" s="68"/>
      <c r="E9" s="68"/>
      <c r="F9" s="68"/>
      <c r="G9" s="68"/>
      <c r="H9" s="51">
        <f>SUM(I9)-3</f>
        <v>52</v>
      </c>
      <c r="I9" s="51">
        <f>SUM(J9)-3</f>
        <v>55</v>
      </c>
      <c r="J9" s="39">
        <v>58</v>
      </c>
      <c r="K9" s="32">
        <f>SUM(J9)+3</f>
        <v>61</v>
      </c>
      <c r="L9" s="32">
        <f>SUM(K9)+3</f>
        <v>64</v>
      </c>
      <c r="M9" s="82">
        <f>SUM(L9)+3</f>
        <v>67</v>
      </c>
    </row>
    <row r="10" spans="1:16" s="1" customFormat="1" ht="14.1" customHeight="1">
      <c r="A10" s="66"/>
      <c r="B10" s="52" t="s">
        <v>356</v>
      </c>
      <c r="C10" s="52"/>
      <c r="D10" s="36"/>
      <c r="E10" s="37"/>
      <c r="F10" s="37"/>
      <c r="G10" s="38"/>
      <c r="H10" s="23"/>
      <c r="I10" s="23"/>
      <c r="J10" s="39"/>
      <c r="K10" s="32"/>
      <c r="L10" s="32"/>
      <c r="M10" s="82"/>
    </row>
    <row r="11" spans="1:16" s="1" customFormat="1" ht="14.1" customHeight="1">
      <c r="A11" s="73">
        <v>5</v>
      </c>
      <c r="B11" s="49" t="s">
        <v>10</v>
      </c>
      <c r="C11" s="50"/>
      <c r="D11" s="57" t="s">
        <v>0</v>
      </c>
      <c r="E11" s="58"/>
      <c r="F11" s="58"/>
      <c r="G11" s="59"/>
      <c r="H11" s="51">
        <f>SUM(I11)-0.8</f>
        <v>12.299999999999999</v>
      </c>
      <c r="I11" s="51">
        <f>SUM(J11)-0.9</f>
        <v>13.1</v>
      </c>
      <c r="J11" s="39">
        <v>14</v>
      </c>
      <c r="K11" s="32">
        <f>SUM(J11)+0.9</f>
        <v>14.9</v>
      </c>
      <c r="L11" s="32">
        <f>SUM(K11)+0.9</f>
        <v>15.8</v>
      </c>
      <c r="M11" s="82">
        <f>SUM(L11)+0.9</f>
        <v>16.7</v>
      </c>
    </row>
    <row r="12" spans="1:16" s="1" customFormat="1" ht="14.1" customHeight="1">
      <c r="A12" s="66"/>
      <c r="B12" s="34" t="s">
        <v>26</v>
      </c>
      <c r="C12" s="35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6" s="1" customFormat="1" ht="14.1" customHeight="1">
      <c r="A13" s="73">
        <v>6</v>
      </c>
      <c r="B13" s="56" t="s">
        <v>1</v>
      </c>
      <c r="C13" s="56"/>
      <c r="D13" s="55" t="s">
        <v>243</v>
      </c>
      <c r="E13" s="55"/>
      <c r="F13" s="55"/>
      <c r="G13" s="55"/>
      <c r="H13" s="51">
        <f>SUM(I13)-0.6</f>
        <v>11.8</v>
      </c>
      <c r="I13" s="51">
        <f>SUM(J13)-0.6</f>
        <v>12.4</v>
      </c>
      <c r="J13" s="39">
        <v>13</v>
      </c>
      <c r="K13" s="32">
        <f>SUM(J13)+0.6</f>
        <v>13.6</v>
      </c>
      <c r="L13" s="32">
        <f>SUM(K13)+0.6</f>
        <v>14.2</v>
      </c>
      <c r="M13" s="82">
        <f>SUM(L13)+0.6</f>
        <v>14.799999999999999</v>
      </c>
    </row>
    <row r="14" spans="1:16" s="1" customFormat="1" ht="14.1" customHeight="1">
      <c r="A14" s="66"/>
      <c r="B14" s="52" t="s">
        <v>27</v>
      </c>
      <c r="C14" s="52"/>
      <c r="D14" s="36" t="s">
        <v>359</v>
      </c>
      <c r="E14" s="37"/>
      <c r="F14" s="37"/>
      <c r="G14" s="38"/>
      <c r="H14" s="23"/>
      <c r="I14" s="23"/>
      <c r="J14" s="39"/>
      <c r="K14" s="32"/>
      <c r="L14" s="32"/>
      <c r="M14" s="82"/>
      <c r="P14" s="1" t="s">
        <v>365</v>
      </c>
    </row>
    <row r="15" spans="1:16" s="1" customFormat="1" ht="14.1" customHeight="1">
      <c r="A15" s="73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5.4</v>
      </c>
      <c r="I15" s="51">
        <f>SUM(J15)-0.3</f>
        <v>5.7</v>
      </c>
      <c r="J15" s="39">
        <v>6</v>
      </c>
      <c r="K15" s="32">
        <f>SUM(J15)+0.3</f>
        <v>6.3</v>
      </c>
      <c r="L15" s="32">
        <f>SUM(K15)+0.3</f>
        <v>6.6</v>
      </c>
      <c r="M15" s="82">
        <f>SUM(L15)+0.3</f>
        <v>6.8999999999999995</v>
      </c>
      <c r="P15" s="1">
        <f>SUM(H9+I9+J9+K9+L9+M9)</f>
        <v>357</v>
      </c>
    </row>
    <row r="16" spans="1:16" s="1" customFormat="1" ht="14.1" customHeight="1">
      <c r="A16" s="66"/>
      <c r="B16" s="52" t="s">
        <v>28</v>
      </c>
      <c r="C16" s="52"/>
      <c r="D16" s="36" t="s">
        <v>358</v>
      </c>
      <c r="E16" s="37"/>
      <c r="F16" s="37"/>
      <c r="G16" s="38"/>
      <c r="H16" s="23"/>
      <c r="I16" s="23"/>
      <c r="J16" s="39"/>
      <c r="K16" s="32"/>
      <c r="L16" s="32"/>
      <c r="M16" s="82"/>
      <c r="P16" s="1">
        <f>SUM(P15/91.44/6*1.08)</f>
        <v>0.70275590551181111</v>
      </c>
    </row>
    <row r="17" spans="1:13" s="1" customFormat="1" ht="14.1" customHeight="1">
      <c r="A17" s="73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32.799999999999997</v>
      </c>
      <c r="I17" s="51">
        <f>SUM(J17)-1.6</f>
        <v>34.4</v>
      </c>
      <c r="J17" s="39">
        <v>36</v>
      </c>
      <c r="K17" s="32">
        <f>SUM(J17)+1.6</f>
        <v>37.6</v>
      </c>
      <c r="L17" s="32">
        <f>SUM(K17)+1.6</f>
        <v>39.200000000000003</v>
      </c>
      <c r="M17" s="82">
        <f>SUM(L17)+1.6</f>
        <v>40.800000000000004</v>
      </c>
    </row>
    <row r="18" spans="1:13" s="1" customFormat="1" ht="14.1" customHeight="1">
      <c r="A18" s="66"/>
      <c r="B18" s="52" t="s">
        <v>35</v>
      </c>
      <c r="C18" s="52"/>
      <c r="D18" s="36" t="s">
        <v>357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73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33.099999999999994</v>
      </c>
      <c r="I19" s="51">
        <f>SUM(J19)-3.7</f>
        <v>36.799999999999997</v>
      </c>
      <c r="J19" s="39">
        <v>40.5</v>
      </c>
      <c r="K19" s="32">
        <f>SUM(J19)+3.8</f>
        <v>44.3</v>
      </c>
      <c r="L19" s="32">
        <f>SUM(K19)+3.8</f>
        <v>48.099999999999994</v>
      </c>
      <c r="M19" s="82">
        <f>SUM(L19)+3.8</f>
        <v>51.899999999999991</v>
      </c>
    </row>
    <row r="20" spans="1:13" s="1" customFormat="1" ht="14.1" customHeight="1">
      <c r="A20" s="66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73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19.200000000000003</v>
      </c>
      <c r="I21" s="51">
        <f>SUM(J21)-1.4</f>
        <v>20.6</v>
      </c>
      <c r="J21" s="39">
        <v>22</v>
      </c>
      <c r="K21" s="32">
        <f>SUM(J21)+1.4</f>
        <v>23.4</v>
      </c>
      <c r="L21" s="32">
        <f>SUM(K21)+1.4</f>
        <v>24.799999999999997</v>
      </c>
      <c r="M21" s="82">
        <f>SUM(L21)+1.4</f>
        <v>26.199999999999996</v>
      </c>
    </row>
    <row r="22" spans="1:13" s="1" customFormat="1" ht="14.1" customHeight="1">
      <c r="A22" s="66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73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14.8</v>
      </c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82">
        <f>SUM(L23)+0.6</f>
        <v>17.800000000000004</v>
      </c>
    </row>
    <row r="24" spans="1:13" s="1" customFormat="1" ht="14.1" customHeight="1">
      <c r="A24" s="66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73">
        <v>12</v>
      </c>
      <c r="B25" s="56" t="s">
        <v>195</v>
      </c>
      <c r="C25" s="56"/>
      <c r="D25" s="57"/>
      <c r="E25" s="58"/>
      <c r="F25" s="58"/>
      <c r="G25" s="59"/>
      <c r="H25" s="51">
        <f>SUM(I25)-2</f>
        <v>22</v>
      </c>
      <c r="I25" s="51">
        <f>SUM(J25)-2</f>
        <v>24</v>
      </c>
      <c r="J25" s="39">
        <v>26</v>
      </c>
      <c r="K25" s="32">
        <f>SUM(J25)+2</f>
        <v>28</v>
      </c>
      <c r="L25" s="32">
        <f>SUM(K25)+2</f>
        <v>30</v>
      </c>
      <c r="M25" s="82">
        <f>SUM(L25)+2</f>
        <v>32</v>
      </c>
    </row>
    <row r="26" spans="1:13" s="1" customFormat="1" ht="14.1" customHeight="1">
      <c r="A26" s="66"/>
      <c r="B26" s="52" t="s">
        <v>198</v>
      </c>
      <c r="C26" s="52"/>
      <c r="D26" s="79"/>
      <c r="E26" s="80"/>
      <c r="F26" s="80"/>
      <c r="G26" s="81"/>
      <c r="H26" s="23"/>
      <c r="I26" s="23"/>
      <c r="J26" s="39"/>
      <c r="K26" s="32"/>
      <c r="L26" s="32"/>
      <c r="M26" s="82"/>
    </row>
    <row r="27" spans="1:13" s="1" customFormat="1" ht="14.1" customHeight="1">
      <c r="A27" s="73">
        <v>13</v>
      </c>
      <c r="B27" s="49" t="s">
        <v>362</v>
      </c>
      <c r="C27" s="50"/>
      <c r="D27" s="57"/>
      <c r="E27" s="58"/>
      <c r="F27" s="58"/>
      <c r="G27" s="59"/>
      <c r="H27" s="51">
        <f>SUM(I27)-3</f>
        <v>33</v>
      </c>
      <c r="I27" s="51">
        <f>SUM(J27)-3</f>
        <v>36</v>
      </c>
      <c r="J27" s="39">
        <v>39</v>
      </c>
      <c r="K27" s="32">
        <f>SUM(J27)+3</f>
        <v>42</v>
      </c>
      <c r="L27" s="32">
        <f>SUM(K27)+3</f>
        <v>45</v>
      </c>
      <c r="M27" s="82">
        <f>SUM(L27)+3</f>
        <v>48</v>
      </c>
    </row>
    <row r="28" spans="1:13" s="1" customFormat="1" ht="14.1" customHeight="1">
      <c r="A28" s="66"/>
      <c r="B28" s="77" t="s">
        <v>363</v>
      </c>
      <c r="C28" s="78"/>
      <c r="D28" s="79"/>
      <c r="E28" s="80"/>
      <c r="F28" s="80"/>
      <c r="G28" s="81"/>
      <c r="H28" s="23"/>
      <c r="I28" s="23"/>
      <c r="J28" s="39"/>
      <c r="K28" s="32"/>
      <c r="L28" s="32"/>
      <c r="M28" s="82"/>
    </row>
    <row r="29" spans="1:13" s="1" customFormat="1" ht="14.1" customHeight="1">
      <c r="A29" s="73">
        <v>14</v>
      </c>
      <c r="B29" s="49" t="s">
        <v>141</v>
      </c>
      <c r="C29" s="50"/>
      <c r="D29" s="57"/>
      <c r="E29" s="58"/>
      <c r="F29" s="58"/>
      <c r="G29" s="59"/>
      <c r="H29" s="51">
        <f>SUM(I29)-0.2</f>
        <v>1.6</v>
      </c>
      <c r="I29" s="51">
        <f>SUM(J29)-0.2</f>
        <v>1.8</v>
      </c>
      <c r="J29" s="39">
        <v>2</v>
      </c>
      <c r="K29" s="32">
        <f>SUM(J29)+0.2</f>
        <v>2.2000000000000002</v>
      </c>
      <c r="L29" s="32">
        <f>SUM(K29)+0.2</f>
        <v>2.4000000000000004</v>
      </c>
      <c r="M29" s="82">
        <f>SUM(L29)+0.2</f>
        <v>2.6000000000000005</v>
      </c>
    </row>
    <row r="30" spans="1:13" s="1" customFormat="1" ht="14.1" customHeight="1">
      <c r="A30" s="66"/>
      <c r="B30" s="34" t="s">
        <v>140</v>
      </c>
      <c r="C30" s="35"/>
      <c r="D30" s="79" t="s">
        <v>185</v>
      </c>
      <c r="E30" s="80"/>
      <c r="F30" s="80"/>
      <c r="G30" s="81"/>
      <c r="H30" s="23"/>
      <c r="I30" s="23"/>
      <c r="J30" s="39"/>
      <c r="K30" s="32"/>
      <c r="L30" s="32"/>
      <c r="M30" s="82"/>
    </row>
    <row r="31" spans="1:13" s="1" customFormat="1" ht="14.1" customHeight="1">
      <c r="A31" s="73">
        <v>15</v>
      </c>
      <c r="B31" s="49"/>
      <c r="C31" s="50"/>
      <c r="D31" s="55"/>
      <c r="E31" s="55"/>
      <c r="F31" s="55"/>
      <c r="G31" s="55"/>
      <c r="H31" s="51"/>
      <c r="I31" s="51"/>
      <c r="J31" s="60"/>
      <c r="K31" s="51"/>
      <c r="L31" s="51"/>
      <c r="M31" s="75"/>
    </row>
    <row r="32" spans="1:13" s="1" customFormat="1" ht="14.1" customHeight="1">
      <c r="A32" s="66"/>
      <c r="B32" s="34"/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s="1" customFormat="1" ht="14.1" customHeight="1">
      <c r="A33" s="73">
        <v>16</v>
      </c>
      <c r="B33" s="42"/>
      <c r="C33" s="43"/>
      <c r="D33" s="44"/>
      <c r="E33" s="45"/>
      <c r="F33" s="45"/>
      <c r="G33" s="46"/>
      <c r="H33" s="47"/>
      <c r="I33" s="47"/>
      <c r="J33" s="21"/>
      <c r="K33" s="23"/>
      <c r="L33" s="23"/>
      <c r="M33" s="25"/>
    </row>
    <row r="34" spans="1:13" s="1" customFormat="1" ht="14.1" customHeight="1" thickBot="1">
      <c r="A34" s="74"/>
      <c r="B34" s="27"/>
      <c r="C34" s="28"/>
      <c r="D34" s="29"/>
      <c r="E34" s="30"/>
      <c r="F34" s="30"/>
      <c r="G34" s="31"/>
      <c r="H34" s="48"/>
      <c r="I34" s="48"/>
      <c r="J34" s="22"/>
      <c r="K34" s="24"/>
      <c r="L34" s="24"/>
      <c r="M34" s="26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79"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5:K26"/>
    <mergeCell ref="L25:L26"/>
    <mergeCell ref="M25:M26"/>
    <mergeCell ref="B26:C26"/>
    <mergeCell ref="D26:G26"/>
    <mergeCell ref="J25:J26"/>
    <mergeCell ref="K27:K28"/>
    <mergeCell ref="L27:L28"/>
    <mergeCell ref="M27:M28"/>
    <mergeCell ref="B28:C28"/>
    <mergeCell ref="D28:G28"/>
    <mergeCell ref="B27:C27"/>
    <mergeCell ref="D27:G27"/>
    <mergeCell ref="H27:H28"/>
    <mergeCell ref="I27:I28"/>
    <mergeCell ref="J27:J28"/>
    <mergeCell ref="A29:A30"/>
    <mergeCell ref="B29:C29"/>
    <mergeCell ref="D29:G29"/>
    <mergeCell ref="H29:H30"/>
    <mergeCell ref="I29:I30"/>
    <mergeCell ref="A25:A26"/>
    <mergeCell ref="B25:C25"/>
    <mergeCell ref="D25:G25"/>
    <mergeCell ref="H25:H26"/>
    <mergeCell ref="I25:I26"/>
    <mergeCell ref="A27:A28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FCFA-8497-41B7-B41F-0E5952790D85}">
  <sheetPr>
    <tabColor theme="5"/>
    <pageSetUpPr fitToPage="1"/>
  </sheetPr>
  <dimension ref="A1:M57"/>
  <sheetViews>
    <sheetView zoomScale="110" zoomScaleNormal="110" workbookViewId="0">
      <selection activeCell="D6" sqref="D6:G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417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70">
        <f>SUM(I3)-4.5</f>
        <v>50</v>
      </c>
      <c r="I3" s="70">
        <f>SUM(J3)-4.5</f>
        <v>54.5</v>
      </c>
      <c r="J3" s="71">
        <v>59</v>
      </c>
      <c r="K3" s="70">
        <f>SUM(J3)+4.5</f>
        <v>63.5</v>
      </c>
      <c r="L3" s="70">
        <f>SUM(K3)+4.5</f>
        <v>68</v>
      </c>
      <c r="M3" s="72">
        <f>SUM(L3)+4.5</f>
        <v>72.5</v>
      </c>
    </row>
    <row r="4" spans="1:13" s="1" customFormat="1" ht="14.1" customHeight="1">
      <c r="A4" s="66"/>
      <c r="B4" s="52" t="s">
        <v>418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5"/>
    </row>
    <row r="5" spans="1:13" s="1" customFormat="1" ht="14.1" customHeight="1">
      <c r="A5" s="73">
        <v>2</v>
      </c>
      <c r="B5" s="56" t="s">
        <v>419</v>
      </c>
      <c r="C5" s="56"/>
      <c r="D5" s="55" t="s">
        <v>437</v>
      </c>
      <c r="E5" s="55"/>
      <c r="F5" s="55"/>
      <c r="G5" s="55"/>
      <c r="H5" s="51">
        <f>SUM(I5)-1</f>
        <v>13.5</v>
      </c>
      <c r="I5" s="51">
        <f>SUM(J5)-1</f>
        <v>14.5</v>
      </c>
      <c r="J5" s="60">
        <v>15.5</v>
      </c>
      <c r="K5" s="51">
        <f>SUM(J5)+1</f>
        <v>16.5</v>
      </c>
      <c r="L5" s="51">
        <f>SUM(K5)+1</f>
        <v>17.5</v>
      </c>
      <c r="M5" s="61">
        <f>SUM(L5)+1</f>
        <v>18.5</v>
      </c>
    </row>
    <row r="6" spans="1:13" s="1" customFormat="1" ht="14.1" customHeight="1">
      <c r="A6" s="66"/>
      <c r="B6" s="52" t="s">
        <v>420</v>
      </c>
      <c r="C6" s="52"/>
      <c r="D6" s="36" t="s">
        <v>421</v>
      </c>
      <c r="E6" s="37"/>
      <c r="F6" s="37"/>
      <c r="G6" s="38"/>
      <c r="H6" s="23"/>
      <c r="I6" s="23"/>
      <c r="J6" s="21"/>
      <c r="K6" s="23"/>
      <c r="L6" s="23"/>
      <c r="M6" s="25"/>
    </row>
    <row r="7" spans="1:13" s="1" customFormat="1" ht="14.1" customHeight="1">
      <c r="A7" s="73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28.5</v>
      </c>
      <c r="I7" s="51">
        <f>SUM(J7)-2.25</f>
        <v>30.75</v>
      </c>
      <c r="J7" s="60">
        <v>33</v>
      </c>
      <c r="K7" s="51">
        <f>SUM(J7)+2</f>
        <v>35</v>
      </c>
      <c r="L7" s="51">
        <f>SUM(K7)+2</f>
        <v>37</v>
      </c>
      <c r="M7" s="61">
        <f>SUM(L7)+2</f>
        <v>39</v>
      </c>
    </row>
    <row r="8" spans="1:13" s="1" customFormat="1" ht="14.1" customHeight="1">
      <c r="A8" s="66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3" s="1" customFormat="1" ht="14.1" customHeight="1">
      <c r="A9" s="73">
        <v>4</v>
      </c>
      <c r="B9" s="56" t="s">
        <v>422</v>
      </c>
      <c r="C9" s="56"/>
      <c r="D9" s="68"/>
      <c r="E9" s="68"/>
      <c r="F9" s="68"/>
      <c r="G9" s="68"/>
      <c r="H9" s="51">
        <f>SUM(I9)-2</f>
        <v>26</v>
      </c>
      <c r="I9" s="51">
        <f>SUM(J9)-2</f>
        <v>28</v>
      </c>
      <c r="J9" s="39">
        <v>30</v>
      </c>
      <c r="K9" s="32">
        <f>SUM(J9)+1.8</f>
        <v>31.8</v>
      </c>
      <c r="L9" s="32">
        <f>SUM(K9)+1.8</f>
        <v>33.6</v>
      </c>
      <c r="M9" s="33">
        <f>SUM(L9)+1.8</f>
        <v>35.4</v>
      </c>
    </row>
    <row r="10" spans="1:13" s="1" customFormat="1" ht="14.1" customHeight="1">
      <c r="A10" s="66"/>
      <c r="B10" s="52" t="s">
        <v>423</v>
      </c>
      <c r="C10" s="52"/>
      <c r="D10" s="36" t="s">
        <v>246</v>
      </c>
      <c r="E10" s="37"/>
      <c r="F10" s="37"/>
      <c r="G10" s="38"/>
      <c r="H10" s="23"/>
      <c r="I10" s="23"/>
      <c r="J10" s="39"/>
      <c r="K10" s="32"/>
      <c r="L10" s="32"/>
      <c r="M10" s="33"/>
    </row>
    <row r="11" spans="1:13" s="1" customFormat="1" ht="14.1" customHeight="1">
      <c r="A11" s="73">
        <v>5</v>
      </c>
      <c r="B11" s="49" t="s">
        <v>424</v>
      </c>
      <c r="C11" s="50"/>
      <c r="D11" s="57"/>
      <c r="E11" s="58"/>
      <c r="F11" s="58"/>
      <c r="G11" s="59"/>
      <c r="H11" s="51">
        <f>SUM(I11)-1</f>
        <v>14</v>
      </c>
      <c r="I11" s="51">
        <f>SUM(J11)-1</f>
        <v>15</v>
      </c>
      <c r="J11" s="60">
        <v>16</v>
      </c>
      <c r="K11" s="51">
        <f>SUM(J11)+1</f>
        <v>17</v>
      </c>
      <c r="L11" s="51">
        <f>SUM(K11)+1</f>
        <v>18</v>
      </c>
      <c r="M11" s="61">
        <f>SUM(L11)+1</f>
        <v>19</v>
      </c>
    </row>
    <row r="12" spans="1:13" s="1" customFormat="1" ht="14.1" customHeight="1">
      <c r="A12" s="66"/>
      <c r="B12" s="52" t="s">
        <v>425</v>
      </c>
      <c r="C12" s="52"/>
      <c r="D12" s="36" t="s">
        <v>426</v>
      </c>
      <c r="E12" s="37"/>
      <c r="F12" s="37"/>
      <c r="G12" s="38"/>
      <c r="H12" s="23"/>
      <c r="I12" s="23"/>
      <c r="J12" s="21"/>
      <c r="K12" s="23"/>
      <c r="L12" s="23"/>
      <c r="M12" s="25"/>
    </row>
    <row r="13" spans="1:13" s="1" customFormat="1" ht="14.1" customHeight="1">
      <c r="A13" s="73">
        <v>6</v>
      </c>
      <c r="B13" s="49" t="s">
        <v>427</v>
      </c>
      <c r="C13" s="50"/>
      <c r="D13" s="57"/>
      <c r="E13" s="58"/>
      <c r="F13" s="58"/>
      <c r="G13" s="59"/>
      <c r="H13" s="51">
        <f>SUM(I13)-1</f>
        <v>13</v>
      </c>
      <c r="I13" s="51">
        <f>SUM(J13)-1</f>
        <v>14</v>
      </c>
      <c r="J13" s="60">
        <v>15</v>
      </c>
      <c r="K13" s="51">
        <f>SUM(J13)+1</f>
        <v>16</v>
      </c>
      <c r="L13" s="51">
        <f>SUM(K13)+1</f>
        <v>17</v>
      </c>
      <c r="M13" s="61">
        <f>SUM(L13)+1</f>
        <v>18</v>
      </c>
    </row>
    <row r="14" spans="1:13" s="1" customFormat="1" ht="14.1" customHeight="1">
      <c r="A14" s="66"/>
      <c r="B14" s="52" t="s">
        <v>428</v>
      </c>
      <c r="C14" s="52"/>
      <c r="D14" s="36" t="s">
        <v>426</v>
      </c>
      <c r="E14" s="37"/>
      <c r="F14" s="37"/>
      <c r="G14" s="38"/>
      <c r="H14" s="23"/>
      <c r="I14" s="23"/>
      <c r="J14" s="21"/>
      <c r="K14" s="23"/>
      <c r="L14" s="23"/>
      <c r="M14" s="25"/>
    </row>
    <row r="15" spans="1:13" s="1" customFormat="1" ht="14.1" customHeight="1">
      <c r="A15" s="73">
        <v>7</v>
      </c>
      <c r="B15" s="56" t="s">
        <v>433</v>
      </c>
      <c r="C15" s="56"/>
      <c r="D15" s="55"/>
      <c r="E15" s="55"/>
      <c r="F15" s="55"/>
      <c r="G15" s="55"/>
      <c r="H15" s="51">
        <f>SUM(I15)-1.5</f>
        <v>13</v>
      </c>
      <c r="I15" s="51">
        <f>SUM(J15)-1.5</f>
        <v>14.5</v>
      </c>
      <c r="J15" s="60">
        <v>16</v>
      </c>
      <c r="K15" s="51">
        <f>SUM(J15)+1.5</f>
        <v>17.5</v>
      </c>
      <c r="L15" s="51">
        <f>SUM(K15)+1.5</f>
        <v>19</v>
      </c>
      <c r="M15" s="61">
        <f>SUM(L15)+1.5</f>
        <v>20.5</v>
      </c>
    </row>
    <row r="16" spans="1:13" s="1" customFormat="1" ht="14.1" customHeight="1">
      <c r="A16" s="66"/>
      <c r="B16" s="52" t="s">
        <v>434</v>
      </c>
      <c r="C16" s="52"/>
      <c r="D16" s="36" t="s">
        <v>185</v>
      </c>
      <c r="E16" s="37"/>
      <c r="F16" s="37"/>
      <c r="G16" s="38"/>
      <c r="H16" s="23"/>
      <c r="I16" s="23"/>
      <c r="J16" s="21"/>
      <c r="K16" s="23"/>
      <c r="L16" s="23"/>
      <c r="M16" s="25"/>
    </row>
    <row r="17" spans="1:13" s="1" customFormat="1" ht="14.1" customHeight="1">
      <c r="A17" s="73">
        <v>8</v>
      </c>
      <c r="B17" s="49" t="s">
        <v>435</v>
      </c>
      <c r="C17" s="50"/>
      <c r="D17" s="57"/>
      <c r="E17" s="58"/>
      <c r="F17" s="58"/>
      <c r="G17" s="59"/>
      <c r="H17" s="51">
        <f>SUM(I17)-1.5</f>
        <v>13</v>
      </c>
      <c r="I17" s="51">
        <f>SUM(J17)-1.5</f>
        <v>14.5</v>
      </c>
      <c r="J17" s="60">
        <v>16</v>
      </c>
      <c r="K17" s="51">
        <f>SUM(J17)+1.5</f>
        <v>17.5</v>
      </c>
      <c r="L17" s="51">
        <f>SUM(K17)+1.5</f>
        <v>19</v>
      </c>
      <c r="M17" s="61">
        <f>SUM(L17)+1.5</f>
        <v>20.5</v>
      </c>
    </row>
    <row r="18" spans="1:13" s="1" customFormat="1" ht="14.1" customHeight="1">
      <c r="A18" s="66"/>
      <c r="B18" s="52" t="s">
        <v>436</v>
      </c>
      <c r="C18" s="52"/>
      <c r="D18" s="36" t="s">
        <v>188</v>
      </c>
      <c r="E18" s="37"/>
      <c r="F18" s="37"/>
      <c r="G18" s="38"/>
      <c r="H18" s="23"/>
      <c r="I18" s="23"/>
      <c r="J18" s="21"/>
      <c r="K18" s="23"/>
      <c r="L18" s="23"/>
      <c r="M18" s="25"/>
    </row>
    <row r="19" spans="1:13" s="1" customFormat="1" ht="14.1" customHeight="1">
      <c r="A19" s="73">
        <v>9</v>
      </c>
      <c r="B19" s="56" t="s">
        <v>429</v>
      </c>
      <c r="C19" s="56"/>
      <c r="D19" s="55"/>
      <c r="E19" s="55"/>
      <c r="F19" s="55"/>
      <c r="G19" s="55"/>
      <c r="H19" s="51">
        <f>SUM(I19)-3</f>
        <v>34</v>
      </c>
      <c r="I19" s="51">
        <f>SUM(J19)-3</f>
        <v>37</v>
      </c>
      <c r="J19" s="60">
        <v>40</v>
      </c>
      <c r="K19" s="51">
        <f>SUM(J19)+3</f>
        <v>43</v>
      </c>
      <c r="L19" s="51">
        <f>SUM(K19)+3</f>
        <v>46</v>
      </c>
      <c r="M19" s="61">
        <f>SUM(L19)+3</f>
        <v>49</v>
      </c>
    </row>
    <row r="20" spans="1:13" s="1" customFormat="1" ht="14.1" customHeight="1">
      <c r="A20" s="66"/>
      <c r="B20" s="52" t="s">
        <v>430</v>
      </c>
      <c r="C20" s="52"/>
      <c r="D20" s="36"/>
      <c r="E20" s="37"/>
      <c r="F20" s="37"/>
      <c r="G20" s="38"/>
      <c r="H20" s="23"/>
      <c r="I20" s="23"/>
      <c r="J20" s="21"/>
      <c r="K20" s="23"/>
      <c r="L20" s="23"/>
      <c r="M20" s="25"/>
    </row>
    <row r="21" spans="1:13" s="1" customFormat="1" ht="14.1" customHeight="1">
      <c r="A21" s="73">
        <v>10</v>
      </c>
      <c r="B21" s="49" t="s">
        <v>431</v>
      </c>
      <c r="C21" s="50"/>
      <c r="D21" s="57"/>
      <c r="E21" s="58"/>
      <c r="F21" s="58"/>
      <c r="G21" s="59"/>
      <c r="H21" s="51">
        <f>SUM(I21)-3</f>
        <v>37</v>
      </c>
      <c r="I21" s="51">
        <f>SUM(J21)-3</f>
        <v>40</v>
      </c>
      <c r="J21" s="60">
        <v>43</v>
      </c>
      <c r="K21" s="51">
        <f>SUM(J21)+3</f>
        <v>46</v>
      </c>
      <c r="L21" s="51">
        <f>SUM(K21)+3</f>
        <v>49</v>
      </c>
      <c r="M21" s="61">
        <f>SUM(L21)+3</f>
        <v>52</v>
      </c>
    </row>
    <row r="22" spans="1:13" s="1" customFormat="1" ht="14.1" customHeight="1">
      <c r="A22" s="66"/>
      <c r="B22" s="52" t="s">
        <v>432</v>
      </c>
      <c r="C22" s="52"/>
      <c r="D22" s="36"/>
      <c r="E22" s="37"/>
      <c r="F22" s="37"/>
      <c r="G22" s="38"/>
      <c r="H22" s="23"/>
      <c r="I22" s="23"/>
      <c r="J22" s="21"/>
      <c r="K22" s="23"/>
      <c r="L22" s="23"/>
      <c r="M22" s="25"/>
    </row>
    <row r="23" spans="1:13" s="1" customFormat="1" ht="14.1" customHeight="1">
      <c r="A23" s="73">
        <v>11</v>
      </c>
      <c r="B23" s="49" t="s">
        <v>247</v>
      </c>
      <c r="C23" s="50"/>
      <c r="D23" s="55"/>
      <c r="E23" s="55"/>
      <c r="F23" s="55"/>
      <c r="G23" s="55"/>
      <c r="H23" s="51">
        <f>SUM(I23)-2</f>
        <v>22</v>
      </c>
      <c r="I23" s="51">
        <f>SUM(J23)-2</f>
        <v>24</v>
      </c>
      <c r="J23" s="60">
        <v>26</v>
      </c>
      <c r="K23" s="51">
        <f>SUM(J23)+2</f>
        <v>28</v>
      </c>
      <c r="L23" s="51">
        <f>SUM(K23)+2</f>
        <v>30</v>
      </c>
      <c r="M23" s="61">
        <f>SUM(L23)+2</f>
        <v>32</v>
      </c>
    </row>
    <row r="24" spans="1:13" s="1" customFormat="1" ht="14.1" customHeight="1">
      <c r="A24" s="66"/>
      <c r="B24" s="34" t="s">
        <v>248</v>
      </c>
      <c r="C24" s="35"/>
      <c r="D24" s="36"/>
      <c r="E24" s="37"/>
      <c r="F24" s="37"/>
      <c r="G24" s="38"/>
      <c r="H24" s="23"/>
      <c r="I24" s="23"/>
      <c r="J24" s="21"/>
      <c r="K24" s="23"/>
      <c r="L24" s="23"/>
      <c r="M24" s="25"/>
    </row>
    <row r="25" spans="1:13" s="1" customFormat="1" ht="14.1" customHeight="1">
      <c r="A25" s="73">
        <v>12</v>
      </c>
      <c r="B25" s="49"/>
      <c r="C25" s="50"/>
      <c r="D25" s="57"/>
      <c r="E25" s="58"/>
      <c r="F25" s="58"/>
      <c r="G25" s="59"/>
      <c r="H25" s="51"/>
      <c r="I25" s="51"/>
      <c r="J25" s="60"/>
      <c r="K25" s="51"/>
      <c r="L25" s="51"/>
      <c r="M25" s="61"/>
    </row>
    <row r="26" spans="1:13" s="1" customFormat="1" ht="14.1" customHeight="1">
      <c r="A26" s="66"/>
      <c r="B26" s="77"/>
      <c r="C26" s="78"/>
      <c r="D26" s="79"/>
      <c r="E26" s="80"/>
      <c r="F26" s="80"/>
      <c r="G26" s="81"/>
      <c r="H26" s="23"/>
      <c r="I26" s="23"/>
      <c r="J26" s="21"/>
      <c r="K26" s="23"/>
      <c r="L26" s="23"/>
      <c r="M26" s="25"/>
    </row>
    <row r="27" spans="1:13" s="1" customFormat="1" ht="14.1" customHeight="1">
      <c r="A27" s="73">
        <v>13</v>
      </c>
      <c r="B27" s="49"/>
      <c r="C27" s="50"/>
      <c r="D27" s="57"/>
      <c r="E27" s="58"/>
      <c r="F27" s="58"/>
      <c r="G27" s="59"/>
      <c r="H27" s="51"/>
      <c r="I27" s="51"/>
      <c r="J27" s="60"/>
      <c r="K27" s="51"/>
      <c r="L27" s="51"/>
      <c r="M27" s="61"/>
    </row>
    <row r="28" spans="1:13" s="1" customFormat="1" ht="14.1" customHeight="1">
      <c r="A28" s="66"/>
      <c r="B28" s="77"/>
      <c r="C28" s="78"/>
      <c r="D28" s="79"/>
      <c r="E28" s="80"/>
      <c r="F28" s="80"/>
      <c r="G28" s="81"/>
      <c r="H28" s="23"/>
      <c r="I28" s="23"/>
      <c r="J28" s="21"/>
      <c r="K28" s="23"/>
      <c r="L28" s="23"/>
      <c r="M28" s="25"/>
    </row>
    <row r="29" spans="1:13" s="1" customFormat="1" ht="14.1" customHeight="1">
      <c r="A29" s="73">
        <v>14</v>
      </c>
      <c r="B29" s="49"/>
      <c r="C29" s="50"/>
      <c r="D29" s="55"/>
      <c r="E29" s="55"/>
      <c r="F29" s="55"/>
      <c r="G29" s="55"/>
      <c r="H29" s="51"/>
      <c r="I29" s="51"/>
      <c r="J29" s="60"/>
      <c r="K29" s="51"/>
      <c r="L29" s="51"/>
      <c r="M29" s="61"/>
    </row>
    <row r="30" spans="1:13" s="1" customFormat="1" ht="14.1" customHeight="1">
      <c r="A30" s="66"/>
      <c r="B30" s="34"/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25"/>
    </row>
    <row r="31" spans="1:13" s="1" customFormat="1" ht="14.1" customHeight="1">
      <c r="A31" s="73">
        <v>15</v>
      </c>
      <c r="B31" s="42"/>
      <c r="C31" s="43"/>
      <c r="D31" s="44"/>
      <c r="E31" s="45"/>
      <c r="F31" s="45"/>
      <c r="G31" s="46"/>
      <c r="H31" s="47"/>
      <c r="I31" s="47"/>
      <c r="J31" s="21"/>
      <c r="K31" s="23"/>
      <c r="L31" s="23"/>
      <c r="M31" s="25"/>
    </row>
    <row r="32" spans="1:13" s="1" customFormat="1" ht="14.1" customHeight="1" thickBot="1">
      <c r="A32" s="74"/>
      <c r="B32" s="27"/>
      <c r="C32" s="28"/>
      <c r="D32" s="29"/>
      <c r="E32" s="30"/>
      <c r="F32" s="30"/>
      <c r="G32" s="31"/>
      <c r="H32" s="48"/>
      <c r="I32" s="48"/>
      <c r="J32" s="22"/>
      <c r="K32" s="24"/>
      <c r="L32" s="24"/>
      <c r="M32" s="26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DC10-4D94-4DB8-9E33-99D1BA33FADC}">
  <sheetPr>
    <tabColor theme="5"/>
    <pageSetUpPr fitToPage="1"/>
  </sheetPr>
  <dimension ref="A1:P49"/>
  <sheetViews>
    <sheetView topLeftCell="A7" zoomScale="110" zoomScaleNormal="110" workbookViewId="0">
      <selection activeCell="A31" sqref="A31:M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62" t="s">
        <v>687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6" s="1" customFormat="1" ht="14.1" customHeight="1">
      <c r="A3" s="83">
        <v>1</v>
      </c>
      <c r="B3" s="101" t="s">
        <v>41</v>
      </c>
      <c r="C3" s="101"/>
      <c r="D3" s="102" t="s">
        <v>530</v>
      </c>
      <c r="E3" s="102"/>
      <c r="F3" s="102"/>
      <c r="G3" s="103"/>
      <c r="H3" s="70">
        <f>SUM(I3)-5.5</f>
        <v>62</v>
      </c>
      <c r="I3" s="70">
        <f>SUM(J3)-5.5</f>
        <v>67.5</v>
      </c>
      <c r="J3" s="71">
        <v>73</v>
      </c>
      <c r="K3" s="70">
        <f>SUM(J3)+5.5</f>
        <v>78.5</v>
      </c>
      <c r="L3" s="70">
        <f>SUM(K3)+5.5</f>
        <v>84</v>
      </c>
      <c r="M3" s="84">
        <f>SUM(L3)+5.5</f>
        <v>89.5</v>
      </c>
    </row>
    <row r="4" spans="1:16" s="1" customFormat="1" ht="14.1" customHeight="1">
      <c r="A4" s="66"/>
      <c r="B4" s="52" t="s">
        <v>529</v>
      </c>
      <c r="C4" s="52"/>
      <c r="D4" s="36" t="s">
        <v>528</v>
      </c>
      <c r="E4" s="37"/>
      <c r="F4" s="37"/>
      <c r="G4" s="37"/>
      <c r="H4" s="47"/>
      <c r="I4" s="47"/>
      <c r="J4" s="21"/>
      <c r="K4" s="47"/>
      <c r="L4" s="47"/>
      <c r="M4" s="104"/>
    </row>
    <row r="5" spans="1:16" s="1" customFormat="1" ht="14.1" customHeight="1">
      <c r="A5" s="73">
        <v>2</v>
      </c>
      <c r="B5" s="105" t="s">
        <v>41</v>
      </c>
      <c r="C5" s="105"/>
      <c r="D5" s="99" t="s">
        <v>527</v>
      </c>
      <c r="E5" s="99"/>
      <c r="F5" s="99"/>
      <c r="G5" s="67"/>
      <c r="H5" s="51">
        <f>SUM(I5)-5.4</f>
        <v>60.199999999999996</v>
      </c>
      <c r="I5" s="51">
        <f>SUM(J5)-5.4</f>
        <v>65.599999999999994</v>
      </c>
      <c r="J5" s="100">
        <v>71</v>
      </c>
      <c r="K5" s="51">
        <f>SUM(J5)+5.4</f>
        <v>76.400000000000006</v>
      </c>
      <c r="L5" s="51">
        <f>SUM(K5)+5.4</f>
        <v>81.800000000000011</v>
      </c>
      <c r="M5" s="75">
        <f>SUM(L5)+5.4</f>
        <v>87.200000000000017</v>
      </c>
    </row>
    <row r="6" spans="1:16" s="1" customFormat="1" ht="14.1" customHeight="1">
      <c r="A6" s="66"/>
      <c r="B6" s="52" t="s">
        <v>526</v>
      </c>
      <c r="C6" s="52"/>
      <c r="D6" s="36" t="s">
        <v>525</v>
      </c>
      <c r="E6" s="37"/>
      <c r="F6" s="37"/>
      <c r="G6" s="37"/>
      <c r="H6" s="23"/>
      <c r="I6" s="23"/>
      <c r="J6" s="21"/>
      <c r="K6" s="23"/>
      <c r="L6" s="23"/>
      <c r="M6" s="76"/>
    </row>
    <row r="7" spans="1:16" s="1" customFormat="1" ht="14.1" customHeight="1">
      <c r="A7" s="73">
        <v>3</v>
      </c>
      <c r="B7" s="56" t="s">
        <v>39</v>
      </c>
      <c r="C7" s="56"/>
      <c r="D7" s="55" t="s">
        <v>40</v>
      </c>
      <c r="E7" s="55"/>
      <c r="F7" s="55"/>
      <c r="G7" s="55"/>
      <c r="H7" s="51"/>
      <c r="I7" s="51"/>
      <c r="J7" s="60"/>
      <c r="K7" s="51"/>
      <c r="L7" s="51"/>
      <c r="M7" s="75"/>
    </row>
    <row r="8" spans="1:16" s="1" customFormat="1" ht="14.1" customHeight="1">
      <c r="A8" s="66"/>
      <c r="B8" s="52" t="s">
        <v>24</v>
      </c>
      <c r="C8" s="52"/>
      <c r="D8" s="36" t="s">
        <v>44</v>
      </c>
      <c r="E8" s="37"/>
      <c r="F8" s="37"/>
      <c r="G8" s="38"/>
      <c r="H8" s="23"/>
      <c r="I8" s="23"/>
      <c r="J8" s="21"/>
      <c r="K8" s="23"/>
      <c r="L8" s="23"/>
      <c r="M8" s="76"/>
    </row>
    <row r="9" spans="1:16" s="1" customFormat="1" ht="14.1" customHeight="1">
      <c r="A9" s="73">
        <v>4</v>
      </c>
      <c r="B9" s="56" t="s">
        <v>37</v>
      </c>
      <c r="C9" s="56"/>
      <c r="D9" s="55" t="s">
        <v>73</v>
      </c>
      <c r="E9" s="55"/>
      <c r="F9" s="55"/>
      <c r="G9" s="55"/>
      <c r="H9" s="51">
        <f>SUM(I9)-2.25</f>
        <v>36.5</v>
      </c>
      <c r="I9" s="51">
        <f>SUM(J9)-2.25</f>
        <v>38.75</v>
      </c>
      <c r="J9" s="60">
        <v>41</v>
      </c>
      <c r="K9" s="51">
        <f>SUM(J9)+2</f>
        <v>43</v>
      </c>
      <c r="L9" s="51">
        <f>SUM(K9)+2</f>
        <v>45</v>
      </c>
      <c r="M9" s="75">
        <f>SUM(L9)+2</f>
        <v>47</v>
      </c>
    </row>
    <row r="10" spans="1:16" s="1" customFormat="1" ht="14.1" customHeight="1">
      <c r="A10" s="66"/>
      <c r="B10" s="52" t="s">
        <v>42</v>
      </c>
      <c r="C10" s="52"/>
      <c r="D10" s="36" t="s">
        <v>689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6" s="1" customFormat="1" ht="14.1" customHeight="1">
      <c r="A11" s="73">
        <v>5</v>
      </c>
      <c r="B11" s="56" t="s">
        <v>355</v>
      </c>
      <c r="C11" s="56"/>
      <c r="D11" s="55"/>
      <c r="E11" s="55"/>
      <c r="F11" s="55"/>
      <c r="G11" s="55"/>
      <c r="H11" s="51">
        <f>SUM(I11)-3</f>
        <v>54</v>
      </c>
      <c r="I11" s="51">
        <f>SUM(J11)-3</f>
        <v>57</v>
      </c>
      <c r="J11" s="60">
        <v>60</v>
      </c>
      <c r="K11" s="51">
        <f>SUM(J11)+3</f>
        <v>63</v>
      </c>
      <c r="L11" s="51">
        <f>SUM(K11)+3</f>
        <v>66</v>
      </c>
      <c r="M11" s="75">
        <f>SUM(L11)+3</f>
        <v>69</v>
      </c>
      <c r="P11" s="1" t="s">
        <v>365</v>
      </c>
    </row>
    <row r="12" spans="1:16" s="1" customFormat="1" ht="14.1" customHeight="1">
      <c r="A12" s="66"/>
      <c r="B12" s="52" t="s">
        <v>688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76"/>
      <c r="P12" s="1">
        <f>SUM(H11+I11+J11+K11+L11+M11)</f>
        <v>369</v>
      </c>
    </row>
    <row r="13" spans="1:16" s="1" customFormat="1" ht="14.1" customHeight="1">
      <c r="A13" s="73">
        <v>6</v>
      </c>
      <c r="B13" s="107" t="s">
        <v>690</v>
      </c>
      <c r="C13" s="108"/>
      <c r="D13" s="57"/>
      <c r="E13" s="58"/>
      <c r="F13" s="58"/>
      <c r="G13" s="59"/>
      <c r="H13" s="51">
        <f>SUM(I13)-0.8</f>
        <v>14.399999999999999</v>
      </c>
      <c r="I13" s="51">
        <f>SUM(J13)-0.8</f>
        <v>15.2</v>
      </c>
      <c r="J13" s="60">
        <v>16</v>
      </c>
      <c r="K13" s="51">
        <f>SUM(J13)+0.8</f>
        <v>16.8</v>
      </c>
      <c r="L13" s="51">
        <f>SUM(K13)+0.8</f>
        <v>17.600000000000001</v>
      </c>
      <c r="M13" s="75">
        <f>SUM(L13)+0.8</f>
        <v>18.400000000000002</v>
      </c>
      <c r="P13" s="1">
        <f>SUM(H13+I13+J13+K13+L13+M13)</f>
        <v>98.4</v>
      </c>
    </row>
    <row r="14" spans="1:16" s="1" customFormat="1" ht="14.1" customHeight="1">
      <c r="A14" s="66"/>
      <c r="B14" s="52" t="s">
        <v>691</v>
      </c>
      <c r="C14" s="52"/>
      <c r="D14" s="36"/>
      <c r="E14" s="37"/>
      <c r="F14" s="37"/>
      <c r="G14" s="38"/>
      <c r="H14" s="23"/>
      <c r="I14" s="23"/>
      <c r="J14" s="21"/>
      <c r="K14" s="23"/>
      <c r="L14" s="23"/>
      <c r="M14" s="76"/>
      <c r="P14" s="1">
        <f>SUM(H15+I15+J15+K15+L15+M15)</f>
        <v>92.4</v>
      </c>
    </row>
    <row r="15" spans="1:16" s="1" customFormat="1" ht="14.1" customHeight="1">
      <c r="A15" s="73">
        <v>7</v>
      </c>
      <c r="B15" s="107" t="s">
        <v>692</v>
      </c>
      <c r="C15" s="108"/>
      <c r="D15" s="57"/>
      <c r="E15" s="58"/>
      <c r="F15" s="58"/>
      <c r="G15" s="59"/>
      <c r="H15" s="51">
        <f>SUM(I15)-0.8</f>
        <v>13.399999999999999</v>
      </c>
      <c r="I15" s="51">
        <f>SUM(J15)-0.8</f>
        <v>14.2</v>
      </c>
      <c r="J15" s="60">
        <v>15</v>
      </c>
      <c r="K15" s="51">
        <f>SUM(J15)+0.8</f>
        <v>15.8</v>
      </c>
      <c r="L15" s="51">
        <f>SUM(K15)+0.8</f>
        <v>16.600000000000001</v>
      </c>
      <c r="M15" s="75">
        <f>SUM(L15)+0.8</f>
        <v>17.400000000000002</v>
      </c>
      <c r="P15" s="1">
        <f>SUM((P12+P13+P14)/91.44/6*1.08)</f>
        <v>1.101968503937008</v>
      </c>
    </row>
    <row r="16" spans="1:16" s="1" customFormat="1" ht="14.1" customHeight="1">
      <c r="A16" s="66"/>
      <c r="B16" s="52" t="s">
        <v>693</v>
      </c>
      <c r="C16" s="52"/>
      <c r="D16" s="36"/>
      <c r="E16" s="37"/>
      <c r="F16" s="37"/>
      <c r="G16" s="38"/>
      <c r="H16" s="23"/>
      <c r="I16" s="23"/>
      <c r="J16" s="21"/>
      <c r="K16" s="23"/>
      <c r="L16" s="23"/>
      <c r="M16" s="76"/>
    </row>
    <row r="17" spans="1:13" s="1" customFormat="1" ht="14.1" customHeight="1">
      <c r="A17" s="73">
        <v>8</v>
      </c>
      <c r="B17" s="56" t="s">
        <v>524</v>
      </c>
      <c r="C17" s="56"/>
      <c r="D17" s="57"/>
      <c r="E17" s="58"/>
      <c r="F17" s="58"/>
      <c r="G17" s="59"/>
      <c r="H17" s="51">
        <f>SUM(I17)-1</f>
        <v>15.5</v>
      </c>
      <c r="I17" s="51">
        <f>SUM(J17)-1</f>
        <v>16.5</v>
      </c>
      <c r="J17" s="39">
        <v>17.5</v>
      </c>
      <c r="K17" s="51">
        <f>SUM(J17)+1</f>
        <v>18.5</v>
      </c>
      <c r="L17" s="51">
        <f>SUM(K17)+1</f>
        <v>19.5</v>
      </c>
      <c r="M17" s="75">
        <f>SUM(L17)+1</f>
        <v>20.5</v>
      </c>
    </row>
    <row r="18" spans="1:13" s="1" customFormat="1" ht="14.1" customHeight="1">
      <c r="A18" s="66"/>
      <c r="B18" s="52" t="s">
        <v>391</v>
      </c>
      <c r="C18" s="52"/>
      <c r="D18" s="36" t="s">
        <v>700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73">
        <v>9</v>
      </c>
      <c r="B19" s="56" t="s">
        <v>1</v>
      </c>
      <c r="C19" s="56"/>
      <c r="D19" s="55" t="s">
        <v>145</v>
      </c>
      <c r="E19" s="55"/>
      <c r="F19" s="55"/>
      <c r="G19" s="55"/>
      <c r="H19" s="51"/>
      <c r="I19" s="51"/>
      <c r="J19" s="39"/>
      <c r="K19" s="32"/>
      <c r="L19" s="32"/>
      <c r="M19" s="82"/>
    </row>
    <row r="20" spans="1:13" s="1" customFormat="1" ht="14.1" customHeight="1">
      <c r="A20" s="66"/>
      <c r="B20" s="52" t="s">
        <v>27</v>
      </c>
      <c r="C20" s="52"/>
      <c r="D20" s="36" t="s">
        <v>48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73">
        <v>10</v>
      </c>
      <c r="B21" s="56" t="s">
        <v>2</v>
      </c>
      <c r="C21" s="56"/>
      <c r="D21" s="55" t="s">
        <v>3</v>
      </c>
      <c r="E21" s="55"/>
      <c r="F21" s="55"/>
      <c r="G21" s="55"/>
      <c r="H21" s="51"/>
      <c r="I21" s="51"/>
      <c r="J21" s="39"/>
      <c r="K21" s="32"/>
      <c r="L21" s="32"/>
      <c r="M21" s="82"/>
    </row>
    <row r="22" spans="1:13" s="1" customFormat="1" ht="14.1" customHeight="1">
      <c r="A22" s="66"/>
      <c r="B22" s="52" t="s">
        <v>28</v>
      </c>
      <c r="C22" s="52"/>
      <c r="D22" s="36" t="s">
        <v>168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73">
        <v>11</v>
      </c>
      <c r="B23" s="49" t="s">
        <v>74</v>
      </c>
      <c r="C23" s="50"/>
      <c r="D23" s="57" t="s">
        <v>75</v>
      </c>
      <c r="E23" s="58"/>
      <c r="F23" s="58"/>
      <c r="G23" s="59"/>
      <c r="H23" s="51"/>
      <c r="I23" s="51"/>
      <c r="J23" s="39"/>
      <c r="K23" s="32"/>
      <c r="L23" s="32"/>
      <c r="M23" s="82"/>
    </row>
    <row r="24" spans="1:13" s="1" customFormat="1" ht="14.1" customHeight="1">
      <c r="A24" s="66"/>
      <c r="B24" s="52" t="s">
        <v>35</v>
      </c>
      <c r="C24" s="52"/>
      <c r="D24" s="36" t="s">
        <v>85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73">
        <v>12</v>
      </c>
      <c r="B25" s="56" t="s">
        <v>4</v>
      </c>
      <c r="C25" s="56"/>
      <c r="D25" s="55" t="s">
        <v>5</v>
      </c>
      <c r="E25" s="55"/>
      <c r="F25" s="55"/>
      <c r="G25" s="55"/>
      <c r="H25" s="51"/>
      <c r="I25" s="51"/>
      <c r="J25" s="39"/>
      <c r="K25" s="32"/>
      <c r="L25" s="32"/>
      <c r="M25" s="82"/>
    </row>
    <row r="26" spans="1:13" s="1" customFormat="1" ht="14.1" customHeight="1">
      <c r="A26" s="66"/>
      <c r="B26" s="52" t="s">
        <v>29</v>
      </c>
      <c r="C26" s="52"/>
      <c r="D26" s="36" t="s">
        <v>50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73">
        <v>13</v>
      </c>
      <c r="B27" s="56" t="s">
        <v>6</v>
      </c>
      <c r="C27" s="56"/>
      <c r="D27" s="57" t="s">
        <v>7</v>
      </c>
      <c r="E27" s="58"/>
      <c r="F27" s="58"/>
      <c r="G27" s="59"/>
      <c r="H27" s="51"/>
      <c r="I27" s="51"/>
      <c r="J27" s="39"/>
      <c r="K27" s="32"/>
      <c r="L27" s="32"/>
      <c r="M27" s="82"/>
    </row>
    <row r="28" spans="1:13" s="1" customFormat="1" ht="14.1" customHeight="1">
      <c r="A28" s="66"/>
      <c r="B28" s="52" t="s">
        <v>30</v>
      </c>
      <c r="C28" s="52"/>
      <c r="D28" s="36" t="s">
        <v>67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3" ht="14.1" customHeight="1">
      <c r="A29" s="73">
        <v>14</v>
      </c>
      <c r="B29" s="49" t="s">
        <v>99</v>
      </c>
      <c r="C29" s="50"/>
      <c r="D29" s="55" t="s">
        <v>69</v>
      </c>
      <c r="E29" s="55"/>
      <c r="F29" s="55"/>
      <c r="G29" s="55"/>
      <c r="H29" s="51"/>
      <c r="I29" s="51"/>
      <c r="J29" s="39"/>
      <c r="K29" s="32"/>
      <c r="L29" s="32"/>
      <c r="M29" s="82"/>
    </row>
    <row r="30" spans="1:13" ht="14.1" customHeight="1">
      <c r="A30" s="66"/>
      <c r="B30" s="52" t="s">
        <v>31</v>
      </c>
      <c r="C30" s="52"/>
      <c r="D30" s="36" t="s">
        <v>70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3" ht="14.1" customHeight="1">
      <c r="A31" s="73">
        <v>15</v>
      </c>
      <c r="B31" s="53" t="s">
        <v>694</v>
      </c>
      <c r="C31" s="54"/>
      <c r="D31" s="44"/>
      <c r="E31" s="45"/>
      <c r="F31" s="45"/>
      <c r="G31" s="46"/>
      <c r="H31" s="47">
        <f>SUM(I31)-4.3</f>
        <v>51.400000000000006</v>
      </c>
      <c r="I31" s="47">
        <f>SUM(J31)-4.3</f>
        <v>55.7</v>
      </c>
      <c r="J31" s="21">
        <v>60</v>
      </c>
      <c r="K31" s="23">
        <f>SUM(J31)+4.3</f>
        <v>64.3</v>
      </c>
      <c r="L31" s="23">
        <f>SUM(K31)+4.3</f>
        <v>68.599999999999994</v>
      </c>
      <c r="M31" s="76">
        <f>SUM(L31)+4.3</f>
        <v>72.899999999999991</v>
      </c>
    </row>
    <row r="32" spans="1:13" ht="14.1" customHeight="1">
      <c r="A32" s="66"/>
      <c r="B32" s="34" t="s">
        <v>368</v>
      </c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73">
        <v>16</v>
      </c>
      <c r="B33" s="53" t="s">
        <v>410</v>
      </c>
      <c r="C33" s="54"/>
      <c r="D33" s="44"/>
      <c r="E33" s="45"/>
      <c r="F33" s="45"/>
      <c r="G33" s="46"/>
      <c r="H33" s="47">
        <f>SUM(I33)-0.9</f>
        <v>12.2</v>
      </c>
      <c r="I33" s="47">
        <f>SUM(J33)-0.9</f>
        <v>13.1</v>
      </c>
      <c r="J33" s="21">
        <v>14</v>
      </c>
      <c r="K33" s="23">
        <f>SUM(J33)+0.9</f>
        <v>14.9</v>
      </c>
      <c r="L33" s="23">
        <f>SUM(K33)+0.9</f>
        <v>15.8</v>
      </c>
      <c r="M33" s="76">
        <f>SUM(L33)+0.9</f>
        <v>16.7</v>
      </c>
    </row>
    <row r="34" spans="1:13" ht="14.1" customHeight="1">
      <c r="A34" s="66"/>
      <c r="B34" s="34" t="s">
        <v>695</v>
      </c>
      <c r="C34" s="35"/>
      <c r="D34" s="36"/>
      <c r="E34" s="37"/>
      <c r="F34" s="37"/>
      <c r="G34" s="38"/>
      <c r="H34" s="23"/>
      <c r="I34" s="23"/>
      <c r="J34" s="39"/>
      <c r="K34" s="32"/>
      <c r="L34" s="32"/>
      <c r="M34" s="82"/>
    </row>
    <row r="35" spans="1:13" ht="14.1" customHeight="1">
      <c r="A35" s="73">
        <v>17</v>
      </c>
      <c r="B35" s="53" t="s">
        <v>412</v>
      </c>
      <c r="C35" s="54"/>
      <c r="D35" s="44"/>
      <c r="E35" s="45"/>
      <c r="F35" s="45"/>
      <c r="G35" s="46"/>
      <c r="H35" s="47">
        <f>SUM(I35)-1.6</f>
        <v>18.799999999999997</v>
      </c>
      <c r="I35" s="47">
        <f>SUM(J35)-1.6</f>
        <v>20.399999999999999</v>
      </c>
      <c r="J35" s="21">
        <v>22</v>
      </c>
      <c r="K35" s="23">
        <f>SUM(J35)+1.6</f>
        <v>23.6</v>
      </c>
      <c r="L35" s="23">
        <f>SUM(K35)+1.6</f>
        <v>25.200000000000003</v>
      </c>
      <c r="M35" s="76">
        <f>SUM(L35)+1.6</f>
        <v>26.800000000000004</v>
      </c>
    </row>
    <row r="36" spans="1:13" ht="14.1" customHeight="1">
      <c r="A36" s="66"/>
      <c r="B36" s="34" t="s">
        <v>697</v>
      </c>
      <c r="C36" s="35"/>
      <c r="D36" s="36" t="s">
        <v>699</v>
      </c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73">
        <v>18</v>
      </c>
      <c r="B37" s="53" t="s">
        <v>696</v>
      </c>
      <c r="C37" s="54"/>
      <c r="D37" s="44"/>
      <c r="E37" s="45"/>
      <c r="F37" s="45"/>
      <c r="G37" s="46"/>
      <c r="H37" s="47">
        <f>SUM(I37)-1.8</f>
        <v>20.399999999999999</v>
      </c>
      <c r="I37" s="47">
        <f>SUM(J37)-1.8</f>
        <v>22.2</v>
      </c>
      <c r="J37" s="21">
        <v>24</v>
      </c>
      <c r="K37" s="23">
        <f>SUM(J37)+1.8</f>
        <v>25.8</v>
      </c>
      <c r="L37" s="23">
        <f>SUM(K37)+1.8</f>
        <v>27.6</v>
      </c>
      <c r="M37" s="76">
        <f>SUM(L37)+1.8</f>
        <v>29.400000000000002</v>
      </c>
    </row>
    <row r="38" spans="1:13" ht="14.1" customHeight="1">
      <c r="A38" s="66"/>
      <c r="B38" s="34" t="s">
        <v>698</v>
      </c>
      <c r="C38" s="35"/>
      <c r="D38" s="36" t="s">
        <v>699</v>
      </c>
      <c r="E38" s="37"/>
      <c r="F38" s="37"/>
      <c r="G38" s="38"/>
      <c r="H38" s="23"/>
      <c r="I38" s="23"/>
      <c r="J38" s="39"/>
      <c r="K38" s="32"/>
      <c r="L38" s="32"/>
      <c r="M38" s="82"/>
    </row>
    <row r="39" spans="1:13" ht="14.1" customHeight="1">
      <c r="A39" s="73">
        <v>19</v>
      </c>
      <c r="B39" s="49"/>
      <c r="C39" s="50"/>
      <c r="D39" s="93"/>
      <c r="E39" s="94"/>
      <c r="F39" s="94"/>
      <c r="G39" s="95"/>
      <c r="H39" s="51"/>
      <c r="I39" s="51"/>
      <c r="J39" s="39"/>
      <c r="K39" s="32"/>
      <c r="L39" s="32"/>
      <c r="M39" s="82"/>
    </row>
    <row r="40" spans="1:13" ht="14.1" customHeight="1" thickBot="1">
      <c r="A40" s="74"/>
      <c r="B40" s="27"/>
      <c r="C40" s="28"/>
      <c r="D40" s="29"/>
      <c r="E40" s="30"/>
      <c r="F40" s="30"/>
      <c r="G40" s="31"/>
      <c r="H40" s="48"/>
      <c r="I40" s="48"/>
      <c r="J40" s="22"/>
      <c r="K40" s="24"/>
      <c r="L40" s="24"/>
      <c r="M40" s="92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customFormat="1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4656-830E-46AC-ABD2-55CD6EFBAEA6}">
  <sheetPr>
    <tabColor theme="5"/>
    <pageSetUpPr fitToPage="1"/>
  </sheetPr>
  <dimension ref="A1:M57"/>
  <sheetViews>
    <sheetView zoomScale="110" zoomScaleNormal="110" workbookViewId="0">
      <selection sqref="A1:M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466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66">
        <v>1</v>
      </c>
      <c r="B3" s="101" t="s">
        <v>41</v>
      </c>
      <c r="C3" s="101"/>
      <c r="D3" s="103" t="s">
        <v>460</v>
      </c>
      <c r="E3" s="112"/>
      <c r="F3" s="112"/>
      <c r="G3" s="113"/>
      <c r="H3" s="51">
        <f>SUM(I3)-5</f>
        <v>54</v>
      </c>
      <c r="I3" s="51">
        <f>SUM(J3)-5</f>
        <v>59</v>
      </c>
      <c r="J3" s="114">
        <v>64</v>
      </c>
      <c r="K3" s="70">
        <f>SUM(J3)+5</f>
        <v>69</v>
      </c>
      <c r="L3" s="70">
        <f>SUM(K3)+5</f>
        <v>74</v>
      </c>
      <c r="M3" s="84">
        <f>SUM(L3)+5</f>
        <v>79</v>
      </c>
    </row>
    <row r="4" spans="1:13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23.4</v>
      </c>
      <c r="I5" s="51">
        <f>SUM(J5)-1.8</f>
        <v>25.2</v>
      </c>
      <c r="J5" s="60">
        <v>27</v>
      </c>
      <c r="K5" s="51">
        <f>SUM(J5)+1.8</f>
        <v>28.8</v>
      </c>
      <c r="L5" s="51">
        <f>SUM(K5)+1.8</f>
        <v>30.6</v>
      </c>
      <c r="M5" s="75">
        <f>SUM(L5)+1.8</f>
        <v>32.4</v>
      </c>
    </row>
    <row r="6" spans="1:13" s="1" customFormat="1" ht="14.1" customHeight="1">
      <c r="A6" s="40"/>
      <c r="B6" s="52" t="s">
        <v>24</v>
      </c>
      <c r="C6" s="52"/>
      <c r="D6" s="36" t="s">
        <v>272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</f>
        <v>29</v>
      </c>
      <c r="I7" s="51">
        <f>SUM(J7)-2</f>
        <v>31</v>
      </c>
      <c r="J7" s="60">
        <v>33</v>
      </c>
      <c r="K7" s="51">
        <f>SUM(J7)+2</f>
        <v>35</v>
      </c>
      <c r="L7" s="51">
        <f>SUM(K7)+2</f>
        <v>37</v>
      </c>
      <c r="M7" s="75">
        <f>SUM(L7)+2</f>
        <v>39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461</v>
      </c>
      <c r="C9" s="56"/>
      <c r="D9" s="55" t="s">
        <v>8</v>
      </c>
      <c r="E9" s="55"/>
      <c r="F9" s="55"/>
      <c r="G9" s="55"/>
      <c r="H9" s="51">
        <f>SUM(I9)-1.8</f>
        <v>26.4</v>
      </c>
      <c r="I9" s="51">
        <f>SUM(J9)-1.8</f>
        <v>28.2</v>
      </c>
      <c r="J9" s="60">
        <v>30</v>
      </c>
      <c r="K9" s="51">
        <f>SUM(J9)+1.8</f>
        <v>31.8</v>
      </c>
      <c r="L9" s="51">
        <f>SUM(K9)+1.8</f>
        <v>33.6</v>
      </c>
      <c r="M9" s="75">
        <f>SUM(L9)+1.8</f>
        <v>35.4</v>
      </c>
    </row>
    <row r="10" spans="1:13" s="1" customFormat="1" ht="14.1" customHeight="1">
      <c r="A10" s="40"/>
      <c r="B10" s="52" t="s">
        <v>423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462</v>
      </c>
      <c r="C11" s="56"/>
      <c r="D11" s="55"/>
      <c r="E11" s="55"/>
      <c r="F11" s="55"/>
      <c r="G11" s="55"/>
      <c r="H11" s="51">
        <f>SUM(I11)-0</f>
        <v>4</v>
      </c>
      <c r="I11" s="51">
        <f>SUM(J11)-0</f>
        <v>4</v>
      </c>
      <c r="J11" s="60">
        <v>4</v>
      </c>
      <c r="K11" s="51">
        <f>SUM(J11)+0.5</f>
        <v>4.5</v>
      </c>
      <c r="L11" s="51">
        <f>SUM(K11)+0</f>
        <v>4.5</v>
      </c>
      <c r="M11" s="75">
        <f>SUM(L11)+0</f>
        <v>4.5</v>
      </c>
    </row>
    <row r="12" spans="1:13" s="1" customFormat="1" ht="14.1" customHeight="1">
      <c r="A12" s="40"/>
      <c r="B12" s="52" t="s">
        <v>463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76"/>
    </row>
    <row r="13" spans="1:13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14.5</v>
      </c>
      <c r="I13" s="51">
        <f>SUM(J13)-0.8</f>
        <v>15.3</v>
      </c>
      <c r="J13" s="39">
        <v>16.100000000000001</v>
      </c>
      <c r="K13" s="32">
        <f>SUM(J13)+0.8</f>
        <v>16.900000000000002</v>
      </c>
      <c r="L13" s="32">
        <f>SUM(K13)+0.8</f>
        <v>17.700000000000003</v>
      </c>
      <c r="M13" s="82">
        <f>SUM(L13)+0.8</f>
        <v>18.500000000000004</v>
      </c>
    </row>
    <row r="14" spans="1:13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15.4</v>
      </c>
      <c r="I15" s="51">
        <f>SUM(J15)-0.6</f>
        <v>16</v>
      </c>
      <c r="J15" s="39">
        <v>16.600000000000001</v>
      </c>
      <c r="K15" s="51">
        <f>SUM(J15)+0.6</f>
        <v>17.200000000000003</v>
      </c>
      <c r="L15" s="51">
        <f>SUM(K15)+0.6</f>
        <v>17.800000000000004</v>
      </c>
      <c r="M15" s="75">
        <f>SUM(L15)+0.6</f>
        <v>18.400000000000006</v>
      </c>
    </row>
    <row r="16" spans="1:13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3" s="1" customFormat="1" ht="14.1" customHeight="1">
      <c r="A17" s="40">
        <v>8</v>
      </c>
      <c r="B17" s="49" t="s">
        <v>2</v>
      </c>
      <c r="C17" s="50"/>
      <c r="D17" s="55" t="s">
        <v>3</v>
      </c>
      <c r="E17" s="55"/>
      <c r="F17" s="55"/>
      <c r="G17" s="55"/>
      <c r="H17" s="51">
        <f>SUM(I17)-0.3</f>
        <v>6.4</v>
      </c>
      <c r="I17" s="51">
        <f>SUM(J17)-0.3</f>
        <v>6.7</v>
      </c>
      <c r="J17" s="39">
        <v>7</v>
      </c>
      <c r="K17" s="32">
        <f>SUM(J17)+0.3</f>
        <v>7.3</v>
      </c>
      <c r="L17" s="32">
        <f>SUM(K17)+0.3</f>
        <v>7.6</v>
      </c>
      <c r="M17" s="82">
        <f>SUM(L17)+0.3</f>
        <v>7.8999999999999995</v>
      </c>
    </row>
    <row r="18" spans="1:13" s="1" customFormat="1" ht="14.1" customHeight="1">
      <c r="A18" s="40"/>
      <c r="B18" s="34" t="s">
        <v>28</v>
      </c>
      <c r="C18" s="35"/>
      <c r="D18" s="36" t="s">
        <v>49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49" t="s">
        <v>74</v>
      </c>
      <c r="C19" s="50"/>
      <c r="D19" s="57" t="s">
        <v>75</v>
      </c>
      <c r="E19" s="58"/>
      <c r="F19" s="58"/>
      <c r="G19" s="59"/>
      <c r="H19" s="51"/>
      <c r="I19" s="51"/>
      <c r="J19" s="39"/>
      <c r="K19" s="32"/>
      <c r="L19" s="32"/>
      <c r="M19" s="82"/>
    </row>
    <row r="20" spans="1:13" s="1" customFormat="1" ht="14.1" customHeight="1">
      <c r="A20" s="40"/>
      <c r="B20" s="52" t="s">
        <v>35</v>
      </c>
      <c r="C20" s="52"/>
      <c r="D20" s="36" t="s">
        <v>85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49" t="s">
        <v>76</v>
      </c>
      <c r="C21" s="50"/>
      <c r="D21" s="58" t="s">
        <v>211</v>
      </c>
      <c r="E21" s="58"/>
      <c r="F21" s="58"/>
      <c r="G21" s="58"/>
      <c r="H21" s="51">
        <f>SUM(I21)-0.2</f>
        <v>7.6</v>
      </c>
      <c r="I21" s="51">
        <f>SUM(J21)-0.2</f>
        <v>7.8</v>
      </c>
      <c r="J21" s="60">
        <v>8</v>
      </c>
      <c r="K21" s="51">
        <f>SUM(J21)+0.2</f>
        <v>8.1999999999999993</v>
      </c>
      <c r="L21" s="51">
        <f>SUM(K21)+0.2</f>
        <v>8.3999999999999986</v>
      </c>
      <c r="M21" s="75">
        <f>SUM(L21)+0.2</f>
        <v>8.5999999999999979</v>
      </c>
    </row>
    <row r="22" spans="1:13" s="1" customFormat="1" ht="14.1" customHeight="1">
      <c r="A22" s="40"/>
      <c r="B22" s="105" t="s">
        <v>36</v>
      </c>
      <c r="C22" s="105"/>
      <c r="D22" s="67" t="s">
        <v>212</v>
      </c>
      <c r="E22" s="68"/>
      <c r="F22" s="68"/>
      <c r="G22" s="69"/>
      <c r="H22" s="23"/>
      <c r="I22" s="23"/>
      <c r="J22" s="21"/>
      <c r="K22" s="23"/>
      <c r="L22" s="23"/>
      <c r="M22" s="76"/>
    </row>
    <row r="23" spans="1:13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SUM(I23)-3.6</f>
        <v>32.299999999999997</v>
      </c>
      <c r="I23" s="51">
        <f>SUM(J23)-3.6</f>
        <v>35.9</v>
      </c>
      <c r="J23" s="39">
        <v>39.5</v>
      </c>
      <c r="K23" s="32">
        <f>SUM(J23)+3.6</f>
        <v>43.1</v>
      </c>
      <c r="L23" s="32">
        <f>SUM(K23)+3.6</f>
        <v>46.7</v>
      </c>
      <c r="M23" s="82">
        <f>SUM(L23)+3.6</f>
        <v>50.300000000000004</v>
      </c>
    </row>
    <row r="24" spans="1:13" s="1" customFormat="1" ht="14.1" customHeight="1">
      <c r="A24" s="40"/>
      <c r="B24" s="52" t="s">
        <v>29</v>
      </c>
      <c r="C24" s="52"/>
      <c r="D24" s="36" t="s">
        <v>50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SUM(I25)-1.3</f>
        <v>23.4</v>
      </c>
      <c r="I25" s="51">
        <f>SUM(J25)-1.3</f>
        <v>24.7</v>
      </c>
      <c r="J25" s="39">
        <v>26</v>
      </c>
      <c r="K25" s="32">
        <f>SUM(J25)+1.3</f>
        <v>27.3</v>
      </c>
      <c r="L25" s="32">
        <f>SUM(K25)+1.3</f>
        <v>28.6</v>
      </c>
      <c r="M25" s="82">
        <f>SUM(L25)+1.3</f>
        <v>29.900000000000002</v>
      </c>
    </row>
    <row r="26" spans="1:13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 t="s">
        <v>99</v>
      </c>
      <c r="C27" s="50"/>
      <c r="D27" s="55" t="s">
        <v>69</v>
      </c>
      <c r="E27" s="55"/>
      <c r="F27" s="55"/>
      <c r="G27" s="55"/>
      <c r="H27" s="51">
        <f>SUM(I27)-0.6</f>
        <v>14</v>
      </c>
      <c r="I27" s="51">
        <f>SUM(J27)-0.6</f>
        <v>14.6</v>
      </c>
      <c r="J27" s="39">
        <v>15.2</v>
      </c>
      <c r="K27" s="51">
        <f>SUM(J27)+0.6</f>
        <v>15.799999999999999</v>
      </c>
      <c r="L27" s="51">
        <f>SUM(K27)+0.6</f>
        <v>16.399999999999999</v>
      </c>
      <c r="M27" s="75">
        <f>SUM(L27)+0.6</f>
        <v>17</v>
      </c>
    </row>
    <row r="28" spans="1:13" s="1" customFormat="1" ht="14.1" customHeight="1">
      <c r="A28" s="40"/>
      <c r="B28" s="52" t="s">
        <v>31</v>
      </c>
      <c r="C28" s="52"/>
      <c r="D28" s="36" t="s">
        <v>70</v>
      </c>
      <c r="E28" s="37"/>
      <c r="F28" s="37"/>
      <c r="G28" s="38"/>
      <c r="H28" s="23"/>
      <c r="I28" s="23"/>
      <c r="J28" s="39"/>
      <c r="K28" s="23"/>
      <c r="L28" s="23"/>
      <c r="M28" s="76"/>
    </row>
    <row r="29" spans="1:13" s="1" customFormat="1" ht="14.1" customHeight="1">
      <c r="A29" s="40">
        <v>14</v>
      </c>
      <c r="B29" s="49" t="s">
        <v>348</v>
      </c>
      <c r="C29" s="50"/>
      <c r="D29" s="55"/>
      <c r="E29" s="55"/>
      <c r="F29" s="55"/>
      <c r="G29" s="55"/>
      <c r="H29" s="51">
        <f>SUM(I29)-0</f>
        <v>3.5</v>
      </c>
      <c r="I29" s="51">
        <f>SUM(J29)-0</f>
        <v>3.5</v>
      </c>
      <c r="J29" s="60">
        <v>3.5</v>
      </c>
      <c r="K29" s="51">
        <f>SUM(J29)+0.5</f>
        <v>4</v>
      </c>
      <c r="L29" s="51">
        <f>SUM(K29)+0</f>
        <v>4</v>
      </c>
      <c r="M29" s="75">
        <f>SUM(L29)+0</f>
        <v>4</v>
      </c>
    </row>
    <row r="30" spans="1:13" s="1" customFormat="1" ht="14.1" customHeight="1">
      <c r="A30" s="40"/>
      <c r="B30" s="34" t="s">
        <v>349</v>
      </c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s="1" customFormat="1" ht="14.1" customHeight="1">
      <c r="A31" s="40">
        <v>15</v>
      </c>
      <c r="B31" s="49" t="s">
        <v>467</v>
      </c>
      <c r="C31" s="50"/>
      <c r="D31" s="57"/>
      <c r="E31" s="58"/>
      <c r="F31" s="58"/>
      <c r="G31" s="59"/>
      <c r="H31" s="51">
        <f>SUM(I31)-2</f>
        <v>18</v>
      </c>
      <c r="I31" s="51">
        <f>SUM(J31)-2</f>
        <v>20</v>
      </c>
      <c r="J31" s="39">
        <v>22</v>
      </c>
      <c r="K31" s="32">
        <f>SUM(J31)+2</f>
        <v>24</v>
      </c>
      <c r="L31" s="32">
        <f>SUM(K31)+2</f>
        <v>26</v>
      </c>
      <c r="M31" s="82">
        <f>SUM(L31)+2</f>
        <v>28</v>
      </c>
    </row>
    <row r="32" spans="1:13" s="1" customFormat="1" ht="14.1" customHeight="1">
      <c r="A32" s="111"/>
      <c r="B32" s="34" t="s">
        <v>469</v>
      </c>
      <c r="C32" s="35"/>
      <c r="D32" s="36" t="s">
        <v>468</v>
      </c>
      <c r="E32" s="37"/>
      <c r="F32" s="37"/>
      <c r="G32" s="38"/>
      <c r="H32" s="23"/>
      <c r="I32" s="23"/>
      <c r="J32" s="39"/>
      <c r="K32" s="32"/>
      <c r="L32" s="32"/>
      <c r="M32" s="82"/>
    </row>
    <row r="33" spans="1:13" s="1" customFormat="1" ht="14.1" customHeight="1">
      <c r="A33" s="111">
        <v>16</v>
      </c>
      <c r="B33" s="49" t="s">
        <v>464</v>
      </c>
      <c r="C33" s="50"/>
      <c r="D33" s="57"/>
      <c r="E33" s="58"/>
      <c r="F33" s="58"/>
      <c r="G33" s="59"/>
      <c r="H33" s="51">
        <f>SUM(I33)-3</f>
        <v>36</v>
      </c>
      <c r="I33" s="51">
        <f>SUM(J33)-3</f>
        <v>39</v>
      </c>
      <c r="J33" s="39">
        <v>42</v>
      </c>
      <c r="K33" s="32">
        <f>SUM(J33)+3</f>
        <v>45</v>
      </c>
      <c r="L33" s="32">
        <f>SUM(K33)+3</f>
        <v>48</v>
      </c>
      <c r="M33" s="82">
        <f>SUM(L33)+3</f>
        <v>51</v>
      </c>
    </row>
    <row r="34" spans="1:13" s="1" customFormat="1" ht="14.1" customHeight="1">
      <c r="A34" s="66"/>
      <c r="B34" s="34" t="s">
        <v>465</v>
      </c>
      <c r="C34" s="35"/>
      <c r="D34" s="36" t="s">
        <v>470</v>
      </c>
      <c r="E34" s="37"/>
      <c r="F34" s="37"/>
      <c r="G34" s="38"/>
      <c r="H34" s="23"/>
      <c r="I34" s="23"/>
      <c r="J34" s="39"/>
      <c r="K34" s="32"/>
      <c r="L34" s="32"/>
      <c r="M34" s="82"/>
    </row>
    <row r="35" spans="1:13" s="1" customFormat="1" ht="14.1" customHeight="1">
      <c r="A35" s="111">
        <v>17</v>
      </c>
      <c r="B35" s="49" t="s">
        <v>473</v>
      </c>
      <c r="C35" s="50"/>
      <c r="D35" s="57"/>
      <c r="E35" s="58"/>
      <c r="F35" s="58"/>
      <c r="G35" s="59"/>
      <c r="H35" s="51">
        <f>SUM(I35)</f>
        <v>3.5</v>
      </c>
      <c r="I35" s="51">
        <f>SUM(J35)</f>
        <v>3.5</v>
      </c>
      <c r="J35" s="39">
        <v>3.5</v>
      </c>
      <c r="K35" s="32">
        <f>SUM(J35)</f>
        <v>3.5</v>
      </c>
      <c r="L35" s="32">
        <f>SUM(K35)</f>
        <v>3.5</v>
      </c>
      <c r="M35" s="82">
        <f>SUM(L35)</f>
        <v>3.5</v>
      </c>
    </row>
    <row r="36" spans="1:13" s="1" customFormat="1" ht="14.1" customHeight="1">
      <c r="A36" s="66"/>
      <c r="B36" s="34" t="s">
        <v>474</v>
      </c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82"/>
    </row>
    <row r="37" spans="1:13" s="1" customFormat="1" ht="14.1" customHeight="1">
      <c r="A37" s="111">
        <v>18</v>
      </c>
      <c r="B37" s="49" t="s">
        <v>471</v>
      </c>
      <c r="C37" s="50"/>
      <c r="D37" s="57"/>
      <c r="E37" s="58"/>
      <c r="F37" s="58"/>
      <c r="G37" s="59"/>
      <c r="H37" s="51">
        <f>SUM(I37)-0.5</f>
        <v>7</v>
      </c>
      <c r="I37" s="51">
        <f>SUM(J37)-0.5</f>
        <v>7.5</v>
      </c>
      <c r="J37" s="39">
        <v>8</v>
      </c>
      <c r="K37" s="32">
        <f>SUM(J37)+0.5</f>
        <v>8.5</v>
      </c>
      <c r="L37" s="32">
        <f>SUM(K37)+0.5</f>
        <v>9</v>
      </c>
      <c r="M37" s="82">
        <f>SUM(L37)+0.5</f>
        <v>9.5</v>
      </c>
    </row>
    <row r="38" spans="1:13" s="1" customFormat="1" ht="14.1" customHeight="1">
      <c r="A38" s="66"/>
      <c r="B38" s="34" t="s">
        <v>472</v>
      </c>
      <c r="C38" s="35"/>
      <c r="D38" s="36"/>
      <c r="E38" s="37"/>
      <c r="F38" s="37"/>
      <c r="G38" s="38"/>
      <c r="H38" s="23"/>
      <c r="I38" s="23"/>
      <c r="J38" s="39"/>
      <c r="K38" s="32"/>
      <c r="L38" s="32"/>
      <c r="M38" s="82"/>
    </row>
    <row r="39" spans="1:13" s="1" customFormat="1" ht="14.1" customHeight="1">
      <c r="A39" s="111">
        <v>19</v>
      </c>
      <c r="B39" s="49"/>
      <c r="C39" s="50"/>
      <c r="D39" s="57"/>
      <c r="E39" s="58"/>
      <c r="F39" s="58"/>
      <c r="G39" s="59"/>
      <c r="H39" s="51"/>
      <c r="I39" s="51"/>
      <c r="J39" s="60"/>
      <c r="K39" s="51"/>
      <c r="L39" s="51"/>
      <c r="M39" s="75"/>
    </row>
    <row r="40" spans="1:13" s="1" customFormat="1" ht="14.1" customHeight="1" thickBot="1">
      <c r="A40" s="74"/>
      <c r="B40" s="27"/>
      <c r="C40" s="28"/>
      <c r="D40" s="29"/>
      <c r="E40" s="30"/>
      <c r="F40" s="30"/>
      <c r="G40" s="31"/>
      <c r="H40" s="48"/>
      <c r="I40" s="48"/>
      <c r="J40" s="110"/>
      <c r="K40" s="48"/>
      <c r="L40" s="48"/>
      <c r="M40" s="109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7:A38"/>
    <mergeCell ref="B37:C37"/>
    <mergeCell ref="D37:G37"/>
    <mergeCell ref="H37:H38"/>
    <mergeCell ref="I37:I38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9:K40"/>
    <mergeCell ref="L39:L40"/>
    <mergeCell ref="M39:M40"/>
    <mergeCell ref="B40:C40"/>
    <mergeCell ref="D40:G40"/>
    <mergeCell ref="J39:J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B898-DD46-4774-ACA5-4F6FFF91A6A8}">
  <sheetPr>
    <tabColor theme="5"/>
    <pageSetUpPr fitToPage="1"/>
  </sheetPr>
  <dimension ref="A1:R57"/>
  <sheetViews>
    <sheetView zoomScale="110" zoomScaleNormal="110" workbookViewId="0">
      <selection activeCell="P18" sqref="P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62" t="s">
        <v>785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8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8" s="1" customFormat="1" ht="14.1" customHeight="1">
      <c r="A3" s="73">
        <v>1</v>
      </c>
      <c r="B3" s="105" t="s">
        <v>41</v>
      </c>
      <c r="C3" s="105"/>
      <c r="D3" s="99" t="s">
        <v>527</v>
      </c>
      <c r="E3" s="99"/>
      <c r="F3" s="99"/>
      <c r="G3" s="67"/>
      <c r="H3" s="47">
        <f>SUM(I3)-4.6</f>
        <v>49.3</v>
      </c>
      <c r="I3" s="47">
        <f>SUM(J3)-4.6</f>
        <v>53.9</v>
      </c>
      <c r="J3" s="100">
        <v>58.5</v>
      </c>
      <c r="K3" s="47">
        <f>SUM(J3)+4.6</f>
        <v>63.1</v>
      </c>
      <c r="L3" s="47">
        <f t="shared" ref="L3" si="0">SUM(K3)+4.6</f>
        <v>67.7</v>
      </c>
      <c r="M3" s="104">
        <f t="shared" ref="M3" si="1">SUM(L3)+4.6</f>
        <v>72.3</v>
      </c>
    </row>
    <row r="4" spans="1:18" s="1" customFormat="1" ht="14.1" customHeight="1">
      <c r="A4" s="73"/>
      <c r="B4" s="105" t="s">
        <v>853</v>
      </c>
      <c r="C4" s="105"/>
      <c r="D4" s="67" t="s">
        <v>525</v>
      </c>
      <c r="E4" s="68"/>
      <c r="F4" s="68"/>
      <c r="G4" s="68"/>
      <c r="H4" s="47"/>
      <c r="I4" s="47"/>
      <c r="J4" s="100"/>
      <c r="K4" s="47"/>
      <c r="L4" s="47"/>
      <c r="M4" s="104"/>
    </row>
    <row r="5" spans="1:18" s="1" customFormat="1" ht="14.25" customHeight="1">
      <c r="A5" s="111">
        <v>2</v>
      </c>
      <c r="B5" s="56" t="s">
        <v>41</v>
      </c>
      <c r="C5" s="56"/>
      <c r="D5" s="55" t="s">
        <v>527</v>
      </c>
      <c r="E5" s="55"/>
      <c r="F5" s="55"/>
      <c r="G5" s="57"/>
      <c r="H5" s="51">
        <f>SUM(I5)-4.5</f>
        <v>48.5</v>
      </c>
      <c r="I5" s="51">
        <f>SUM(J5)-4.5</f>
        <v>53</v>
      </c>
      <c r="J5" s="60">
        <v>57.5</v>
      </c>
      <c r="K5" s="51">
        <f>SUM(J5)+4.5</f>
        <v>62</v>
      </c>
      <c r="L5" s="51">
        <f>SUM(K5)+4.5</f>
        <v>66.5</v>
      </c>
      <c r="M5" s="75">
        <f>SUM(L5)+4.5</f>
        <v>71</v>
      </c>
    </row>
    <row r="6" spans="1:18" s="1" customFormat="1" ht="14.1" customHeight="1">
      <c r="A6" s="66"/>
      <c r="B6" s="52" t="s">
        <v>854</v>
      </c>
      <c r="C6" s="52"/>
      <c r="D6" s="36" t="s">
        <v>525</v>
      </c>
      <c r="E6" s="37"/>
      <c r="F6" s="37"/>
      <c r="G6" s="37"/>
      <c r="H6" s="23"/>
      <c r="I6" s="23"/>
      <c r="J6" s="21"/>
      <c r="K6" s="23"/>
      <c r="L6" s="23"/>
      <c r="M6" s="76"/>
    </row>
    <row r="7" spans="1:18" s="1" customFormat="1" ht="14.1" customHeight="1">
      <c r="A7" s="73">
        <v>3</v>
      </c>
      <c r="B7" s="56" t="s">
        <v>419</v>
      </c>
      <c r="C7" s="56"/>
      <c r="D7" s="55" t="s">
        <v>437</v>
      </c>
      <c r="E7" s="55"/>
      <c r="F7" s="55"/>
      <c r="G7" s="55"/>
      <c r="H7" s="51">
        <f>SUM(I7)-0.6</f>
        <v>8.8000000000000007</v>
      </c>
      <c r="I7" s="51">
        <f>SUM(J7)-0.6</f>
        <v>9.4</v>
      </c>
      <c r="J7" s="60">
        <v>10</v>
      </c>
      <c r="K7" s="51">
        <f>SUM(J7)+0.6</f>
        <v>10.6</v>
      </c>
      <c r="L7" s="51">
        <f t="shared" ref="L7:M7" si="2">SUM(K7)+0.6</f>
        <v>11.2</v>
      </c>
      <c r="M7" s="75">
        <f t="shared" si="2"/>
        <v>11.799999999999999</v>
      </c>
    </row>
    <row r="8" spans="1:18" s="1" customFormat="1" ht="14.1" customHeight="1">
      <c r="A8" s="66"/>
      <c r="B8" s="52" t="s">
        <v>420</v>
      </c>
      <c r="C8" s="52"/>
      <c r="D8" s="36" t="s">
        <v>421</v>
      </c>
      <c r="E8" s="37"/>
      <c r="F8" s="37"/>
      <c r="G8" s="38"/>
      <c r="H8" s="23"/>
      <c r="I8" s="23"/>
      <c r="J8" s="21"/>
      <c r="K8" s="23"/>
      <c r="L8" s="23"/>
      <c r="M8" s="76"/>
    </row>
    <row r="9" spans="1:18" s="1" customFormat="1" ht="14.1" customHeight="1">
      <c r="A9" s="73">
        <v>4</v>
      </c>
      <c r="B9" s="56" t="s">
        <v>37</v>
      </c>
      <c r="C9" s="56"/>
      <c r="D9" s="55" t="s">
        <v>73</v>
      </c>
      <c r="E9" s="55"/>
      <c r="F9" s="55"/>
      <c r="G9" s="55"/>
      <c r="H9" s="51">
        <f>SUM(I9)-2</f>
        <v>28</v>
      </c>
      <c r="I9" s="51">
        <f>SUM(J9)-2</f>
        <v>30</v>
      </c>
      <c r="J9" s="60">
        <v>32</v>
      </c>
      <c r="K9" s="51">
        <f>SUM(J9)+1.8</f>
        <v>33.799999999999997</v>
      </c>
      <c r="L9" s="51">
        <f>SUM(K9)+1.8</f>
        <v>35.599999999999994</v>
      </c>
      <c r="M9" s="75">
        <f>SUM(L9)+1.8</f>
        <v>37.399999999999991</v>
      </c>
    </row>
    <row r="10" spans="1:18" s="1" customFormat="1" ht="14.1" customHeight="1" thickBot="1">
      <c r="A10" s="66"/>
      <c r="B10" s="52" t="s">
        <v>42</v>
      </c>
      <c r="C10" s="52"/>
      <c r="D10" s="36" t="s">
        <v>45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8" s="1" customFormat="1" ht="14.1" customHeight="1" thickTop="1">
      <c r="A11" s="73">
        <v>5</v>
      </c>
      <c r="B11" s="56" t="s">
        <v>355</v>
      </c>
      <c r="C11" s="56"/>
      <c r="D11" s="55"/>
      <c r="E11" s="55"/>
      <c r="F11" s="55"/>
      <c r="G11" s="55"/>
      <c r="H11" s="51">
        <f>SUM(I11)-3</f>
        <v>52</v>
      </c>
      <c r="I11" s="51">
        <f>SUM(J11)-3</f>
        <v>55</v>
      </c>
      <c r="J11" s="60">
        <v>58</v>
      </c>
      <c r="K11" s="51">
        <f>SUM(J11)+3</f>
        <v>61</v>
      </c>
      <c r="L11" s="51">
        <f>SUM(K11)+3</f>
        <v>64</v>
      </c>
      <c r="M11" s="75">
        <f>SUM(L11)+3</f>
        <v>67</v>
      </c>
      <c r="Q11" s="11" t="s">
        <v>207</v>
      </c>
      <c r="R11" s="11" t="s">
        <v>534</v>
      </c>
    </row>
    <row r="12" spans="1:18" s="1" customFormat="1" ht="14.1" customHeight="1">
      <c r="A12" s="66"/>
      <c r="B12" s="52" t="s">
        <v>789</v>
      </c>
      <c r="C12" s="52"/>
      <c r="D12" s="36" t="s">
        <v>673</v>
      </c>
      <c r="E12" s="37"/>
      <c r="F12" s="37"/>
      <c r="G12" s="38"/>
      <c r="H12" s="23"/>
      <c r="I12" s="23"/>
      <c r="J12" s="21"/>
      <c r="K12" s="23"/>
      <c r="L12" s="23"/>
      <c r="M12" s="76"/>
      <c r="Q12" s="12">
        <f>SUM(H48+I48+J48+K48+L48+M48)*2</f>
        <v>56.400000000000006</v>
      </c>
      <c r="R12" s="12">
        <f>SUM(H11+I11+J11+K11+L11+M11)</f>
        <v>357</v>
      </c>
    </row>
    <row r="13" spans="1:18" s="1" customFormat="1" ht="14.1" customHeight="1" thickBot="1">
      <c r="A13" s="73">
        <v>6</v>
      </c>
      <c r="B13" s="49" t="s">
        <v>790</v>
      </c>
      <c r="C13" s="50"/>
      <c r="D13" s="57"/>
      <c r="E13" s="58"/>
      <c r="F13" s="58"/>
      <c r="G13" s="59"/>
      <c r="H13" s="51">
        <f>SUM(I13)-1</f>
        <v>13</v>
      </c>
      <c r="I13" s="51">
        <f>SUM(J13)-1</f>
        <v>14</v>
      </c>
      <c r="J13" s="60">
        <v>15</v>
      </c>
      <c r="K13" s="51">
        <f>SUM(J13)+0.8</f>
        <v>15.8</v>
      </c>
      <c r="L13" s="51">
        <f>SUM(K13)+0.8</f>
        <v>16.600000000000001</v>
      </c>
      <c r="M13" s="75">
        <f>SUM(L13)+0.8</f>
        <v>17.400000000000002</v>
      </c>
      <c r="Q13" s="13">
        <f>SUM(Q12/91.44/6*1.08)</f>
        <v>0.11102362204724411</v>
      </c>
      <c r="R13" s="13">
        <f>SUM(R12/91.44/6*1.08)</f>
        <v>0.70275590551181111</v>
      </c>
    </row>
    <row r="14" spans="1:18" s="1" customFormat="1" ht="14.1" customHeight="1" thickTop="1">
      <c r="A14" s="66"/>
      <c r="B14" s="52" t="s">
        <v>791</v>
      </c>
      <c r="C14" s="52"/>
      <c r="D14" s="36" t="s">
        <v>426</v>
      </c>
      <c r="E14" s="37"/>
      <c r="F14" s="37"/>
      <c r="G14" s="38"/>
      <c r="H14" s="23"/>
      <c r="I14" s="23"/>
      <c r="J14" s="21"/>
      <c r="K14" s="23"/>
      <c r="L14" s="23"/>
      <c r="M14" s="76"/>
    </row>
    <row r="15" spans="1:18" s="1" customFormat="1" ht="14.1" customHeight="1">
      <c r="A15" s="73">
        <v>7</v>
      </c>
      <c r="B15" s="53" t="s">
        <v>694</v>
      </c>
      <c r="C15" s="54"/>
      <c r="D15" s="44"/>
      <c r="E15" s="45"/>
      <c r="F15" s="45"/>
      <c r="G15" s="46"/>
      <c r="H15" s="47">
        <f>SUM(I15)-3.1</f>
        <v>33.299999999999997</v>
      </c>
      <c r="I15" s="47">
        <f>SUM(J15)-3.1</f>
        <v>36.4</v>
      </c>
      <c r="J15" s="21">
        <v>39.5</v>
      </c>
      <c r="K15" s="23">
        <f>SUM(J15)+3.1</f>
        <v>42.6</v>
      </c>
      <c r="L15" s="23">
        <f t="shared" ref="L15" si="3">SUM(K15)+3.1</f>
        <v>45.7</v>
      </c>
      <c r="M15" s="76">
        <f>SUM(L15)+3.1</f>
        <v>48.800000000000004</v>
      </c>
    </row>
    <row r="16" spans="1:18" s="1" customFormat="1" ht="14.1" customHeight="1">
      <c r="A16" s="66"/>
      <c r="B16" s="34" t="s">
        <v>368</v>
      </c>
      <c r="C16" s="35"/>
      <c r="D16" s="36" t="s">
        <v>286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73">
        <v>8</v>
      </c>
      <c r="B17" s="53" t="s">
        <v>410</v>
      </c>
      <c r="C17" s="54"/>
      <c r="D17" s="44"/>
      <c r="E17" s="45"/>
      <c r="F17" s="45"/>
      <c r="G17" s="46"/>
      <c r="H17" s="47">
        <f>SUM(I17)-1.3</f>
        <v>13.399999999999999</v>
      </c>
      <c r="I17" s="47">
        <f>SUM(J17)-1.3</f>
        <v>14.7</v>
      </c>
      <c r="J17" s="21">
        <v>16</v>
      </c>
      <c r="K17" s="23">
        <f>SUM(J17)+1.3</f>
        <v>17.3</v>
      </c>
      <c r="L17" s="23">
        <f>SUM(K17)+1.3</f>
        <v>18.600000000000001</v>
      </c>
      <c r="M17" s="76">
        <f>SUM(L17)+1.3</f>
        <v>19.900000000000002</v>
      </c>
    </row>
    <row r="18" spans="1:13" s="1" customFormat="1" ht="14.1" customHeight="1">
      <c r="A18" s="66"/>
      <c r="B18" s="34" t="s">
        <v>695</v>
      </c>
      <c r="C18" s="35"/>
      <c r="D18" s="36" t="s">
        <v>286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73">
        <v>9</v>
      </c>
      <c r="B19" s="53" t="s">
        <v>412</v>
      </c>
      <c r="C19" s="54"/>
      <c r="D19" s="44"/>
      <c r="E19" s="45"/>
      <c r="F19" s="45"/>
      <c r="G19" s="46"/>
      <c r="H19" s="47">
        <f>SUM(I19)-0.9</f>
        <v>10</v>
      </c>
      <c r="I19" s="47">
        <f>SUM(J19)-0.9</f>
        <v>10.9</v>
      </c>
      <c r="J19" s="21">
        <v>11.8</v>
      </c>
      <c r="K19" s="23">
        <f>SUM(J19)+0.9</f>
        <v>12.700000000000001</v>
      </c>
      <c r="L19" s="23">
        <f>SUM(K19)+0.9</f>
        <v>13.600000000000001</v>
      </c>
      <c r="M19" s="76">
        <f>SUM(L19)+0.9</f>
        <v>14.500000000000002</v>
      </c>
    </row>
    <row r="20" spans="1:13" s="1" customFormat="1" ht="14.1" customHeight="1">
      <c r="A20" s="66"/>
      <c r="B20" s="34" t="s">
        <v>697</v>
      </c>
      <c r="C20" s="35"/>
      <c r="D20" s="36" t="s">
        <v>792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73">
        <v>10</v>
      </c>
      <c r="B21" s="53" t="s">
        <v>696</v>
      </c>
      <c r="C21" s="54"/>
      <c r="D21" s="44"/>
      <c r="E21" s="45"/>
      <c r="F21" s="45"/>
      <c r="G21" s="46"/>
      <c r="H21" s="47">
        <f>SUM(I21)-0.9</f>
        <v>10</v>
      </c>
      <c r="I21" s="47">
        <f>SUM(J21)-0.9</f>
        <v>10.9</v>
      </c>
      <c r="J21" s="21">
        <v>11.8</v>
      </c>
      <c r="K21" s="23">
        <f>SUM(J21)+0.9</f>
        <v>12.700000000000001</v>
      </c>
      <c r="L21" s="23">
        <f>SUM(K21)+0.9</f>
        <v>13.600000000000001</v>
      </c>
      <c r="M21" s="76">
        <f>SUM(L21)+0.9</f>
        <v>14.500000000000002</v>
      </c>
    </row>
    <row r="22" spans="1:13" s="1" customFormat="1" ht="14.1" customHeight="1">
      <c r="A22" s="66"/>
      <c r="B22" s="34" t="s">
        <v>698</v>
      </c>
      <c r="C22" s="35"/>
      <c r="D22" s="36" t="s">
        <v>792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73">
        <v>11</v>
      </c>
      <c r="B23" s="49"/>
      <c r="C23" s="50"/>
      <c r="D23" s="93"/>
      <c r="E23" s="94"/>
      <c r="F23" s="94"/>
      <c r="G23" s="95"/>
      <c r="H23" s="47"/>
      <c r="I23" s="47"/>
      <c r="J23" s="21"/>
      <c r="K23" s="23"/>
      <c r="L23" s="23"/>
      <c r="M23" s="76"/>
    </row>
    <row r="24" spans="1:13" s="1" customFormat="1" ht="14.1" customHeight="1" thickBot="1">
      <c r="A24" s="66"/>
      <c r="B24" s="34"/>
      <c r="C24" s="35"/>
      <c r="D24" s="36"/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 thickTop="1" thickBot="1">
      <c r="A25" s="115" t="s">
        <v>787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s="1" customFormat="1" ht="14.1" customHeight="1" thickTop="1">
      <c r="A26" s="66">
        <v>12</v>
      </c>
      <c r="B26" s="118" t="s">
        <v>195</v>
      </c>
      <c r="C26" s="119"/>
      <c r="D26" s="120" t="s">
        <v>788</v>
      </c>
      <c r="E26" s="121"/>
      <c r="F26" s="121"/>
      <c r="G26" s="122"/>
      <c r="H26" s="47">
        <f>SUM(I26)-2.4</f>
        <v>26.400000000000002</v>
      </c>
      <c r="I26" s="47">
        <f>SUM(J26)-2.4</f>
        <v>28.8</v>
      </c>
      <c r="J26" s="100">
        <v>31.2</v>
      </c>
      <c r="K26" s="47">
        <f>SUM(J26)+2.4</f>
        <v>33.6</v>
      </c>
      <c r="L26" s="47">
        <f t="shared" ref="L26:M26" si="4">SUM(K26)+2.4</f>
        <v>36</v>
      </c>
      <c r="M26" s="104">
        <f t="shared" si="4"/>
        <v>38.4</v>
      </c>
    </row>
    <row r="27" spans="1:13" s="1" customFormat="1" ht="14.1" customHeight="1">
      <c r="A27" s="40"/>
      <c r="B27" s="34" t="s">
        <v>198</v>
      </c>
      <c r="C27" s="35"/>
      <c r="D27" s="36" t="s">
        <v>786</v>
      </c>
      <c r="E27" s="37"/>
      <c r="F27" s="37"/>
      <c r="G27" s="38"/>
      <c r="H27" s="23"/>
      <c r="I27" s="23"/>
      <c r="J27" s="21"/>
      <c r="K27" s="23"/>
      <c r="L27" s="23"/>
      <c r="M27" s="76"/>
    </row>
    <row r="28" spans="1:13" s="1" customFormat="1" ht="14.1" customHeight="1">
      <c r="A28" s="40">
        <v>13</v>
      </c>
      <c r="B28" s="56" t="s">
        <v>39</v>
      </c>
      <c r="C28" s="56"/>
      <c r="D28" s="55" t="s">
        <v>40</v>
      </c>
      <c r="E28" s="55"/>
      <c r="F28" s="55"/>
      <c r="G28" s="55"/>
      <c r="H28" s="51">
        <f>SUM(I28)-1.8</f>
        <v>23.4</v>
      </c>
      <c r="I28" s="51">
        <f>SUM(J28)-1.8</f>
        <v>25.2</v>
      </c>
      <c r="J28" s="60">
        <v>27</v>
      </c>
      <c r="K28" s="51">
        <f>SUM(J28)+1.6</f>
        <v>28.6</v>
      </c>
      <c r="L28" s="51">
        <f t="shared" ref="L28:M28" si="5">SUM(K28)+1.6</f>
        <v>30.200000000000003</v>
      </c>
      <c r="M28" s="75">
        <f t="shared" si="5"/>
        <v>31.800000000000004</v>
      </c>
    </row>
    <row r="29" spans="1:13" s="1" customFormat="1" ht="14.1" customHeight="1">
      <c r="A29" s="40"/>
      <c r="B29" s="52" t="s">
        <v>24</v>
      </c>
      <c r="C29" s="52"/>
      <c r="D29" s="36" t="s">
        <v>44</v>
      </c>
      <c r="E29" s="37"/>
      <c r="F29" s="37"/>
      <c r="G29" s="38"/>
      <c r="H29" s="23"/>
      <c r="I29" s="23"/>
      <c r="J29" s="21"/>
      <c r="K29" s="23"/>
      <c r="L29" s="23"/>
      <c r="M29" s="76"/>
    </row>
    <row r="30" spans="1:13" s="1" customFormat="1" ht="14.1" customHeight="1">
      <c r="A30" s="40">
        <v>14</v>
      </c>
      <c r="B30" s="56" t="s">
        <v>37</v>
      </c>
      <c r="C30" s="56"/>
      <c r="D30" s="55" t="s">
        <v>73</v>
      </c>
      <c r="E30" s="55"/>
      <c r="F30" s="55"/>
      <c r="G30" s="55"/>
      <c r="H30" s="51">
        <f>SUM(I30)-2.25</f>
        <v>30.5</v>
      </c>
      <c r="I30" s="51">
        <f>SUM(J30)-2.25</f>
        <v>32.75</v>
      </c>
      <c r="J30" s="60">
        <v>35</v>
      </c>
      <c r="K30" s="51">
        <f>SUM(J30)+2</f>
        <v>37</v>
      </c>
      <c r="L30" s="51">
        <f t="shared" ref="L30:M30" si="6">SUM(K30)+2</f>
        <v>39</v>
      </c>
      <c r="M30" s="75">
        <f t="shared" si="6"/>
        <v>41</v>
      </c>
    </row>
    <row r="31" spans="1:13" s="1" customFormat="1" ht="14.1" customHeight="1">
      <c r="A31" s="40"/>
      <c r="B31" s="52" t="s">
        <v>42</v>
      </c>
      <c r="C31" s="52"/>
      <c r="D31" s="36" t="s">
        <v>45</v>
      </c>
      <c r="E31" s="37"/>
      <c r="F31" s="37"/>
      <c r="G31" s="38"/>
      <c r="H31" s="23"/>
      <c r="I31" s="23"/>
      <c r="J31" s="21"/>
      <c r="K31" s="23"/>
      <c r="L31" s="23"/>
      <c r="M31" s="76"/>
    </row>
    <row r="32" spans="1:13" s="1" customFormat="1" ht="13.5" customHeight="1">
      <c r="A32" s="40">
        <v>15</v>
      </c>
      <c r="B32" s="56" t="s">
        <v>43</v>
      </c>
      <c r="C32" s="56"/>
      <c r="D32" s="55" t="s">
        <v>8</v>
      </c>
      <c r="E32" s="55"/>
      <c r="F32" s="55"/>
      <c r="G32" s="55"/>
      <c r="H32" s="51">
        <f>SUM(I32)-2.25</f>
        <v>30.5</v>
      </c>
      <c r="I32" s="51">
        <f>SUM(J32)-2.25</f>
        <v>32.75</v>
      </c>
      <c r="J32" s="60">
        <v>35</v>
      </c>
      <c r="K32" s="51">
        <f>SUM(J32)+2</f>
        <v>37</v>
      </c>
      <c r="L32" s="51">
        <f>SUM(K32)+2</f>
        <v>39</v>
      </c>
      <c r="M32" s="75">
        <f>SUM(L32)+2</f>
        <v>41</v>
      </c>
    </row>
    <row r="33" spans="1:13" s="1" customFormat="1" ht="14.1" customHeight="1">
      <c r="A33" s="40"/>
      <c r="B33" s="52" t="s">
        <v>25</v>
      </c>
      <c r="C33" s="52"/>
      <c r="D33" s="36" t="s">
        <v>46</v>
      </c>
      <c r="E33" s="37"/>
      <c r="F33" s="37"/>
      <c r="G33" s="38"/>
      <c r="H33" s="23"/>
      <c r="I33" s="23"/>
      <c r="J33" s="21"/>
      <c r="K33" s="23"/>
      <c r="L33" s="23"/>
      <c r="M33" s="76"/>
    </row>
    <row r="34" spans="1:13" s="1" customFormat="1" ht="14.1" customHeight="1">
      <c r="A34" s="40">
        <v>16</v>
      </c>
      <c r="B34" s="56" t="s">
        <v>10</v>
      </c>
      <c r="C34" s="56"/>
      <c r="D34" s="55" t="s">
        <v>0</v>
      </c>
      <c r="E34" s="55"/>
      <c r="F34" s="55"/>
      <c r="G34" s="55"/>
      <c r="H34" s="51">
        <f>SUM(I34)-0.8</f>
        <v>12.999999999999998</v>
      </c>
      <c r="I34" s="51">
        <f>SUM(J34)-0.8</f>
        <v>13.799999999999999</v>
      </c>
      <c r="J34" s="39">
        <v>14.6</v>
      </c>
      <c r="K34" s="32">
        <f>SUM(J34)+0.8</f>
        <v>15.4</v>
      </c>
      <c r="L34" s="51">
        <f t="shared" ref="L34:M34" si="7">SUM(K34)+0.8</f>
        <v>16.2</v>
      </c>
      <c r="M34" s="75">
        <f t="shared" si="7"/>
        <v>17</v>
      </c>
    </row>
    <row r="35" spans="1:13" s="1" customFormat="1" ht="14.1" customHeight="1">
      <c r="A35" s="40"/>
      <c r="B35" s="52" t="s">
        <v>26</v>
      </c>
      <c r="C35" s="52"/>
      <c r="D35" s="36" t="s">
        <v>47</v>
      </c>
      <c r="E35" s="37"/>
      <c r="F35" s="37"/>
      <c r="G35" s="38"/>
      <c r="H35" s="23"/>
      <c r="I35" s="23"/>
      <c r="J35" s="39"/>
      <c r="K35" s="32"/>
      <c r="L35" s="23"/>
      <c r="M35" s="76"/>
    </row>
    <row r="36" spans="1:13" s="1" customFormat="1" ht="14.1" customHeight="1">
      <c r="A36" s="40">
        <v>17</v>
      </c>
      <c r="B36" s="49" t="s">
        <v>1</v>
      </c>
      <c r="C36" s="50"/>
      <c r="D36" s="57" t="s">
        <v>145</v>
      </c>
      <c r="E36" s="58"/>
      <c r="F36" s="58"/>
      <c r="G36" s="59"/>
      <c r="H36" s="51">
        <f>SUM(I36)-0.6</f>
        <v>11.700000000000001</v>
      </c>
      <c r="I36" s="51">
        <f>SUM(J36)-0.6</f>
        <v>12.3</v>
      </c>
      <c r="J36" s="39">
        <v>12.9</v>
      </c>
      <c r="K36" s="32">
        <f>SUM(J36)+0.6</f>
        <v>13.5</v>
      </c>
      <c r="L36" s="51">
        <f t="shared" ref="L36:M36" si="8">SUM(K36)+0.6</f>
        <v>14.1</v>
      </c>
      <c r="M36" s="75">
        <f t="shared" si="8"/>
        <v>14.7</v>
      </c>
    </row>
    <row r="37" spans="1:13" s="1" customFormat="1" ht="14.1" customHeight="1">
      <c r="A37" s="40"/>
      <c r="B37" s="34" t="s">
        <v>27</v>
      </c>
      <c r="C37" s="35"/>
      <c r="D37" s="36" t="s">
        <v>120</v>
      </c>
      <c r="E37" s="37"/>
      <c r="F37" s="37"/>
      <c r="G37" s="38"/>
      <c r="H37" s="23"/>
      <c r="I37" s="23"/>
      <c r="J37" s="39"/>
      <c r="K37" s="32"/>
      <c r="L37" s="23"/>
      <c r="M37" s="76"/>
    </row>
    <row r="38" spans="1:13" s="1" customFormat="1" ht="14.1" customHeight="1">
      <c r="A38" s="40">
        <v>18</v>
      </c>
      <c r="B38" s="49" t="s">
        <v>2</v>
      </c>
      <c r="C38" s="50"/>
      <c r="D38" s="57" t="s">
        <v>3</v>
      </c>
      <c r="E38" s="58"/>
      <c r="F38" s="58"/>
      <c r="G38" s="59"/>
      <c r="H38" s="51">
        <f>SUM(I38)-0.3</f>
        <v>5.4</v>
      </c>
      <c r="I38" s="51">
        <f>SUM(J38)-0.3</f>
        <v>5.7</v>
      </c>
      <c r="J38" s="39">
        <v>6</v>
      </c>
      <c r="K38" s="32">
        <f>SUM(J38)+0.3</f>
        <v>6.3</v>
      </c>
      <c r="L38" s="51">
        <f t="shared" ref="L38:M38" si="9">SUM(K38)+0.3</f>
        <v>6.6</v>
      </c>
      <c r="M38" s="75">
        <f t="shared" si="9"/>
        <v>6.8999999999999995</v>
      </c>
    </row>
    <row r="39" spans="1:13" s="1" customFormat="1" ht="14.1" customHeight="1">
      <c r="A39" s="40"/>
      <c r="B39" s="34" t="s">
        <v>28</v>
      </c>
      <c r="C39" s="35"/>
      <c r="D39" s="36" t="s">
        <v>121</v>
      </c>
      <c r="E39" s="37"/>
      <c r="F39" s="37"/>
      <c r="G39" s="38"/>
      <c r="H39" s="23"/>
      <c r="I39" s="23"/>
      <c r="J39" s="39"/>
      <c r="K39" s="32"/>
      <c r="L39" s="23"/>
      <c r="M39" s="76"/>
    </row>
    <row r="40" spans="1:13" s="1" customFormat="1" ht="14.1" customHeight="1">
      <c r="A40" s="40">
        <v>19</v>
      </c>
      <c r="B40" s="49" t="s">
        <v>74</v>
      </c>
      <c r="C40" s="50"/>
      <c r="D40" s="57" t="s">
        <v>75</v>
      </c>
      <c r="E40" s="58"/>
      <c r="F40" s="58"/>
      <c r="G40" s="59"/>
      <c r="H40" s="51">
        <f>SUM(I40)-1.6</f>
        <v>34.9</v>
      </c>
      <c r="I40" s="51">
        <f>SUM(J40)-1.6</f>
        <v>36.5</v>
      </c>
      <c r="J40" s="39">
        <v>38.1</v>
      </c>
      <c r="K40" s="32">
        <f>SUM(J40)+1.6</f>
        <v>39.700000000000003</v>
      </c>
      <c r="L40" s="51">
        <f t="shared" ref="L40:M40" si="10">SUM(K40)+1.6</f>
        <v>41.300000000000004</v>
      </c>
      <c r="M40" s="75">
        <f t="shared" si="10"/>
        <v>42.900000000000006</v>
      </c>
    </row>
    <row r="41" spans="1:13" s="1" customFormat="1" ht="14.1" customHeight="1">
      <c r="A41" s="40"/>
      <c r="B41" s="34" t="s">
        <v>35</v>
      </c>
      <c r="C41" s="35"/>
      <c r="D41" s="36" t="s">
        <v>122</v>
      </c>
      <c r="E41" s="37"/>
      <c r="F41" s="37"/>
      <c r="G41" s="38"/>
      <c r="H41" s="23"/>
      <c r="I41" s="23"/>
      <c r="J41" s="39"/>
      <c r="K41" s="32"/>
      <c r="L41" s="23"/>
      <c r="M41" s="76"/>
    </row>
    <row r="42" spans="1:13" s="1" customFormat="1" ht="14.1" customHeight="1">
      <c r="A42" s="40">
        <v>20</v>
      </c>
      <c r="B42" s="56" t="s">
        <v>4</v>
      </c>
      <c r="C42" s="56"/>
      <c r="D42" s="55" t="s">
        <v>5</v>
      </c>
      <c r="E42" s="55"/>
      <c r="F42" s="55"/>
      <c r="G42" s="55"/>
      <c r="H42" s="51">
        <f>SUM(I42)-3.6</f>
        <v>32.299999999999997</v>
      </c>
      <c r="I42" s="51">
        <f>SUM(J42)-3.6</f>
        <v>35.9</v>
      </c>
      <c r="J42" s="39">
        <v>39.5</v>
      </c>
      <c r="K42" s="32">
        <f>SUM(J42)+3.7</f>
        <v>43.2</v>
      </c>
      <c r="L42" s="32">
        <f>SUM(K42)+3.7</f>
        <v>46.900000000000006</v>
      </c>
      <c r="M42" s="82">
        <f>SUM(L42)+3.7</f>
        <v>50.600000000000009</v>
      </c>
    </row>
    <row r="43" spans="1:13" ht="14.1" customHeight="1">
      <c r="A43" s="40"/>
      <c r="B43" s="52" t="s">
        <v>29</v>
      </c>
      <c r="C43" s="52"/>
      <c r="D43" s="36" t="s">
        <v>50</v>
      </c>
      <c r="E43" s="37"/>
      <c r="F43" s="37"/>
      <c r="G43" s="38"/>
      <c r="H43" s="23"/>
      <c r="I43" s="23"/>
      <c r="J43" s="39"/>
      <c r="K43" s="32"/>
      <c r="L43" s="32"/>
      <c r="M43" s="82"/>
    </row>
    <row r="44" spans="1:13" ht="14.1" customHeight="1">
      <c r="A44" s="40">
        <v>21</v>
      </c>
      <c r="B44" s="56" t="s">
        <v>6</v>
      </c>
      <c r="C44" s="56"/>
      <c r="D44" s="57" t="s">
        <v>7</v>
      </c>
      <c r="E44" s="58"/>
      <c r="F44" s="58"/>
      <c r="G44" s="59"/>
      <c r="H44" s="51">
        <f>SUM(I44)-1.5</f>
        <v>23.7</v>
      </c>
      <c r="I44" s="51">
        <f>SUM(J44)-1.5</f>
        <v>25.2</v>
      </c>
      <c r="J44" s="39">
        <v>26.7</v>
      </c>
      <c r="K44" s="32">
        <f>SUM(J44)+1.5</f>
        <v>28.2</v>
      </c>
      <c r="L44" s="32">
        <f t="shared" ref="L44:M44" si="11">SUM(K44)+1.5</f>
        <v>29.7</v>
      </c>
      <c r="M44" s="82">
        <f t="shared" si="11"/>
        <v>31.2</v>
      </c>
    </row>
    <row r="45" spans="1:13" ht="14.1" customHeight="1">
      <c r="A45" s="40"/>
      <c r="B45" s="52" t="s">
        <v>30</v>
      </c>
      <c r="C45" s="52"/>
      <c r="D45" s="36" t="s">
        <v>67</v>
      </c>
      <c r="E45" s="37"/>
      <c r="F45" s="37"/>
      <c r="G45" s="38"/>
      <c r="H45" s="23"/>
      <c r="I45" s="23"/>
      <c r="J45" s="39"/>
      <c r="K45" s="32"/>
      <c r="L45" s="32"/>
      <c r="M45" s="82"/>
    </row>
    <row r="46" spans="1:13" ht="14.1" customHeight="1">
      <c r="A46" s="40">
        <v>22</v>
      </c>
      <c r="B46" s="49" t="s">
        <v>99</v>
      </c>
      <c r="C46" s="50"/>
      <c r="D46" s="55" t="s">
        <v>69</v>
      </c>
      <c r="E46" s="55"/>
      <c r="F46" s="55"/>
      <c r="G46" s="55"/>
      <c r="H46" s="51">
        <f>SUM(I46)-0.7</f>
        <v>13.8</v>
      </c>
      <c r="I46" s="51">
        <f>SUM(J46)-0.7</f>
        <v>14.5</v>
      </c>
      <c r="J46" s="39">
        <v>15.2</v>
      </c>
      <c r="K46" s="32">
        <f>SUM(J46)+0.7</f>
        <v>15.899999999999999</v>
      </c>
      <c r="L46" s="32">
        <f t="shared" ref="L46:M46" si="12">SUM(K46)+0.7</f>
        <v>16.599999999999998</v>
      </c>
      <c r="M46" s="82">
        <f t="shared" si="12"/>
        <v>17.299999999999997</v>
      </c>
    </row>
    <row r="47" spans="1:13" ht="14.1" customHeight="1">
      <c r="A47" s="40"/>
      <c r="B47" s="105" t="s">
        <v>31</v>
      </c>
      <c r="C47" s="105"/>
      <c r="D47" s="67" t="s">
        <v>70</v>
      </c>
      <c r="E47" s="68"/>
      <c r="F47" s="68"/>
      <c r="G47" s="69"/>
      <c r="H47" s="47"/>
      <c r="I47" s="47"/>
      <c r="J47" s="60"/>
      <c r="K47" s="51"/>
      <c r="L47" s="51"/>
      <c r="M47" s="75"/>
    </row>
    <row r="48" spans="1:13" ht="14.1" customHeight="1">
      <c r="A48" s="40">
        <v>23</v>
      </c>
      <c r="B48" s="49" t="s">
        <v>398</v>
      </c>
      <c r="C48" s="50"/>
      <c r="D48" s="93"/>
      <c r="E48" s="94"/>
      <c r="F48" s="94"/>
      <c r="G48" s="95"/>
      <c r="H48" s="51">
        <f>SUM(I48)-0.4</f>
        <v>3.6999999999999997</v>
      </c>
      <c r="I48" s="51">
        <f>SUM(J48)-0.4</f>
        <v>4.0999999999999996</v>
      </c>
      <c r="J48" s="39">
        <v>4.5</v>
      </c>
      <c r="K48" s="32">
        <f>SUM(J48)+0.4</f>
        <v>4.9000000000000004</v>
      </c>
      <c r="L48" s="32">
        <f t="shared" ref="L48:M48" si="13">SUM(K48)+0.4</f>
        <v>5.3000000000000007</v>
      </c>
      <c r="M48" s="82">
        <f t="shared" si="13"/>
        <v>5.7000000000000011</v>
      </c>
    </row>
    <row r="49" spans="1:13" ht="14.1" customHeight="1">
      <c r="A49" s="40"/>
      <c r="B49" s="34" t="s">
        <v>399</v>
      </c>
      <c r="C49" s="35"/>
      <c r="D49" s="36"/>
      <c r="E49" s="37"/>
      <c r="F49" s="37"/>
      <c r="G49" s="38"/>
      <c r="H49" s="23"/>
      <c r="I49" s="23"/>
      <c r="J49" s="39"/>
      <c r="K49" s="32"/>
      <c r="L49" s="32"/>
      <c r="M49" s="82"/>
    </row>
    <row r="50" spans="1:13" ht="14.1" customHeight="1">
      <c r="A50" s="40">
        <v>24</v>
      </c>
      <c r="B50" s="49" t="s">
        <v>141</v>
      </c>
      <c r="C50" s="50"/>
      <c r="D50" s="93"/>
      <c r="E50" s="94"/>
      <c r="F50" s="94"/>
      <c r="G50" s="95"/>
      <c r="H50" s="51">
        <f>SUM(I50)-0.3</f>
        <v>3.4000000000000004</v>
      </c>
      <c r="I50" s="51">
        <f>SUM(J50)-0.3</f>
        <v>3.7</v>
      </c>
      <c r="J50" s="39">
        <v>4</v>
      </c>
      <c r="K50" s="32">
        <f>SUM(J50)+0.3</f>
        <v>4.3</v>
      </c>
      <c r="L50" s="32">
        <f t="shared" ref="L50:M50" si="14">SUM(K50)+0.3</f>
        <v>4.5999999999999996</v>
      </c>
      <c r="M50" s="82">
        <f t="shared" si="14"/>
        <v>4.8999999999999995</v>
      </c>
    </row>
    <row r="51" spans="1:13" ht="14.1" customHeight="1" thickBot="1">
      <c r="A51" s="41"/>
      <c r="B51" s="27" t="s">
        <v>140</v>
      </c>
      <c r="C51" s="28"/>
      <c r="D51" s="29" t="s">
        <v>596</v>
      </c>
      <c r="E51" s="30"/>
      <c r="F51" s="30"/>
      <c r="G51" s="31"/>
      <c r="H51" s="48"/>
      <c r="I51" s="48"/>
      <c r="J51" s="22"/>
      <c r="K51" s="24"/>
      <c r="L51" s="24"/>
      <c r="M51" s="92"/>
    </row>
    <row r="52" spans="1:13" ht="14.1" customHeight="1"/>
    <row r="53" spans="1:13" ht="14.1" customHeight="1"/>
    <row r="54" spans="1:13" ht="14.1" customHeight="1"/>
    <row r="55" spans="1:13" ht="14.1" customHeight="1"/>
    <row r="56" spans="1:13" ht="14.1" customHeight="1"/>
    <row r="57" spans="1:13" ht="14.1" customHeight="1"/>
  </sheetData>
  <mergeCells count="268"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B20:C20"/>
    <mergeCell ref="D20:G20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K50:K51"/>
    <mergeCell ref="L50:L51"/>
    <mergeCell ref="M50:M51"/>
    <mergeCell ref="B51:C51"/>
    <mergeCell ref="D51:G51"/>
    <mergeCell ref="A50:A51"/>
    <mergeCell ref="K21:K22"/>
    <mergeCell ref="L21:L22"/>
    <mergeCell ref="M21:M22"/>
    <mergeCell ref="B22:C22"/>
    <mergeCell ref="D22:G22"/>
    <mergeCell ref="B50:C50"/>
    <mergeCell ref="D50:G50"/>
    <mergeCell ref="H50:H51"/>
    <mergeCell ref="I50:I51"/>
    <mergeCell ref="J50:J51"/>
    <mergeCell ref="K48:K49"/>
    <mergeCell ref="L48:L49"/>
    <mergeCell ref="M48:M49"/>
    <mergeCell ref="B49:C49"/>
    <mergeCell ref="D49:G49"/>
    <mergeCell ref="A21:A22"/>
    <mergeCell ref="B21:C21"/>
    <mergeCell ref="D21:G21"/>
    <mergeCell ref="L5:L6"/>
    <mergeCell ref="M5:M6"/>
    <mergeCell ref="B6:C6"/>
    <mergeCell ref="D6:G6"/>
    <mergeCell ref="A48:A49"/>
    <mergeCell ref="B48:C48"/>
    <mergeCell ref="D48:G48"/>
    <mergeCell ref="H48:H49"/>
    <mergeCell ref="I48:I49"/>
    <mergeCell ref="J48:J49"/>
    <mergeCell ref="A5:A6"/>
    <mergeCell ref="B5:C5"/>
    <mergeCell ref="D5:G5"/>
    <mergeCell ref="H5:H6"/>
    <mergeCell ref="I5:I6"/>
    <mergeCell ref="J5:J6"/>
    <mergeCell ref="K5:K6"/>
    <mergeCell ref="A23:A24"/>
    <mergeCell ref="B23:C23"/>
    <mergeCell ref="D23:G23"/>
    <mergeCell ref="H23:H24"/>
    <mergeCell ref="I23:I24"/>
    <mergeCell ref="J23:J24"/>
    <mergeCell ref="B24:C24"/>
    <mergeCell ref="D24:G24"/>
    <mergeCell ref="J17:J18"/>
    <mergeCell ref="K17:K18"/>
    <mergeCell ref="L17:L18"/>
    <mergeCell ref="M17:M18"/>
    <mergeCell ref="B18:C18"/>
    <mergeCell ref="D18:G18"/>
    <mergeCell ref="J21:J22"/>
    <mergeCell ref="H21:H22"/>
    <mergeCell ref="I21:I22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L7:L8"/>
    <mergeCell ref="M7:M8"/>
    <mergeCell ref="B8:C8"/>
    <mergeCell ref="D8:G8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7:K8"/>
    <mergeCell ref="J11:J12"/>
    <mergeCell ref="K11:K12"/>
    <mergeCell ref="J38:J39"/>
    <mergeCell ref="K38:K39"/>
    <mergeCell ref="L38:L39"/>
    <mergeCell ref="M38:M39"/>
    <mergeCell ref="B39:C39"/>
    <mergeCell ref="D39:G39"/>
    <mergeCell ref="K36:K37"/>
    <mergeCell ref="A25:M25"/>
    <mergeCell ref="J26:J27"/>
    <mergeCell ref="K26:K27"/>
    <mergeCell ref="L26:L27"/>
    <mergeCell ref="M26:M27"/>
    <mergeCell ref="B27:C27"/>
    <mergeCell ref="D27:G27"/>
    <mergeCell ref="A26:A27"/>
    <mergeCell ref="B26:C26"/>
    <mergeCell ref="D26:G26"/>
    <mergeCell ref="H26:H27"/>
    <mergeCell ref="I26:I27"/>
    <mergeCell ref="A38:A39"/>
    <mergeCell ref="B38:C38"/>
    <mergeCell ref="D38:G38"/>
    <mergeCell ref="H38:H39"/>
    <mergeCell ref="I38:I39"/>
    <mergeCell ref="K46:K47"/>
    <mergeCell ref="L46:L47"/>
    <mergeCell ref="M46:M47"/>
    <mergeCell ref="B47:C47"/>
    <mergeCell ref="D47:G47"/>
    <mergeCell ref="B43:C43"/>
    <mergeCell ref="D43:G43"/>
    <mergeCell ref="K40:K41"/>
    <mergeCell ref="L40:L41"/>
    <mergeCell ref="M40:M41"/>
    <mergeCell ref="B41:C41"/>
    <mergeCell ref="D41:G41"/>
    <mergeCell ref="J40:J41"/>
    <mergeCell ref="A46:A47"/>
    <mergeCell ref="B46:C46"/>
    <mergeCell ref="D46:G46"/>
    <mergeCell ref="H46:H47"/>
    <mergeCell ref="I46:I47"/>
    <mergeCell ref="J46:J47"/>
    <mergeCell ref="K23:K24"/>
    <mergeCell ref="L23:L24"/>
    <mergeCell ref="M23:M24"/>
    <mergeCell ref="K44:K45"/>
    <mergeCell ref="L44:L45"/>
    <mergeCell ref="M44:M45"/>
    <mergeCell ref="B45:C45"/>
    <mergeCell ref="D45:G45"/>
    <mergeCell ref="A44:A45"/>
    <mergeCell ref="B44:C44"/>
    <mergeCell ref="D44:G44"/>
    <mergeCell ref="H44:H45"/>
    <mergeCell ref="I44:I45"/>
    <mergeCell ref="J44:J45"/>
    <mergeCell ref="J42:J43"/>
    <mergeCell ref="K42:K43"/>
    <mergeCell ref="L42:L43"/>
    <mergeCell ref="M42:M43"/>
    <mergeCell ref="A42:A43"/>
    <mergeCell ref="B42:C42"/>
    <mergeCell ref="D42:G42"/>
    <mergeCell ref="H42:H43"/>
    <mergeCell ref="I42:I43"/>
    <mergeCell ref="A40:A41"/>
    <mergeCell ref="B40:C40"/>
    <mergeCell ref="D40:G40"/>
    <mergeCell ref="H40:H41"/>
    <mergeCell ref="I40:I41"/>
    <mergeCell ref="A36:A37"/>
    <mergeCell ref="B36:C36"/>
    <mergeCell ref="D36:G36"/>
    <mergeCell ref="H36:H37"/>
    <mergeCell ref="I36:I37"/>
    <mergeCell ref="K34:K35"/>
    <mergeCell ref="L34:L35"/>
    <mergeCell ref="M34:M35"/>
    <mergeCell ref="B35:C35"/>
    <mergeCell ref="D35:G35"/>
    <mergeCell ref="K32:K33"/>
    <mergeCell ref="L32:L33"/>
    <mergeCell ref="M32:M33"/>
    <mergeCell ref="L36:L37"/>
    <mergeCell ref="M36:M37"/>
    <mergeCell ref="B37:C37"/>
    <mergeCell ref="D37:G37"/>
    <mergeCell ref="J36:J37"/>
    <mergeCell ref="B33:C33"/>
    <mergeCell ref="D33:G33"/>
    <mergeCell ref="B32:C32"/>
    <mergeCell ref="D32:G32"/>
    <mergeCell ref="J28:J29"/>
    <mergeCell ref="A34:A35"/>
    <mergeCell ref="B34:C34"/>
    <mergeCell ref="D34:G34"/>
    <mergeCell ref="H34:H35"/>
    <mergeCell ref="I34:I35"/>
    <mergeCell ref="A32:A33"/>
    <mergeCell ref="H32:H33"/>
    <mergeCell ref="I32:I33"/>
    <mergeCell ref="J32:J33"/>
    <mergeCell ref="J34:J35"/>
    <mergeCell ref="A1:M1"/>
    <mergeCell ref="B2:C2"/>
    <mergeCell ref="D2:G2"/>
    <mergeCell ref="A30:A31"/>
    <mergeCell ref="B30:C30"/>
    <mergeCell ref="D30:G30"/>
    <mergeCell ref="H30:H31"/>
    <mergeCell ref="I30:I31"/>
    <mergeCell ref="A28:A29"/>
    <mergeCell ref="B28:C28"/>
    <mergeCell ref="D28:G28"/>
    <mergeCell ref="H28:H29"/>
    <mergeCell ref="I28:I29"/>
    <mergeCell ref="J30:J31"/>
    <mergeCell ref="K30:K31"/>
    <mergeCell ref="L30:L31"/>
    <mergeCell ref="M30:M31"/>
    <mergeCell ref="B31:C31"/>
    <mergeCell ref="D31:G31"/>
    <mergeCell ref="K28:K29"/>
    <mergeCell ref="L28:L29"/>
    <mergeCell ref="M28:M29"/>
    <mergeCell ref="B29:C29"/>
    <mergeCell ref="D29:G29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D400-51E3-47A4-8705-BD93E1E7AEEA}">
  <sheetPr>
    <tabColor theme="5"/>
    <pageSetUpPr fitToPage="1"/>
  </sheetPr>
  <dimension ref="A1:Q51"/>
  <sheetViews>
    <sheetView zoomScale="110" zoomScaleNormal="110" workbookViewId="0">
      <selection activeCell="P35" sqref="P3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271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7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35.700000000000003</v>
      </c>
      <c r="I3" s="51">
        <f>SUM(J3)-3.4</f>
        <v>39.1</v>
      </c>
      <c r="J3" s="60">
        <v>42.5</v>
      </c>
      <c r="K3" s="51">
        <f>SUM(J3)+2.9</f>
        <v>45.4</v>
      </c>
      <c r="L3" s="51">
        <f>SUM(K3)+2.9</f>
        <v>48.3</v>
      </c>
      <c r="M3" s="70">
        <f>SUM(L3)+2.9</f>
        <v>51.199999999999996</v>
      </c>
      <c r="N3" s="130">
        <f>SUM(M3)+2.9</f>
        <v>54.099999999999994</v>
      </c>
    </row>
    <row r="4" spans="1:17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3"/>
      <c r="N4" s="12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37.200000000000003</v>
      </c>
      <c r="I5" s="51">
        <f>SUM(J5)-2</f>
        <v>39.200000000000003</v>
      </c>
      <c r="J5" s="39">
        <v>41.2</v>
      </c>
      <c r="K5" s="32">
        <f>SUM(J5)+1.8</f>
        <v>43</v>
      </c>
      <c r="L5" s="51">
        <f t="shared" ref="L5:M5" si="0">SUM(K5)+1.8</f>
        <v>44.8</v>
      </c>
      <c r="M5" s="51">
        <f t="shared" si="0"/>
        <v>46.599999999999994</v>
      </c>
      <c r="N5" s="75">
        <f t="shared" ref="N5" si="1">SUM(M5)+1.8</f>
        <v>48.399999999999991</v>
      </c>
    </row>
    <row r="6" spans="1:17" s="1" customFormat="1" ht="14.1" customHeight="1">
      <c r="A6" s="40"/>
      <c r="B6" s="52" t="s">
        <v>24</v>
      </c>
      <c r="C6" s="52"/>
      <c r="D6" s="36" t="s">
        <v>272</v>
      </c>
      <c r="E6" s="37"/>
      <c r="F6" s="37"/>
      <c r="G6" s="38"/>
      <c r="H6" s="23"/>
      <c r="I6" s="23"/>
      <c r="J6" s="39"/>
      <c r="K6" s="32"/>
      <c r="L6" s="23"/>
      <c r="M6" s="23"/>
      <c r="N6" s="76"/>
    </row>
    <row r="7" spans="1:17" s="1" customFormat="1" ht="14.1" customHeight="1">
      <c r="A7" s="40">
        <v>3</v>
      </c>
      <c r="B7" s="56" t="s">
        <v>37</v>
      </c>
      <c r="C7" s="56"/>
      <c r="D7" s="55" t="s">
        <v>278</v>
      </c>
      <c r="E7" s="55"/>
      <c r="F7" s="55"/>
      <c r="G7" s="55"/>
      <c r="H7" s="51">
        <f>SUM(I7)-2.45</f>
        <v>45.3</v>
      </c>
      <c r="I7" s="51">
        <f>SUM(J7)-2.45</f>
        <v>47.75</v>
      </c>
      <c r="J7" s="60">
        <v>50.2</v>
      </c>
      <c r="K7" s="51">
        <f>SUM(J7)+2.2</f>
        <v>52.400000000000006</v>
      </c>
      <c r="L7" s="51">
        <f t="shared" ref="L7:M7" si="2">SUM(K7)+2.2</f>
        <v>54.600000000000009</v>
      </c>
      <c r="M7" s="51">
        <f t="shared" si="2"/>
        <v>56.800000000000011</v>
      </c>
      <c r="N7" s="75">
        <f t="shared" ref="N7" si="3">SUM(M7)+2.2</f>
        <v>59.000000000000014</v>
      </c>
    </row>
    <row r="8" spans="1:17" s="1" customFormat="1" ht="14.1" customHeight="1">
      <c r="A8" s="40"/>
      <c r="B8" s="52" t="s">
        <v>42</v>
      </c>
      <c r="C8" s="52"/>
      <c r="D8" s="36" t="s">
        <v>277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7" s="1" customFormat="1" ht="14.1" customHeight="1">
      <c r="A9" s="40">
        <v>5</v>
      </c>
      <c r="B9" s="49" t="s">
        <v>166</v>
      </c>
      <c r="C9" s="50"/>
      <c r="D9" s="93"/>
      <c r="E9" s="94"/>
      <c r="F9" s="94"/>
      <c r="G9" s="95"/>
      <c r="H9" s="51">
        <f>SUM(I9)-0.4</f>
        <v>9.1999999999999993</v>
      </c>
      <c r="I9" s="51">
        <f>SUM(J9)-0.4</f>
        <v>9.6</v>
      </c>
      <c r="J9" s="39">
        <v>10</v>
      </c>
      <c r="K9" s="32">
        <f>SUM(J9)+0.4</f>
        <v>10.4</v>
      </c>
      <c r="L9" s="32">
        <f t="shared" ref="L9:M9" si="4">SUM(K9)+0.4</f>
        <v>10.8</v>
      </c>
      <c r="M9" s="32">
        <f t="shared" si="4"/>
        <v>11.200000000000001</v>
      </c>
      <c r="N9" s="82">
        <f t="shared" ref="N9" si="5">SUM(M9)+0.4</f>
        <v>11.600000000000001</v>
      </c>
    </row>
    <row r="10" spans="1:17" s="1" customFormat="1" ht="14.1" customHeight="1">
      <c r="A10" s="40"/>
      <c r="B10" s="34" t="s">
        <v>165</v>
      </c>
      <c r="C10" s="35"/>
      <c r="D10" s="36" t="s">
        <v>194</v>
      </c>
      <c r="E10" s="37"/>
      <c r="F10" s="37"/>
      <c r="G10" s="38"/>
      <c r="H10" s="23"/>
      <c r="I10" s="23"/>
      <c r="J10" s="39"/>
      <c r="K10" s="32"/>
      <c r="L10" s="32"/>
      <c r="M10" s="32"/>
      <c r="N10" s="82"/>
    </row>
    <row r="11" spans="1:17" s="1" customFormat="1" ht="14.1" customHeight="1" thickBot="1">
      <c r="A11" s="40">
        <v>6</v>
      </c>
      <c r="B11" s="56" t="s">
        <v>208</v>
      </c>
      <c r="C11" s="56"/>
      <c r="D11" s="55"/>
      <c r="E11" s="55"/>
      <c r="F11" s="55"/>
      <c r="G11" s="55"/>
      <c r="H11" s="51">
        <f>SUM(I11)-3.5</f>
        <v>68</v>
      </c>
      <c r="I11" s="51">
        <f>SUM(J11)-3.5</f>
        <v>71.5</v>
      </c>
      <c r="J11" s="60">
        <v>75</v>
      </c>
      <c r="K11" s="51">
        <f>SUM(J11)+3</f>
        <v>78</v>
      </c>
      <c r="L11" s="51">
        <f t="shared" ref="L11:N11" si="6">SUM(K11)+3</f>
        <v>81</v>
      </c>
      <c r="M11" s="51">
        <f t="shared" si="6"/>
        <v>84</v>
      </c>
      <c r="N11" s="123">
        <f t="shared" si="6"/>
        <v>87</v>
      </c>
    </row>
    <row r="12" spans="1:17" s="1" customFormat="1" ht="14.1" customHeight="1" thickTop="1">
      <c r="A12" s="40"/>
      <c r="B12" s="52" t="s">
        <v>209</v>
      </c>
      <c r="C12" s="52"/>
      <c r="D12" s="36" t="s">
        <v>273</v>
      </c>
      <c r="E12" s="37"/>
      <c r="F12" s="37"/>
      <c r="G12" s="38"/>
      <c r="H12" s="23"/>
      <c r="I12" s="23"/>
      <c r="J12" s="21"/>
      <c r="K12" s="23"/>
      <c r="L12" s="23"/>
      <c r="M12" s="23"/>
      <c r="N12" s="125"/>
      <c r="Q12" s="11" t="s">
        <v>274</v>
      </c>
    </row>
    <row r="13" spans="1:17" s="1" customFormat="1" ht="14.1" customHeight="1">
      <c r="A13" s="40">
        <v>7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17.7</v>
      </c>
      <c r="I13" s="51">
        <f>SUM(J13)-0.8</f>
        <v>18.5</v>
      </c>
      <c r="J13" s="39">
        <v>19.3</v>
      </c>
      <c r="K13" s="51">
        <f>SUM(J13)+0.8</f>
        <v>20.100000000000001</v>
      </c>
      <c r="L13" s="51">
        <f t="shared" ref="L13:N13" si="7">SUM(K13)+0.8</f>
        <v>20.900000000000002</v>
      </c>
      <c r="M13" s="51">
        <f t="shared" si="7"/>
        <v>21.700000000000003</v>
      </c>
      <c r="N13" s="123">
        <f t="shared" si="7"/>
        <v>22.500000000000004</v>
      </c>
      <c r="Q13" s="12">
        <f>SUM(H11+I11+J11+K11+L11+M11+N11)</f>
        <v>544.5</v>
      </c>
    </row>
    <row r="14" spans="1:17" s="1" customFormat="1" ht="14.1" customHeight="1" thickBot="1">
      <c r="A14" s="40"/>
      <c r="B14" s="52" t="s">
        <v>26</v>
      </c>
      <c r="C14" s="52"/>
      <c r="D14" s="36" t="s">
        <v>222</v>
      </c>
      <c r="E14" s="37"/>
      <c r="F14" s="37"/>
      <c r="G14" s="38"/>
      <c r="H14" s="23"/>
      <c r="I14" s="23"/>
      <c r="J14" s="39"/>
      <c r="K14" s="23"/>
      <c r="L14" s="23"/>
      <c r="M14" s="23"/>
      <c r="N14" s="125"/>
      <c r="Q14" s="13">
        <f>SUM(Q13/91.44/7*1.08)</f>
        <v>0.91872890888638936</v>
      </c>
    </row>
    <row r="15" spans="1:17" s="1" customFormat="1" ht="14.1" customHeight="1" thickTop="1">
      <c r="A15" s="40">
        <v>8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14.100000000000001</v>
      </c>
      <c r="I15" s="51">
        <f>SUM(J15)-0.6</f>
        <v>14.700000000000001</v>
      </c>
      <c r="J15" s="39">
        <v>15.3</v>
      </c>
      <c r="K15" s="32">
        <f>SUM(J15)+0.6</f>
        <v>15.9</v>
      </c>
      <c r="L15" s="32">
        <f>SUM(K15)+0.6</f>
        <v>16.5</v>
      </c>
      <c r="M15" s="32">
        <f>SUM(L15)+0.6</f>
        <v>17.100000000000001</v>
      </c>
      <c r="N15" s="126">
        <f>SUM(M15)+0.6</f>
        <v>17.700000000000003</v>
      </c>
      <c r="Q15" s="11" t="s">
        <v>274</v>
      </c>
    </row>
    <row r="16" spans="1:17" s="1" customFormat="1" ht="14.1" customHeight="1">
      <c r="A16" s="40"/>
      <c r="B16" s="52" t="s">
        <v>27</v>
      </c>
      <c r="C16" s="52"/>
      <c r="D16" s="36" t="s">
        <v>161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  <c r="Q16" s="12">
        <f>SUM(H27+H27+I27+I27+J27+J27+K27+K27+L27+L27+M27+M27+N27+N27)</f>
        <v>246.40000000000003</v>
      </c>
    </row>
    <row r="17" spans="1:17" s="1" customFormat="1" ht="14.1" customHeight="1" thickBot="1">
      <c r="A17" s="40">
        <v>9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6.5</v>
      </c>
      <c r="I17" s="51">
        <f>SUM(J17)-0.3</f>
        <v>6.8</v>
      </c>
      <c r="J17" s="39">
        <v>7.1</v>
      </c>
      <c r="K17" s="32">
        <f>SUM(J17)+0.3</f>
        <v>7.3999999999999995</v>
      </c>
      <c r="L17" s="32">
        <f>SUM(K17)+0.3</f>
        <v>7.6999999999999993</v>
      </c>
      <c r="M17" s="128">
        <f>SUM(L17)+0.3</f>
        <v>7.9999999999999991</v>
      </c>
      <c r="N17" s="129">
        <f>SUM(M17)+0.3</f>
        <v>8.2999999999999989</v>
      </c>
      <c r="Q17" s="13">
        <f>SUM(Q16/91.44/7*1.08)</f>
        <v>0.4157480314960631</v>
      </c>
    </row>
    <row r="18" spans="1:17" s="1" customFormat="1" ht="14.1" customHeight="1" thickTop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32"/>
      <c r="L18" s="32"/>
      <c r="M18" s="128"/>
      <c r="N18" s="129"/>
    </row>
    <row r="19" spans="1:17" s="1" customFormat="1" ht="14.1" customHeight="1">
      <c r="A19" s="40">
        <v>10</v>
      </c>
      <c r="B19" s="49" t="s">
        <v>74</v>
      </c>
      <c r="C19" s="50"/>
      <c r="D19" s="57" t="s">
        <v>75</v>
      </c>
      <c r="E19" s="58"/>
      <c r="F19" s="58"/>
      <c r="G19" s="59"/>
      <c r="H19" s="51">
        <f>SUM(I19)-1.6</f>
        <v>36.099999999999994</v>
      </c>
      <c r="I19" s="51">
        <f>SUM(J19)-1.6</f>
        <v>37.699999999999996</v>
      </c>
      <c r="J19" s="39">
        <v>39.299999999999997</v>
      </c>
      <c r="K19" s="32">
        <f>SUM(J19)+1.6</f>
        <v>40.9</v>
      </c>
      <c r="L19" s="32">
        <f>SUM(K19)+1.6</f>
        <v>42.5</v>
      </c>
      <c r="M19" s="128">
        <f>SUM(L19)+1.6</f>
        <v>44.1</v>
      </c>
      <c r="N19" s="129">
        <f>SUM(M19)+1.6</f>
        <v>45.7</v>
      </c>
    </row>
    <row r="20" spans="1:17" s="1" customFormat="1" ht="14.1" customHeight="1">
      <c r="A20" s="40"/>
      <c r="B20" s="52" t="s">
        <v>35</v>
      </c>
      <c r="C20" s="52"/>
      <c r="D20" s="36" t="s">
        <v>210</v>
      </c>
      <c r="E20" s="37"/>
      <c r="F20" s="37"/>
      <c r="G20" s="38"/>
      <c r="H20" s="23"/>
      <c r="I20" s="23"/>
      <c r="J20" s="39"/>
      <c r="K20" s="32"/>
      <c r="L20" s="32"/>
      <c r="M20" s="128"/>
      <c r="N20" s="129"/>
    </row>
    <row r="21" spans="1:17" s="1" customFormat="1" ht="14.1" customHeight="1">
      <c r="A21" s="40">
        <v>11</v>
      </c>
      <c r="B21" s="49" t="s">
        <v>76</v>
      </c>
      <c r="C21" s="50"/>
      <c r="D21" s="58" t="s">
        <v>211</v>
      </c>
      <c r="E21" s="58"/>
      <c r="F21" s="58"/>
      <c r="G21" s="58"/>
      <c r="H21" s="51">
        <f>SUM(I21)-0.2</f>
        <v>3.5999999999999996</v>
      </c>
      <c r="I21" s="51">
        <f>SUM(J21)-0.2</f>
        <v>3.8</v>
      </c>
      <c r="J21" s="39">
        <v>4</v>
      </c>
      <c r="K21" s="32">
        <f>SUM(J21)+0.2</f>
        <v>4.2</v>
      </c>
      <c r="L21" s="32">
        <f>SUM(K21)+0.2</f>
        <v>4.4000000000000004</v>
      </c>
      <c r="M21" s="32">
        <f>SUM(L21)+0.2</f>
        <v>4.6000000000000005</v>
      </c>
      <c r="N21" s="126">
        <f>SUM(M21)+0.2</f>
        <v>4.8000000000000007</v>
      </c>
    </row>
    <row r="22" spans="1:17" s="1" customFormat="1" ht="14.1" customHeight="1">
      <c r="A22" s="40"/>
      <c r="B22" s="105" t="s">
        <v>36</v>
      </c>
      <c r="C22" s="105"/>
      <c r="D22" s="67" t="s">
        <v>212</v>
      </c>
      <c r="E22" s="68"/>
      <c r="F22" s="68"/>
      <c r="G22" s="69"/>
      <c r="H22" s="47"/>
      <c r="I22" s="47"/>
      <c r="J22" s="60"/>
      <c r="K22" s="51"/>
      <c r="L22" s="51"/>
      <c r="M22" s="51"/>
      <c r="N22" s="123"/>
    </row>
    <row r="23" spans="1:17" s="1" customFormat="1" ht="14.1" customHeight="1">
      <c r="A23" s="40">
        <v>12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SUM(I23)-3.5</f>
        <v>27.5</v>
      </c>
      <c r="I23" s="51">
        <f>SUM(J23)-3.5</f>
        <v>31</v>
      </c>
      <c r="J23" s="39">
        <v>34.5</v>
      </c>
      <c r="K23" s="51">
        <f>SUM(J23)+3.6</f>
        <v>38.1</v>
      </c>
      <c r="L23" s="51">
        <f t="shared" ref="L23:N23" si="8">SUM(K23)+3.6</f>
        <v>41.7</v>
      </c>
      <c r="M23" s="51">
        <f t="shared" si="8"/>
        <v>45.300000000000004</v>
      </c>
      <c r="N23" s="75">
        <f t="shared" si="8"/>
        <v>48.900000000000006</v>
      </c>
    </row>
    <row r="24" spans="1:17" s="1" customFormat="1" ht="14.1" customHeight="1">
      <c r="A24" s="40"/>
      <c r="B24" s="52" t="s">
        <v>29</v>
      </c>
      <c r="C24" s="52"/>
      <c r="D24" s="36" t="s">
        <v>50</v>
      </c>
      <c r="E24" s="37"/>
      <c r="F24" s="37"/>
      <c r="G24" s="38"/>
      <c r="H24" s="23"/>
      <c r="I24" s="23"/>
      <c r="J24" s="39"/>
      <c r="K24" s="23"/>
      <c r="L24" s="23"/>
      <c r="M24" s="23"/>
      <c r="N24" s="76"/>
    </row>
    <row r="25" spans="1:17" s="1" customFormat="1" ht="14.1" customHeight="1">
      <c r="A25" s="40">
        <v>13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SUM(I25)-1.5</f>
        <v>34.200000000000003</v>
      </c>
      <c r="I25" s="51">
        <f>SUM(J25)-1.5</f>
        <v>35.700000000000003</v>
      </c>
      <c r="J25" s="39">
        <v>37.200000000000003</v>
      </c>
      <c r="K25" s="32">
        <f>SUM(J25)+1.5</f>
        <v>38.700000000000003</v>
      </c>
      <c r="L25" s="32">
        <f t="shared" ref="L25:N25" si="9">SUM(K25)+1.5</f>
        <v>40.200000000000003</v>
      </c>
      <c r="M25" s="32">
        <f t="shared" si="9"/>
        <v>41.7</v>
      </c>
      <c r="N25" s="82">
        <f t="shared" si="9"/>
        <v>43.2</v>
      </c>
    </row>
    <row r="26" spans="1:17" s="1" customFormat="1" ht="14.1" customHeight="1">
      <c r="A26" s="40"/>
      <c r="B26" s="52" t="s">
        <v>30</v>
      </c>
      <c r="C26" s="52"/>
      <c r="D26" s="36" t="s">
        <v>275</v>
      </c>
      <c r="E26" s="37"/>
      <c r="F26" s="37"/>
      <c r="G26" s="38"/>
      <c r="H26" s="23"/>
      <c r="I26" s="23"/>
      <c r="J26" s="39"/>
      <c r="K26" s="32"/>
      <c r="L26" s="32"/>
      <c r="M26" s="32"/>
      <c r="N26" s="82"/>
    </row>
    <row r="27" spans="1:17" s="1" customFormat="1" ht="14.1" customHeight="1">
      <c r="A27" s="40">
        <v>14</v>
      </c>
      <c r="B27" s="49" t="s">
        <v>99</v>
      </c>
      <c r="C27" s="50"/>
      <c r="D27" s="55"/>
      <c r="E27" s="55"/>
      <c r="F27" s="55"/>
      <c r="G27" s="55"/>
      <c r="H27" s="51">
        <f>SUM(I27)-0.6</f>
        <v>15.799999999999999</v>
      </c>
      <c r="I27" s="51">
        <f>SUM(J27)-0.6</f>
        <v>16.399999999999999</v>
      </c>
      <c r="J27" s="39">
        <v>17</v>
      </c>
      <c r="K27" s="32">
        <f>SUM(J27)+0.6</f>
        <v>17.600000000000001</v>
      </c>
      <c r="L27" s="32">
        <f t="shared" ref="L27:N27" si="10">SUM(K27)+0.6</f>
        <v>18.200000000000003</v>
      </c>
      <c r="M27" s="32">
        <f t="shared" si="10"/>
        <v>18.800000000000004</v>
      </c>
      <c r="N27" s="82">
        <f t="shared" si="10"/>
        <v>19.400000000000006</v>
      </c>
    </row>
    <row r="28" spans="1:17" s="1" customFormat="1" ht="14.1" customHeight="1">
      <c r="A28" s="40"/>
      <c r="B28" s="52" t="s">
        <v>31</v>
      </c>
      <c r="C28" s="52"/>
      <c r="D28" s="36" t="s">
        <v>276</v>
      </c>
      <c r="E28" s="37"/>
      <c r="F28" s="37"/>
      <c r="G28" s="38"/>
      <c r="H28" s="23"/>
      <c r="I28" s="23"/>
      <c r="J28" s="39"/>
      <c r="K28" s="32"/>
      <c r="L28" s="32"/>
      <c r="M28" s="32"/>
      <c r="N28" s="82"/>
    </row>
    <row r="29" spans="1:17" ht="14.1" customHeight="1">
      <c r="A29" s="40">
        <v>15</v>
      </c>
      <c r="B29" s="49" t="s">
        <v>213</v>
      </c>
      <c r="C29" s="50"/>
      <c r="D29" s="57"/>
      <c r="E29" s="58"/>
      <c r="F29" s="58"/>
      <c r="G29" s="59"/>
      <c r="H29" s="51">
        <f>SUM(I29)-0.5</f>
        <v>11</v>
      </c>
      <c r="I29" s="51">
        <f>SUM(J29)-0.5</f>
        <v>11.5</v>
      </c>
      <c r="J29" s="60">
        <v>12</v>
      </c>
      <c r="K29" s="51">
        <f>SUM(J29)+0.5</f>
        <v>12.5</v>
      </c>
      <c r="L29" s="51">
        <f>SUM(K29)+0.5</f>
        <v>13</v>
      </c>
      <c r="M29" s="51">
        <f>SUM(L29)+0.5</f>
        <v>13.5</v>
      </c>
      <c r="N29" s="123">
        <f>SUM(M29)+0.5</f>
        <v>14</v>
      </c>
    </row>
    <row r="30" spans="1:17" ht="14.1" customHeight="1">
      <c r="A30" s="40"/>
      <c r="B30" s="34" t="s">
        <v>151</v>
      </c>
      <c r="C30" s="35"/>
      <c r="D30" s="79"/>
      <c r="E30" s="80"/>
      <c r="F30" s="80"/>
      <c r="G30" s="81"/>
      <c r="H30" s="23"/>
      <c r="I30" s="23"/>
      <c r="J30" s="21"/>
      <c r="K30" s="23"/>
      <c r="L30" s="23"/>
      <c r="M30" s="47"/>
      <c r="N30" s="127"/>
    </row>
    <row r="31" spans="1:17" ht="14.1" customHeight="1">
      <c r="A31" s="40">
        <v>16</v>
      </c>
      <c r="B31" s="49" t="s">
        <v>214</v>
      </c>
      <c r="C31" s="50"/>
      <c r="D31" s="55"/>
      <c r="E31" s="55"/>
      <c r="F31" s="55"/>
      <c r="G31" s="55"/>
      <c r="H31" s="51">
        <v>33.5</v>
      </c>
      <c r="I31" s="51">
        <v>37</v>
      </c>
      <c r="J31" s="60">
        <v>40.5</v>
      </c>
      <c r="K31" s="51">
        <v>43</v>
      </c>
      <c r="L31" s="51">
        <v>46</v>
      </c>
      <c r="M31" s="51">
        <v>49</v>
      </c>
      <c r="N31" s="75">
        <v>52</v>
      </c>
    </row>
    <row r="32" spans="1:17" ht="14.1" customHeight="1">
      <c r="A32" s="40"/>
      <c r="B32" s="34" t="s">
        <v>215</v>
      </c>
      <c r="C32" s="35"/>
      <c r="D32" s="36" t="s">
        <v>216</v>
      </c>
      <c r="E32" s="37"/>
      <c r="F32" s="37"/>
      <c r="G32" s="38"/>
      <c r="H32" s="23"/>
      <c r="I32" s="23"/>
      <c r="J32" s="21"/>
      <c r="K32" s="23"/>
      <c r="L32" s="23"/>
      <c r="M32" s="23"/>
      <c r="N32" s="76"/>
    </row>
    <row r="33" spans="1:14" ht="14.1" customHeight="1">
      <c r="A33" s="40">
        <v>17</v>
      </c>
      <c r="B33" s="49" t="s">
        <v>141</v>
      </c>
      <c r="C33" s="50"/>
      <c r="D33" s="93"/>
      <c r="E33" s="94"/>
      <c r="F33" s="94"/>
      <c r="G33" s="95"/>
      <c r="H33" s="51">
        <f>SUM(I33)-0.1</f>
        <v>3.0999999999999996</v>
      </c>
      <c r="I33" s="51">
        <f>SUM(J33)-0.1</f>
        <v>3.1999999999999997</v>
      </c>
      <c r="J33" s="39">
        <v>3.3</v>
      </c>
      <c r="K33" s="32">
        <f>SUM(J33)+0.1</f>
        <v>3.4</v>
      </c>
      <c r="L33" s="32">
        <f t="shared" ref="L33:N33" si="11">SUM(K33)+0.1</f>
        <v>3.5</v>
      </c>
      <c r="M33" s="32">
        <f t="shared" si="11"/>
        <v>3.6</v>
      </c>
      <c r="N33" s="82">
        <f t="shared" si="11"/>
        <v>3.7</v>
      </c>
    </row>
    <row r="34" spans="1:14" ht="14.1" customHeight="1">
      <c r="A34" s="40"/>
      <c r="B34" s="34" t="s">
        <v>140</v>
      </c>
      <c r="C34" s="35"/>
      <c r="D34" s="36" t="s">
        <v>279</v>
      </c>
      <c r="E34" s="37"/>
      <c r="F34" s="37"/>
      <c r="G34" s="38"/>
      <c r="H34" s="23"/>
      <c r="I34" s="23"/>
      <c r="J34" s="39"/>
      <c r="K34" s="32"/>
      <c r="L34" s="32"/>
      <c r="M34" s="32"/>
      <c r="N34" s="82"/>
    </row>
    <row r="35" spans="1:14" ht="14.1" customHeight="1">
      <c r="A35" s="40">
        <v>18</v>
      </c>
      <c r="B35" s="49"/>
      <c r="C35" s="50"/>
      <c r="D35" s="93"/>
      <c r="E35" s="94"/>
      <c r="F35" s="94"/>
      <c r="G35" s="95"/>
      <c r="H35" s="47"/>
      <c r="I35" s="47"/>
      <c r="J35" s="21"/>
      <c r="K35" s="23"/>
      <c r="L35" s="23"/>
      <c r="M35" s="23"/>
      <c r="N35" s="125"/>
    </row>
    <row r="36" spans="1:14" ht="14.1" customHeight="1">
      <c r="A36" s="40"/>
      <c r="B36" s="34"/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32"/>
      <c r="N36" s="126"/>
    </row>
    <row r="37" spans="1:14" ht="14.1" customHeight="1">
      <c r="A37" s="40">
        <v>19</v>
      </c>
      <c r="B37" s="53"/>
      <c r="C37" s="54"/>
      <c r="D37" s="44"/>
      <c r="E37" s="45"/>
      <c r="F37" s="45"/>
      <c r="G37" s="46"/>
      <c r="H37" s="51"/>
      <c r="I37" s="51"/>
      <c r="J37" s="60"/>
      <c r="K37" s="51"/>
      <c r="L37" s="51"/>
      <c r="M37" s="51"/>
      <c r="N37" s="123"/>
    </row>
    <row r="38" spans="1:14" ht="14.1" customHeight="1" thickBot="1">
      <c r="A38" s="41"/>
      <c r="B38" s="27"/>
      <c r="C38" s="28"/>
      <c r="D38" s="29"/>
      <c r="E38" s="30"/>
      <c r="F38" s="30"/>
      <c r="G38" s="31"/>
      <c r="H38" s="48"/>
      <c r="I38" s="48"/>
      <c r="J38" s="110"/>
      <c r="K38" s="48"/>
      <c r="L38" s="48"/>
      <c r="M38" s="48"/>
      <c r="N38" s="124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J3:J4"/>
    <mergeCell ref="K3:K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A1:N1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9B1-8180-41C8-89EE-ED820627FB00}">
  <sheetPr>
    <tabColor theme="5"/>
    <pageSetUpPr fitToPage="1"/>
  </sheetPr>
  <dimension ref="A1:M51"/>
  <sheetViews>
    <sheetView zoomScale="110" zoomScaleNormal="110" workbookViewId="0">
      <selection activeCell="O24" sqref="O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259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SUM(I3)-2.9</f>
        <v>28.700000000000003</v>
      </c>
      <c r="I3" s="51">
        <f>SUM(J3)-2.9</f>
        <v>31.6</v>
      </c>
      <c r="J3" s="60">
        <v>34.5</v>
      </c>
      <c r="K3" s="51">
        <f>SUM(J3)+2.4</f>
        <v>36.9</v>
      </c>
      <c r="L3" s="51">
        <f>SUM(K3)+2.4</f>
        <v>39.299999999999997</v>
      </c>
      <c r="M3" s="84">
        <f>SUM(L3)+2.4</f>
        <v>41.699999999999996</v>
      </c>
    </row>
    <row r="4" spans="1:13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26.4</v>
      </c>
      <c r="I5" s="51">
        <f>SUM(J5)-1.8</f>
        <v>28.2</v>
      </c>
      <c r="J5" s="60">
        <v>30</v>
      </c>
      <c r="K5" s="51">
        <f>SUM(J5)+1.6</f>
        <v>31.6</v>
      </c>
      <c r="L5" s="51">
        <f>SUM(K5)+1.6</f>
        <v>33.200000000000003</v>
      </c>
      <c r="M5" s="75">
        <f>SUM(L5)+1.6</f>
        <v>34.800000000000004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35.5</v>
      </c>
      <c r="I7" s="51">
        <f>SUM(J7)-2.25</f>
        <v>37.75</v>
      </c>
      <c r="J7" s="60">
        <v>40</v>
      </c>
      <c r="K7" s="51">
        <f>SUM(J7)+2</f>
        <v>42</v>
      </c>
      <c r="L7" s="51">
        <f>SUM(K7)+2</f>
        <v>44</v>
      </c>
      <c r="M7" s="75">
        <f>SUM(L7)+2</f>
        <v>46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35.5</v>
      </c>
      <c r="I9" s="51">
        <f>SUM(J9)-2.25</f>
        <v>37.75</v>
      </c>
      <c r="J9" s="60">
        <v>40</v>
      </c>
      <c r="K9" s="51">
        <f>SUM(J9)+2</f>
        <v>42</v>
      </c>
      <c r="L9" s="51">
        <f>SUM(K9)+2</f>
        <v>44</v>
      </c>
      <c r="M9" s="75">
        <f>SUM(L9)+2</f>
        <v>46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15.2</v>
      </c>
      <c r="I11" s="51">
        <f>SUM(J11)-0.8</f>
        <v>16</v>
      </c>
      <c r="J11" s="39">
        <v>16.8</v>
      </c>
      <c r="K11" s="32">
        <f>SUM(J11)+0.8</f>
        <v>17.600000000000001</v>
      </c>
      <c r="L11" s="32">
        <f>SUM(K11)+0.9</f>
        <v>18.5</v>
      </c>
      <c r="M11" s="131">
        <f>SUM(L11)+0.8</f>
        <v>19.3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131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82">
        <f>SUM(L13)+0.6</f>
        <v>14.999999999999998</v>
      </c>
    </row>
    <row r="14" spans="1:13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6.2</v>
      </c>
      <c r="I15" s="51">
        <f>SUM(J15)-0.3</f>
        <v>6.5</v>
      </c>
      <c r="J15" s="39">
        <v>6.8</v>
      </c>
      <c r="K15" s="32">
        <f>SUM(J15)+0.3</f>
        <v>7.1</v>
      </c>
      <c r="L15" s="32">
        <f>SUM(K15)+0.3</f>
        <v>7.3999999999999995</v>
      </c>
      <c r="M15" s="131">
        <f>SUM(L15)+0.3</f>
        <v>7.6999999999999993</v>
      </c>
    </row>
    <row r="16" spans="1:13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32.799999999999997</v>
      </c>
      <c r="I17" s="51">
        <f>SUM(J17)-1.6</f>
        <v>34.4</v>
      </c>
      <c r="J17" s="39">
        <v>36</v>
      </c>
      <c r="K17" s="32">
        <f>SUM(J17)+1.6</f>
        <v>37.6</v>
      </c>
      <c r="L17" s="32">
        <f>SUM(K17)+1.6</f>
        <v>39.200000000000003</v>
      </c>
      <c r="M17" s="131">
        <f>SUM(L17)+1.6</f>
        <v>40.800000000000004</v>
      </c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33.299999999999997</v>
      </c>
      <c r="I19" s="51">
        <f>SUM(J19)-3.6</f>
        <v>36.9</v>
      </c>
      <c r="J19" s="39">
        <v>40.5</v>
      </c>
      <c r="K19" s="32">
        <f>SUM(J19)+3.7</f>
        <v>44.2</v>
      </c>
      <c r="L19" s="32">
        <f>SUM(K19)+3.7</f>
        <v>47.900000000000006</v>
      </c>
      <c r="M19" s="82">
        <f>SUM(L19)+3.7</f>
        <v>51.600000000000009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26.799999999999997</v>
      </c>
      <c r="I21" s="51">
        <f>SUM(J21)-1.6</f>
        <v>28.4</v>
      </c>
      <c r="J21" s="39">
        <v>30</v>
      </c>
      <c r="K21" s="32">
        <f>SUM(J21)+1.6</f>
        <v>31.6</v>
      </c>
      <c r="L21" s="32">
        <f>SUM(K21)+1.6</f>
        <v>33.200000000000003</v>
      </c>
      <c r="M21" s="82">
        <f>SUM(L21)+1.6</f>
        <v>34.800000000000004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SUM(I23)-1</f>
        <v>22</v>
      </c>
      <c r="I23" s="51">
        <f>SUM(J23)-1</f>
        <v>23</v>
      </c>
      <c r="J23" s="39">
        <v>24</v>
      </c>
      <c r="K23" s="32">
        <f>SUM(J23)+1</f>
        <v>25</v>
      </c>
      <c r="L23" s="32">
        <f>SUM(K23)+1</f>
        <v>26</v>
      </c>
      <c r="M23" s="82">
        <f>SUM(L23)+1</f>
        <v>27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160</v>
      </c>
      <c r="C25" s="50"/>
      <c r="D25" s="57"/>
      <c r="E25" s="58"/>
      <c r="F25" s="58"/>
      <c r="G25" s="59"/>
      <c r="H25" s="51">
        <f>SUM(I25)-0.4</f>
        <v>6.2999999999999989</v>
      </c>
      <c r="I25" s="51">
        <f>SUM(J25)-0.4</f>
        <v>6.6999999999999993</v>
      </c>
      <c r="J25" s="60">
        <v>7.1</v>
      </c>
      <c r="K25" s="51">
        <f>SUM(J25)+0.4</f>
        <v>7.5</v>
      </c>
      <c r="L25" s="51">
        <f>SUM(K25)+0.4</f>
        <v>7.9</v>
      </c>
      <c r="M25" s="75">
        <f>SUM(L25)+0.4</f>
        <v>8.3000000000000007</v>
      </c>
    </row>
    <row r="26" spans="1:13" s="1" customFormat="1" ht="14.1" customHeight="1">
      <c r="A26" s="40"/>
      <c r="B26" s="77" t="s">
        <v>159</v>
      </c>
      <c r="C26" s="78"/>
      <c r="D26" s="79" t="s">
        <v>260</v>
      </c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40">
        <v>13</v>
      </c>
      <c r="B27" s="49" t="s">
        <v>158</v>
      </c>
      <c r="C27" s="50"/>
      <c r="D27" s="57"/>
      <c r="E27" s="58"/>
      <c r="F27" s="58"/>
      <c r="G27" s="59"/>
      <c r="H27" s="51">
        <f>SUM(I27)-0.4</f>
        <v>6.9999999999999991</v>
      </c>
      <c r="I27" s="51">
        <f>SUM(J27)-0.4</f>
        <v>7.3999999999999995</v>
      </c>
      <c r="J27" s="60">
        <v>7.8</v>
      </c>
      <c r="K27" s="51">
        <f>SUM(J27)+0.4</f>
        <v>8.1999999999999993</v>
      </c>
      <c r="L27" s="51">
        <f>SUM(K27)+0.4</f>
        <v>8.6</v>
      </c>
      <c r="M27" s="75">
        <f>SUM(L27)+0.4</f>
        <v>9</v>
      </c>
    </row>
    <row r="28" spans="1:13" s="1" customFormat="1" ht="14.1" customHeight="1">
      <c r="A28" s="40"/>
      <c r="B28" s="77" t="s">
        <v>157</v>
      </c>
      <c r="C28" s="78"/>
      <c r="D28" s="79" t="s">
        <v>260</v>
      </c>
      <c r="E28" s="80"/>
      <c r="F28" s="80"/>
      <c r="G28" s="81"/>
      <c r="H28" s="23"/>
      <c r="I28" s="23"/>
      <c r="J28" s="21"/>
      <c r="K28" s="23"/>
      <c r="L28" s="23"/>
      <c r="M28" s="76"/>
    </row>
    <row r="29" spans="1:13" ht="14.1" customHeight="1">
      <c r="A29" s="40">
        <v>14</v>
      </c>
      <c r="B29" s="49"/>
      <c r="C29" s="50"/>
      <c r="D29" s="55"/>
      <c r="E29" s="55"/>
      <c r="F29" s="55"/>
      <c r="G29" s="55"/>
      <c r="H29" s="51"/>
      <c r="I29" s="51"/>
      <c r="J29" s="60"/>
      <c r="K29" s="51"/>
      <c r="L29" s="51"/>
      <c r="M29" s="75"/>
    </row>
    <row r="30" spans="1:13" ht="14.1" customHeight="1">
      <c r="A30" s="40"/>
      <c r="B30" s="34"/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60"/>
      <c r="K31" s="51"/>
      <c r="L31" s="51"/>
      <c r="M31" s="75"/>
    </row>
    <row r="32" spans="1:13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55"/>
      <c r="E33" s="55"/>
      <c r="F33" s="55"/>
      <c r="G33" s="55"/>
      <c r="H33" s="51"/>
      <c r="I33" s="51"/>
      <c r="J33" s="60"/>
      <c r="K33" s="51"/>
      <c r="L33" s="51"/>
      <c r="M33" s="75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53"/>
      <c r="C35" s="54"/>
      <c r="D35" s="68"/>
      <c r="E35" s="68"/>
      <c r="F35" s="68"/>
      <c r="G35" s="68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132"/>
      <c r="C36" s="132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3.5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3754-024A-4099-AAA3-071623A2928A}">
  <sheetPr>
    <tabColor theme="5"/>
    <pageSetUpPr fitToPage="1"/>
  </sheetPr>
  <dimension ref="A1:Q51"/>
  <sheetViews>
    <sheetView topLeftCell="A10" zoomScale="110" zoomScaleNormal="110" workbookViewId="0">
      <selection activeCell="P33" sqref="P3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235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4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15" t="s">
        <v>154</v>
      </c>
    </row>
    <row r="3" spans="1:17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33</v>
      </c>
      <c r="I3" s="51">
        <f>SUM(J3)-3.4</f>
        <v>36.4</v>
      </c>
      <c r="J3" s="60">
        <v>39.799999999999997</v>
      </c>
      <c r="K3" s="51">
        <f>SUM(J3)+2.9</f>
        <v>42.699999999999996</v>
      </c>
      <c r="L3" s="51">
        <f>SUM(K3)+2.9</f>
        <v>45.599999999999994</v>
      </c>
      <c r="M3" s="84">
        <f>SUM(L3)+2.9</f>
        <v>48.499999999999993</v>
      </c>
      <c r="N3" s="134">
        <f>SUM(M3)+2.9</f>
        <v>51.399999999999991</v>
      </c>
    </row>
    <row r="4" spans="1:17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  <c r="N4" s="135"/>
    </row>
    <row r="5" spans="1:17" s="1" customFormat="1" ht="14.1" customHeight="1">
      <c r="A5" s="40">
        <v>2</v>
      </c>
      <c r="B5" s="56" t="s">
        <v>39</v>
      </c>
      <c r="C5" s="56"/>
      <c r="D5" s="55" t="s">
        <v>234</v>
      </c>
      <c r="E5" s="55"/>
      <c r="F5" s="55"/>
      <c r="G5" s="55"/>
      <c r="H5" s="51">
        <f>SUM(I5)-2.2</f>
        <v>40.599999999999994</v>
      </c>
      <c r="I5" s="51">
        <f>SUM(J5)-2.2</f>
        <v>42.8</v>
      </c>
      <c r="J5" s="39">
        <v>45</v>
      </c>
      <c r="K5" s="32">
        <f>SUM(J5)+2</f>
        <v>47</v>
      </c>
      <c r="L5" s="32">
        <f t="shared" ref="L5:N5" si="0">SUM(K5)+2</f>
        <v>49</v>
      </c>
      <c r="M5" s="82">
        <f t="shared" si="0"/>
        <v>51</v>
      </c>
      <c r="N5" s="133">
        <f t="shared" si="0"/>
        <v>53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39"/>
      <c r="K6" s="32"/>
      <c r="L6" s="32"/>
      <c r="M6" s="82"/>
      <c r="N6" s="133"/>
    </row>
    <row r="7" spans="1:17" s="1" customFormat="1" ht="14.1" customHeight="1">
      <c r="A7" s="40">
        <v>3</v>
      </c>
      <c r="B7" s="56" t="s">
        <v>218</v>
      </c>
      <c r="C7" s="56"/>
      <c r="D7" s="55" t="s">
        <v>233</v>
      </c>
      <c r="E7" s="55"/>
      <c r="F7" s="55"/>
      <c r="G7" s="55"/>
      <c r="H7" s="51">
        <f>SUM(I7)-2.35</f>
        <v>44.4</v>
      </c>
      <c r="I7" s="51">
        <f>SUM(J7)-2.35</f>
        <v>46.75</v>
      </c>
      <c r="J7" s="60">
        <v>49.1</v>
      </c>
      <c r="K7" s="51">
        <f>SUM(J7)+2.1</f>
        <v>51.2</v>
      </c>
      <c r="L7" s="51">
        <f t="shared" ref="L7:M7" si="1">SUM(K7)+2.1</f>
        <v>53.300000000000004</v>
      </c>
      <c r="M7" s="75">
        <f t="shared" si="1"/>
        <v>55.400000000000006</v>
      </c>
      <c r="N7" s="136">
        <f t="shared" ref="N7" si="2">SUM(M7)+2.1</f>
        <v>57.500000000000007</v>
      </c>
    </row>
    <row r="8" spans="1:17" s="1" customFormat="1" ht="14.1" customHeight="1">
      <c r="A8" s="40"/>
      <c r="B8" s="52" t="s">
        <v>221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  <c r="N8" s="135"/>
    </row>
    <row r="9" spans="1:17" s="1" customFormat="1" ht="14.1" customHeight="1">
      <c r="A9" s="40">
        <v>4</v>
      </c>
      <c r="B9" s="56" t="s">
        <v>219</v>
      </c>
      <c r="C9" s="56"/>
      <c r="D9" s="55" t="s">
        <v>73</v>
      </c>
      <c r="E9" s="55"/>
      <c r="F9" s="55"/>
      <c r="G9" s="55"/>
      <c r="H9" s="51">
        <f>SUM(I9)-2.25</f>
        <v>42.5</v>
      </c>
      <c r="I9" s="51">
        <f>SUM(J9)-2.25</f>
        <v>44.75</v>
      </c>
      <c r="J9" s="60">
        <v>47</v>
      </c>
      <c r="K9" s="51">
        <f>SUM(J9)+2</f>
        <v>49</v>
      </c>
      <c r="L9" s="51">
        <f t="shared" ref="L9:M9" si="3">SUM(K9)+2</f>
        <v>51</v>
      </c>
      <c r="M9" s="75">
        <f t="shared" si="3"/>
        <v>53</v>
      </c>
      <c r="N9" s="136">
        <f t="shared" ref="N9" si="4">SUM(M9)+2</f>
        <v>55</v>
      </c>
    </row>
    <row r="10" spans="1:17" s="1" customFormat="1" ht="14.1" customHeight="1">
      <c r="A10" s="40"/>
      <c r="B10" s="52" t="s">
        <v>220</v>
      </c>
      <c r="C10" s="52"/>
      <c r="D10" s="36" t="s">
        <v>45</v>
      </c>
      <c r="E10" s="37"/>
      <c r="F10" s="37"/>
      <c r="G10" s="38"/>
      <c r="H10" s="23"/>
      <c r="I10" s="23"/>
      <c r="J10" s="21"/>
      <c r="K10" s="23"/>
      <c r="L10" s="23"/>
      <c r="M10" s="76"/>
      <c r="N10" s="135"/>
    </row>
    <row r="11" spans="1:17" s="1" customFormat="1" ht="14.1" customHeight="1" thickBot="1">
      <c r="A11" s="40">
        <v>5</v>
      </c>
      <c r="B11" s="49" t="s">
        <v>166</v>
      </c>
      <c r="C11" s="50"/>
      <c r="D11" s="93"/>
      <c r="E11" s="94"/>
      <c r="F11" s="94"/>
      <c r="G11" s="95"/>
      <c r="H11" s="51">
        <f>SUM(I11)-0.5</f>
        <v>9.8000000000000007</v>
      </c>
      <c r="I11" s="51">
        <f>SUM(J11)-0.5</f>
        <v>10.3</v>
      </c>
      <c r="J11" s="39">
        <v>10.8</v>
      </c>
      <c r="K11" s="32">
        <f>SUM(J11)+0.5</f>
        <v>11.3</v>
      </c>
      <c r="L11" s="32">
        <f t="shared" ref="L11:M11" si="5">SUM(K11)+0.5</f>
        <v>11.8</v>
      </c>
      <c r="M11" s="82">
        <f t="shared" si="5"/>
        <v>12.3</v>
      </c>
      <c r="N11" s="133">
        <f t="shared" ref="N11" si="6">SUM(M11)+0.5</f>
        <v>12.8</v>
      </c>
    </row>
    <row r="12" spans="1:17" s="1" customFormat="1" ht="14.1" customHeight="1" thickTop="1">
      <c r="A12" s="40"/>
      <c r="B12" s="34" t="s">
        <v>165</v>
      </c>
      <c r="C12" s="35"/>
      <c r="D12" s="36" t="s">
        <v>194</v>
      </c>
      <c r="E12" s="37"/>
      <c r="F12" s="37"/>
      <c r="G12" s="38"/>
      <c r="H12" s="23"/>
      <c r="I12" s="23"/>
      <c r="J12" s="39"/>
      <c r="K12" s="32"/>
      <c r="L12" s="32"/>
      <c r="M12" s="82"/>
      <c r="N12" s="133"/>
      <c r="Q12" s="11" t="s">
        <v>236</v>
      </c>
    </row>
    <row r="13" spans="1:17" s="1" customFormat="1" ht="14.1" customHeight="1">
      <c r="A13" s="40">
        <v>6</v>
      </c>
      <c r="B13" s="56" t="s">
        <v>208</v>
      </c>
      <c r="C13" s="56"/>
      <c r="D13" s="55"/>
      <c r="E13" s="55"/>
      <c r="F13" s="55"/>
      <c r="G13" s="55"/>
      <c r="H13" s="51">
        <f>SUM(I13)-3.5</f>
        <v>67</v>
      </c>
      <c r="I13" s="51">
        <f>SUM(J13)-3.5</f>
        <v>70.5</v>
      </c>
      <c r="J13" s="60">
        <v>74</v>
      </c>
      <c r="K13" s="51">
        <f>SUM(J13)+3</f>
        <v>77</v>
      </c>
      <c r="L13" s="51">
        <f t="shared" ref="L13:M13" si="7">SUM(K13)+3</f>
        <v>80</v>
      </c>
      <c r="M13" s="75">
        <f t="shared" si="7"/>
        <v>83</v>
      </c>
      <c r="N13" s="136">
        <f>SUM(M13)+3.5</f>
        <v>86.5</v>
      </c>
      <c r="Q13" s="12">
        <f>SUM(H13+I13+J13+K13+L13+M13)</f>
        <v>451.5</v>
      </c>
    </row>
    <row r="14" spans="1:17" s="1" customFormat="1" ht="14.1" customHeight="1" thickBot="1">
      <c r="A14" s="40"/>
      <c r="B14" s="52" t="s">
        <v>209</v>
      </c>
      <c r="C14" s="52"/>
      <c r="D14" s="36" t="s">
        <v>232</v>
      </c>
      <c r="E14" s="37"/>
      <c r="F14" s="37"/>
      <c r="G14" s="38"/>
      <c r="H14" s="23"/>
      <c r="I14" s="23"/>
      <c r="J14" s="21"/>
      <c r="K14" s="23"/>
      <c r="L14" s="23"/>
      <c r="M14" s="76"/>
      <c r="N14" s="135"/>
      <c r="Q14" s="13">
        <f>SUM(Q13/91.44/6*1.08)</f>
        <v>0.88877952755905509</v>
      </c>
    </row>
    <row r="15" spans="1:17" s="1" customFormat="1" ht="14.1" customHeight="1" thickTop="1">
      <c r="A15" s="40">
        <v>7</v>
      </c>
      <c r="B15" s="56" t="s">
        <v>10</v>
      </c>
      <c r="C15" s="56"/>
      <c r="D15" s="55" t="s">
        <v>0</v>
      </c>
      <c r="E15" s="55"/>
      <c r="F15" s="55"/>
      <c r="G15" s="55"/>
      <c r="H15" s="51">
        <f>SUM(I15)-0.8</f>
        <v>16.5</v>
      </c>
      <c r="I15" s="51">
        <f>SUM(J15)-0.8</f>
        <v>17.3</v>
      </c>
      <c r="J15" s="39">
        <v>18.100000000000001</v>
      </c>
      <c r="K15" s="51">
        <f>SUM(J15)+0.8</f>
        <v>18.900000000000002</v>
      </c>
      <c r="L15" s="51">
        <f t="shared" ref="L15:N15" si="8">SUM(K15)+0.8</f>
        <v>19.700000000000003</v>
      </c>
      <c r="M15" s="75">
        <f t="shared" si="8"/>
        <v>20.500000000000004</v>
      </c>
      <c r="N15" s="136">
        <f t="shared" si="8"/>
        <v>21.300000000000004</v>
      </c>
    </row>
    <row r="16" spans="1:17" s="1" customFormat="1" ht="14.1" customHeight="1">
      <c r="A16" s="40"/>
      <c r="B16" s="52" t="s">
        <v>26</v>
      </c>
      <c r="C16" s="52"/>
      <c r="D16" s="36" t="s">
        <v>222</v>
      </c>
      <c r="E16" s="37"/>
      <c r="F16" s="37"/>
      <c r="G16" s="38"/>
      <c r="H16" s="23"/>
      <c r="I16" s="23"/>
      <c r="J16" s="39"/>
      <c r="K16" s="23"/>
      <c r="L16" s="23"/>
      <c r="M16" s="76"/>
      <c r="N16" s="135"/>
    </row>
    <row r="17" spans="1:14" s="1" customFormat="1" ht="14.1" customHeight="1">
      <c r="A17" s="40">
        <v>8</v>
      </c>
      <c r="B17" s="56" t="s">
        <v>1</v>
      </c>
      <c r="C17" s="56"/>
      <c r="D17" s="55" t="s">
        <v>145</v>
      </c>
      <c r="E17" s="55"/>
      <c r="F17" s="55"/>
      <c r="G17" s="55"/>
      <c r="H17" s="51">
        <f>SUM(I17)-0.6</f>
        <v>13.200000000000001</v>
      </c>
      <c r="I17" s="51">
        <f>SUM(J17)-0.6</f>
        <v>13.8</v>
      </c>
      <c r="J17" s="39">
        <v>14.4</v>
      </c>
      <c r="K17" s="32">
        <f>SUM(J17)+0.6</f>
        <v>15</v>
      </c>
      <c r="L17" s="32">
        <f>SUM(K17)+0.6</f>
        <v>15.6</v>
      </c>
      <c r="M17" s="82">
        <f>SUM(L17)+0.6</f>
        <v>16.2</v>
      </c>
      <c r="N17" s="133">
        <f>SUM(M17)+0.6</f>
        <v>16.8</v>
      </c>
    </row>
    <row r="18" spans="1:14" s="1" customFormat="1" ht="14.1" customHeight="1">
      <c r="A18" s="40"/>
      <c r="B18" s="52" t="s">
        <v>27</v>
      </c>
      <c r="C18" s="52"/>
      <c r="D18" s="36" t="s">
        <v>223</v>
      </c>
      <c r="E18" s="37"/>
      <c r="F18" s="37"/>
      <c r="G18" s="38"/>
      <c r="H18" s="23"/>
      <c r="I18" s="23"/>
      <c r="J18" s="39"/>
      <c r="K18" s="32"/>
      <c r="L18" s="32"/>
      <c r="M18" s="82"/>
      <c r="N18" s="133"/>
    </row>
    <row r="19" spans="1:14" s="1" customFormat="1" ht="14.1" customHeight="1">
      <c r="A19" s="40">
        <v>9</v>
      </c>
      <c r="B19" s="56" t="s">
        <v>2</v>
      </c>
      <c r="C19" s="56"/>
      <c r="D19" s="55" t="s">
        <v>3</v>
      </c>
      <c r="E19" s="55"/>
      <c r="F19" s="55"/>
      <c r="G19" s="55"/>
      <c r="H19" s="51">
        <f>SUM(I19)-0.3</f>
        <v>6.8000000000000007</v>
      </c>
      <c r="I19" s="51">
        <f>SUM(J19)-0.3</f>
        <v>7.1000000000000005</v>
      </c>
      <c r="J19" s="39">
        <v>7.4</v>
      </c>
      <c r="K19" s="32">
        <f>SUM(J19)+0.3</f>
        <v>7.7</v>
      </c>
      <c r="L19" s="32">
        <f>SUM(K19)+0.3</f>
        <v>8</v>
      </c>
      <c r="M19" s="131">
        <f>SUM(L19)+0.3</f>
        <v>8.3000000000000007</v>
      </c>
      <c r="N19" s="133">
        <f>SUM(M19)+0.3</f>
        <v>8.6000000000000014</v>
      </c>
    </row>
    <row r="20" spans="1:14" s="1" customFormat="1" ht="14.1" customHeight="1">
      <c r="A20" s="40"/>
      <c r="B20" s="52" t="s">
        <v>28</v>
      </c>
      <c r="C20" s="52"/>
      <c r="D20" s="36" t="s">
        <v>224</v>
      </c>
      <c r="E20" s="37"/>
      <c r="F20" s="37"/>
      <c r="G20" s="38"/>
      <c r="H20" s="23"/>
      <c r="I20" s="23"/>
      <c r="J20" s="39"/>
      <c r="K20" s="32"/>
      <c r="L20" s="32"/>
      <c r="M20" s="131"/>
      <c r="N20" s="133"/>
    </row>
    <row r="21" spans="1:14" s="1" customFormat="1" ht="14.1" customHeight="1">
      <c r="A21" s="40">
        <v>10</v>
      </c>
      <c r="B21" s="49" t="s">
        <v>74</v>
      </c>
      <c r="C21" s="50"/>
      <c r="D21" s="57" t="s">
        <v>225</v>
      </c>
      <c r="E21" s="58"/>
      <c r="F21" s="58"/>
      <c r="G21" s="59"/>
      <c r="H21" s="51">
        <f>SUM(I21)-1.6</f>
        <v>35.299999999999997</v>
      </c>
      <c r="I21" s="51">
        <f>SUM(J21)-1.6</f>
        <v>36.9</v>
      </c>
      <c r="J21" s="39">
        <v>38.5</v>
      </c>
      <c r="K21" s="32">
        <f>SUM(J21)+1.6</f>
        <v>40.1</v>
      </c>
      <c r="L21" s="32">
        <f>SUM(K21)+1.6</f>
        <v>41.7</v>
      </c>
      <c r="M21" s="131">
        <f>SUM(L21)+1.6</f>
        <v>43.300000000000004</v>
      </c>
      <c r="N21" s="137">
        <f>SUM(M21)+1.6</f>
        <v>44.900000000000006</v>
      </c>
    </row>
    <row r="22" spans="1:14" s="1" customFormat="1" ht="14.1" customHeight="1">
      <c r="A22" s="40"/>
      <c r="B22" s="52" t="s">
        <v>35</v>
      </c>
      <c r="C22" s="52"/>
      <c r="D22" s="36" t="s">
        <v>210</v>
      </c>
      <c r="E22" s="37"/>
      <c r="F22" s="37"/>
      <c r="G22" s="38"/>
      <c r="H22" s="23"/>
      <c r="I22" s="23"/>
      <c r="J22" s="39"/>
      <c r="K22" s="32"/>
      <c r="L22" s="32"/>
      <c r="M22" s="131"/>
      <c r="N22" s="137"/>
    </row>
    <row r="23" spans="1:14" s="1" customFormat="1" ht="14.1" customHeight="1">
      <c r="A23" s="40">
        <v>11</v>
      </c>
      <c r="B23" s="49" t="s">
        <v>76</v>
      </c>
      <c r="C23" s="50"/>
      <c r="D23" s="58" t="s">
        <v>211</v>
      </c>
      <c r="E23" s="58"/>
      <c r="F23" s="58"/>
      <c r="G23" s="58"/>
      <c r="H23" s="51">
        <f>SUM(I23)-0.2</f>
        <v>3.3999999999999995</v>
      </c>
      <c r="I23" s="51">
        <f>SUM(J23)-0.2</f>
        <v>3.5999999999999996</v>
      </c>
      <c r="J23" s="39">
        <v>3.8</v>
      </c>
      <c r="K23" s="32">
        <f>SUM(J23)+0.2</f>
        <v>4</v>
      </c>
      <c r="L23" s="32">
        <f>SUM(K23)+0.2</f>
        <v>4.2</v>
      </c>
      <c r="M23" s="82">
        <f>SUM(L23)+0.2</f>
        <v>4.4000000000000004</v>
      </c>
      <c r="N23" s="133">
        <f>SUM(M23)+0.2</f>
        <v>4.6000000000000005</v>
      </c>
    </row>
    <row r="24" spans="1:14" s="1" customFormat="1" ht="14.1" customHeight="1">
      <c r="A24" s="40"/>
      <c r="B24" s="105" t="s">
        <v>36</v>
      </c>
      <c r="C24" s="105"/>
      <c r="D24" s="67" t="s">
        <v>212</v>
      </c>
      <c r="E24" s="68"/>
      <c r="F24" s="68"/>
      <c r="G24" s="69"/>
      <c r="H24" s="47"/>
      <c r="I24" s="47"/>
      <c r="J24" s="60"/>
      <c r="K24" s="51"/>
      <c r="L24" s="51"/>
      <c r="M24" s="75"/>
      <c r="N24" s="136"/>
    </row>
    <row r="25" spans="1:14" s="1" customFormat="1" ht="14.1" customHeight="1">
      <c r="A25" s="40">
        <v>12</v>
      </c>
      <c r="B25" s="56" t="s">
        <v>4</v>
      </c>
      <c r="C25" s="56"/>
      <c r="D25" s="55" t="s">
        <v>5</v>
      </c>
      <c r="E25" s="55"/>
      <c r="F25" s="55"/>
      <c r="G25" s="55"/>
      <c r="H25" s="51">
        <f>SUM(I25)-3.4</f>
        <v>25.800000000000004</v>
      </c>
      <c r="I25" s="51">
        <f>SUM(J25)-3.4</f>
        <v>29.200000000000003</v>
      </c>
      <c r="J25" s="39">
        <v>32.6</v>
      </c>
      <c r="K25" s="51">
        <f>SUM(J25)+3.5</f>
        <v>36.1</v>
      </c>
      <c r="L25" s="51">
        <f t="shared" ref="L25:N25" si="9">SUM(K25)+3.5</f>
        <v>39.6</v>
      </c>
      <c r="M25" s="75">
        <f t="shared" si="9"/>
        <v>43.1</v>
      </c>
      <c r="N25" s="136">
        <f t="shared" si="9"/>
        <v>46.6</v>
      </c>
    </row>
    <row r="26" spans="1:14" s="1" customFormat="1" ht="14.1" customHeight="1">
      <c r="A26" s="40"/>
      <c r="B26" s="52" t="s">
        <v>29</v>
      </c>
      <c r="C26" s="52"/>
      <c r="D26" s="36" t="s">
        <v>50</v>
      </c>
      <c r="E26" s="37"/>
      <c r="F26" s="37"/>
      <c r="G26" s="38"/>
      <c r="H26" s="23"/>
      <c r="I26" s="23"/>
      <c r="J26" s="39"/>
      <c r="K26" s="23"/>
      <c r="L26" s="23"/>
      <c r="M26" s="76"/>
      <c r="N26" s="135"/>
    </row>
    <row r="27" spans="1:14" s="1" customFormat="1" ht="14.1" customHeight="1">
      <c r="A27" s="40">
        <v>13</v>
      </c>
      <c r="B27" s="56" t="s">
        <v>6</v>
      </c>
      <c r="C27" s="56"/>
      <c r="D27" s="57" t="s">
        <v>226</v>
      </c>
      <c r="E27" s="58"/>
      <c r="F27" s="58"/>
      <c r="G27" s="59"/>
      <c r="H27" s="51">
        <f>SUM(I27)-1.7</f>
        <v>34.699999999999996</v>
      </c>
      <c r="I27" s="51">
        <f>SUM(J27)-1.7</f>
        <v>36.4</v>
      </c>
      <c r="J27" s="39">
        <v>38.1</v>
      </c>
      <c r="K27" s="32">
        <f>SUM(J27)+1.7</f>
        <v>39.800000000000004</v>
      </c>
      <c r="L27" s="32">
        <f t="shared" ref="L27:M27" si="10">SUM(K27)+1.7</f>
        <v>41.500000000000007</v>
      </c>
      <c r="M27" s="82">
        <f t="shared" si="10"/>
        <v>43.20000000000001</v>
      </c>
      <c r="N27" s="133">
        <f t="shared" ref="N27" si="11">SUM(M27)+1.7</f>
        <v>44.900000000000013</v>
      </c>
    </row>
    <row r="28" spans="1:14" s="1" customFormat="1" ht="14.1" customHeight="1">
      <c r="A28" s="40"/>
      <c r="B28" s="52" t="s">
        <v>30</v>
      </c>
      <c r="C28" s="52"/>
      <c r="D28" s="36" t="s">
        <v>227</v>
      </c>
      <c r="E28" s="37"/>
      <c r="F28" s="37"/>
      <c r="G28" s="38"/>
      <c r="H28" s="23"/>
      <c r="I28" s="23"/>
      <c r="J28" s="39"/>
      <c r="K28" s="32"/>
      <c r="L28" s="32"/>
      <c r="M28" s="82"/>
      <c r="N28" s="133"/>
    </row>
    <row r="29" spans="1:14" ht="14.1" customHeight="1">
      <c r="A29" s="40">
        <v>14</v>
      </c>
      <c r="B29" s="49" t="s">
        <v>99</v>
      </c>
      <c r="C29" s="50"/>
      <c r="D29" s="55"/>
      <c r="E29" s="55"/>
      <c r="F29" s="55"/>
      <c r="G29" s="55"/>
      <c r="H29" s="51">
        <f>SUM(I29)-1</f>
        <v>18</v>
      </c>
      <c r="I29" s="51">
        <f>SUM(J29)-1</f>
        <v>19</v>
      </c>
      <c r="J29" s="39">
        <v>20</v>
      </c>
      <c r="K29" s="32">
        <f>SUM(J29)+1</f>
        <v>21</v>
      </c>
      <c r="L29" s="32">
        <f t="shared" ref="L29:M29" si="12">SUM(K29)+1</f>
        <v>22</v>
      </c>
      <c r="M29" s="82">
        <f t="shared" si="12"/>
        <v>23</v>
      </c>
      <c r="N29" s="133">
        <f t="shared" ref="N29" si="13">SUM(M29)+1</f>
        <v>24</v>
      </c>
    </row>
    <row r="30" spans="1:14" ht="14.1" customHeight="1">
      <c r="A30" s="40"/>
      <c r="B30" s="52" t="s">
        <v>31</v>
      </c>
      <c r="C30" s="52"/>
      <c r="D30" s="36" t="s">
        <v>217</v>
      </c>
      <c r="E30" s="37"/>
      <c r="F30" s="37"/>
      <c r="G30" s="38"/>
      <c r="H30" s="23"/>
      <c r="I30" s="23"/>
      <c r="J30" s="39"/>
      <c r="K30" s="32"/>
      <c r="L30" s="32"/>
      <c r="M30" s="82"/>
      <c r="N30" s="133"/>
    </row>
    <row r="31" spans="1:14" ht="14.1" customHeight="1">
      <c r="A31" s="40">
        <v>15</v>
      </c>
      <c r="B31" s="49" t="s">
        <v>213</v>
      </c>
      <c r="C31" s="50"/>
      <c r="D31" s="57"/>
      <c r="E31" s="58"/>
      <c r="F31" s="58"/>
      <c r="G31" s="59"/>
      <c r="H31" s="51">
        <f>SUM(I31)-0.5</f>
        <v>11</v>
      </c>
      <c r="I31" s="51">
        <f>SUM(J31)-0.5</f>
        <v>11.5</v>
      </c>
      <c r="J31" s="60">
        <v>12</v>
      </c>
      <c r="K31" s="51">
        <f>SUM(J31)+0.5</f>
        <v>12.5</v>
      </c>
      <c r="L31" s="51">
        <f>SUM(K31)+0.5</f>
        <v>13</v>
      </c>
      <c r="M31" s="75">
        <f>SUM(L31)+0.5</f>
        <v>13.5</v>
      </c>
      <c r="N31" s="136">
        <f>SUM(M31)+0.5</f>
        <v>14</v>
      </c>
    </row>
    <row r="32" spans="1:14" ht="14.1" customHeight="1">
      <c r="A32" s="40"/>
      <c r="B32" s="34" t="s">
        <v>151</v>
      </c>
      <c r="C32" s="35"/>
      <c r="D32" s="79"/>
      <c r="E32" s="80"/>
      <c r="F32" s="80"/>
      <c r="G32" s="81"/>
      <c r="H32" s="23"/>
      <c r="I32" s="23"/>
      <c r="J32" s="21"/>
      <c r="K32" s="23"/>
      <c r="L32" s="23"/>
      <c r="M32" s="76"/>
      <c r="N32" s="135"/>
    </row>
    <row r="33" spans="1:14" ht="14.1" customHeight="1">
      <c r="A33" s="40">
        <v>16</v>
      </c>
      <c r="B33" s="49" t="s">
        <v>214</v>
      </c>
      <c r="C33" s="50"/>
      <c r="D33" s="55"/>
      <c r="E33" s="55"/>
      <c r="F33" s="55"/>
      <c r="G33" s="55"/>
      <c r="H33" s="51">
        <v>31.5</v>
      </c>
      <c r="I33" s="51">
        <v>35</v>
      </c>
      <c r="J33" s="60">
        <v>38.5</v>
      </c>
      <c r="K33" s="51">
        <v>41.5</v>
      </c>
      <c r="L33" s="51">
        <v>44.5</v>
      </c>
      <c r="M33" s="75">
        <v>47</v>
      </c>
      <c r="N33" s="136">
        <v>50</v>
      </c>
    </row>
    <row r="34" spans="1:14" ht="14.1" customHeight="1">
      <c r="A34" s="40"/>
      <c r="B34" s="34" t="s">
        <v>215</v>
      </c>
      <c r="C34" s="35"/>
      <c r="D34" s="36" t="s">
        <v>216</v>
      </c>
      <c r="E34" s="37"/>
      <c r="F34" s="37"/>
      <c r="G34" s="38"/>
      <c r="H34" s="23"/>
      <c r="I34" s="23"/>
      <c r="J34" s="21"/>
      <c r="K34" s="23"/>
      <c r="L34" s="23"/>
      <c r="M34" s="76"/>
      <c r="N34" s="135"/>
    </row>
    <row r="35" spans="1:14" ht="14.1" customHeight="1">
      <c r="A35" s="40">
        <v>17</v>
      </c>
      <c r="B35" s="49" t="s">
        <v>141</v>
      </c>
      <c r="C35" s="50"/>
      <c r="D35" s="93" t="s">
        <v>230</v>
      </c>
      <c r="E35" s="94"/>
      <c r="F35" s="94"/>
      <c r="G35" s="95"/>
      <c r="H35" s="51">
        <f>SUM(I35)-0.3</f>
        <v>5.7</v>
      </c>
      <c r="I35" s="51">
        <f>SUM(J35)-0.3</f>
        <v>6</v>
      </c>
      <c r="J35" s="39">
        <v>6.3</v>
      </c>
      <c r="K35" s="32">
        <f>SUM(J35)+0.3</f>
        <v>6.6</v>
      </c>
      <c r="L35" s="32">
        <f t="shared" ref="L35:M35" si="14">SUM(K35)+0.3</f>
        <v>6.8999999999999995</v>
      </c>
      <c r="M35" s="82">
        <f t="shared" si="14"/>
        <v>7.1999999999999993</v>
      </c>
      <c r="N35" s="133">
        <f t="shared" ref="N35" si="15">SUM(M35)+0.3</f>
        <v>7.4999999999999991</v>
      </c>
    </row>
    <row r="36" spans="1:14" ht="14.1" customHeight="1">
      <c r="A36" s="40"/>
      <c r="B36" s="34" t="s">
        <v>140</v>
      </c>
      <c r="C36" s="35"/>
      <c r="D36" s="36" t="s">
        <v>229</v>
      </c>
      <c r="E36" s="37"/>
      <c r="F36" s="37"/>
      <c r="G36" s="38"/>
      <c r="H36" s="23"/>
      <c r="I36" s="23"/>
      <c r="J36" s="39"/>
      <c r="K36" s="32"/>
      <c r="L36" s="32"/>
      <c r="M36" s="82"/>
      <c r="N36" s="133"/>
    </row>
    <row r="37" spans="1:14" ht="14.1" customHeight="1">
      <c r="A37" s="40">
        <v>18</v>
      </c>
      <c r="B37" s="49" t="s">
        <v>139</v>
      </c>
      <c r="C37" s="50"/>
      <c r="D37" s="93" t="s">
        <v>230</v>
      </c>
      <c r="E37" s="94"/>
      <c r="F37" s="94"/>
      <c r="G37" s="95"/>
      <c r="H37" s="47">
        <f>SUM(I37)-0.5</f>
        <v>8</v>
      </c>
      <c r="I37" s="47">
        <f>SUM(J37)-0.5</f>
        <v>8.5</v>
      </c>
      <c r="J37" s="21">
        <v>9</v>
      </c>
      <c r="K37" s="23">
        <f>SUM(J37)+0.4</f>
        <v>9.4</v>
      </c>
      <c r="L37" s="23">
        <f t="shared" ref="L37:M37" si="16">SUM(K37)+0.4</f>
        <v>9.8000000000000007</v>
      </c>
      <c r="M37" s="76">
        <f t="shared" si="16"/>
        <v>10.200000000000001</v>
      </c>
      <c r="N37" s="135">
        <f t="shared" ref="N37" si="17">SUM(M37)+0.4</f>
        <v>10.600000000000001</v>
      </c>
    </row>
    <row r="38" spans="1:14" ht="14.1" customHeight="1">
      <c r="A38" s="40"/>
      <c r="B38" s="34" t="s">
        <v>138</v>
      </c>
      <c r="C38" s="35"/>
      <c r="D38" s="36" t="s">
        <v>228</v>
      </c>
      <c r="E38" s="37"/>
      <c r="F38" s="37"/>
      <c r="G38" s="38"/>
      <c r="H38" s="23"/>
      <c r="I38" s="23"/>
      <c r="J38" s="39"/>
      <c r="K38" s="32"/>
      <c r="L38" s="32"/>
      <c r="M38" s="82"/>
      <c r="N38" s="133"/>
    </row>
    <row r="39" spans="1:14" ht="14.1" customHeight="1">
      <c r="A39" s="40">
        <v>19</v>
      </c>
      <c r="B39" s="53" t="s">
        <v>152</v>
      </c>
      <c r="C39" s="54"/>
      <c r="D39" s="44"/>
      <c r="E39" s="45"/>
      <c r="F39" s="45"/>
      <c r="G39" s="46"/>
      <c r="H39" s="51">
        <f>SUM(I39)-0.1</f>
        <v>2</v>
      </c>
      <c r="I39" s="51">
        <f>SUM(J39)-0.1</f>
        <v>2.1</v>
      </c>
      <c r="J39" s="60">
        <v>2.2000000000000002</v>
      </c>
      <c r="K39" s="51">
        <f>SUM(J39)+0.1</f>
        <v>2.3000000000000003</v>
      </c>
      <c r="L39" s="51">
        <f t="shared" ref="L39:M39" si="18">SUM(K39)+0.1</f>
        <v>2.4000000000000004</v>
      </c>
      <c r="M39" s="75">
        <f t="shared" si="18"/>
        <v>2.5000000000000004</v>
      </c>
      <c r="N39" s="136">
        <f t="shared" ref="N39" si="19">SUM(M39)+0.1</f>
        <v>2.6000000000000005</v>
      </c>
    </row>
    <row r="40" spans="1:14" ht="14.1" customHeight="1" thickBot="1">
      <c r="A40" s="41"/>
      <c r="B40" s="27" t="s">
        <v>153</v>
      </c>
      <c r="C40" s="28"/>
      <c r="D40" s="29" t="s">
        <v>231</v>
      </c>
      <c r="E40" s="30"/>
      <c r="F40" s="30"/>
      <c r="G40" s="31"/>
      <c r="H40" s="48"/>
      <c r="I40" s="48"/>
      <c r="J40" s="110"/>
      <c r="K40" s="48"/>
      <c r="L40" s="48"/>
      <c r="M40" s="109"/>
      <c r="N40" s="138"/>
    </row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1">
    <mergeCell ref="A1:M1"/>
    <mergeCell ref="A11:A12"/>
    <mergeCell ref="B11:C11"/>
    <mergeCell ref="D11:G11"/>
    <mergeCell ref="H11:H12"/>
    <mergeCell ref="I11:I12"/>
    <mergeCell ref="J11:J12"/>
    <mergeCell ref="B12:C12"/>
    <mergeCell ref="D12:G12"/>
    <mergeCell ref="K7:K8"/>
    <mergeCell ref="L7:L8"/>
    <mergeCell ref="M7:M8"/>
    <mergeCell ref="K9:K10"/>
    <mergeCell ref="L9:L10"/>
    <mergeCell ref="M9:M10"/>
    <mergeCell ref="J5:J6"/>
    <mergeCell ref="K5:K6"/>
    <mergeCell ref="L5:L6"/>
    <mergeCell ref="M5:M6"/>
    <mergeCell ref="B2:C2"/>
    <mergeCell ref="D2:G2"/>
    <mergeCell ref="K39:K40"/>
    <mergeCell ref="L39:L40"/>
    <mergeCell ref="M39:M40"/>
    <mergeCell ref="B40:C40"/>
    <mergeCell ref="D40:G40"/>
    <mergeCell ref="N37:N38"/>
    <mergeCell ref="N39:N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N35:N36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N31:N32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3:N34"/>
    <mergeCell ref="L33:L34"/>
    <mergeCell ref="M33:M34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N27:N28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9:N30"/>
    <mergeCell ref="L29:L30"/>
    <mergeCell ref="M29:M30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N23:N24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5:N26"/>
    <mergeCell ref="L25:L26"/>
    <mergeCell ref="M25:M26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N19:N20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21:N22"/>
    <mergeCell ref="L21:L22"/>
    <mergeCell ref="M21:M22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N15:N16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7:N18"/>
    <mergeCell ref="L17:L18"/>
    <mergeCell ref="M17:M18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N11:N12"/>
    <mergeCell ref="B14:C14"/>
    <mergeCell ref="D14:G14"/>
    <mergeCell ref="K11:K12"/>
    <mergeCell ref="L11:L12"/>
    <mergeCell ref="M11:M12"/>
    <mergeCell ref="A13:A14"/>
    <mergeCell ref="B13:C13"/>
    <mergeCell ref="D13:G13"/>
    <mergeCell ref="H13:H14"/>
    <mergeCell ref="I13:I14"/>
    <mergeCell ref="J13:J14"/>
    <mergeCell ref="N13:N14"/>
    <mergeCell ref="L13:L14"/>
    <mergeCell ref="M13:M14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N5:N6"/>
    <mergeCell ref="B6:C6"/>
    <mergeCell ref="D6:G6"/>
    <mergeCell ref="L3:L4"/>
    <mergeCell ref="M3:M4"/>
    <mergeCell ref="N3:N4"/>
    <mergeCell ref="B4:C4"/>
    <mergeCell ref="D4:G4"/>
    <mergeCell ref="A5:A6"/>
    <mergeCell ref="B5:C5"/>
    <mergeCell ref="D5:G5"/>
    <mergeCell ref="H5:H6"/>
    <mergeCell ref="I5:I6"/>
    <mergeCell ref="A3:A4"/>
    <mergeCell ref="B3:C3"/>
    <mergeCell ref="D3:G3"/>
    <mergeCell ref="H3:H4"/>
    <mergeCell ref="I3:I4"/>
    <mergeCell ref="J3:J4"/>
    <mergeCell ref="K3:K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B1CE-FDB2-40E8-8AA2-09F407C02F8D}">
  <sheetPr>
    <tabColor theme="5"/>
    <pageSetUpPr fitToPage="1"/>
  </sheetPr>
  <dimension ref="A1:M51"/>
  <sheetViews>
    <sheetView zoomScale="110" zoomScaleNormal="110" workbookViewId="0">
      <selection activeCell="P23" sqref="P2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304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SUM(I3)-2.9</f>
        <v>31.200000000000003</v>
      </c>
      <c r="I3" s="51">
        <f>SUM(J3)-2.9</f>
        <v>34.1</v>
      </c>
      <c r="J3" s="60">
        <v>37</v>
      </c>
      <c r="K3" s="51">
        <f>SUM(J3)+2.4</f>
        <v>39.4</v>
      </c>
      <c r="L3" s="51">
        <f>SUM(K3)+2.4</f>
        <v>41.8</v>
      </c>
      <c r="M3" s="84">
        <f>SUM(L3)+2.4</f>
        <v>44.199999999999996</v>
      </c>
    </row>
    <row r="4" spans="1:13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27</v>
      </c>
      <c r="I5" s="51">
        <f>SUM(J5)-1.8</f>
        <v>28.8</v>
      </c>
      <c r="J5" s="60">
        <v>30.6</v>
      </c>
      <c r="K5" s="51">
        <f>SUM(J5)+1.6</f>
        <v>32.200000000000003</v>
      </c>
      <c r="L5" s="51">
        <f>SUM(K5)+1.6</f>
        <v>33.800000000000004</v>
      </c>
      <c r="M5" s="75">
        <f>SUM(L5)+1.6</f>
        <v>35.400000000000006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35.5</v>
      </c>
      <c r="I7" s="51">
        <f>SUM(J7)-2.25</f>
        <v>37.75</v>
      </c>
      <c r="J7" s="60">
        <v>40</v>
      </c>
      <c r="K7" s="51">
        <f>SUM(J7)+2</f>
        <v>42</v>
      </c>
      <c r="L7" s="51">
        <f>SUM(K7)+2</f>
        <v>44</v>
      </c>
      <c r="M7" s="75">
        <f>SUM(L7)+2</f>
        <v>46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35.5</v>
      </c>
      <c r="I9" s="51">
        <f>SUM(J9)-2.25</f>
        <v>37.75</v>
      </c>
      <c r="J9" s="60">
        <v>40</v>
      </c>
      <c r="K9" s="51">
        <f>SUM(J9)+2</f>
        <v>42</v>
      </c>
      <c r="L9" s="51">
        <f>SUM(K9)+2</f>
        <v>44</v>
      </c>
      <c r="M9" s="75">
        <f>SUM(L9)+2</f>
        <v>46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15.4</v>
      </c>
      <c r="I11" s="51">
        <f>SUM(J11)-0.8</f>
        <v>16.3</v>
      </c>
      <c r="J11" s="39">
        <v>17.100000000000001</v>
      </c>
      <c r="K11" s="32">
        <f>SUM(J11)+0.8</f>
        <v>17.900000000000002</v>
      </c>
      <c r="L11" s="32">
        <f>SUM(K11)+0.9</f>
        <v>18.8</v>
      </c>
      <c r="M11" s="131">
        <f>SUM(L11)+0.8</f>
        <v>19.600000000000001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131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82">
        <f>SUM(L13)+0.6</f>
        <v>14.999999999999998</v>
      </c>
    </row>
    <row r="14" spans="1:13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6.2</v>
      </c>
      <c r="I15" s="51">
        <f>SUM(J15)-0.3</f>
        <v>6.5</v>
      </c>
      <c r="J15" s="39">
        <v>6.8</v>
      </c>
      <c r="K15" s="32">
        <f>SUM(J15)+0.3</f>
        <v>7.1</v>
      </c>
      <c r="L15" s="32">
        <f>SUM(K15)+0.3</f>
        <v>7.3999999999999995</v>
      </c>
      <c r="M15" s="131">
        <f>SUM(L15)+0.3</f>
        <v>7.6999999999999993</v>
      </c>
    </row>
    <row r="16" spans="1:13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32.799999999999997</v>
      </c>
      <c r="I17" s="51">
        <f>SUM(J17)-1.6</f>
        <v>34.4</v>
      </c>
      <c r="J17" s="39">
        <v>36</v>
      </c>
      <c r="K17" s="32">
        <f>SUM(J17)+1.6</f>
        <v>37.6</v>
      </c>
      <c r="L17" s="32">
        <f>SUM(K17)+1.6</f>
        <v>39.200000000000003</v>
      </c>
      <c r="M17" s="131">
        <f>SUM(L17)+1.6</f>
        <v>40.800000000000004</v>
      </c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33.4</v>
      </c>
      <c r="I19" s="51">
        <f>SUM(J19)-3.6</f>
        <v>37</v>
      </c>
      <c r="J19" s="39">
        <v>40.6</v>
      </c>
      <c r="K19" s="32">
        <f>SUM(J19)+3.7</f>
        <v>44.300000000000004</v>
      </c>
      <c r="L19" s="32">
        <f>SUM(K19)+3.7</f>
        <v>48.000000000000007</v>
      </c>
      <c r="M19" s="82">
        <f>SUM(L19)+3.7</f>
        <v>51.70000000000001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28.799999999999997</v>
      </c>
      <c r="I21" s="51">
        <f>SUM(J21)-1.6</f>
        <v>30.4</v>
      </c>
      <c r="J21" s="39">
        <v>32</v>
      </c>
      <c r="K21" s="32">
        <f>SUM(J21)+1.6</f>
        <v>33.6</v>
      </c>
      <c r="L21" s="32">
        <f>SUM(K21)+1.6</f>
        <v>35.200000000000003</v>
      </c>
      <c r="M21" s="82">
        <f>SUM(L21)+1.6</f>
        <v>36.800000000000004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SUM(I23)-1</f>
        <v>22</v>
      </c>
      <c r="I23" s="51">
        <f>SUM(J23)-1</f>
        <v>23</v>
      </c>
      <c r="J23" s="39">
        <v>24</v>
      </c>
      <c r="K23" s="32">
        <f>SUM(J23)+1</f>
        <v>25</v>
      </c>
      <c r="L23" s="32">
        <f>SUM(K23)+1</f>
        <v>26</v>
      </c>
      <c r="M23" s="82">
        <f>SUM(L23)+1</f>
        <v>27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305</v>
      </c>
      <c r="C25" s="50"/>
      <c r="D25" s="57"/>
      <c r="E25" s="58"/>
      <c r="F25" s="58"/>
      <c r="G25" s="59"/>
      <c r="H25" s="51">
        <f>SUM(I25)-0.5</f>
        <v>10</v>
      </c>
      <c r="I25" s="51">
        <f>SUM(J25)-0.5</f>
        <v>10.5</v>
      </c>
      <c r="J25" s="60">
        <v>11</v>
      </c>
      <c r="K25" s="51">
        <f>SUM(J25)+0.5</f>
        <v>11.5</v>
      </c>
      <c r="L25" s="51">
        <f>SUM(K25)+0.5</f>
        <v>12</v>
      </c>
      <c r="M25" s="75">
        <f>SUM(L25)+0.5</f>
        <v>12.5</v>
      </c>
    </row>
    <row r="26" spans="1:13" s="1" customFormat="1" ht="14.1" customHeight="1">
      <c r="A26" s="40"/>
      <c r="B26" s="77" t="s">
        <v>306</v>
      </c>
      <c r="C26" s="78"/>
      <c r="D26" s="79"/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40">
        <v>13</v>
      </c>
      <c r="B27" s="49"/>
      <c r="C27" s="50"/>
      <c r="D27" s="57"/>
      <c r="E27" s="58"/>
      <c r="F27" s="58"/>
      <c r="G27" s="59"/>
      <c r="H27" s="51"/>
      <c r="I27" s="51"/>
      <c r="J27" s="60"/>
      <c r="K27" s="51"/>
      <c r="L27" s="51"/>
      <c r="M27" s="75"/>
    </row>
    <row r="28" spans="1:13" s="1" customFormat="1" ht="14.1" customHeight="1">
      <c r="A28" s="40"/>
      <c r="B28" s="77"/>
      <c r="C28" s="78"/>
      <c r="D28" s="79"/>
      <c r="E28" s="80"/>
      <c r="F28" s="80"/>
      <c r="G28" s="81"/>
      <c r="H28" s="23"/>
      <c r="I28" s="23"/>
      <c r="J28" s="21"/>
      <c r="K28" s="23"/>
      <c r="L28" s="23"/>
      <c r="M28" s="76"/>
    </row>
    <row r="29" spans="1:13" ht="14.1" customHeight="1">
      <c r="A29" s="40">
        <v>14</v>
      </c>
      <c r="B29" s="49"/>
      <c r="C29" s="50"/>
      <c r="D29" s="55"/>
      <c r="E29" s="55"/>
      <c r="F29" s="55"/>
      <c r="G29" s="55"/>
      <c r="H29" s="51"/>
      <c r="I29" s="51"/>
      <c r="J29" s="60"/>
      <c r="K29" s="51"/>
      <c r="L29" s="51"/>
      <c r="M29" s="75"/>
    </row>
    <row r="30" spans="1:13" ht="14.1" customHeight="1">
      <c r="A30" s="40"/>
      <c r="B30" s="34"/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60"/>
      <c r="K31" s="51"/>
      <c r="L31" s="51"/>
      <c r="M31" s="75"/>
    </row>
    <row r="32" spans="1:13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55"/>
      <c r="E33" s="55"/>
      <c r="F33" s="55"/>
      <c r="G33" s="55"/>
      <c r="H33" s="51"/>
      <c r="I33" s="51"/>
      <c r="J33" s="60"/>
      <c r="K33" s="51"/>
      <c r="L33" s="51"/>
      <c r="M33" s="75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53"/>
      <c r="C35" s="54"/>
      <c r="D35" s="68"/>
      <c r="E35" s="68"/>
      <c r="F35" s="68"/>
      <c r="G35" s="68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132"/>
      <c r="C36" s="132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3.5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D408-D845-44F7-AC36-D9799C57B9C4}">
  <sheetPr>
    <tabColor theme="5"/>
    <pageSetUpPr fitToPage="1"/>
  </sheetPr>
  <dimension ref="A1:M51"/>
  <sheetViews>
    <sheetView zoomScale="110" zoomScaleNormal="110" workbookViewId="0">
      <selection activeCell="R12" sqref="R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5" width="5.5" customWidth="1"/>
  </cols>
  <sheetData>
    <row r="1" spans="1:13" ht="16.5" customHeight="1" thickBot="1">
      <c r="A1" s="62" t="s">
        <v>545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SUM(I3)-4.4</f>
        <v>56.8</v>
      </c>
      <c r="I3" s="51">
        <f>SUM(J3)-4.4</f>
        <v>61.199999999999996</v>
      </c>
      <c r="J3" s="60">
        <v>65.599999999999994</v>
      </c>
      <c r="K3" s="51">
        <f>SUM(J3)+3.9</f>
        <v>69.5</v>
      </c>
      <c r="L3" s="51">
        <f t="shared" ref="L3:M3" si="0">SUM(K3)+3.9</f>
        <v>73.400000000000006</v>
      </c>
      <c r="M3" s="75">
        <f t="shared" si="0"/>
        <v>77.300000000000011</v>
      </c>
    </row>
    <row r="4" spans="1:13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29</v>
      </c>
      <c r="I5" s="51">
        <f>SUM(J5)-1.6</f>
        <v>30.6</v>
      </c>
      <c r="J5" s="60">
        <v>32.200000000000003</v>
      </c>
      <c r="K5" s="51">
        <f>SUM(J5)+1.4</f>
        <v>33.6</v>
      </c>
      <c r="L5" s="51">
        <f t="shared" ref="L5:M5" si="1">SUM(K5)+1.4</f>
        <v>35</v>
      </c>
      <c r="M5" s="75">
        <f t="shared" si="1"/>
        <v>36.4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87">
        <f>SUM(I7)-2.25</f>
        <v>-4.5</v>
      </c>
      <c r="I7" s="87">
        <f>SUM(J7)-2.25</f>
        <v>-2.25</v>
      </c>
      <c r="J7" s="142"/>
      <c r="K7" s="87">
        <f>SUM(J7)+2</f>
        <v>2</v>
      </c>
      <c r="L7" s="87">
        <f>SUM(K7)+2</f>
        <v>4</v>
      </c>
      <c r="M7" s="61">
        <f>SUM(L7)+2</f>
        <v>6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86"/>
      <c r="I8" s="86"/>
      <c r="J8" s="143"/>
      <c r="K8" s="86"/>
      <c r="L8" s="86"/>
      <c r="M8" s="25"/>
    </row>
    <row r="9" spans="1:13" s="1" customFormat="1" ht="14.1" customHeight="1">
      <c r="A9" s="40">
        <v>4</v>
      </c>
      <c r="B9" s="56" t="s">
        <v>167</v>
      </c>
      <c r="C9" s="56"/>
      <c r="D9" s="55"/>
      <c r="E9" s="55"/>
      <c r="F9" s="55"/>
      <c r="G9" s="55"/>
      <c r="H9" s="51">
        <f>SUM(I9)-3</f>
        <v>59</v>
      </c>
      <c r="I9" s="51">
        <f>SUM(J9)-3</f>
        <v>62</v>
      </c>
      <c r="J9" s="60">
        <v>65</v>
      </c>
      <c r="K9" s="51">
        <f>SUM(J9)+3</f>
        <v>68</v>
      </c>
      <c r="L9" s="51">
        <f t="shared" ref="L9:M9" si="2">SUM(K9)+3</f>
        <v>71</v>
      </c>
      <c r="M9" s="75">
        <f t="shared" si="2"/>
        <v>74</v>
      </c>
    </row>
    <row r="10" spans="1:13" s="1" customFormat="1" ht="14.1" customHeight="1">
      <c r="A10" s="40"/>
      <c r="B10" s="52" t="s">
        <v>546</v>
      </c>
      <c r="C10" s="52"/>
      <c r="D10" s="36"/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16.500000000000004</v>
      </c>
      <c r="I11" s="51">
        <f>SUM(J11)-0.9</f>
        <v>17.400000000000002</v>
      </c>
      <c r="J11" s="39">
        <v>18.3</v>
      </c>
      <c r="K11" s="32">
        <f>SUM(J11)+0.9</f>
        <v>19.2</v>
      </c>
      <c r="L11" s="32">
        <f t="shared" ref="L11:M11" si="3">SUM(K11)+0.9</f>
        <v>20.099999999999998</v>
      </c>
      <c r="M11" s="82">
        <f t="shared" si="3"/>
        <v>20.999999999999996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12.4</v>
      </c>
      <c r="I13" s="51">
        <f>SUM(J13)-0.6</f>
        <v>13</v>
      </c>
      <c r="J13" s="39">
        <v>13.6</v>
      </c>
      <c r="K13" s="32">
        <f>SUM(J13)+0.6</f>
        <v>14.2</v>
      </c>
      <c r="L13" s="32">
        <f>SUM(K13)+0.6</f>
        <v>14.799999999999999</v>
      </c>
      <c r="M13" s="82">
        <f>SUM(L13)+0.6</f>
        <v>15.399999999999999</v>
      </c>
    </row>
    <row r="14" spans="1:13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6.1000000000000005</v>
      </c>
      <c r="I15" s="51">
        <f>SUM(J15)-0.3</f>
        <v>6.4</v>
      </c>
      <c r="J15" s="39">
        <v>6.7</v>
      </c>
      <c r="K15" s="32">
        <f>SUM(J15)+0.3</f>
        <v>7</v>
      </c>
      <c r="L15" s="32">
        <f>SUM(K15)+0.3</f>
        <v>7.3</v>
      </c>
      <c r="M15" s="131">
        <f>SUM(L15)+0.3</f>
        <v>7.6</v>
      </c>
    </row>
    <row r="16" spans="1:13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33</v>
      </c>
      <c r="I17" s="51">
        <f>SUM(J17)-1.6</f>
        <v>34.6</v>
      </c>
      <c r="J17" s="39">
        <v>36.200000000000003</v>
      </c>
      <c r="K17" s="32">
        <f>SUM(J17)+1.6</f>
        <v>37.800000000000004</v>
      </c>
      <c r="L17" s="32">
        <f>SUM(K17)+1.6</f>
        <v>39.400000000000006</v>
      </c>
      <c r="M17" s="131">
        <f>SUM(L17)+1.6</f>
        <v>41.000000000000007</v>
      </c>
    </row>
    <row r="18" spans="1:13" s="1" customFormat="1" ht="14.1" customHeight="1">
      <c r="A18" s="40"/>
      <c r="B18" s="52" t="s">
        <v>35</v>
      </c>
      <c r="C18" s="52"/>
      <c r="D18" s="36" t="s">
        <v>548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32.099999999999994</v>
      </c>
      <c r="I19" s="51">
        <f>SUM(J19)-3.7</f>
        <v>35.799999999999997</v>
      </c>
      <c r="J19" s="39">
        <v>39.5</v>
      </c>
      <c r="K19" s="32">
        <f>SUM(J19)+3.8</f>
        <v>43.3</v>
      </c>
      <c r="L19" s="32">
        <f t="shared" ref="L19:M19" si="4">SUM(K19)+3.8</f>
        <v>47.099999999999994</v>
      </c>
      <c r="M19" s="82">
        <f t="shared" si="4"/>
        <v>50.899999999999991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26.499999999999996</v>
      </c>
      <c r="I21" s="51">
        <f>SUM(J21)-1.6</f>
        <v>28.099999999999998</v>
      </c>
      <c r="J21" s="39">
        <v>29.7</v>
      </c>
      <c r="K21" s="32">
        <f>SUM(J21)+1.6</f>
        <v>31.3</v>
      </c>
      <c r="L21" s="32">
        <f>SUM(K21)+1.6</f>
        <v>32.9</v>
      </c>
      <c r="M21" s="131">
        <f>SUM(L21)+1.6</f>
        <v>34.5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131"/>
    </row>
    <row r="23" spans="1:13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SUM(I23)-1</f>
        <v>24.8</v>
      </c>
      <c r="I23" s="51">
        <f>SUM(J23)-1</f>
        <v>25.8</v>
      </c>
      <c r="J23" s="39">
        <v>26.8</v>
      </c>
      <c r="K23" s="32">
        <f>SUM(J23)+1</f>
        <v>27.8</v>
      </c>
      <c r="L23" s="32">
        <f t="shared" ref="L23:M23" si="5">SUM(K23)+1</f>
        <v>28.8</v>
      </c>
      <c r="M23" s="82">
        <f t="shared" si="5"/>
        <v>29.8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291</v>
      </c>
      <c r="C25" s="50"/>
      <c r="D25" s="68" t="s">
        <v>292</v>
      </c>
      <c r="E25" s="68"/>
      <c r="F25" s="68"/>
      <c r="G25" s="68"/>
      <c r="H25" s="51">
        <f>SUM(I25)-0.1</f>
        <v>1.7999999999999998</v>
      </c>
      <c r="I25" s="51">
        <f>SUM(J25)-0.1</f>
        <v>1.9</v>
      </c>
      <c r="J25" s="39">
        <v>2</v>
      </c>
      <c r="K25" s="32">
        <f>SUM(J25)+0.1</f>
        <v>2.1</v>
      </c>
      <c r="L25" s="32">
        <f>SUM(K25)+0.1</f>
        <v>2.2000000000000002</v>
      </c>
      <c r="M25" s="82">
        <f>SUM(L25)+0.1</f>
        <v>2.3000000000000003</v>
      </c>
    </row>
    <row r="26" spans="1:13" s="1" customFormat="1" ht="14.1" customHeight="1">
      <c r="A26" s="40"/>
      <c r="B26" s="52" t="s">
        <v>293</v>
      </c>
      <c r="C26" s="52"/>
      <c r="D26" s="36" t="s">
        <v>294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ht="14.1" customHeight="1">
      <c r="A27" s="40">
        <v>13</v>
      </c>
      <c r="B27" s="49" t="s">
        <v>76</v>
      </c>
      <c r="C27" s="50"/>
      <c r="D27" s="68" t="s">
        <v>295</v>
      </c>
      <c r="E27" s="68"/>
      <c r="F27" s="68"/>
      <c r="G27" s="68"/>
      <c r="H27" s="51">
        <f>SUM(I27)-0.2</f>
        <v>5.6999999999999993</v>
      </c>
      <c r="I27" s="51">
        <f>SUM(J27)-0.2</f>
        <v>5.8999999999999995</v>
      </c>
      <c r="J27" s="39">
        <v>6.1</v>
      </c>
      <c r="K27" s="32">
        <f>SUM(J27)+0.2</f>
        <v>6.3</v>
      </c>
      <c r="L27" s="32">
        <f>SUM(K27)+0.2</f>
        <v>6.5</v>
      </c>
      <c r="M27" s="82">
        <f>SUM(L27)+0.2</f>
        <v>6.7</v>
      </c>
    </row>
    <row r="28" spans="1:13" ht="14.1" customHeight="1">
      <c r="A28" s="40"/>
      <c r="B28" s="52" t="s">
        <v>549</v>
      </c>
      <c r="C28" s="52"/>
      <c r="D28" s="36" t="s">
        <v>296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49" t="s">
        <v>297</v>
      </c>
      <c r="C29" s="50"/>
      <c r="D29" s="57" t="s">
        <v>298</v>
      </c>
      <c r="E29" s="58"/>
      <c r="F29" s="58"/>
      <c r="G29" s="59"/>
      <c r="H29" s="51">
        <f>SUM(I29)-0.2</f>
        <v>7.3999999999999995</v>
      </c>
      <c r="I29" s="51">
        <f>SUM(J29)-0.2</f>
        <v>7.6</v>
      </c>
      <c r="J29" s="39">
        <v>7.8</v>
      </c>
      <c r="K29" s="32">
        <f>SUM(J29)+0.2</f>
        <v>8</v>
      </c>
      <c r="L29" s="32">
        <f>SUM(K29)+0.2</f>
        <v>8.1999999999999993</v>
      </c>
      <c r="M29" s="82">
        <f>SUM(L29)+0.2</f>
        <v>8.3999999999999986</v>
      </c>
    </row>
    <row r="30" spans="1:13" s="1" customFormat="1" ht="14.1" customHeight="1">
      <c r="A30" s="40"/>
      <c r="B30" s="34" t="s">
        <v>299</v>
      </c>
      <c r="C30" s="35"/>
      <c r="D30" s="36" t="s">
        <v>300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3" s="1" customFormat="1" ht="14.1" customHeight="1">
      <c r="A31" s="40">
        <v>15</v>
      </c>
      <c r="B31" s="53" t="s">
        <v>150</v>
      </c>
      <c r="C31" s="54"/>
      <c r="D31" s="99"/>
      <c r="E31" s="99"/>
      <c r="F31" s="99"/>
      <c r="G31" s="99"/>
      <c r="H31" s="47">
        <f>SUM(I31)-0.5</f>
        <v>11.5</v>
      </c>
      <c r="I31" s="47">
        <f>SUM(J31)-0.5</f>
        <v>12</v>
      </c>
      <c r="J31" s="21">
        <v>12.5</v>
      </c>
      <c r="K31" s="23">
        <f>SUM(J31)+0.5</f>
        <v>13</v>
      </c>
      <c r="L31" s="23">
        <f t="shared" ref="L31:M31" si="6">SUM(K31)+0.5</f>
        <v>13.5</v>
      </c>
      <c r="M31" s="76">
        <f t="shared" si="6"/>
        <v>14</v>
      </c>
    </row>
    <row r="32" spans="1:13" s="1" customFormat="1" ht="14.1" customHeight="1">
      <c r="A32" s="40"/>
      <c r="B32" s="34" t="s">
        <v>151</v>
      </c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s="1" customFormat="1" ht="14.1" customHeight="1">
      <c r="A33" s="40">
        <v>16</v>
      </c>
      <c r="B33" s="49" t="s">
        <v>550</v>
      </c>
      <c r="C33" s="50"/>
      <c r="D33" s="58" t="s">
        <v>90</v>
      </c>
      <c r="E33" s="58"/>
      <c r="F33" s="58"/>
      <c r="G33" s="58"/>
      <c r="H33" s="47">
        <v>46.5</v>
      </c>
      <c r="I33" s="47">
        <v>51</v>
      </c>
      <c r="J33" s="39">
        <v>56</v>
      </c>
      <c r="K33" s="23">
        <v>59</v>
      </c>
      <c r="L33" s="23">
        <v>62.5</v>
      </c>
      <c r="M33" s="76">
        <v>66</v>
      </c>
    </row>
    <row r="34" spans="1:13" s="1" customFormat="1" ht="14.1" customHeight="1">
      <c r="A34" s="40"/>
      <c r="B34" s="52" t="s">
        <v>215</v>
      </c>
      <c r="C34" s="52"/>
      <c r="D34" s="36" t="s">
        <v>551</v>
      </c>
      <c r="E34" s="37"/>
      <c r="F34" s="37"/>
      <c r="G34" s="38"/>
      <c r="H34" s="23"/>
      <c r="I34" s="23"/>
      <c r="J34" s="39"/>
      <c r="K34" s="32"/>
      <c r="L34" s="32"/>
      <c r="M34" s="82"/>
    </row>
    <row r="35" spans="1:13" s="1" customFormat="1" ht="14.1" customHeight="1">
      <c r="A35" s="40">
        <v>17</v>
      </c>
      <c r="B35" s="49" t="s">
        <v>183</v>
      </c>
      <c r="C35" s="50"/>
      <c r="D35" s="55"/>
      <c r="E35" s="55"/>
      <c r="F35" s="55"/>
      <c r="G35" s="55"/>
      <c r="H35" s="51">
        <f>SUM(I35)-1.8</f>
        <v>19.2</v>
      </c>
      <c r="I35" s="51">
        <f>SUM(J35)-1.8</f>
        <v>21</v>
      </c>
      <c r="J35" s="60">
        <v>22.8</v>
      </c>
      <c r="K35" s="51">
        <f>SUM(J35)+1.8</f>
        <v>24.6</v>
      </c>
      <c r="L35" s="51">
        <f t="shared" ref="L35:M35" si="7">SUM(K35)+1.8</f>
        <v>26.400000000000002</v>
      </c>
      <c r="M35" s="75">
        <f t="shared" si="7"/>
        <v>28.200000000000003</v>
      </c>
    </row>
    <row r="36" spans="1:13" s="1" customFormat="1" ht="14.1" customHeight="1">
      <c r="A36" s="40"/>
      <c r="B36" s="34" t="s">
        <v>184</v>
      </c>
      <c r="C36" s="35"/>
      <c r="D36" s="36" t="s">
        <v>552</v>
      </c>
      <c r="E36" s="37"/>
      <c r="F36" s="37"/>
      <c r="G36" s="38"/>
      <c r="H36" s="23"/>
      <c r="I36" s="23"/>
      <c r="J36" s="21"/>
      <c r="K36" s="23"/>
      <c r="L36" s="23"/>
      <c r="M36" s="76"/>
    </row>
    <row r="37" spans="1:13" s="1" customFormat="1" ht="14.1" customHeight="1">
      <c r="A37" s="40">
        <v>18</v>
      </c>
      <c r="B37" s="49" t="s">
        <v>553</v>
      </c>
      <c r="C37" s="50"/>
      <c r="D37" s="57"/>
      <c r="E37" s="58"/>
      <c r="F37" s="58"/>
      <c r="G37" s="59"/>
      <c r="H37" s="51">
        <f>SUM(I37)-0.5</f>
        <v>9.1999999999999993</v>
      </c>
      <c r="I37" s="51">
        <f>SUM(J37)-0.5</f>
        <v>9.6999999999999993</v>
      </c>
      <c r="J37" s="39">
        <v>10.199999999999999</v>
      </c>
      <c r="K37" s="32">
        <f>SUM(J37)+0.5</f>
        <v>10.7</v>
      </c>
      <c r="L37" s="32">
        <f t="shared" ref="L37:M37" si="8">SUM(K37)+0.5</f>
        <v>11.2</v>
      </c>
      <c r="M37" s="82">
        <f t="shared" si="8"/>
        <v>11.7</v>
      </c>
    </row>
    <row r="38" spans="1:13" s="1" customFormat="1" ht="14.1" customHeight="1">
      <c r="A38" s="40"/>
      <c r="B38" s="34" t="s">
        <v>554</v>
      </c>
      <c r="C38" s="35"/>
      <c r="D38" s="36" t="s">
        <v>555</v>
      </c>
      <c r="E38" s="37"/>
      <c r="F38" s="37"/>
      <c r="G38" s="38"/>
      <c r="H38" s="23"/>
      <c r="I38" s="23"/>
      <c r="J38" s="39"/>
      <c r="K38" s="32"/>
      <c r="L38" s="32"/>
      <c r="M38" s="82"/>
    </row>
    <row r="39" spans="1:13" s="1" customFormat="1" ht="14.1" customHeight="1">
      <c r="A39" s="40">
        <v>19</v>
      </c>
      <c r="B39" s="56" t="s">
        <v>556</v>
      </c>
      <c r="C39" s="56"/>
      <c r="D39" s="55"/>
      <c r="E39" s="55"/>
      <c r="F39" s="55"/>
      <c r="G39" s="55"/>
      <c r="H39" s="51">
        <f>SUM(I39)-2.4</f>
        <v>32.200000000000003</v>
      </c>
      <c r="I39" s="51">
        <f>SUM(J39)-2.4</f>
        <v>34.6</v>
      </c>
      <c r="J39" s="39">
        <v>37</v>
      </c>
      <c r="K39" s="32">
        <f>SUM(J39)+1.9</f>
        <v>38.9</v>
      </c>
      <c r="L39" s="32">
        <f t="shared" ref="L39:M39" si="9">SUM(K39)+1.9</f>
        <v>40.799999999999997</v>
      </c>
      <c r="M39" s="82">
        <f t="shared" si="9"/>
        <v>42.699999999999996</v>
      </c>
    </row>
    <row r="40" spans="1:13" s="1" customFormat="1" ht="14.1" customHeight="1">
      <c r="A40" s="40"/>
      <c r="B40" s="105" t="s">
        <v>557</v>
      </c>
      <c r="C40" s="105"/>
      <c r="D40" s="139" t="s">
        <v>558</v>
      </c>
      <c r="E40" s="140"/>
      <c r="F40" s="140"/>
      <c r="G40" s="141"/>
      <c r="H40" s="23"/>
      <c r="I40" s="23"/>
      <c r="J40" s="39"/>
      <c r="K40" s="32"/>
      <c r="L40" s="32"/>
      <c r="M40" s="82"/>
    </row>
    <row r="41" spans="1:13" ht="14.1" customHeight="1">
      <c r="A41" s="40">
        <v>20</v>
      </c>
      <c r="B41" s="56" t="s">
        <v>559</v>
      </c>
      <c r="C41" s="56"/>
      <c r="D41" s="55"/>
      <c r="E41" s="55"/>
      <c r="F41" s="55"/>
      <c r="G41" s="55"/>
      <c r="H41" s="51">
        <f>SUM(I41)</f>
        <v>4.3</v>
      </c>
      <c r="I41" s="51">
        <f>SUM(J41)</f>
        <v>4.3</v>
      </c>
      <c r="J41" s="39">
        <v>4.3</v>
      </c>
      <c r="K41" s="32">
        <f>SUM(J41)</f>
        <v>4.3</v>
      </c>
      <c r="L41" s="32">
        <f>SUM(K41)+0.5</f>
        <v>4.8</v>
      </c>
      <c r="M41" s="82">
        <f>SUM(L41)</f>
        <v>4.8</v>
      </c>
    </row>
    <row r="42" spans="1:13" ht="14.1" customHeight="1">
      <c r="A42" s="40"/>
      <c r="B42" s="52" t="s">
        <v>560</v>
      </c>
      <c r="C42" s="52"/>
      <c r="D42" s="139"/>
      <c r="E42" s="140"/>
      <c r="F42" s="140"/>
      <c r="G42" s="141"/>
      <c r="H42" s="23"/>
      <c r="I42" s="23"/>
      <c r="J42" s="39"/>
      <c r="K42" s="32"/>
      <c r="L42" s="32"/>
      <c r="M42" s="82"/>
    </row>
    <row r="43" spans="1:13" ht="14.1" customHeight="1">
      <c r="A43" s="40">
        <v>21</v>
      </c>
      <c r="B43" s="49" t="s">
        <v>141</v>
      </c>
      <c r="C43" s="50"/>
      <c r="D43" s="93"/>
      <c r="E43" s="94"/>
      <c r="F43" s="94"/>
      <c r="G43" s="95"/>
      <c r="H43" s="51">
        <f>SUM(I43)-0.6</f>
        <v>10.4</v>
      </c>
      <c r="I43" s="51">
        <f>SUM(J43)-0.6</f>
        <v>11</v>
      </c>
      <c r="J43" s="60">
        <v>11.6</v>
      </c>
      <c r="K43" s="51">
        <f>SUM(J43)+0.6</f>
        <v>12.2</v>
      </c>
      <c r="L43" s="51">
        <f t="shared" ref="L43:M43" si="10">SUM(K43)+0.6</f>
        <v>12.799999999999999</v>
      </c>
      <c r="M43" s="75">
        <f t="shared" si="10"/>
        <v>13.399999999999999</v>
      </c>
    </row>
    <row r="44" spans="1:13" ht="14.1" customHeight="1">
      <c r="A44" s="40"/>
      <c r="B44" s="34" t="s">
        <v>140</v>
      </c>
      <c r="C44" s="35"/>
      <c r="D44" s="36" t="s">
        <v>561</v>
      </c>
      <c r="E44" s="37"/>
      <c r="F44" s="37"/>
      <c r="G44" s="38"/>
      <c r="H44" s="23"/>
      <c r="I44" s="23"/>
      <c r="J44" s="21"/>
      <c r="K44" s="23"/>
      <c r="L44" s="23"/>
      <c r="M44" s="76"/>
    </row>
    <row r="45" spans="1:13" ht="14.1" customHeight="1">
      <c r="A45" s="40">
        <v>22</v>
      </c>
      <c r="B45" s="49" t="s">
        <v>139</v>
      </c>
      <c r="C45" s="50"/>
      <c r="D45" s="93"/>
      <c r="E45" s="94"/>
      <c r="F45" s="94"/>
      <c r="G45" s="95"/>
      <c r="H45" s="51">
        <f>SUM(I45)-0.4</f>
        <v>6.1999999999999993</v>
      </c>
      <c r="I45" s="51">
        <f>SUM(J45)-0.4</f>
        <v>6.6</v>
      </c>
      <c r="J45" s="39">
        <v>7</v>
      </c>
      <c r="K45" s="32">
        <f>SUM(J45)+0.4</f>
        <v>7.4</v>
      </c>
      <c r="L45" s="32">
        <f>SUM(K45)+0.4</f>
        <v>7.8000000000000007</v>
      </c>
      <c r="M45" s="82">
        <f>SUM(L45)+0.4</f>
        <v>8.2000000000000011</v>
      </c>
    </row>
    <row r="46" spans="1:13" ht="14.1" customHeight="1" thickBot="1">
      <c r="A46" s="41"/>
      <c r="B46" s="27" t="s">
        <v>138</v>
      </c>
      <c r="C46" s="28"/>
      <c r="D46" s="29" t="s">
        <v>562</v>
      </c>
      <c r="E46" s="30"/>
      <c r="F46" s="30"/>
      <c r="G46" s="31"/>
      <c r="H46" s="48"/>
      <c r="I46" s="48"/>
      <c r="J46" s="22"/>
      <c r="K46" s="24"/>
      <c r="L46" s="24"/>
      <c r="M46" s="92"/>
    </row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3684-8810-426A-BCB9-8CF470D8F3EA}">
  <sheetPr>
    <tabColor theme="5"/>
    <pageSetUpPr fitToPage="1"/>
  </sheetPr>
  <dimension ref="A1:P51"/>
  <sheetViews>
    <sheetView topLeftCell="A7" zoomScale="110" zoomScaleNormal="110" workbookViewId="0">
      <selection activeCell="P29" sqref="P2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314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33.900000000000006</v>
      </c>
      <c r="I3" s="51">
        <f>SUM(J3)-3.4</f>
        <v>37.300000000000004</v>
      </c>
      <c r="J3" s="60">
        <v>40.700000000000003</v>
      </c>
      <c r="K3" s="51">
        <f>SUM(J3)+2.9</f>
        <v>43.6</v>
      </c>
      <c r="L3" s="51">
        <f>SUM(K3)+2.9</f>
        <v>46.5</v>
      </c>
      <c r="M3" s="84">
        <f>SUM(L3)+2.9</f>
        <v>49.4</v>
      </c>
    </row>
    <row r="4" spans="1:16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6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48</v>
      </c>
      <c r="I5" s="51">
        <f>SUM(J5)-4.5</f>
        <v>52.5</v>
      </c>
      <c r="J5" s="39">
        <v>57</v>
      </c>
      <c r="K5" s="32">
        <f>SUM(J5)+4.5</f>
        <v>61.5</v>
      </c>
      <c r="L5" s="51">
        <f>SUM(K5)+4.5</f>
        <v>66</v>
      </c>
      <c r="M5" s="75">
        <f>SUM(L5)+4.5</f>
        <v>70.5</v>
      </c>
    </row>
    <row r="6" spans="1:16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23"/>
      <c r="M6" s="76"/>
    </row>
    <row r="7" spans="1:16" s="1" customFormat="1" ht="14.1" customHeight="1">
      <c r="A7" s="40">
        <v>3</v>
      </c>
      <c r="B7" s="56" t="s">
        <v>37</v>
      </c>
      <c r="C7" s="56"/>
      <c r="D7" s="55" t="s">
        <v>278</v>
      </c>
      <c r="E7" s="55"/>
      <c r="F7" s="55"/>
      <c r="G7" s="55"/>
      <c r="H7" s="51"/>
      <c r="I7" s="51"/>
      <c r="J7" s="60"/>
      <c r="K7" s="51"/>
      <c r="L7" s="51"/>
      <c r="M7" s="75"/>
    </row>
    <row r="8" spans="1:16" s="1" customFormat="1" ht="14.1" customHeight="1">
      <c r="A8" s="40"/>
      <c r="B8" s="52" t="s">
        <v>42</v>
      </c>
      <c r="C8" s="52"/>
      <c r="D8" s="36" t="s">
        <v>320</v>
      </c>
      <c r="E8" s="37"/>
      <c r="F8" s="37"/>
      <c r="G8" s="38"/>
      <c r="H8" s="23"/>
      <c r="I8" s="23"/>
      <c r="J8" s="21"/>
      <c r="K8" s="23"/>
      <c r="L8" s="23"/>
      <c r="M8" s="76"/>
    </row>
    <row r="9" spans="1:16" s="1" customFormat="1" ht="14.1" customHeight="1">
      <c r="A9" s="40">
        <v>5</v>
      </c>
      <c r="B9" s="49" t="s">
        <v>162</v>
      </c>
      <c r="C9" s="50"/>
      <c r="D9" s="93"/>
      <c r="E9" s="94"/>
      <c r="F9" s="94"/>
      <c r="G9" s="95"/>
      <c r="H9" s="51">
        <f>SUM(I9)-0.4</f>
        <v>8</v>
      </c>
      <c r="I9" s="51">
        <f>SUM(J9)-0.4</f>
        <v>8.4</v>
      </c>
      <c r="J9" s="39">
        <v>8.8000000000000007</v>
      </c>
      <c r="K9" s="32">
        <f>SUM(J9)+0.4</f>
        <v>9.2000000000000011</v>
      </c>
      <c r="L9" s="32">
        <f t="shared" ref="L9:M9" si="0">SUM(K9)+0.4</f>
        <v>9.6000000000000014</v>
      </c>
      <c r="M9" s="82">
        <f t="shared" si="0"/>
        <v>10.000000000000002</v>
      </c>
    </row>
    <row r="10" spans="1:16" s="1" customFormat="1" ht="14.1" customHeight="1">
      <c r="A10" s="40"/>
      <c r="B10" s="34" t="s">
        <v>163</v>
      </c>
      <c r="C10" s="35"/>
      <c r="D10" s="36" t="s">
        <v>164</v>
      </c>
      <c r="E10" s="37"/>
      <c r="F10" s="37"/>
      <c r="G10" s="38"/>
      <c r="H10" s="23"/>
      <c r="I10" s="23"/>
      <c r="J10" s="39"/>
      <c r="K10" s="32"/>
      <c r="L10" s="32"/>
      <c r="M10" s="82"/>
    </row>
    <row r="11" spans="1:16" s="1" customFormat="1" ht="14.1" customHeight="1" thickBot="1">
      <c r="A11" s="40">
        <v>6</v>
      </c>
      <c r="B11" s="49" t="s">
        <v>166</v>
      </c>
      <c r="C11" s="50"/>
      <c r="D11" s="93"/>
      <c r="E11" s="94"/>
      <c r="F11" s="94"/>
      <c r="G11" s="95"/>
      <c r="H11" s="51">
        <f>SUM(I11)-0.5</f>
        <v>10.5</v>
      </c>
      <c r="I11" s="51">
        <f>SUM(J11)-0.5</f>
        <v>11</v>
      </c>
      <c r="J11" s="39">
        <v>11.5</v>
      </c>
      <c r="K11" s="32">
        <f>SUM(J11)+0.5</f>
        <v>12</v>
      </c>
      <c r="L11" s="32">
        <f>SUM(K11)+0.5</f>
        <v>12.5</v>
      </c>
      <c r="M11" s="82">
        <f>SUM(L11)+0.5</f>
        <v>13</v>
      </c>
    </row>
    <row r="12" spans="1:16" s="1" customFormat="1" ht="14.1" customHeight="1" thickTop="1">
      <c r="A12" s="40"/>
      <c r="B12" s="34" t="s">
        <v>165</v>
      </c>
      <c r="C12" s="35"/>
      <c r="D12" s="36" t="s">
        <v>194</v>
      </c>
      <c r="E12" s="37"/>
      <c r="F12" s="37"/>
      <c r="G12" s="38"/>
      <c r="H12" s="23"/>
      <c r="I12" s="23"/>
      <c r="J12" s="39"/>
      <c r="K12" s="32"/>
      <c r="L12" s="32"/>
      <c r="M12" s="82"/>
      <c r="P12" s="11" t="s">
        <v>315</v>
      </c>
    </row>
    <row r="13" spans="1:16" s="1" customFormat="1" ht="14.1" customHeight="1">
      <c r="A13" s="40">
        <v>7</v>
      </c>
      <c r="B13" s="56" t="s">
        <v>321</v>
      </c>
      <c r="C13" s="56"/>
      <c r="D13" s="55"/>
      <c r="E13" s="55"/>
      <c r="F13" s="55"/>
      <c r="G13" s="55"/>
      <c r="H13" s="51">
        <f>SUM(I13)-3.5</f>
        <v>67</v>
      </c>
      <c r="I13" s="51">
        <f>SUM(J13)-3.5</f>
        <v>70.5</v>
      </c>
      <c r="J13" s="60">
        <v>74</v>
      </c>
      <c r="K13" s="51">
        <f>SUM(J13)+3</f>
        <v>77</v>
      </c>
      <c r="L13" s="51">
        <f t="shared" ref="L13:M13" si="1">SUM(K13)+3</f>
        <v>80</v>
      </c>
      <c r="M13" s="75">
        <f t="shared" si="1"/>
        <v>83</v>
      </c>
      <c r="P13" s="12">
        <f>SUM(H29+H29+I29+I29+J29+J29+K29+K29+L29+L29+M29+M29)</f>
        <v>219.60000000000002</v>
      </c>
    </row>
    <row r="14" spans="1:16" s="1" customFormat="1" ht="14.1" customHeight="1" thickBot="1">
      <c r="A14" s="40"/>
      <c r="B14" s="52" t="s">
        <v>322</v>
      </c>
      <c r="C14" s="52"/>
      <c r="D14" s="36"/>
      <c r="E14" s="37"/>
      <c r="F14" s="37"/>
      <c r="G14" s="38"/>
      <c r="H14" s="23"/>
      <c r="I14" s="23"/>
      <c r="J14" s="21"/>
      <c r="K14" s="23"/>
      <c r="L14" s="23"/>
      <c r="M14" s="76"/>
      <c r="P14" s="13">
        <f>SUM(P13/91.44/6*1.08)</f>
        <v>0.43228346456692918</v>
      </c>
    </row>
    <row r="15" spans="1:16" s="1" customFormat="1" ht="14.1" customHeight="1" thickTop="1">
      <c r="A15" s="40">
        <v>8</v>
      </c>
      <c r="B15" s="56" t="s">
        <v>10</v>
      </c>
      <c r="C15" s="56"/>
      <c r="D15" s="55" t="s">
        <v>0</v>
      </c>
      <c r="E15" s="55"/>
      <c r="F15" s="55"/>
      <c r="G15" s="55"/>
      <c r="H15" s="51"/>
      <c r="I15" s="51"/>
      <c r="J15" s="39"/>
      <c r="K15" s="51"/>
      <c r="L15" s="51"/>
      <c r="M15" s="75"/>
      <c r="P15" s="11" t="s">
        <v>274</v>
      </c>
    </row>
    <row r="16" spans="1:16" s="1" customFormat="1" ht="14.1" customHeight="1">
      <c r="A16" s="40"/>
      <c r="B16" s="52" t="s">
        <v>26</v>
      </c>
      <c r="C16" s="52"/>
      <c r="D16" s="36" t="s">
        <v>323</v>
      </c>
      <c r="E16" s="37"/>
      <c r="F16" s="37"/>
      <c r="G16" s="38"/>
      <c r="H16" s="23"/>
      <c r="I16" s="23"/>
      <c r="J16" s="39"/>
      <c r="K16" s="23"/>
      <c r="L16" s="23"/>
      <c r="M16" s="76"/>
      <c r="P16" s="12">
        <f>SUM(H13+I13+J13+K13+L13+M13)</f>
        <v>451.5</v>
      </c>
    </row>
    <row r="17" spans="1:16" s="1" customFormat="1" ht="14.1" customHeight="1" thickBot="1">
      <c r="A17" s="40">
        <v>9</v>
      </c>
      <c r="B17" s="56" t="s">
        <v>1</v>
      </c>
      <c r="C17" s="56"/>
      <c r="D17" s="55" t="s">
        <v>145</v>
      </c>
      <c r="E17" s="55"/>
      <c r="F17" s="55"/>
      <c r="G17" s="55"/>
      <c r="H17" s="51">
        <f>SUM(I17)-0.6</f>
        <v>13.200000000000001</v>
      </c>
      <c r="I17" s="51">
        <f>SUM(J17)-0.6</f>
        <v>13.8</v>
      </c>
      <c r="J17" s="39">
        <v>14.4</v>
      </c>
      <c r="K17" s="32">
        <f>SUM(J17)+0.6</f>
        <v>15</v>
      </c>
      <c r="L17" s="32">
        <f>SUM(K17)+0.6</f>
        <v>15.6</v>
      </c>
      <c r="M17" s="82">
        <f>SUM(L17)+0.6</f>
        <v>16.2</v>
      </c>
      <c r="P17" s="13">
        <f>SUM(P16/91.44/6*1.08)</f>
        <v>0.88877952755905509</v>
      </c>
    </row>
    <row r="18" spans="1:16" s="1" customFormat="1" ht="14.1" customHeight="1" thickTop="1">
      <c r="A18" s="40"/>
      <c r="B18" s="52" t="s">
        <v>27</v>
      </c>
      <c r="C18" s="52"/>
      <c r="D18" s="36" t="s">
        <v>161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6" s="1" customFormat="1" ht="14.1" customHeight="1">
      <c r="A19" s="40">
        <v>10</v>
      </c>
      <c r="B19" s="56" t="s">
        <v>2</v>
      </c>
      <c r="C19" s="56"/>
      <c r="D19" s="55" t="s">
        <v>3</v>
      </c>
      <c r="E19" s="55"/>
      <c r="F19" s="55"/>
      <c r="G19" s="55"/>
      <c r="H19" s="51">
        <f>SUM(I19)-0.3</f>
        <v>7.2</v>
      </c>
      <c r="I19" s="51">
        <f>SUM(J19)-0.3</f>
        <v>7.5</v>
      </c>
      <c r="J19" s="39">
        <v>7.8</v>
      </c>
      <c r="K19" s="32">
        <f>SUM(J19)+0.3</f>
        <v>8.1</v>
      </c>
      <c r="L19" s="32">
        <f>SUM(K19)+0.3</f>
        <v>8.4</v>
      </c>
      <c r="M19" s="131">
        <f>SUM(L19)+0.3</f>
        <v>8.7000000000000011</v>
      </c>
    </row>
    <row r="20" spans="1:16" s="1" customFormat="1" ht="14.1" customHeight="1">
      <c r="A20" s="40"/>
      <c r="B20" s="52" t="s">
        <v>28</v>
      </c>
      <c r="C20" s="52"/>
      <c r="D20" s="36" t="s">
        <v>49</v>
      </c>
      <c r="E20" s="37"/>
      <c r="F20" s="37"/>
      <c r="G20" s="38"/>
      <c r="H20" s="23"/>
      <c r="I20" s="23"/>
      <c r="J20" s="39"/>
      <c r="K20" s="32"/>
      <c r="L20" s="32"/>
      <c r="M20" s="131"/>
    </row>
    <row r="21" spans="1:16" s="1" customFormat="1" ht="14.1" customHeight="1">
      <c r="A21" s="40">
        <v>11</v>
      </c>
      <c r="B21" s="49" t="s">
        <v>74</v>
      </c>
      <c r="C21" s="50"/>
      <c r="D21" s="57" t="s">
        <v>75</v>
      </c>
      <c r="E21" s="58"/>
      <c r="F21" s="58"/>
      <c r="G21" s="59"/>
      <c r="H21" s="51">
        <f>SUM(I21)-1.6</f>
        <v>36.099999999999994</v>
      </c>
      <c r="I21" s="51">
        <f>SUM(J21)-1.6</f>
        <v>37.699999999999996</v>
      </c>
      <c r="J21" s="39">
        <v>39.299999999999997</v>
      </c>
      <c r="K21" s="32">
        <f>SUM(J21)+1.6</f>
        <v>40.9</v>
      </c>
      <c r="L21" s="32">
        <f>SUM(K21)+1.6</f>
        <v>42.5</v>
      </c>
      <c r="M21" s="131">
        <f>SUM(L21)+1.6</f>
        <v>44.1</v>
      </c>
    </row>
    <row r="22" spans="1:16" s="1" customFormat="1" ht="14.1" customHeight="1">
      <c r="A22" s="40"/>
      <c r="B22" s="52" t="s">
        <v>35</v>
      </c>
      <c r="C22" s="52"/>
      <c r="D22" s="36" t="s">
        <v>210</v>
      </c>
      <c r="E22" s="37"/>
      <c r="F22" s="37"/>
      <c r="G22" s="38"/>
      <c r="H22" s="23"/>
      <c r="I22" s="23"/>
      <c r="J22" s="39"/>
      <c r="K22" s="32"/>
      <c r="L22" s="32"/>
      <c r="M22" s="131"/>
    </row>
    <row r="23" spans="1:16" s="1" customFormat="1" ht="14.1" customHeight="1">
      <c r="A23" s="40">
        <v>12</v>
      </c>
      <c r="B23" s="49" t="s">
        <v>76</v>
      </c>
      <c r="C23" s="50"/>
      <c r="D23" s="58" t="s">
        <v>211</v>
      </c>
      <c r="E23" s="58"/>
      <c r="F23" s="58"/>
      <c r="G23" s="58"/>
      <c r="H23" s="51">
        <f>SUM(I23)-0.2</f>
        <v>3.5999999999999996</v>
      </c>
      <c r="I23" s="51">
        <f>SUM(J23)-0.2</f>
        <v>3.8</v>
      </c>
      <c r="J23" s="39">
        <v>4</v>
      </c>
      <c r="K23" s="32">
        <f>SUM(J23)+0.2</f>
        <v>4.2</v>
      </c>
      <c r="L23" s="32">
        <f>SUM(K23)+0.2</f>
        <v>4.4000000000000004</v>
      </c>
      <c r="M23" s="82">
        <f>SUM(L23)+0.2</f>
        <v>4.6000000000000005</v>
      </c>
    </row>
    <row r="24" spans="1:16" s="1" customFormat="1" ht="14.1" customHeight="1">
      <c r="A24" s="40"/>
      <c r="B24" s="105" t="s">
        <v>36</v>
      </c>
      <c r="C24" s="105"/>
      <c r="D24" s="67" t="s">
        <v>212</v>
      </c>
      <c r="E24" s="68"/>
      <c r="F24" s="68"/>
      <c r="G24" s="69"/>
      <c r="H24" s="47"/>
      <c r="I24" s="47"/>
      <c r="J24" s="60"/>
      <c r="K24" s="51"/>
      <c r="L24" s="51"/>
      <c r="M24" s="75"/>
    </row>
    <row r="25" spans="1:16" s="1" customFormat="1" ht="14.1" customHeight="1">
      <c r="A25" s="40">
        <v>13</v>
      </c>
      <c r="B25" s="56" t="s">
        <v>4</v>
      </c>
      <c r="C25" s="56"/>
      <c r="D25" s="55" t="s">
        <v>5</v>
      </c>
      <c r="E25" s="55"/>
      <c r="F25" s="55"/>
      <c r="G25" s="55"/>
      <c r="H25" s="51"/>
      <c r="I25" s="51"/>
      <c r="J25" s="39"/>
      <c r="K25" s="51"/>
      <c r="L25" s="51"/>
      <c r="M25" s="75"/>
    </row>
    <row r="26" spans="1:16" s="1" customFormat="1" ht="14.1" customHeight="1">
      <c r="A26" s="40"/>
      <c r="B26" s="52" t="s">
        <v>29</v>
      </c>
      <c r="C26" s="52"/>
      <c r="D26" s="36" t="s">
        <v>50</v>
      </c>
      <c r="E26" s="37"/>
      <c r="F26" s="37"/>
      <c r="G26" s="38"/>
      <c r="H26" s="23"/>
      <c r="I26" s="23"/>
      <c r="J26" s="39"/>
      <c r="K26" s="23"/>
      <c r="L26" s="23"/>
      <c r="M26" s="76"/>
    </row>
    <row r="27" spans="1:16" s="1" customFormat="1" ht="14.1" customHeight="1">
      <c r="A27" s="40">
        <v>14</v>
      </c>
      <c r="B27" s="56" t="s">
        <v>6</v>
      </c>
      <c r="C27" s="56"/>
      <c r="D27" s="57" t="s">
        <v>7</v>
      </c>
      <c r="E27" s="58"/>
      <c r="F27" s="58"/>
      <c r="G27" s="59"/>
      <c r="H27" s="51">
        <f>SUM(I27)-1.7</f>
        <v>35.699999999999996</v>
      </c>
      <c r="I27" s="51">
        <f>SUM(J27)-1.7</f>
        <v>37.4</v>
      </c>
      <c r="J27" s="39">
        <v>39.1</v>
      </c>
      <c r="K27" s="32">
        <f>SUM(J27)+1.7</f>
        <v>40.800000000000004</v>
      </c>
      <c r="L27" s="32">
        <f>SUM(K27)+1.7</f>
        <v>42.500000000000007</v>
      </c>
      <c r="M27" s="82">
        <f>SUM(L27)+1.7</f>
        <v>44.20000000000001</v>
      </c>
    </row>
    <row r="28" spans="1:16" s="1" customFormat="1" ht="14.1" customHeight="1">
      <c r="A28" s="40"/>
      <c r="B28" s="52" t="s">
        <v>30</v>
      </c>
      <c r="C28" s="52"/>
      <c r="D28" s="36" t="s">
        <v>275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6" ht="14.1" customHeight="1">
      <c r="A29" s="40">
        <v>15</v>
      </c>
      <c r="B29" s="49" t="s">
        <v>324</v>
      </c>
      <c r="C29" s="50"/>
      <c r="D29" s="55"/>
      <c r="E29" s="55"/>
      <c r="F29" s="55"/>
      <c r="G29" s="55"/>
      <c r="H29" s="51">
        <f>SUM(I29)-0.6</f>
        <v>16.799999999999997</v>
      </c>
      <c r="I29" s="51">
        <f>SUM(J29)-0.6</f>
        <v>17.399999999999999</v>
      </c>
      <c r="J29" s="39">
        <v>18</v>
      </c>
      <c r="K29" s="32">
        <f>SUM(J29)+0.6</f>
        <v>18.600000000000001</v>
      </c>
      <c r="L29" s="32">
        <f t="shared" ref="L29:M29" si="2">SUM(K29)+0.6</f>
        <v>19.200000000000003</v>
      </c>
      <c r="M29" s="82">
        <f t="shared" si="2"/>
        <v>19.800000000000004</v>
      </c>
    </row>
    <row r="30" spans="1:16" ht="14.1" customHeight="1">
      <c r="A30" s="40"/>
      <c r="B30" s="52" t="s">
        <v>325</v>
      </c>
      <c r="C30" s="52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6" ht="14.1" customHeight="1">
      <c r="A31" s="40">
        <v>16</v>
      </c>
      <c r="B31" s="49" t="s">
        <v>326</v>
      </c>
      <c r="C31" s="50"/>
      <c r="D31" s="57"/>
      <c r="E31" s="58"/>
      <c r="F31" s="58"/>
      <c r="G31" s="59"/>
      <c r="H31" s="51">
        <f>SUM(I31)-0.5</f>
        <v>9</v>
      </c>
      <c r="I31" s="51">
        <f>SUM(J31)-0.5</f>
        <v>9.5</v>
      </c>
      <c r="J31" s="60">
        <v>10</v>
      </c>
      <c r="K31" s="51">
        <f>SUM(J31)+1</f>
        <v>11</v>
      </c>
      <c r="L31" s="51">
        <f>SUM(K31)+1</f>
        <v>12</v>
      </c>
      <c r="M31" s="75">
        <f>SUM(L31)+1</f>
        <v>13</v>
      </c>
    </row>
    <row r="32" spans="1:16" ht="14.1" customHeight="1">
      <c r="A32" s="40"/>
      <c r="B32" s="34" t="s">
        <v>327</v>
      </c>
      <c r="C32" s="35"/>
      <c r="D32" s="79"/>
      <c r="E32" s="80"/>
      <c r="F32" s="80"/>
      <c r="G32" s="81"/>
      <c r="H32" s="23"/>
      <c r="I32" s="23"/>
      <c r="J32" s="21"/>
      <c r="K32" s="23"/>
      <c r="L32" s="23"/>
      <c r="M32" s="104"/>
    </row>
    <row r="33" spans="1:13" ht="14.1" customHeight="1">
      <c r="A33" s="40">
        <v>17</v>
      </c>
      <c r="B33" s="49" t="s">
        <v>214</v>
      </c>
      <c r="C33" s="50"/>
      <c r="D33" s="55"/>
      <c r="E33" s="55"/>
      <c r="F33" s="55"/>
      <c r="G33" s="55"/>
      <c r="H33" s="51">
        <v>31.5</v>
      </c>
      <c r="I33" s="51">
        <v>35</v>
      </c>
      <c r="J33" s="60">
        <v>38.5</v>
      </c>
      <c r="K33" s="51">
        <v>41.5</v>
      </c>
      <c r="L33" s="51">
        <v>44</v>
      </c>
      <c r="M33" s="75">
        <v>47</v>
      </c>
    </row>
    <row r="34" spans="1:13" ht="14.1" customHeight="1">
      <c r="A34" s="40"/>
      <c r="B34" s="34" t="s">
        <v>215</v>
      </c>
      <c r="C34" s="35"/>
      <c r="D34" s="36" t="s">
        <v>216</v>
      </c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18</v>
      </c>
      <c r="B35" s="49" t="s">
        <v>141</v>
      </c>
      <c r="C35" s="50"/>
      <c r="D35" s="93"/>
      <c r="E35" s="94"/>
      <c r="F35" s="94"/>
      <c r="G35" s="95"/>
      <c r="H35" s="51">
        <f>SUM(I35)-0.5</f>
        <v>8.5</v>
      </c>
      <c r="I35" s="51">
        <f>SUM(J35)-0.5</f>
        <v>9</v>
      </c>
      <c r="J35" s="39">
        <v>9.5</v>
      </c>
      <c r="K35" s="32">
        <f>SUM(J35)+0.5</f>
        <v>10</v>
      </c>
      <c r="L35" s="32">
        <f>SUM(K35)+0.5</f>
        <v>10.5</v>
      </c>
      <c r="M35" s="82">
        <f>SUM(L35)+0.5</f>
        <v>11</v>
      </c>
    </row>
    <row r="36" spans="1:13" ht="14.1" customHeight="1">
      <c r="A36" s="40"/>
      <c r="B36" s="34" t="s">
        <v>140</v>
      </c>
      <c r="C36" s="35"/>
      <c r="D36" s="36" t="s">
        <v>328</v>
      </c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40">
        <v>19</v>
      </c>
      <c r="B37" s="49"/>
      <c r="C37" s="50"/>
      <c r="D37" s="93"/>
      <c r="E37" s="94"/>
      <c r="F37" s="94"/>
      <c r="G37" s="95"/>
      <c r="H37" s="47"/>
      <c r="I37" s="47"/>
      <c r="J37" s="21"/>
      <c r="K37" s="23"/>
      <c r="L37" s="23"/>
      <c r="M37" s="76"/>
    </row>
    <row r="38" spans="1:13" ht="14.1" customHeight="1">
      <c r="A38" s="40"/>
      <c r="B38" s="34"/>
      <c r="C38" s="35"/>
      <c r="D38" s="36"/>
      <c r="E38" s="37"/>
      <c r="F38" s="37"/>
      <c r="G38" s="38"/>
      <c r="H38" s="23"/>
      <c r="I38" s="23"/>
      <c r="J38" s="39"/>
      <c r="K38" s="32"/>
      <c r="L38" s="32"/>
      <c r="M38" s="82"/>
    </row>
    <row r="39" spans="1:13" ht="14.1" customHeight="1">
      <c r="A39" s="40">
        <v>20</v>
      </c>
      <c r="B39" s="53"/>
      <c r="C39" s="54"/>
      <c r="D39" s="44"/>
      <c r="E39" s="45"/>
      <c r="F39" s="45"/>
      <c r="G39" s="46"/>
      <c r="H39" s="51"/>
      <c r="I39" s="51"/>
      <c r="J39" s="60"/>
      <c r="K39" s="51"/>
      <c r="L39" s="51"/>
      <c r="M39" s="75"/>
    </row>
    <row r="40" spans="1:13" ht="14.1" customHeight="1" thickBot="1">
      <c r="A40" s="41"/>
      <c r="B40" s="27"/>
      <c r="C40" s="28"/>
      <c r="D40" s="29"/>
      <c r="E40" s="30"/>
      <c r="F40" s="30"/>
      <c r="G40" s="31"/>
      <c r="H40" s="48"/>
      <c r="I40" s="48"/>
      <c r="J40" s="110"/>
      <c r="K40" s="48"/>
      <c r="L40" s="48"/>
      <c r="M40" s="109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12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B12:C12"/>
    <mergeCell ref="D12:G12"/>
    <mergeCell ref="A1:M1"/>
    <mergeCell ref="A11:A12"/>
    <mergeCell ref="B11:C11"/>
    <mergeCell ref="D11:G11"/>
    <mergeCell ref="H11:H12"/>
    <mergeCell ref="I11:I12"/>
    <mergeCell ref="J11:J12"/>
    <mergeCell ref="K11:K12"/>
    <mergeCell ref="L11:L12"/>
    <mergeCell ref="M11:M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4507-5963-4C31-8DB2-612DD67DBBF4}">
  <sheetPr>
    <tabColor theme="5"/>
    <pageSetUpPr fitToPage="1"/>
  </sheetPr>
  <dimension ref="A1:P51"/>
  <sheetViews>
    <sheetView topLeftCell="A10" zoomScale="110" zoomScaleNormal="110" workbookViewId="0">
      <selection activeCell="A27" sqref="A27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372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SUM(I3)-2.9</f>
        <v>32.200000000000003</v>
      </c>
      <c r="I3" s="51">
        <f>SUM(J3)-2.9</f>
        <v>35.1</v>
      </c>
      <c r="J3" s="60">
        <v>38</v>
      </c>
      <c r="K3" s="51">
        <f>SUM(J3)+2.4</f>
        <v>40.4</v>
      </c>
      <c r="L3" s="51">
        <f>SUM(K3)+2.4</f>
        <v>42.8</v>
      </c>
      <c r="M3" s="84">
        <f>SUM(L3)+2.4</f>
        <v>45.199999999999996</v>
      </c>
    </row>
    <row r="4" spans="1:16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6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39.599999999999994</v>
      </c>
      <c r="I5" s="51">
        <f>SUM(J5)-2.2</f>
        <v>41.8</v>
      </c>
      <c r="J5" s="60">
        <v>44</v>
      </c>
      <c r="K5" s="51">
        <f>SUM(J5)+2</f>
        <v>46</v>
      </c>
      <c r="L5" s="51">
        <f>SUM(K5)+2</f>
        <v>48</v>
      </c>
      <c r="M5" s="75">
        <f>SUM(L5)+2</f>
        <v>50</v>
      </c>
    </row>
    <row r="6" spans="1:16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6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41.5</v>
      </c>
      <c r="I7" s="51">
        <f>SUM(J7)-2.25</f>
        <v>43.75</v>
      </c>
      <c r="J7" s="60">
        <v>46</v>
      </c>
      <c r="K7" s="51">
        <f>SUM(J7)+2</f>
        <v>48</v>
      </c>
      <c r="L7" s="51">
        <f>SUM(K7)+2</f>
        <v>50</v>
      </c>
      <c r="M7" s="75">
        <f>SUM(L7)+2</f>
        <v>52</v>
      </c>
    </row>
    <row r="8" spans="1:16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6" s="1" customFormat="1" ht="14.1" customHeight="1">
      <c r="A9" s="40">
        <v>4</v>
      </c>
      <c r="B9" s="56" t="s">
        <v>373</v>
      </c>
      <c r="C9" s="56"/>
      <c r="D9" s="55"/>
      <c r="E9" s="55"/>
      <c r="F9" s="55"/>
      <c r="G9" s="55"/>
      <c r="H9" s="51">
        <f>SUM(I9)-3.5</f>
        <v>65</v>
      </c>
      <c r="I9" s="51">
        <f>SUM(J9)-3.5</f>
        <v>68.5</v>
      </c>
      <c r="J9" s="60">
        <v>72</v>
      </c>
      <c r="K9" s="51">
        <f>SUM(J9)+3.2</f>
        <v>75.2</v>
      </c>
      <c r="L9" s="51">
        <f>SUM(K9)+3.2</f>
        <v>78.400000000000006</v>
      </c>
      <c r="M9" s="75">
        <f>SUM(L9)+3.2</f>
        <v>81.600000000000009</v>
      </c>
    </row>
    <row r="10" spans="1:16" s="1" customFormat="1" ht="14.1" customHeight="1">
      <c r="A10" s="40"/>
      <c r="B10" s="52" t="s">
        <v>374</v>
      </c>
      <c r="C10" s="52"/>
      <c r="D10" s="36"/>
      <c r="E10" s="37"/>
      <c r="F10" s="37"/>
      <c r="G10" s="38"/>
      <c r="H10" s="23"/>
      <c r="I10" s="23"/>
      <c r="J10" s="21"/>
      <c r="K10" s="23"/>
      <c r="L10" s="23"/>
      <c r="M10" s="76"/>
    </row>
    <row r="11" spans="1:16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16.399999999999999</v>
      </c>
      <c r="I11" s="51">
        <f>SUM(J11)-0.8</f>
        <v>17.2</v>
      </c>
      <c r="J11" s="39">
        <v>18</v>
      </c>
      <c r="K11" s="32">
        <f>SUM(J11)+0.8</f>
        <v>18.8</v>
      </c>
      <c r="L11" s="32">
        <f>SUM(K11)+0.8</f>
        <v>19.600000000000001</v>
      </c>
      <c r="M11" s="131">
        <f>SUM(L11)+0.8</f>
        <v>20.400000000000002</v>
      </c>
    </row>
    <row r="12" spans="1:16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131"/>
      <c r="P12" s="1" t="s">
        <v>378</v>
      </c>
    </row>
    <row r="13" spans="1:16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14.100000000000001</v>
      </c>
      <c r="I13" s="51">
        <f>SUM(J13)-0.6</f>
        <v>14.700000000000001</v>
      </c>
      <c r="J13" s="39">
        <v>15.3</v>
      </c>
      <c r="K13" s="32">
        <f>SUM(J13)+0.6</f>
        <v>15.9</v>
      </c>
      <c r="L13" s="32">
        <f>SUM(K13)+0.6</f>
        <v>16.5</v>
      </c>
      <c r="M13" s="82">
        <f>SUM(L13)+0.6</f>
        <v>17.100000000000001</v>
      </c>
      <c r="O13" s="1" t="s">
        <v>379</v>
      </c>
      <c r="P13" s="1">
        <f>SUM(H9+I9+J9+K9+L9+M9)</f>
        <v>440.70000000000005</v>
      </c>
    </row>
    <row r="14" spans="1:16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82"/>
      <c r="O14" s="1" t="s">
        <v>380</v>
      </c>
      <c r="P14" s="1">
        <f>SUM(H25+H25+I25+I25+J25+J25+K25+K25+L25+L25+M25+M25)</f>
        <v>231.60000000000002</v>
      </c>
    </row>
    <row r="15" spans="1:16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6.5</v>
      </c>
      <c r="I15" s="51">
        <f>SUM(J15)-0.3</f>
        <v>6.8</v>
      </c>
      <c r="J15" s="39">
        <v>7.1</v>
      </c>
      <c r="K15" s="32">
        <f>SUM(J15)+0.3</f>
        <v>7.3999999999999995</v>
      </c>
      <c r="L15" s="32">
        <f>SUM(K15)+0.3</f>
        <v>7.6999999999999993</v>
      </c>
      <c r="M15" s="131">
        <f>SUM(L15)+0.3</f>
        <v>7.9999999999999991</v>
      </c>
      <c r="P15" s="1">
        <f>SUM(P13+P14)</f>
        <v>672.30000000000007</v>
      </c>
    </row>
    <row r="16" spans="1:16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  <c r="P16" s="1">
        <f>SUM(P15/91.44/6*1.08)</f>
        <v>1.3234251968503938</v>
      </c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36.299999999999997</v>
      </c>
      <c r="I17" s="51">
        <f>SUM(J17)-1.6</f>
        <v>37.9</v>
      </c>
      <c r="J17" s="39">
        <v>39.5</v>
      </c>
      <c r="K17" s="32">
        <f>SUM(J17)+1.6</f>
        <v>41.1</v>
      </c>
      <c r="L17" s="32">
        <f>SUM(K17)+1.6</f>
        <v>42.7</v>
      </c>
      <c r="M17" s="131">
        <f>SUM(L17)+1.6</f>
        <v>44.300000000000004</v>
      </c>
    </row>
    <row r="18" spans="1:13" s="1" customFormat="1" ht="14.1" customHeight="1">
      <c r="A18" s="40"/>
      <c r="B18" s="52" t="s">
        <v>35</v>
      </c>
      <c r="C18" s="52"/>
      <c r="D18" s="36" t="s">
        <v>210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3" s="1" customFormat="1" ht="14.1" customHeight="1">
      <c r="A19" s="40">
        <v>9</v>
      </c>
      <c r="B19" s="49" t="s">
        <v>76</v>
      </c>
      <c r="C19" s="50"/>
      <c r="D19" s="58" t="s">
        <v>211</v>
      </c>
      <c r="E19" s="58"/>
      <c r="F19" s="58"/>
      <c r="G19" s="58"/>
      <c r="H19" s="51">
        <f>SUM(I19)-0.2</f>
        <v>3.5999999999999996</v>
      </c>
      <c r="I19" s="51">
        <f>SUM(J19)-0.2</f>
        <v>3.8</v>
      </c>
      <c r="J19" s="39">
        <v>4</v>
      </c>
      <c r="K19" s="32">
        <f>SUM(J19)+0.2</f>
        <v>4.2</v>
      </c>
      <c r="L19" s="32">
        <f>SUM(K19)+0.2</f>
        <v>4.4000000000000004</v>
      </c>
      <c r="M19" s="82">
        <f>SUM(L19)+0.2</f>
        <v>4.6000000000000005</v>
      </c>
    </row>
    <row r="20" spans="1:13" s="1" customFormat="1" ht="14.1" customHeight="1">
      <c r="A20" s="40"/>
      <c r="B20" s="105" t="s">
        <v>36</v>
      </c>
      <c r="C20" s="105"/>
      <c r="D20" s="67" t="s">
        <v>212</v>
      </c>
      <c r="E20" s="68"/>
      <c r="F20" s="68"/>
      <c r="G20" s="69"/>
      <c r="H20" s="47"/>
      <c r="I20" s="47"/>
      <c r="J20" s="60"/>
      <c r="K20" s="51"/>
      <c r="L20" s="51"/>
      <c r="M20" s="75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>
        <f>SUM(I21)-3.4</f>
        <v>26.700000000000003</v>
      </c>
      <c r="I21" s="51">
        <f>SUM(J21)-3.4</f>
        <v>30.1</v>
      </c>
      <c r="J21" s="39">
        <v>33.5</v>
      </c>
      <c r="K21" s="32">
        <f>SUM(J21)+3.5</f>
        <v>37</v>
      </c>
      <c r="L21" s="32">
        <f>SUM(K21)+3.5</f>
        <v>40.5</v>
      </c>
      <c r="M21" s="82">
        <f>SUM(L21)+3.5</f>
        <v>44</v>
      </c>
    </row>
    <row r="22" spans="1:13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>
        <f>SUM(I23)-1.6</f>
        <v>32.799999999999997</v>
      </c>
      <c r="I23" s="51">
        <f>SUM(J23)-1.6</f>
        <v>34.4</v>
      </c>
      <c r="J23" s="39">
        <v>36</v>
      </c>
      <c r="K23" s="32">
        <f>SUM(J23)+1.6</f>
        <v>37.6</v>
      </c>
      <c r="L23" s="32">
        <f>SUM(K23)+1.6</f>
        <v>39.200000000000003</v>
      </c>
      <c r="M23" s="82">
        <f>SUM(L23)+1.6</f>
        <v>40.800000000000004</v>
      </c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375</v>
      </c>
      <c r="C25" s="50"/>
      <c r="D25" s="55" t="s">
        <v>69</v>
      </c>
      <c r="E25" s="55"/>
      <c r="F25" s="55"/>
      <c r="G25" s="55"/>
      <c r="H25" s="51">
        <f>SUM(I25)-0.6</f>
        <v>17.799999999999997</v>
      </c>
      <c r="I25" s="51">
        <f>SUM(J25)-0.6</f>
        <v>18.399999999999999</v>
      </c>
      <c r="J25" s="39">
        <v>19</v>
      </c>
      <c r="K25" s="32">
        <f>SUM(J25)+0.6</f>
        <v>19.600000000000001</v>
      </c>
      <c r="L25" s="32">
        <f>SUM(K25)+0.6</f>
        <v>20.200000000000003</v>
      </c>
      <c r="M25" s="82">
        <f>SUM(L25)+0.6</f>
        <v>20.800000000000004</v>
      </c>
    </row>
    <row r="26" spans="1:13" s="1" customFormat="1" ht="14.1" customHeight="1">
      <c r="A26" s="40"/>
      <c r="B26" s="52" t="s">
        <v>376</v>
      </c>
      <c r="C26" s="52"/>
      <c r="D26" s="36" t="s">
        <v>70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 t="s">
        <v>160</v>
      </c>
      <c r="C27" s="50"/>
      <c r="D27" s="57"/>
      <c r="E27" s="58"/>
      <c r="F27" s="58"/>
      <c r="G27" s="59"/>
      <c r="H27" s="51">
        <f>SUM(I27)-0.5</f>
        <v>11</v>
      </c>
      <c r="I27" s="51">
        <f>SUM(J27)-0.5</f>
        <v>11.5</v>
      </c>
      <c r="J27" s="60">
        <v>12</v>
      </c>
      <c r="K27" s="51">
        <f>SUM(J27)+0.5</f>
        <v>12.5</v>
      </c>
      <c r="L27" s="51">
        <f>SUM(K27)+0.5</f>
        <v>13</v>
      </c>
      <c r="M27" s="75">
        <f>SUM(L27)+0.5</f>
        <v>13.5</v>
      </c>
    </row>
    <row r="28" spans="1:13" s="1" customFormat="1" ht="14.1" customHeight="1">
      <c r="A28" s="40"/>
      <c r="B28" s="77" t="s">
        <v>159</v>
      </c>
      <c r="C28" s="78"/>
      <c r="D28" s="79"/>
      <c r="E28" s="80"/>
      <c r="F28" s="80"/>
      <c r="G28" s="81"/>
      <c r="H28" s="23"/>
      <c r="I28" s="23"/>
      <c r="J28" s="21"/>
      <c r="K28" s="23"/>
      <c r="L28" s="23"/>
      <c r="M28" s="76"/>
    </row>
    <row r="29" spans="1:13" ht="14.1" customHeight="1">
      <c r="A29" s="40">
        <v>14</v>
      </c>
      <c r="B29" s="49" t="s">
        <v>158</v>
      </c>
      <c r="C29" s="50"/>
      <c r="D29" s="57"/>
      <c r="E29" s="58"/>
      <c r="F29" s="58"/>
      <c r="G29" s="59"/>
      <c r="H29" s="51">
        <f>SUM(I29)-0.5</f>
        <v>9.5</v>
      </c>
      <c r="I29" s="51">
        <f>SUM(J29)-0.5</f>
        <v>10</v>
      </c>
      <c r="J29" s="60">
        <v>10.5</v>
      </c>
      <c r="K29" s="51">
        <f>SUM(J29)+0.5</f>
        <v>11</v>
      </c>
      <c r="L29" s="51">
        <f>SUM(K29)+0.5</f>
        <v>11.5</v>
      </c>
      <c r="M29" s="75">
        <f>SUM(L29)+0.5</f>
        <v>12</v>
      </c>
    </row>
    <row r="30" spans="1:13" ht="14.1" customHeight="1">
      <c r="A30" s="40"/>
      <c r="B30" s="77" t="s">
        <v>157</v>
      </c>
      <c r="C30" s="78"/>
      <c r="D30" s="79" t="s">
        <v>212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ht="14.1" customHeight="1">
      <c r="A31" s="40">
        <v>15</v>
      </c>
      <c r="B31" s="49" t="s">
        <v>141</v>
      </c>
      <c r="C31" s="50"/>
      <c r="D31" s="55"/>
      <c r="E31" s="55"/>
      <c r="F31" s="55"/>
      <c r="G31" s="55"/>
      <c r="H31" s="51">
        <f>SUM(I31)-0.6</f>
        <v>8.8000000000000007</v>
      </c>
      <c r="I31" s="51">
        <f>SUM(J31)-0.6</f>
        <v>9.4</v>
      </c>
      <c r="J31" s="60">
        <v>10</v>
      </c>
      <c r="K31" s="51">
        <f>SUM(J31)+0.6</f>
        <v>10.6</v>
      </c>
      <c r="L31" s="51">
        <f>SUM(K31)+0.6</f>
        <v>11.2</v>
      </c>
      <c r="M31" s="75">
        <f>SUM(L31)+0.6</f>
        <v>11.799999999999999</v>
      </c>
    </row>
    <row r="32" spans="1:13" ht="14.1" customHeight="1">
      <c r="A32" s="40"/>
      <c r="B32" s="34" t="s">
        <v>140</v>
      </c>
      <c r="C32" s="35"/>
      <c r="D32" s="36" t="s">
        <v>377</v>
      </c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 t="s">
        <v>139</v>
      </c>
      <c r="C33" s="50"/>
      <c r="D33" s="93"/>
      <c r="E33" s="94"/>
      <c r="F33" s="94"/>
      <c r="G33" s="95"/>
      <c r="H33" s="51">
        <f>SUM(I33)-0.4</f>
        <v>6.6999999999999993</v>
      </c>
      <c r="I33" s="51">
        <f>SUM(J33)-0.4</f>
        <v>7.1</v>
      </c>
      <c r="J33" s="60">
        <v>7.5</v>
      </c>
      <c r="K33" s="51">
        <f>SUM(J33)+0.4</f>
        <v>7.9</v>
      </c>
      <c r="L33" s="51">
        <f>SUM(K33)+0.4</f>
        <v>8.3000000000000007</v>
      </c>
      <c r="M33" s="75">
        <f>SUM(L33)+0.4</f>
        <v>8.7000000000000011</v>
      </c>
    </row>
    <row r="34" spans="1:13" ht="14.1" customHeight="1">
      <c r="A34" s="40"/>
      <c r="B34" s="34" t="s">
        <v>138</v>
      </c>
      <c r="C34" s="35"/>
      <c r="D34" s="36" t="s">
        <v>185</v>
      </c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49" t="s">
        <v>214</v>
      </c>
      <c r="C35" s="50"/>
      <c r="D35" s="55"/>
      <c r="E35" s="55"/>
      <c r="F35" s="55"/>
      <c r="G35" s="55"/>
      <c r="H35" s="51">
        <v>31.5</v>
      </c>
      <c r="I35" s="51">
        <v>34.5</v>
      </c>
      <c r="J35" s="60">
        <v>37.5</v>
      </c>
      <c r="K35" s="51">
        <v>40</v>
      </c>
      <c r="L35" s="51">
        <v>42.5</v>
      </c>
      <c r="M35" s="75">
        <v>45</v>
      </c>
    </row>
    <row r="36" spans="1:13" ht="14.1" customHeight="1">
      <c r="A36" s="40"/>
      <c r="B36" s="34" t="s">
        <v>215</v>
      </c>
      <c r="C36" s="35"/>
      <c r="D36" s="36" t="s">
        <v>216</v>
      </c>
      <c r="E36" s="37"/>
      <c r="F36" s="37"/>
      <c r="G36" s="38"/>
      <c r="H36" s="23"/>
      <c r="I36" s="23"/>
      <c r="J36" s="21"/>
      <c r="K36" s="23"/>
      <c r="L36" s="23"/>
      <c r="M36" s="76"/>
    </row>
    <row r="37" spans="1:13" ht="14.1" customHeight="1">
      <c r="A37" s="40">
        <v>18</v>
      </c>
      <c r="B37" s="53"/>
      <c r="C37" s="54"/>
      <c r="D37" s="68"/>
      <c r="E37" s="68"/>
      <c r="F37" s="68"/>
      <c r="G37" s="68"/>
      <c r="H37" s="51"/>
      <c r="I37" s="51"/>
      <c r="J37" s="39"/>
      <c r="K37" s="32"/>
      <c r="L37" s="32"/>
      <c r="M37" s="82"/>
    </row>
    <row r="38" spans="1:13" ht="14.1" customHeight="1" thickBot="1">
      <c r="A38" s="41"/>
      <c r="B38" s="132"/>
      <c r="C38" s="132"/>
      <c r="D38" s="29"/>
      <c r="E38" s="30"/>
      <c r="F38" s="30"/>
      <c r="G38" s="31"/>
      <c r="H38" s="48"/>
      <c r="I38" s="48"/>
      <c r="J38" s="22"/>
      <c r="K38" s="24"/>
      <c r="L38" s="24"/>
      <c r="M38" s="92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3.5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K19:K20"/>
    <mergeCell ref="L19:L20"/>
    <mergeCell ref="M19:M20"/>
    <mergeCell ref="B20:C20"/>
    <mergeCell ref="D20:G20"/>
    <mergeCell ref="B19:C19"/>
    <mergeCell ref="D19:G19"/>
    <mergeCell ref="H19:H20"/>
    <mergeCell ref="I19:I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D35:G35"/>
    <mergeCell ref="H35:H36"/>
    <mergeCell ref="I35:I36"/>
    <mergeCell ref="J35:J36"/>
    <mergeCell ref="A37:A38"/>
    <mergeCell ref="B37:C37"/>
    <mergeCell ref="D37:G37"/>
    <mergeCell ref="H37:H38"/>
    <mergeCell ref="I37:I38"/>
    <mergeCell ref="A35:A36"/>
    <mergeCell ref="B35:C35"/>
    <mergeCell ref="J37:J38"/>
    <mergeCell ref="K37:K3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0894-AF9B-44CD-BC93-609E5BFA6BDA}">
  <sheetPr>
    <tabColor theme="5"/>
    <pageSetUpPr fitToPage="1"/>
  </sheetPr>
  <dimension ref="A1:Q51"/>
  <sheetViews>
    <sheetView topLeftCell="A10" zoomScale="110" zoomScaleNormal="110" workbookViewId="0">
      <selection activeCell="P31" sqref="P3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563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7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SUM(I3)-3.9</f>
        <v>42.400000000000006</v>
      </c>
      <c r="I3" s="51">
        <f>SUM(J3)-3.9</f>
        <v>46.300000000000004</v>
      </c>
      <c r="J3" s="60">
        <v>50.2</v>
      </c>
      <c r="K3" s="51">
        <f>SUM(J3)+3.4</f>
        <v>53.6</v>
      </c>
      <c r="L3" s="51">
        <f t="shared" ref="L3:M3" si="0">SUM(K3)+3.4</f>
        <v>57</v>
      </c>
      <c r="M3" s="75">
        <f t="shared" si="0"/>
        <v>60.4</v>
      </c>
    </row>
    <row r="4" spans="1:17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32</v>
      </c>
      <c r="I5" s="51">
        <f>SUM(J5)-2</f>
        <v>34</v>
      </c>
      <c r="J5" s="39">
        <v>36</v>
      </c>
      <c r="K5" s="32">
        <f>SUM(J5)+1.8</f>
        <v>37.799999999999997</v>
      </c>
      <c r="L5" s="51">
        <f t="shared" ref="L5:M5" si="1">SUM(K5)+1.8</f>
        <v>39.599999999999994</v>
      </c>
      <c r="M5" s="75">
        <f t="shared" si="1"/>
        <v>41.399999999999991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39"/>
      <c r="K6" s="32"/>
      <c r="L6" s="23"/>
      <c r="M6" s="76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38.5</v>
      </c>
      <c r="I7" s="51">
        <f>SUM(J7)-2.25</f>
        <v>40.75</v>
      </c>
      <c r="J7" s="60">
        <v>43</v>
      </c>
      <c r="K7" s="51">
        <f>SUM(J7)+2</f>
        <v>45</v>
      </c>
      <c r="L7" s="51">
        <f>SUM(K7)+2</f>
        <v>47</v>
      </c>
      <c r="M7" s="75">
        <f>SUM(L7)+2</f>
        <v>49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7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/>
      <c r="I9" s="51"/>
      <c r="J9" s="60"/>
      <c r="K9" s="51"/>
      <c r="L9" s="51"/>
      <c r="M9" s="75"/>
    </row>
    <row r="10" spans="1:17" s="1" customFormat="1" ht="14.1" customHeight="1">
      <c r="A10" s="40"/>
      <c r="B10" s="52" t="s">
        <v>25</v>
      </c>
      <c r="C10" s="52"/>
      <c r="D10" s="36" t="s">
        <v>564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7" s="1" customFormat="1" ht="14.1" customHeight="1" thickBo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16.7</v>
      </c>
      <c r="I11" s="51">
        <f>SUM(J11)-0.8</f>
        <v>17.5</v>
      </c>
      <c r="J11" s="39">
        <v>18.3</v>
      </c>
      <c r="K11" s="51">
        <f>SUM(J11)+0.8</f>
        <v>19.100000000000001</v>
      </c>
      <c r="L11" s="51">
        <f t="shared" ref="L11:M11" si="2">SUM(K11)+0.8</f>
        <v>19.900000000000002</v>
      </c>
      <c r="M11" s="75">
        <f t="shared" si="2"/>
        <v>20.700000000000003</v>
      </c>
    </row>
    <row r="12" spans="1:17" s="1" customFormat="1" ht="14.1" customHeight="1" thickTop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23"/>
      <c r="L12" s="23"/>
      <c r="M12" s="76"/>
      <c r="P12" s="11" t="s">
        <v>565</v>
      </c>
      <c r="Q12" s="11" t="s">
        <v>236</v>
      </c>
    </row>
    <row r="13" spans="1:17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12.600000000000001</v>
      </c>
      <c r="I13" s="51">
        <f>SUM(J13)-0.6</f>
        <v>13.200000000000001</v>
      </c>
      <c r="J13" s="39">
        <v>13.8</v>
      </c>
      <c r="K13" s="32">
        <f>SUM(J13)+0.6</f>
        <v>14.4</v>
      </c>
      <c r="L13" s="32">
        <f>SUM(K13)+0.6</f>
        <v>15</v>
      </c>
      <c r="M13" s="82">
        <f>SUM(L13)+0.6</f>
        <v>15.6</v>
      </c>
      <c r="P13" s="12">
        <f>SUM(H39+I39+J39+K39+L39+M39)</f>
        <v>664.5</v>
      </c>
      <c r="Q13" s="12">
        <f>SUM(H27+I27+J27)*2</f>
        <v>104.39999999999999</v>
      </c>
    </row>
    <row r="14" spans="1:17" s="1" customFormat="1" ht="14.1" customHeight="1" thickBo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82"/>
      <c r="P14" s="13">
        <f>SUM(P13/91.44/6*1.08)</f>
        <v>1.3080708661417326</v>
      </c>
      <c r="Q14" s="13">
        <f>SUM(Q13/3/91.44*1.08)</f>
        <v>0.41102362204724407</v>
      </c>
    </row>
    <row r="15" spans="1:17" s="1" customFormat="1" ht="14.1" customHeight="1" thickTop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7.1000000000000005</v>
      </c>
      <c r="I15" s="51">
        <f>SUM(J15)-0.3</f>
        <v>7.4</v>
      </c>
      <c r="J15" s="39">
        <v>7.7</v>
      </c>
      <c r="K15" s="32">
        <f>SUM(J15)+0.3</f>
        <v>8</v>
      </c>
      <c r="L15" s="32">
        <f>SUM(K15)+0.3</f>
        <v>8.3000000000000007</v>
      </c>
      <c r="M15" s="131">
        <f>SUM(L15)+0.3</f>
        <v>8.6000000000000014</v>
      </c>
      <c r="P15" s="11" t="s">
        <v>274</v>
      </c>
      <c r="Q15" s="11" t="s">
        <v>566</v>
      </c>
    </row>
    <row r="16" spans="1:17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  <c r="P16" s="12"/>
      <c r="Q16" s="12">
        <f>SUM(K27+L27+M27)*2</f>
        <v>115.20000000000002</v>
      </c>
    </row>
    <row r="17" spans="1:17" s="1" customFormat="1" ht="14.1" customHeight="1" thickBo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34.9</v>
      </c>
      <c r="I17" s="51">
        <f>SUM(J17)-1.6</f>
        <v>36.5</v>
      </c>
      <c r="J17" s="39">
        <v>38.1</v>
      </c>
      <c r="K17" s="32">
        <f>SUM(J17)+1.6</f>
        <v>39.700000000000003</v>
      </c>
      <c r="L17" s="32">
        <f>SUM(K17)+1.6</f>
        <v>41.300000000000004</v>
      </c>
      <c r="M17" s="131">
        <f>SUM(L17)+1.6</f>
        <v>42.900000000000006</v>
      </c>
      <c r="P17" s="13"/>
      <c r="Q17" s="13">
        <f>SUM(Q16/3/91.44*1.08)</f>
        <v>0.45354330708661428</v>
      </c>
    </row>
    <row r="18" spans="1:17" s="1" customFormat="1" ht="14.1" customHeight="1" thickTop="1">
      <c r="A18" s="40"/>
      <c r="B18" s="52" t="s">
        <v>35</v>
      </c>
      <c r="C18" s="52"/>
      <c r="D18" s="36" t="s">
        <v>210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7" s="1" customFormat="1" ht="14.1" customHeight="1">
      <c r="A19" s="40">
        <v>9</v>
      </c>
      <c r="B19" s="56" t="s">
        <v>77</v>
      </c>
      <c r="C19" s="56"/>
      <c r="D19" s="57" t="s">
        <v>78</v>
      </c>
      <c r="E19" s="58"/>
      <c r="F19" s="58"/>
      <c r="G19" s="59"/>
      <c r="H19" s="51">
        <f>SUM(I19)-1</f>
        <v>29.3</v>
      </c>
      <c r="I19" s="51">
        <f>SUM(J19)-1</f>
        <v>30.3</v>
      </c>
      <c r="J19" s="39">
        <v>31.3</v>
      </c>
      <c r="K19" s="32">
        <f>SUM(J19)+1</f>
        <v>32.299999999999997</v>
      </c>
      <c r="L19" s="32">
        <f t="shared" ref="L19:M19" si="3">SUM(K19)+1</f>
        <v>33.299999999999997</v>
      </c>
      <c r="M19" s="82">
        <f t="shared" si="3"/>
        <v>34.299999999999997</v>
      </c>
    </row>
    <row r="20" spans="1:17" s="1" customFormat="1" ht="14.1" customHeight="1">
      <c r="A20" s="40"/>
      <c r="B20" s="52" t="s">
        <v>32</v>
      </c>
      <c r="C20" s="52"/>
      <c r="D20" s="36" t="s">
        <v>79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7" s="1" customFormat="1" ht="14.1" customHeight="1">
      <c r="A21" s="40">
        <v>10</v>
      </c>
      <c r="B21" s="56" t="s">
        <v>80</v>
      </c>
      <c r="C21" s="56"/>
      <c r="D21" s="57" t="s">
        <v>81</v>
      </c>
      <c r="E21" s="58"/>
      <c r="F21" s="58"/>
      <c r="G21" s="59"/>
      <c r="H21" s="56">
        <f>SUM(I21)-0.8</f>
        <v>20.9</v>
      </c>
      <c r="I21" s="56">
        <f>SUM(J21)-0.8</f>
        <v>21.7</v>
      </c>
      <c r="J21" s="149">
        <v>22.5</v>
      </c>
      <c r="K21" s="128">
        <f>SUM(J21)+0.8</f>
        <v>23.3</v>
      </c>
      <c r="L21" s="128">
        <f t="shared" ref="L21:M21" si="4">SUM(K21)+0.8</f>
        <v>24.1</v>
      </c>
      <c r="M21" s="131">
        <f t="shared" si="4"/>
        <v>24.900000000000002</v>
      </c>
    </row>
    <row r="22" spans="1:17" s="1" customFormat="1" ht="14.1" customHeight="1">
      <c r="A22" s="40"/>
      <c r="B22" s="52" t="s">
        <v>33</v>
      </c>
      <c r="C22" s="52"/>
      <c r="D22" s="36" t="s">
        <v>82</v>
      </c>
      <c r="E22" s="37"/>
      <c r="F22" s="37"/>
      <c r="G22" s="38"/>
      <c r="H22" s="52"/>
      <c r="I22" s="52"/>
      <c r="J22" s="149"/>
      <c r="K22" s="128"/>
      <c r="L22" s="128"/>
      <c r="M22" s="131"/>
    </row>
    <row r="23" spans="1:17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SUM(I23)-3.5</f>
        <v>30.5</v>
      </c>
      <c r="I23" s="51">
        <f>SUM(J23)-3.5</f>
        <v>34</v>
      </c>
      <c r="J23" s="60">
        <v>37.5</v>
      </c>
      <c r="K23" s="51">
        <f>SUM(J23)+3.6</f>
        <v>41.1</v>
      </c>
      <c r="L23" s="51">
        <f t="shared" ref="L23:M23" si="5">SUM(K23)+3.6</f>
        <v>44.7</v>
      </c>
      <c r="M23" s="75">
        <f t="shared" si="5"/>
        <v>48.300000000000004</v>
      </c>
    </row>
    <row r="24" spans="1:17" s="1" customFormat="1" ht="14.1" customHeight="1">
      <c r="A24" s="40"/>
      <c r="B24" s="52" t="s">
        <v>29</v>
      </c>
      <c r="C24" s="52"/>
      <c r="D24" s="36" t="s">
        <v>50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7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SUM(I25)-1.6</f>
        <v>32.299999999999997</v>
      </c>
      <c r="I25" s="51">
        <f>SUM(J25)-1.6</f>
        <v>33.9</v>
      </c>
      <c r="J25" s="39">
        <v>35.5</v>
      </c>
      <c r="K25" s="32">
        <f>SUM(J25)+1.6</f>
        <v>37.1</v>
      </c>
      <c r="L25" s="32">
        <f t="shared" ref="L25:M25" si="6">SUM(K25)+1.6</f>
        <v>38.700000000000003</v>
      </c>
      <c r="M25" s="82">
        <f t="shared" si="6"/>
        <v>40.300000000000004</v>
      </c>
    </row>
    <row r="26" spans="1:17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7" s="1" customFormat="1" ht="14.1" customHeight="1">
      <c r="A27" s="40">
        <v>13</v>
      </c>
      <c r="B27" s="49" t="s">
        <v>68</v>
      </c>
      <c r="C27" s="50"/>
      <c r="D27" s="55"/>
      <c r="E27" s="55"/>
      <c r="F27" s="55"/>
      <c r="G27" s="55"/>
      <c r="H27" s="51">
        <f>SUM(I27)-0.6</f>
        <v>16.799999999999997</v>
      </c>
      <c r="I27" s="51">
        <f>SUM(J27)-0.6</f>
        <v>17.399999999999999</v>
      </c>
      <c r="J27" s="39">
        <v>18</v>
      </c>
      <c r="K27" s="32">
        <f>SUM(J27)+0.6</f>
        <v>18.600000000000001</v>
      </c>
      <c r="L27" s="32">
        <f t="shared" ref="L27:M27" si="7">SUM(K27)+0.6</f>
        <v>19.200000000000003</v>
      </c>
      <c r="M27" s="82">
        <f t="shared" si="7"/>
        <v>19.800000000000004</v>
      </c>
    </row>
    <row r="28" spans="1:17" s="1" customFormat="1" ht="14.1" customHeight="1">
      <c r="A28" s="40"/>
      <c r="B28" s="52" t="s">
        <v>31</v>
      </c>
      <c r="C28" s="52"/>
      <c r="D28" s="36" t="s">
        <v>567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7" ht="14.1" customHeight="1">
      <c r="A29" s="40">
        <v>14</v>
      </c>
      <c r="B29" s="53" t="s">
        <v>150</v>
      </c>
      <c r="C29" s="54"/>
      <c r="D29" s="99"/>
      <c r="E29" s="99"/>
      <c r="F29" s="99"/>
      <c r="G29" s="99"/>
      <c r="H29" s="47">
        <f>SUM(I29)-0.5</f>
        <v>11</v>
      </c>
      <c r="I29" s="47">
        <f>SUM(J29)-0.5</f>
        <v>11.5</v>
      </c>
      <c r="J29" s="21">
        <v>12</v>
      </c>
      <c r="K29" s="23">
        <f>SUM(J29)+0.5</f>
        <v>12.5</v>
      </c>
      <c r="L29" s="23">
        <f t="shared" ref="L29:M29" si="8">SUM(K29)+0.5</f>
        <v>13</v>
      </c>
      <c r="M29" s="76">
        <f t="shared" si="8"/>
        <v>13.5</v>
      </c>
    </row>
    <row r="30" spans="1:17" ht="14.1" customHeight="1">
      <c r="A30" s="40"/>
      <c r="B30" s="34" t="s">
        <v>151</v>
      </c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7" ht="14.1" customHeight="1">
      <c r="A31" s="40">
        <v>15</v>
      </c>
      <c r="B31" s="49" t="s">
        <v>214</v>
      </c>
      <c r="C31" s="50"/>
      <c r="D31" s="55"/>
      <c r="E31" s="55"/>
      <c r="F31" s="55"/>
      <c r="G31" s="55"/>
      <c r="H31" s="47">
        <v>36</v>
      </c>
      <c r="I31" s="47">
        <v>39.5</v>
      </c>
      <c r="J31" s="60">
        <v>43</v>
      </c>
      <c r="K31" s="23">
        <v>46.5</v>
      </c>
      <c r="L31" s="23">
        <v>49.5</v>
      </c>
      <c r="M31" s="76">
        <v>53</v>
      </c>
    </row>
    <row r="32" spans="1:17" ht="14.1" customHeight="1">
      <c r="A32" s="40"/>
      <c r="B32" s="34" t="s">
        <v>215</v>
      </c>
      <c r="C32" s="35"/>
      <c r="D32" s="36" t="s">
        <v>216</v>
      </c>
      <c r="E32" s="37"/>
      <c r="F32" s="37"/>
      <c r="G32" s="38"/>
      <c r="H32" s="23"/>
      <c r="I32" s="23"/>
      <c r="J32" s="21"/>
      <c r="K32" s="32"/>
      <c r="L32" s="32"/>
      <c r="M32" s="82"/>
    </row>
    <row r="33" spans="1:13" ht="14.1" customHeight="1">
      <c r="A33" s="40">
        <v>16</v>
      </c>
      <c r="B33" s="49" t="s">
        <v>467</v>
      </c>
      <c r="C33" s="50"/>
      <c r="D33" s="57"/>
      <c r="E33" s="58"/>
      <c r="F33" s="58"/>
      <c r="G33" s="59"/>
      <c r="H33" s="51">
        <f>SUM(I33)-2.1</f>
        <v>22.499999999999996</v>
      </c>
      <c r="I33" s="51">
        <f>SUM(J33)-2.1</f>
        <v>24.599999999999998</v>
      </c>
      <c r="J33" s="60">
        <v>26.7</v>
      </c>
      <c r="K33" s="51">
        <f>SUM(J33)+2.1</f>
        <v>28.8</v>
      </c>
      <c r="L33" s="51">
        <f t="shared" ref="L33:M33" si="9">SUM(K33)+2.1</f>
        <v>30.900000000000002</v>
      </c>
      <c r="M33" s="75">
        <f t="shared" si="9"/>
        <v>33</v>
      </c>
    </row>
    <row r="34" spans="1:13" ht="14.1" customHeight="1">
      <c r="A34" s="40"/>
      <c r="B34" s="34" t="s">
        <v>568</v>
      </c>
      <c r="C34" s="35"/>
      <c r="D34" s="36" t="s">
        <v>569</v>
      </c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49" t="s">
        <v>553</v>
      </c>
      <c r="C35" s="50"/>
      <c r="D35" s="57"/>
      <c r="E35" s="58"/>
      <c r="F35" s="58"/>
      <c r="G35" s="59"/>
      <c r="H35" s="51">
        <f>SUM(I35)-0.5</f>
        <v>8.6999999999999993</v>
      </c>
      <c r="I35" s="51">
        <f>SUM(J35)-0.5</f>
        <v>9.1999999999999993</v>
      </c>
      <c r="J35" s="39">
        <v>9.6999999999999993</v>
      </c>
      <c r="K35" s="32">
        <f>SUM(J35)+0.5</f>
        <v>10.199999999999999</v>
      </c>
      <c r="L35" s="32">
        <f t="shared" ref="L35:M35" si="10">SUM(K35)+0.5</f>
        <v>10.7</v>
      </c>
      <c r="M35" s="82">
        <f t="shared" si="10"/>
        <v>11.2</v>
      </c>
    </row>
    <row r="36" spans="1:13" ht="14.1" customHeight="1">
      <c r="A36" s="40"/>
      <c r="B36" s="34" t="s">
        <v>554</v>
      </c>
      <c r="C36" s="35"/>
      <c r="D36" s="36" t="s">
        <v>555</v>
      </c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40">
        <v>18</v>
      </c>
      <c r="B37" s="56" t="s">
        <v>556</v>
      </c>
      <c r="C37" s="56"/>
      <c r="D37" s="55"/>
      <c r="E37" s="55"/>
      <c r="F37" s="55"/>
      <c r="G37" s="55"/>
      <c r="H37" s="51">
        <f>SUM(I37)-1.8</f>
        <v>19.899999999999999</v>
      </c>
      <c r="I37" s="51">
        <f>SUM(J37)-1.8</f>
        <v>21.7</v>
      </c>
      <c r="J37" s="39">
        <v>23.5</v>
      </c>
      <c r="K37" s="32">
        <f>SUM(J37)+1.3</f>
        <v>24.8</v>
      </c>
      <c r="L37" s="32">
        <f t="shared" ref="L37:M37" si="11">SUM(K37)+1.3</f>
        <v>26.1</v>
      </c>
      <c r="M37" s="82">
        <f t="shared" si="11"/>
        <v>27.400000000000002</v>
      </c>
    </row>
    <row r="38" spans="1:13" ht="14.1" customHeight="1">
      <c r="A38" s="40"/>
      <c r="B38" s="105" t="s">
        <v>557</v>
      </c>
      <c r="C38" s="105"/>
      <c r="D38" s="139" t="s">
        <v>558</v>
      </c>
      <c r="E38" s="140"/>
      <c r="F38" s="140"/>
      <c r="G38" s="141"/>
      <c r="H38" s="23"/>
      <c r="I38" s="23"/>
      <c r="J38" s="39"/>
      <c r="K38" s="32"/>
      <c r="L38" s="32"/>
      <c r="M38" s="82"/>
    </row>
    <row r="39" spans="1:13" ht="14.1" customHeight="1">
      <c r="A39" s="40">
        <v>19</v>
      </c>
      <c r="B39" s="49" t="s">
        <v>181</v>
      </c>
      <c r="C39" s="50"/>
      <c r="D39" s="57"/>
      <c r="E39" s="58"/>
      <c r="F39" s="58"/>
      <c r="G39" s="59"/>
      <c r="H39" s="51">
        <f>SUM(I39)-4.5</f>
        <v>100</v>
      </c>
      <c r="I39" s="51">
        <f>SUM(J39)-4.5</f>
        <v>104.5</v>
      </c>
      <c r="J39" s="60">
        <v>109</v>
      </c>
      <c r="K39" s="51">
        <f>SUM(J39)+4</f>
        <v>113</v>
      </c>
      <c r="L39" s="51">
        <f t="shared" ref="L39:M39" si="12">SUM(K39)+4</f>
        <v>117</v>
      </c>
      <c r="M39" s="75">
        <f t="shared" si="12"/>
        <v>121</v>
      </c>
    </row>
    <row r="40" spans="1:13" ht="14.1" customHeight="1">
      <c r="A40" s="40"/>
      <c r="B40" s="144" t="s">
        <v>182</v>
      </c>
      <c r="C40" s="145"/>
      <c r="D40" s="146" t="s">
        <v>570</v>
      </c>
      <c r="E40" s="147"/>
      <c r="F40" s="147"/>
      <c r="G40" s="148"/>
      <c r="H40" s="23"/>
      <c r="I40" s="23"/>
      <c r="J40" s="21"/>
      <c r="K40" s="23"/>
      <c r="L40" s="23"/>
      <c r="M40" s="76"/>
    </row>
    <row r="41" spans="1:13" ht="14.1" customHeight="1">
      <c r="A41" s="40">
        <v>20</v>
      </c>
      <c r="B41" s="49" t="s">
        <v>141</v>
      </c>
      <c r="C41" s="50"/>
      <c r="D41" s="93"/>
      <c r="E41" s="94"/>
      <c r="F41" s="94"/>
      <c r="G41" s="95"/>
      <c r="H41" s="51">
        <f>SUM(I41)</f>
        <v>2</v>
      </c>
      <c r="I41" s="51">
        <f>SUM(J41)</f>
        <v>2</v>
      </c>
      <c r="J41" s="60">
        <v>2</v>
      </c>
      <c r="K41" s="51">
        <f>SUM(J41)</f>
        <v>2</v>
      </c>
      <c r="L41" s="51">
        <f t="shared" ref="L41:M41" si="13">SUM(K41)</f>
        <v>2</v>
      </c>
      <c r="M41" s="75">
        <f t="shared" si="13"/>
        <v>2</v>
      </c>
    </row>
    <row r="42" spans="1:13" ht="14.1" customHeight="1" thickBot="1">
      <c r="A42" s="41"/>
      <c r="B42" s="27" t="s">
        <v>571</v>
      </c>
      <c r="C42" s="28"/>
      <c r="D42" s="29"/>
      <c r="E42" s="30"/>
      <c r="F42" s="30"/>
      <c r="G42" s="31"/>
      <c r="H42" s="48"/>
      <c r="I42" s="48"/>
      <c r="J42" s="110"/>
      <c r="K42" s="48"/>
      <c r="L42" s="48"/>
      <c r="M42" s="109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2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555D-3A15-4477-99F7-2FCC13D2C768}">
  <sheetPr>
    <tabColor theme="5"/>
    <pageSetUpPr fitToPage="1"/>
  </sheetPr>
  <dimension ref="A1:N51"/>
  <sheetViews>
    <sheetView zoomScale="110" zoomScaleNormal="110" workbookViewId="0">
      <selection activeCell="Q12" sqref="Q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50" t="s">
        <v>773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154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</v>
      </c>
      <c r="I3" s="51">
        <f>SUM(J3)-3.5</f>
        <v>39.5</v>
      </c>
      <c r="J3" s="114">
        <v>43</v>
      </c>
      <c r="K3" s="70">
        <f>SUM(J3)+3</f>
        <v>46</v>
      </c>
      <c r="L3" s="70">
        <f>SUM(K3)+3</f>
        <v>49</v>
      </c>
      <c r="M3" s="70">
        <f>SUM(L3)+3</f>
        <v>52</v>
      </c>
      <c r="N3" s="130">
        <f>SUM(M3)+3</f>
        <v>55</v>
      </c>
    </row>
    <row r="4" spans="1:14" s="1" customFormat="1" ht="14.1" customHeight="1">
      <c r="A4" s="40"/>
      <c r="B4" s="52" t="s">
        <v>38</v>
      </c>
      <c r="C4" s="52"/>
      <c r="D4" s="36" t="s">
        <v>339</v>
      </c>
      <c r="E4" s="37"/>
      <c r="F4" s="37"/>
      <c r="G4" s="37"/>
      <c r="H4" s="23"/>
      <c r="I4" s="23"/>
      <c r="J4" s="60"/>
      <c r="K4" s="23"/>
      <c r="L4" s="23"/>
      <c r="M4" s="23"/>
      <c r="N4" s="12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24.799999999999997</v>
      </c>
      <c r="I5" s="51">
        <f>SUM(J5)-1.6</f>
        <v>26.4</v>
      </c>
      <c r="J5" s="60">
        <v>28</v>
      </c>
      <c r="K5" s="51">
        <f>SUM(J5)+1.6</f>
        <v>29.6</v>
      </c>
      <c r="L5" s="51">
        <f>SUM(K5)+1.6</f>
        <v>31.200000000000003</v>
      </c>
      <c r="M5" s="51">
        <f>SUM(L5)+1.6</f>
        <v>32.800000000000004</v>
      </c>
      <c r="N5" s="123">
        <f>SUM(M5)+1.6</f>
        <v>34.400000000000006</v>
      </c>
    </row>
    <row r="6" spans="1:14" s="1" customFormat="1" ht="14.1" customHeight="1">
      <c r="A6" s="40"/>
      <c r="B6" s="52" t="s">
        <v>340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</f>
        <v>31</v>
      </c>
      <c r="I7" s="51">
        <f>SUM(J7)-2</f>
        <v>33</v>
      </c>
      <c r="J7" s="60">
        <v>35</v>
      </c>
      <c r="K7" s="51">
        <f>SUM(J7)+2</f>
        <v>37</v>
      </c>
      <c r="L7" s="51">
        <f>SUM(K7)+2</f>
        <v>39</v>
      </c>
      <c r="M7" s="51">
        <f>SUM(L7)+2</f>
        <v>41</v>
      </c>
      <c r="N7" s="123">
        <f>SUM(M7)+2</f>
        <v>43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SUM(I9)-1.6</f>
        <v>25.299999999999997</v>
      </c>
      <c r="I9" s="51">
        <f>SUM(J9)-1.6</f>
        <v>26.9</v>
      </c>
      <c r="J9" s="60">
        <v>28.5</v>
      </c>
      <c r="K9" s="51">
        <f>SUM(J9)+1.6</f>
        <v>30.1</v>
      </c>
      <c r="L9" s="51">
        <f>SUM(K9)+1.6</f>
        <v>31.700000000000003</v>
      </c>
      <c r="M9" s="51">
        <f>SUM(L9)+1.6</f>
        <v>33.300000000000004</v>
      </c>
      <c r="N9" s="123">
        <f>SUM(M9)+1.6</f>
        <v>34.900000000000006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40">
        <v>5</v>
      </c>
      <c r="B11" s="56" t="s">
        <v>342</v>
      </c>
      <c r="C11" s="56"/>
      <c r="D11" s="55"/>
      <c r="E11" s="55"/>
      <c r="F11" s="55"/>
      <c r="G11" s="55"/>
      <c r="H11" s="51">
        <f>SUM(I11)-0</f>
        <v>5</v>
      </c>
      <c r="I11" s="51">
        <f>SUM(J11)-0</f>
        <v>5</v>
      </c>
      <c r="J11" s="60">
        <v>5</v>
      </c>
      <c r="K11" s="51">
        <f>SUM(J11)+0.5</f>
        <v>5.5</v>
      </c>
      <c r="L11" s="51">
        <f>SUM(K11)+0</f>
        <v>5.5</v>
      </c>
      <c r="M11" s="51">
        <f>SUM(L11)+0</f>
        <v>5.5</v>
      </c>
      <c r="N11" s="123">
        <f>SUM(M11)+0</f>
        <v>5.5</v>
      </c>
    </row>
    <row r="12" spans="1:14" s="1" customFormat="1" ht="14.1" customHeight="1">
      <c r="A12" s="40"/>
      <c r="B12" s="52" t="s">
        <v>343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23"/>
      <c r="N12" s="125"/>
    </row>
    <row r="13" spans="1:14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15.899999999999999</v>
      </c>
      <c r="I13" s="51">
        <f>SUM(J13)-0.8</f>
        <v>16.7</v>
      </c>
      <c r="J13" s="39">
        <v>17.5</v>
      </c>
      <c r="K13" s="51">
        <f>SUM(J13)+0.8</f>
        <v>18.3</v>
      </c>
      <c r="L13" s="51">
        <f>SUM(K13)+0.8</f>
        <v>19.100000000000001</v>
      </c>
      <c r="M13" s="51">
        <f>SUM(L13)+0.8</f>
        <v>19.900000000000002</v>
      </c>
      <c r="N13" s="123">
        <f>SUM(M13)+0.8</f>
        <v>20.700000000000003</v>
      </c>
    </row>
    <row r="14" spans="1:14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23"/>
      <c r="L14" s="23"/>
      <c r="M14" s="23"/>
      <c r="N14" s="125"/>
    </row>
    <row r="15" spans="1:14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14.8</v>
      </c>
      <c r="I15" s="51">
        <f>SUM(J15)-0.6</f>
        <v>15.4</v>
      </c>
      <c r="J15" s="39">
        <v>16</v>
      </c>
      <c r="K15" s="51">
        <f>SUM(J15)+0.6</f>
        <v>16.600000000000001</v>
      </c>
      <c r="L15" s="51">
        <f>SUM(K15)+0.6</f>
        <v>17.200000000000003</v>
      </c>
      <c r="M15" s="51">
        <f>SUM(L15)+0.6</f>
        <v>17.800000000000004</v>
      </c>
      <c r="N15" s="123">
        <f>SUM(M15)+0.6</f>
        <v>18.400000000000006</v>
      </c>
    </row>
    <row r="16" spans="1:14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23"/>
      <c r="L16" s="23"/>
      <c r="M16" s="23"/>
      <c r="N16" s="125"/>
    </row>
    <row r="17" spans="1:14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7.4</v>
      </c>
      <c r="I17" s="51">
        <f>SUM(J17)-0.3</f>
        <v>7.7</v>
      </c>
      <c r="J17" s="39">
        <v>8</v>
      </c>
      <c r="K17" s="51">
        <f>SUM(J17)+0.3</f>
        <v>8.3000000000000007</v>
      </c>
      <c r="L17" s="51">
        <f>SUM(K17)+0.3</f>
        <v>8.6000000000000014</v>
      </c>
      <c r="M17" s="51">
        <f>SUM(L17)+0.3</f>
        <v>8.9000000000000021</v>
      </c>
      <c r="N17" s="123">
        <f>SUM(M17)+0.3</f>
        <v>9.2000000000000028</v>
      </c>
    </row>
    <row r="18" spans="1:14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23"/>
      <c r="L18" s="23"/>
      <c r="M18" s="23"/>
      <c r="N18" s="125"/>
    </row>
    <row r="19" spans="1:14" s="1" customFormat="1" ht="14.1" customHeight="1">
      <c r="A19" s="40">
        <v>9</v>
      </c>
      <c r="B19" s="49" t="s">
        <v>344</v>
      </c>
      <c r="C19" s="50"/>
      <c r="D19" s="57"/>
      <c r="E19" s="58"/>
      <c r="F19" s="58"/>
      <c r="G19" s="59"/>
      <c r="H19" s="51">
        <f>SUM(I19)</f>
        <v>2.2000000000000002</v>
      </c>
      <c r="I19" s="51">
        <f>SUM(J19)</f>
        <v>2.2000000000000002</v>
      </c>
      <c r="J19" s="39">
        <v>2.2000000000000002</v>
      </c>
      <c r="K19" s="51">
        <f>SUM(J19)</f>
        <v>2.2000000000000002</v>
      </c>
      <c r="L19" s="51">
        <f>SUM(K19)</f>
        <v>2.2000000000000002</v>
      </c>
      <c r="M19" s="51">
        <f>SUM(L19)</f>
        <v>2.2000000000000002</v>
      </c>
      <c r="N19" s="123">
        <f>SUM(M19)</f>
        <v>2.2000000000000002</v>
      </c>
    </row>
    <row r="20" spans="1:14" s="1" customFormat="1" ht="14.1" customHeight="1">
      <c r="A20" s="40"/>
      <c r="B20" s="52" t="s">
        <v>345</v>
      </c>
      <c r="C20" s="52"/>
      <c r="D20" s="36"/>
      <c r="E20" s="37"/>
      <c r="F20" s="37"/>
      <c r="G20" s="38"/>
      <c r="H20" s="23"/>
      <c r="I20" s="23"/>
      <c r="J20" s="39"/>
      <c r="K20" s="23"/>
      <c r="L20" s="23"/>
      <c r="M20" s="23"/>
      <c r="N20" s="125"/>
    </row>
    <row r="21" spans="1:14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47"/>
      <c r="I21" s="47"/>
      <c r="J21" s="21"/>
      <c r="K21" s="47"/>
      <c r="L21" s="47"/>
      <c r="M21" s="47"/>
      <c r="N21" s="127"/>
    </row>
    <row r="22" spans="1:14" s="1" customFormat="1" ht="14.1" customHeight="1">
      <c r="A22" s="40"/>
      <c r="B22" s="52" t="s">
        <v>35</v>
      </c>
      <c r="C22" s="52"/>
      <c r="D22" s="36" t="s">
        <v>346</v>
      </c>
      <c r="E22" s="37"/>
      <c r="F22" s="37"/>
      <c r="G22" s="38"/>
      <c r="H22" s="23"/>
      <c r="I22" s="23"/>
      <c r="J22" s="39"/>
      <c r="K22" s="23"/>
      <c r="L22" s="23"/>
      <c r="M22" s="23"/>
      <c r="N22" s="125"/>
    </row>
    <row r="23" spans="1:14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SUM(I23)-3.7</f>
        <v>32.599999999999994</v>
      </c>
      <c r="I23" s="51">
        <f>SUM(J23)-3.7</f>
        <v>36.299999999999997</v>
      </c>
      <c r="J23" s="39">
        <v>40</v>
      </c>
      <c r="K23" s="51">
        <f>SUM(J23)+3.7</f>
        <v>43.7</v>
      </c>
      <c r="L23" s="51">
        <f>SUM(K23)+3.7</f>
        <v>47.400000000000006</v>
      </c>
      <c r="M23" s="51">
        <f>SUM(L23)+3.7</f>
        <v>51.100000000000009</v>
      </c>
      <c r="N23" s="123">
        <f>SUM(M23)+3.7</f>
        <v>54.800000000000011</v>
      </c>
    </row>
    <row r="24" spans="1:14" s="1" customFormat="1" ht="14.1" customHeight="1">
      <c r="A24" s="40"/>
      <c r="B24" s="52" t="s">
        <v>347</v>
      </c>
      <c r="C24" s="52"/>
      <c r="D24" s="36" t="s">
        <v>50</v>
      </c>
      <c r="E24" s="37"/>
      <c r="F24" s="37"/>
      <c r="G24" s="38"/>
      <c r="H24" s="23"/>
      <c r="I24" s="23"/>
      <c r="J24" s="39"/>
      <c r="K24" s="23"/>
      <c r="L24" s="23"/>
      <c r="M24" s="23"/>
      <c r="N24" s="125"/>
    </row>
    <row r="25" spans="1:14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SUM(I25)-1.4</f>
        <v>27.200000000000003</v>
      </c>
      <c r="I25" s="51">
        <f>SUM(J25)-1.4</f>
        <v>28.6</v>
      </c>
      <c r="J25" s="39">
        <v>30</v>
      </c>
      <c r="K25" s="51">
        <f>SUM(J25)+1.4</f>
        <v>31.4</v>
      </c>
      <c r="L25" s="51">
        <f>SUM(K25)+1.4</f>
        <v>32.799999999999997</v>
      </c>
      <c r="M25" s="51">
        <f>SUM(L25)+1.4</f>
        <v>34.199999999999996</v>
      </c>
      <c r="N25" s="123">
        <f>SUM(M25)+1.4</f>
        <v>35.599999999999994</v>
      </c>
    </row>
    <row r="26" spans="1:14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39"/>
      <c r="K26" s="23"/>
      <c r="L26" s="23"/>
      <c r="M26" s="23"/>
      <c r="N26" s="125"/>
    </row>
    <row r="27" spans="1:14" s="1" customFormat="1" ht="14.1" customHeight="1">
      <c r="A27" s="40">
        <v>13</v>
      </c>
      <c r="B27" s="49" t="s">
        <v>99</v>
      </c>
      <c r="C27" s="50"/>
      <c r="D27" s="55" t="s">
        <v>69</v>
      </c>
      <c r="E27" s="55"/>
      <c r="F27" s="55"/>
      <c r="G27" s="55"/>
      <c r="H27" s="51">
        <f>SUM(I27)-0.6</f>
        <v>14.8</v>
      </c>
      <c r="I27" s="51">
        <f>SUM(J27)-0.6</f>
        <v>15.4</v>
      </c>
      <c r="J27" s="39">
        <v>16</v>
      </c>
      <c r="K27" s="51">
        <f>SUM(J27)+0.6</f>
        <v>16.600000000000001</v>
      </c>
      <c r="L27" s="51">
        <f>SUM(K27)+0.6</f>
        <v>17.200000000000003</v>
      </c>
      <c r="M27" s="51">
        <f>SUM(L27)+0.6</f>
        <v>17.800000000000004</v>
      </c>
      <c r="N27" s="123">
        <f>SUM(M27)+0.6</f>
        <v>18.400000000000006</v>
      </c>
    </row>
    <row r="28" spans="1:14" s="1" customFormat="1" ht="14.1" customHeight="1">
      <c r="A28" s="111"/>
      <c r="B28" s="105" t="s">
        <v>31</v>
      </c>
      <c r="C28" s="105"/>
      <c r="D28" s="67" t="s">
        <v>70</v>
      </c>
      <c r="E28" s="68"/>
      <c r="F28" s="68"/>
      <c r="G28" s="69"/>
      <c r="H28" s="23"/>
      <c r="I28" s="23"/>
      <c r="J28" s="39"/>
      <c r="K28" s="23"/>
      <c r="L28" s="23"/>
      <c r="M28" s="23"/>
      <c r="N28" s="125"/>
    </row>
    <row r="29" spans="1:14" s="1" customFormat="1" ht="14.1" customHeight="1">
      <c r="A29" s="40">
        <v>14</v>
      </c>
      <c r="B29" s="49" t="s">
        <v>348</v>
      </c>
      <c r="C29" s="50"/>
      <c r="D29" s="57"/>
      <c r="E29" s="58"/>
      <c r="F29" s="58"/>
      <c r="G29" s="59"/>
      <c r="H29" s="51">
        <f>SUM(I29)-0</f>
        <v>5</v>
      </c>
      <c r="I29" s="51">
        <f>SUM(J29)-0</f>
        <v>5</v>
      </c>
      <c r="J29" s="60">
        <v>5</v>
      </c>
      <c r="K29" s="51">
        <f>SUM(J29)+0.5</f>
        <v>5.5</v>
      </c>
      <c r="L29" s="51">
        <f>SUM(K29)+0</f>
        <v>5.5</v>
      </c>
      <c r="M29" s="51">
        <f>SUM(L29)+0</f>
        <v>5.5</v>
      </c>
      <c r="N29" s="123">
        <f>SUM(M29)+0</f>
        <v>5.5</v>
      </c>
    </row>
    <row r="30" spans="1:14" s="1" customFormat="1" ht="14.1" customHeight="1">
      <c r="A30" s="111"/>
      <c r="B30" s="34" t="s">
        <v>349</v>
      </c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23"/>
      <c r="N30" s="125"/>
    </row>
    <row r="31" spans="1:14" ht="13.5" customHeight="1">
      <c r="A31" s="40">
        <v>15</v>
      </c>
      <c r="B31" s="49" t="s">
        <v>473</v>
      </c>
      <c r="C31" s="50"/>
      <c r="D31" s="55"/>
      <c r="E31" s="55"/>
      <c r="F31" s="55"/>
      <c r="G31" s="55"/>
      <c r="H31" s="51">
        <f>SUM(I31)</f>
        <v>3</v>
      </c>
      <c r="I31" s="51">
        <f>SUM(J31)</f>
        <v>3</v>
      </c>
      <c r="J31" s="39">
        <v>3</v>
      </c>
      <c r="K31" s="51">
        <f>SUM(J31)</f>
        <v>3</v>
      </c>
      <c r="L31" s="51">
        <f>SUM(K31)</f>
        <v>3</v>
      </c>
      <c r="M31" s="51">
        <f>SUM(L31)</f>
        <v>3</v>
      </c>
      <c r="N31" s="123">
        <f>SUM(M31)</f>
        <v>3</v>
      </c>
    </row>
    <row r="32" spans="1:14" ht="14.1" customHeight="1">
      <c r="A32" s="40"/>
      <c r="B32" s="34" t="s">
        <v>474</v>
      </c>
      <c r="C32" s="35"/>
      <c r="D32" s="36"/>
      <c r="E32" s="37"/>
      <c r="F32" s="37"/>
      <c r="G32" s="38"/>
      <c r="H32" s="23"/>
      <c r="I32" s="23"/>
      <c r="J32" s="39"/>
      <c r="K32" s="23"/>
      <c r="L32" s="23"/>
      <c r="M32" s="23"/>
      <c r="N32" s="125"/>
    </row>
    <row r="33" spans="1:14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32"/>
      <c r="N33" s="126"/>
    </row>
    <row r="34" spans="1:14" ht="14.1" customHeight="1">
      <c r="A34" s="111"/>
      <c r="B34" s="34"/>
      <c r="C34" s="35"/>
      <c r="D34" s="36"/>
      <c r="E34" s="37"/>
      <c r="F34" s="37"/>
      <c r="G34" s="38"/>
      <c r="H34" s="47"/>
      <c r="I34" s="47"/>
      <c r="J34" s="60"/>
      <c r="K34" s="51"/>
      <c r="L34" s="51"/>
      <c r="M34" s="51"/>
      <c r="N34" s="123"/>
    </row>
    <row r="35" spans="1:14" ht="14.1" customHeight="1">
      <c r="A35" s="40">
        <v>17</v>
      </c>
      <c r="B35" s="49"/>
      <c r="C35" s="50"/>
      <c r="D35" s="93"/>
      <c r="E35" s="94"/>
      <c r="F35" s="94"/>
      <c r="G35" s="95"/>
      <c r="H35" s="51"/>
      <c r="I35" s="51"/>
      <c r="J35" s="39"/>
      <c r="K35" s="32"/>
      <c r="L35" s="32"/>
      <c r="M35" s="32"/>
      <c r="N35" s="126"/>
    </row>
    <row r="36" spans="1:14" ht="14.1" customHeight="1">
      <c r="A36" s="40"/>
      <c r="B36" s="34"/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32"/>
      <c r="N36" s="126"/>
    </row>
    <row r="37" spans="1:14" ht="14.1" customHeight="1">
      <c r="A37" s="66">
        <v>18</v>
      </c>
      <c r="B37" s="105"/>
      <c r="C37" s="105"/>
      <c r="D37" s="99"/>
      <c r="E37" s="99"/>
      <c r="F37" s="99"/>
      <c r="G37" s="99"/>
      <c r="H37" s="47"/>
      <c r="I37" s="47"/>
      <c r="J37" s="100"/>
      <c r="K37" s="47"/>
      <c r="L37" s="47"/>
      <c r="M37" s="47"/>
      <c r="N37" s="127"/>
    </row>
    <row r="38" spans="1:14" ht="14.1" customHeight="1" thickBot="1">
      <c r="A38" s="41"/>
      <c r="B38" s="132"/>
      <c r="C38" s="132"/>
      <c r="D38" s="29"/>
      <c r="E38" s="30"/>
      <c r="F38" s="30"/>
      <c r="G38" s="31"/>
      <c r="H38" s="48"/>
      <c r="I38" s="48"/>
      <c r="J38" s="110"/>
      <c r="K38" s="48"/>
      <c r="L38" s="48"/>
      <c r="M38" s="48"/>
      <c r="N38" s="124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N35:N36"/>
    <mergeCell ref="N37:N38"/>
    <mergeCell ref="N23:N24"/>
    <mergeCell ref="N25:N26"/>
    <mergeCell ref="N27:N28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  <mergeCell ref="K37:K38"/>
    <mergeCell ref="L37:L38"/>
    <mergeCell ref="M37:M38"/>
    <mergeCell ref="B38:C38"/>
    <mergeCell ref="D38:G38"/>
    <mergeCell ref="A1:N1"/>
    <mergeCell ref="N3:N4"/>
    <mergeCell ref="N5:N6"/>
    <mergeCell ref="N7:N8"/>
    <mergeCell ref="N9:N10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0552-682B-45B4-ACCF-6EFFB4932089}">
  <sheetPr>
    <tabColor theme="5"/>
    <pageSetUpPr fitToPage="1"/>
  </sheetPr>
  <dimension ref="A1:N51"/>
  <sheetViews>
    <sheetView tabSelected="1"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32</v>
      </c>
      <c r="I3" s="51">
        <f>SUM(J3)-3</f>
        <v>35</v>
      </c>
      <c r="J3" s="114">
        <v>38</v>
      </c>
      <c r="K3" s="70">
        <f>SUM(J3)+2.5</f>
        <v>40.5</v>
      </c>
      <c r="L3" s="70">
        <f>SUM(K3)+2.5</f>
        <v>43</v>
      </c>
      <c r="M3" s="84">
        <f>SUM(L3)+2.5</f>
        <v>45.5</v>
      </c>
    </row>
    <row r="4" spans="1:14" s="1" customFormat="1" ht="14.1" customHeight="1">
      <c r="A4" s="40"/>
      <c r="B4" s="52" t="s">
        <v>38</v>
      </c>
      <c r="C4" s="52"/>
      <c r="D4" s="36" t="s">
        <v>339</v>
      </c>
      <c r="E4" s="37"/>
      <c r="F4" s="37"/>
      <c r="G4" s="37"/>
      <c r="H4" s="23"/>
      <c r="I4" s="23"/>
      <c r="J4" s="60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32.400000000000006</v>
      </c>
      <c r="I5" s="51">
        <f>SUM(J5)-1.8</f>
        <v>34.200000000000003</v>
      </c>
      <c r="J5" s="60">
        <v>36</v>
      </c>
      <c r="K5" s="51">
        <f>SUM(J5)+1.8</f>
        <v>37.799999999999997</v>
      </c>
      <c r="L5" s="51">
        <f>SUM(K5)+1.8</f>
        <v>39.599999999999994</v>
      </c>
      <c r="M5" s="75">
        <f>SUM(L5)+1.8</f>
        <v>41.399999999999991</v>
      </c>
    </row>
    <row r="6" spans="1:14" s="1" customFormat="1" ht="14.1" customHeight="1">
      <c r="A6" s="40"/>
      <c r="B6" s="52" t="s">
        <v>340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</f>
        <v>38</v>
      </c>
      <c r="I7" s="51">
        <f>SUM(J7)-2</f>
        <v>40</v>
      </c>
      <c r="J7" s="60">
        <v>42</v>
      </c>
      <c r="K7" s="51">
        <f>SUM(J7)+2</f>
        <v>44</v>
      </c>
      <c r="L7" s="51">
        <f>SUM(K7)+2</f>
        <v>46</v>
      </c>
      <c r="M7" s="75">
        <f>SUM(L7)+2</f>
        <v>48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SUM(I9)-1.6</f>
        <v>30.799999999999997</v>
      </c>
      <c r="I9" s="51">
        <f>SUM(J9)-1.6</f>
        <v>32.4</v>
      </c>
      <c r="J9" s="60">
        <v>34</v>
      </c>
      <c r="K9" s="51">
        <f>SUM(J9)+1.6</f>
        <v>35.6</v>
      </c>
      <c r="L9" s="51">
        <f>SUM(K9)+1.6</f>
        <v>37.200000000000003</v>
      </c>
      <c r="M9" s="75">
        <f>SUM(L9)+1.6</f>
        <v>38.800000000000004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342</v>
      </c>
      <c r="C11" s="56"/>
      <c r="D11" s="55"/>
      <c r="E11" s="55"/>
      <c r="F11" s="55"/>
      <c r="G11" s="55"/>
      <c r="H11" s="51">
        <f>SUM(I11)-0</f>
        <v>5</v>
      </c>
      <c r="I11" s="51">
        <f>SUM(J11)-0</f>
        <v>5</v>
      </c>
      <c r="J11" s="60">
        <v>5</v>
      </c>
      <c r="K11" s="51">
        <f>SUM(J11)+0.5</f>
        <v>5.5</v>
      </c>
      <c r="L11" s="51">
        <f>SUM(K11)+0</f>
        <v>5.5</v>
      </c>
      <c r="M11" s="75">
        <f>SUM(L11)+0</f>
        <v>5.5</v>
      </c>
    </row>
    <row r="12" spans="1:14" s="1" customFormat="1" ht="14.1" customHeight="1">
      <c r="A12" s="40"/>
      <c r="B12" s="52" t="s">
        <v>343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76"/>
    </row>
    <row r="13" spans="1:14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15.899999999999999</v>
      </c>
      <c r="I13" s="51">
        <f>SUM(J13)-0.8</f>
        <v>16.7</v>
      </c>
      <c r="J13" s="39">
        <v>17.5</v>
      </c>
      <c r="K13" s="51">
        <f>SUM(J13)+0.8</f>
        <v>18.3</v>
      </c>
      <c r="L13" s="51">
        <f>SUM(K13)+0.8</f>
        <v>19.100000000000001</v>
      </c>
      <c r="M13" s="75">
        <f>SUM(L13)+0.8</f>
        <v>19.900000000000002</v>
      </c>
    </row>
    <row r="14" spans="1:14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23"/>
      <c r="L14" s="23"/>
      <c r="M14" s="76"/>
    </row>
    <row r="15" spans="1:14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15.799999999999999</v>
      </c>
      <c r="I15" s="51">
        <f>SUM(J15)-0.6</f>
        <v>16.399999999999999</v>
      </c>
      <c r="J15" s="39">
        <v>17</v>
      </c>
      <c r="K15" s="51">
        <f>SUM(J15)+0.6</f>
        <v>17.600000000000001</v>
      </c>
      <c r="L15" s="51">
        <f>SUM(K15)+0.6</f>
        <v>18.200000000000003</v>
      </c>
      <c r="M15" s="75">
        <f>SUM(L15)+0.6</f>
        <v>18.800000000000004</v>
      </c>
    </row>
    <row r="16" spans="1:14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6.4</v>
      </c>
      <c r="I17" s="51">
        <f>SUM(J17)-0.3</f>
        <v>6.7</v>
      </c>
      <c r="J17" s="39">
        <v>7</v>
      </c>
      <c r="K17" s="51">
        <f>SUM(J17)+0.3</f>
        <v>7.3</v>
      </c>
      <c r="L17" s="51">
        <f>SUM(K17)+0.3</f>
        <v>7.6</v>
      </c>
      <c r="M17" s="75">
        <f>SUM(L17)+0.3</f>
        <v>7.8999999999999995</v>
      </c>
    </row>
    <row r="18" spans="1:13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40">
        <v>9</v>
      </c>
      <c r="B19" s="49" t="s">
        <v>344</v>
      </c>
      <c r="C19" s="50"/>
      <c r="D19" s="57"/>
      <c r="E19" s="58"/>
      <c r="F19" s="58"/>
      <c r="G19" s="59"/>
      <c r="H19" s="51">
        <f>SUM(I19)</f>
        <v>2.5</v>
      </c>
      <c r="I19" s="51">
        <f>SUM(J19)</f>
        <v>2.5</v>
      </c>
      <c r="J19" s="39">
        <v>2.5</v>
      </c>
      <c r="K19" s="51">
        <f>SUM(J19)</f>
        <v>2.5</v>
      </c>
      <c r="L19" s="51">
        <f>SUM(K19)</f>
        <v>2.5</v>
      </c>
      <c r="M19" s="75">
        <f>SUM(L19)</f>
        <v>2.5</v>
      </c>
    </row>
    <row r="20" spans="1:13" s="1" customFormat="1" ht="14.1" customHeight="1">
      <c r="A20" s="40"/>
      <c r="B20" s="52" t="s">
        <v>345</v>
      </c>
      <c r="C20" s="52"/>
      <c r="D20" s="36"/>
      <c r="E20" s="37"/>
      <c r="F20" s="37"/>
      <c r="G20" s="38"/>
      <c r="H20" s="23"/>
      <c r="I20" s="23"/>
      <c r="J20" s="39"/>
      <c r="K20" s="23"/>
      <c r="L20" s="23"/>
      <c r="M20" s="76"/>
    </row>
    <row r="21" spans="1:13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47"/>
      <c r="I21" s="47"/>
      <c r="J21" s="21"/>
      <c r="K21" s="47"/>
      <c r="L21" s="47"/>
      <c r="M21" s="104"/>
    </row>
    <row r="22" spans="1:13" s="1" customFormat="1" ht="14.1" customHeight="1">
      <c r="A22" s="40"/>
      <c r="B22" s="52" t="s">
        <v>35</v>
      </c>
      <c r="C22" s="52"/>
      <c r="D22" s="36" t="s">
        <v>346</v>
      </c>
      <c r="E22" s="37"/>
      <c r="F22" s="37"/>
      <c r="G22" s="38"/>
      <c r="H22" s="23"/>
      <c r="I22" s="23"/>
      <c r="J22" s="39"/>
      <c r="K22" s="23"/>
      <c r="L22" s="23"/>
      <c r="M22" s="76"/>
    </row>
    <row r="23" spans="1:13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SUM(I23)-3.6</f>
        <v>28.799999999999997</v>
      </c>
      <c r="I23" s="51">
        <f>SUM(J23)-3.6</f>
        <v>32.4</v>
      </c>
      <c r="J23" s="39">
        <v>36</v>
      </c>
      <c r="K23" s="51">
        <f>SUM(J23)+3.6</f>
        <v>39.6</v>
      </c>
      <c r="L23" s="51">
        <f>SUM(K23)+3.6</f>
        <v>43.2</v>
      </c>
      <c r="M23" s="75">
        <f>SUM(L23)+3.6</f>
        <v>46.800000000000004</v>
      </c>
    </row>
    <row r="24" spans="1:13" s="1" customFormat="1" ht="14.1" customHeight="1">
      <c r="A24" s="40"/>
      <c r="B24" s="52" t="s">
        <v>347</v>
      </c>
      <c r="C24" s="52"/>
      <c r="D24" s="36" t="s">
        <v>50</v>
      </c>
      <c r="E24" s="37"/>
      <c r="F24" s="37"/>
      <c r="G24" s="38"/>
      <c r="H24" s="23"/>
      <c r="I24" s="23"/>
      <c r="J24" s="39"/>
      <c r="K24" s="23"/>
      <c r="L24" s="23"/>
      <c r="M24" s="76"/>
    </row>
    <row r="25" spans="1:13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SUM(I25)-1.4</f>
        <v>25.200000000000003</v>
      </c>
      <c r="I25" s="51">
        <f>SUM(J25)-1.4</f>
        <v>26.6</v>
      </c>
      <c r="J25" s="39">
        <v>28</v>
      </c>
      <c r="K25" s="51">
        <f>SUM(J25)+1.4</f>
        <v>29.4</v>
      </c>
      <c r="L25" s="51">
        <f>SUM(K25)+1.4</f>
        <v>30.799999999999997</v>
      </c>
      <c r="M25" s="75">
        <f>SUM(L25)+1.4</f>
        <v>32.199999999999996</v>
      </c>
    </row>
    <row r="26" spans="1:13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39"/>
      <c r="K26" s="23"/>
      <c r="L26" s="23"/>
      <c r="M26" s="76"/>
    </row>
    <row r="27" spans="1:13" s="1" customFormat="1" ht="14.1" customHeight="1">
      <c r="A27" s="40">
        <v>13</v>
      </c>
      <c r="B27" s="49" t="s">
        <v>99</v>
      </c>
      <c r="C27" s="50"/>
      <c r="D27" s="55" t="s">
        <v>69</v>
      </c>
      <c r="E27" s="55"/>
      <c r="F27" s="55"/>
      <c r="G27" s="55"/>
      <c r="H27" s="51">
        <f>SUM(I27)-0.6</f>
        <v>15.799999999999999</v>
      </c>
      <c r="I27" s="51">
        <f>SUM(J27)-0.6</f>
        <v>16.399999999999999</v>
      </c>
      <c r="J27" s="39">
        <v>17</v>
      </c>
      <c r="K27" s="51">
        <f>SUM(J27)+0.6</f>
        <v>17.600000000000001</v>
      </c>
      <c r="L27" s="51">
        <f>SUM(K27)+0.6</f>
        <v>18.200000000000003</v>
      </c>
      <c r="M27" s="75">
        <f>SUM(L27)+0.6</f>
        <v>18.800000000000004</v>
      </c>
    </row>
    <row r="28" spans="1:13" s="1" customFormat="1" ht="14.1" customHeight="1">
      <c r="A28" s="111"/>
      <c r="B28" s="105" t="s">
        <v>31</v>
      </c>
      <c r="C28" s="105"/>
      <c r="D28" s="67" t="s">
        <v>70</v>
      </c>
      <c r="E28" s="68"/>
      <c r="F28" s="68"/>
      <c r="G28" s="69"/>
      <c r="H28" s="23"/>
      <c r="I28" s="23"/>
      <c r="J28" s="39"/>
      <c r="K28" s="23"/>
      <c r="L28" s="23"/>
      <c r="M28" s="76"/>
    </row>
    <row r="29" spans="1:13" s="1" customFormat="1" ht="14.1" customHeight="1">
      <c r="A29" s="40">
        <v>14</v>
      </c>
      <c r="B29" s="49" t="s">
        <v>348</v>
      </c>
      <c r="C29" s="50"/>
      <c r="D29" s="57"/>
      <c r="E29" s="58"/>
      <c r="F29" s="58"/>
      <c r="G29" s="59"/>
      <c r="H29" s="51">
        <f>SUM(I29)-0</f>
        <v>5</v>
      </c>
      <c r="I29" s="51">
        <f>SUM(J29)-0</f>
        <v>5</v>
      </c>
      <c r="J29" s="60">
        <v>5</v>
      </c>
      <c r="K29" s="51">
        <f>SUM(J29)+0.5</f>
        <v>5.5</v>
      </c>
      <c r="L29" s="51">
        <f>SUM(K29)+0</f>
        <v>5.5</v>
      </c>
      <c r="M29" s="75">
        <f>SUM(L29)+0</f>
        <v>5.5</v>
      </c>
    </row>
    <row r="30" spans="1:13" s="1" customFormat="1" ht="14.1" customHeight="1">
      <c r="A30" s="111"/>
      <c r="B30" s="34" t="s">
        <v>349</v>
      </c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3.5" customHeight="1">
      <c r="A31" s="40">
        <v>15</v>
      </c>
      <c r="B31" s="49"/>
      <c r="C31" s="50"/>
      <c r="D31" s="55"/>
      <c r="E31" s="55"/>
      <c r="F31" s="55"/>
      <c r="G31" s="55"/>
      <c r="H31" s="51"/>
      <c r="I31" s="51"/>
      <c r="J31" s="60"/>
      <c r="K31" s="51"/>
      <c r="L31" s="51"/>
      <c r="M31" s="75"/>
    </row>
    <row r="32" spans="1:13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111"/>
      <c r="B34" s="34"/>
      <c r="C34" s="35"/>
      <c r="D34" s="36"/>
      <c r="E34" s="37"/>
      <c r="F34" s="37"/>
      <c r="G34" s="38"/>
      <c r="H34" s="47"/>
      <c r="I34" s="47"/>
      <c r="J34" s="60"/>
      <c r="K34" s="51"/>
      <c r="L34" s="51"/>
      <c r="M34" s="75"/>
    </row>
    <row r="35" spans="1:13" ht="14.1" customHeight="1">
      <c r="A35" s="40">
        <v>17</v>
      </c>
      <c r="B35" s="49"/>
      <c r="C35" s="50"/>
      <c r="D35" s="93"/>
      <c r="E35" s="94"/>
      <c r="F35" s="94"/>
      <c r="G35" s="95"/>
      <c r="H35" s="51"/>
      <c r="I35" s="51"/>
      <c r="J35" s="39"/>
      <c r="K35" s="32"/>
      <c r="L35" s="32"/>
      <c r="M35" s="82"/>
    </row>
    <row r="36" spans="1:13" ht="14.1" customHeight="1">
      <c r="A36" s="40"/>
      <c r="B36" s="34"/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66">
        <v>18</v>
      </c>
      <c r="B37" s="105"/>
      <c r="C37" s="105"/>
      <c r="D37" s="99"/>
      <c r="E37" s="99"/>
      <c r="F37" s="99"/>
      <c r="G37" s="99"/>
      <c r="H37" s="47"/>
      <c r="I37" s="47"/>
      <c r="J37" s="100"/>
      <c r="K37" s="47"/>
      <c r="L37" s="47"/>
      <c r="M37" s="104"/>
    </row>
    <row r="38" spans="1:13" ht="14.1" customHeight="1" thickBot="1">
      <c r="A38" s="41"/>
      <c r="B38" s="132"/>
      <c r="C38" s="132"/>
      <c r="D38" s="29"/>
      <c r="E38" s="30"/>
      <c r="F38" s="30"/>
      <c r="G38" s="31"/>
      <c r="H38" s="48"/>
      <c r="I38" s="48"/>
      <c r="J38" s="110"/>
      <c r="K38" s="48"/>
      <c r="L38" s="48"/>
      <c r="M38" s="10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D8B7-19A1-4A16-90D4-24FBBA9CFE09}">
  <sheetPr>
    <tabColor theme="5"/>
    <pageSetUpPr fitToPage="1"/>
  </sheetPr>
  <dimension ref="A1:N51"/>
  <sheetViews>
    <sheetView zoomScale="110" zoomScaleNormal="110" workbookViewId="0">
      <selection activeCell="O4" sqref="O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665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35</v>
      </c>
      <c r="I3" s="51">
        <f>SUM(J3)-3.5</f>
        <v>38.5</v>
      </c>
      <c r="J3" s="114">
        <v>42</v>
      </c>
      <c r="K3" s="70">
        <f>SUM(J3)+3</f>
        <v>45</v>
      </c>
      <c r="L3" s="70">
        <f>SUM(K3)+3</f>
        <v>48</v>
      </c>
      <c r="M3" s="84">
        <f>SUM(L3)+3</f>
        <v>51</v>
      </c>
    </row>
    <row r="4" spans="1:14" s="1" customFormat="1" ht="14.1" customHeight="1">
      <c r="A4" s="40"/>
      <c r="B4" s="52" t="s">
        <v>38</v>
      </c>
      <c r="C4" s="52"/>
      <c r="D4" s="36" t="s">
        <v>339</v>
      </c>
      <c r="E4" s="37"/>
      <c r="F4" s="37"/>
      <c r="G4" s="37"/>
      <c r="H4" s="23"/>
      <c r="I4" s="23"/>
      <c r="J4" s="60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27.799999999999997</v>
      </c>
      <c r="I5" s="51">
        <f>SUM(J5)-1.6</f>
        <v>29.4</v>
      </c>
      <c r="J5" s="60">
        <v>31</v>
      </c>
      <c r="K5" s="51">
        <f>SUM(J5)+1.6</f>
        <v>32.6</v>
      </c>
      <c r="L5" s="51">
        <f>SUM(K5)+1.6</f>
        <v>34.200000000000003</v>
      </c>
      <c r="M5" s="75">
        <f>SUM(L5)+1.6</f>
        <v>35.800000000000004</v>
      </c>
    </row>
    <row r="6" spans="1:14" s="1" customFormat="1" ht="14.1" customHeight="1">
      <c r="A6" s="40"/>
      <c r="B6" s="52" t="s">
        <v>340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</f>
        <v>37</v>
      </c>
      <c r="I7" s="51">
        <f>SUM(J7)-2</f>
        <v>39</v>
      </c>
      <c r="J7" s="60">
        <v>41</v>
      </c>
      <c r="K7" s="51">
        <f>SUM(J7)+2</f>
        <v>43</v>
      </c>
      <c r="L7" s="51">
        <f>SUM(K7)+2</f>
        <v>45</v>
      </c>
      <c r="M7" s="75">
        <f>SUM(L7)+2</f>
        <v>47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SUM(I9)-1.7</f>
        <v>31.099999999999998</v>
      </c>
      <c r="I9" s="51">
        <f>SUM(J9)-1.7</f>
        <v>32.799999999999997</v>
      </c>
      <c r="J9" s="60">
        <v>34.5</v>
      </c>
      <c r="K9" s="51">
        <f>SUM(J9)+1.7</f>
        <v>36.200000000000003</v>
      </c>
      <c r="L9" s="51">
        <f>SUM(K9)+1.7</f>
        <v>37.900000000000006</v>
      </c>
      <c r="M9" s="75">
        <f>SUM(L9)+1.7</f>
        <v>39.600000000000009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342</v>
      </c>
      <c r="C11" s="56"/>
      <c r="D11" s="55"/>
      <c r="E11" s="55"/>
      <c r="F11" s="55"/>
      <c r="G11" s="55"/>
      <c r="H11" s="51">
        <f>SUM(I11)-0</f>
        <v>5</v>
      </c>
      <c r="I11" s="51">
        <f>SUM(J11)-0</f>
        <v>5</v>
      </c>
      <c r="J11" s="60">
        <v>5</v>
      </c>
      <c r="K11" s="51">
        <f>SUM(J11)+0.5</f>
        <v>5.5</v>
      </c>
      <c r="L11" s="51">
        <f>SUM(K11)+0</f>
        <v>5.5</v>
      </c>
      <c r="M11" s="75">
        <f>SUM(L11)+0</f>
        <v>5.5</v>
      </c>
    </row>
    <row r="12" spans="1:14" s="1" customFormat="1" ht="14.1" customHeight="1">
      <c r="A12" s="40"/>
      <c r="B12" s="52" t="s">
        <v>343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76"/>
    </row>
    <row r="13" spans="1:14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15.899999999999999</v>
      </c>
      <c r="I13" s="51">
        <f>SUM(J13)-0.8</f>
        <v>16.7</v>
      </c>
      <c r="J13" s="39">
        <v>17.5</v>
      </c>
      <c r="K13" s="51">
        <f>SUM(J13)+0.8</f>
        <v>18.3</v>
      </c>
      <c r="L13" s="51">
        <f>SUM(K13)+0.8</f>
        <v>19.100000000000001</v>
      </c>
      <c r="M13" s="75">
        <f>SUM(L13)+0.8</f>
        <v>19.900000000000002</v>
      </c>
    </row>
    <row r="14" spans="1:14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23"/>
      <c r="L14" s="23"/>
      <c r="M14" s="76"/>
    </row>
    <row r="15" spans="1:14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15.6</v>
      </c>
      <c r="I15" s="51">
        <f>SUM(J15)-0.6</f>
        <v>16.2</v>
      </c>
      <c r="J15" s="39">
        <v>16.8</v>
      </c>
      <c r="K15" s="51">
        <f>SUM(J15)+0.6</f>
        <v>17.400000000000002</v>
      </c>
      <c r="L15" s="51">
        <f>SUM(K15)+0.6</f>
        <v>18.000000000000004</v>
      </c>
      <c r="M15" s="75">
        <f>SUM(L15)+0.6</f>
        <v>18.600000000000005</v>
      </c>
    </row>
    <row r="16" spans="1:14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7.4</v>
      </c>
      <c r="I17" s="51">
        <f>SUM(J17)-0.3</f>
        <v>7.7</v>
      </c>
      <c r="J17" s="39">
        <v>8</v>
      </c>
      <c r="K17" s="51">
        <f>SUM(J17)+0.3</f>
        <v>8.3000000000000007</v>
      </c>
      <c r="L17" s="51">
        <f>SUM(K17)+0.3</f>
        <v>8.6000000000000014</v>
      </c>
      <c r="M17" s="75">
        <f>SUM(L17)+0.3</f>
        <v>8.9000000000000021</v>
      </c>
    </row>
    <row r="18" spans="1:13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40">
        <v>9</v>
      </c>
      <c r="B19" s="49" t="s">
        <v>344</v>
      </c>
      <c r="C19" s="50"/>
      <c r="D19" s="57"/>
      <c r="E19" s="58"/>
      <c r="F19" s="58"/>
      <c r="G19" s="59"/>
      <c r="H19" s="51">
        <f>SUM(I19)</f>
        <v>2.5</v>
      </c>
      <c r="I19" s="51">
        <f>SUM(J19)</f>
        <v>2.5</v>
      </c>
      <c r="J19" s="39">
        <v>2.5</v>
      </c>
      <c r="K19" s="51">
        <f>SUM(J19)</f>
        <v>2.5</v>
      </c>
      <c r="L19" s="51">
        <f>SUM(K19)</f>
        <v>2.5</v>
      </c>
      <c r="M19" s="75">
        <f>SUM(L19)</f>
        <v>2.5</v>
      </c>
    </row>
    <row r="20" spans="1:13" s="1" customFormat="1" ht="14.1" customHeight="1">
      <c r="A20" s="40"/>
      <c r="B20" s="52" t="s">
        <v>345</v>
      </c>
      <c r="C20" s="52"/>
      <c r="D20" s="36"/>
      <c r="E20" s="37"/>
      <c r="F20" s="37"/>
      <c r="G20" s="38"/>
      <c r="H20" s="23"/>
      <c r="I20" s="23"/>
      <c r="J20" s="39"/>
      <c r="K20" s="23"/>
      <c r="L20" s="23"/>
      <c r="M20" s="76"/>
    </row>
    <row r="21" spans="1:13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47"/>
      <c r="I21" s="47"/>
      <c r="J21" s="21"/>
      <c r="K21" s="47"/>
      <c r="L21" s="47"/>
      <c r="M21" s="104"/>
    </row>
    <row r="22" spans="1:13" s="1" customFormat="1" ht="14.1" customHeight="1">
      <c r="A22" s="40"/>
      <c r="B22" s="52" t="s">
        <v>35</v>
      </c>
      <c r="C22" s="52"/>
      <c r="D22" s="36" t="s">
        <v>346</v>
      </c>
      <c r="E22" s="37"/>
      <c r="F22" s="37"/>
      <c r="G22" s="38"/>
      <c r="H22" s="23"/>
      <c r="I22" s="23"/>
      <c r="J22" s="39"/>
      <c r="K22" s="23"/>
      <c r="L22" s="23"/>
      <c r="M22" s="76"/>
    </row>
    <row r="23" spans="1:13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SUM(I23)-3.7</f>
        <v>31.099999999999998</v>
      </c>
      <c r="I23" s="51">
        <f>SUM(J23)-3.7</f>
        <v>34.799999999999997</v>
      </c>
      <c r="J23" s="39">
        <v>38.5</v>
      </c>
      <c r="K23" s="51">
        <f>SUM(J23)+3.7</f>
        <v>42.2</v>
      </c>
      <c r="L23" s="51">
        <f>SUM(K23)+3.7</f>
        <v>45.900000000000006</v>
      </c>
      <c r="M23" s="75">
        <f>SUM(L23)+3.7</f>
        <v>49.600000000000009</v>
      </c>
    </row>
    <row r="24" spans="1:13" s="1" customFormat="1" ht="14.1" customHeight="1">
      <c r="A24" s="40"/>
      <c r="B24" s="52" t="s">
        <v>347</v>
      </c>
      <c r="C24" s="52"/>
      <c r="D24" s="36" t="s">
        <v>50</v>
      </c>
      <c r="E24" s="37"/>
      <c r="F24" s="37"/>
      <c r="G24" s="38"/>
      <c r="H24" s="23"/>
      <c r="I24" s="23"/>
      <c r="J24" s="39"/>
      <c r="K24" s="23"/>
      <c r="L24" s="23"/>
      <c r="M24" s="76"/>
    </row>
    <row r="25" spans="1:13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SUM(I25)-1.4</f>
        <v>27.200000000000003</v>
      </c>
      <c r="I25" s="51">
        <f>SUM(J25)-1.4</f>
        <v>28.6</v>
      </c>
      <c r="J25" s="39">
        <v>30</v>
      </c>
      <c r="K25" s="51">
        <f>SUM(J25)+1.4</f>
        <v>31.4</v>
      </c>
      <c r="L25" s="51">
        <f>SUM(K25)+1.4</f>
        <v>32.799999999999997</v>
      </c>
      <c r="M25" s="75">
        <f>SUM(L25)+1.4</f>
        <v>34.199999999999996</v>
      </c>
    </row>
    <row r="26" spans="1:13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39"/>
      <c r="K26" s="23"/>
      <c r="L26" s="23"/>
      <c r="M26" s="76"/>
    </row>
    <row r="27" spans="1:13" s="1" customFormat="1" ht="14.1" customHeight="1">
      <c r="A27" s="40">
        <v>13</v>
      </c>
      <c r="B27" s="49" t="s">
        <v>99</v>
      </c>
      <c r="C27" s="50"/>
      <c r="D27" s="55" t="s">
        <v>69</v>
      </c>
      <c r="E27" s="55"/>
      <c r="F27" s="55"/>
      <c r="G27" s="55"/>
      <c r="H27" s="51">
        <f>SUM(I27)-0.6</f>
        <v>15.799999999999999</v>
      </c>
      <c r="I27" s="51">
        <f>SUM(J27)-0.6</f>
        <v>16.399999999999999</v>
      </c>
      <c r="J27" s="39">
        <v>17</v>
      </c>
      <c r="K27" s="51">
        <f>SUM(J27)+0.6</f>
        <v>17.600000000000001</v>
      </c>
      <c r="L27" s="51">
        <f>SUM(K27)+0.6</f>
        <v>18.200000000000003</v>
      </c>
      <c r="M27" s="75">
        <f>SUM(L27)+0.6</f>
        <v>18.800000000000004</v>
      </c>
    </row>
    <row r="28" spans="1:13" s="1" customFormat="1" ht="14.1" customHeight="1">
      <c r="A28" s="111"/>
      <c r="B28" s="105" t="s">
        <v>31</v>
      </c>
      <c r="C28" s="105"/>
      <c r="D28" s="67" t="s">
        <v>70</v>
      </c>
      <c r="E28" s="68"/>
      <c r="F28" s="68"/>
      <c r="G28" s="69"/>
      <c r="H28" s="23"/>
      <c r="I28" s="23"/>
      <c r="J28" s="39"/>
      <c r="K28" s="23"/>
      <c r="L28" s="23"/>
      <c r="M28" s="76"/>
    </row>
    <row r="29" spans="1:13" s="1" customFormat="1" ht="14.1" customHeight="1">
      <c r="A29" s="40">
        <v>14</v>
      </c>
      <c r="B29" s="49" t="s">
        <v>348</v>
      </c>
      <c r="C29" s="50"/>
      <c r="D29" s="57"/>
      <c r="E29" s="58"/>
      <c r="F29" s="58"/>
      <c r="G29" s="59"/>
      <c r="H29" s="51">
        <f>SUM(I29)-0</f>
        <v>4.5</v>
      </c>
      <c r="I29" s="51">
        <f>SUM(J29)-0</f>
        <v>4.5</v>
      </c>
      <c r="J29" s="60">
        <v>4.5</v>
      </c>
      <c r="K29" s="51">
        <f>SUM(J29)+0.5</f>
        <v>5</v>
      </c>
      <c r="L29" s="51">
        <f>SUM(K29)+0</f>
        <v>5</v>
      </c>
      <c r="M29" s="75">
        <f>SUM(L29)+0</f>
        <v>5</v>
      </c>
    </row>
    <row r="30" spans="1:13" s="1" customFormat="1" ht="14.1" customHeight="1">
      <c r="A30" s="111"/>
      <c r="B30" s="34" t="s">
        <v>349</v>
      </c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3.5" customHeight="1">
      <c r="A31" s="40">
        <v>15</v>
      </c>
      <c r="B31" s="49" t="s">
        <v>473</v>
      </c>
      <c r="C31" s="50"/>
      <c r="D31" s="55"/>
      <c r="E31" s="55"/>
      <c r="F31" s="55"/>
      <c r="G31" s="55"/>
      <c r="H31" s="51">
        <f>SUM(I31)</f>
        <v>2.5</v>
      </c>
      <c r="I31" s="51">
        <f>SUM(J31)</f>
        <v>2.5</v>
      </c>
      <c r="J31" s="39">
        <v>2.5</v>
      </c>
      <c r="K31" s="51">
        <f>SUM(J31)</f>
        <v>2.5</v>
      </c>
      <c r="L31" s="51">
        <f>SUM(K31)</f>
        <v>2.5</v>
      </c>
      <c r="M31" s="75">
        <f>SUM(L31)</f>
        <v>2.5</v>
      </c>
    </row>
    <row r="32" spans="1:13" ht="14.1" customHeight="1">
      <c r="A32" s="40"/>
      <c r="B32" s="34" t="s">
        <v>474</v>
      </c>
      <c r="C32" s="35"/>
      <c r="D32" s="36"/>
      <c r="E32" s="37"/>
      <c r="F32" s="37"/>
      <c r="G32" s="38"/>
      <c r="H32" s="23"/>
      <c r="I32" s="23"/>
      <c r="J32" s="39"/>
      <c r="K32" s="23"/>
      <c r="L32" s="23"/>
      <c r="M32" s="76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111"/>
      <c r="B34" s="34"/>
      <c r="C34" s="35"/>
      <c r="D34" s="36"/>
      <c r="E34" s="37"/>
      <c r="F34" s="37"/>
      <c r="G34" s="38"/>
      <c r="H34" s="47"/>
      <c r="I34" s="47"/>
      <c r="J34" s="60"/>
      <c r="K34" s="51"/>
      <c r="L34" s="51"/>
      <c r="M34" s="75"/>
    </row>
    <row r="35" spans="1:13" ht="14.1" customHeight="1">
      <c r="A35" s="40">
        <v>17</v>
      </c>
      <c r="B35" s="49"/>
      <c r="C35" s="50"/>
      <c r="D35" s="93"/>
      <c r="E35" s="94"/>
      <c r="F35" s="94"/>
      <c r="G35" s="95"/>
      <c r="H35" s="51"/>
      <c r="I35" s="51"/>
      <c r="J35" s="39"/>
      <c r="K35" s="32"/>
      <c r="L35" s="32"/>
      <c r="M35" s="82"/>
    </row>
    <row r="36" spans="1:13" ht="14.1" customHeight="1">
      <c r="A36" s="40"/>
      <c r="B36" s="34"/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66">
        <v>18</v>
      </c>
      <c r="B37" s="105"/>
      <c r="C37" s="105"/>
      <c r="D37" s="99"/>
      <c r="E37" s="99"/>
      <c r="F37" s="99"/>
      <c r="G37" s="99"/>
      <c r="H37" s="47"/>
      <c r="I37" s="47"/>
      <c r="J37" s="100"/>
      <c r="K37" s="47"/>
      <c r="L37" s="47"/>
      <c r="M37" s="104"/>
    </row>
    <row r="38" spans="1:13" ht="14.1" customHeight="1" thickBot="1">
      <c r="A38" s="41"/>
      <c r="B38" s="132"/>
      <c r="C38" s="132"/>
      <c r="D38" s="29"/>
      <c r="E38" s="30"/>
      <c r="F38" s="30"/>
      <c r="G38" s="31"/>
      <c r="H38" s="48"/>
      <c r="I38" s="48"/>
      <c r="J38" s="110"/>
      <c r="K38" s="48"/>
      <c r="L38" s="48"/>
      <c r="M38" s="10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D5DF-B82C-4286-AF4D-F68515A224BF}">
  <sheetPr>
    <tabColor theme="5"/>
    <pageSetUpPr fitToPage="1"/>
  </sheetPr>
  <dimension ref="A1:Q51"/>
  <sheetViews>
    <sheetView zoomScale="110" zoomScaleNormal="110" workbookViewId="0">
      <selection sqref="A1:M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754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SUM(I3)-2.5</f>
        <v>33</v>
      </c>
      <c r="I3" s="51">
        <f>SUM(J3)-2.5</f>
        <v>35.5</v>
      </c>
      <c r="J3" s="114">
        <v>38</v>
      </c>
      <c r="K3" s="168">
        <f>SUM(J3)+2.5</f>
        <v>40.5</v>
      </c>
      <c r="L3" s="168">
        <f t="shared" ref="L3:M3" si="0">SUM(K3)+2.5</f>
        <v>43</v>
      </c>
      <c r="M3" s="169">
        <f t="shared" si="0"/>
        <v>45.5</v>
      </c>
    </row>
    <row r="4" spans="1:17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22.799999999999997</v>
      </c>
      <c r="I5" s="51">
        <f>SUM(J5)-1.6</f>
        <v>24.4</v>
      </c>
      <c r="J5" s="60">
        <v>26</v>
      </c>
      <c r="K5" s="51">
        <f>SUM(J5)+1.4</f>
        <v>27.4</v>
      </c>
      <c r="L5" s="51">
        <f>SUM(K5)+1.4</f>
        <v>28.799999999999997</v>
      </c>
      <c r="M5" s="75">
        <f>SUM(L5)+1.4</f>
        <v>30.199999999999996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29</v>
      </c>
      <c r="I7" s="51">
        <f>SUM(J7)-2</f>
        <v>31</v>
      </c>
      <c r="J7" s="60">
        <v>33</v>
      </c>
      <c r="K7" s="51">
        <f>SUM(J7)+1.8</f>
        <v>34.799999999999997</v>
      </c>
      <c r="L7" s="51">
        <f>SUM(K7)+1.8</f>
        <v>36.599999999999994</v>
      </c>
      <c r="M7" s="75">
        <f>SUM(L7)+1.8</f>
        <v>38.399999999999991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7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29</v>
      </c>
      <c r="I9" s="51">
        <f>SUM(J9)-2</f>
        <v>31</v>
      </c>
      <c r="J9" s="60">
        <v>33</v>
      </c>
      <c r="K9" s="51">
        <f>SUM(J9)+1.8</f>
        <v>34.799999999999997</v>
      </c>
      <c r="L9" s="51">
        <f>SUM(K9)+1.8</f>
        <v>36.599999999999994</v>
      </c>
      <c r="M9" s="75">
        <f>SUM(L9)+1.8</f>
        <v>38.399999999999991</v>
      </c>
      <c r="N9" s="1" t="s">
        <v>173</v>
      </c>
    </row>
    <row r="10" spans="1:17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7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13.499999999999998</v>
      </c>
      <c r="I11" s="51">
        <f>SUM(J11)-0.8</f>
        <v>14.299999999999999</v>
      </c>
      <c r="J11" s="39">
        <v>15.1</v>
      </c>
      <c r="K11" s="32">
        <f>SUM(J11)+0.8</f>
        <v>15.9</v>
      </c>
      <c r="L11" s="51">
        <f t="shared" ref="L11:M11" si="1">SUM(K11)+0.9</f>
        <v>16.8</v>
      </c>
      <c r="M11" s="75">
        <f t="shared" si="1"/>
        <v>17.7</v>
      </c>
    </row>
    <row r="12" spans="1:17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23"/>
      <c r="M12" s="76"/>
    </row>
    <row r="13" spans="1:17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11.8</v>
      </c>
      <c r="I13" s="51">
        <f>SUM(J13)-0.6</f>
        <v>12.4</v>
      </c>
      <c r="J13" s="39">
        <v>13</v>
      </c>
      <c r="K13" s="32">
        <f>SUM(J13)+0.6</f>
        <v>13.6</v>
      </c>
      <c r="L13" s="32">
        <f>SUM(K13)+0.6</f>
        <v>14.2</v>
      </c>
      <c r="M13" s="82">
        <f>SUM(L13)+0.6</f>
        <v>14.799999999999999</v>
      </c>
    </row>
    <row r="14" spans="1:17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  <c r="Q14" s="1" t="e">
        <f>SUM(H31+H31+I31+I31+J31+J31+K31+K31+L31+L31+M31+M31+#REF!+#REF!)</f>
        <v>#REF!</v>
      </c>
    </row>
    <row r="15" spans="1:17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6.1000000000000005</v>
      </c>
      <c r="I15" s="51">
        <f>SUM(J15)-0.3</f>
        <v>6.4</v>
      </c>
      <c r="J15" s="39">
        <v>6.7</v>
      </c>
      <c r="K15" s="32">
        <f>SUM(J15)+0.3</f>
        <v>7</v>
      </c>
      <c r="L15" s="32">
        <f>SUM(K15)+0.3</f>
        <v>7.3</v>
      </c>
      <c r="M15" s="82">
        <f>SUM(L15)+0.3</f>
        <v>7.6</v>
      </c>
    </row>
    <row r="16" spans="1:17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34.799999999999997</v>
      </c>
      <c r="I17" s="51">
        <f>SUM(J17)-1.6</f>
        <v>36.4</v>
      </c>
      <c r="J17" s="39">
        <v>38</v>
      </c>
      <c r="K17" s="32">
        <f>SUM(J17)+1.6</f>
        <v>39.6</v>
      </c>
      <c r="L17" s="32">
        <f>SUM(K17)+1.6</f>
        <v>41.2</v>
      </c>
      <c r="M17" s="82">
        <f>SUM(L17)+1.6</f>
        <v>42.800000000000004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33.599999999999994</v>
      </c>
      <c r="I19" s="51">
        <f>SUM(J19)-3.7</f>
        <v>37.299999999999997</v>
      </c>
      <c r="J19" s="39">
        <v>41</v>
      </c>
      <c r="K19" s="32">
        <f>SUM(J19)+3.8</f>
        <v>44.8</v>
      </c>
      <c r="L19" s="32">
        <f>SUM(K19)+3.8</f>
        <v>48.599999999999994</v>
      </c>
      <c r="M19" s="82">
        <f>SUM(L19)+3.8</f>
        <v>52.399999999999991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23.800000000000004</v>
      </c>
      <c r="I21" s="51">
        <f>SUM(J21)-1.4</f>
        <v>25.200000000000003</v>
      </c>
      <c r="J21" s="39">
        <v>26.6</v>
      </c>
      <c r="K21" s="32">
        <f>SUM(J21)+1.4</f>
        <v>28</v>
      </c>
      <c r="L21" s="32">
        <f t="shared" ref="L21:M21" si="2">SUM(K21)+1.4</f>
        <v>29.4</v>
      </c>
      <c r="M21" s="82">
        <f t="shared" si="2"/>
        <v>30.799999999999997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 t="shared" ref="L23:M23" si="3">SUM(K23)+0.7</f>
        <v>17.399999999999999</v>
      </c>
      <c r="M23" s="82">
        <f t="shared" si="3"/>
        <v>18.099999999999998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111">
        <v>12</v>
      </c>
      <c r="B25" s="49"/>
      <c r="C25" s="50"/>
      <c r="D25" s="93"/>
      <c r="E25" s="94"/>
      <c r="F25" s="94"/>
      <c r="G25" s="95"/>
      <c r="H25" s="51"/>
      <c r="I25" s="51"/>
      <c r="J25" s="60"/>
      <c r="K25" s="51"/>
      <c r="L25" s="51"/>
      <c r="M25" s="75"/>
    </row>
    <row r="26" spans="1:13" s="1" customFormat="1" ht="14.1" customHeight="1" thickBot="1">
      <c r="A26" s="166"/>
      <c r="B26" s="161"/>
      <c r="C26" s="162"/>
      <c r="D26" s="163"/>
      <c r="E26" s="164"/>
      <c r="F26" s="164"/>
      <c r="G26" s="165"/>
      <c r="H26" s="159"/>
      <c r="I26" s="159"/>
      <c r="J26" s="167"/>
      <c r="K26" s="159"/>
      <c r="L26" s="159"/>
      <c r="M26" s="160"/>
    </row>
    <row r="27" spans="1:13" s="1" customFormat="1" ht="14.1" customHeight="1" thickTop="1">
      <c r="A27" s="155">
        <v>13</v>
      </c>
      <c r="B27" s="118" t="s">
        <v>755</v>
      </c>
      <c r="C27" s="119"/>
      <c r="D27" s="156"/>
      <c r="E27" s="156"/>
      <c r="F27" s="156"/>
      <c r="G27" s="120"/>
      <c r="H27" s="157">
        <f>SUM(I27)-1.9</f>
        <v>26.900000000000002</v>
      </c>
      <c r="I27" s="157">
        <f>SUM(J27)-1.9</f>
        <v>28.8</v>
      </c>
      <c r="J27" s="158">
        <v>30.7</v>
      </c>
      <c r="K27" s="153">
        <f>SUM(J27)+1.9</f>
        <v>32.6</v>
      </c>
      <c r="L27" s="153">
        <f t="shared" ref="L27:M27" si="4">SUM(K27)+1.9</f>
        <v>34.5</v>
      </c>
      <c r="M27" s="154">
        <f t="shared" si="4"/>
        <v>36.4</v>
      </c>
    </row>
    <row r="28" spans="1:13" s="1" customFormat="1" ht="14.1" customHeight="1">
      <c r="A28" s="40"/>
      <c r="B28" s="34" t="s">
        <v>758</v>
      </c>
      <c r="C28" s="35"/>
      <c r="D28" s="36" t="s">
        <v>759</v>
      </c>
      <c r="E28" s="37"/>
      <c r="F28" s="37"/>
      <c r="G28" s="37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56" t="s">
        <v>756</v>
      </c>
      <c r="C29" s="56"/>
      <c r="D29" s="55" t="s">
        <v>73</v>
      </c>
      <c r="E29" s="55"/>
      <c r="F29" s="55"/>
      <c r="G29" s="55"/>
      <c r="H29" s="51">
        <f>SUM(I29)-2</f>
        <v>25</v>
      </c>
      <c r="I29" s="51">
        <f>SUM(J29)-2</f>
        <v>27</v>
      </c>
      <c r="J29" s="60">
        <v>29</v>
      </c>
      <c r="K29" s="51">
        <f>SUM(J29)+1.8</f>
        <v>30.8</v>
      </c>
      <c r="L29" s="51">
        <f>SUM(K29)+1.8</f>
        <v>32.6</v>
      </c>
      <c r="M29" s="75">
        <f>SUM(L29)+1.8</f>
        <v>34.4</v>
      </c>
    </row>
    <row r="30" spans="1:13" s="1" customFormat="1" ht="14.1" customHeight="1">
      <c r="A30" s="40"/>
      <c r="B30" s="52" t="s">
        <v>757</v>
      </c>
      <c r="C30" s="52"/>
      <c r="D30" s="36" t="s">
        <v>45</v>
      </c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3.5" customHeight="1">
      <c r="A31" s="40">
        <v>15</v>
      </c>
      <c r="B31" s="56" t="s">
        <v>524</v>
      </c>
      <c r="C31" s="56"/>
      <c r="D31" s="55"/>
      <c r="E31" s="55"/>
      <c r="F31" s="55"/>
      <c r="G31" s="55"/>
      <c r="H31" s="51">
        <f>SUM(I31)-1</f>
        <v>14.8</v>
      </c>
      <c r="I31" s="51">
        <f>SUM(J31)-1</f>
        <v>15.8</v>
      </c>
      <c r="J31" s="60">
        <v>16.8</v>
      </c>
      <c r="K31" s="51">
        <f>SUM(J31)+1</f>
        <v>17.8</v>
      </c>
      <c r="L31" s="51">
        <f>SUM(K31)+1</f>
        <v>18.8</v>
      </c>
      <c r="M31" s="75">
        <f>SUM(L31)+1</f>
        <v>19.8</v>
      </c>
    </row>
    <row r="32" spans="1:13" ht="14.1" customHeight="1">
      <c r="A32" s="40"/>
      <c r="B32" s="52" t="s">
        <v>391</v>
      </c>
      <c r="C32" s="52"/>
      <c r="D32" s="36" t="s">
        <v>672</v>
      </c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 t="s">
        <v>617</v>
      </c>
      <c r="C33" s="50"/>
      <c r="D33" s="57"/>
      <c r="E33" s="58"/>
      <c r="F33" s="58"/>
      <c r="G33" s="59"/>
      <c r="H33" s="51">
        <f>SUM(I33)-1.1</f>
        <v>13.8</v>
      </c>
      <c r="I33" s="51">
        <f>SUM(J33)-1.1</f>
        <v>14.9</v>
      </c>
      <c r="J33" s="60">
        <v>16</v>
      </c>
      <c r="K33" s="51">
        <f>SUM(J33)+1</f>
        <v>17</v>
      </c>
      <c r="L33" s="51">
        <f>SUM(K33)+1</f>
        <v>18</v>
      </c>
      <c r="M33" s="75">
        <f>SUM(L33)+1</f>
        <v>19</v>
      </c>
    </row>
    <row r="34" spans="1:13" ht="14.1" customHeight="1">
      <c r="A34" s="40"/>
      <c r="B34" s="52" t="s">
        <v>618</v>
      </c>
      <c r="C34" s="52"/>
      <c r="D34" s="36" t="s">
        <v>426</v>
      </c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53"/>
      <c r="C35" s="54"/>
      <c r="D35" s="93"/>
      <c r="E35" s="94"/>
      <c r="F35" s="94"/>
      <c r="G35" s="95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A1:M1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D2DA-6316-44B5-A0FD-82BB34957768}">
  <sheetPr>
    <tabColor theme="5"/>
    <pageSetUpPr fitToPage="1"/>
  </sheetPr>
  <dimension ref="A1:P51"/>
  <sheetViews>
    <sheetView topLeftCell="A13" zoomScale="110" zoomScaleNormal="110" workbookViewId="0">
      <selection activeCell="O26" sqref="O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708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SUM(I3)-2.9</f>
        <v>27.200000000000003</v>
      </c>
      <c r="I3" s="51">
        <f>SUM(J3)-2.9</f>
        <v>30.1</v>
      </c>
      <c r="J3" s="60">
        <v>33</v>
      </c>
      <c r="K3" s="51">
        <f>SUM(J3)+2.4</f>
        <v>35.4</v>
      </c>
      <c r="L3" s="51">
        <f t="shared" ref="L3:M3" si="0">SUM(K3)+2.4</f>
        <v>37.799999999999997</v>
      </c>
      <c r="M3" s="75">
        <f t="shared" si="0"/>
        <v>40.199999999999996</v>
      </c>
    </row>
    <row r="4" spans="1:13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40.199999999999996</v>
      </c>
      <c r="I5" s="51">
        <f>SUM(J5)-2.2</f>
        <v>42.4</v>
      </c>
      <c r="J5" s="39">
        <v>44.6</v>
      </c>
      <c r="K5" s="32">
        <f>SUM(J5)+2</f>
        <v>46.6</v>
      </c>
      <c r="L5" s="32">
        <f t="shared" ref="L5:M5" si="1">SUM(K5)+2</f>
        <v>48.6</v>
      </c>
      <c r="M5" s="82">
        <f t="shared" si="1"/>
        <v>50.6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39"/>
      <c r="K6" s="32"/>
      <c r="L6" s="32"/>
      <c r="M6" s="82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42.5</v>
      </c>
      <c r="I7" s="51">
        <f>SUM(J7)-2.25</f>
        <v>44.75</v>
      </c>
      <c r="J7" s="60">
        <v>47</v>
      </c>
      <c r="K7" s="51">
        <f>SUM(J7)+2</f>
        <v>49</v>
      </c>
      <c r="L7" s="51">
        <f>SUM(K7)+2</f>
        <v>51</v>
      </c>
      <c r="M7" s="75">
        <f>SUM(L7)+2</f>
        <v>53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SUM(I9)-1.4</f>
        <v>26.200000000000003</v>
      </c>
      <c r="I9" s="51">
        <f>SUM(J9)-1.4</f>
        <v>27.6</v>
      </c>
      <c r="J9" s="60">
        <v>29</v>
      </c>
      <c r="K9" s="51">
        <f>SUM(J9)+1.2</f>
        <v>30.2</v>
      </c>
      <c r="L9" s="51">
        <f t="shared" ref="L9:M9" si="2">SUM(K9)+1.2</f>
        <v>31.4</v>
      </c>
      <c r="M9" s="75">
        <f t="shared" si="2"/>
        <v>32.6</v>
      </c>
    </row>
    <row r="10" spans="1:13" s="1" customFormat="1" ht="14.1" customHeight="1">
      <c r="A10" s="40"/>
      <c r="B10" s="52" t="s">
        <v>25</v>
      </c>
      <c r="C10" s="52"/>
      <c r="D10" s="36" t="s">
        <v>564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709</v>
      </c>
      <c r="C11" s="56"/>
      <c r="D11" s="55"/>
      <c r="E11" s="55"/>
      <c r="F11" s="55"/>
      <c r="G11" s="55"/>
      <c r="H11" s="51">
        <f>SUM(I11)-1</f>
        <v>8</v>
      </c>
      <c r="I11" s="51">
        <f>SUM(J11)-1</f>
        <v>9</v>
      </c>
      <c r="J11" s="60">
        <v>10</v>
      </c>
      <c r="K11" s="51">
        <f>SUM(J11)+0.5</f>
        <v>10.5</v>
      </c>
      <c r="L11" s="51">
        <f t="shared" ref="L11:M11" si="3">SUM(K11)+0.5</f>
        <v>11</v>
      </c>
      <c r="M11" s="75">
        <f t="shared" si="3"/>
        <v>11.5</v>
      </c>
    </row>
    <row r="12" spans="1:13" s="1" customFormat="1" ht="14.1" customHeight="1">
      <c r="A12" s="40"/>
      <c r="B12" s="52" t="s">
        <v>710</v>
      </c>
      <c r="C12" s="52"/>
      <c r="D12" s="36" t="s">
        <v>711</v>
      </c>
      <c r="E12" s="37"/>
      <c r="F12" s="37"/>
      <c r="G12" s="38"/>
      <c r="H12" s="23"/>
      <c r="I12" s="23"/>
      <c r="J12" s="21"/>
      <c r="K12" s="23"/>
      <c r="L12" s="23"/>
      <c r="M12" s="76"/>
    </row>
    <row r="13" spans="1:13" s="1" customFormat="1" ht="14.1" customHeight="1">
      <c r="A13" s="40">
        <v>6</v>
      </c>
      <c r="B13" s="56" t="s">
        <v>712</v>
      </c>
      <c r="C13" s="56"/>
      <c r="D13" s="55"/>
      <c r="E13" s="55"/>
      <c r="F13" s="55"/>
      <c r="G13" s="55"/>
      <c r="H13" s="51">
        <f>SUM(I13)-0.8</f>
        <v>5.9</v>
      </c>
      <c r="I13" s="51">
        <f>SUM(J13)-0.8</f>
        <v>6.7</v>
      </c>
      <c r="J13" s="60">
        <v>7.5</v>
      </c>
      <c r="K13" s="51">
        <f>SUM(J13)+0.3</f>
        <v>7.8</v>
      </c>
      <c r="L13" s="51">
        <f t="shared" ref="L13:M13" si="4">SUM(K13)+0.3</f>
        <v>8.1</v>
      </c>
      <c r="M13" s="75">
        <f t="shared" si="4"/>
        <v>8.4</v>
      </c>
    </row>
    <row r="14" spans="1:13" s="1" customFormat="1" ht="14.1" customHeight="1">
      <c r="A14" s="40"/>
      <c r="B14" s="52" t="s">
        <v>713</v>
      </c>
      <c r="C14" s="52"/>
      <c r="D14" s="36" t="s">
        <v>714</v>
      </c>
      <c r="E14" s="37"/>
      <c r="F14" s="37"/>
      <c r="G14" s="38"/>
      <c r="H14" s="23"/>
      <c r="I14" s="23"/>
      <c r="J14" s="21"/>
      <c r="K14" s="23"/>
      <c r="L14" s="23"/>
      <c r="M14" s="76"/>
    </row>
    <row r="15" spans="1:13" s="1" customFormat="1" ht="14.1" customHeight="1">
      <c r="A15" s="40">
        <v>7</v>
      </c>
      <c r="B15" s="56" t="s">
        <v>10</v>
      </c>
      <c r="C15" s="56"/>
      <c r="D15" s="55" t="s">
        <v>0</v>
      </c>
      <c r="E15" s="55"/>
      <c r="F15" s="55"/>
      <c r="G15" s="55"/>
      <c r="H15" s="51">
        <f>SUM(I15)-0.8</f>
        <v>15.399999999999999</v>
      </c>
      <c r="I15" s="51">
        <f>SUM(J15)-0.8</f>
        <v>16.2</v>
      </c>
      <c r="J15" s="39">
        <v>17</v>
      </c>
      <c r="K15" s="51">
        <f>SUM(J15)+0.8</f>
        <v>17.8</v>
      </c>
      <c r="L15" s="51">
        <f t="shared" ref="L15:M15" si="5">SUM(K15)+0.8</f>
        <v>18.600000000000001</v>
      </c>
      <c r="M15" s="75">
        <f t="shared" si="5"/>
        <v>19.400000000000002</v>
      </c>
    </row>
    <row r="16" spans="1:13" s="1" customFormat="1" ht="14.1" customHeight="1">
      <c r="A16" s="40"/>
      <c r="B16" s="52" t="s">
        <v>26</v>
      </c>
      <c r="C16" s="52"/>
      <c r="D16" s="36" t="s">
        <v>47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6" s="1" customFormat="1" ht="14.1" customHeight="1">
      <c r="A17" s="40">
        <v>8</v>
      </c>
      <c r="B17" s="56" t="s">
        <v>1</v>
      </c>
      <c r="C17" s="56"/>
      <c r="D17" s="55" t="s">
        <v>145</v>
      </c>
      <c r="E17" s="55"/>
      <c r="F17" s="55"/>
      <c r="G17" s="55"/>
      <c r="H17" s="51">
        <f>SUM(I17)-0.6</f>
        <v>13.100000000000001</v>
      </c>
      <c r="I17" s="51">
        <f>SUM(J17)-0.6</f>
        <v>13.700000000000001</v>
      </c>
      <c r="J17" s="39">
        <v>14.3</v>
      </c>
      <c r="K17" s="32">
        <f>SUM(J17)+0.6</f>
        <v>14.9</v>
      </c>
      <c r="L17" s="32">
        <f>SUM(K17)+0.6</f>
        <v>15.5</v>
      </c>
      <c r="M17" s="82">
        <f>SUM(L17)+0.6</f>
        <v>16.100000000000001</v>
      </c>
    </row>
    <row r="18" spans="1:16" s="1" customFormat="1" ht="14.1" customHeight="1">
      <c r="A18" s="40"/>
      <c r="B18" s="52" t="s">
        <v>27</v>
      </c>
      <c r="C18" s="52"/>
      <c r="D18" s="36" t="s">
        <v>48</v>
      </c>
      <c r="E18" s="37"/>
      <c r="F18" s="37"/>
      <c r="G18" s="38"/>
      <c r="H18" s="23"/>
      <c r="I18" s="23"/>
      <c r="J18" s="39"/>
      <c r="K18" s="32"/>
      <c r="L18" s="32"/>
      <c r="M18" s="82"/>
      <c r="P18" s="1" t="s">
        <v>567</v>
      </c>
    </row>
    <row r="19" spans="1:16" s="1" customFormat="1" ht="14.1" customHeight="1">
      <c r="A19" s="40">
        <v>9</v>
      </c>
      <c r="B19" s="56" t="s">
        <v>2</v>
      </c>
      <c r="C19" s="56"/>
      <c r="D19" s="55" t="s">
        <v>3</v>
      </c>
      <c r="E19" s="55"/>
      <c r="F19" s="55"/>
      <c r="G19" s="55"/>
      <c r="H19" s="51">
        <f>SUM(I19)-0.3</f>
        <v>6.7</v>
      </c>
      <c r="I19" s="51">
        <f>SUM(J19)-0.3</f>
        <v>7</v>
      </c>
      <c r="J19" s="39">
        <v>7.3</v>
      </c>
      <c r="K19" s="32">
        <f>SUM(J19)+0.3</f>
        <v>7.6</v>
      </c>
      <c r="L19" s="32">
        <f>SUM(K19)+0.3</f>
        <v>7.8999999999999995</v>
      </c>
      <c r="M19" s="131">
        <f>SUM(L19)+0.3</f>
        <v>8.1999999999999993</v>
      </c>
      <c r="P19" s="1">
        <f>SUM(H33+I33+J33+K33+L33+M33)/6/91.44*1.08</f>
        <v>0.12047244094488192</v>
      </c>
    </row>
    <row r="20" spans="1:16" s="1" customFormat="1" ht="14.1" customHeight="1">
      <c r="A20" s="40"/>
      <c r="B20" s="52" t="s">
        <v>28</v>
      </c>
      <c r="C20" s="52"/>
      <c r="D20" s="36" t="s">
        <v>49</v>
      </c>
      <c r="E20" s="37"/>
      <c r="F20" s="37"/>
      <c r="G20" s="38"/>
      <c r="H20" s="23"/>
      <c r="I20" s="23"/>
      <c r="J20" s="39"/>
      <c r="K20" s="32"/>
      <c r="L20" s="32"/>
      <c r="M20" s="131"/>
    </row>
    <row r="21" spans="1:16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51">
        <f>SUM(I21)-1.6</f>
        <v>35.099999999999994</v>
      </c>
      <c r="I21" s="51">
        <f>SUM(J21)-1.6</f>
        <v>36.699999999999996</v>
      </c>
      <c r="J21" s="39">
        <v>38.299999999999997</v>
      </c>
      <c r="K21" s="32">
        <f>SUM(J21)+1.6</f>
        <v>39.9</v>
      </c>
      <c r="L21" s="32">
        <f>SUM(K21)+1.6</f>
        <v>41.5</v>
      </c>
      <c r="M21" s="131">
        <f>SUM(L21)+1.6</f>
        <v>43.1</v>
      </c>
    </row>
    <row r="22" spans="1:16" s="1" customFormat="1" ht="14.1" customHeight="1">
      <c r="A22" s="40"/>
      <c r="B22" s="52" t="s">
        <v>35</v>
      </c>
      <c r="C22" s="52"/>
      <c r="D22" s="36" t="s">
        <v>85</v>
      </c>
      <c r="E22" s="37"/>
      <c r="F22" s="37"/>
      <c r="G22" s="38"/>
      <c r="H22" s="23"/>
      <c r="I22" s="23"/>
      <c r="J22" s="39"/>
      <c r="K22" s="32"/>
      <c r="L22" s="32"/>
      <c r="M22" s="131"/>
    </row>
    <row r="23" spans="1:16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SUM(I23)-3.4</f>
        <v>27.6</v>
      </c>
      <c r="I23" s="51">
        <f>SUM(J23)-3.4</f>
        <v>31</v>
      </c>
      <c r="J23" s="39">
        <v>34.4</v>
      </c>
      <c r="K23" s="32">
        <f>SUM(J23)+3.5</f>
        <v>37.9</v>
      </c>
      <c r="L23" s="32">
        <f t="shared" ref="L23:M23" si="6">SUM(K23)+3.5</f>
        <v>41.4</v>
      </c>
      <c r="M23" s="82">
        <f t="shared" si="6"/>
        <v>44.9</v>
      </c>
    </row>
    <row r="24" spans="1:16" s="1" customFormat="1" ht="14.1" customHeight="1">
      <c r="A24" s="40"/>
      <c r="B24" s="52" t="s">
        <v>29</v>
      </c>
      <c r="C24" s="52"/>
      <c r="D24" s="36" t="s">
        <v>50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6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6">
        <f>SUM(I25)-1.5</f>
        <v>29</v>
      </c>
      <c r="I25" s="56">
        <f>SUM(J25)-1.5</f>
        <v>30.5</v>
      </c>
      <c r="J25" s="149">
        <v>32</v>
      </c>
      <c r="K25" s="128">
        <f>SUM(J25)+1.5</f>
        <v>33.5</v>
      </c>
      <c r="L25" s="128">
        <f t="shared" ref="L25:M25" si="7">SUM(K25)+1.5</f>
        <v>35</v>
      </c>
      <c r="M25" s="131">
        <f t="shared" si="7"/>
        <v>36.5</v>
      </c>
    </row>
    <row r="26" spans="1:16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52"/>
      <c r="I26" s="52"/>
      <c r="J26" s="149"/>
      <c r="K26" s="128"/>
      <c r="L26" s="128"/>
      <c r="M26" s="131"/>
    </row>
    <row r="27" spans="1:16" s="1" customFormat="1" ht="14.1" customHeight="1">
      <c r="A27" s="40">
        <v>13</v>
      </c>
      <c r="B27" s="49" t="s">
        <v>68</v>
      </c>
      <c r="C27" s="50"/>
      <c r="D27" s="55" t="s">
        <v>69</v>
      </c>
      <c r="E27" s="55"/>
      <c r="F27" s="55"/>
      <c r="G27" s="55"/>
      <c r="H27" s="51">
        <f>SUM(I27)-0.6</f>
        <v>14</v>
      </c>
      <c r="I27" s="51">
        <f>SUM(J27)-0.6</f>
        <v>14.6</v>
      </c>
      <c r="J27" s="39">
        <v>15.2</v>
      </c>
      <c r="K27" s="32">
        <f>SUM(J27)+0.6</f>
        <v>15.799999999999999</v>
      </c>
      <c r="L27" s="32">
        <f t="shared" ref="L27:M27" si="8">SUM(K27)+0.6</f>
        <v>16.399999999999999</v>
      </c>
      <c r="M27" s="82">
        <f t="shared" si="8"/>
        <v>17</v>
      </c>
    </row>
    <row r="28" spans="1:16" s="1" customFormat="1" ht="14.1" customHeight="1">
      <c r="A28" s="40"/>
      <c r="B28" s="52" t="s">
        <v>31</v>
      </c>
      <c r="C28" s="52"/>
      <c r="D28" s="36" t="s">
        <v>70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6" s="1" customFormat="1" ht="14.1" customHeight="1">
      <c r="A29" s="40">
        <v>14</v>
      </c>
      <c r="B29" s="56" t="s">
        <v>77</v>
      </c>
      <c r="C29" s="56"/>
      <c r="D29" s="57" t="s">
        <v>78</v>
      </c>
      <c r="E29" s="58"/>
      <c r="F29" s="58"/>
      <c r="G29" s="59"/>
      <c r="H29" s="51">
        <f>SUM(I29)-1</f>
        <v>28.5</v>
      </c>
      <c r="I29" s="51">
        <f>SUM(J29)-1</f>
        <v>29.5</v>
      </c>
      <c r="J29" s="39">
        <v>30.5</v>
      </c>
      <c r="K29" s="32">
        <f>SUM(J29)+1</f>
        <v>31.5</v>
      </c>
      <c r="L29" s="32">
        <f t="shared" ref="L29:M29" si="9">SUM(K29)+1</f>
        <v>32.5</v>
      </c>
      <c r="M29" s="82">
        <f t="shared" si="9"/>
        <v>33.5</v>
      </c>
    </row>
    <row r="30" spans="1:16" s="1" customFormat="1" ht="14.1" customHeight="1">
      <c r="A30" s="40"/>
      <c r="B30" s="52" t="s">
        <v>32</v>
      </c>
      <c r="C30" s="52"/>
      <c r="D30" s="36" t="s">
        <v>79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6" ht="14.1" customHeight="1">
      <c r="A31" s="40">
        <v>15</v>
      </c>
      <c r="B31" s="56" t="s">
        <v>80</v>
      </c>
      <c r="C31" s="56"/>
      <c r="D31" s="57" t="s">
        <v>81</v>
      </c>
      <c r="E31" s="58"/>
      <c r="F31" s="58"/>
      <c r="G31" s="59"/>
      <c r="H31" s="51">
        <f>SUM(I31)-0.8</f>
        <v>19.799999999999997</v>
      </c>
      <c r="I31" s="51">
        <f>SUM(J31)-0.8</f>
        <v>20.599999999999998</v>
      </c>
      <c r="J31" s="39">
        <v>21.4</v>
      </c>
      <c r="K31" s="32">
        <f>SUM(J31)+0.8</f>
        <v>22.2</v>
      </c>
      <c r="L31" s="32">
        <f t="shared" ref="L31:M31" si="10">SUM(K31)+0.8</f>
        <v>23</v>
      </c>
      <c r="M31" s="82">
        <f t="shared" si="10"/>
        <v>23.8</v>
      </c>
    </row>
    <row r="32" spans="1:16" ht="14.1" customHeight="1">
      <c r="A32" s="40"/>
      <c r="B32" s="52" t="s">
        <v>33</v>
      </c>
      <c r="C32" s="52"/>
      <c r="D32" s="36" t="s">
        <v>82</v>
      </c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56" t="s">
        <v>715</v>
      </c>
      <c r="C33" s="56"/>
      <c r="D33" s="57"/>
      <c r="E33" s="58"/>
      <c r="F33" s="58"/>
      <c r="G33" s="59"/>
      <c r="H33" s="51">
        <f>SUM(I33)-0.4</f>
        <v>9.1999999999999993</v>
      </c>
      <c r="I33" s="51">
        <f>SUM(J33)-0.4</f>
        <v>9.6</v>
      </c>
      <c r="J33" s="39">
        <v>10</v>
      </c>
      <c r="K33" s="32">
        <f>SUM(J33)+0.4</f>
        <v>10.4</v>
      </c>
      <c r="L33" s="32">
        <f t="shared" ref="L33:M33" si="11">SUM(K33)+0.4</f>
        <v>10.8</v>
      </c>
      <c r="M33" s="82">
        <f t="shared" si="11"/>
        <v>11.200000000000001</v>
      </c>
    </row>
    <row r="34" spans="1:13" ht="14.1" customHeight="1">
      <c r="A34" s="40"/>
      <c r="B34" s="52" t="s">
        <v>716</v>
      </c>
      <c r="C34" s="52"/>
      <c r="D34" s="36" t="s">
        <v>717</v>
      </c>
      <c r="E34" s="37"/>
      <c r="F34" s="37"/>
      <c r="G34" s="38"/>
      <c r="H34" s="23"/>
      <c r="I34" s="23"/>
      <c r="J34" s="39"/>
      <c r="K34" s="32"/>
      <c r="L34" s="32"/>
      <c r="M34" s="82"/>
    </row>
    <row r="35" spans="1:13" ht="14.1" customHeight="1">
      <c r="A35" s="40">
        <v>17</v>
      </c>
      <c r="B35" s="49" t="s">
        <v>214</v>
      </c>
      <c r="C35" s="50"/>
      <c r="D35" s="93"/>
      <c r="E35" s="94"/>
      <c r="F35" s="94"/>
      <c r="G35" s="95"/>
      <c r="H35" s="51">
        <v>22</v>
      </c>
      <c r="I35" s="51">
        <v>25</v>
      </c>
      <c r="J35" s="60">
        <v>27.5</v>
      </c>
      <c r="K35" s="51">
        <v>29.5</v>
      </c>
      <c r="L35" s="51">
        <v>32</v>
      </c>
      <c r="M35" s="75">
        <v>34</v>
      </c>
    </row>
    <row r="36" spans="1:13" ht="14.1" customHeight="1">
      <c r="A36" s="40"/>
      <c r="B36" s="53" t="s">
        <v>215</v>
      </c>
      <c r="C36" s="54"/>
      <c r="D36" s="67" t="s">
        <v>216</v>
      </c>
      <c r="E36" s="68"/>
      <c r="F36" s="68"/>
      <c r="G36" s="69"/>
      <c r="H36" s="23"/>
      <c r="I36" s="23"/>
      <c r="J36" s="21"/>
      <c r="K36" s="23"/>
      <c r="L36" s="23"/>
      <c r="M36" s="76"/>
    </row>
    <row r="37" spans="1:13" ht="14.1" customHeight="1">
      <c r="A37" s="40">
        <v>18</v>
      </c>
      <c r="B37" s="49" t="s">
        <v>141</v>
      </c>
      <c r="C37" s="50"/>
      <c r="D37" s="58"/>
      <c r="E37" s="58"/>
      <c r="F37" s="58"/>
      <c r="G37" s="58"/>
      <c r="H37" s="51">
        <f>SUM(I37)-0.5</f>
        <v>9</v>
      </c>
      <c r="I37" s="51">
        <f>SUM(J37)-0.5</f>
        <v>9.5</v>
      </c>
      <c r="J37" s="60">
        <v>10</v>
      </c>
      <c r="K37" s="51">
        <f>SUM(J37)+0.5</f>
        <v>10.5</v>
      </c>
      <c r="L37" s="51">
        <f t="shared" ref="L37:M37" si="12">SUM(K37)+0.5</f>
        <v>11</v>
      </c>
      <c r="M37" s="75">
        <f t="shared" si="12"/>
        <v>11.5</v>
      </c>
    </row>
    <row r="38" spans="1:13" ht="14.1" customHeight="1">
      <c r="A38" s="40"/>
      <c r="B38" s="34" t="s">
        <v>140</v>
      </c>
      <c r="C38" s="35"/>
      <c r="D38" s="36" t="s">
        <v>680</v>
      </c>
      <c r="E38" s="37"/>
      <c r="F38" s="37"/>
      <c r="G38" s="38"/>
      <c r="H38" s="23"/>
      <c r="I38" s="23"/>
      <c r="J38" s="21"/>
      <c r="K38" s="23"/>
      <c r="L38" s="23"/>
      <c r="M38" s="76"/>
    </row>
    <row r="39" spans="1:13" ht="14.1" customHeight="1">
      <c r="A39" s="40">
        <v>19</v>
      </c>
      <c r="B39" s="49" t="s">
        <v>139</v>
      </c>
      <c r="C39" s="50"/>
      <c r="D39" s="57"/>
      <c r="E39" s="58"/>
      <c r="F39" s="58"/>
      <c r="G39" s="59"/>
      <c r="H39" s="51">
        <f>SUM(I39)-0.4</f>
        <v>5.1999999999999993</v>
      </c>
      <c r="I39" s="51">
        <f>SUM(J39)-0.4</f>
        <v>5.6</v>
      </c>
      <c r="J39" s="39">
        <v>6</v>
      </c>
      <c r="K39" s="32">
        <f>SUM(J39)+0.4</f>
        <v>6.4</v>
      </c>
      <c r="L39" s="32">
        <f t="shared" ref="L39:M39" si="13">SUM(K39)+0.4</f>
        <v>6.8000000000000007</v>
      </c>
      <c r="M39" s="82">
        <f t="shared" si="13"/>
        <v>7.2000000000000011</v>
      </c>
    </row>
    <row r="40" spans="1:13" ht="14.1" customHeight="1">
      <c r="A40" s="40"/>
      <c r="B40" s="34" t="s">
        <v>138</v>
      </c>
      <c r="C40" s="35"/>
      <c r="D40" s="36" t="s">
        <v>718</v>
      </c>
      <c r="E40" s="37"/>
      <c r="F40" s="37"/>
      <c r="G40" s="38"/>
      <c r="H40" s="23"/>
      <c r="I40" s="23"/>
      <c r="J40" s="39"/>
      <c r="K40" s="32"/>
      <c r="L40" s="32"/>
      <c r="M40" s="82"/>
    </row>
    <row r="41" spans="1:13" ht="14.1" customHeight="1">
      <c r="A41" s="40">
        <v>20</v>
      </c>
      <c r="B41" s="53"/>
      <c r="C41" s="54"/>
      <c r="D41" s="67"/>
      <c r="E41" s="68"/>
      <c r="F41" s="68"/>
      <c r="G41" s="69"/>
      <c r="H41" s="51"/>
      <c r="I41" s="51"/>
      <c r="J41" s="39"/>
      <c r="K41" s="32"/>
      <c r="L41" s="32"/>
      <c r="M41" s="82"/>
    </row>
    <row r="42" spans="1:13" ht="14.1" customHeight="1">
      <c r="A42" s="40"/>
      <c r="B42" s="34"/>
      <c r="C42" s="35"/>
      <c r="D42" s="36"/>
      <c r="E42" s="37"/>
      <c r="F42" s="37"/>
      <c r="G42" s="38"/>
      <c r="H42" s="23"/>
      <c r="I42" s="23"/>
      <c r="J42" s="39"/>
      <c r="K42" s="32"/>
      <c r="L42" s="32"/>
      <c r="M42" s="82"/>
    </row>
    <row r="43" spans="1:13" ht="14.1" customHeight="1">
      <c r="A43" s="40">
        <v>21</v>
      </c>
      <c r="B43" s="49"/>
      <c r="C43" s="50"/>
      <c r="D43" s="93"/>
      <c r="E43" s="94"/>
      <c r="F43" s="94"/>
      <c r="G43" s="95"/>
      <c r="H43" s="51"/>
      <c r="I43" s="51"/>
      <c r="J43" s="60"/>
      <c r="K43" s="51"/>
      <c r="L43" s="51"/>
      <c r="M43" s="75"/>
    </row>
    <row r="44" spans="1:13" ht="14.1" customHeight="1" thickBot="1">
      <c r="A44" s="41"/>
      <c r="B44" s="27"/>
      <c r="C44" s="28"/>
      <c r="D44" s="29"/>
      <c r="E44" s="30"/>
      <c r="F44" s="30"/>
      <c r="G44" s="31"/>
      <c r="H44" s="48"/>
      <c r="I44" s="48"/>
      <c r="J44" s="110"/>
      <c r="K44" s="48"/>
      <c r="L44" s="48"/>
      <c r="M44" s="109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4CDC-5AF7-4838-AC4D-B03D33870598}">
  <sheetPr>
    <tabColor theme="5"/>
    <pageSetUpPr fitToPage="1"/>
  </sheetPr>
  <dimension ref="A1:N51"/>
  <sheetViews>
    <sheetView zoomScale="110" zoomScaleNormal="110" workbookViewId="0">
      <selection activeCell="H3" sqref="H3:H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660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33.800000000000004</v>
      </c>
      <c r="I3" s="51">
        <f>SUM(J3)-3.4</f>
        <v>37.200000000000003</v>
      </c>
      <c r="J3" s="114">
        <v>40.6</v>
      </c>
      <c r="K3" s="70">
        <f>SUM(J3)+2.9</f>
        <v>43.5</v>
      </c>
      <c r="L3" s="70">
        <f>SUM(K3)+2.9</f>
        <v>46.4</v>
      </c>
      <c r="M3" s="84">
        <f>SUM(L3)+2.9</f>
        <v>49.3</v>
      </c>
    </row>
    <row r="4" spans="1:14" s="1" customFormat="1" ht="14.1" customHeight="1">
      <c r="A4" s="40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60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34.200000000000003</v>
      </c>
      <c r="I5" s="51">
        <f>SUM(J5)-2</f>
        <v>36.200000000000003</v>
      </c>
      <c r="J5" s="60">
        <v>38.200000000000003</v>
      </c>
      <c r="K5" s="51">
        <f>SUM(J5)+1.8</f>
        <v>40</v>
      </c>
      <c r="L5" s="51">
        <f>SUM(K5)+1.8</f>
        <v>41.8</v>
      </c>
      <c r="M5" s="75">
        <f>SUM(L5)+1.8</f>
        <v>43.599999999999994</v>
      </c>
    </row>
    <row r="6" spans="1:14" s="1" customFormat="1" ht="14.1" customHeight="1">
      <c r="A6" s="40"/>
      <c r="B6" s="52" t="s">
        <v>340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SUM(I7)-2.25</f>
        <v>36.5</v>
      </c>
      <c r="I7" s="51">
        <f>SUM(J7)-2.25</f>
        <v>38.75</v>
      </c>
      <c r="J7" s="60">
        <v>41</v>
      </c>
      <c r="K7" s="51">
        <f>SUM(J7)+2</f>
        <v>43</v>
      </c>
      <c r="L7" s="51">
        <f>SUM(K7)+2</f>
        <v>45</v>
      </c>
      <c r="M7" s="75">
        <f>SUM(L7)+2</f>
        <v>47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661</v>
      </c>
      <c r="C9" s="56"/>
      <c r="D9" s="55" t="s">
        <v>8</v>
      </c>
      <c r="E9" s="55"/>
      <c r="F9" s="55"/>
      <c r="G9" s="55"/>
      <c r="H9" s="51">
        <f>SUM(I9)-2.25</f>
        <v>35</v>
      </c>
      <c r="I9" s="51">
        <f>SUM(J9)-2.25</f>
        <v>37.25</v>
      </c>
      <c r="J9" s="60">
        <v>39.5</v>
      </c>
      <c r="K9" s="51">
        <f>SUM(J9)+2</f>
        <v>41.5</v>
      </c>
      <c r="L9" s="51">
        <f>SUM(K9)+2</f>
        <v>43.5</v>
      </c>
      <c r="M9" s="75">
        <f>SUM(L9)+2</f>
        <v>45.5</v>
      </c>
      <c r="N9" s="1" t="s">
        <v>173</v>
      </c>
    </row>
    <row r="10" spans="1:14" s="1" customFormat="1" ht="14.1" customHeight="1">
      <c r="A10" s="40"/>
      <c r="B10" s="52" t="s">
        <v>662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663</v>
      </c>
      <c r="C11" s="56"/>
      <c r="D11" s="55" t="s">
        <v>8</v>
      </c>
      <c r="E11" s="55"/>
      <c r="F11" s="55"/>
      <c r="G11" s="55"/>
      <c r="H11" s="51">
        <f>SUM(I11)-2</f>
        <v>33.200000000000003</v>
      </c>
      <c r="I11" s="51">
        <f>SUM(J11)-2</f>
        <v>35.200000000000003</v>
      </c>
      <c r="J11" s="60">
        <v>37.200000000000003</v>
      </c>
      <c r="K11" s="51">
        <f>SUM(J11)+1.8</f>
        <v>39</v>
      </c>
      <c r="L11" s="51">
        <f>SUM(K11)+1.8</f>
        <v>40.799999999999997</v>
      </c>
      <c r="M11" s="75">
        <f>SUM(L11)+1.8</f>
        <v>42.599999999999994</v>
      </c>
    </row>
    <row r="12" spans="1:14" s="1" customFormat="1" ht="14.1" customHeight="1">
      <c r="A12" s="40"/>
      <c r="B12" s="52" t="s">
        <v>664</v>
      </c>
      <c r="C12" s="52"/>
      <c r="D12" s="36" t="s">
        <v>46</v>
      </c>
      <c r="E12" s="37"/>
      <c r="F12" s="37"/>
      <c r="G12" s="38"/>
      <c r="H12" s="23"/>
      <c r="I12" s="23"/>
      <c r="J12" s="21"/>
      <c r="K12" s="23"/>
      <c r="L12" s="23"/>
      <c r="M12" s="76"/>
    </row>
    <row r="13" spans="1:14" s="1" customFormat="1" ht="14.1" customHeight="1">
      <c r="A13" s="40">
        <v>6</v>
      </c>
      <c r="B13" s="56" t="s">
        <v>342</v>
      </c>
      <c r="C13" s="56"/>
      <c r="D13" s="55"/>
      <c r="E13" s="55"/>
      <c r="F13" s="55"/>
      <c r="G13" s="55"/>
      <c r="H13" s="51">
        <f>SUM(I13)-0</f>
        <v>4.5</v>
      </c>
      <c r="I13" s="51">
        <f>SUM(J13)-0</f>
        <v>4.5</v>
      </c>
      <c r="J13" s="60">
        <v>4.5</v>
      </c>
      <c r="K13" s="51">
        <f>SUM(J13)+0.5</f>
        <v>5</v>
      </c>
      <c r="L13" s="51">
        <f>SUM(K13)+0</f>
        <v>5</v>
      </c>
      <c r="M13" s="75">
        <f>SUM(L13)+0</f>
        <v>5</v>
      </c>
    </row>
    <row r="14" spans="1:14" s="1" customFormat="1" ht="14.1" customHeight="1">
      <c r="A14" s="40"/>
      <c r="B14" s="52" t="s">
        <v>343</v>
      </c>
      <c r="C14" s="52"/>
      <c r="D14" s="36"/>
      <c r="E14" s="37"/>
      <c r="F14" s="37"/>
      <c r="G14" s="38"/>
      <c r="H14" s="23"/>
      <c r="I14" s="23"/>
      <c r="J14" s="21"/>
      <c r="K14" s="23"/>
      <c r="L14" s="23"/>
      <c r="M14" s="76"/>
    </row>
    <row r="15" spans="1:14" s="1" customFormat="1" ht="14.1" customHeight="1">
      <c r="A15" s="40">
        <v>7</v>
      </c>
      <c r="B15" s="56" t="s">
        <v>10</v>
      </c>
      <c r="C15" s="56"/>
      <c r="D15" s="55" t="s">
        <v>0</v>
      </c>
      <c r="E15" s="55"/>
      <c r="F15" s="55"/>
      <c r="G15" s="55"/>
      <c r="H15" s="51">
        <f>SUM(I15)-0.8</f>
        <v>14.399999999999999</v>
      </c>
      <c r="I15" s="51">
        <f>SUM(J15)-0.8</f>
        <v>15.2</v>
      </c>
      <c r="J15" s="39">
        <v>16</v>
      </c>
      <c r="K15" s="51">
        <f>SUM(J15)+0.8</f>
        <v>16.8</v>
      </c>
      <c r="L15" s="51">
        <f>SUM(K15)+0.8</f>
        <v>17.600000000000001</v>
      </c>
      <c r="M15" s="75">
        <f>SUM(L15)+0.8</f>
        <v>18.400000000000002</v>
      </c>
    </row>
    <row r="16" spans="1:14" s="1" customFormat="1" ht="14.1" customHeight="1">
      <c r="A16" s="40"/>
      <c r="B16" s="52" t="s">
        <v>26</v>
      </c>
      <c r="C16" s="52"/>
      <c r="D16" s="36" t="s">
        <v>47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3" s="1" customFormat="1" ht="14.1" customHeight="1">
      <c r="A17" s="40">
        <v>8</v>
      </c>
      <c r="B17" s="56" t="s">
        <v>1</v>
      </c>
      <c r="C17" s="56"/>
      <c r="D17" s="55" t="s">
        <v>145</v>
      </c>
      <c r="E17" s="55"/>
      <c r="F17" s="55"/>
      <c r="G17" s="55"/>
      <c r="H17" s="51">
        <f>SUM(I17)-0.6</f>
        <v>14.200000000000001</v>
      </c>
      <c r="I17" s="51">
        <f>SUM(J17)-0.6</f>
        <v>14.8</v>
      </c>
      <c r="J17" s="39">
        <v>15.4</v>
      </c>
      <c r="K17" s="51">
        <f>SUM(J17)+0.6</f>
        <v>16</v>
      </c>
      <c r="L17" s="51">
        <f>SUM(K17)+0.6</f>
        <v>16.600000000000001</v>
      </c>
      <c r="M17" s="75">
        <f>SUM(L17)+0.6</f>
        <v>17.200000000000003</v>
      </c>
    </row>
    <row r="18" spans="1:13" s="1" customFormat="1" ht="14.1" customHeight="1">
      <c r="A18" s="40"/>
      <c r="B18" s="52" t="s">
        <v>27</v>
      </c>
      <c r="C18" s="52"/>
      <c r="D18" s="36" t="s">
        <v>48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40">
        <v>9</v>
      </c>
      <c r="B19" s="56" t="s">
        <v>2</v>
      </c>
      <c r="C19" s="56"/>
      <c r="D19" s="55" t="s">
        <v>3</v>
      </c>
      <c r="E19" s="55"/>
      <c r="F19" s="55"/>
      <c r="G19" s="55"/>
      <c r="H19" s="51">
        <f>SUM(I19)-0.3</f>
        <v>5.4</v>
      </c>
      <c r="I19" s="51">
        <f>SUM(J19)-0.3</f>
        <v>5.7</v>
      </c>
      <c r="J19" s="39">
        <v>6</v>
      </c>
      <c r="K19" s="51">
        <f>SUM(J19)+0.3</f>
        <v>6.3</v>
      </c>
      <c r="L19" s="51">
        <f>SUM(K19)+0.3</f>
        <v>6.6</v>
      </c>
      <c r="M19" s="75">
        <f>SUM(L19)+0.3</f>
        <v>6.8999999999999995</v>
      </c>
    </row>
    <row r="20" spans="1:13" s="1" customFormat="1" ht="14.1" customHeight="1">
      <c r="A20" s="40"/>
      <c r="B20" s="52" t="s">
        <v>28</v>
      </c>
      <c r="C20" s="52"/>
      <c r="D20" s="36" t="s">
        <v>49</v>
      </c>
      <c r="E20" s="37"/>
      <c r="F20" s="37"/>
      <c r="G20" s="38"/>
      <c r="H20" s="23"/>
      <c r="I20" s="23"/>
      <c r="J20" s="39"/>
      <c r="K20" s="23"/>
      <c r="L20" s="23"/>
      <c r="M20" s="76"/>
    </row>
    <row r="21" spans="1:13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51"/>
      <c r="I21" s="51"/>
      <c r="J21" s="39"/>
      <c r="K21" s="51"/>
      <c r="L21" s="51"/>
      <c r="M21" s="75"/>
    </row>
    <row r="22" spans="1:13" s="1" customFormat="1" ht="14.1" customHeight="1">
      <c r="A22" s="40"/>
      <c r="B22" s="52" t="s">
        <v>35</v>
      </c>
      <c r="C22" s="52"/>
      <c r="D22" s="36" t="s">
        <v>346</v>
      </c>
      <c r="E22" s="37"/>
      <c r="F22" s="37"/>
      <c r="G22" s="38"/>
      <c r="H22" s="23"/>
      <c r="I22" s="23"/>
      <c r="J22" s="39"/>
      <c r="K22" s="23"/>
      <c r="L22" s="23"/>
      <c r="M22" s="76"/>
    </row>
    <row r="23" spans="1:13" s="1" customFormat="1" ht="14.1" customHeight="1">
      <c r="A23" s="40">
        <v>11</v>
      </c>
      <c r="B23" s="49" t="s">
        <v>76</v>
      </c>
      <c r="C23" s="50"/>
      <c r="D23" s="58" t="s">
        <v>211</v>
      </c>
      <c r="E23" s="58"/>
      <c r="F23" s="58"/>
      <c r="G23" s="58"/>
      <c r="H23" s="51">
        <f>SUM(I23)-0.2</f>
        <v>7.3999999999999995</v>
      </c>
      <c r="I23" s="51">
        <f>SUM(J23)-0.2</f>
        <v>7.6</v>
      </c>
      <c r="J23" s="39">
        <v>7.8</v>
      </c>
      <c r="K23" s="51">
        <f>SUM(J23)+0.2</f>
        <v>8</v>
      </c>
      <c r="L23" s="51">
        <f>SUM(K23)+0.2</f>
        <v>8.1999999999999993</v>
      </c>
      <c r="M23" s="75">
        <f>SUM(L23)+0.2</f>
        <v>8.3999999999999986</v>
      </c>
    </row>
    <row r="24" spans="1:13" s="1" customFormat="1" ht="14.1" customHeight="1">
      <c r="A24" s="40"/>
      <c r="B24" s="105" t="s">
        <v>36</v>
      </c>
      <c r="C24" s="105"/>
      <c r="D24" s="67" t="s">
        <v>212</v>
      </c>
      <c r="E24" s="68"/>
      <c r="F24" s="68"/>
      <c r="G24" s="69"/>
      <c r="H24" s="23"/>
      <c r="I24" s="23"/>
      <c r="J24" s="39"/>
      <c r="K24" s="23"/>
      <c r="L24" s="23"/>
      <c r="M24" s="76"/>
    </row>
    <row r="25" spans="1:13" s="1" customFormat="1" ht="14.1" customHeight="1">
      <c r="A25" s="40">
        <v>12</v>
      </c>
      <c r="B25" s="56" t="s">
        <v>4</v>
      </c>
      <c r="C25" s="56"/>
      <c r="D25" s="55" t="s">
        <v>5</v>
      </c>
      <c r="E25" s="55"/>
      <c r="F25" s="55"/>
      <c r="G25" s="55"/>
      <c r="H25" s="51">
        <f>SUM(I25)-3.6</f>
        <v>29.199999999999996</v>
      </c>
      <c r="I25" s="51">
        <f>SUM(J25)-3.6</f>
        <v>32.799999999999997</v>
      </c>
      <c r="J25" s="39">
        <v>36.4</v>
      </c>
      <c r="K25" s="51">
        <f>SUM(J25)+3.6</f>
        <v>40</v>
      </c>
      <c r="L25" s="51">
        <f>SUM(K25)+3.6</f>
        <v>43.6</v>
      </c>
      <c r="M25" s="75">
        <f>SUM(L25)+3.6</f>
        <v>47.2</v>
      </c>
    </row>
    <row r="26" spans="1:13" s="1" customFormat="1" ht="14.1" customHeight="1">
      <c r="A26" s="40"/>
      <c r="B26" s="52" t="s">
        <v>347</v>
      </c>
      <c r="C26" s="52"/>
      <c r="D26" s="36" t="s">
        <v>50</v>
      </c>
      <c r="E26" s="37"/>
      <c r="F26" s="37"/>
      <c r="G26" s="38"/>
      <c r="H26" s="23"/>
      <c r="I26" s="23"/>
      <c r="J26" s="39"/>
      <c r="K26" s="23"/>
      <c r="L26" s="23"/>
      <c r="M26" s="76"/>
    </row>
    <row r="27" spans="1:13" s="1" customFormat="1" ht="14.1" customHeight="1">
      <c r="A27" s="40">
        <v>13</v>
      </c>
      <c r="B27" s="56" t="s">
        <v>6</v>
      </c>
      <c r="C27" s="56"/>
      <c r="D27" s="57" t="s">
        <v>7</v>
      </c>
      <c r="E27" s="58"/>
      <c r="F27" s="58"/>
      <c r="G27" s="59"/>
      <c r="H27" s="51">
        <f>SUM(I27)-1.6</f>
        <v>28.799999999999997</v>
      </c>
      <c r="I27" s="51">
        <f>SUM(J27)-1.6</f>
        <v>30.4</v>
      </c>
      <c r="J27" s="39">
        <v>32</v>
      </c>
      <c r="K27" s="51">
        <f>SUM(J27)+1.6</f>
        <v>33.6</v>
      </c>
      <c r="L27" s="51">
        <f>SUM(K27)+1.6</f>
        <v>35.200000000000003</v>
      </c>
      <c r="M27" s="75">
        <f>SUM(L27)+1.6</f>
        <v>36.800000000000004</v>
      </c>
    </row>
    <row r="28" spans="1:13" s="1" customFormat="1" ht="14.1" customHeight="1">
      <c r="A28" s="40"/>
      <c r="B28" s="52" t="s">
        <v>30</v>
      </c>
      <c r="C28" s="52"/>
      <c r="D28" s="36" t="s">
        <v>67</v>
      </c>
      <c r="E28" s="37"/>
      <c r="F28" s="37"/>
      <c r="G28" s="38"/>
      <c r="H28" s="23"/>
      <c r="I28" s="23"/>
      <c r="J28" s="39"/>
      <c r="K28" s="23"/>
      <c r="L28" s="23"/>
      <c r="M28" s="76"/>
    </row>
    <row r="29" spans="1:13" s="1" customFormat="1" ht="14.1" customHeight="1">
      <c r="A29" s="40">
        <v>14</v>
      </c>
      <c r="B29" s="49" t="s">
        <v>99</v>
      </c>
      <c r="C29" s="50"/>
      <c r="D29" s="55" t="s">
        <v>69</v>
      </c>
      <c r="E29" s="55"/>
      <c r="F29" s="55"/>
      <c r="G29" s="55"/>
      <c r="H29" s="51">
        <f>SUM(I29)-1</f>
        <v>17</v>
      </c>
      <c r="I29" s="51">
        <f>SUM(J29)-1</f>
        <v>18</v>
      </c>
      <c r="J29" s="39">
        <v>19</v>
      </c>
      <c r="K29" s="51">
        <f>SUM(J29)+1</f>
        <v>20</v>
      </c>
      <c r="L29" s="51">
        <f>SUM(K29)+1</f>
        <v>21</v>
      </c>
      <c r="M29" s="75">
        <f>SUM(L29)+1</f>
        <v>22</v>
      </c>
    </row>
    <row r="30" spans="1:13" s="1" customFormat="1" ht="14.1" customHeight="1">
      <c r="A30" s="111"/>
      <c r="B30" s="105" t="s">
        <v>827</v>
      </c>
      <c r="C30" s="105"/>
      <c r="D30" s="67" t="s">
        <v>70</v>
      </c>
      <c r="E30" s="68"/>
      <c r="F30" s="68"/>
      <c r="G30" s="69"/>
      <c r="H30" s="23"/>
      <c r="I30" s="23"/>
      <c r="J30" s="39"/>
      <c r="K30" s="23"/>
      <c r="L30" s="23"/>
      <c r="M30" s="76"/>
    </row>
    <row r="31" spans="1:13" ht="13.5" customHeight="1">
      <c r="A31" s="40">
        <v>15</v>
      </c>
      <c r="B31" s="49" t="s">
        <v>348</v>
      </c>
      <c r="C31" s="50"/>
      <c r="D31" s="57"/>
      <c r="E31" s="58"/>
      <c r="F31" s="58"/>
      <c r="G31" s="59"/>
      <c r="H31" s="51">
        <f>SUM(I31)-0</f>
        <v>4</v>
      </c>
      <c r="I31" s="51">
        <f>SUM(J31)-0</f>
        <v>4</v>
      </c>
      <c r="J31" s="60">
        <v>4</v>
      </c>
      <c r="K31" s="51">
        <f>SUM(J31)+0.5</f>
        <v>4.5</v>
      </c>
      <c r="L31" s="51">
        <f>SUM(K31)+0</f>
        <v>4.5</v>
      </c>
      <c r="M31" s="75">
        <f>SUM(L31)+0</f>
        <v>4.5</v>
      </c>
    </row>
    <row r="32" spans="1:13" ht="14.1" customHeight="1">
      <c r="A32" s="111"/>
      <c r="B32" s="34" t="s">
        <v>349</v>
      </c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 t="s">
        <v>828</v>
      </c>
      <c r="C33" s="50"/>
      <c r="D33" s="55"/>
      <c r="E33" s="55"/>
      <c r="F33" s="55"/>
      <c r="G33" s="55"/>
      <c r="H33" s="51">
        <f>SUM(I33)-0.5</f>
        <v>11</v>
      </c>
      <c r="I33" s="51">
        <f>SUM(J33)-0.5</f>
        <v>11.5</v>
      </c>
      <c r="J33" s="39">
        <v>12</v>
      </c>
      <c r="K33" s="51">
        <f>SUM(J33)+0.5</f>
        <v>12.5</v>
      </c>
      <c r="L33" s="51">
        <f>SUM(K33)+0.5</f>
        <v>13</v>
      </c>
      <c r="M33" s="75">
        <f>SUM(L33)+0.5</f>
        <v>13.5</v>
      </c>
    </row>
    <row r="34" spans="1:13" ht="14.1" customHeight="1">
      <c r="A34" s="40"/>
      <c r="B34" s="34" t="s">
        <v>829</v>
      </c>
      <c r="C34" s="35"/>
      <c r="D34" s="36"/>
      <c r="E34" s="37"/>
      <c r="F34" s="37"/>
      <c r="G34" s="38"/>
      <c r="H34" s="23"/>
      <c r="I34" s="23"/>
      <c r="J34" s="39"/>
      <c r="K34" s="23"/>
      <c r="L34" s="23"/>
      <c r="M34" s="76"/>
    </row>
    <row r="35" spans="1:13" ht="14.1" customHeight="1">
      <c r="A35" s="40">
        <v>17</v>
      </c>
      <c r="B35" s="49" t="s">
        <v>830</v>
      </c>
      <c r="C35" s="50"/>
      <c r="D35" s="93"/>
      <c r="E35" s="94"/>
      <c r="F35" s="94"/>
      <c r="G35" s="95"/>
      <c r="H35" s="51">
        <f>SUM(I35)-0.5</f>
        <v>8.5</v>
      </c>
      <c r="I35" s="51">
        <f>SUM(J35)-0.5</f>
        <v>9</v>
      </c>
      <c r="J35" s="39">
        <v>9.5</v>
      </c>
      <c r="K35" s="51">
        <f>SUM(J35)+0.5</f>
        <v>10</v>
      </c>
      <c r="L35" s="51">
        <f>SUM(K35)+0.5</f>
        <v>10.5</v>
      </c>
      <c r="M35" s="75">
        <f>SUM(L35)+0.5</f>
        <v>11</v>
      </c>
    </row>
    <row r="36" spans="1:13" ht="14.1" customHeight="1">
      <c r="A36" s="111"/>
      <c r="B36" s="77" t="s">
        <v>832</v>
      </c>
      <c r="C36" s="78"/>
      <c r="D36" s="36"/>
      <c r="E36" s="37"/>
      <c r="F36" s="37"/>
      <c r="G36" s="38"/>
      <c r="H36" s="23"/>
      <c r="I36" s="23"/>
      <c r="J36" s="39"/>
      <c r="K36" s="23"/>
      <c r="L36" s="23"/>
      <c r="M36" s="76"/>
    </row>
    <row r="37" spans="1:13" ht="14.1" customHeight="1">
      <c r="A37" s="40">
        <v>18</v>
      </c>
      <c r="B37" s="49" t="s">
        <v>831</v>
      </c>
      <c r="C37" s="50"/>
      <c r="D37" s="93"/>
      <c r="E37" s="94"/>
      <c r="F37" s="94"/>
      <c r="G37" s="95"/>
      <c r="H37" s="51">
        <f>SUM(I37)-0.2</f>
        <v>3.8999999999999995</v>
      </c>
      <c r="I37" s="51">
        <f>SUM(J37)-0.2</f>
        <v>4.0999999999999996</v>
      </c>
      <c r="J37" s="39">
        <v>4.3</v>
      </c>
      <c r="K37" s="51">
        <f>SUM(J37)+0.2</f>
        <v>4.5</v>
      </c>
      <c r="L37" s="51">
        <f>SUM(K37)+0.2</f>
        <v>4.7</v>
      </c>
      <c r="M37" s="75">
        <f>SUM(L37)+0.2</f>
        <v>4.9000000000000004</v>
      </c>
    </row>
    <row r="38" spans="1:13" ht="14.1" customHeight="1">
      <c r="A38" s="40"/>
      <c r="B38" s="77" t="s">
        <v>833</v>
      </c>
      <c r="C38" s="78"/>
      <c r="D38" s="36"/>
      <c r="E38" s="37"/>
      <c r="F38" s="37"/>
      <c r="G38" s="38"/>
      <c r="H38" s="23"/>
      <c r="I38" s="23"/>
      <c r="J38" s="39"/>
      <c r="K38" s="23"/>
      <c r="L38" s="23"/>
      <c r="M38" s="76"/>
    </row>
    <row r="39" spans="1:13" ht="14.1" customHeight="1">
      <c r="A39" s="66">
        <v>19</v>
      </c>
      <c r="B39" s="105" t="s">
        <v>834</v>
      </c>
      <c r="C39" s="105"/>
      <c r="D39" s="99"/>
      <c r="E39" s="99"/>
      <c r="F39" s="99"/>
      <c r="G39" s="99"/>
      <c r="H39" s="51">
        <f>SUM(I39)-0.5</f>
        <v>8</v>
      </c>
      <c r="I39" s="51">
        <f>SUM(J39)-0.5</f>
        <v>8.5</v>
      </c>
      <c r="J39" s="39">
        <v>9</v>
      </c>
      <c r="K39" s="51">
        <f>SUM(J39)+0.5</f>
        <v>9.5</v>
      </c>
      <c r="L39" s="51">
        <f>SUM(K39)+0.5</f>
        <v>10</v>
      </c>
      <c r="M39" s="75">
        <f>SUM(L39)+0.5</f>
        <v>10.5</v>
      </c>
    </row>
    <row r="40" spans="1:13" ht="14.1" customHeight="1">
      <c r="A40" s="111"/>
      <c r="B40" s="105" t="s">
        <v>835</v>
      </c>
      <c r="C40" s="105"/>
      <c r="D40" s="67"/>
      <c r="E40" s="68"/>
      <c r="F40" s="68"/>
      <c r="G40" s="69"/>
      <c r="H40" s="23"/>
      <c r="I40" s="23"/>
      <c r="J40" s="39"/>
      <c r="K40" s="23"/>
      <c r="L40" s="23"/>
      <c r="M40" s="76"/>
    </row>
    <row r="41" spans="1:13" ht="14.1" customHeight="1">
      <c r="A41" s="40">
        <v>20</v>
      </c>
      <c r="B41" s="56" t="s">
        <v>834</v>
      </c>
      <c r="C41" s="56"/>
      <c r="D41" s="55"/>
      <c r="E41" s="55"/>
      <c r="F41" s="55"/>
      <c r="G41" s="55"/>
      <c r="H41" s="51">
        <f>SUM(I41)-0.5</f>
        <v>9</v>
      </c>
      <c r="I41" s="51">
        <f>SUM(J41)-0.5</f>
        <v>9.5</v>
      </c>
      <c r="J41" s="39">
        <v>10</v>
      </c>
      <c r="K41" s="51">
        <f>SUM(J41)+0.5</f>
        <v>10.5</v>
      </c>
      <c r="L41" s="51">
        <f>SUM(K41)+0.5</f>
        <v>11</v>
      </c>
      <c r="M41" s="75">
        <f>SUM(L41)+0.5</f>
        <v>11.5</v>
      </c>
    </row>
    <row r="42" spans="1:13" ht="14.1" customHeight="1">
      <c r="A42" s="40"/>
      <c r="B42" s="52" t="s">
        <v>836</v>
      </c>
      <c r="C42" s="52"/>
      <c r="D42" s="36"/>
      <c r="E42" s="37"/>
      <c r="F42" s="37"/>
      <c r="G42" s="38"/>
      <c r="H42" s="23"/>
      <c r="I42" s="23"/>
      <c r="J42" s="39"/>
      <c r="K42" s="23"/>
      <c r="L42" s="23"/>
      <c r="M42" s="76"/>
    </row>
    <row r="43" spans="1:13" ht="14.1" customHeight="1">
      <c r="A43" s="66">
        <v>21</v>
      </c>
      <c r="B43" s="105"/>
      <c r="C43" s="105"/>
      <c r="D43" s="99"/>
      <c r="E43" s="99"/>
      <c r="F43" s="99"/>
      <c r="G43" s="99"/>
      <c r="H43" s="47"/>
      <c r="I43" s="47"/>
      <c r="J43" s="100"/>
      <c r="K43" s="47"/>
      <c r="L43" s="47"/>
      <c r="M43" s="104"/>
    </row>
    <row r="44" spans="1:13" ht="14.1" customHeight="1" thickBot="1">
      <c r="A44" s="41"/>
      <c r="B44" s="132"/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109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K21:K22"/>
    <mergeCell ref="L21:L22"/>
    <mergeCell ref="M21:M22"/>
    <mergeCell ref="K19:K20"/>
    <mergeCell ref="L19:L20"/>
    <mergeCell ref="M19:M20"/>
    <mergeCell ref="B20:C20"/>
    <mergeCell ref="D20:G20"/>
    <mergeCell ref="J17:J18"/>
    <mergeCell ref="K17:K18"/>
    <mergeCell ref="L17:L18"/>
    <mergeCell ref="M17:M18"/>
    <mergeCell ref="B18:C18"/>
    <mergeCell ref="D18:G18"/>
    <mergeCell ref="K39:K40"/>
    <mergeCell ref="L39:L40"/>
    <mergeCell ref="M39:M40"/>
    <mergeCell ref="B40:C40"/>
    <mergeCell ref="D40:G40"/>
    <mergeCell ref="A11:A12"/>
    <mergeCell ref="B11:C11"/>
    <mergeCell ref="D11:G11"/>
    <mergeCell ref="H11:H12"/>
    <mergeCell ref="I11:I12"/>
    <mergeCell ref="A39:A40"/>
    <mergeCell ref="B39:C39"/>
    <mergeCell ref="D39:G39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A21:A22"/>
    <mergeCell ref="H21:H22"/>
    <mergeCell ref="I21:I22"/>
    <mergeCell ref="A19:A20"/>
    <mergeCell ref="B19:C19"/>
    <mergeCell ref="D19:G19"/>
    <mergeCell ref="H19:H20"/>
    <mergeCell ref="I19:I20"/>
    <mergeCell ref="J19:J20"/>
    <mergeCell ref="B21:C21"/>
    <mergeCell ref="D21:G21"/>
    <mergeCell ref="B22:C22"/>
    <mergeCell ref="D22:G22"/>
    <mergeCell ref="J21:J22"/>
    <mergeCell ref="K15:K16"/>
    <mergeCell ref="L15:L16"/>
    <mergeCell ref="M15:M16"/>
    <mergeCell ref="B16:C16"/>
    <mergeCell ref="D16:G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3:J1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41:A42"/>
    <mergeCell ref="B41:C41"/>
    <mergeCell ref="D41:G41"/>
    <mergeCell ref="H41:H42"/>
    <mergeCell ref="I41:I42"/>
    <mergeCell ref="J41:J42"/>
    <mergeCell ref="K41:K42"/>
    <mergeCell ref="L41:L42"/>
    <mergeCell ref="M41:M42"/>
    <mergeCell ref="B42:C42"/>
    <mergeCell ref="D42:G42"/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B44:C44"/>
    <mergeCell ref="D44:G4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B50B-62DC-4FB4-B9FA-5D7315435C72}">
  <sheetPr>
    <tabColor theme="5"/>
    <pageSetUpPr fitToPage="1"/>
  </sheetPr>
  <dimension ref="A1:R51"/>
  <sheetViews>
    <sheetView zoomScale="110" zoomScaleNormal="110" workbookViewId="0">
      <selection activeCell="O4" sqref="O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SUM(I3)-2.9</f>
        <v>27.400000000000006</v>
      </c>
      <c r="I3" s="51">
        <f>SUM(J3)-2.9</f>
        <v>30.300000000000004</v>
      </c>
      <c r="J3" s="60">
        <v>33.200000000000003</v>
      </c>
      <c r="K3" s="51">
        <f>SUM(J3)+2.4</f>
        <v>35.6</v>
      </c>
      <c r="L3" s="51">
        <f>SUM(K3)+2.4</f>
        <v>38</v>
      </c>
      <c r="M3" s="84">
        <f>SUM(L3)+2.4</f>
        <v>40.4</v>
      </c>
    </row>
    <row r="4" spans="1:13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23.4</v>
      </c>
      <c r="I5" s="51">
        <f>SUM(J5)-1.8</f>
        <v>25.2</v>
      </c>
      <c r="J5" s="60">
        <v>27</v>
      </c>
      <c r="K5" s="51">
        <f>SUM(J5)+1.6</f>
        <v>28.6</v>
      </c>
      <c r="L5" s="51">
        <f>SUM(K5)+1.6</f>
        <v>30.200000000000003</v>
      </c>
      <c r="M5" s="75">
        <f>SUM(L5)+1.6</f>
        <v>31.800000000000004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27</v>
      </c>
      <c r="I7" s="51">
        <f>SUM(J7)-2</f>
        <v>29</v>
      </c>
      <c r="J7" s="60">
        <v>31</v>
      </c>
      <c r="K7" s="51">
        <f>SUM(J7)+1.8</f>
        <v>32.799999999999997</v>
      </c>
      <c r="L7" s="51">
        <f>SUM(K7)+1.8</f>
        <v>34.599999999999994</v>
      </c>
      <c r="M7" s="75">
        <f>SUM(L7)+1.8</f>
        <v>36.399999999999991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SUM(I9)-1.9</f>
        <v>26.200000000000003</v>
      </c>
      <c r="I9" s="51">
        <f>SUM(J9)-1.9</f>
        <v>28.1</v>
      </c>
      <c r="J9" s="60">
        <v>30</v>
      </c>
      <c r="K9" s="51">
        <f>SUM(J9)+1.7</f>
        <v>31.7</v>
      </c>
      <c r="L9" s="51">
        <f>SUM(K9)+1.7</f>
        <v>33.4</v>
      </c>
      <c r="M9" s="75">
        <f>SUM(L9)+1.7</f>
        <v>35.1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12.2</v>
      </c>
      <c r="I11" s="51">
        <f>SUM(J11)-0.8</f>
        <v>13</v>
      </c>
      <c r="J11" s="39">
        <v>13.8</v>
      </c>
      <c r="K11" s="32">
        <f>SUM(J11)+0.8</f>
        <v>14.600000000000001</v>
      </c>
      <c r="L11" s="32">
        <f>SUM(K11)+0.8</f>
        <v>15.400000000000002</v>
      </c>
      <c r="M11" s="131">
        <f>SUM(L11)+0.8</f>
        <v>16.200000000000003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131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14</v>
      </c>
      <c r="I13" s="51">
        <f>SUM(J13)-0.6</f>
        <v>14.6</v>
      </c>
      <c r="J13" s="39">
        <v>15.2</v>
      </c>
      <c r="K13" s="32">
        <f>SUM(J13)+0.6</f>
        <v>15.799999999999999</v>
      </c>
      <c r="L13" s="32">
        <f>SUM(K13)+0.6</f>
        <v>16.399999999999999</v>
      </c>
      <c r="M13" s="82">
        <f>SUM(L13)+0.6</f>
        <v>17</v>
      </c>
    </row>
    <row r="14" spans="1:13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</v>
      </c>
      <c r="I15" s="51">
        <f>SUM(J15)-0.3</f>
        <v>6.3</v>
      </c>
      <c r="J15" s="39">
        <v>6.6</v>
      </c>
      <c r="K15" s="32">
        <f>SUM(J15)+0.3</f>
        <v>6.8999999999999995</v>
      </c>
      <c r="L15" s="32">
        <f>SUM(K15)+0.3</f>
        <v>7.1999999999999993</v>
      </c>
      <c r="M15" s="131">
        <f>SUM(L15)+0.3</f>
        <v>7.4999999999999991</v>
      </c>
    </row>
    <row r="16" spans="1:13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</row>
    <row r="17" spans="1:18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34.599999999999994</v>
      </c>
      <c r="I17" s="51">
        <f>SUM(J17)-1.6</f>
        <v>36.199999999999996</v>
      </c>
      <c r="J17" s="39">
        <v>37.799999999999997</v>
      </c>
      <c r="K17" s="32">
        <f>SUM(J17)+1.6</f>
        <v>39.4</v>
      </c>
      <c r="L17" s="32">
        <f>SUM(K17)+1.6</f>
        <v>41</v>
      </c>
      <c r="M17" s="131">
        <f>SUM(L17)+1.6</f>
        <v>42.6</v>
      </c>
    </row>
    <row r="18" spans="1:18" s="1" customFormat="1" ht="14.1" customHeight="1">
      <c r="A18" s="40"/>
      <c r="B18" s="52" t="s">
        <v>35</v>
      </c>
      <c r="C18" s="52"/>
      <c r="D18" s="36" t="s">
        <v>210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8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32.299999999999997</v>
      </c>
      <c r="I19" s="51">
        <f>SUM(J19)-3.6</f>
        <v>35.9</v>
      </c>
      <c r="J19" s="39">
        <v>39.5</v>
      </c>
      <c r="K19" s="32">
        <f>SUM(J19)+3.7</f>
        <v>43.2</v>
      </c>
      <c r="L19" s="32">
        <f>SUM(K19)+3.7</f>
        <v>46.900000000000006</v>
      </c>
      <c r="M19" s="82">
        <f>SUM(L19)+3.7</f>
        <v>50.600000000000009</v>
      </c>
    </row>
    <row r="20" spans="1:18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8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21.200000000000003</v>
      </c>
      <c r="I21" s="51">
        <f>SUM(J21)-1.4</f>
        <v>22.6</v>
      </c>
      <c r="J21" s="39">
        <v>24</v>
      </c>
      <c r="K21" s="32">
        <f>SUM(J21)+1.4</f>
        <v>25.4</v>
      </c>
      <c r="L21" s="32">
        <f>SUM(K21)+1.4</f>
        <v>26.799999999999997</v>
      </c>
      <c r="M21" s="82">
        <f>SUM(L21)+1.4</f>
        <v>28.199999999999996</v>
      </c>
    </row>
    <row r="22" spans="1:18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8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15.799999999999999</v>
      </c>
      <c r="I23" s="51">
        <f>SUM(J23)-0.6</f>
        <v>16.399999999999999</v>
      </c>
      <c r="J23" s="39">
        <v>17</v>
      </c>
      <c r="K23" s="32">
        <f>SUM(J23)+0.6</f>
        <v>17.600000000000001</v>
      </c>
      <c r="L23" s="32">
        <f>SUM(K23)+0.6</f>
        <v>18.200000000000003</v>
      </c>
      <c r="M23" s="82">
        <f>SUM(L23)+0.6</f>
        <v>18.800000000000004</v>
      </c>
    </row>
    <row r="24" spans="1:18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8" s="1" customFormat="1" ht="14.1" customHeight="1">
      <c r="A25" s="40">
        <v>12</v>
      </c>
      <c r="B25" s="49" t="s">
        <v>214</v>
      </c>
      <c r="C25" s="50"/>
      <c r="D25" s="93"/>
      <c r="E25" s="94"/>
      <c r="F25" s="94"/>
      <c r="G25" s="95"/>
      <c r="H25" s="51">
        <v>23</v>
      </c>
      <c r="I25" s="51">
        <v>25.5</v>
      </c>
      <c r="J25" s="60">
        <v>28.5</v>
      </c>
      <c r="K25" s="51">
        <v>30.5</v>
      </c>
      <c r="L25" s="51">
        <v>33</v>
      </c>
      <c r="M25" s="75">
        <v>35</v>
      </c>
      <c r="R25" s="1" t="s">
        <v>173</v>
      </c>
    </row>
    <row r="26" spans="1:18" s="1" customFormat="1" ht="14.1" customHeight="1">
      <c r="A26" s="40"/>
      <c r="B26" s="53" t="s">
        <v>215</v>
      </c>
      <c r="C26" s="54"/>
      <c r="D26" s="67" t="s">
        <v>216</v>
      </c>
      <c r="E26" s="68"/>
      <c r="F26" s="68"/>
      <c r="G26" s="69"/>
      <c r="H26" s="23"/>
      <c r="I26" s="23"/>
      <c r="J26" s="21"/>
      <c r="K26" s="23"/>
      <c r="L26" s="23"/>
      <c r="M26" s="76"/>
    </row>
    <row r="27" spans="1:18" s="1" customFormat="1" ht="14.1" customHeight="1">
      <c r="A27" s="40">
        <v>13</v>
      </c>
      <c r="B27" s="49" t="s">
        <v>141</v>
      </c>
      <c r="C27" s="50"/>
      <c r="D27" s="58"/>
      <c r="E27" s="58"/>
      <c r="F27" s="58"/>
      <c r="G27" s="58"/>
      <c r="H27" s="51">
        <f>SUM(I27)-0.6</f>
        <v>8.3000000000000007</v>
      </c>
      <c r="I27" s="51">
        <f>SUM(J27)-0.6</f>
        <v>8.9</v>
      </c>
      <c r="J27" s="60">
        <v>9.5</v>
      </c>
      <c r="K27" s="51">
        <f>SUM(J27)+0.6</f>
        <v>10.1</v>
      </c>
      <c r="L27" s="51">
        <f>SUM(K27)+0.6</f>
        <v>10.7</v>
      </c>
      <c r="M27" s="75">
        <f>SUM(L27)+0.6</f>
        <v>11.299999999999999</v>
      </c>
    </row>
    <row r="28" spans="1:18" s="1" customFormat="1" ht="14.1" customHeight="1">
      <c r="A28" s="40"/>
      <c r="B28" s="34" t="s">
        <v>140</v>
      </c>
      <c r="C28" s="35"/>
      <c r="D28" s="36" t="s">
        <v>680</v>
      </c>
      <c r="E28" s="37"/>
      <c r="F28" s="37"/>
      <c r="G28" s="38"/>
      <c r="H28" s="23"/>
      <c r="I28" s="23"/>
      <c r="J28" s="21"/>
      <c r="K28" s="23"/>
      <c r="L28" s="23"/>
      <c r="M28" s="76"/>
    </row>
    <row r="29" spans="1:18" ht="14.1" customHeight="1">
      <c r="A29" s="40">
        <v>14</v>
      </c>
      <c r="B29" s="49" t="s">
        <v>139</v>
      </c>
      <c r="C29" s="50"/>
      <c r="D29" s="57"/>
      <c r="E29" s="58"/>
      <c r="F29" s="58"/>
      <c r="G29" s="59"/>
      <c r="H29" s="51">
        <f>SUM(I29)-0.4</f>
        <v>4.3999999999999995</v>
      </c>
      <c r="I29" s="51">
        <f>SUM(J29)-0.4</f>
        <v>4.8</v>
      </c>
      <c r="J29" s="60">
        <v>5.2</v>
      </c>
      <c r="K29" s="51">
        <f>SUM(J29)+0.4</f>
        <v>5.6000000000000005</v>
      </c>
      <c r="L29" s="51">
        <f>SUM(K29)+0.4</f>
        <v>6.0000000000000009</v>
      </c>
      <c r="M29" s="75">
        <f>SUM(L29)+0.4</f>
        <v>6.4000000000000012</v>
      </c>
    </row>
    <row r="30" spans="1:18" ht="14.1" customHeight="1">
      <c r="A30" s="40"/>
      <c r="B30" s="34" t="s">
        <v>138</v>
      </c>
      <c r="C30" s="35"/>
      <c r="D30" s="36" t="s">
        <v>395</v>
      </c>
      <c r="E30" s="37"/>
      <c r="F30" s="37"/>
      <c r="G30" s="38"/>
      <c r="H30" s="23"/>
      <c r="I30" s="23"/>
      <c r="J30" s="21"/>
      <c r="K30" s="23"/>
      <c r="L30" s="23"/>
      <c r="M30" s="76"/>
    </row>
    <row r="31" spans="1:18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60"/>
      <c r="K31" s="51"/>
      <c r="L31" s="51"/>
      <c r="M31" s="75"/>
    </row>
    <row r="32" spans="1:18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55"/>
      <c r="E33" s="55"/>
      <c r="F33" s="55"/>
      <c r="G33" s="55"/>
      <c r="H33" s="51"/>
      <c r="I33" s="51"/>
      <c r="J33" s="60"/>
      <c r="K33" s="51"/>
      <c r="L33" s="51"/>
      <c r="M33" s="75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53"/>
      <c r="C35" s="54"/>
      <c r="D35" s="68"/>
      <c r="E35" s="68"/>
      <c r="F35" s="68"/>
      <c r="G35" s="68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132"/>
      <c r="C36" s="132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3.5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AC23-3506-483F-B561-8F3ADC0C6F9D}">
  <sheetPr>
    <tabColor theme="5"/>
    <pageSetUpPr fitToPage="1"/>
  </sheetPr>
  <dimension ref="A1:P51"/>
  <sheetViews>
    <sheetView zoomScale="110" zoomScaleNormal="110" workbookViewId="0">
      <selection activeCell="D41" sqref="D41:G4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793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SUM(I3)-4.9</f>
        <v>56.8</v>
      </c>
      <c r="I3" s="51">
        <f>SUM(J3)-4.9</f>
        <v>61.699999999999996</v>
      </c>
      <c r="J3" s="60">
        <v>66.599999999999994</v>
      </c>
      <c r="K3" s="51">
        <f>SUM(J3)+4.4</f>
        <v>71</v>
      </c>
      <c r="L3" s="51">
        <f t="shared" ref="L3:M3" si="0">SUM(K3)+4.4</f>
        <v>75.400000000000006</v>
      </c>
      <c r="M3" s="75">
        <f t="shared" si="0"/>
        <v>79.800000000000011</v>
      </c>
    </row>
    <row r="4" spans="1:16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76"/>
    </row>
    <row r="5" spans="1:16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47.8</v>
      </c>
      <c r="I5" s="51">
        <f>SUM(J5)-4.5</f>
        <v>52.3</v>
      </c>
      <c r="J5" s="39">
        <v>56.8</v>
      </c>
      <c r="K5" s="32">
        <f>SUM(J5)+4.5</f>
        <v>61.3</v>
      </c>
      <c r="L5" s="51">
        <f>SUM(K5)+4.5</f>
        <v>65.8</v>
      </c>
      <c r="M5" s="75">
        <f>SUM(L5)+4.5</f>
        <v>70.3</v>
      </c>
    </row>
    <row r="6" spans="1:16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23"/>
      <c r="M6" s="76"/>
    </row>
    <row r="7" spans="1:16" s="1" customFormat="1" ht="14.1" customHeight="1">
      <c r="A7" s="40">
        <v>3</v>
      </c>
      <c r="B7" s="56" t="s">
        <v>37</v>
      </c>
      <c r="C7" s="56"/>
      <c r="D7" s="55" t="s">
        <v>795</v>
      </c>
      <c r="E7" s="55"/>
      <c r="F7" s="55"/>
      <c r="G7" s="55"/>
      <c r="H7" s="51">
        <f>SUM(I7)-2.25</f>
        <v>39.5</v>
      </c>
      <c r="I7" s="51">
        <f>SUM(J7)-2.25</f>
        <v>41.75</v>
      </c>
      <c r="J7" s="60">
        <v>44</v>
      </c>
      <c r="K7" s="51">
        <f>SUM(J7)+2</f>
        <v>46</v>
      </c>
      <c r="L7" s="51">
        <f t="shared" ref="L7:M7" si="1">SUM(K7)+2</f>
        <v>48</v>
      </c>
      <c r="M7" s="75">
        <f t="shared" si="1"/>
        <v>50</v>
      </c>
    </row>
    <row r="8" spans="1:16" s="1" customFormat="1" ht="14.1" customHeight="1">
      <c r="A8" s="40"/>
      <c r="B8" s="52" t="s">
        <v>794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6" s="1" customFormat="1" ht="14.1" customHeight="1">
      <c r="A9" s="40">
        <v>4</v>
      </c>
      <c r="B9" s="56" t="s">
        <v>37</v>
      </c>
      <c r="C9" s="56"/>
      <c r="D9" s="55" t="s">
        <v>796</v>
      </c>
      <c r="E9" s="55"/>
      <c r="F9" s="55"/>
      <c r="G9" s="55"/>
      <c r="H9" s="51">
        <f>SUM(I9)-2.25</f>
        <v>61.7</v>
      </c>
      <c r="I9" s="51">
        <f>SUM(J9)-2.25</f>
        <v>63.95</v>
      </c>
      <c r="J9" s="60">
        <v>66.2</v>
      </c>
      <c r="K9" s="51">
        <f>SUM(J9)+2</f>
        <v>68.2</v>
      </c>
      <c r="L9" s="51">
        <f t="shared" ref="L9:M9" si="2">SUM(K9)+2</f>
        <v>70.2</v>
      </c>
      <c r="M9" s="75">
        <f t="shared" si="2"/>
        <v>72.2</v>
      </c>
    </row>
    <row r="10" spans="1:16" s="1" customFormat="1" ht="14.1" customHeight="1">
      <c r="A10" s="40"/>
      <c r="B10" s="52" t="s">
        <v>445</v>
      </c>
      <c r="C10" s="52"/>
      <c r="D10" s="36" t="s">
        <v>45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6" s="1" customFormat="1" ht="14.1" customHeight="1" thickBot="1">
      <c r="A11" s="40">
        <v>5</v>
      </c>
      <c r="B11" s="56" t="s">
        <v>556</v>
      </c>
      <c r="C11" s="56"/>
      <c r="D11" s="55"/>
      <c r="E11" s="55"/>
      <c r="F11" s="55"/>
      <c r="G11" s="55"/>
      <c r="H11" s="51">
        <f>SUM(I11)-1.6</f>
        <v>15.799999999999999</v>
      </c>
      <c r="I11" s="51">
        <f>SUM(J11)-1.6</f>
        <v>17.399999999999999</v>
      </c>
      <c r="J11" s="39">
        <v>19</v>
      </c>
      <c r="K11" s="32">
        <f>SUM(J11)+1.4</f>
        <v>20.399999999999999</v>
      </c>
      <c r="L11" s="32">
        <f t="shared" ref="L11:M11" si="3">SUM(K11)+1.4</f>
        <v>21.799999999999997</v>
      </c>
      <c r="M11" s="82">
        <f t="shared" si="3"/>
        <v>23.199999999999996</v>
      </c>
    </row>
    <row r="12" spans="1:16" s="1" customFormat="1" ht="14.1" customHeight="1" thickTop="1">
      <c r="A12" s="40"/>
      <c r="B12" s="105" t="s">
        <v>557</v>
      </c>
      <c r="C12" s="105"/>
      <c r="D12" s="139" t="s">
        <v>797</v>
      </c>
      <c r="E12" s="140"/>
      <c r="F12" s="140"/>
      <c r="G12" s="141"/>
      <c r="H12" s="23"/>
      <c r="I12" s="23"/>
      <c r="J12" s="39"/>
      <c r="K12" s="32"/>
      <c r="L12" s="32"/>
      <c r="M12" s="82"/>
      <c r="P12" s="11"/>
    </row>
    <row r="13" spans="1:16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13.600000000000001</v>
      </c>
      <c r="I13" s="51">
        <f>SUM(J13)-0.6</f>
        <v>14.200000000000001</v>
      </c>
      <c r="J13" s="39">
        <v>14.8</v>
      </c>
      <c r="K13" s="32">
        <f>SUM(J13)+0.6</f>
        <v>15.4</v>
      </c>
      <c r="L13" s="32">
        <f>SUM(K13)+0.6</f>
        <v>16</v>
      </c>
      <c r="M13" s="82">
        <f>SUM(L13)+0.6</f>
        <v>16.600000000000001</v>
      </c>
      <c r="P13" s="12"/>
    </row>
    <row r="14" spans="1:16" s="1" customFormat="1" ht="14.1" customHeight="1" thickBot="1">
      <c r="A14" s="40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82"/>
      <c r="P14" s="13"/>
    </row>
    <row r="15" spans="1:16" s="1" customFormat="1" ht="13.5" customHeight="1" thickTop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5.9</v>
      </c>
      <c r="I15" s="51">
        <f>SUM(J15)-0.3</f>
        <v>6.2</v>
      </c>
      <c r="J15" s="39">
        <v>6.5</v>
      </c>
      <c r="K15" s="32">
        <f>SUM(J15)+0.3</f>
        <v>6.8</v>
      </c>
      <c r="L15" s="32">
        <f>SUM(K15)+0.3</f>
        <v>7.1</v>
      </c>
      <c r="M15" s="131">
        <f>SUM(L15)+0.3</f>
        <v>7.3999999999999995</v>
      </c>
      <c r="P15" s="11"/>
    </row>
    <row r="16" spans="1:16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131"/>
      <c r="P16" s="12"/>
    </row>
    <row r="17" spans="1:16" s="1" customFormat="1" ht="14.1" customHeight="1" thickBo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35</v>
      </c>
      <c r="I17" s="51">
        <f>SUM(J17)-1.6</f>
        <v>36.6</v>
      </c>
      <c r="J17" s="39">
        <v>38.200000000000003</v>
      </c>
      <c r="K17" s="32">
        <f>SUM(J17)+1.6</f>
        <v>39.800000000000004</v>
      </c>
      <c r="L17" s="32">
        <f>SUM(K17)+1.6</f>
        <v>41.400000000000006</v>
      </c>
      <c r="M17" s="131">
        <f>SUM(L17)+1.6</f>
        <v>43.000000000000007</v>
      </c>
      <c r="P17" s="13"/>
    </row>
    <row r="18" spans="1:16" s="1" customFormat="1" ht="14.1" customHeight="1" thickTop="1">
      <c r="A18" s="40"/>
      <c r="B18" s="52" t="s">
        <v>35</v>
      </c>
      <c r="C18" s="52"/>
      <c r="D18" s="36" t="s">
        <v>210</v>
      </c>
      <c r="E18" s="37"/>
      <c r="F18" s="37"/>
      <c r="G18" s="38"/>
      <c r="H18" s="23"/>
      <c r="I18" s="23"/>
      <c r="J18" s="39"/>
      <c r="K18" s="32"/>
      <c r="L18" s="32"/>
      <c r="M18" s="131"/>
    </row>
    <row r="19" spans="1:16" s="1" customFormat="1" ht="14.1" customHeight="1">
      <c r="A19" s="40">
        <v>9</v>
      </c>
      <c r="B19" s="56" t="s">
        <v>77</v>
      </c>
      <c r="C19" s="56"/>
      <c r="D19" s="57" t="s">
        <v>78</v>
      </c>
      <c r="E19" s="58"/>
      <c r="F19" s="58"/>
      <c r="G19" s="59"/>
      <c r="H19" s="51">
        <f>SUM(I19)-1</f>
        <v>30.5</v>
      </c>
      <c r="I19" s="51">
        <f>SUM(J19)-1</f>
        <v>31.5</v>
      </c>
      <c r="J19" s="39">
        <v>32.5</v>
      </c>
      <c r="K19" s="32">
        <f>SUM(J19)+1</f>
        <v>33.5</v>
      </c>
      <c r="L19" s="32">
        <f t="shared" ref="L19:M19" si="4">SUM(K19)+1</f>
        <v>34.5</v>
      </c>
      <c r="M19" s="82">
        <f t="shared" si="4"/>
        <v>35.5</v>
      </c>
      <c r="P19" s="1">
        <f>SUM(H27+H27+I27+I27+J27+J27+K27+K27+L27+L27+M27+M27)/6/91.44*1.08</f>
        <v>0.38503937007874023</v>
      </c>
    </row>
    <row r="20" spans="1:16" s="1" customFormat="1" ht="14.1" customHeight="1">
      <c r="A20" s="40"/>
      <c r="B20" s="52" t="s">
        <v>32</v>
      </c>
      <c r="C20" s="52"/>
      <c r="D20" s="36" t="s">
        <v>79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6" s="1" customFormat="1" ht="14.1" customHeight="1">
      <c r="A21" s="40">
        <v>10</v>
      </c>
      <c r="B21" s="56" t="s">
        <v>80</v>
      </c>
      <c r="C21" s="56"/>
      <c r="D21" s="57" t="s">
        <v>81</v>
      </c>
      <c r="E21" s="58"/>
      <c r="F21" s="58"/>
      <c r="G21" s="59"/>
      <c r="H21" s="51">
        <f>SUM(I21)-0.8</f>
        <v>22.099999999999998</v>
      </c>
      <c r="I21" s="51">
        <f>SUM(J21)-0.8</f>
        <v>22.9</v>
      </c>
      <c r="J21" s="39">
        <v>23.7</v>
      </c>
      <c r="K21" s="32">
        <f>SUM(J21)+0.8</f>
        <v>24.5</v>
      </c>
      <c r="L21" s="32">
        <f t="shared" ref="L21:M21" si="5">SUM(K21)+0.8</f>
        <v>25.3</v>
      </c>
      <c r="M21" s="82">
        <f t="shared" si="5"/>
        <v>26.1</v>
      </c>
    </row>
    <row r="22" spans="1:16" s="1" customFormat="1" ht="14.1" customHeight="1">
      <c r="A22" s="40"/>
      <c r="B22" s="52" t="s">
        <v>33</v>
      </c>
      <c r="C22" s="52"/>
      <c r="D22" s="36" t="s">
        <v>82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6" s="1" customFormat="1" ht="14.1" customHeight="1">
      <c r="A23" s="40">
        <v>11</v>
      </c>
      <c r="B23" s="56" t="s">
        <v>799</v>
      </c>
      <c r="C23" s="56"/>
      <c r="D23" s="57"/>
      <c r="E23" s="58"/>
      <c r="F23" s="58"/>
      <c r="G23" s="59"/>
      <c r="H23" s="51">
        <f>SUM(I23)-0.2</f>
        <v>5</v>
      </c>
      <c r="I23" s="51">
        <f>SUM(J23)-0.2</f>
        <v>5.2</v>
      </c>
      <c r="J23" s="39">
        <v>5.4</v>
      </c>
      <c r="K23" s="32">
        <f>SUM(J23)+0.2</f>
        <v>5.6000000000000005</v>
      </c>
      <c r="L23" s="32">
        <f t="shared" ref="L23:M23" si="6">SUM(K23)+0.2</f>
        <v>5.8000000000000007</v>
      </c>
      <c r="M23" s="82">
        <f t="shared" si="6"/>
        <v>6.0000000000000009</v>
      </c>
    </row>
    <row r="24" spans="1:16" s="1" customFormat="1" ht="14.1" customHeight="1">
      <c r="A24" s="40"/>
      <c r="B24" s="52" t="s">
        <v>798</v>
      </c>
      <c r="C24" s="52"/>
      <c r="D24" s="36" t="s">
        <v>782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6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SUM(I25)-1.7</f>
        <v>40.399999999999991</v>
      </c>
      <c r="I25" s="51">
        <f>SUM(J25)-1.7</f>
        <v>42.099999999999994</v>
      </c>
      <c r="J25" s="39">
        <v>43.8</v>
      </c>
      <c r="K25" s="32">
        <f>SUM(J25)+1.7</f>
        <v>45.5</v>
      </c>
      <c r="L25" s="32">
        <f>SUM(K25)+1.7</f>
        <v>47.2</v>
      </c>
      <c r="M25" s="82">
        <f>SUM(L25)+1.7</f>
        <v>48.900000000000006</v>
      </c>
    </row>
    <row r="26" spans="1:16" s="1" customFormat="1" ht="14.1" customHeight="1">
      <c r="A26" s="40"/>
      <c r="B26" s="52" t="s">
        <v>30</v>
      </c>
      <c r="C26" s="52"/>
      <c r="D26" s="36" t="s">
        <v>275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6" s="1" customFormat="1" ht="14.1" customHeight="1">
      <c r="A27" s="40">
        <v>13</v>
      </c>
      <c r="B27" s="49" t="s">
        <v>800</v>
      </c>
      <c r="C27" s="50"/>
      <c r="D27" s="55"/>
      <c r="E27" s="55"/>
      <c r="F27" s="55"/>
      <c r="G27" s="55"/>
      <c r="H27" s="51">
        <f>SUM(I27)-0.6</f>
        <v>14.8</v>
      </c>
      <c r="I27" s="51">
        <f>SUM(J27)-0.6</f>
        <v>15.4</v>
      </c>
      <c r="J27" s="39">
        <v>16</v>
      </c>
      <c r="K27" s="32">
        <f>SUM(J27)+0.6</f>
        <v>16.600000000000001</v>
      </c>
      <c r="L27" s="32">
        <f t="shared" ref="L27:M27" si="7">SUM(K27)+0.6</f>
        <v>17.200000000000003</v>
      </c>
      <c r="M27" s="82">
        <f t="shared" si="7"/>
        <v>17.800000000000004</v>
      </c>
    </row>
    <row r="28" spans="1:16" s="1" customFormat="1" ht="14.1" customHeight="1">
      <c r="A28" s="40"/>
      <c r="B28" s="52" t="s">
        <v>801</v>
      </c>
      <c r="C28" s="52"/>
      <c r="D28" s="36" t="s">
        <v>673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6" ht="14.1" customHeight="1">
      <c r="A29" s="40">
        <v>14</v>
      </c>
      <c r="B29" s="49" t="s">
        <v>326</v>
      </c>
      <c r="C29" s="50"/>
      <c r="D29" s="57"/>
      <c r="E29" s="58"/>
      <c r="F29" s="58"/>
      <c r="G29" s="59"/>
      <c r="H29" s="51">
        <f>SUM(I29)-0.5</f>
        <v>10</v>
      </c>
      <c r="I29" s="51">
        <f>SUM(J29)-0.5</f>
        <v>10.5</v>
      </c>
      <c r="J29" s="60">
        <v>11</v>
      </c>
      <c r="K29" s="51">
        <f>SUM(J29)+0.5</f>
        <v>11.5</v>
      </c>
      <c r="L29" s="51">
        <f t="shared" ref="L29:M29" si="8">SUM(K29)+0.5</f>
        <v>12</v>
      </c>
      <c r="M29" s="75">
        <f t="shared" si="8"/>
        <v>12.5</v>
      </c>
    </row>
    <row r="30" spans="1:16" ht="14.1" customHeight="1">
      <c r="A30" s="40"/>
      <c r="B30" s="34" t="s">
        <v>327</v>
      </c>
      <c r="C30" s="35"/>
      <c r="D30" s="79"/>
      <c r="E30" s="80"/>
      <c r="F30" s="80"/>
      <c r="G30" s="81"/>
      <c r="H30" s="23"/>
      <c r="I30" s="23"/>
      <c r="J30" s="21"/>
      <c r="K30" s="23"/>
      <c r="L30" s="23"/>
      <c r="M30" s="76"/>
    </row>
    <row r="31" spans="1:16" ht="14.1" customHeight="1">
      <c r="A31" s="40">
        <v>15</v>
      </c>
      <c r="B31" s="49" t="s">
        <v>214</v>
      </c>
      <c r="C31" s="50"/>
      <c r="D31" s="55"/>
      <c r="E31" s="55"/>
      <c r="F31" s="55"/>
      <c r="G31" s="55"/>
      <c r="H31" s="51">
        <v>41.5</v>
      </c>
      <c r="I31" s="51">
        <v>45</v>
      </c>
      <c r="J31" s="60">
        <v>48</v>
      </c>
      <c r="K31" s="51">
        <v>51.5</v>
      </c>
      <c r="L31" s="51">
        <v>55</v>
      </c>
      <c r="M31" s="75">
        <v>58</v>
      </c>
    </row>
    <row r="32" spans="1:16" ht="14.1" customHeight="1">
      <c r="A32" s="40"/>
      <c r="B32" s="34" t="s">
        <v>215</v>
      </c>
      <c r="C32" s="35"/>
      <c r="D32" s="36" t="s">
        <v>216</v>
      </c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 thickBot="1">
      <c r="A34" s="111"/>
      <c r="B34" s="53"/>
      <c r="C34" s="54"/>
      <c r="D34" s="67"/>
      <c r="E34" s="68"/>
      <c r="F34" s="68"/>
      <c r="G34" s="69"/>
      <c r="H34" s="47"/>
      <c r="I34" s="47"/>
      <c r="J34" s="60"/>
      <c r="K34" s="51"/>
      <c r="L34" s="51"/>
      <c r="M34" s="75"/>
    </row>
    <row r="35" spans="1:13" ht="14.25" customHeight="1" thickTop="1" thickBot="1">
      <c r="A35" s="170" t="s">
        <v>802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2"/>
    </row>
    <row r="36" spans="1:13" ht="14.1" customHeight="1" thickTop="1">
      <c r="A36" s="155">
        <v>17</v>
      </c>
      <c r="B36" s="49" t="s">
        <v>805</v>
      </c>
      <c r="C36" s="50"/>
      <c r="D36" s="173"/>
      <c r="E36" s="174"/>
      <c r="F36" s="174"/>
      <c r="G36" s="175"/>
      <c r="H36" s="157">
        <f>SUM(I36)</f>
        <v>12</v>
      </c>
      <c r="I36" s="157">
        <f>SUM(J36)-3</f>
        <v>12</v>
      </c>
      <c r="J36" s="158">
        <v>15</v>
      </c>
      <c r="K36" s="153">
        <f>SUM(J36)</f>
        <v>15</v>
      </c>
      <c r="L36" s="153">
        <f t="shared" ref="L36" si="9">SUM(K36)+3</f>
        <v>18</v>
      </c>
      <c r="M36" s="154">
        <f>SUM(L36)</f>
        <v>18</v>
      </c>
    </row>
    <row r="37" spans="1:13" ht="14.1" customHeight="1">
      <c r="A37" s="40"/>
      <c r="B37" s="77" t="s">
        <v>821</v>
      </c>
      <c r="C37" s="78"/>
      <c r="D37" s="36"/>
      <c r="E37" s="37"/>
      <c r="F37" s="37"/>
      <c r="G37" s="38"/>
      <c r="H37" s="23"/>
      <c r="I37" s="23"/>
      <c r="J37" s="39"/>
      <c r="K37" s="32"/>
      <c r="L37" s="32"/>
      <c r="M37" s="82"/>
    </row>
    <row r="38" spans="1:13" ht="14.1" customHeight="1">
      <c r="A38" s="40">
        <v>18</v>
      </c>
      <c r="B38" s="49" t="s">
        <v>803</v>
      </c>
      <c r="C38" s="50"/>
      <c r="D38" s="93"/>
      <c r="E38" s="94"/>
      <c r="F38" s="94"/>
      <c r="G38" s="95"/>
      <c r="H38" s="51">
        <f>SUM(I38)</f>
        <v>18</v>
      </c>
      <c r="I38" s="51">
        <f>SUM(J38)-3</f>
        <v>18</v>
      </c>
      <c r="J38" s="39">
        <v>21</v>
      </c>
      <c r="K38" s="32">
        <f>SUM(J38)</f>
        <v>21</v>
      </c>
      <c r="L38" s="32">
        <f t="shared" ref="L38" si="10">SUM(K38)+3</f>
        <v>24</v>
      </c>
      <c r="M38" s="82">
        <f>SUM(L38)</f>
        <v>24</v>
      </c>
    </row>
    <row r="39" spans="1:13" ht="14.1" customHeight="1">
      <c r="A39" s="40"/>
      <c r="B39" s="77" t="s">
        <v>804</v>
      </c>
      <c r="C39" s="78"/>
      <c r="D39" s="36"/>
      <c r="E39" s="37"/>
      <c r="F39" s="37"/>
      <c r="G39" s="38"/>
      <c r="H39" s="23"/>
      <c r="I39" s="23"/>
      <c r="J39" s="39"/>
      <c r="K39" s="32"/>
      <c r="L39" s="32"/>
      <c r="M39" s="82"/>
    </row>
    <row r="40" spans="1:13" ht="14.1" customHeight="1">
      <c r="A40" s="40">
        <v>19</v>
      </c>
      <c r="B40" s="56" t="s">
        <v>815</v>
      </c>
      <c r="C40" s="56"/>
      <c r="D40" s="55"/>
      <c r="E40" s="55"/>
      <c r="F40" s="55"/>
      <c r="G40" s="55"/>
      <c r="H40" s="51">
        <f>SUM(I40)</f>
        <v>7.6</v>
      </c>
      <c r="I40" s="51">
        <f>SUM(J40)-1.9</f>
        <v>7.6</v>
      </c>
      <c r="J40" s="60">
        <v>9.5</v>
      </c>
      <c r="K40" s="51">
        <f>SUM(J40)</f>
        <v>9.5</v>
      </c>
      <c r="L40" s="51">
        <f t="shared" ref="L40" si="11">SUM(K40)+1.9</f>
        <v>11.4</v>
      </c>
      <c r="M40" s="75">
        <f>SUM(L40)</f>
        <v>11.4</v>
      </c>
    </row>
    <row r="41" spans="1:13" ht="14.1" customHeight="1">
      <c r="A41" s="40"/>
      <c r="B41" s="52" t="s">
        <v>816</v>
      </c>
      <c r="C41" s="52"/>
      <c r="D41" s="36" t="s">
        <v>823</v>
      </c>
      <c r="E41" s="37"/>
      <c r="F41" s="37"/>
      <c r="G41" s="38"/>
      <c r="H41" s="23"/>
      <c r="I41" s="23"/>
      <c r="J41" s="21"/>
      <c r="K41" s="23"/>
      <c r="L41" s="23"/>
      <c r="M41" s="76"/>
    </row>
    <row r="42" spans="1:13" ht="14.1" customHeight="1">
      <c r="A42" s="40">
        <v>20</v>
      </c>
      <c r="B42" s="49" t="s">
        <v>817</v>
      </c>
      <c r="C42" s="50"/>
      <c r="D42" s="93" t="s">
        <v>819</v>
      </c>
      <c r="E42" s="94"/>
      <c r="F42" s="94"/>
      <c r="G42" s="95"/>
      <c r="H42" s="51">
        <f>SUM(I42)</f>
        <v>40</v>
      </c>
      <c r="I42" s="51">
        <f>SUM(J42)-3</f>
        <v>40</v>
      </c>
      <c r="J42" s="39">
        <v>43</v>
      </c>
      <c r="K42" s="32">
        <f>SUM(J42)</f>
        <v>43</v>
      </c>
      <c r="L42" s="32">
        <f t="shared" ref="L42" si="12">SUM(K42)+3</f>
        <v>46</v>
      </c>
      <c r="M42" s="82">
        <f>SUM(L42)</f>
        <v>46</v>
      </c>
    </row>
    <row r="43" spans="1:13" ht="14.1" customHeight="1">
      <c r="A43" s="40"/>
      <c r="B43" s="77" t="s">
        <v>818</v>
      </c>
      <c r="C43" s="78"/>
      <c r="D43" s="139" t="s">
        <v>822</v>
      </c>
      <c r="E43" s="140"/>
      <c r="F43" s="140"/>
      <c r="G43" s="141"/>
      <c r="H43" s="23"/>
      <c r="I43" s="23"/>
      <c r="J43" s="39"/>
      <c r="K43" s="32"/>
      <c r="L43" s="32"/>
      <c r="M43" s="82"/>
    </row>
    <row r="44" spans="1:13" ht="14.1" customHeight="1">
      <c r="A44" s="40">
        <v>21</v>
      </c>
      <c r="B44" s="49" t="s">
        <v>141</v>
      </c>
      <c r="C44" s="50"/>
      <c r="D44" s="93"/>
      <c r="E44" s="94"/>
      <c r="F44" s="94"/>
      <c r="G44" s="95"/>
      <c r="H44" s="51">
        <f>SUM(I44)</f>
        <v>4.3</v>
      </c>
      <c r="I44" s="51">
        <f>SUM(J44)-0.7</f>
        <v>4.3</v>
      </c>
      <c r="J44" s="21">
        <v>5</v>
      </c>
      <c r="K44" s="32">
        <f>SUM(J44)</f>
        <v>5</v>
      </c>
      <c r="L44" s="32">
        <f t="shared" ref="L44" si="13">SUM(K44)+0.7</f>
        <v>5.7</v>
      </c>
      <c r="M44" s="82">
        <f>SUM(L44)</f>
        <v>5.7</v>
      </c>
    </row>
    <row r="45" spans="1:13" ht="14.1" customHeight="1">
      <c r="A45" s="40"/>
      <c r="B45" s="34" t="s">
        <v>140</v>
      </c>
      <c r="C45" s="35"/>
      <c r="D45" s="36" t="s">
        <v>806</v>
      </c>
      <c r="E45" s="37"/>
      <c r="F45" s="37"/>
      <c r="G45" s="38"/>
      <c r="H45" s="23"/>
      <c r="I45" s="23"/>
      <c r="J45" s="39"/>
      <c r="K45" s="32"/>
      <c r="L45" s="32"/>
      <c r="M45" s="82"/>
    </row>
    <row r="46" spans="1:13" ht="14.1" customHeight="1">
      <c r="A46" s="40">
        <v>22</v>
      </c>
      <c r="B46" s="49" t="s">
        <v>139</v>
      </c>
      <c r="C46" s="50"/>
      <c r="D46" s="44"/>
      <c r="E46" s="45"/>
      <c r="F46" s="45"/>
      <c r="G46" s="46"/>
      <c r="H46" s="51">
        <f>SUM(I46)</f>
        <v>4.3</v>
      </c>
      <c r="I46" s="51">
        <f>SUM(J46)-1.5</f>
        <v>4.3</v>
      </c>
      <c r="J46" s="60">
        <v>5.8</v>
      </c>
      <c r="K46" s="32">
        <f>SUM(J46)</f>
        <v>5.8</v>
      </c>
      <c r="L46" s="32">
        <f t="shared" ref="L46" si="14">SUM(K46)+1.5</f>
        <v>7.3</v>
      </c>
      <c r="M46" s="82">
        <f>SUM(L46)</f>
        <v>7.3</v>
      </c>
    </row>
    <row r="47" spans="1:13" ht="14.1" customHeight="1" thickBot="1">
      <c r="A47" s="41"/>
      <c r="B47" s="27" t="s">
        <v>138</v>
      </c>
      <c r="C47" s="28"/>
      <c r="D47" s="29" t="s">
        <v>807</v>
      </c>
      <c r="E47" s="30"/>
      <c r="F47" s="30"/>
      <c r="G47" s="31"/>
      <c r="H47" s="48"/>
      <c r="I47" s="48"/>
      <c r="J47" s="110"/>
      <c r="K47" s="24"/>
      <c r="L47" s="24"/>
      <c r="M47" s="92"/>
    </row>
    <row r="48" spans="1:13" ht="14.1" customHeight="1"/>
    <row r="49" ht="14.1" customHeight="1"/>
    <row r="50" ht="14.1" customHeight="1"/>
    <row r="51" ht="14.1" customHeight="1"/>
  </sheetData>
  <mergeCells count="2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9:J10"/>
    <mergeCell ref="K9:K10"/>
    <mergeCell ref="L9:L10"/>
    <mergeCell ref="M9:M10"/>
    <mergeCell ref="B10:C10"/>
    <mergeCell ref="D10:G10"/>
    <mergeCell ref="K5:K6"/>
    <mergeCell ref="L5:L6"/>
    <mergeCell ref="M5:M6"/>
    <mergeCell ref="B6:C6"/>
    <mergeCell ref="D6:G6"/>
    <mergeCell ref="J11:J12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A7:A8"/>
    <mergeCell ref="B7:C7"/>
    <mergeCell ref="D7:G7"/>
    <mergeCell ref="H7:H8"/>
    <mergeCell ref="I7:I8"/>
    <mergeCell ref="K7:K8"/>
    <mergeCell ref="L7:L8"/>
    <mergeCell ref="M7:M8"/>
    <mergeCell ref="B8:C8"/>
    <mergeCell ref="D8:G8"/>
    <mergeCell ref="J7:J8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5:J16"/>
    <mergeCell ref="K15:K16"/>
    <mergeCell ref="L15:L16"/>
    <mergeCell ref="M15:M16"/>
    <mergeCell ref="B16:C16"/>
    <mergeCell ref="D16:G16"/>
    <mergeCell ref="K23:K24"/>
    <mergeCell ref="B24:C24"/>
    <mergeCell ref="D24:G24"/>
    <mergeCell ref="A25:A26"/>
    <mergeCell ref="B25:C25"/>
    <mergeCell ref="D25:G25"/>
    <mergeCell ref="H25:H26"/>
    <mergeCell ref="I25:I26"/>
    <mergeCell ref="A21:A22"/>
    <mergeCell ref="B21:C21"/>
    <mergeCell ref="D21:G21"/>
    <mergeCell ref="H21:H22"/>
    <mergeCell ref="I21:I22"/>
    <mergeCell ref="A23:A24"/>
    <mergeCell ref="B26:C26"/>
    <mergeCell ref="D26:G26"/>
    <mergeCell ref="B22:C22"/>
    <mergeCell ref="D22:G22"/>
    <mergeCell ref="B23:C23"/>
    <mergeCell ref="D23:G23"/>
    <mergeCell ref="H23:H24"/>
    <mergeCell ref="I23:I24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A38:A39"/>
    <mergeCell ref="B38:C38"/>
    <mergeCell ref="D38:G38"/>
    <mergeCell ref="H38:H39"/>
    <mergeCell ref="I38:I39"/>
    <mergeCell ref="A31:A32"/>
    <mergeCell ref="B31:C31"/>
    <mergeCell ref="D31:G31"/>
    <mergeCell ref="H31:H32"/>
    <mergeCell ref="I31:I32"/>
    <mergeCell ref="D34:G34"/>
    <mergeCell ref="A36:A37"/>
    <mergeCell ref="D36:G36"/>
    <mergeCell ref="H36:H37"/>
    <mergeCell ref="I36:I37"/>
    <mergeCell ref="A33:A34"/>
    <mergeCell ref="B33:C33"/>
    <mergeCell ref="D33:G33"/>
    <mergeCell ref="H33:H34"/>
    <mergeCell ref="I33:I34"/>
    <mergeCell ref="J38:J39"/>
    <mergeCell ref="K38:K39"/>
    <mergeCell ref="L38:L39"/>
    <mergeCell ref="M38:M39"/>
    <mergeCell ref="B39:C39"/>
    <mergeCell ref="D39:G39"/>
    <mergeCell ref="K31:K32"/>
    <mergeCell ref="L31:L32"/>
    <mergeCell ref="M31:M32"/>
    <mergeCell ref="B32:C32"/>
    <mergeCell ref="D32:G32"/>
    <mergeCell ref="J31:J32"/>
    <mergeCell ref="B36:C36"/>
    <mergeCell ref="A35:M35"/>
    <mergeCell ref="J36:J37"/>
    <mergeCell ref="K36:K37"/>
    <mergeCell ref="L36:L37"/>
    <mergeCell ref="M36:M37"/>
    <mergeCell ref="B37:C37"/>
    <mergeCell ref="D37:G37"/>
    <mergeCell ref="K33:K34"/>
    <mergeCell ref="L33:L34"/>
    <mergeCell ref="M33:M34"/>
    <mergeCell ref="B34:C34"/>
    <mergeCell ref="A46:A47"/>
    <mergeCell ref="B46:C46"/>
    <mergeCell ref="D46:G46"/>
    <mergeCell ref="H46:H47"/>
    <mergeCell ref="I46:I47"/>
    <mergeCell ref="A44:A45"/>
    <mergeCell ref="B44:C44"/>
    <mergeCell ref="D44:G44"/>
    <mergeCell ref="H44:H45"/>
    <mergeCell ref="I44:I45"/>
    <mergeCell ref="J46:J47"/>
    <mergeCell ref="K46:K47"/>
    <mergeCell ref="L46:L47"/>
    <mergeCell ref="M46:M47"/>
    <mergeCell ref="B47:C47"/>
    <mergeCell ref="D47:G47"/>
    <mergeCell ref="K44:K45"/>
    <mergeCell ref="L44:L45"/>
    <mergeCell ref="M44:M45"/>
    <mergeCell ref="B45:C45"/>
    <mergeCell ref="D45:G45"/>
    <mergeCell ref="J44:J45"/>
    <mergeCell ref="B20:C20"/>
    <mergeCell ref="D20:G20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33:J34"/>
    <mergeCell ref="J19:J20"/>
    <mergeCell ref="K19:K20"/>
    <mergeCell ref="L19:L20"/>
    <mergeCell ref="M19:M20"/>
    <mergeCell ref="K17:K18"/>
    <mergeCell ref="L17:L18"/>
    <mergeCell ref="M17:M18"/>
    <mergeCell ref="J17:J18"/>
    <mergeCell ref="J29:J30"/>
    <mergeCell ref="K29:K30"/>
    <mergeCell ref="L29:L30"/>
    <mergeCell ref="M29:M30"/>
    <mergeCell ref="J25:J26"/>
    <mergeCell ref="K25:K26"/>
    <mergeCell ref="L25:L26"/>
    <mergeCell ref="M25:M26"/>
    <mergeCell ref="K21:K22"/>
    <mergeCell ref="L21:L22"/>
    <mergeCell ref="M21:M22"/>
    <mergeCell ref="L23:L24"/>
    <mergeCell ref="M23:M24"/>
    <mergeCell ref="J21:J22"/>
    <mergeCell ref="J23:J24"/>
    <mergeCell ref="M40:M41"/>
    <mergeCell ref="B41:C41"/>
    <mergeCell ref="D41:G41"/>
    <mergeCell ref="A42:A43"/>
    <mergeCell ref="B42:C42"/>
    <mergeCell ref="D42:G42"/>
    <mergeCell ref="H42:H43"/>
    <mergeCell ref="I42:I43"/>
    <mergeCell ref="J42:J43"/>
    <mergeCell ref="K42:K43"/>
    <mergeCell ref="L42:L43"/>
    <mergeCell ref="M42:M43"/>
    <mergeCell ref="B43:C43"/>
    <mergeCell ref="D43:G43"/>
    <mergeCell ref="A40:A41"/>
    <mergeCell ref="B40:C40"/>
    <mergeCell ref="D40:G40"/>
    <mergeCell ref="H40:H41"/>
    <mergeCell ref="I40:I41"/>
    <mergeCell ref="J40:J41"/>
    <mergeCell ref="K40:K41"/>
    <mergeCell ref="L40:L41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E723-4E3D-43A8-BC58-B9D577BBDB9A}">
  <sheetPr>
    <tabColor theme="5"/>
    <pageSetUpPr fitToPage="1"/>
  </sheetPr>
  <dimension ref="A1:Q51"/>
  <sheetViews>
    <sheetView zoomScale="110" zoomScaleNormal="110" workbookViewId="0">
      <selection activeCell="L3" sqref="L3:L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839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7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32.200000000000003</v>
      </c>
      <c r="I3" s="51">
        <f>SUM(J3)-3.4</f>
        <v>35.6</v>
      </c>
      <c r="J3" s="60">
        <v>39</v>
      </c>
      <c r="K3" s="51">
        <f>SUM(J3)+2.9</f>
        <v>41.9</v>
      </c>
      <c r="L3" s="51">
        <f>SUM(K3)+2.9</f>
        <v>44.8</v>
      </c>
      <c r="M3" s="70">
        <f>SUM(L3)+2.9</f>
        <v>47.699999999999996</v>
      </c>
      <c r="N3" s="84">
        <f>SUM(M3)+2.9</f>
        <v>50.599999999999994</v>
      </c>
    </row>
    <row r="4" spans="1:17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7" s="1" customFormat="1" ht="14.1" customHeight="1">
      <c r="A5" s="40">
        <v>2</v>
      </c>
      <c r="B5" s="56" t="s">
        <v>39</v>
      </c>
      <c r="C5" s="56"/>
      <c r="D5" s="55" t="s">
        <v>840</v>
      </c>
      <c r="E5" s="55"/>
      <c r="F5" s="55"/>
      <c r="G5" s="55"/>
      <c r="H5" s="51">
        <f>SUM(I5)-1.8</f>
        <v>27.599999999999998</v>
      </c>
      <c r="I5" s="51">
        <f>SUM(J5)-1.8</f>
        <v>29.4</v>
      </c>
      <c r="J5" s="39">
        <v>31.2</v>
      </c>
      <c r="K5" s="32">
        <f>SUM(J5)+1.6</f>
        <v>32.799999999999997</v>
      </c>
      <c r="L5" s="32">
        <f t="shared" ref="L5:M5" si="0">SUM(K5)+1.6</f>
        <v>34.4</v>
      </c>
      <c r="M5" s="32">
        <f t="shared" si="0"/>
        <v>36</v>
      </c>
      <c r="N5" s="82">
        <f t="shared" ref="N5" si="1">SUM(M5)+1.6</f>
        <v>37.6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39"/>
      <c r="K6" s="32"/>
      <c r="L6" s="32"/>
      <c r="M6" s="32"/>
      <c r="N6" s="82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37.5</v>
      </c>
      <c r="I7" s="51">
        <f>SUM(J7)-2.25</f>
        <v>39.75</v>
      </c>
      <c r="J7" s="60">
        <v>42</v>
      </c>
      <c r="K7" s="51">
        <f>SUM(J7)+2</f>
        <v>44</v>
      </c>
      <c r="L7" s="51">
        <f t="shared" ref="L7:N7" si="2">SUM(K7)+2</f>
        <v>46</v>
      </c>
      <c r="M7" s="51">
        <f t="shared" si="2"/>
        <v>48</v>
      </c>
      <c r="N7" s="75">
        <f t="shared" si="2"/>
        <v>50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7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37.5</v>
      </c>
      <c r="I9" s="51">
        <f>SUM(J9)-2.25</f>
        <v>39.75</v>
      </c>
      <c r="J9" s="60">
        <v>42</v>
      </c>
      <c r="K9" s="51">
        <f>SUM(J9)+2</f>
        <v>44</v>
      </c>
      <c r="L9" s="51">
        <f t="shared" ref="L9:N9" si="3">SUM(K9)+2</f>
        <v>46</v>
      </c>
      <c r="M9" s="51">
        <f t="shared" si="3"/>
        <v>48</v>
      </c>
      <c r="N9" s="75">
        <f t="shared" si="3"/>
        <v>50</v>
      </c>
    </row>
    <row r="10" spans="1:17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7" s="1" customFormat="1" ht="14.1" customHeight="1" thickBo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17.7</v>
      </c>
      <c r="I11" s="51">
        <f>SUM(J11)-0.8</f>
        <v>18.5</v>
      </c>
      <c r="J11" s="39">
        <v>19.3</v>
      </c>
      <c r="K11" s="51">
        <f>SUM(J11)+0.8</f>
        <v>20.100000000000001</v>
      </c>
      <c r="L11" s="51">
        <f t="shared" ref="L11:N11" si="4">SUM(K11)+0.8</f>
        <v>20.900000000000002</v>
      </c>
      <c r="M11" s="51">
        <f t="shared" si="4"/>
        <v>21.700000000000003</v>
      </c>
      <c r="N11" s="75">
        <f t="shared" si="4"/>
        <v>22.500000000000004</v>
      </c>
    </row>
    <row r="12" spans="1:17" s="1" customFormat="1" ht="14.1" customHeight="1" thickTop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23"/>
      <c r="L12" s="23"/>
      <c r="M12" s="23"/>
      <c r="N12" s="76"/>
      <c r="Q12" s="11"/>
    </row>
    <row r="13" spans="1:17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12.4</v>
      </c>
      <c r="I13" s="51">
        <f>SUM(J13)-0.6</f>
        <v>13</v>
      </c>
      <c r="J13" s="39">
        <v>13.6</v>
      </c>
      <c r="K13" s="32">
        <f>SUM(J13)+0.6</f>
        <v>14.2</v>
      </c>
      <c r="L13" s="32">
        <f>SUM(K13)+0.6</f>
        <v>14.799999999999999</v>
      </c>
      <c r="M13" s="32">
        <f>SUM(L13)+0.6</f>
        <v>15.399999999999999</v>
      </c>
      <c r="N13" s="82">
        <f>SUM(M13)+0.6</f>
        <v>15.999999999999998</v>
      </c>
      <c r="Q13" s="12"/>
    </row>
    <row r="14" spans="1:17" s="1" customFormat="1" ht="14.1" customHeight="1" thickBo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  <c r="Q14" s="13"/>
    </row>
    <row r="15" spans="1:17" s="1" customFormat="1" ht="14.1" customHeight="1" thickTop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6.6000000000000005</v>
      </c>
      <c r="I15" s="51">
        <f>SUM(J15)-0.3</f>
        <v>6.9</v>
      </c>
      <c r="J15" s="39">
        <v>7.2</v>
      </c>
      <c r="K15" s="32">
        <f>SUM(J15)+0.3</f>
        <v>7.5</v>
      </c>
      <c r="L15" s="32">
        <f>SUM(K15)+0.3</f>
        <v>7.8</v>
      </c>
      <c r="M15" s="128">
        <f>SUM(L15)+0.3</f>
        <v>8.1</v>
      </c>
      <c r="N15" s="131">
        <f>SUM(M15)+0.3</f>
        <v>8.4</v>
      </c>
    </row>
    <row r="16" spans="1:17" s="1" customFormat="1" ht="14.1" customHeight="1">
      <c r="A16" s="40"/>
      <c r="B16" s="52" t="s">
        <v>28</v>
      </c>
      <c r="C16" s="52"/>
      <c r="D16" s="36" t="s">
        <v>168</v>
      </c>
      <c r="E16" s="37"/>
      <c r="F16" s="37"/>
      <c r="G16" s="38"/>
      <c r="H16" s="23"/>
      <c r="I16" s="23"/>
      <c r="J16" s="39"/>
      <c r="K16" s="32"/>
      <c r="L16" s="32"/>
      <c r="M16" s="128"/>
      <c r="N16" s="131"/>
    </row>
    <row r="17" spans="1:14" s="1" customFormat="1" ht="14.1" customHeight="1">
      <c r="A17" s="40">
        <v>8</v>
      </c>
      <c r="B17" s="49" t="s">
        <v>74</v>
      </c>
      <c r="C17" s="50"/>
      <c r="D17" s="57" t="s">
        <v>841</v>
      </c>
      <c r="E17" s="58"/>
      <c r="F17" s="58"/>
      <c r="G17" s="59"/>
      <c r="H17" s="51">
        <f>SUM(I17)-1.6</f>
        <v>34</v>
      </c>
      <c r="I17" s="51">
        <f>SUM(J17)-1.6</f>
        <v>35.6</v>
      </c>
      <c r="J17" s="39">
        <v>37.200000000000003</v>
      </c>
      <c r="K17" s="32">
        <f>SUM(J17)+1.6</f>
        <v>38.800000000000004</v>
      </c>
      <c r="L17" s="32">
        <f t="shared" ref="L17:N17" si="5">SUM(K17)+1.6</f>
        <v>40.400000000000006</v>
      </c>
      <c r="M17" s="32">
        <f t="shared" si="5"/>
        <v>42.000000000000007</v>
      </c>
      <c r="N17" s="82">
        <f t="shared" si="5"/>
        <v>43.600000000000009</v>
      </c>
    </row>
    <row r="18" spans="1:14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49" t="s">
        <v>291</v>
      </c>
      <c r="C19" s="50"/>
      <c r="D19" s="68" t="s">
        <v>292</v>
      </c>
      <c r="E19" s="68"/>
      <c r="F19" s="68"/>
      <c r="G19" s="68"/>
      <c r="H19" s="51">
        <f>SUM(I19)-0.1</f>
        <v>2.0999999999999996</v>
      </c>
      <c r="I19" s="51">
        <f>SUM(J19)-0.1</f>
        <v>2.1999999999999997</v>
      </c>
      <c r="J19" s="39">
        <v>2.2999999999999998</v>
      </c>
      <c r="K19" s="32">
        <f>SUM(J19)+0.1</f>
        <v>2.4</v>
      </c>
      <c r="L19" s="32">
        <f t="shared" ref="L19:N19" si="6">SUM(K19)+0.1</f>
        <v>2.5</v>
      </c>
      <c r="M19" s="32">
        <f t="shared" si="6"/>
        <v>2.6</v>
      </c>
      <c r="N19" s="82">
        <f t="shared" si="6"/>
        <v>2.7</v>
      </c>
    </row>
    <row r="20" spans="1:14" s="1" customFormat="1" ht="14.1" customHeight="1">
      <c r="A20" s="40"/>
      <c r="B20" s="52" t="s">
        <v>293</v>
      </c>
      <c r="C20" s="52"/>
      <c r="D20" s="36" t="s">
        <v>294</v>
      </c>
      <c r="E20" s="37"/>
      <c r="F20" s="37"/>
      <c r="G20" s="38"/>
      <c r="H20" s="23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49" t="s">
        <v>76</v>
      </c>
      <c r="C21" s="50"/>
      <c r="D21" s="68" t="s">
        <v>295</v>
      </c>
      <c r="E21" s="68"/>
      <c r="F21" s="68"/>
      <c r="G21" s="68"/>
      <c r="H21" s="51">
        <f>SUM(I21)-0.2</f>
        <v>4.3</v>
      </c>
      <c r="I21" s="51">
        <f>SUM(J21)-0.2</f>
        <v>4.5</v>
      </c>
      <c r="J21" s="39">
        <v>4.7</v>
      </c>
      <c r="K21" s="32">
        <f>SUM(J21)+0.2</f>
        <v>4.9000000000000004</v>
      </c>
      <c r="L21" s="32">
        <f t="shared" ref="L21:N21" si="7">SUM(K21)+0.2</f>
        <v>5.1000000000000005</v>
      </c>
      <c r="M21" s="32">
        <f t="shared" si="7"/>
        <v>5.3000000000000007</v>
      </c>
      <c r="N21" s="82">
        <f t="shared" si="7"/>
        <v>5.5000000000000009</v>
      </c>
    </row>
    <row r="22" spans="1:14" s="1" customFormat="1" ht="14.1" customHeight="1">
      <c r="A22" s="40"/>
      <c r="B22" s="52" t="s">
        <v>549</v>
      </c>
      <c r="C22" s="52"/>
      <c r="D22" s="36" t="s">
        <v>296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297</v>
      </c>
      <c r="C23" s="50"/>
      <c r="D23" s="57" t="s">
        <v>298</v>
      </c>
      <c r="E23" s="58"/>
      <c r="F23" s="58"/>
      <c r="G23" s="59"/>
      <c r="H23" s="51">
        <f>SUM(I23)-0.2</f>
        <v>6.8</v>
      </c>
      <c r="I23" s="51">
        <f>SUM(J23)-0.2</f>
        <v>7</v>
      </c>
      <c r="J23" s="39">
        <v>7.2</v>
      </c>
      <c r="K23" s="32">
        <f>SUM(J23)+0.2</f>
        <v>7.4</v>
      </c>
      <c r="L23" s="32">
        <f t="shared" ref="L23:N23" si="8">SUM(K23)+0.2</f>
        <v>7.6000000000000005</v>
      </c>
      <c r="M23" s="32">
        <f t="shared" si="8"/>
        <v>7.8000000000000007</v>
      </c>
      <c r="N23" s="82">
        <f t="shared" si="8"/>
        <v>8</v>
      </c>
    </row>
    <row r="24" spans="1:14" s="1" customFormat="1" ht="14.1" customHeight="1">
      <c r="A24" s="40"/>
      <c r="B24" s="34" t="s">
        <v>299</v>
      </c>
      <c r="C24" s="35"/>
      <c r="D24" s="36" t="s">
        <v>300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56" t="s">
        <v>4</v>
      </c>
      <c r="C25" s="56"/>
      <c r="D25" s="55" t="s">
        <v>5</v>
      </c>
      <c r="E25" s="55"/>
      <c r="F25" s="55"/>
      <c r="G25" s="55"/>
      <c r="H25" s="51">
        <f>SUM(I25)-3.6</f>
        <v>32.599999999999994</v>
      </c>
      <c r="I25" s="51">
        <f>SUM(J25)-3.6</f>
        <v>36.199999999999996</v>
      </c>
      <c r="J25" s="39">
        <v>39.799999999999997</v>
      </c>
      <c r="K25" s="51">
        <f>SUM(J25)+3.7</f>
        <v>43.5</v>
      </c>
      <c r="L25" s="51">
        <f t="shared" ref="L25:N25" si="9">SUM(K25)+3.7</f>
        <v>47.2</v>
      </c>
      <c r="M25" s="51">
        <f t="shared" si="9"/>
        <v>50.900000000000006</v>
      </c>
      <c r="N25" s="75">
        <f t="shared" si="9"/>
        <v>54.600000000000009</v>
      </c>
    </row>
    <row r="26" spans="1:14" s="1" customFormat="1" ht="14.1" customHeight="1">
      <c r="A26" s="40"/>
      <c r="B26" s="52" t="s">
        <v>29</v>
      </c>
      <c r="C26" s="52"/>
      <c r="D26" s="36" t="s">
        <v>50</v>
      </c>
      <c r="E26" s="37"/>
      <c r="F26" s="37"/>
      <c r="G26" s="38"/>
      <c r="H26" s="23"/>
      <c r="I26" s="23"/>
      <c r="J26" s="39"/>
      <c r="K26" s="23"/>
      <c r="L26" s="23"/>
      <c r="M26" s="23"/>
      <c r="N26" s="76"/>
    </row>
    <row r="27" spans="1:14" s="1" customFormat="1" ht="14.1" customHeight="1">
      <c r="A27" s="40">
        <v>13</v>
      </c>
      <c r="B27" s="56" t="s">
        <v>6</v>
      </c>
      <c r="C27" s="56"/>
      <c r="D27" s="57" t="s">
        <v>226</v>
      </c>
      <c r="E27" s="58"/>
      <c r="F27" s="58"/>
      <c r="G27" s="59"/>
      <c r="H27" s="51">
        <f>SUM(I27)-1.4</f>
        <v>31.6</v>
      </c>
      <c r="I27" s="51">
        <f>SUM(J27)-1.4</f>
        <v>33</v>
      </c>
      <c r="J27" s="39">
        <v>34.4</v>
      </c>
      <c r="K27" s="32">
        <f>SUM(J27)+1.4</f>
        <v>35.799999999999997</v>
      </c>
      <c r="L27" s="32">
        <f t="shared" ref="L27:N27" si="10">SUM(K27)+1.4</f>
        <v>37.199999999999996</v>
      </c>
      <c r="M27" s="32">
        <f t="shared" si="10"/>
        <v>38.599999999999994</v>
      </c>
      <c r="N27" s="82">
        <f t="shared" si="10"/>
        <v>39.999999999999993</v>
      </c>
    </row>
    <row r="28" spans="1:14" s="1" customFormat="1" ht="14.1" customHeight="1">
      <c r="A28" s="40"/>
      <c r="B28" s="52" t="s">
        <v>30</v>
      </c>
      <c r="C28" s="52"/>
      <c r="D28" s="36" t="s">
        <v>275</v>
      </c>
      <c r="E28" s="37"/>
      <c r="F28" s="37"/>
      <c r="G28" s="38"/>
      <c r="H28" s="23"/>
      <c r="I28" s="23"/>
      <c r="J28" s="39"/>
      <c r="K28" s="32"/>
      <c r="L28" s="32"/>
      <c r="M28" s="32"/>
      <c r="N28" s="82"/>
    </row>
    <row r="29" spans="1:14" ht="14.1" customHeight="1">
      <c r="A29" s="40">
        <v>14</v>
      </c>
      <c r="B29" s="49" t="s">
        <v>99</v>
      </c>
      <c r="C29" s="50"/>
      <c r="D29" s="55" t="s">
        <v>69</v>
      </c>
      <c r="E29" s="55"/>
      <c r="F29" s="55"/>
      <c r="G29" s="55"/>
      <c r="H29" s="51">
        <f>SUM(I29)-1</f>
        <v>24</v>
      </c>
      <c r="I29" s="51">
        <f>SUM(J29)-1</f>
        <v>25</v>
      </c>
      <c r="J29" s="39">
        <v>26</v>
      </c>
      <c r="K29" s="32">
        <f>SUM(J29)+1</f>
        <v>27</v>
      </c>
      <c r="L29" s="32">
        <f t="shared" ref="L29:N29" si="11">SUM(K29)+1</f>
        <v>28</v>
      </c>
      <c r="M29" s="32">
        <f t="shared" si="11"/>
        <v>29</v>
      </c>
      <c r="N29" s="82">
        <f t="shared" si="11"/>
        <v>30</v>
      </c>
    </row>
    <row r="30" spans="1:14" ht="14.1" customHeight="1">
      <c r="A30" s="40"/>
      <c r="B30" s="52" t="s">
        <v>31</v>
      </c>
      <c r="C30" s="52"/>
      <c r="D30" s="36" t="s">
        <v>842</v>
      </c>
      <c r="E30" s="37"/>
      <c r="F30" s="37"/>
      <c r="G30" s="38"/>
      <c r="H30" s="23"/>
      <c r="I30" s="23"/>
      <c r="J30" s="39"/>
      <c r="K30" s="32"/>
      <c r="L30" s="32"/>
      <c r="M30" s="32"/>
      <c r="N30" s="82"/>
    </row>
    <row r="31" spans="1:14" ht="14.1" customHeight="1">
      <c r="A31" s="40">
        <v>15</v>
      </c>
      <c r="B31" s="49" t="s">
        <v>160</v>
      </c>
      <c r="C31" s="50"/>
      <c r="D31" s="57"/>
      <c r="E31" s="58"/>
      <c r="F31" s="58"/>
      <c r="G31" s="59"/>
      <c r="H31" s="51">
        <f>SUM(I31)-0.6</f>
        <v>9.3000000000000007</v>
      </c>
      <c r="I31" s="51">
        <f>SUM(J31)-0.6</f>
        <v>9.9</v>
      </c>
      <c r="J31" s="60">
        <v>10.5</v>
      </c>
      <c r="K31" s="51">
        <f>SUM(J31)+0.6</f>
        <v>11.1</v>
      </c>
      <c r="L31" s="51">
        <f t="shared" ref="L31:N31" si="12">SUM(K31)+0.6</f>
        <v>11.7</v>
      </c>
      <c r="M31" s="51">
        <f t="shared" si="12"/>
        <v>12.299999999999999</v>
      </c>
      <c r="N31" s="75">
        <f t="shared" si="12"/>
        <v>12.899999999999999</v>
      </c>
    </row>
    <row r="32" spans="1:14" ht="14.1" customHeight="1">
      <c r="A32" s="40"/>
      <c r="B32" s="77" t="s">
        <v>159</v>
      </c>
      <c r="C32" s="78"/>
      <c r="D32" s="79"/>
      <c r="E32" s="80"/>
      <c r="F32" s="80"/>
      <c r="G32" s="81"/>
      <c r="H32" s="23"/>
      <c r="I32" s="23"/>
      <c r="J32" s="21"/>
      <c r="K32" s="23"/>
      <c r="L32" s="23"/>
      <c r="M32" s="23"/>
      <c r="N32" s="76"/>
    </row>
    <row r="33" spans="1:14" ht="14.1" customHeight="1">
      <c r="A33" s="40">
        <v>16</v>
      </c>
      <c r="B33" s="49" t="s">
        <v>158</v>
      </c>
      <c r="C33" s="50"/>
      <c r="D33" s="57"/>
      <c r="E33" s="58"/>
      <c r="F33" s="58"/>
      <c r="G33" s="59"/>
      <c r="H33" s="51">
        <f>SUM(I33)-0.6</f>
        <v>10.3</v>
      </c>
      <c r="I33" s="51">
        <f>SUM(J33)-0.6</f>
        <v>10.9</v>
      </c>
      <c r="J33" s="60">
        <v>11.5</v>
      </c>
      <c r="K33" s="51">
        <f>SUM(J33)+0.6</f>
        <v>12.1</v>
      </c>
      <c r="L33" s="51">
        <f t="shared" ref="L33:N33" si="13">SUM(K33)+0.6</f>
        <v>12.7</v>
      </c>
      <c r="M33" s="51">
        <f t="shared" si="13"/>
        <v>13.299999999999999</v>
      </c>
      <c r="N33" s="75">
        <f t="shared" si="13"/>
        <v>13.899999999999999</v>
      </c>
    </row>
    <row r="34" spans="1:14" ht="14.1" customHeight="1">
      <c r="A34" s="40"/>
      <c r="B34" s="77" t="s">
        <v>157</v>
      </c>
      <c r="C34" s="78"/>
      <c r="D34" s="79" t="s">
        <v>212</v>
      </c>
      <c r="E34" s="80"/>
      <c r="F34" s="80"/>
      <c r="G34" s="81"/>
      <c r="H34" s="23"/>
      <c r="I34" s="23"/>
      <c r="J34" s="21"/>
      <c r="K34" s="23"/>
      <c r="L34" s="23"/>
      <c r="M34" s="23"/>
      <c r="N34" s="76"/>
    </row>
    <row r="35" spans="1:14" ht="14.1" customHeight="1">
      <c r="A35" s="40">
        <v>17</v>
      </c>
      <c r="B35" s="49" t="s">
        <v>141</v>
      </c>
      <c r="C35" s="50"/>
      <c r="D35" s="93" t="s">
        <v>230</v>
      </c>
      <c r="E35" s="94"/>
      <c r="F35" s="94"/>
      <c r="G35" s="95"/>
      <c r="H35" s="51">
        <f>SUM(I35)-0.6</f>
        <v>11.8</v>
      </c>
      <c r="I35" s="51">
        <f>SUM(J35)-0.6</f>
        <v>12.4</v>
      </c>
      <c r="J35" s="39">
        <v>13</v>
      </c>
      <c r="K35" s="32">
        <f>SUM(J35)+0.6</f>
        <v>13.6</v>
      </c>
      <c r="L35" s="32">
        <f t="shared" ref="L35:N35" si="14">SUM(K35)+0.6</f>
        <v>14.2</v>
      </c>
      <c r="M35" s="32">
        <f t="shared" si="14"/>
        <v>14.799999999999999</v>
      </c>
      <c r="N35" s="82">
        <f t="shared" si="14"/>
        <v>15.399999999999999</v>
      </c>
    </row>
    <row r="36" spans="1:14" ht="14.1" customHeight="1">
      <c r="A36" s="40"/>
      <c r="B36" s="34" t="s">
        <v>140</v>
      </c>
      <c r="C36" s="35"/>
      <c r="D36" s="36" t="s">
        <v>843</v>
      </c>
      <c r="E36" s="37"/>
      <c r="F36" s="37"/>
      <c r="G36" s="38"/>
      <c r="H36" s="23"/>
      <c r="I36" s="23"/>
      <c r="J36" s="39"/>
      <c r="K36" s="32"/>
      <c r="L36" s="32"/>
      <c r="M36" s="32"/>
      <c r="N36" s="82"/>
    </row>
    <row r="37" spans="1:14" ht="14.1" customHeight="1">
      <c r="A37" s="40">
        <v>18</v>
      </c>
      <c r="B37" s="49" t="s">
        <v>139</v>
      </c>
      <c r="C37" s="50"/>
      <c r="D37" s="93" t="s">
        <v>230</v>
      </c>
      <c r="E37" s="94"/>
      <c r="F37" s="94"/>
      <c r="G37" s="95"/>
      <c r="H37" s="47">
        <f>SUM(I37)-0.4</f>
        <v>6.1999999999999993</v>
      </c>
      <c r="I37" s="47">
        <f>SUM(J37)-0.4</f>
        <v>6.6</v>
      </c>
      <c r="J37" s="21">
        <v>7</v>
      </c>
      <c r="K37" s="23">
        <f>SUM(J37)+0.4</f>
        <v>7.4</v>
      </c>
      <c r="L37" s="23">
        <f t="shared" ref="L37:N37" si="15">SUM(K37)+0.4</f>
        <v>7.8000000000000007</v>
      </c>
      <c r="M37" s="23">
        <f t="shared" si="15"/>
        <v>8.2000000000000011</v>
      </c>
      <c r="N37" s="76">
        <f t="shared" si="15"/>
        <v>8.6000000000000014</v>
      </c>
    </row>
    <row r="38" spans="1:14" ht="14.1" customHeight="1">
      <c r="A38" s="40"/>
      <c r="B38" s="34" t="s">
        <v>138</v>
      </c>
      <c r="C38" s="35"/>
      <c r="D38" s="36" t="s">
        <v>844</v>
      </c>
      <c r="E38" s="37"/>
      <c r="F38" s="37"/>
      <c r="G38" s="38"/>
      <c r="H38" s="23"/>
      <c r="I38" s="23"/>
      <c r="J38" s="39"/>
      <c r="K38" s="32"/>
      <c r="L38" s="32"/>
      <c r="M38" s="32"/>
      <c r="N38" s="82"/>
    </row>
    <row r="39" spans="1:14" ht="14.1" customHeight="1">
      <c r="A39" s="40">
        <v>19</v>
      </c>
      <c r="B39" s="53"/>
      <c r="C39" s="54"/>
      <c r="D39" s="44"/>
      <c r="E39" s="45"/>
      <c r="F39" s="45"/>
      <c r="G39" s="46"/>
      <c r="H39" s="51"/>
      <c r="I39" s="51"/>
      <c r="J39" s="60"/>
      <c r="K39" s="51"/>
      <c r="L39" s="51"/>
      <c r="M39" s="51"/>
      <c r="N39" s="75"/>
    </row>
    <row r="40" spans="1:14" ht="14.1" customHeight="1" thickBot="1">
      <c r="A40" s="41"/>
      <c r="B40" s="27"/>
      <c r="C40" s="28"/>
      <c r="D40" s="29"/>
      <c r="E40" s="30"/>
      <c r="F40" s="30"/>
      <c r="G40" s="31"/>
      <c r="H40" s="48"/>
      <c r="I40" s="48"/>
      <c r="J40" s="110"/>
      <c r="K40" s="48"/>
      <c r="L40" s="48"/>
      <c r="M40" s="48"/>
      <c r="N40" s="109"/>
    </row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1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J3:J4"/>
    <mergeCell ref="K3:K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5:N16"/>
    <mergeCell ref="B12:C12"/>
    <mergeCell ref="D12:G12"/>
    <mergeCell ref="A11:A12"/>
    <mergeCell ref="B11:C11"/>
    <mergeCell ref="D11:G11"/>
    <mergeCell ref="H11:H12"/>
    <mergeCell ref="I11:I12"/>
    <mergeCell ref="J11:J12"/>
    <mergeCell ref="N13:N14"/>
    <mergeCell ref="N11:N12"/>
    <mergeCell ref="M13:M14"/>
    <mergeCell ref="N17:N18"/>
    <mergeCell ref="B14:C14"/>
    <mergeCell ref="D14:G14"/>
    <mergeCell ref="A13:A14"/>
    <mergeCell ref="B13:C13"/>
    <mergeCell ref="D13:G13"/>
    <mergeCell ref="H13:H14"/>
    <mergeCell ref="I13:I14"/>
    <mergeCell ref="J13:J14"/>
    <mergeCell ref="N23:N24"/>
    <mergeCell ref="L23:L24"/>
    <mergeCell ref="M23:M24"/>
    <mergeCell ref="B24:C24"/>
    <mergeCell ref="D24:G24"/>
    <mergeCell ref="K17:K18"/>
    <mergeCell ref="L17:L18"/>
    <mergeCell ref="M17:M18"/>
    <mergeCell ref="N21:N22"/>
    <mergeCell ref="B18:C18"/>
    <mergeCell ref="D18:G18"/>
    <mergeCell ref="B20:C20"/>
    <mergeCell ref="D20:G20"/>
    <mergeCell ref="K21:K22"/>
    <mergeCell ref="L21:L22"/>
    <mergeCell ref="B17:C17"/>
    <mergeCell ref="D17:G17"/>
    <mergeCell ref="H17:H18"/>
    <mergeCell ref="I17:I18"/>
    <mergeCell ref="J17:J18"/>
    <mergeCell ref="N19:N20"/>
    <mergeCell ref="M21:M22"/>
    <mergeCell ref="B22:C22"/>
    <mergeCell ref="D22:G22"/>
    <mergeCell ref="K27:K28"/>
    <mergeCell ref="N25:N26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N27:N28"/>
    <mergeCell ref="L27:L28"/>
    <mergeCell ref="M27:M28"/>
    <mergeCell ref="K31:K32"/>
    <mergeCell ref="N29:N30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31:N32"/>
    <mergeCell ref="L31:L32"/>
    <mergeCell ref="M31:M32"/>
    <mergeCell ref="B30:C30"/>
    <mergeCell ref="D30:G30"/>
    <mergeCell ref="A29:A30"/>
    <mergeCell ref="B29:C29"/>
    <mergeCell ref="D29:G29"/>
    <mergeCell ref="H29:H30"/>
    <mergeCell ref="I29:I30"/>
    <mergeCell ref="J29:J30"/>
    <mergeCell ref="K35:K36"/>
    <mergeCell ref="N33:N34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5:N36"/>
    <mergeCell ref="L35:L36"/>
    <mergeCell ref="M35:M36"/>
    <mergeCell ref="B34:C34"/>
    <mergeCell ref="D34:G34"/>
    <mergeCell ref="A33:A34"/>
    <mergeCell ref="B33:C33"/>
    <mergeCell ref="D33:G33"/>
    <mergeCell ref="H33:H34"/>
    <mergeCell ref="I33:I34"/>
    <mergeCell ref="J33:J34"/>
    <mergeCell ref="K39:K40"/>
    <mergeCell ref="L39:L40"/>
    <mergeCell ref="M39:M40"/>
    <mergeCell ref="N37:N38"/>
    <mergeCell ref="B40:C40"/>
    <mergeCell ref="D40:G40"/>
    <mergeCell ref="N39:N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A1:N1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A17:A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A23:A24"/>
    <mergeCell ref="B23:C23"/>
    <mergeCell ref="D23:G23"/>
    <mergeCell ref="H23:H24"/>
    <mergeCell ref="I23:I24"/>
    <mergeCell ref="J23:J24"/>
    <mergeCell ref="K23:K24"/>
    <mergeCell ref="A21:A22"/>
    <mergeCell ref="B21:C21"/>
    <mergeCell ref="D21:G21"/>
    <mergeCell ref="H21:H22"/>
    <mergeCell ref="I21:I22"/>
    <mergeCell ref="J21:J2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ABAF-AE10-444D-AC89-39DAC14B9861}">
  <sheetPr>
    <tabColor theme="5"/>
    <pageSetUpPr fitToPage="1"/>
  </sheetPr>
  <dimension ref="A1:N51"/>
  <sheetViews>
    <sheetView zoomScale="110" zoomScaleNormal="110" workbookViewId="0">
      <selection activeCell="P18" sqref="P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852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32</v>
      </c>
      <c r="I3" s="51">
        <f>SUM(J3)-3</f>
        <v>35</v>
      </c>
      <c r="J3" s="114">
        <v>38</v>
      </c>
      <c r="K3" s="70">
        <f>SUM(J3)+2.5</f>
        <v>40.5</v>
      </c>
      <c r="L3" s="70">
        <f>SUM(K3)+2.5</f>
        <v>43</v>
      </c>
      <c r="M3" s="84">
        <f>SUM(L3)+2.5</f>
        <v>45.5</v>
      </c>
    </row>
    <row r="4" spans="1:14" s="1" customFormat="1" ht="14.1" customHeight="1">
      <c r="A4" s="40"/>
      <c r="B4" s="52" t="s">
        <v>38</v>
      </c>
      <c r="C4" s="52"/>
      <c r="D4" s="36" t="s">
        <v>339</v>
      </c>
      <c r="E4" s="37"/>
      <c r="F4" s="37"/>
      <c r="G4" s="37"/>
      <c r="H4" s="23"/>
      <c r="I4" s="23"/>
      <c r="J4" s="60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SUM(I5)-1.4</f>
        <v>23.200000000000003</v>
      </c>
      <c r="I5" s="51">
        <f>SUM(J5)-1.4</f>
        <v>24.6</v>
      </c>
      <c r="J5" s="60">
        <v>26</v>
      </c>
      <c r="K5" s="51">
        <f>SUM(J5)+1.4</f>
        <v>27.4</v>
      </c>
      <c r="L5" s="51">
        <f>SUM(K5)+1.4</f>
        <v>28.799999999999997</v>
      </c>
      <c r="M5" s="75">
        <f>SUM(L5)+1.4</f>
        <v>30.199999999999996</v>
      </c>
    </row>
    <row r="6" spans="1:14" s="1" customFormat="1" ht="14.1" customHeight="1">
      <c r="A6" s="40"/>
      <c r="B6" s="52" t="s">
        <v>340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</f>
        <v>34</v>
      </c>
      <c r="I7" s="51">
        <f>SUM(J7)-2</f>
        <v>36</v>
      </c>
      <c r="J7" s="60">
        <v>38</v>
      </c>
      <c r="K7" s="51">
        <f>SUM(J7)+2</f>
        <v>40</v>
      </c>
      <c r="L7" s="51">
        <f>SUM(K7)+2</f>
        <v>42</v>
      </c>
      <c r="M7" s="75">
        <f>SUM(L7)+2</f>
        <v>44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SUM(I9)-1.5</f>
        <v>26</v>
      </c>
      <c r="I9" s="51">
        <f>SUM(J9)-1.5</f>
        <v>27.5</v>
      </c>
      <c r="J9" s="60">
        <v>29</v>
      </c>
      <c r="K9" s="51">
        <f>SUM(J9)+1.5</f>
        <v>30.5</v>
      </c>
      <c r="L9" s="51">
        <f>SUM(K9)+1.5</f>
        <v>32</v>
      </c>
      <c r="M9" s="75">
        <f>SUM(L9)+1.5</f>
        <v>33.5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342</v>
      </c>
      <c r="C11" s="56"/>
      <c r="D11" s="55"/>
      <c r="E11" s="55"/>
      <c r="F11" s="55"/>
      <c r="G11" s="55"/>
      <c r="H11" s="51">
        <f>SUM(I11)-0</f>
        <v>5</v>
      </c>
      <c r="I11" s="51">
        <f>SUM(J11)-0</f>
        <v>5</v>
      </c>
      <c r="J11" s="60">
        <v>5</v>
      </c>
      <c r="K11" s="51">
        <f>SUM(J11)+0.5</f>
        <v>5.5</v>
      </c>
      <c r="L11" s="51">
        <f>SUM(K11)+0</f>
        <v>5.5</v>
      </c>
      <c r="M11" s="75">
        <f>SUM(L11)+0</f>
        <v>5.5</v>
      </c>
    </row>
    <row r="12" spans="1:14" s="1" customFormat="1" ht="14.1" customHeight="1">
      <c r="A12" s="40"/>
      <c r="B12" s="52" t="s">
        <v>343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76"/>
    </row>
    <row r="13" spans="1:14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SUM(I13)-0.9</f>
        <v>17.200000000000003</v>
      </c>
      <c r="I13" s="51">
        <f>SUM(J13)-0.9</f>
        <v>18.100000000000001</v>
      </c>
      <c r="J13" s="39">
        <v>19</v>
      </c>
      <c r="K13" s="51">
        <f>SUM(J13)+0.9</f>
        <v>19.899999999999999</v>
      </c>
      <c r="L13" s="51">
        <f>SUM(K13)+0.9</f>
        <v>20.799999999999997</v>
      </c>
      <c r="M13" s="75">
        <f>SUM(L13)+0.9</f>
        <v>21.699999999999996</v>
      </c>
    </row>
    <row r="14" spans="1:14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23"/>
      <c r="L14" s="23"/>
      <c r="M14" s="76"/>
    </row>
    <row r="15" spans="1:14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14.8</v>
      </c>
      <c r="I15" s="51">
        <f>SUM(J15)-0.6</f>
        <v>15.4</v>
      </c>
      <c r="J15" s="39">
        <v>16</v>
      </c>
      <c r="K15" s="51">
        <f>SUM(J15)+0.6</f>
        <v>16.600000000000001</v>
      </c>
      <c r="L15" s="51">
        <f>SUM(K15)+0.6</f>
        <v>17.200000000000003</v>
      </c>
      <c r="M15" s="75">
        <f>SUM(L15)+0.6</f>
        <v>17.800000000000004</v>
      </c>
    </row>
    <row r="16" spans="1:14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5.9</v>
      </c>
      <c r="I17" s="51">
        <f>SUM(J17)-0.3</f>
        <v>6.2</v>
      </c>
      <c r="J17" s="39">
        <v>6.5</v>
      </c>
      <c r="K17" s="51">
        <f>SUM(J17)+0.3</f>
        <v>6.8</v>
      </c>
      <c r="L17" s="51">
        <f>SUM(K17)+0.3</f>
        <v>7.1</v>
      </c>
      <c r="M17" s="75">
        <f>SUM(L17)+0.3</f>
        <v>7.3999999999999995</v>
      </c>
    </row>
    <row r="18" spans="1:13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40">
        <v>9</v>
      </c>
      <c r="B19" s="49" t="s">
        <v>344</v>
      </c>
      <c r="C19" s="50"/>
      <c r="D19" s="57"/>
      <c r="E19" s="58"/>
      <c r="F19" s="58"/>
      <c r="G19" s="59"/>
      <c r="H19" s="51">
        <f>SUM(I19)</f>
        <v>3</v>
      </c>
      <c r="I19" s="51">
        <f>SUM(J19)</f>
        <v>3</v>
      </c>
      <c r="J19" s="39">
        <v>3</v>
      </c>
      <c r="K19" s="51">
        <f>SUM(J19)</f>
        <v>3</v>
      </c>
      <c r="L19" s="51">
        <f>SUM(K19)</f>
        <v>3</v>
      </c>
      <c r="M19" s="75">
        <f>SUM(L19)</f>
        <v>3</v>
      </c>
    </row>
    <row r="20" spans="1:13" s="1" customFormat="1" ht="14.1" customHeight="1">
      <c r="A20" s="40"/>
      <c r="B20" s="52" t="s">
        <v>345</v>
      </c>
      <c r="C20" s="52"/>
      <c r="D20" s="36"/>
      <c r="E20" s="37"/>
      <c r="F20" s="37"/>
      <c r="G20" s="38"/>
      <c r="H20" s="23"/>
      <c r="I20" s="23"/>
      <c r="J20" s="39"/>
      <c r="K20" s="23"/>
      <c r="L20" s="23"/>
      <c r="M20" s="76"/>
    </row>
    <row r="21" spans="1:13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47"/>
      <c r="I21" s="47"/>
      <c r="J21" s="21"/>
      <c r="K21" s="47"/>
      <c r="L21" s="47"/>
      <c r="M21" s="104"/>
    </row>
    <row r="22" spans="1:13" s="1" customFormat="1" ht="14.1" customHeight="1">
      <c r="A22" s="40"/>
      <c r="B22" s="52" t="s">
        <v>35</v>
      </c>
      <c r="C22" s="52"/>
      <c r="D22" s="36" t="s">
        <v>346</v>
      </c>
      <c r="E22" s="37"/>
      <c r="F22" s="37"/>
      <c r="G22" s="38"/>
      <c r="H22" s="23"/>
      <c r="I22" s="23"/>
      <c r="J22" s="39"/>
      <c r="K22" s="23"/>
      <c r="L22" s="23"/>
      <c r="M22" s="76"/>
    </row>
    <row r="23" spans="1:13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>
        <f>SUM(I23)-3.8</f>
        <v>32.400000000000006</v>
      </c>
      <c r="I23" s="51">
        <f>SUM(J23)-3.8</f>
        <v>36.200000000000003</v>
      </c>
      <c r="J23" s="39">
        <v>40</v>
      </c>
      <c r="K23" s="51">
        <f>SUM(J23)+3.8</f>
        <v>43.8</v>
      </c>
      <c r="L23" s="51">
        <f>SUM(K23)+3.8</f>
        <v>47.599999999999994</v>
      </c>
      <c r="M23" s="75">
        <f>SUM(L23)+3.8</f>
        <v>51.399999999999991</v>
      </c>
    </row>
    <row r="24" spans="1:13" s="1" customFormat="1" ht="14.1" customHeight="1">
      <c r="A24" s="40"/>
      <c r="B24" s="52" t="s">
        <v>347</v>
      </c>
      <c r="C24" s="52"/>
      <c r="D24" s="36" t="s">
        <v>50</v>
      </c>
      <c r="E24" s="37"/>
      <c r="F24" s="37"/>
      <c r="G24" s="38"/>
      <c r="H24" s="23"/>
      <c r="I24" s="23"/>
      <c r="J24" s="39"/>
      <c r="K24" s="23"/>
      <c r="L24" s="23"/>
      <c r="M24" s="76"/>
    </row>
    <row r="25" spans="1:13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>
        <f>SUM(I25)-1.4</f>
        <v>27.200000000000003</v>
      </c>
      <c r="I25" s="51">
        <f>SUM(J25)-1.4</f>
        <v>28.6</v>
      </c>
      <c r="J25" s="39">
        <v>30</v>
      </c>
      <c r="K25" s="51">
        <f>SUM(J25)+1.4</f>
        <v>31.4</v>
      </c>
      <c r="L25" s="51">
        <f>SUM(K25)+1.4</f>
        <v>32.799999999999997</v>
      </c>
      <c r="M25" s="75">
        <f>SUM(L25)+1.4</f>
        <v>34.199999999999996</v>
      </c>
    </row>
    <row r="26" spans="1:13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39"/>
      <c r="K26" s="23"/>
      <c r="L26" s="23"/>
      <c r="M26" s="76"/>
    </row>
    <row r="27" spans="1:13" s="1" customFormat="1" ht="14.1" customHeight="1">
      <c r="A27" s="40">
        <v>13</v>
      </c>
      <c r="B27" s="49" t="s">
        <v>99</v>
      </c>
      <c r="C27" s="50"/>
      <c r="D27" s="55" t="s">
        <v>69</v>
      </c>
      <c r="E27" s="55"/>
      <c r="F27" s="55"/>
      <c r="G27" s="55"/>
      <c r="H27" s="51">
        <f>SUM(I27)-0.6</f>
        <v>14.8</v>
      </c>
      <c r="I27" s="51">
        <f>SUM(J27)-0.6</f>
        <v>15.4</v>
      </c>
      <c r="J27" s="39">
        <v>16</v>
      </c>
      <c r="K27" s="51">
        <f>SUM(J27)+0.6</f>
        <v>16.600000000000001</v>
      </c>
      <c r="L27" s="51">
        <f>SUM(K27)+0.6</f>
        <v>17.200000000000003</v>
      </c>
      <c r="M27" s="75">
        <f>SUM(L27)+0.6</f>
        <v>17.800000000000004</v>
      </c>
    </row>
    <row r="28" spans="1:13" s="1" customFormat="1" ht="14.1" customHeight="1">
      <c r="A28" s="111"/>
      <c r="B28" s="105" t="s">
        <v>31</v>
      </c>
      <c r="C28" s="105"/>
      <c r="D28" s="67" t="s">
        <v>70</v>
      </c>
      <c r="E28" s="68"/>
      <c r="F28" s="68"/>
      <c r="G28" s="69"/>
      <c r="H28" s="23"/>
      <c r="I28" s="23"/>
      <c r="J28" s="39"/>
      <c r="K28" s="23"/>
      <c r="L28" s="23"/>
      <c r="M28" s="76"/>
    </row>
    <row r="29" spans="1:13" s="1" customFormat="1" ht="14.1" customHeight="1">
      <c r="A29" s="40">
        <v>14</v>
      </c>
      <c r="B29" s="49" t="s">
        <v>348</v>
      </c>
      <c r="C29" s="50"/>
      <c r="D29" s="57"/>
      <c r="E29" s="58"/>
      <c r="F29" s="58"/>
      <c r="G29" s="59"/>
      <c r="H29" s="51">
        <f>SUM(I29)-0</f>
        <v>4</v>
      </c>
      <c r="I29" s="51">
        <f>SUM(J29)-0</f>
        <v>4</v>
      </c>
      <c r="J29" s="60">
        <v>4</v>
      </c>
      <c r="K29" s="51">
        <f>SUM(J29)+0.5</f>
        <v>4.5</v>
      </c>
      <c r="L29" s="51">
        <f>SUM(K29)+0</f>
        <v>4.5</v>
      </c>
      <c r="M29" s="75">
        <f>SUM(L29)+0</f>
        <v>4.5</v>
      </c>
    </row>
    <row r="30" spans="1:13" s="1" customFormat="1" ht="14.1" customHeight="1">
      <c r="A30" s="111"/>
      <c r="B30" s="34" t="s">
        <v>349</v>
      </c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3.5" customHeight="1">
      <c r="A31" s="40">
        <v>15</v>
      </c>
      <c r="B31" s="49" t="s">
        <v>473</v>
      </c>
      <c r="C31" s="50"/>
      <c r="D31" s="55"/>
      <c r="E31" s="55"/>
      <c r="F31" s="55"/>
      <c r="G31" s="55"/>
      <c r="H31" s="51">
        <f>SUM(I31)</f>
        <v>3</v>
      </c>
      <c r="I31" s="51">
        <f>SUM(J31)</f>
        <v>3</v>
      </c>
      <c r="J31" s="39">
        <v>3</v>
      </c>
      <c r="K31" s="51">
        <f>SUM(J31)</f>
        <v>3</v>
      </c>
      <c r="L31" s="51">
        <f>SUM(K31)</f>
        <v>3</v>
      </c>
      <c r="M31" s="75">
        <f>SUM(L31)</f>
        <v>3</v>
      </c>
    </row>
    <row r="32" spans="1:13" ht="14.1" customHeight="1">
      <c r="A32" s="40"/>
      <c r="B32" s="34" t="s">
        <v>474</v>
      </c>
      <c r="C32" s="35"/>
      <c r="D32" s="36"/>
      <c r="E32" s="37"/>
      <c r="F32" s="37"/>
      <c r="G32" s="38"/>
      <c r="H32" s="23"/>
      <c r="I32" s="23"/>
      <c r="J32" s="39"/>
      <c r="K32" s="23"/>
      <c r="L32" s="23"/>
      <c r="M32" s="76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111"/>
      <c r="B34" s="34"/>
      <c r="C34" s="35"/>
      <c r="D34" s="36"/>
      <c r="E34" s="37"/>
      <c r="F34" s="37"/>
      <c r="G34" s="38"/>
      <c r="H34" s="47"/>
      <c r="I34" s="47"/>
      <c r="J34" s="60"/>
      <c r="K34" s="51"/>
      <c r="L34" s="51"/>
      <c r="M34" s="75"/>
    </row>
    <row r="35" spans="1:13" ht="14.1" customHeight="1">
      <c r="A35" s="40">
        <v>17</v>
      </c>
      <c r="B35" s="49"/>
      <c r="C35" s="50"/>
      <c r="D35" s="93"/>
      <c r="E35" s="94"/>
      <c r="F35" s="94"/>
      <c r="G35" s="95"/>
      <c r="H35" s="51"/>
      <c r="I35" s="51"/>
      <c r="J35" s="39"/>
      <c r="K35" s="32"/>
      <c r="L35" s="32"/>
      <c r="M35" s="82"/>
    </row>
    <row r="36" spans="1:13" ht="14.1" customHeight="1">
      <c r="A36" s="40"/>
      <c r="B36" s="34"/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66">
        <v>18</v>
      </c>
      <c r="B37" s="105"/>
      <c r="C37" s="105"/>
      <c r="D37" s="99"/>
      <c r="E37" s="99"/>
      <c r="F37" s="99"/>
      <c r="G37" s="99"/>
      <c r="H37" s="47"/>
      <c r="I37" s="47"/>
      <c r="J37" s="100"/>
      <c r="K37" s="47"/>
      <c r="L37" s="47"/>
      <c r="M37" s="104"/>
    </row>
    <row r="38" spans="1:13" ht="14.1" customHeight="1" thickBot="1">
      <c r="A38" s="41"/>
      <c r="B38" s="132"/>
      <c r="C38" s="132"/>
      <c r="D38" s="29"/>
      <c r="E38" s="30"/>
      <c r="F38" s="30"/>
      <c r="G38" s="31"/>
      <c r="H38" s="48"/>
      <c r="I38" s="48"/>
      <c r="J38" s="110"/>
      <c r="K38" s="48"/>
      <c r="L38" s="48"/>
      <c r="M38" s="10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0328-FD41-4BB9-8B6F-34F41492B642}">
  <sheetPr>
    <tabColor theme="5"/>
    <pageSetUpPr fitToPage="1"/>
  </sheetPr>
  <dimension ref="A1:P51"/>
  <sheetViews>
    <sheetView topLeftCell="A7" zoomScale="110" zoomScaleNormal="110" workbookViewId="0">
      <selection activeCell="B10" sqref="B10:C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50" t="s">
        <v>681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8" t="s">
        <v>63</v>
      </c>
      <c r="J2" s="5" t="s">
        <v>64</v>
      </c>
      <c r="K2" s="8" t="s">
        <v>65</v>
      </c>
      <c r="L2" s="8" t="s">
        <v>66</v>
      </c>
      <c r="M2" s="16" t="s">
        <v>135</v>
      </c>
      <c r="N2" s="8" t="s">
        <v>600</v>
      </c>
    </row>
    <row r="3" spans="1:16" s="1" customFormat="1" ht="14.1" customHeight="1">
      <c r="A3" s="83">
        <v>1</v>
      </c>
      <c r="B3" s="53" t="s">
        <v>103</v>
      </c>
      <c r="C3" s="54"/>
      <c r="D3" s="67" t="s">
        <v>102</v>
      </c>
      <c r="E3" s="68"/>
      <c r="F3" s="68"/>
      <c r="G3" s="69"/>
      <c r="H3" s="87">
        <f>SUM(I3)-3.4</f>
        <v>38.200000000000003</v>
      </c>
      <c r="I3" s="51">
        <f>SUM(J3)-3.4</f>
        <v>41.6</v>
      </c>
      <c r="J3" s="60">
        <v>45</v>
      </c>
      <c r="K3" s="51">
        <f>SUM(J3)+3.4</f>
        <v>48.4</v>
      </c>
      <c r="L3" s="51">
        <f>SUM(K3)+2.9</f>
        <v>51.3</v>
      </c>
      <c r="M3" s="51">
        <f>SUM(L3)+2.9</f>
        <v>54.199999999999996</v>
      </c>
      <c r="N3" s="75">
        <f>SUM(M3)+2.9</f>
        <v>57.099999999999994</v>
      </c>
    </row>
    <row r="4" spans="1:16" s="1" customFormat="1" ht="14.1" customHeight="1">
      <c r="A4" s="66"/>
      <c r="B4" s="52" t="s">
        <v>34</v>
      </c>
      <c r="C4" s="52"/>
      <c r="D4" s="36" t="s">
        <v>101</v>
      </c>
      <c r="E4" s="37"/>
      <c r="F4" s="37"/>
      <c r="G4" s="37"/>
      <c r="H4" s="86"/>
      <c r="I4" s="23"/>
      <c r="J4" s="21"/>
      <c r="K4" s="23"/>
      <c r="L4" s="23"/>
      <c r="M4" s="23"/>
      <c r="N4" s="76"/>
    </row>
    <row r="5" spans="1:16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87">
        <f>SUM(I5)-1.8</f>
        <v>32.000000000000007</v>
      </c>
      <c r="I5" s="51">
        <f>SUM(J5)-1.8</f>
        <v>33.800000000000004</v>
      </c>
      <c r="J5" s="60">
        <v>35.6</v>
      </c>
      <c r="K5" s="51">
        <f>SUM(J5)+1.8</f>
        <v>37.4</v>
      </c>
      <c r="L5" s="51">
        <f>SUM(K5)+1.6</f>
        <v>39</v>
      </c>
      <c r="M5" s="51">
        <f>SUM(L5)+1.6</f>
        <v>40.6</v>
      </c>
      <c r="N5" s="75">
        <f>SUM(M5)+1.6</f>
        <v>42.2</v>
      </c>
    </row>
    <row r="6" spans="1:16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86"/>
      <c r="I6" s="23"/>
      <c r="J6" s="21"/>
      <c r="K6" s="23"/>
      <c r="L6" s="23"/>
      <c r="M6" s="23"/>
      <c r="N6" s="76"/>
    </row>
    <row r="7" spans="1:16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87">
        <f>SUM(I7)-2.25</f>
        <v>40.5</v>
      </c>
      <c r="I7" s="51">
        <f>SUM(J7)-2.25</f>
        <v>42.75</v>
      </c>
      <c r="J7" s="60">
        <v>45</v>
      </c>
      <c r="K7" s="51">
        <f>SUM(J7)+2.25</f>
        <v>47.25</v>
      </c>
      <c r="L7" s="51">
        <f>SUM(K7)+2</f>
        <v>49.25</v>
      </c>
      <c r="M7" s="51">
        <f>SUM(L7)+2</f>
        <v>51.25</v>
      </c>
      <c r="N7" s="75">
        <f>SUM(M7)+2</f>
        <v>53.25</v>
      </c>
    </row>
    <row r="8" spans="1:16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86"/>
      <c r="I8" s="23"/>
      <c r="J8" s="21"/>
      <c r="K8" s="23"/>
      <c r="L8" s="23"/>
      <c r="M8" s="23"/>
      <c r="N8" s="76"/>
    </row>
    <row r="9" spans="1:16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87">
        <f>SUM(I9)-2.25</f>
        <v>40.5</v>
      </c>
      <c r="I9" s="51">
        <f>SUM(J9)-2.25</f>
        <v>42.75</v>
      </c>
      <c r="J9" s="60">
        <v>45</v>
      </c>
      <c r="K9" s="51">
        <f>SUM(J9)+2.25</f>
        <v>47.25</v>
      </c>
      <c r="L9" s="51">
        <f>SUM(K9)+2</f>
        <v>49.25</v>
      </c>
      <c r="M9" s="51">
        <f>SUM(L9)+2</f>
        <v>51.25</v>
      </c>
      <c r="N9" s="75">
        <f>SUM(M9)+2</f>
        <v>53.25</v>
      </c>
    </row>
    <row r="10" spans="1:16" s="1" customFormat="1" ht="14.1" customHeight="1">
      <c r="A10" s="40"/>
      <c r="B10" s="52" t="s">
        <v>820</v>
      </c>
      <c r="C10" s="52"/>
      <c r="D10" s="36" t="s">
        <v>46</v>
      </c>
      <c r="E10" s="37"/>
      <c r="F10" s="37"/>
      <c r="G10" s="38"/>
      <c r="H10" s="86"/>
      <c r="I10" s="23"/>
      <c r="J10" s="21"/>
      <c r="K10" s="23"/>
      <c r="L10" s="23"/>
      <c r="M10" s="23"/>
      <c r="N10" s="76"/>
    </row>
    <row r="11" spans="1:16" s="1" customFormat="1" ht="14.1" customHeight="1">
      <c r="A11" s="40">
        <v>5</v>
      </c>
      <c r="B11" s="56" t="s">
        <v>682</v>
      </c>
      <c r="C11" s="56"/>
      <c r="D11" s="55"/>
      <c r="E11" s="55"/>
      <c r="F11" s="55"/>
      <c r="G11" s="55"/>
      <c r="H11" s="87">
        <f>SUM(I11)-3.9</f>
        <v>75.199999999999989</v>
      </c>
      <c r="I11" s="51">
        <f>SUM(J11)-3.9</f>
        <v>79.099999999999994</v>
      </c>
      <c r="J11" s="60">
        <v>83</v>
      </c>
      <c r="K11" s="51">
        <f>SUM(J11)+3.9</f>
        <v>86.9</v>
      </c>
      <c r="L11" s="51">
        <f>SUM(K11)+3.4</f>
        <v>90.300000000000011</v>
      </c>
      <c r="M11" s="51">
        <f>SUM(L11)+3.4</f>
        <v>93.700000000000017</v>
      </c>
      <c r="N11" s="75">
        <f>SUM(M11)+3.4</f>
        <v>97.100000000000023</v>
      </c>
      <c r="P11" s="1" t="s">
        <v>686</v>
      </c>
    </row>
    <row r="12" spans="1:16" s="1" customFormat="1" ht="14.1" customHeight="1">
      <c r="A12" s="40"/>
      <c r="B12" s="52" t="s">
        <v>182</v>
      </c>
      <c r="C12" s="52"/>
      <c r="D12" s="36"/>
      <c r="E12" s="37"/>
      <c r="F12" s="37"/>
      <c r="G12" s="38"/>
      <c r="H12" s="86"/>
      <c r="I12" s="23"/>
      <c r="J12" s="21"/>
      <c r="K12" s="23"/>
      <c r="L12" s="23"/>
      <c r="M12" s="23"/>
      <c r="N12" s="76"/>
      <c r="P12" s="1">
        <f>SUM(I11+J11+K11+L11+M11+N11)</f>
        <v>530.1</v>
      </c>
    </row>
    <row r="13" spans="1:16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87">
        <f>SUM(I13)-0.9</f>
        <v>16.900000000000002</v>
      </c>
      <c r="I13" s="51">
        <f>SUM(J13)-0.8</f>
        <v>17.8</v>
      </c>
      <c r="J13" s="39">
        <v>18.600000000000001</v>
      </c>
      <c r="K13" s="32">
        <f>SUM(J13)+0.9</f>
        <v>19.5</v>
      </c>
      <c r="L13" s="32">
        <f>SUM(K13)+0.8</f>
        <v>20.3</v>
      </c>
      <c r="M13" s="32">
        <f>SUM(L13)+0.9</f>
        <v>21.2</v>
      </c>
      <c r="N13" s="82">
        <f>SUM(M13)+0.9</f>
        <v>22.099999999999998</v>
      </c>
      <c r="P13" s="1">
        <f>SUM(P12/91.44/6*1.08)</f>
        <v>1.0435039370078742</v>
      </c>
    </row>
    <row r="14" spans="1:16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86"/>
      <c r="I14" s="23"/>
      <c r="J14" s="39"/>
      <c r="K14" s="32"/>
      <c r="L14" s="32"/>
      <c r="M14" s="32"/>
      <c r="N14" s="82"/>
    </row>
    <row r="15" spans="1:16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87">
        <f>SUM(I15)-0.6</f>
        <v>13</v>
      </c>
      <c r="I15" s="51">
        <f>SUM(J15)-0.6</f>
        <v>13.6</v>
      </c>
      <c r="J15" s="39">
        <v>14.2</v>
      </c>
      <c r="K15" s="32">
        <f>SUM(J15)+0.6</f>
        <v>14.799999999999999</v>
      </c>
      <c r="L15" s="32">
        <f>SUM(K15)+0.6</f>
        <v>15.399999999999999</v>
      </c>
      <c r="M15" s="32">
        <f>SUM(L15)+0.6</f>
        <v>15.999999999999998</v>
      </c>
      <c r="N15" s="82">
        <f>SUM(M15)+0.6</f>
        <v>16.599999999999998</v>
      </c>
    </row>
    <row r="16" spans="1:16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86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87">
        <f>SUM(I17)-0.3</f>
        <v>6.9</v>
      </c>
      <c r="I17" s="51">
        <f>SUM(J17)-0.3</f>
        <v>7.2</v>
      </c>
      <c r="J17" s="39">
        <v>7.5</v>
      </c>
      <c r="K17" s="32">
        <f>SUM(J17)+0.3</f>
        <v>7.8</v>
      </c>
      <c r="L17" s="32">
        <f>SUM(K17)+0.3</f>
        <v>8.1</v>
      </c>
      <c r="M17" s="32">
        <f>SUM(L17)+0.3</f>
        <v>8.4</v>
      </c>
      <c r="N17" s="82">
        <f>SUM(M17)+0.3</f>
        <v>8.7000000000000011</v>
      </c>
    </row>
    <row r="18" spans="1:14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86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49" t="s">
        <v>74</v>
      </c>
      <c r="C19" s="50"/>
      <c r="D19" s="57" t="s">
        <v>75</v>
      </c>
      <c r="E19" s="58"/>
      <c r="F19" s="58"/>
      <c r="G19" s="59"/>
      <c r="H19" s="87">
        <f>SUM(I19)-1.6</f>
        <v>35.299999999999997</v>
      </c>
      <c r="I19" s="51">
        <f>SUM(J19)-1.6</f>
        <v>36.9</v>
      </c>
      <c r="J19" s="39">
        <v>38.5</v>
      </c>
      <c r="K19" s="32">
        <f>SUM(J19)+1.6</f>
        <v>40.1</v>
      </c>
      <c r="L19" s="32">
        <f>SUM(K19)+1.6</f>
        <v>41.7</v>
      </c>
      <c r="M19" s="32">
        <f>SUM(L19)+1.6</f>
        <v>43.300000000000004</v>
      </c>
      <c r="N19" s="82">
        <f>SUM(M19)+1.6</f>
        <v>44.900000000000006</v>
      </c>
    </row>
    <row r="20" spans="1:14" s="1" customFormat="1" ht="14.1" customHeight="1">
      <c r="A20" s="40"/>
      <c r="B20" s="52" t="s">
        <v>35</v>
      </c>
      <c r="C20" s="52"/>
      <c r="D20" s="36" t="s">
        <v>85</v>
      </c>
      <c r="E20" s="37"/>
      <c r="F20" s="37"/>
      <c r="G20" s="38"/>
      <c r="H20" s="86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49" t="s">
        <v>76</v>
      </c>
      <c r="C21" s="50"/>
      <c r="D21" s="58" t="s">
        <v>211</v>
      </c>
      <c r="E21" s="58"/>
      <c r="F21" s="58"/>
      <c r="G21" s="58"/>
      <c r="H21" s="87">
        <f>SUM(I21)-0.2</f>
        <v>3.0999999999999996</v>
      </c>
      <c r="I21" s="51">
        <f>SUM(J21)-0.2</f>
        <v>3.3</v>
      </c>
      <c r="J21" s="39">
        <v>3.5</v>
      </c>
      <c r="K21" s="32">
        <f>SUM(J21)+0.2</f>
        <v>3.7</v>
      </c>
      <c r="L21" s="32">
        <f>SUM(K21)+0.2</f>
        <v>3.9000000000000004</v>
      </c>
      <c r="M21" s="32">
        <f>SUM(L21)+0.2</f>
        <v>4.1000000000000005</v>
      </c>
      <c r="N21" s="82">
        <f>SUM(M21)+0.2</f>
        <v>4.3000000000000007</v>
      </c>
    </row>
    <row r="22" spans="1:14" s="1" customFormat="1" ht="14.1" customHeight="1">
      <c r="A22" s="40"/>
      <c r="B22" s="105" t="s">
        <v>36</v>
      </c>
      <c r="C22" s="105"/>
      <c r="D22" s="67" t="s">
        <v>212</v>
      </c>
      <c r="E22" s="68"/>
      <c r="F22" s="68"/>
      <c r="G22" s="69"/>
      <c r="H22" s="88"/>
      <c r="I22" s="47"/>
      <c r="J22" s="60"/>
      <c r="K22" s="51"/>
      <c r="L22" s="51"/>
      <c r="M22" s="51"/>
      <c r="N22" s="75"/>
    </row>
    <row r="23" spans="1:14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87">
        <f>SUM(I23)-3.6</f>
        <v>27.5</v>
      </c>
      <c r="I23" s="51">
        <f>SUM(J23)-3.6</f>
        <v>31.1</v>
      </c>
      <c r="J23" s="39">
        <v>34.700000000000003</v>
      </c>
      <c r="K23" s="32">
        <f>SUM(J23)+3.6</f>
        <v>38.300000000000004</v>
      </c>
      <c r="L23" s="32">
        <f>SUM(K23)+3.7</f>
        <v>42.000000000000007</v>
      </c>
      <c r="M23" s="32">
        <f>SUM(L23)+3.7</f>
        <v>45.70000000000001</v>
      </c>
      <c r="N23" s="82">
        <f>SUM(M23)+3.7</f>
        <v>49.400000000000013</v>
      </c>
    </row>
    <row r="24" spans="1:14" s="1" customFormat="1" ht="14.1" customHeight="1">
      <c r="A24" s="40"/>
      <c r="B24" s="52" t="s">
        <v>29</v>
      </c>
      <c r="C24" s="52"/>
      <c r="D24" s="36" t="s">
        <v>50</v>
      </c>
      <c r="E24" s="37"/>
      <c r="F24" s="37"/>
      <c r="G24" s="38"/>
      <c r="H24" s="86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87">
        <f>SUM(I25)-1.6</f>
        <v>30.799999999999997</v>
      </c>
      <c r="I25" s="51">
        <f>SUM(J25)-1.6</f>
        <v>32.4</v>
      </c>
      <c r="J25" s="39">
        <v>34</v>
      </c>
      <c r="K25" s="32">
        <f>SUM(J25)+1.6</f>
        <v>35.6</v>
      </c>
      <c r="L25" s="32">
        <f>SUM(K25)+1.6</f>
        <v>37.200000000000003</v>
      </c>
      <c r="M25" s="32">
        <f>SUM(L25)+1.6</f>
        <v>38.800000000000004</v>
      </c>
      <c r="N25" s="82">
        <f>SUM(M25)+1.6</f>
        <v>40.400000000000006</v>
      </c>
    </row>
    <row r="26" spans="1:14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86"/>
      <c r="I26" s="23"/>
      <c r="J26" s="39"/>
      <c r="K26" s="32"/>
      <c r="L26" s="32"/>
      <c r="M26" s="32"/>
      <c r="N26" s="82"/>
    </row>
    <row r="27" spans="1:14" s="1" customFormat="1" ht="14.1" customHeight="1">
      <c r="A27" s="40">
        <v>13</v>
      </c>
      <c r="B27" s="49" t="s">
        <v>683</v>
      </c>
      <c r="C27" s="50"/>
      <c r="D27" s="55" t="s">
        <v>69</v>
      </c>
      <c r="E27" s="55"/>
      <c r="F27" s="55"/>
      <c r="G27" s="55"/>
      <c r="H27" s="87">
        <f>SUM(I27)-1</f>
        <v>20</v>
      </c>
      <c r="I27" s="51">
        <f>SUM(J27)-1</f>
        <v>21</v>
      </c>
      <c r="J27" s="39">
        <v>22</v>
      </c>
      <c r="K27" s="32">
        <f>SUM(J27)+1</f>
        <v>23</v>
      </c>
      <c r="L27" s="32">
        <f>SUM(K27)+1</f>
        <v>24</v>
      </c>
      <c r="M27" s="32">
        <f>SUM(L27)+1</f>
        <v>25</v>
      </c>
      <c r="N27" s="82">
        <f>SUM(M27)+1</f>
        <v>26</v>
      </c>
    </row>
    <row r="28" spans="1:14" s="1" customFormat="1" ht="14.1" customHeight="1">
      <c r="A28" s="40"/>
      <c r="B28" s="52" t="s">
        <v>685</v>
      </c>
      <c r="C28" s="52"/>
      <c r="D28" s="36" t="s">
        <v>70</v>
      </c>
      <c r="E28" s="37"/>
      <c r="F28" s="37"/>
      <c r="G28" s="38"/>
      <c r="H28" s="86"/>
      <c r="I28" s="23"/>
      <c r="J28" s="39"/>
      <c r="K28" s="32"/>
      <c r="L28" s="32"/>
      <c r="M28" s="32"/>
      <c r="N28" s="82"/>
    </row>
    <row r="29" spans="1:14" ht="14.1" customHeight="1">
      <c r="A29" s="40">
        <v>14</v>
      </c>
      <c r="B29" s="49" t="s">
        <v>160</v>
      </c>
      <c r="C29" s="50"/>
      <c r="D29" s="57"/>
      <c r="E29" s="58"/>
      <c r="F29" s="58"/>
      <c r="G29" s="59"/>
      <c r="H29" s="87">
        <f>SUM(I29)-0.6</f>
        <v>11.3</v>
      </c>
      <c r="I29" s="51">
        <f>SUM(J29)-0.6</f>
        <v>11.9</v>
      </c>
      <c r="J29" s="60">
        <v>12.5</v>
      </c>
      <c r="K29" s="51">
        <f>SUM(J29)+0.6</f>
        <v>13.1</v>
      </c>
      <c r="L29" s="51">
        <f>SUM(K29)+0.6</f>
        <v>13.7</v>
      </c>
      <c r="M29" s="51">
        <f>SUM(L29)+0.6</f>
        <v>14.299999999999999</v>
      </c>
      <c r="N29" s="75">
        <f>SUM(M29)+0.6</f>
        <v>14.899999999999999</v>
      </c>
    </row>
    <row r="30" spans="1:14" ht="14.1" customHeight="1">
      <c r="A30" s="40"/>
      <c r="B30" s="77" t="s">
        <v>159</v>
      </c>
      <c r="C30" s="78"/>
      <c r="D30" s="79"/>
      <c r="E30" s="80"/>
      <c r="F30" s="80"/>
      <c r="G30" s="81"/>
      <c r="H30" s="86"/>
      <c r="I30" s="23"/>
      <c r="J30" s="21"/>
      <c r="K30" s="23"/>
      <c r="L30" s="23"/>
      <c r="M30" s="23"/>
      <c r="N30" s="76"/>
    </row>
    <row r="31" spans="1:14" ht="14.1" customHeight="1">
      <c r="A31" s="40">
        <v>15</v>
      </c>
      <c r="B31" s="49" t="s">
        <v>158</v>
      </c>
      <c r="C31" s="50"/>
      <c r="D31" s="57"/>
      <c r="E31" s="58"/>
      <c r="F31" s="58"/>
      <c r="G31" s="59"/>
      <c r="H31" s="87">
        <f>SUM(I31)-0.6</f>
        <v>11.3</v>
      </c>
      <c r="I31" s="51">
        <f>SUM(J31)-0.6</f>
        <v>11.9</v>
      </c>
      <c r="J31" s="60">
        <v>12.5</v>
      </c>
      <c r="K31" s="51">
        <f>SUM(J31)+0.6</f>
        <v>13.1</v>
      </c>
      <c r="L31" s="51">
        <f>SUM(K31)+0.6</f>
        <v>13.7</v>
      </c>
      <c r="M31" s="51">
        <f>SUM(L31)+0.6</f>
        <v>14.299999999999999</v>
      </c>
      <c r="N31" s="75">
        <f>SUM(M31)+0.6</f>
        <v>14.899999999999999</v>
      </c>
    </row>
    <row r="32" spans="1:14" ht="14.1" customHeight="1">
      <c r="A32" s="40"/>
      <c r="B32" s="77" t="s">
        <v>157</v>
      </c>
      <c r="C32" s="78"/>
      <c r="D32" s="79"/>
      <c r="E32" s="80"/>
      <c r="F32" s="80"/>
      <c r="G32" s="81"/>
      <c r="H32" s="86"/>
      <c r="I32" s="23"/>
      <c r="J32" s="21"/>
      <c r="K32" s="23"/>
      <c r="L32" s="23"/>
      <c r="M32" s="23"/>
      <c r="N32" s="76"/>
    </row>
    <row r="33" spans="1:14" ht="14.1" customHeight="1">
      <c r="A33" s="40">
        <v>16</v>
      </c>
      <c r="B33" s="49" t="s">
        <v>141</v>
      </c>
      <c r="C33" s="50"/>
      <c r="D33" s="58"/>
      <c r="E33" s="58"/>
      <c r="F33" s="58"/>
      <c r="G33" s="58"/>
      <c r="H33" s="87">
        <f>SUM(I33)-0.6</f>
        <v>11.3</v>
      </c>
      <c r="I33" s="51">
        <f>SUM(J33)-0.6</f>
        <v>11.9</v>
      </c>
      <c r="J33" s="39">
        <v>12.5</v>
      </c>
      <c r="K33" s="32">
        <f>SUM(J33)+0.6</f>
        <v>13.1</v>
      </c>
      <c r="L33" s="32">
        <f>SUM(K33)+0.6</f>
        <v>13.7</v>
      </c>
      <c r="M33" s="32">
        <f>SUM(L33)+0.6</f>
        <v>14.299999999999999</v>
      </c>
      <c r="N33" s="82">
        <f>SUM(M33)+0.6</f>
        <v>14.899999999999999</v>
      </c>
    </row>
    <row r="34" spans="1:14" ht="14.1" customHeight="1">
      <c r="A34" s="40"/>
      <c r="B34" s="34" t="s">
        <v>140</v>
      </c>
      <c r="C34" s="35"/>
      <c r="D34" s="36" t="s">
        <v>680</v>
      </c>
      <c r="E34" s="37"/>
      <c r="F34" s="37"/>
      <c r="G34" s="38"/>
      <c r="H34" s="86"/>
      <c r="I34" s="23"/>
      <c r="J34" s="60"/>
      <c r="K34" s="32"/>
      <c r="L34" s="32"/>
      <c r="M34" s="32"/>
      <c r="N34" s="82"/>
    </row>
    <row r="35" spans="1:14" ht="14.1" customHeight="1">
      <c r="A35" s="40">
        <v>17</v>
      </c>
      <c r="B35" s="49" t="s">
        <v>139</v>
      </c>
      <c r="C35" s="50"/>
      <c r="D35" s="57"/>
      <c r="E35" s="58"/>
      <c r="F35" s="58"/>
      <c r="G35" s="59"/>
      <c r="H35" s="87">
        <f>SUM(I35)-0.4</f>
        <v>7.1999999999999993</v>
      </c>
      <c r="I35" s="51">
        <f>SUM(J35)-0.4</f>
        <v>7.6</v>
      </c>
      <c r="J35" s="39">
        <v>8</v>
      </c>
      <c r="K35" s="32">
        <f>SUM(J35)+0.4</f>
        <v>8.4</v>
      </c>
      <c r="L35" s="32">
        <f>SUM(K35)+0.4</f>
        <v>8.8000000000000007</v>
      </c>
      <c r="M35" s="32">
        <f>SUM(L35)+0.4</f>
        <v>9.2000000000000011</v>
      </c>
      <c r="N35" s="82">
        <f>SUM(M35)+0.4</f>
        <v>9.6000000000000014</v>
      </c>
    </row>
    <row r="36" spans="1:14" ht="14.1" customHeight="1">
      <c r="A36" s="40"/>
      <c r="B36" s="34" t="s">
        <v>138</v>
      </c>
      <c r="C36" s="35"/>
      <c r="D36" s="36" t="s">
        <v>684</v>
      </c>
      <c r="E36" s="37"/>
      <c r="F36" s="37"/>
      <c r="G36" s="38"/>
      <c r="H36" s="86"/>
      <c r="I36" s="23"/>
      <c r="J36" s="39"/>
      <c r="K36" s="32"/>
      <c r="L36" s="32"/>
      <c r="M36" s="32"/>
      <c r="N36" s="82"/>
    </row>
    <row r="37" spans="1:14" ht="14.1" customHeight="1">
      <c r="A37" s="40">
        <v>18</v>
      </c>
      <c r="B37" s="49"/>
      <c r="C37" s="50"/>
      <c r="D37" s="57"/>
      <c r="E37" s="58"/>
      <c r="F37" s="58"/>
      <c r="G37" s="59"/>
      <c r="H37" s="87"/>
      <c r="I37" s="51"/>
      <c r="J37" s="39"/>
      <c r="K37" s="32"/>
      <c r="L37" s="32"/>
      <c r="M37" s="32"/>
      <c r="N37" s="82"/>
    </row>
    <row r="38" spans="1:14" ht="14.1" customHeight="1">
      <c r="A38" s="40"/>
      <c r="B38" s="34"/>
      <c r="C38" s="35"/>
      <c r="D38" s="36"/>
      <c r="E38" s="37"/>
      <c r="F38" s="37"/>
      <c r="G38" s="38"/>
      <c r="H38" s="86"/>
      <c r="I38" s="23"/>
      <c r="J38" s="39"/>
      <c r="K38" s="32"/>
      <c r="L38" s="32"/>
      <c r="M38" s="32"/>
      <c r="N38" s="82"/>
    </row>
    <row r="39" spans="1:14" ht="14.1" customHeight="1">
      <c r="A39" s="66">
        <v>19</v>
      </c>
      <c r="B39" s="53"/>
      <c r="C39" s="54"/>
      <c r="D39" s="67"/>
      <c r="E39" s="68"/>
      <c r="F39" s="68"/>
      <c r="G39" s="69"/>
      <c r="H39" s="88"/>
      <c r="I39" s="47"/>
      <c r="J39" s="21"/>
      <c r="K39" s="23"/>
      <c r="L39" s="23"/>
      <c r="M39" s="23"/>
      <c r="N39" s="76"/>
    </row>
    <row r="40" spans="1:14" ht="14.1" customHeight="1">
      <c r="A40" s="40"/>
      <c r="B40" s="34"/>
      <c r="C40" s="35"/>
      <c r="D40" s="36"/>
      <c r="E40" s="37"/>
      <c r="F40" s="37"/>
      <c r="G40" s="38"/>
      <c r="H40" s="86"/>
      <c r="I40" s="23"/>
      <c r="J40" s="39"/>
      <c r="K40" s="32"/>
      <c r="L40" s="32"/>
      <c r="M40" s="32"/>
      <c r="N40" s="82"/>
    </row>
    <row r="41" spans="1:14" ht="14.1" customHeight="1">
      <c r="A41" s="40">
        <v>20</v>
      </c>
      <c r="B41" s="49"/>
      <c r="C41" s="50"/>
      <c r="D41" s="93"/>
      <c r="E41" s="94"/>
      <c r="F41" s="94"/>
      <c r="G41" s="95"/>
      <c r="H41" s="87"/>
      <c r="I41" s="51"/>
      <c r="J41" s="39"/>
      <c r="K41" s="32"/>
      <c r="L41" s="32"/>
      <c r="M41" s="32"/>
      <c r="N41" s="82"/>
    </row>
    <row r="42" spans="1:14" ht="14.1" customHeight="1">
      <c r="A42" s="40"/>
      <c r="B42" s="53"/>
      <c r="C42" s="54"/>
      <c r="D42" s="67"/>
      <c r="E42" s="68"/>
      <c r="F42" s="68"/>
      <c r="G42" s="69"/>
      <c r="H42" s="86"/>
      <c r="I42" s="23"/>
      <c r="J42" s="60"/>
      <c r="K42" s="32"/>
      <c r="L42" s="32"/>
      <c r="M42" s="32"/>
      <c r="N42" s="82"/>
    </row>
    <row r="43" spans="1:14" ht="13.5" customHeight="1">
      <c r="A43" s="40">
        <v>21</v>
      </c>
      <c r="B43" s="49"/>
      <c r="C43" s="50"/>
      <c r="D43" s="93"/>
      <c r="E43" s="94"/>
      <c r="F43" s="94"/>
      <c r="G43" s="95"/>
      <c r="H43" s="87"/>
      <c r="I43" s="51"/>
      <c r="J43" s="39"/>
      <c r="K43" s="32"/>
      <c r="L43" s="32"/>
      <c r="M43" s="32"/>
      <c r="N43" s="82"/>
    </row>
    <row r="44" spans="1:14" ht="14.1" customHeight="1">
      <c r="A44" s="40"/>
      <c r="B44" s="34"/>
      <c r="C44" s="35"/>
      <c r="D44" s="36"/>
      <c r="E44" s="37"/>
      <c r="F44" s="37"/>
      <c r="G44" s="38"/>
      <c r="H44" s="86"/>
      <c r="I44" s="23"/>
      <c r="J44" s="60"/>
      <c r="K44" s="32"/>
      <c r="L44" s="32"/>
      <c r="M44" s="32"/>
      <c r="N44" s="82"/>
    </row>
    <row r="45" spans="1:14" ht="14.1" customHeight="1">
      <c r="A45" s="40">
        <v>22</v>
      </c>
      <c r="B45" s="53"/>
      <c r="C45" s="54"/>
      <c r="D45" s="44"/>
      <c r="E45" s="45"/>
      <c r="F45" s="45"/>
      <c r="G45" s="46"/>
      <c r="H45" s="87"/>
      <c r="I45" s="51"/>
      <c r="J45" s="39"/>
      <c r="K45" s="32"/>
      <c r="L45" s="32"/>
      <c r="M45" s="32"/>
      <c r="N45" s="82"/>
    </row>
    <row r="46" spans="1:14" ht="14.1" customHeight="1" thickBot="1">
      <c r="A46" s="41"/>
      <c r="B46" s="27"/>
      <c r="C46" s="28"/>
      <c r="D46" s="29"/>
      <c r="E46" s="30"/>
      <c r="F46" s="30"/>
      <c r="G46" s="31"/>
      <c r="H46" s="176"/>
      <c r="I46" s="48"/>
      <c r="J46" s="22"/>
      <c r="K46" s="24"/>
      <c r="L46" s="24"/>
      <c r="M46" s="24"/>
      <c r="N46" s="92"/>
    </row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67">
    <mergeCell ref="N41:N42"/>
    <mergeCell ref="N43:N44"/>
    <mergeCell ref="N45:N46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K11:K12"/>
    <mergeCell ref="L11:L12"/>
    <mergeCell ref="M11:M12"/>
    <mergeCell ref="B12:C12"/>
    <mergeCell ref="D12:G12"/>
    <mergeCell ref="B11:C11"/>
    <mergeCell ref="D11:G11"/>
    <mergeCell ref="H11:H12"/>
    <mergeCell ref="I11:I12"/>
    <mergeCell ref="J11:J12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11:A12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F5E1-3B9A-4800-8DDF-169B867A18FF}">
  <sheetPr>
    <tabColor theme="5"/>
    <pageSetUpPr fitToPage="1"/>
  </sheetPr>
  <dimension ref="A1:Q61"/>
  <sheetViews>
    <sheetView topLeftCell="A19" zoomScale="110" zoomScaleNormal="110" workbookViewId="0">
      <selection activeCell="J35" sqref="J35:J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261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47"/>
      <c r="N9" s="127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69</v>
      </c>
      <c r="I11" s="51">
        <f>SUM(J11)-3.5</f>
        <v>72.5</v>
      </c>
      <c r="J11" s="100">
        <v>76</v>
      </c>
      <c r="K11" s="47">
        <f>SUM(J11)+3.5</f>
        <v>79.5</v>
      </c>
      <c r="L11" s="47">
        <f>SUM(K11)+3.5</f>
        <v>83</v>
      </c>
      <c r="M11" s="47">
        <f>SUM(L11)+3.5</f>
        <v>86.5</v>
      </c>
      <c r="N11" s="104">
        <f>SUM(M11)+3.5</f>
        <v>90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72.7</v>
      </c>
      <c r="I13" s="51">
        <f>SUM(J13)-4</f>
        <v>76.7</v>
      </c>
      <c r="J13" s="100">
        <v>80.7</v>
      </c>
      <c r="K13" s="47">
        <f>SUM(J13)+4</f>
        <v>84.7</v>
      </c>
      <c r="L13" s="47">
        <f>SUM(K13)+4</f>
        <v>88.7</v>
      </c>
      <c r="M13" s="47">
        <f>SUM(L13)+4</f>
        <v>92.7</v>
      </c>
      <c r="N13" s="104">
        <f>SUM(M13)+4</f>
        <v>96.7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12.600000000000001</v>
      </c>
      <c r="I15" s="51">
        <f>SUM(J15)-0.7</f>
        <v>13.3</v>
      </c>
      <c r="J15" s="60">
        <v>14</v>
      </c>
      <c r="K15" s="51">
        <f>SUM(J15)+1.2</f>
        <v>15.2</v>
      </c>
      <c r="L15" s="51">
        <f>SUM(K15)+0.7</f>
        <v>15.899999999999999</v>
      </c>
      <c r="M15" s="51">
        <f>SUM(L15)+0.7</f>
        <v>16.599999999999998</v>
      </c>
      <c r="N15" s="123">
        <f>SUM(M15)+0.7</f>
        <v>17.299999999999997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23"/>
      <c r="N16" s="125"/>
    </row>
    <row r="17" spans="1:17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56"/>
      <c r="N17" s="187"/>
    </row>
    <row r="18" spans="1:17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88"/>
    </row>
    <row r="19" spans="1:17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51"/>
      <c r="N19" s="123"/>
    </row>
    <row r="20" spans="1:17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7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53</v>
      </c>
      <c r="I21" s="51">
        <f>SUM(J21)-7</f>
        <v>60</v>
      </c>
      <c r="J21" s="60">
        <v>67</v>
      </c>
      <c r="K21" s="51">
        <f>SUM(J21)+6</f>
        <v>73</v>
      </c>
      <c r="L21" s="51">
        <f>SUM(K21)+6</f>
        <v>79</v>
      </c>
      <c r="M21" s="51">
        <f>SUM(L21)+6</f>
        <v>85</v>
      </c>
      <c r="N21" s="123">
        <f>SUM(M21)+6</f>
        <v>91</v>
      </c>
    </row>
    <row r="22" spans="1:17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7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40</v>
      </c>
      <c r="I23" s="51">
        <f>SUM(J23)-2</f>
        <v>42</v>
      </c>
      <c r="J23" s="60">
        <v>44</v>
      </c>
      <c r="K23" s="51">
        <f>SUM(J23)+2</f>
        <v>46</v>
      </c>
      <c r="L23" s="51">
        <f>SUM(K23)+2</f>
        <v>48</v>
      </c>
      <c r="M23" s="51">
        <f>SUM(L23)+2</f>
        <v>50</v>
      </c>
      <c r="N23" s="75">
        <f>SUM(M23)+2</f>
        <v>52</v>
      </c>
    </row>
    <row r="24" spans="1:17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7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20.599999999999998</v>
      </c>
      <c r="I25" s="51">
        <f>SUM(J25)-1.1</f>
        <v>21.7</v>
      </c>
      <c r="J25" s="60">
        <v>22.8</v>
      </c>
      <c r="K25" s="51">
        <f>SUM(J25)+1.6</f>
        <v>24.400000000000002</v>
      </c>
      <c r="L25" s="51">
        <f>SUM(K25)+1.1</f>
        <v>25.500000000000004</v>
      </c>
      <c r="M25" s="56">
        <f>SUM(L25)+1.1</f>
        <v>26.600000000000005</v>
      </c>
      <c r="N25" s="187">
        <f>SUM(M25)+1.1</f>
        <v>27.700000000000006</v>
      </c>
    </row>
    <row r="26" spans="1:17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8"/>
    </row>
    <row r="27" spans="1:17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27.5</v>
      </c>
      <c r="I27" s="51">
        <f>SUM(J27)-1.3</f>
        <v>28.8</v>
      </c>
      <c r="J27" s="60">
        <v>30.1</v>
      </c>
      <c r="K27" s="51">
        <f>SUM(J27)+1.8</f>
        <v>31.900000000000002</v>
      </c>
      <c r="L27" s="51">
        <f>SUM(K27)+1.3</f>
        <v>33.200000000000003</v>
      </c>
      <c r="M27" s="56">
        <f>SUM(L27)+1.4</f>
        <v>34.6</v>
      </c>
      <c r="N27" s="185">
        <f>SUM(M27)+1.4</f>
        <v>36</v>
      </c>
      <c r="Q27" s="1">
        <f>SUM(H43+H43+I43+I43+J43+J43+K43+K43+L43+L43+M43+M43+N43+N43)/7/91.44*1.08</f>
        <v>0.82677165354330717</v>
      </c>
    </row>
    <row r="28" spans="1:17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6"/>
    </row>
    <row r="29" spans="1:17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SUM(I29)-2.7</f>
        <v>45.599999999999994</v>
      </c>
      <c r="I29" s="51">
        <f>SUM(J29)-2.7</f>
        <v>48.3</v>
      </c>
      <c r="J29" s="60">
        <v>51</v>
      </c>
      <c r="K29" s="51">
        <f>SUM(J29)+2.6</f>
        <v>53.6</v>
      </c>
      <c r="L29" s="51">
        <f>SUM(K29)+2.6</f>
        <v>56.2</v>
      </c>
      <c r="M29" s="51">
        <f>SUM(L29)+2.6</f>
        <v>58.800000000000004</v>
      </c>
      <c r="N29" s="75">
        <f>SUM(M29)+2.6</f>
        <v>61.400000000000006</v>
      </c>
    </row>
    <row r="30" spans="1:17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7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33.299999999999997</v>
      </c>
      <c r="I31" s="51">
        <f>SUM(J31)-6</f>
        <v>39.299999999999997</v>
      </c>
      <c r="J31" s="60">
        <v>45.3</v>
      </c>
      <c r="K31" s="51">
        <f>SUM(J31)+4.5</f>
        <v>49.8</v>
      </c>
      <c r="L31" s="51">
        <f>SUM(K31)+5</f>
        <v>54.8</v>
      </c>
      <c r="M31" s="51">
        <f>SUM(L31)+5</f>
        <v>59.8</v>
      </c>
      <c r="N31" s="123">
        <f>SUM(M31)+5</f>
        <v>64.8</v>
      </c>
    </row>
    <row r="32" spans="1:17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SUM(I33)-2.1</f>
        <v>42.5</v>
      </c>
      <c r="I33" s="51">
        <f>SUM(J33)-2.1</f>
        <v>44.6</v>
      </c>
      <c r="J33" s="60">
        <v>46.7</v>
      </c>
      <c r="K33" s="51">
        <f>SUM(J33)+2.1</f>
        <v>48.800000000000004</v>
      </c>
      <c r="L33" s="51">
        <f>SUM(K33)+2.1</f>
        <v>50.900000000000006</v>
      </c>
      <c r="M33" s="51">
        <f>SUM(L33)+2.1</f>
        <v>53.000000000000007</v>
      </c>
      <c r="N33" s="75">
        <f>SUM(M33)+2.1</f>
        <v>55.100000000000009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SUM(I35)-3.4</f>
        <v>33.200000000000003</v>
      </c>
      <c r="I35" s="51">
        <f>SUM(J35)-3.4</f>
        <v>36.6</v>
      </c>
      <c r="J35" s="60">
        <v>40</v>
      </c>
      <c r="K35" s="51">
        <f>SUM(J35)+3.3</f>
        <v>43.3</v>
      </c>
      <c r="L35" s="51">
        <f>SUM(K35)+3</f>
        <v>46.3</v>
      </c>
      <c r="M35" s="51">
        <f>SUM(L35)+3</f>
        <v>49.3</v>
      </c>
      <c r="N35" s="75">
        <f>SUM(M35)+3</f>
        <v>52.3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174</v>
      </c>
      <c r="C37" s="50"/>
      <c r="D37" s="57"/>
      <c r="E37" s="58"/>
      <c r="F37" s="58"/>
      <c r="G37" s="59"/>
      <c r="H37" s="51">
        <f>SUM(I37)-0.5</f>
        <v>10</v>
      </c>
      <c r="I37" s="51">
        <f>SUM(J37)-0.5</f>
        <v>10.5</v>
      </c>
      <c r="J37" s="60">
        <v>11</v>
      </c>
      <c r="K37" s="51">
        <f>SUM(J37)+0.5</f>
        <v>11.5</v>
      </c>
      <c r="L37" s="51">
        <f>SUM(K37)+0.5</f>
        <v>12</v>
      </c>
      <c r="M37" s="51">
        <f>SUM(L37)+0.5</f>
        <v>12.5</v>
      </c>
      <c r="N37" s="75">
        <f>SUM(M37)+0.5</f>
        <v>13</v>
      </c>
    </row>
    <row r="38" spans="1:14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23"/>
      <c r="I38" s="23"/>
      <c r="J38" s="21"/>
      <c r="K38" s="23"/>
      <c r="L38" s="23"/>
      <c r="M38" s="23"/>
      <c r="N38" s="76"/>
    </row>
    <row r="39" spans="1:14" s="1" customFormat="1" ht="14.1" customHeight="1">
      <c r="A39" s="182">
        <v>19</v>
      </c>
      <c r="B39" s="49" t="s">
        <v>176</v>
      </c>
      <c r="C39" s="50"/>
      <c r="D39" s="57"/>
      <c r="E39" s="58"/>
      <c r="F39" s="58"/>
      <c r="G39" s="59"/>
      <c r="H39" s="51">
        <f>SUM(I39)-0.5</f>
        <v>11</v>
      </c>
      <c r="I39" s="51">
        <f>SUM(J39)-0.5</f>
        <v>11.5</v>
      </c>
      <c r="J39" s="60">
        <v>12</v>
      </c>
      <c r="K39" s="51">
        <f>SUM(J39)+0.5</f>
        <v>12.5</v>
      </c>
      <c r="L39" s="51">
        <f>SUM(K39)+0.5</f>
        <v>13</v>
      </c>
      <c r="M39" s="51">
        <f>SUM(L39)+0.5</f>
        <v>13.5</v>
      </c>
      <c r="N39" s="123">
        <f>SUM(M39)+0.5</f>
        <v>14</v>
      </c>
    </row>
    <row r="40" spans="1:14" s="1" customFormat="1" ht="14.1" customHeight="1">
      <c r="A40" s="184"/>
      <c r="B40" s="77" t="s">
        <v>177</v>
      </c>
      <c r="C40" s="78"/>
      <c r="D40" s="79"/>
      <c r="E40" s="80"/>
      <c r="F40" s="80"/>
      <c r="G40" s="81"/>
      <c r="H40" s="23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 t="s">
        <v>105</v>
      </c>
      <c r="C41" s="50"/>
      <c r="D41" s="57"/>
      <c r="E41" s="58"/>
      <c r="F41" s="58"/>
      <c r="G41" s="59"/>
      <c r="H41" s="51">
        <f>SUM(I41)-0.5</f>
        <v>11.5</v>
      </c>
      <c r="I41" s="51">
        <f>SUM(J41)-0.5</f>
        <v>12</v>
      </c>
      <c r="J41" s="60">
        <v>12.5</v>
      </c>
      <c r="K41" s="51">
        <f>SUM(J41)+0.5</f>
        <v>13</v>
      </c>
      <c r="L41" s="51">
        <f>SUM(K41)+0.5</f>
        <v>13.5</v>
      </c>
      <c r="M41" s="51">
        <f>SUM(L41)+0.5</f>
        <v>14</v>
      </c>
      <c r="N41" s="123">
        <f>SUM(M41)+0.5</f>
        <v>14.5</v>
      </c>
    </row>
    <row r="42" spans="1:14" s="1" customFormat="1" ht="14.1" customHeight="1">
      <c r="A42" s="184"/>
      <c r="B42" s="77" t="s">
        <v>178</v>
      </c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181</v>
      </c>
      <c r="C43" s="50"/>
      <c r="D43" s="57" t="s">
        <v>238</v>
      </c>
      <c r="E43" s="58"/>
      <c r="F43" s="58"/>
      <c r="G43" s="59"/>
      <c r="H43" s="51">
        <f>SUM(I43)</f>
        <v>35</v>
      </c>
      <c r="I43" s="51">
        <f>SUM(J43)</f>
        <v>35</v>
      </c>
      <c r="J43" s="60">
        <v>35</v>
      </c>
      <c r="K43" s="51">
        <f>SUM(J43)</f>
        <v>35</v>
      </c>
      <c r="L43" s="51">
        <f>SUM(K43)</f>
        <v>35</v>
      </c>
      <c r="M43" s="51">
        <f>SUM(L43)</f>
        <v>35</v>
      </c>
      <c r="N43" s="123">
        <f>SUM(M43)</f>
        <v>35</v>
      </c>
    </row>
    <row r="44" spans="1:14" s="1" customFormat="1" ht="13.5" customHeight="1">
      <c r="A44" s="184"/>
      <c r="B44" s="144" t="s">
        <v>182</v>
      </c>
      <c r="C44" s="145"/>
      <c r="D44" s="146" t="s">
        <v>241</v>
      </c>
      <c r="E44" s="147"/>
      <c r="F44" s="147"/>
      <c r="G44" s="148"/>
      <c r="H44" s="47"/>
      <c r="I44" s="47"/>
      <c r="J44" s="100"/>
      <c r="K44" s="47"/>
      <c r="L44" s="47"/>
      <c r="M44" s="47"/>
      <c r="N44" s="127"/>
    </row>
    <row r="45" spans="1:14" s="1" customFormat="1" ht="13.5" customHeight="1">
      <c r="A45" s="182">
        <v>22</v>
      </c>
      <c r="B45" s="49"/>
      <c r="C45" s="50"/>
      <c r="D45" s="57"/>
      <c r="E45" s="58"/>
      <c r="F45" s="58"/>
      <c r="G45" s="59"/>
      <c r="H45" s="51"/>
      <c r="I45" s="51"/>
      <c r="J45" s="60"/>
      <c r="K45" s="51"/>
      <c r="L45" s="51"/>
      <c r="M45" s="51"/>
      <c r="N45" s="123"/>
    </row>
    <row r="46" spans="1:14" s="1" customFormat="1" ht="13.5" customHeight="1" thickBot="1">
      <c r="A46" s="183"/>
      <c r="B46" s="177"/>
      <c r="C46" s="178"/>
      <c r="D46" s="179"/>
      <c r="E46" s="180"/>
      <c r="F46" s="180"/>
      <c r="G46" s="181"/>
      <c r="H46" s="48"/>
      <c r="I46" s="48"/>
      <c r="J46" s="110"/>
      <c r="K46" s="48"/>
      <c r="L46" s="48"/>
      <c r="M46" s="48"/>
      <c r="N46" s="124"/>
    </row>
    <row r="47" spans="1:14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E6B6-BCA5-4A8D-A8E4-E06983A6D284}">
  <sheetPr>
    <tabColor theme="5"/>
    <pageSetUpPr fitToPage="1"/>
  </sheetPr>
  <dimension ref="A1:Q61"/>
  <sheetViews>
    <sheetView topLeftCell="A19" zoomScale="110" zoomScaleNormal="110" workbookViewId="0">
      <selection activeCell="J27" sqref="J27:J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237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47"/>
      <c r="N9" s="127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67</v>
      </c>
      <c r="I11" s="51">
        <f>SUM(J11)-4.5</f>
        <v>71.5</v>
      </c>
      <c r="J11" s="100">
        <v>76</v>
      </c>
      <c r="K11" s="47">
        <f>SUM(J11)+4.5</f>
        <v>80.5</v>
      </c>
      <c r="L11" s="47">
        <f>SUM(K11)+4.5</f>
        <v>85</v>
      </c>
      <c r="M11" s="47">
        <f>SUM(L11)+4.5</f>
        <v>89.5</v>
      </c>
      <c r="N11" s="127">
        <f>SUM(M11)+4.5</f>
        <v>94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125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87">
        <f>SUM(I13)-5.5</f>
        <v>79.599999999999994</v>
      </c>
      <c r="I13" s="87">
        <f>SUM(J13)-5.5</f>
        <v>85.1</v>
      </c>
      <c r="J13" s="197">
        <v>90.6</v>
      </c>
      <c r="K13" s="87">
        <f>SUM(J13)+5.5</f>
        <v>96.1</v>
      </c>
      <c r="L13" s="87">
        <f t="shared" ref="L13:M13" si="0">SUM(K13)+5.5</f>
        <v>101.6</v>
      </c>
      <c r="M13" s="87">
        <f t="shared" si="0"/>
        <v>107.1</v>
      </c>
      <c r="N13" s="195">
        <f t="shared" ref="N13" si="1">SUM(M13)+5.5</f>
        <v>112.6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86"/>
      <c r="I14" s="86"/>
      <c r="J14" s="198"/>
      <c r="K14" s="86"/>
      <c r="L14" s="86"/>
      <c r="M14" s="86"/>
      <c r="N14" s="19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12.8</v>
      </c>
      <c r="I15" s="51">
        <f>SUM(J15)-0.7</f>
        <v>13.5</v>
      </c>
      <c r="J15" s="60">
        <v>14.2</v>
      </c>
      <c r="K15" s="51">
        <f>SUM(J15)+1.2</f>
        <v>15.399999999999999</v>
      </c>
      <c r="L15" s="51">
        <f>SUM(K15)+0.7</f>
        <v>16.099999999999998</v>
      </c>
      <c r="M15" s="51">
        <f>SUM(L15)+0.7</f>
        <v>16.799999999999997</v>
      </c>
      <c r="N15" s="123">
        <f>SUM(M15)+0.7</f>
        <v>17.499999999999996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23"/>
      <c r="N16" s="125"/>
    </row>
    <row r="17" spans="1:17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56"/>
      <c r="N17" s="187"/>
    </row>
    <row r="18" spans="1:17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88"/>
    </row>
    <row r="19" spans="1:17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51"/>
      <c r="N19" s="123"/>
    </row>
    <row r="20" spans="1:17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7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55</v>
      </c>
      <c r="I21" s="51">
        <f>SUM(J21)-7</f>
        <v>62</v>
      </c>
      <c r="J21" s="60">
        <v>69</v>
      </c>
      <c r="K21" s="51">
        <f>SUM(J21)+6</f>
        <v>75</v>
      </c>
      <c r="L21" s="51">
        <f>SUM(K21)+6</f>
        <v>81</v>
      </c>
      <c r="M21" s="51">
        <f>SUM(L21)+6</f>
        <v>87</v>
      </c>
      <c r="N21" s="123">
        <f>SUM(M21)+6</f>
        <v>93</v>
      </c>
    </row>
    <row r="22" spans="1:17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7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SUM(I23)-2.2</f>
        <v>39.599999999999994</v>
      </c>
      <c r="I23" s="51">
        <f>SUM(J23)-2.2</f>
        <v>41.8</v>
      </c>
      <c r="J23" s="60">
        <v>44</v>
      </c>
      <c r="K23" s="51">
        <f>SUM(J23)+2.2</f>
        <v>46.2</v>
      </c>
      <c r="L23" s="51">
        <f t="shared" ref="L23:M23" si="2">SUM(K23)+2.2</f>
        <v>48.400000000000006</v>
      </c>
      <c r="M23" s="51">
        <f t="shared" si="2"/>
        <v>50.600000000000009</v>
      </c>
      <c r="N23" s="123">
        <f t="shared" ref="N23" si="3">SUM(M23)+2.2</f>
        <v>52.800000000000011</v>
      </c>
    </row>
    <row r="24" spans="1:17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125"/>
    </row>
    <row r="25" spans="1:17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20.799999999999997</v>
      </c>
      <c r="I25" s="51">
        <f>SUM(J25)-1.1</f>
        <v>21.9</v>
      </c>
      <c r="J25" s="60">
        <v>23</v>
      </c>
      <c r="K25" s="51">
        <f>SUM(J25)+1.6</f>
        <v>24.6</v>
      </c>
      <c r="L25" s="51">
        <f>SUM(K25)+1.1</f>
        <v>25.700000000000003</v>
      </c>
      <c r="M25" s="56">
        <f>SUM(L25)+1.1</f>
        <v>26.800000000000004</v>
      </c>
      <c r="N25" s="187">
        <f>SUM(M25)+1.1</f>
        <v>27.900000000000006</v>
      </c>
    </row>
    <row r="26" spans="1:17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8"/>
    </row>
    <row r="27" spans="1:17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27.9</v>
      </c>
      <c r="I27" s="51">
        <f>SUM(J27)-1.3</f>
        <v>29.2</v>
      </c>
      <c r="J27" s="60">
        <v>30.5</v>
      </c>
      <c r="K27" s="51">
        <f>SUM(J27)+1.8</f>
        <v>32.299999999999997</v>
      </c>
      <c r="L27" s="51">
        <f>SUM(K27)+1.3</f>
        <v>33.599999999999994</v>
      </c>
      <c r="M27" s="56">
        <f>SUM(L27)+1.4</f>
        <v>34.999999999999993</v>
      </c>
      <c r="N27" s="185">
        <f>SUM(M27)+1.4</f>
        <v>36.399999999999991</v>
      </c>
      <c r="Q27" s="1">
        <f>SUM(H45+H45+I45+I45+J45+J45+K45+K45+L45+L45+M45+M45+N45+N45)/7/91.44*1.08</f>
        <v>1.3748031496062991</v>
      </c>
    </row>
    <row r="28" spans="1:17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6"/>
    </row>
    <row r="29" spans="1:17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SUM(I29)-3.3</f>
        <v>47.400000000000006</v>
      </c>
      <c r="I29" s="51">
        <f>SUM(J29)-3.4</f>
        <v>50.7</v>
      </c>
      <c r="J29" s="60">
        <v>54.1</v>
      </c>
      <c r="K29" s="51">
        <f>SUM(J29)+3.3</f>
        <v>57.4</v>
      </c>
      <c r="L29" s="51">
        <f t="shared" ref="L29:M29" si="4">SUM(K29)+3.3</f>
        <v>60.699999999999996</v>
      </c>
      <c r="M29" s="51">
        <f t="shared" si="4"/>
        <v>63.999999999999993</v>
      </c>
      <c r="N29" s="123">
        <f>SUM(M29)+3.4</f>
        <v>67.399999999999991</v>
      </c>
    </row>
    <row r="30" spans="1:17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125"/>
    </row>
    <row r="31" spans="1:17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35</v>
      </c>
      <c r="I31" s="51">
        <f>SUM(J31)-6</f>
        <v>41</v>
      </c>
      <c r="J31" s="60">
        <v>47</v>
      </c>
      <c r="K31" s="51">
        <f>SUM(J31)+4.5</f>
        <v>51.5</v>
      </c>
      <c r="L31" s="51">
        <f>SUM(K31)+5</f>
        <v>56.5</v>
      </c>
      <c r="M31" s="51">
        <f>SUM(L31)+5</f>
        <v>61.5</v>
      </c>
      <c r="N31" s="123">
        <f>SUM(M31)+5</f>
        <v>66.5</v>
      </c>
    </row>
    <row r="32" spans="1:17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SUM(I33)-2.4</f>
        <v>43.300000000000004</v>
      </c>
      <c r="I33" s="51">
        <f>SUM(J33)-2.4</f>
        <v>45.7</v>
      </c>
      <c r="J33" s="60">
        <v>48.1</v>
      </c>
      <c r="K33" s="51">
        <f>SUM(J33)+2.4</f>
        <v>50.5</v>
      </c>
      <c r="L33" s="51">
        <f t="shared" ref="L33:M33" si="5">SUM(K33)+2.4</f>
        <v>52.9</v>
      </c>
      <c r="M33" s="51">
        <f t="shared" si="5"/>
        <v>55.3</v>
      </c>
      <c r="N33" s="123">
        <f t="shared" ref="N33" si="6">SUM(M33)+2.4</f>
        <v>57.699999999999996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3"/>
      <c r="N34" s="125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SUM(I35)-3.3</f>
        <v>33.800000000000004</v>
      </c>
      <c r="I35" s="51">
        <f>SUM(J35)-3.3</f>
        <v>37.1</v>
      </c>
      <c r="J35" s="60">
        <v>40.4</v>
      </c>
      <c r="K35" s="51">
        <f>SUM(J35)+3.3</f>
        <v>43.699999999999996</v>
      </c>
      <c r="L35" s="51">
        <f>SUM(K35)+2.9</f>
        <v>46.599999999999994</v>
      </c>
      <c r="M35" s="51">
        <f>SUM(L35)+3</f>
        <v>49.599999999999994</v>
      </c>
      <c r="N35" s="123">
        <f>SUM(M35)+2.9</f>
        <v>52.499999999999993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125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3.8</v>
      </c>
      <c r="I37" s="51">
        <f>SUM(J37)-0.2</f>
        <v>4</v>
      </c>
      <c r="J37" s="39">
        <v>4.2</v>
      </c>
      <c r="K37" s="32">
        <f>SUM(J37)+0.2</f>
        <v>4.4000000000000004</v>
      </c>
      <c r="L37" s="32">
        <f t="shared" ref="L37:M37" si="7">SUM(K37)+0.2</f>
        <v>4.6000000000000005</v>
      </c>
      <c r="M37" s="32">
        <f t="shared" si="7"/>
        <v>4.8000000000000007</v>
      </c>
      <c r="N37" s="126">
        <f t="shared" ref="N37" si="8">SUM(M37)+0.2</f>
        <v>5.0000000000000009</v>
      </c>
    </row>
    <row r="38" spans="1:14" s="1" customFormat="1" ht="14.1" customHeight="1">
      <c r="A38" s="184"/>
      <c r="B38" s="77" t="s">
        <v>55</v>
      </c>
      <c r="C38" s="78"/>
      <c r="D38" s="79" t="s">
        <v>240</v>
      </c>
      <c r="E38" s="80"/>
      <c r="F38" s="80"/>
      <c r="G38" s="81"/>
      <c r="H38" s="23"/>
      <c r="I38" s="23"/>
      <c r="J38" s="39"/>
      <c r="K38" s="32"/>
      <c r="L38" s="32"/>
      <c r="M38" s="32"/>
      <c r="N38" s="12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9.9</v>
      </c>
      <c r="I39" s="51">
        <f>SUM(J39)-0.6</f>
        <v>10.5</v>
      </c>
      <c r="J39" s="60">
        <v>11.1</v>
      </c>
      <c r="K39" s="51">
        <f>SUM(J39)+0.6</f>
        <v>11.7</v>
      </c>
      <c r="L39" s="51">
        <f t="shared" ref="L39:M39" si="9">SUM(K39)+0.6</f>
        <v>12.299999999999999</v>
      </c>
      <c r="M39" s="51">
        <f t="shared" si="9"/>
        <v>12.899999999999999</v>
      </c>
      <c r="N39" s="123">
        <f t="shared" ref="N39" si="10">SUM(M39)+0.6</f>
        <v>13.499999999999998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 t="s">
        <v>176</v>
      </c>
      <c r="C41" s="50"/>
      <c r="D41" s="57"/>
      <c r="E41" s="58"/>
      <c r="F41" s="58"/>
      <c r="G41" s="59"/>
      <c r="H41" s="51">
        <f>SUM(I41)-0.5</f>
        <v>11</v>
      </c>
      <c r="I41" s="51">
        <f>SUM(J41)-0.5</f>
        <v>11.5</v>
      </c>
      <c r="J41" s="60">
        <v>12</v>
      </c>
      <c r="K41" s="51">
        <f>SUM(J41)+0.5</f>
        <v>12.5</v>
      </c>
      <c r="L41" s="51">
        <f>SUM(K41)+0.5</f>
        <v>13</v>
      </c>
      <c r="M41" s="51">
        <f>SUM(L41)+0.5</f>
        <v>13.5</v>
      </c>
      <c r="N41" s="123">
        <f>SUM(M41)+0.5</f>
        <v>14</v>
      </c>
    </row>
    <row r="42" spans="1:14" s="1" customFormat="1" ht="14.1" customHeight="1">
      <c r="A42" s="184"/>
      <c r="B42" s="77" t="s">
        <v>177</v>
      </c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7"/>
      <c r="E43" s="58"/>
      <c r="F43" s="58"/>
      <c r="G43" s="59"/>
      <c r="H43" s="51">
        <f>SUM(I43)-0.5</f>
        <v>11.5</v>
      </c>
      <c r="I43" s="51">
        <f>SUM(J43)-0.5</f>
        <v>12</v>
      </c>
      <c r="J43" s="60">
        <v>12.5</v>
      </c>
      <c r="K43" s="51">
        <f>SUM(J43)+0.5</f>
        <v>13</v>
      </c>
      <c r="L43" s="51">
        <f>SUM(K43)+0.5</f>
        <v>13.5</v>
      </c>
      <c r="M43" s="51">
        <f>SUM(L43)+0.5</f>
        <v>14</v>
      </c>
      <c r="N43" s="123">
        <f>SUM(M43)+0.5</f>
        <v>14.5</v>
      </c>
    </row>
    <row r="44" spans="1:14" s="1" customFormat="1" ht="13.5" customHeight="1">
      <c r="A44" s="184"/>
      <c r="B44" s="77" t="s">
        <v>178</v>
      </c>
      <c r="C44" s="78"/>
      <c r="D44" s="79"/>
      <c r="E44" s="80"/>
      <c r="F44" s="80"/>
      <c r="G44" s="81"/>
      <c r="H44" s="23"/>
      <c r="I44" s="23"/>
      <c r="J44" s="21"/>
      <c r="K44" s="23"/>
      <c r="L44" s="23"/>
      <c r="M44" s="23"/>
      <c r="N44" s="125"/>
    </row>
    <row r="45" spans="1:14" s="1" customFormat="1" ht="13.5" customHeight="1">
      <c r="A45" s="182">
        <v>22</v>
      </c>
      <c r="B45" s="49" t="s">
        <v>179</v>
      </c>
      <c r="C45" s="50"/>
      <c r="D45" s="55"/>
      <c r="E45" s="55"/>
      <c r="F45" s="55"/>
      <c r="G45" s="55"/>
      <c r="H45" s="51">
        <f>SUM(I45)-2.2</f>
        <v>51.599999999999994</v>
      </c>
      <c r="I45" s="51">
        <f>SUM(J45)-2.2</f>
        <v>53.8</v>
      </c>
      <c r="J45" s="60">
        <v>56</v>
      </c>
      <c r="K45" s="51">
        <f>SUM(J45)+2.2</f>
        <v>58.2</v>
      </c>
      <c r="L45" s="51">
        <f t="shared" ref="L45:N45" si="11">SUM(K45)+2.2</f>
        <v>60.400000000000006</v>
      </c>
      <c r="M45" s="51">
        <f t="shared" si="11"/>
        <v>62.600000000000009</v>
      </c>
      <c r="N45" s="123">
        <f t="shared" si="11"/>
        <v>64.800000000000011</v>
      </c>
    </row>
    <row r="46" spans="1:14" s="1" customFormat="1" ht="13.5" customHeight="1">
      <c r="A46" s="184"/>
      <c r="B46" s="52" t="s">
        <v>180</v>
      </c>
      <c r="C46" s="52"/>
      <c r="D46" s="36"/>
      <c r="E46" s="37"/>
      <c r="F46" s="37"/>
      <c r="G46" s="38"/>
      <c r="H46" s="23"/>
      <c r="I46" s="23"/>
      <c r="J46" s="21"/>
      <c r="K46" s="23"/>
      <c r="L46" s="23"/>
      <c r="M46" s="23"/>
      <c r="N46" s="125"/>
    </row>
    <row r="47" spans="1:14" s="1" customFormat="1" ht="13.5" customHeight="1">
      <c r="A47" s="182">
        <v>23</v>
      </c>
      <c r="B47" s="49" t="s">
        <v>181</v>
      </c>
      <c r="C47" s="50"/>
      <c r="D47" s="57" t="s">
        <v>238</v>
      </c>
      <c r="E47" s="58"/>
      <c r="F47" s="58"/>
      <c r="G47" s="59"/>
      <c r="H47" s="51">
        <f>SUM(I47)</f>
        <v>35</v>
      </c>
      <c r="I47" s="51">
        <f>SUM(J47)</f>
        <v>35</v>
      </c>
      <c r="J47" s="60">
        <v>35</v>
      </c>
      <c r="K47" s="51">
        <f>SUM(J47)</f>
        <v>35</v>
      </c>
      <c r="L47" s="51">
        <f t="shared" ref="L47:M47" si="12">SUM(K47)</f>
        <v>35</v>
      </c>
      <c r="M47" s="51">
        <f t="shared" si="12"/>
        <v>35</v>
      </c>
      <c r="N47" s="123">
        <f t="shared" ref="N47" si="13">SUM(M47)</f>
        <v>35</v>
      </c>
    </row>
    <row r="48" spans="1:14" s="1" customFormat="1" ht="13.5" customHeight="1" thickBot="1">
      <c r="A48" s="183"/>
      <c r="B48" s="177" t="s">
        <v>182</v>
      </c>
      <c r="C48" s="178"/>
      <c r="D48" s="179" t="s">
        <v>241</v>
      </c>
      <c r="E48" s="180"/>
      <c r="F48" s="180"/>
      <c r="G48" s="181"/>
      <c r="H48" s="48"/>
      <c r="I48" s="48"/>
      <c r="J48" s="110"/>
      <c r="K48" s="48"/>
      <c r="L48" s="48"/>
      <c r="M48" s="48"/>
      <c r="N48" s="124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79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J41:J42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D45:G45"/>
    <mergeCell ref="H45:H46"/>
    <mergeCell ref="I45:I46"/>
    <mergeCell ref="A43:A44"/>
    <mergeCell ref="B43:C43"/>
    <mergeCell ref="D43:G43"/>
    <mergeCell ref="H43:H44"/>
    <mergeCell ref="I43:I44"/>
    <mergeCell ref="J43:J44"/>
    <mergeCell ref="N3:N4"/>
    <mergeCell ref="N5:N6"/>
    <mergeCell ref="N7:N8"/>
    <mergeCell ref="N9:N10"/>
    <mergeCell ref="N11:N12"/>
    <mergeCell ref="A47:A48"/>
    <mergeCell ref="B47:C47"/>
    <mergeCell ref="D47:G47"/>
    <mergeCell ref="H47:H48"/>
    <mergeCell ref="I47:I48"/>
    <mergeCell ref="J47:J48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A45:A46"/>
    <mergeCell ref="B45:C45"/>
    <mergeCell ref="A1:N1"/>
    <mergeCell ref="N37:N38"/>
    <mergeCell ref="N39:N40"/>
    <mergeCell ref="N41:N42"/>
    <mergeCell ref="N43:N44"/>
    <mergeCell ref="N45:N46"/>
    <mergeCell ref="N47:N48"/>
    <mergeCell ref="N25:N26"/>
    <mergeCell ref="N27:N28"/>
    <mergeCell ref="N29:N30"/>
    <mergeCell ref="N31:N32"/>
    <mergeCell ref="N33:N34"/>
    <mergeCell ref="N35:N36"/>
    <mergeCell ref="N13:N14"/>
    <mergeCell ref="N15:N16"/>
    <mergeCell ref="N17:N18"/>
    <mergeCell ref="N19:N20"/>
    <mergeCell ref="N21:N22"/>
    <mergeCell ref="N23:N24"/>
    <mergeCell ref="K47:K48"/>
    <mergeCell ref="L47:L48"/>
    <mergeCell ref="M47:M48"/>
    <mergeCell ref="B48:C48"/>
    <mergeCell ref="D48:G4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2AA2-21BC-458A-BE39-B3DC4DF659CA}">
  <sheetPr>
    <tabColor theme="5"/>
    <pageSetUpPr fitToPage="1"/>
  </sheetPr>
  <dimension ref="A1:Q61"/>
  <sheetViews>
    <sheetView zoomScale="110" zoomScaleNormal="110" workbookViewId="0">
      <selection activeCell="J27" sqref="J27:J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1">
        <f>SUM(I3)-2.5</f>
        <v>44</v>
      </c>
      <c r="I3" s="51">
        <f>SUM(J3)-2.5</f>
        <v>46.5</v>
      </c>
      <c r="J3" s="71">
        <v>49</v>
      </c>
      <c r="K3" s="70">
        <f>SUM(J3)+2.5</f>
        <v>51.5</v>
      </c>
      <c r="L3" s="70">
        <f>SUM(K3)+2.5</f>
        <v>54</v>
      </c>
      <c r="M3" s="70">
        <f>SUM(L3)+2.5</f>
        <v>56.5</v>
      </c>
      <c r="N3" s="130">
        <f>SUM(M3)+2.5</f>
        <v>59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115</v>
      </c>
      <c r="C5" s="54"/>
      <c r="D5" s="67"/>
      <c r="E5" s="68"/>
      <c r="F5" s="68"/>
      <c r="G5" s="69"/>
      <c r="H5" s="51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114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49" t="s">
        <v>123</v>
      </c>
      <c r="C7" s="50"/>
      <c r="D7" s="67"/>
      <c r="E7" s="68"/>
      <c r="F7" s="68"/>
      <c r="G7" s="69"/>
      <c r="H7" s="51">
        <f>SUM(I7)-3.5</f>
        <v>54.2</v>
      </c>
      <c r="I7" s="51">
        <f>SUM(J7)-3.5</f>
        <v>57.7</v>
      </c>
      <c r="J7" s="100">
        <v>61.2</v>
      </c>
      <c r="K7" s="47">
        <f>SUM(J7)+3.5</f>
        <v>64.7</v>
      </c>
      <c r="L7" s="47">
        <f>SUM(K7)+3.5</f>
        <v>68.2</v>
      </c>
      <c r="M7" s="47">
        <f>SUM(L7)+3.5</f>
        <v>71.7</v>
      </c>
      <c r="N7" s="127">
        <f>SUM(M7)+3.5</f>
        <v>75.2</v>
      </c>
    </row>
    <row r="8" spans="1:14" s="1" customFormat="1" ht="14.1" customHeight="1">
      <c r="A8" s="184"/>
      <c r="B8" s="77" t="s">
        <v>124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11</v>
      </c>
      <c r="C9" s="50"/>
      <c r="D9" s="57" t="s">
        <v>12</v>
      </c>
      <c r="E9" s="58"/>
      <c r="F9" s="58"/>
      <c r="G9" s="59"/>
      <c r="H9" s="51">
        <f>SUM(I9)-4</f>
        <v>58.2</v>
      </c>
      <c r="I9" s="51">
        <f>SUM(J9)-4</f>
        <v>62.2</v>
      </c>
      <c r="J9" s="60">
        <v>66.2</v>
      </c>
      <c r="K9" s="51">
        <f>SUM(J9)+4</f>
        <v>70.2</v>
      </c>
      <c r="L9" s="51">
        <f>SUM(K9)+4</f>
        <v>74.2</v>
      </c>
      <c r="M9" s="51">
        <f>SUM(L9)+4</f>
        <v>78.2</v>
      </c>
      <c r="N9" s="123">
        <f>SUM(M9)+4</f>
        <v>82.2</v>
      </c>
    </row>
    <row r="10" spans="1:14" s="1" customFormat="1" ht="14.1" customHeight="1">
      <c r="A10" s="184"/>
      <c r="B10" s="77" t="s">
        <v>51</v>
      </c>
      <c r="C10" s="78"/>
      <c r="D10" s="79" t="s">
        <v>98</v>
      </c>
      <c r="E10" s="80"/>
      <c r="F10" s="80"/>
      <c r="G10" s="81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182">
        <v>5</v>
      </c>
      <c r="B11" s="49" t="s">
        <v>113</v>
      </c>
      <c r="C11" s="50"/>
      <c r="D11" s="57"/>
      <c r="E11" s="58"/>
      <c r="F11" s="58"/>
      <c r="G11" s="59"/>
      <c r="H11" s="51">
        <f>SUM(I11)-0.7</f>
        <v>11.3</v>
      </c>
      <c r="I11" s="51">
        <f>SUM(J11)-0.7</f>
        <v>12</v>
      </c>
      <c r="J11" s="60">
        <v>12.7</v>
      </c>
      <c r="K11" s="51">
        <f>SUM(J11)+1.2</f>
        <v>13.899999999999999</v>
      </c>
      <c r="L11" s="51">
        <f>SUM(K11)+0.7</f>
        <v>14.599999999999998</v>
      </c>
      <c r="M11" s="56">
        <f>SUM(L11)+0.7</f>
        <v>15.299999999999997</v>
      </c>
      <c r="N11" s="187">
        <f>SUM(M11)+0.7</f>
        <v>15.999999999999996</v>
      </c>
    </row>
    <row r="12" spans="1:14" s="1" customFormat="1" ht="14.1" customHeight="1">
      <c r="A12" s="184"/>
      <c r="B12" s="77" t="s">
        <v>112</v>
      </c>
      <c r="C12" s="78"/>
      <c r="D12" s="139" t="s">
        <v>127</v>
      </c>
      <c r="E12" s="140"/>
      <c r="F12" s="140"/>
      <c r="G12" s="141"/>
      <c r="H12" s="23"/>
      <c r="I12" s="23"/>
      <c r="J12" s="21"/>
      <c r="K12" s="23"/>
      <c r="L12" s="23"/>
      <c r="M12" s="52"/>
      <c r="N12" s="188"/>
    </row>
    <row r="13" spans="1:14" s="1" customFormat="1" ht="14.1" customHeight="1">
      <c r="A13" s="182">
        <v>6</v>
      </c>
      <c r="B13" s="49" t="s">
        <v>9</v>
      </c>
      <c r="C13" s="50"/>
      <c r="D13" s="57" t="s">
        <v>73</v>
      </c>
      <c r="E13" s="58"/>
      <c r="F13" s="58"/>
      <c r="G13" s="59"/>
      <c r="H13" s="51">
        <f>SUM(I13)-7</f>
        <v>50.5</v>
      </c>
      <c r="I13" s="51">
        <f>SUM(J13)-7</f>
        <v>57.5</v>
      </c>
      <c r="J13" s="60">
        <v>64.5</v>
      </c>
      <c r="K13" s="51">
        <f>SUM(J13)+6</f>
        <v>70.5</v>
      </c>
      <c r="L13" s="51">
        <f>SUM(K13)+6</f>
        <v>76.5</v>
      </c>
      <c r="M13" s="51">
        <f>SUM(L13)+6</f>
        <v>82.5</v>
      </c>
      <c r="N13" s="123">
        <f>SUM(M13)+6</f>
        <v>88.5</v>
      </c>
    </row>
    <row r="14" spans="1:14" s="1" customFormat="1" ht="14.1" customHeight="1">
      <c r="A14" s="184"/>
      <c r="B14" s="77" t="s">
        <v>52</v>
      </c>
      <c r="C14" s="78"/>
      <c r="D14" s="79" t="s">
        <v>97</v>
      </c>
      <c r="E14" s="80"/>
      <c r="F14" s="80"/>
      <c r="G14" s="81"/>
      <c r="H14" s="23"/>
      <c r="I14" s="23"/>
      <c r="J14" s="21"/>
      <c r="K14" s="23"/>
      <c r="L14" s="23"/>
      <c r="M14" s="23"/>
      <c r="N14" s="125"/>
    </row>
    <row r="15" spans="1:14" s="1" customFormat="1" ht="14.1" customHeight="1">
      <c r="A15" s="182">
        <v>7</v>
      </c>
      <c r="B15" s="49" t="s">
        <v>14</v>
      </c>
      <c r="C15" s="50"/>
      <c r="D15" s="57" t="s">
        <v>15</v>
      </c>
      <c r="E15" s="58"/>
      <c r="F15" s="58"/>
      <c r="G15" s="59"/>
      <c r="H15" s="51">
        <f>SUM(I15)-2.4</f>
        <v>35.200000000000003</v>
      </c>
      <c r="I15" s="51">
        <f>SUM(J15)-2.4</f>
        <v>37.6</v>
      </c>
      <c r="J15" s="60">
        <v>40</v>
      </c>
      <c r="K15" s="51">
        <f>SUM(J15)+2.4</f>
        <v>42.4</v>
      </c>
      <c r="L15" s="51">
        <f t="shared" ref="L15:N15" si="0">SUM(K15)+2.4</f>
        <v>44.8</v>
      </c>
      <c r="M15" s="51">
        <f t="shared" si="0"/>
        <v>47.199999999999996</v>
      </c>
      <c r="N15" s="75">
        <f t="shared" si="0"/>
        <v>49.599999999999994</v>
      </c>
    </row>
    <row r="16" spans="1:14" s="1" customFormat="1" ht="14.1" customHeight="1">
      <c r="A16" s="184"/>
      <c r="B16" s="77" t="s">
        <v>53</v>
      </c>
      <c r="C16" s="78"/>
      <c r="D16" s="36" t="s">
        <v>96</v>
      </c>
      <c r="E16" s="37"/>
      <c r="F16" s="37"/>
      <c r="G16" s="38"/>
      <c r="H16" s="23"/>
      <c r="I16" s="23"/>
      <c r="J16" s="21"/>
      <c r="K16" s="23"/>
      <c r="L16" s="23"/>
      <c r="M16" s="23"/>
      <c r="N16" s="76"/>
    </row>
    <row r="17" spans="1:17" s="1" customFormat="1" ht="14.1" customHeight="1">
      <c r="A17" s="182">
        <v>8</v>
      </c>
      <c r="B17" s="49" t="s">
        <v>16</v>
      </c>
      <c r="C17" s="50"/>
      <c r="D17" s="57" t="s">
        <v>13</v>
      </c>
      <c r="E17" s="58"/>
      <c r="F17" s="58"/>
      <c r="G17" s="59"/>
      <c r="H17" s="51">
        <f>SUM(I17)-1.1</f>
        <v>18.999999999999996</v>
      </c>
      <c r="I17" s="51">
        <f>SUM(J17)-1.1</f>
        <v>20.099999999999998</v>
      </c>
      <c r="J17" s="60">
        <v>21.2</v>
      </c>
      <c r="K17" s="51">
        <f>SUM(J17)+1.6</f>
        <v>22.8</v>
      </c>
      <c r="L17" s="51">
        <f>SUM(K17)+1.1</f>
        <v>23.900000000000002</v>
      </c>
      <c r="M17" s="56">
        <f>SUM(L17)+1.1</f>
        <v>25.000000000000004</v>
      </c>
      <c r="N17" s="187">
        <f>SUM(M17)+1.1</f>
        <v>26.100000000000005</v>
      </c>
    </row>
    <row r="18" spans="1:17" s="1" customFormat="1" ht="14.1" customHeight="1">
      <c r="A18" s="184"/>
      <c r="B18" s="77" t="s">
        <v>59</v>
      </c>
      <c r="C18" s="78"/>
      <c r="D18" s="79" t="s">
        <v>95</v>
      </c>
      <c r="E18" s="80"/>
      <c r="F18" s="80"/>
      <c r="G18" s="81"/>
      <c r="H18" s="23"/>
      <c r="I18" s="23"/>
      <c r="J18" s="21"/>
      <c r="K18" s="23"/>
      <c r="L18" s="23"/>
      <c r="M18" s="52"/>
      <c r="N18" s="188"/>
    </row>
    <row r="19" spans="1:17" s="1" customFormat="1" ht="14.1" customHeight="1">
      <c r="A19" s="182">
        <v>9</v>
      </c>
      <c r="B19" s="49" t="s">
        <v>17</v>
      </c>
      <c r="C19" s="50"/>
      <c r="D19" s="57" t="s">
        <v>13</v>
      </c>
      <c r="E19" s="58"/>
      <c r="F19" s="58"/>
      <c r="G19" s="59"/>
      <c r="H19" s="51">
        <f>SUM(I19)-1.3</f>
        <v>24.299999999999997</v>
      </c>
      <c r="I19" s="51">
        <f>SUM(J19)-1.3</f>
        <v>25.599999999999998</v>
      </c>
      <c r="J19" s="60">
        <v>26.9</v>
      </c>
      <c r="K19" s="51">
        <f>SUM(J19)+1.8</f>
        <v>28.7</v>
      </c>
      <c r="L19" s="51">
        <f>SUM(K19)+1.3</f>
        <v>30</v>
      </c>
      <c r="M19" s="56">
        <f>SUM(L19)+1.3</f>
        <v>31.3</v>
      </c>
      <c r="N19" s="187">
        <f>SUM(M19)+1.3</f>
        <v>32.6</v>
      </c>
    </row>
    <row r="20" spans="1:17" s="1" customFormat="1" ht="14.1" customHeight="1">
      <c r="A20" s="184"/>
      <c r="B20" s="77" t="s">
        <v>58</v>
      </c>
      <c r="C20" s="78"/>
      <c r="D20" s="79" t="s">
        <v>95</v>
      </c>
      <c r="E20" s="80"/>
      <c r="F20" s="80"/>
      <c r="G20" s="81"/>
      <c r="H20" s="23"/>
      <c r="I20" s="23"/>
      <c r="J20" s="21"/>
      <c r="K20" s="23"/>
      <c r="L20" s="23"/>
      <c r="M20" s="52"/>
      <c r="N20" s="188"/>
    </row>
    <row r="21" spans="1:17" s="1" customFormat="1" ht="14.1" customHeight="1">
      <c r="A21" s="182">
        <v>10</v>
      </c>
      <c r="B21" s="49" t="s">
        <v>18</v>
      </c>
      <c r="C21" s="50"/>
      <c r="D21" s="57" t="s">
        <v>19</v>
      </c>
      <c r="E21" s="58"/>
      <c r="F21" s="58"/>
      <c r="G21" s="59"/>
      <c r="H21" s="51">
        <f>SUM(I21)-2.8</f>
        <v>32.300000000000004</v>
      </c>
      <c r="I21" s="51">
        <f>SUM(J21)-2.8</f>
        <v>35.1</v>
      </c>
      <c r="J21" s="60">
        <v>37.9</v>
      </c>
      <c r="K21" s="51">
        <f>SUM(J21)+2.6</f>
        <v>40.5</v>
      </c>
      <c r="L21" s="51">
        <f>SUM(K21)+2.6</f>
        <v>43.1</v>
      </c>
      <c r="M21" s="51">
        <f>SUM(L21)+2.6</f>
        <v>45.7</v>
      </c>
      <c r="N21" s="123">
        <f>SUM(M21)+2.6</f>
        <v>48.300000000000004</v>
      </c>
    </row>
    <row r="22" spans="1:17" s="1" customFormat="1" ht="14.1" customHeight="1">
      <c r="A22" s="184"/>
      <c r="B22" s="77" t="s">
        <v>57</v>
      </c>
      <c r="C22" s="78"/>
      <c r="D22" s="79" t="s">
        <v>94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7" s="1" customFormat="1" ht="14.1" customHeight="1">
      <c r="A23" s="182">
        <v>11</v>
      </c>
      <c r="B23" s="49" t="s">
        <v>20</v>
      </c>
      <c r="C23" s="50"/>
      <c r="D23" s="57" t="s">
        <v>21</v>
      </c>
      <c r="E23" s="58"/>
      <c r="F23" s="58"/>
      <c r="G23" s="59"/>
      <c r="H23" s="51">
        <f>SUM(I23)-6</f>
        <v>31.9</v>
      </c>
      <c r="I23" s="51">
        <f>SUM(J23)-6</f>
        <v>37.9</v>
      </c>
      <c r="J23" s="60">
        <v>43.9</v>
      </c>
      <c r="K23" s="51">
        <f>SUM(J23)+4.5</f>
        <v>48.4</v>
      </c>
      <c r="L23" s="51">
        <f>SUM(K23)+5</f>
        <v>53.4</v>
      </c>
      <c r="M23" s="51">
        <f>SUM(L23)+5</f>
        <v>58.4</v>
      </c>
      <c r="N23" s="123">
        <f>SUM(M23)+5</f>
        <v>63.4</v>
      </c>
    </row>
    <row r="24" spans="1:17" s="1" customFormat="1" ht="14.1" customHeight="1">
      <c r="A24" s="184"/>
      <c r="B24" s="77" t="s">
        <v>56</v>
      </c>
      <c r="C24" s="78"/>
      <c r="D24" s="79" t="s">
        <v>93</v>
      </c>
      <c r="E24" s="80"/>
      <c r="F24" s="80"/>
      <c r="G24" s="81"/>
      <c r="H24" s="23"/>
      <c r="I24" s="23"/>
      <c r="J24" s="21"/>
      <c r="K24" s="23"/>
      <c r="L24" s="23"/>
      <c r="M24" s="23"/>
      <c r="N24" s="125"/>
    </row>
    <row r="25" spans="1:17" s="1" customFormat="1" ht="14.1" customHeight="1">
      <c r="A25" s="182">
        <v>12</v>
      </c>
      <c r="B25" s="49" t="s">
        <v>92</v>
      </c>
      <c r="C25" s="50"/>
      <c r="D25" s="57" t="s">
        <v>90</v>
      </c>
      <c r="E25" s="58"/>
      <c r="F25" s="58"/>
      <c r="G25" s="59"/>
      <c r="H25" s="51">
        <f>SUM(I25)-1.8</f>
        <v>27</v>
      </c>
      <c r="I25" s="51">
        <f>SUM(J25)-1.8</f>
        <v>28.8</v>
      </c>
      <c r="J25" s="60">
        <v>30.6</v>
      </c>
      <c r="K25" s="51">
        <f>SUM(J25)+1.8</f>
        <v>32.4</v>
      </c>
      <c r="L25" s="51">
        <f t="shared" ref="L25:N25" si="1">SUM(K25)+1.8</f>
        <v>34.199999999999996</v>
      </c>
      <c r="M25" s="51">
        <f t="shared" si="1"/>
        <v>35.999999999999993</v>
      </c>
      <c r="N25" s="75">
        <f t="shared" si="1"/>
        <v>37.79999999999999</v>
      </c>
    </row>
    <row r="26" spans="1:17" s="1" customFormat="1" ht="14.1" customHeight="1">
      <c r="A26" s="184"/>
      <c r="B26" s="77" t="s">
        <v>91</v>
      </c>
      <c r="C26" s="78"/>
      <c r="D26" s="79" t="s">
        <v>90</v>
      </c>
      <c r="E26" s="80"/>
      <c r="F26" s="80"/>
      <c r="G26" s="81"/>
      <c r="H26" s="23"/>
      <c r="I26" s="23"/>
      <c r="J26" s="21"/>
      <c r="K26" s="23"/>
      <c r="L26" s="23"/>
      <c r="M26" s="23"/>
      <c r="N26" s="76"/>
    </row>
    <row r="27" spans="1:17" s="1" customFormat="1" ht="14.1" customHeight="1">
      <c r="A27" s="182">
        <v>13</v>
      </c>
      <c r="B27" s="49" t="s">
        <v>89</v>
      </c>
      <c r="C27" s="50"/>
      <c r="D27" s="57" t="s">
        <v>88</v>
      </c>
      <c r="E27" s="58"/>
      <c r="F27" s="58"/>
      <c r="G27" s="59"/>
      <c r="H27" s="51">
        <f>SUM(I27)-3.2</f>
        <v>30.7</v>
      </c>
      <c r="I27" s="51">
        <f>SUM(J27)-3.2</f>
        <v>33.9</v>
      </c>
      <c r="J27" s="60">
        <v>37.1</v>
      </c>
      <c r="K27" s="51">
        <f>SUM(J27)+3.2</f>
        <v>40.300000000000004</v>
      </c>
      <c r="L27" s="51">
        <f>SUM(K27)+2.8</f>
        <v>43.1</v>
      </c>
      <c r="M27" s="51">
        <f>SUM(L27)+2.8</f>
        <v>45.9</v>
      </c>
      <c r="N27" s="123">
        <f>SUM(M27)+2.8</f>
        <v>48.699999999999996</v>
      </c>
      <c r="Q27" s="1" t="e">
        <f>SUM(#REF!+#REF!+#REF!+#REF!+#REF!+#REF!+#REF!+#REF!+#REF!+#REF!+#REF!+#REF!+#REF!+#REF!)/7/91.44*1.08</f>
        <v>#REF!</v>
      </c>
    </row>
    <row r="28" spans="1:17" s="1" customFormat="1" ht="14.1" customHeight="1">
      <c r="A28" s="184"/>
      <c r="B28" s="77" t="s">
        <v>87</v>
      </c>
      <c r="C28" s="78"/>
      <c r="D28" s="79" t="s">
        <v>126</v>
      </c>
      <c r="E28" s="80"/>
      <c r="F28" s="80"/>
      <c r="G28" s="81"/>
      <c r="H28" s="23"/>
      <c r="I28" s="23"/>
      <c r="J28" s="21"/>
      <c r="K28" s="23"/>
      <c r="L28" s="23"/>
      <c r="M28" s="23"/>
      <c r="N28" s="125"/>
    </row>
    <row r="29" spans="1:17" s="1" customFormat="1" ht="14.1" customHeight="1">
      <c r="A29" s="182">
        <v>14</v>
      </c>
      <c r="B29" s="49"/>
      <c r="C29" s="50"/>
      <c r="D29" s="57"/>
      <c r="E29" s="58"/>
      <c r="F29" s="58"/>
      <c r="G29" s="59"/>
      <c r="H29" s="51"/>
      <c r="I29" s="51"/>
      <c r="J29" s="60"/>
      <c r="K29" s="51"/>
      <c r="L29" s="51"/>
      <c r="M29" s="51"/>
      <c r="N29" s="75"/>
    </row>
    <row r="30" spans="1:17" s="1" customFormat="1" ht="14.1" customHeight="1">
      <c r="A30" s="184"/>
      <c r="B30" s="77"/>
      <c r="C30" s="78"/>
      <c r="D30" s="79"/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7" s="1" customFormat="1" ht="14.1" customHeight="1">
      <c r="A31" s="182">
        <v>15</v>
      </c>
      <c r="B31" s="49"/>
      <c r="C31" s="50"/>
      <c r="D31" s="57"/>
      <c r="E31" s="58"/>
      <c r="F31" s="58"/>
      <c r="G31" s="59"/>
      <c r="H31" s="51"/>
      <c r="I31" s="51"/>
      <c r="J31" s="60"/>
      <c r="K31" s="51"/>
      <c r="L31" s="51"/>
      <c r="M31" s="51"/>
      <c r="N31" s="123"/>
    </row>
    <row r="32" spans="1:17" s="1" customFormat="1" ht="14.1" customHeight="1" thickBot="1">
      <c r="A32" s="183"/>
      <c r="B32" s="177"/>
      <c r="C32" s="178"/>
      <c r="D32" s="199"/>
      <c r="E32" s="180"/>
      <c r="F32" s="180"/>
      <c r="G32" s="181"/>
      <c r="H32" s="48"/>
      <c r="I32" s="48"/>
      <c r="J32" s="110"/>
      <c r="K32" s="48"/>
      <c r="L32" s="48"/>
      <c r="M32" s="48"/>
      <c r="N32" s="124"/>
    </row>
    <row r="33" spans="1:14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4" s="1" customFormat="1" ht="14.1" customHeight="1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4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3.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3.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s="1" customFormat="1" ht="13.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ht="13.5" customHeight="1"/>
    <row r="54" spans="1:14" ht="13.5" customHeight="1"/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18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3A4F-1BD6-4248-B77C-0E00E53A7CA2}">
  <sheetPr>
    <tabColor theme="5"/>
    <pageSetUpPr fitToPage="1"/>
  </sheetPr>
  <dimension ref="A1:N61"/>
  <sheetViews>
    <sheetView topLeftCell="A10" zoomScale="110" zoomScaleNormal="110" workbookViewId="0">
      <selection activeCell="P4" sqref="P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329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3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104"/>
    </row>
    <row r="10" spans="1:13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60</v>
      </c>
      <c r="I11" s="51">
        <f>SUM(J11)-3.5</f>
        <v>63.5</v>
      </c>
      <c r="J11" s="100">
        <v>67</v>
      </c>
      <c r="K11" s="47">
        <f>SUM(J11)+3.5</f>
        <v>70.5</v>
      </c>
      <c r="L11" s="47">
        <f>SUM(K11)+3.5</f>
        <v>74</v>
      </c>
      <c r="M11" s="104">
        <f>SUM(L11)+3.5</f>
        <v>77.5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3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61.5</v>
      </c>
      <c r="I13" s="51">
        <f>SUM(J13)-4</f>
        <v>65.5</v>
      </c>
      <c r="J13" s="100">
        <v>69.5</v>
      </c>
      <c r="K13" s="47">
        <f>SUM(J13)+4</f>
        <v>73.5</v>
      </c>
      <c r="L13" s="47">
        <f>SUM(K13)+4</f>
        <v>77.5</v>
      </c>
      <c r="M13" s="104">
        <f>SUM(L13)+4</f>
        <v>81.5</v>
      </c>
    </row>
    <row r="14" spans="1:13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76"/>
    </row>
    <row r="15" spans="1:13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11.3</v>
      </c>
      <c r="I15" s="51">
        <f>SUM(J15)-0.7</f>
        <v>12</v>
      </c>
      <c r="J15" s="60">
        <v>12.7</v>
      </c>
      <c r="K15" s="51">
        <f>SUM(J15)+1.2</f>
        <v>13.899999999999999</v>
      </c>
      <c r="L15" s="51">
        <f>SUM(K15)+0.7</f>
        <v>14.599999999999998</v>
      </c>
      <c r="M15" s="75">
        <f>SUM(L15)+0.7</f>
        <v>15.299999999999997</v>
      </c>
    </row>
    <row r="16" spans="1:13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18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50</v>
      </c>
      <c r="I21" s="51">
        <f>SUM(J21)-7</f>
        <v>57</v>
      </c>
      <c r="J21" s="60">
        <v>64</v>
      </c>
      <c r="K21" s="51">
        <f>SUM(J21)+6</f>
        <v>70</v>
      </c>
      <c r="L21" s="51">
        <f>SUM(K21)+6</f>
        <v>76</v>
      </c>
      <c r="M21" s="75">
        <f>SUM(L21)+6</f>
        <v>82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36.400000000000006</v>
      </c>
      <c r="I23" s="51">
        <f>SUM(J23)-1.8</f>
        <v>38.200000000000003</v>
      </c>
      <c r="J23" s="60">
        <v>40</v>
      </c>
      <c r="K23" s="51">
        <f>SUM(J23)+1.8</f>
        <v>41.8</v>
      </c>
      <c r="L23" s="51">
        <f>SUM(K23)+1.8</f>
        <v>43.599999999999994</v>
      </c>
      <c r="M23" s="75">
        <f>SUM(L23)+1.8</f>
        <v>45.399999999999991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19.299999999999997</v>
      </c>
      <c r="I25" s="51">
        <f>SUM(J25)-1.1</f>
        <v>20.399999999999999</v>
      </c>
      <c r="J25" s="60">
        <v>21.5</v>
      </c>
      <c r="K25" s="51">
        <f>SUM(J25)+1.6</f>
        <v>23.1</v>
      </c>
      <c r="L25" s="51">
        <f>SUM(K25)+1.1</f>
        <v>24.200000000000003</v>
      </c>
      <c r="M25" s="185">
        <f>SUM(L25)+1.1</f>
        <v>25.300000000000004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24.599999999999998</v>
      </c>
      <c r="I27" s="51">
        <f>SUM(J27)-1.3</f>
        <v>25.9</v>
      </c>
      <c r="J27" s="60">
        <v>27.2</v>
      </c>
      <c r="K27" s="51">
        <f>SUM(J27)+1.8</f>
        <v>29</v>
      </c>
      <c r="L27" s="51">
        <f>SUM(K27)+1.3</f>
        <v>30.3</v>
      </c>
      <c r="M27" s="185">
        <f>SUM(L27)+1.4</f>
        <v>31.7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SUM(I29)-2.8</f>
        <v>35.500000000000007</v>
      </c>
      <c r="I29" s="51">
        <f>SUM(J29)-2.9</f>
        <v>38.300000000000004</v>
      </c>
      <c r="J29" s="60">
        <v>41.2</v>
      </c>
      <c r="K29" s="51">
        <f>SUM(J29)+2.5</f>
        <v>43.7</v>
      </c>
      <c r="L29" s="51">
        <f>SUM(K29)+2.6</f>
        <v>46.300000000000004</v>
      </c>
      <c r="M29" s="75">
        <f>SUM(L29)+2.6</f>
        <v>48.900000000000006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32.6</v>
      </c>
      <c r="I31" s="51">
        <f>SUM(J31)-6</f>
        <v>38.6</v>
      </c>
      <c r="J31" s="60">
        <v>44.6</v>
      </c>
      <c r="K31" s="51">
        <f>SUM(J31)+4.5</f>
        <v>49.1</v>
      </c>
      <c r="L31" s="51">
        <f>SUM(K31)+5</f>
        <v>54.1</v>
      </c>
      <c r="M31" s="75">
        <f>SUM(L31)+5</f>
        <v>59.1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SUM(I33)-1.5</f>
        <v>29</v>
      </c>
      <c r="I33" s="51">
        <f>SUM(J33)-1.5</f>
        <v>30.5</v>
      </c>
      <c r="J33" s="60">
        <v>32</v>
      </c>
      <c r="K33" s="51">
        <f>SUM(J33)+1.5</f>
        <v>33.5</v>
      </c>
      <c r="L33" s="51">
        <f>SUM(K33)+1.5</f>
        <v>35</v>
      </c>
      <c r="M33" s="75">
        <f>SUM(L33)+1.5</f>
        <v>36.5</v>
      </c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7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SUM(I35)-3.3</f>
        <v>30.400000000000002</v>
      </c>
      <c r="I35" s="51">
        <f>SUM(J35)-3.3</f>
        <v>33.700000000000003</v>
      </c>
      <c r="J35" s="60">
        <v>37</v>
      </c>
      <c r="K35" s="51">
        <f>SUM(J35)+3.2</f>
        <v>40.200000000000003</v>
      </c>
      <c r="L35" s="51">
        <f>SUM(K35)+2.9</f>
        <v>43.1</v>
      </c>
      <c r="M35" s="75">
        <f>SUM(L35)+2.9</f>
        <v>46</v>
      </c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/>
      <c r="C37" s="50"/>
      <c r="D37" s="57"/>
      <c r="E37" s="58"/>
      <c r="F37" s="58"/>
      <c r="G37" s="59"/>
      <c r="H37" s="51"/>
      <c r="I37" s="51"/>
      <c r="J37" s="60"/>
      <c r="K37" s="51"/>
      <c r="L37" s="51"/>
      <c r="M37" s="75"/>
    </row>
    <row r="38" spans="1:13" s="1" customFormat="1" ht="14.1" customHeight="1">
      <c r="A38" s="184"/>
      <c r="B38" s="77"/>
      <c r="C38" s="78"/>
      <c r="D38" s="79"/>
      <c r="E38" s="80"/>
      <c r="F38" s="80"/>
      <c r="G38" s="81"/>
      <c r="H38" s="23"/>
      <c r="I38" s="23"/>
      <c r="J38" s="21"/>
      <c r="K38" s="23"/>
      <c r="L38" s="23"/>
      <c r="M38" s="76"/>
    </row>
    <row r="39" spans="1:13" s="1" customFormat="1" ht="14.1" customHeight="1">
      <c r="A39" s="182">
        <v>19</v>
      </c>
      <c r="B39" s="49"/>
      <c r="C39" s="50"/>
      <c r="D39" s="57"/>
      <c r="E39" s="58"/>
      <c r="F39" s="58"/>
      <c r="G39" s="59"/>
      <c r="H39" s="51"/>
      <c r="I39" s="51"/>
      <c r="J39" s="60"/>
      <c r="K39" s="51"/>
      <c r="L39" s="51"/>
      <c r="M39" s="75"/>
    </row>
    <row r="40" spans="1:13" s="1" customFormat="1" ht="14.1" customHeight="1" thickBot="1">
      <c r="A40" s="182"/>
      <c r="B40" s="144"/>
      <c r="C40" s="145"/>
      <c r="D40" s="200"/>
      <c r="E40" s="147"/>
      <c r="F40" s="147"/>
      <c r="G40" s="148"/>
      <c r="H40" s="47"/>
      <c r="I40" s="47"/>
      <c r="J40" s="100"/>
      <c r="K40" s="47"/>
      <c r="L40" s="47"/>
      <c r="M40" s="104"/>
    </row>
    <row r="41" spans="1:13" s="1" customFormat="1" ht="14.1" customHeight="1" thickTop="1">
      <c r="A41" s="202">
        <v>20</v>
      </c>
      <c r="B41" s="118" t="s">
        <v>332</v>
      </c>
      <c r="C41" s="119"/>
      <c r="D41" s="120"/>
      <c r="E41" s="121"/>
      <c r="F41" s="121"/>
      <c r="G41" s="122"/>
      <c r="H41" s="157">
        <f>SUM(I41)-2</f>
        <v>23</v>
      </c>
      <c r="I41" s="157">
        <f>SUM(J41)-2</f>
        <v>25</v>
      </c>
      <c r="J41" s="204">
        <v>27</v>
      </c>
      <c r="K41" s="157">
        <f>SUM(J41)+2</f>
        <v>29</v>
      </c>
      <c r="L41" s="157">
        <f>SUM(K41)+2</f>
        <v>31</v>
      </c>
      <c r="M41" s="203">
        <f>SUM(L41)+2</f>
        <v>33</v>
      </c>
    </row>
    <row r="42" spans="1:13" s="1" customFormat="1" ht="14.1" customHeight="1">
      <c r="A42" s="182"/>
      <c r="B42" s="144" t="s">
        <v>333</v>
      </c>
      <c r="C42" s="145"/>
      <c r="D42" s="200" t="s">
        <v>334</v>
      </c>
      <c r="E42" s="147"/>
      <c r="F42" s="147"/>
      <c r="G42" s="148"/>
      <c r="H42" s="47"/>
      <c r="I42" s="47"/>
      <c r="J42" s="100"/>
      <c r="K42" s="47"/>
      <c r="L42" s="47"/>
      <c r="M42" s="104"/>
    </row>
    <row r="43" spans="1:13" s="1" customFormat="1" ht="14.1" customHeight="1">
      <c r="A43" s="201">
        <v>21</v>
      </c>
      <c r="B43" s="49" t="s">
        <v>330</v>
      </c>
      <c r="C43" s="50"/>
      <c r="D43" s="57"/>
      <c r="E43" s="58"/>
      <c r="F43" s="58"/>
      <c r="G43" s="59"/>
      <c r="H43" s="51">
        <f>SUM(I43)-0.6</f>
        <v>6.3000000000000007</v>
      </c>
      <c r="I43" s="51">
        <f>SUM(J43)-0.6</f>
        <v>6.9</v>
      </c>
      <c r="J43" s="60">
        <v>7.5</v>
      </c>
      <c r="K43" s="51">
        <f>SUM(J43)+0.5</f>
        <v>8</v>
      </c>
      <c r="L43" s="51">
        <f>SUM(K43)+0.6</f>
        <v>8.6</v>
      </c>
      <c r="M43" s="75">
        <f>SUM(L43)+0.6</f>
        <v>9.1999999999999993</v>
      </c>
    </row>
    <row r="44" spans="1:13" s="1" customFormat="1" ht="13.5" customHeight="1">
      <c r="A44" s="184"/>
      <c r="B44" s="77" t="s">
        <v>331</v>
      </c>
      <c r="C44" s="78"/>
      <c r="D44" s="79" t="s">
        <v>335</v>
      </c>
      <c r="E44" s="80"/>
      <c r="F44" s="80"/>
      <c r="G44" s="81"/>
      <c r="H44" s="23"/>
      <c r="I44" s="23"/>
      <c r="J44" s="21"/>
      <c r="K44" s="23"/>
      <c r="L44" s="23"/>
      <c r="M44" s="76"/>
    </row>
    <row r="45" spans="1:13" s="1" customFormat="1" ht="13.5" customHeight="1">
      <c r="A45" s="201">
        <v>22</v>
      </c>
      <c r="B45" s="49" t="s">
        <v>336</v>
      </c>
      <c r="C45" s="50"/>
      <c r="D45" s="57"/>
      <c r="E45" s="58"/>
      <c r="F45" s="58"/>
      <c r="G45" s="59"/>
      <c r="H45" s="51">
        <f>SUM(I45)-1.4</f>
        <v>13.399999999999999</v>
      </c>
      <c r="I45" s="51">
        <f>SUM(J45)-1.4</f>
        <v>14.799999999999999</v>
      </c>
      <c r="J45" s="60">
        <v>16.2</v>
      </c>
      <c r="K45" s="51">
        <f>SUM(J45)+1</f>
        <v>17.2</v>
      </c>
      <c r="L45" s="51">
        <f>SUM(K45)+1.4</f>
        <v>18.599999999999998</v>
      </c>
      <c r="M45" s="75">
        <f>SUM(L45)+1.4</f>
        <v>19.999999999999996</v>
      </c>
    </row>
    <row r="46" spans="1:13" s="1" customFormat="1" ht="13.5" customHeight="1">
      <c r="A46" s="184"/>
      <c r="B46" s="77" t="s">
        <v>337</v>
      </c>
      <c r="C46" s="78"/>
      <c r="D46" s="79"/>
      <c r="E46" s="80"/>
      <c r="F46" s="80"/>
      <c r="G46" s="81"/>
      <c r="H46" s="23"/>
      <c r="I46" s="23"/>
      <c r="J46" s="21"/>
      <c r="K46" s="23"/>
      <c r="L46" s="23"/>
      <c r="M46" s="76"/>
    </row>
    <row r="47" spans="1:13" s="1" customFormat="1" ht="13.5" customHeight="1">
      <c r="A47" s="182">
        <v>23</v>
      </c>
      <c r="B47" s="49"/>
      <c r="C47" s="50"/>
      <c r="D47" s="57"/>
      <c r="E47" s="58"/>
      <c r="F47" s="58"/>
      <c r="G47" s="59"/>
      <c r="H47" s="51"/>
      <c r="I47" s="51"/>
      <c r="J47" s="60"/>
      <c r="K47" s="51"/>
      <c r="L47" s="51"/>
      <c r="M47" s="75"/>
    </row>
    <row r="48" spans="1:13" s="1" customFormat="1" ht="13.5" customHeight="1" thickBot="1">
      <c r="A48" s="183"/>
      <c r="B48" s="177"/>
      <c r="C48" s="178"/>
      <c r="D48" s="179"/>
      <c r="E48" s="180"/>
      <c r="F48" s="180"/>
      <c r="G48" s="181"/>
      <c r="H48" s="48"/>
      <c r="I48" s="48"/>
      <c r="J48" s="110"/>
      <c r="K48" s="48"/>
      <c r="L48" s="48"/>
      <c r="M48" s="109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56">
    <mergeCell ref="J45:J46"/>
    <mergeCell ref="K45:K46"/>
    <mergeCell ref="L45:L46"/>
    <mergeCell ref="M45:M46"/>
    <mergeCell ref="B46:C46"/>
    <mergeCell ref="D46:G46"/>
    <mergeCell ref="K47:K48"/>
    <mergeCell ref="L47:L48"/>
    <mergeCell ref="M47:M48"/>
    <mergeCell ref="B48:C48"/>
    <mergeCell ref="D48:G48"/>
    <mergeCell ref="J47:J48"/>
    <mergeCell ref="A45:A46"/>
    <mergeCell ref="B45:C45"/>
    <mergeCell ref="D45:G45"/>
    <mergeCell ref="H45:H46"/>
    <mergeCell ref="I45:I46"/>
    <mergeCell ref="A47:A48"/>
    <mergeCell ref="B47:C47"/>
    <mergeCell ref="D47:G47"/>
    <mergeCell ref="H47:H48"/>
    <mergeCell ref="I47:I48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62CB-085A-4597-9C63-8E948E49C475}">
  <sheetPr>
    <tabColor theme="5"/>
    <pageSetUpPr fitToPage="1"/>
  </sheetPr>
  <dimension ref="A1:N51"/>
  <sheetViews>
    <sheetView topLeftCell="A13" zoomScale="110" zoomScaleNormal="110" workbookViewId="0">
      <selection activeCell="I31" sqref="I31:I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50" t="s">
        <v>475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1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1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100"/>
      <c r="K7" s="47"/>
      <c r="L7" s="47"/>
      <c r="M7" s="47"/>
      <c r="N7" s="127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214"/>
      <c r="I9" s="216">
        <f>SUM(J9)-2.2</f>
        <v>-2.2000000000000002</v>
      </c>
      <c r="J9" s="100"/>
      <c r="K9" s="218">
        <f>SUM(J9)+2.2</f>
        <v>2.2000000000000002</v>
      </c>
      <c r="L9" s="218">
        <f>SUM(K9)+2.2</f>
        <v>4.4000000000000004</v>
      </c>
      <c r="M9" s="218">
        <f>SUM(L9)+2.2</f>
        <v>6.6000000000000005</v>
      </c>
      <c r="N9" s="212">
        <f>SUM(M9)+2.2</f>
        <v>8.8000000000000007</v>
      </c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15"/>
      <c r="I10" s="217"/>
      <c r="J10" s="21"/>
      <c r="K10" s="217"/>
      <c r="L10" s="217"/>
      <c r="M10" s="217"/>
      <c r="N10" s="213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66</v>
      </c>
      <c r="I11" s="51">
        <f>SUM(J11)-4.5</f>
        <v>70.5</v>
      </c>
      <c r="J11" s="60">
        <v>75</v>
      </c>
      <c r="K11" s="51">
        <f>SUM(J11)+4.5</f>
        <v>79.5</v>
      </c>
      <c r="L11" s="51">
        <f t="shared" ref="L11:N11" si="0">SUM(K11)+4.5</f>
        <v>84</v>
      </c>
      <c r="M11" s="51">
        <f t="shared" si="0"/>
        <v>88.5</v>
      </c>
      <c r="N11" s="75">
        <f t="shared" si="0"/>
        <v>93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476</v>
      </c>
      <c r="E13" s="58"/>
      <c r="F13" s="58"/>
      <c r="G13" s="59"/>
      <c r="H13" s="51">
        <f>SUM(I13)-5</f>
        <v>91.5</v>
      </c>
      <c r="I13" s="51">
        <f>SUM(J13)-5</f>
        <v>96.5</v>
      </c>
      <c r="J13" s="60">
        <v>101.5</v>
      </c>
      <c r="K13" s="51">
        <f>SUM(J13)+5</f>
        <v>106.5</v>
      </c>
      <c r="L13" s="51">
        <f t="shared" ref="L13:N13" si="1">SUM(K13)+5</f>
        <v>111.5</v>
      </c>
      <c r="M13" s="51">
        <f t="shared" si="1"/>
        <v>116.5</v>
      </c>
      <c r="N13" s="75">
        <f t="shared" si="1"/>
        <v>121.5</v>
      </c>
    </row>
    <row r="14" spans="1:14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23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13.8</v>
      </c>
      <c r="I15" s="51">
        <f>SUM(J15)-0.7</f>
        <v>14.5</v>
      </c>
      <c r="J15" s="60">
        <v>15.2</v>
      </c>
      <c r="K15" s="51">
        <f>SUM(J15)+1.2</f>
        <v>16.399999999999999</v>
      </c>
      <c r="L15" s="51">
        <f>SUM(K15)+0.7</f>
        <v>17.099999999999998</v>
      </c>
      <c r="M15" s="51">
        <f t="shared" ref="M15:N15" si="2">SUM(L15)+0.7</f>
        <v>17.799999999999997</v>
      </c>
      <c r="N15" s="123">
        <f t="shared" si="2"/>
        <v>18.499999999999996</v>
      </c>
    </row>
    <row r="16" spans="1:14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23"/>
      <c r="I16" s="23"/>
      <c r="J16" s="21"/>
      <c r="K16" s="23"/>
      <c r="L16" s="23"/>
      <c r="M16" s="23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1"/>
      <c r="I17" s="51"/>
      <c r="J17" s="60"/>
      <c r="K17" s="51"/>
      <c r="L17" s="51"/>
      <c r="M17" s="56"/>
      <c r="N17" s="187"/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23"/>
      <c r="I18" s="23"/>
      <c r="J18" s="21"/>
      <c r="K18" s="23"/>
      <c r="L18" s="23"/>
      <c r="M18" s="52"/>
      <c r="N18" s="188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51"/>
      <c r="N19" s="123"/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SUM(I21)-2</f>
        <v>26</v>
      </c>
      <c r="I21" s="51">
        <f>SUM(J21)-2</f>
        <v>28</v>
      </c>
      <c r="J21" s="60">
        <v>30</v>
      </c>
      <c r="K21" s="51">
        <f>SUM(J21)+1.5</f>
        <v>31.5</v>
      </c>
      <c r="L21" s="51">
        <f t="shared" ref="L21:N21" si="3">SUM(K21)+1.5</f>
        <v>33</v>
      </c>
      <c r="M21" s="51">
        <f t="shared" si="3"/>
        <v>34.5</v>
      </c>
      <c r="N21" s="123">
        <f t="shared" si="3"/>
        <v>36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SUM(I23)-1.9</f>
        <v>44.800000000000004</v>
      </c>
      <c r="I23" s="51">
        <f>SUM(J23)-1.9</f>
        <v>46.7</v>
      </c>
      <c r="J23" s="60">
        <v>48.6</v>
      </c>
      <c r="K23" s="51">
        <f>SUM(J23)+2.4</f>
        <v>51</v>
      </c>
      <c r="L23" s="51">
        <f t="shared" ref="L23:N23" si="4">SUM(K23)+2.4</f>
        <v>53.4</v>
      </c>
      <c r="M23" s="51">
        <f t="shared" si="4"/>
        <v>55.8</v>
      </c>
      <c r="N23" s="123">
        <f t="shared" si="4"/>
        <v>58.199999999999996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125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1">
        <f>SUM(I25)-1.1</f>
        <v>23.699999999999996</v>
      </c>
      <c r="I25" s="51">
        <f>SUM(J25)-1.1</f>
        <v>24.799999999999997</v>
      </c>
      <c r="J25" s="60">
        <v>25.9</v>
      </c>
      <c r="K25" s="51">
        <f>SUM(J25)+1.6</f>
        <v>27.5</v>
      </c>
      <c r="L25" s="51">
        <f>SUM(K25)+1.1</f>
        <v>28.6</v>
      </c>
      <c r="M25" s="56">
        <f>SUM(L25)+1.1</f>
        <v>29.700000000000003</v>
      </c>
      <c r="N25" s="187">
        <f>SUM(M25)+1.1</f>
        <v>30.800000000000004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23"/>
      <c r="I26" s="23"/>
      <c r="J26" s="21"/>
      <c r="K26" s="23"/>
      <c r="L26" s="23"/>
      <c r="M26" s="52"/>
      <c r="N26" s="188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1">
        <f>SUM(I27)-1.3</f>
        <v>29.9</v>
      </c>
      <c r="I27" s="51">
        <f>SUM(J27)-1.3</f>
        <v>31.2</v>
      </c>
      <c r="J27" s="60">
        <v>32.5</v>
      </c>
      <c r="K27" s="51">
        <f>SUM(J27)+1.8</f>
        <v>34.299999999999997</v>
      </c>
      <c r="L27" s="51">
        <f>SUM(K27)+1.3</f>
        <v>35.599999999999994</v>
      </c>
      <c r="M27" s="56">
        <f>SUM(L27)+1.3</f>
        <v>36.899999999999991</v>
      </c>
      <c r="N27" s="187">
        <f>SUM(M27)+1.3</f>
        <v>38.199999999999989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23"/>
      <c r="I28" s="23"/>
      <c r="J28" s="21"/>
      <c r="K28" s="23"/>
      <c r="L28" s="23"/>
      <c r="M28" s="52"/>
      <c r="N28" s="188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87">
        <f>SUM(I29)-2.6</f>
        <v>-5.2</v>
      </c>
      <c r="I29" s="206">
        <f>SUM(J29)-2.6</f>
        <v>-2.6</v>
      </c>
      <c r="J29" s="210"/>
      <c r="K29" s="206">
        <f>SUM(J29)+2.6</f>
        <v>2.6</v>
      </c>
      <c r="L29" s="206">
        <f t="shared" ref="L29:N29" si="5">SUM(K29)+2.6</f>
        <v>5.2</v>
      </c>
      <c r="M29" s="206">
        <f t="shared" si="5"/>
        <v>7.8000000000000007</v>
      </c>
      <c r="N29" s="208">
        <f t="shared" si="5"/>
        <v>10.4</v>
      </c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86"/>
      <c r="I30" s="207"/>
      <c r="J30" s="211"/>
      <c r="K30" s="207"/>
      <c r="L30" s="207"/>
      <c r="M30" s="207"/>
      <c r="N30" s="209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87">
        <f>SUM(I31)-5</f>
        <v>-10</v>
      </c>
      <c r="I31" s="206">
        <f>SUM(J31)-5</f>
        <v>-5</v>
      </c>
      <c r="J31" s="210"/>
      <c r="K31" s="206">
        <f>SUM(J31)+5.5</f>
        <v>5.5</v>
      </c>
      <c r="L31" s="206">
        <f t="shared" ref="L31:N31" si="6">SUM(K31)+6</f>
        <v>11.5</v>
      </c>
      <c r="M31" s="206">
        <f t="shared" si="6"/>
        <v>17.5</v>
      </c>
      <c r="N31" s="208">
        <f t="shared" si="6"/>
        <v>23.5</v>
      </c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86"/>
      <c r="I32" s="207"/>
      <c r="J32" s="211"/>
      <c r="K32" s="207"/>
      <c r="L32" s="207"/>
      <c r="M32" s="207"/>
      <c r="N32" s="209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87">
        <f>SUM(I33)-2.2</f>
        <v>-4.4000000000000004</v>
      </c>
      <c r="I33" s="206">
        <f>SUM(J33)-2.2</f>
        <v>-2.2000000000000002</v>
      </c>
      <c r="J33" s="210"/>
      <c r="K33" s="206">
        <f>SUM(J33)+2.3</f>
        <v>2.2999999999999998</v>
      </c>
      <c r="L33" s="206">
        <f>SUM(K33)+2.2</f>
        <v>4.5</v>
      </c>
      <c r="M33" s="206">
        <f t="shared" ref="M33:N33" si="7">SUM(L33)+2.2</f>
        <v>6.7</v>
      </c>
      <c r="N33" s="208">
        <f t="shared" si="7"/>
        <v>8.9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86"/>
      <c r="I34" s="207"/>
      <c r="J34" s="211"/>
      <c r="K34" s="207"/>
      <c r="L34" s="207"/>
      <c r="M34" s="207"/>
      <c r="N34" s="209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87">
        <f>SUM(I35)-2.9</f>
        <v>-5.8</v>
      </c>
      <c r="I35" s="206">
        <f>SUM(J35)-2.9</f>
        <v>-2.9</v>
      </c>
      <c r="J35" s="210"/>
      <c r="K35" s="206">
        <f>SUM(J35)+3.6</f>
        <v>3.6</v>
      </c>
      <c r="L35" s="206">
        <f>SUM(K35)+3.2</f>
        <v>6.8000000000000007</v>
      </c>
      <c r="M35" s="206">
        <f t="shared" ref="M35:N35" si="8">SUM(L35)+3.2</f>
        <v>10</v>
      </c>
      <c r="N35" s="208">
        <f t="shared" si="8"/>
        <v>13.2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86"/>
      <c r="I36" s="207"/>
      <c r="J36" s="211"/>
      <c r="K36" s="207"/>
      <c r="L36" s="207"/>
      <c r="M36" s="207"/>
      <c r="N36" s="209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4.0999999999999996</v>
      </c>
      <c r="I37" s="51">
        <f>SUM(J37)-0.2</f>
        <v>4.3</v>
      </c>
      <c r="J37" s="39">
        <v>4.5</v>
      </c>
      <c r="K37" s="32">
        <f>SUM(J37)+0.2</f>
        <v>4.7</v>
      </c>
      <c r="L37" s="32">
        <f t="shared" ref="L37:N37" si="9">SUM(K37)+0.2</f>
        <v>4.9000000000000004</v>
      </c>
      <c r="M37" s="32">
        <f t="shared" si="9"/>
        <v>5.1000000000000005</v>
      </c>
      <c r="N37" s="126">
        <f t="shared" si="9"/>
        <v>5.3000000000000007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2"/>
      <c r="N38" s="12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9.5</v>
      </c>
      <c r="I39" s="51">
        <f>SUM(J39)-0.6</f>
        <v>10.1</v>
      </c>
      <c r="J39" s="60">
        <v>10.7</v>
      </c>
      <c r="K39" s="51">
        <f>SUM(J39)+0.6</f>
        <v>11.299999999999999</v>
      </c>
      <c r="L39" s="51">
        <f t="shared" ref="L39:N39" si="10">SUM(K39)+0.6</f>
        <v>11.899999999999999</v>
      </c>
      <c r="M39" s="51">
        <f t="shared" si="10"/>
        <v>12.499999999999998</v>
      </c>
      <c r="N39" s="123">
        <f t="shared" si="10"/>
        <v>13.099999999999998</v>
      </c>
    </row>
    <row r="40" spans="1:14" s="1" customFormat="1" ht="14.1" customHeight="1">
      <c r="A40" s="184"/>
      <c r="B40" s="144" t="s">
        <v>54</v>
      </c>
      <c r="C40" s="145"/>
      <c r="D40" s="200" t="s">
        <v>108</v>
      </c>
      <c r="E40" s="147"/>
      <c r="F40" s="147"/>
      <c r="G40" s="148"/>
      <c r="H40" s="47"/>
      <c r="I40" s="47"/>
      <c r="J40" s="100"/>
      <c r="K40" s="47"/>
      <c r="L40" s="47"/>
      <c r="M40" s="47"/>
      <c r="N40" s="127"/>
    </row>
    <row r="41" spans="1:14" s="1" customFormat="1" ht="14.1" customHeight="1">
      <c r="A41" s="182">
        <v>20</v>
      </c>
      <c r="B41" s="49" t="s">
        <v>477</v>
      </c>
      <c r="C41" s="50"/>
      <c r="D41" s="49"/>
      <c r="E41" s="205"/>
      <c r="F41" s="205"/>
      <c r="G41" s="50"/>
      <c r="H41" s="51">
        <f>SUM(I41)-0.4</f>
        <v>7.3999999999999986</v>
      </c>
      <c r="I41" s="51">
        <f>SUM(J41)-0.4</f>
        <v>7.7999999999999989</v>
      </c>
      <c r="J41" s="60">
        <v>8.1999999999999993</v>
      </c>
      <c r="K41" s="51">
        <f>SUM(J41)+0.4</f>
        <v>8.6</v>
      </c>
      <c r="L41" s="51">
        <f t="shared" ref="L41:N41" si="11">SUM(K41)+0.4</f>
        <v>9</v>
      </c>
      <c r="M41" s="51">
        <f t="shared" si="11"/>
        <v>9.4</v>
      </c>
      <c r="N41" s="123">
        <f t="shared" si="11"/>
        <v>9.8000000000000007</v>
      </c>
    </row>
    <row r="42" spans="1:14" s="1" customFormat="1" ht="14.1" customHeight="1" thickBot="1">
      <c r="A42" s="183"/>
      <c r="B42" s="177" t="s">
        <v>478</v>
      </c>
      <c r="C42" s="178"/>
      <c r="D42" s="199" t="s">
        <v>479</v>
      </c>
      <c r="E42" s="180"/>
      <c r="F42" s="180"/>
      <c r="G42" s="181"/>
      <c r="H42" s="48"/>
      <c r="I42" s="48"/>
      <c r="J42" s="110"/>
      <c r="K42" s="48"/>
      <c r="L42" s="48"/>
      <c r="M42" s="48"/>
      <c r="N42" s="124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4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A597-85BC-4799-9930-CF6D831B3F87}">
  <sheetPr>
    <tabColor theme="5"/>
    <pageSetUpPr fitToPage="1"/>
  </sheetPr>
  <dimension ref="A1:N61"/>
  <sheetViews>
    <sheetView topLeftCell="A19" zoomScale="110" zoomScaleNormal="110" workbookViewId="0">
      <selection activeCell="Q17" sqref="Q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311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3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104"/>
    </row>
    <row r="10" spans="1:13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70.400000000000006</v>
      </c>
      <c r="I11" s="51">
        <f>SUM(J11)-4.5</f>
        <v>74.900000000000006</v>
      </c>
      <c r="J11" s="100">
        <v>79.400000000000006</v>
      </c>
      <c r="K11" s="47">
        <f>SUM(J11)+4.5</f>
        <v>83.9</v>
      </c>
      <c r="L11" s="47">
        <f>SUM(K11)+4.5</f>
        <v>88.4</v>
      </c>
      <c r="M11" s="104">
        <f>SUM(L11)+4.5</f>
        <v>92.9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3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SUM(I13)-5</f>
        <v>79.3</v>
      </c>
      <c r="I13" s="51">
        <f>SUM(J13)-5</f>
        <v>84.3</v>
      </c>
      <c r="J13" s="100">
        <v>89.3</v>
      </c>
      <c r="K13" s="47">
        <f>SUM(J13)+5</f>
        <v>94.3</v>
      </c>
      <c r="L13" s="47">
        <f>SUM(K13)+5</f>
        <v>99.3</v>
      </c>
      <c r="M13" s="104">
        <f>SUM(L13)+5</f>
        <v>104.3</v>
      </c>
    </row>
    <row r="14" spans="1:13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76"/>
    </row>
    <row r="15" spans="1:13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12.600000000000001</v>
      </c>
      <c r="I15" s="51">
        <f>SUM(J15)-0.7</f>
        <v>13.3</v>
      </c>
      <c r="J15" s="60">
        <v>14</v>
      </c>
      <c r="K15" s="51">
        <f>SUM(J15)+1.2</f>
        <v>15.2</v>
      </c>
      <c r="L15" s="51">
        <f>SUM(K15)+0.7</f>
        <v>15.899999999999999</v>
      </c>
      <c r="M15" s="75">
        <f>SUM(L15)+0.7</f>
        <v>16.599999999999998</v>
      </c>
    </row>
    <row r="16" spans="1:13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18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75">
        <f>SUM(L21)+6</f>
        <v>84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35.5</v>
      </c>
      <c r="I23" s="51">
        <f>SUM(J23)-2</f>
        <v>37.5</v>
      </c>
      <c r="J23" s="60">
        <v>39.5</v>
      </c>
      <c r="K23" s="51">
        <f>SUM(J23)+2</f>
        <v>41.5</v>
      </c>
      <c r="L23" s="51">
        <f>SUM(K23)+2</f>
        <v>43.5</v>
      </c>
      <c r="M23" s="75">
        <f>SUM(L23)+2</f>
        <v>45.5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23.199999999999996</v>
      </c>
      <c r="I25" s="51">
        <f>SUM(J25)-1.1</f>
        <v>24.299999999999997</v>
      </c>
      <c r="J25" s="60">
        <v>25.4</v>
      </c>
      <c r="K25" s="51">
        <f>SUM(J25)+1.6</f>
        <v>27</v>
      </c>
      <c r="L25" s="51">
        <f>SUM(K25)+1.1</f>
        <v>28.1</v>
      </c>
      <c r="M25" s="185">
        <f>SUM(L25)+1.1</f>
        <v>29.200000000000003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29.699999999999996</v>
      </c>
      <c r="I27" s="51">
        <f>SUM(J27)-1.3</f>
        <v>30.999999999999996</v>
      </c>
      <c r="J27" s="60">
        <v>32.299999999999997</v>
      </c>
      <c r="K27" s="51">
        <f>SUM(J27)+1.8</f>
        <v>34.099999999999994</v>
      </c>
      <c r="L27" s="51">
        <f>SUM(K27)+1.3</f>
        <v>35.399999999999991</v>
      </c>
      <c r="M27" s="185">
        <f>SUM(L27)+1.4</f>
        <v>36.79999999999999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SUM(I29)-3.3</f>
        <v>52.400000000000006</v>
      </c>
      <c r="I29" s="51">
        <f>SUM(J29)-3.3</f>
        <v>55.7</v>
      </c>
      <c r="J29" s="60">
        <v>59</v>
      </c>
      <c r="K29" s="51">
        <f>SUM(J29)+3.2</f>
        <v>62.2</v>
      </c>
      <c r="L29" s="51">
        <f>SUM(K29)+3.2</f>
        <v>65.400000000000006</v>
      </c>
      <c r="M29" s="75">
        <f>SUM(L29)+3.2</f>
        <v>68.600000000000009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30.5</v>
      </c>
      <c r="I31" s="51">
        <f>SUM(J31)-6</f>
        <v>36.5</v>
      </c>
      <c r="J31" s="60">
        <v>42.5</v>
      </c>
      <c r="K31" s="51">
        <f>SUM(J31)+4.5</f>
        <v>47</v>
      </c>
      <c r="L31" s="51">
        <f>SUM(K31)+5</f>
        <v>52</v>
      </c>
      <c r="M31" s="75">
        <f>SUM(L31)+5</f>
        <v>57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SUM(I33)-2.8</f>
        <v>48.900000000000006</v>
      </c>
      <c r="I33" s="51">
        <f>SUM(J33)-2.8</f>
        <v>51.7</v>
      </c>
      <c r="J33" s="60">
        <v>54.5</v>
      </c>
      <c r="K33" s="51">
        <f>SUM(J33)+2.8</f>
        <v>57.3</v>
      </c>
      <c r="L33" s="51">
        <f>SUM(K33)+2.8</f>
        <v>60.099999999999994</v>
      </c>
      <c r="M33" s="75">
        <f>SUM(L33)+2.8</f>
        <v>62.899999999999991</v>
      </c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7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SUM(I35)-3.7</f>
        <v>36.699999999999996</v>
      </c>
      <c r="I35" s="51">
        <f>SUM(J35)-3.7</f>
        <v>40.4</v>
      </c>
      <c r="J35" s="60">
        <v>44.1</v>
      </c>
      <c r="K35" s="51">
        <f>SUM(J35)+3.6</f>
        <v>47.7</v>
      </c>
      <c r="L35" s="51">
        <f>SUM(K35)+3.3</f>
        <v>51</v>
      </c>
      <c r="M35" s="75">
        <f>SUM(L35)+3.3</f>
        <v>54.3</v>
      </c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 t="s">
        <v>174</v>
      </c>
      <c r="C37" s="50"/>
      <c r="D37" s="57"/>
      <c r="E37" s="58"/>
      <c r="F37" s="58"/>
      <c r="G37" s="59"/>
      <c r="H37" s="51">
        <f>SUM(I37)-0.5</f>
        <v>11</v>
      </c>
      <c r="I37" s="51">
        <f>SUM(J37)-0.5</f>
        <v>11.5</v>
      </c>
      <c r="J37" s="60">
        <v>12</v>
      </c>
      <c r="K37" s="51">
        <f>SUM(J37)+0.5</f>
        <v>12.5</v>
      </c>
      <c r="L37" s="51">
        <f>SUM(K37)+0.5</f>
        <v>13</v>
      </c>
      <c r="M37" s="75">
        <f>SUM(L37)+0.5</f>
        <v>13.5</v>
      </c>
    </row>
    <row r="38" spans="1:13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23"/>
      <c r="I38" s="23"/>
      <c r="J38" s="21"/>
      <c r="K38" s="23"/>
      <c r="L38" s="23"/>
      <c r="M38" s="76"/>
    </row>
    <row r="39" spans="1:13" s="1" customFormat="1" ht="14.1" customHeight="1">
      <c r="A39" s="182">
        <v>19</v>
      </c>
      <c r="B39" s="49" t="s">
        <v>176</v>
      </c>
      <c r="C39" s="50"/>
      <c r="D39" s="57"/>
      <c r="E39" s="58"/>
      <c r="F39" s="58"/>
      <c r="G39" s="59"/>
      <c r="H39" s="51">
        <f>SUM(I39)-0.5</f>
        <v>11</v>
      </c>
      <c r="I39" s="51">
        <f>SUM(J39)-0.5</f>
        <v>11.5</v>
      </c>
      <c r="J39" s="60">
        <v>12</v>
      </c>
      <c r="K39" s="51">
        <f>SUM(J39)+0.5</f>
        <v>12.5</v>
      </c>
      <c r="L39" s="51">
        <f>SUM(K39)+0.5</f>
        <v>13</v>
      </c>
      <c r="M39" s="75">
        <f>SUM(L39)+0.5</f>
        <v>13.5</v>
      </c>
    </row>
    <row r="40" spans="1:13" s="1" customFormat="1" ht="14.1" customHeight="1">
      <c r="A40" s="184"/>
      <c r="B40" s="77" t="s">
        <v>177</v>
      </c>
      <c r="C40" s="78"/>
      <c r="D40" s="79"/>
      <c r="E40" s="80"/>
      <c r="F40" s="80"/>
      <c r="G40" s="81"/>
      <c r="H40" s="23"/>
      <c r="I40" s="23"/>
      <c r="J40" s="21"/>
      <c r="K40" s="23"/>
      <c r="L40" s="23"/>
      <c r="M40" s="76"/>
    </row>
    <row r="41" spans="1:13" s="1" customFormat="1" ht="14.1" customHeight="1">
      <c r="A41" s="182">
        <v>20</v>
      </c>
      <c r="B41" s="49" t="s">
        <v>105</v>
      </c>
      <c r="C41" s="50"/>
      <c r="D41" s="57"/>
      <c r="E41" s="58"/>
      <c r="F41" s="58"/>
      <c r="G41" s="59"/>
      <c r="H41" s="51">
        <f>SUM(I41)-0.5</f>
        <v>12.5</v>
      </c>
      <c r="I41" s="51">
        <f>SUM(J41)-0.5</f>
        <v>13</v>
      </c>
      <c r="J41" s="60">
        <v>13.5</v>
      </c>
      <c r="K41" s="51">
        <f>SUM(J41)+0.5</f>
        <v>14</v>
      </c>
      <c r="L41" s="51">
        <f>SUM(K41)+0.5</f>
        <v>14.5</v>
      </c>
      <c r="M41" s="75">
        <f>SUM(L41)+0.5</f>
        <v>15</v>
      </c>
    </row>
    <row r="42" spans="1:13" s="1" customFormat="1" ht="14.1" customHeight="1">
      <c r="A42" s="184"/>
      <c r="B42" s="77" t="s">
        <v>178</v>
      </c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76"/>
    </row>
    <row r="43" spans="1:13" s="1" customFormat="1" ht="14.1" customHeight="1">
      <c r="A43" s="182">
        <v>21</v>
      </c>
      <c r="B43" s="49" t="s">
        <v>179</v>
      </c>
      <c r="C43" s="50"/>
      <c r="D43" s="57"/>
      <c r="E43" s="58"/>
      <c r="F43" s="58"/>
      <c r="G43" s="59"/>
      <c r="H43" s="51">
        <f>SUM(I43)-2</f>
        <v>49.5</v>
      </c>
      <c r="I43" s="51">
        <f>SUM(J43)-2</f>
        <v>51.5</v>
      </c>
      <c r="J43" s="60">
        <v>53.5</v>
      </c>
      <c r="K43" s="51">
        <f>SUM(J43)+2</f>
        <v>55.5</v>
      </c>
      <c r="L43" s="51">
        <f>SUM(K43)+2</f>
        <v>57.5</v>
      </c>
      <c r="M43" s="75">
        <f>SUM(L43)+2</f>
        <v>59.5</v>
      </c>
    </row>
    <row r="44" spans="1:13" s="1" customFormat="1" ht="13.5" customHeight="1">
      <c r="A44" s="184"/>
      <c r="B44" s="144" t="s">
        <v>312</v>
      </c>
      <c r="C44" s="145"/>
      <c r="D44" s="146" t="s">
        <v>313</v>
      </c>
      <c r="E44" s="147"/>
      <c r="F44" s="147"/>
      <c r="G44" s="148"/>
      <c r="H44" s="23"/>
      <c r="I44" s="23"/>
      <c r="J44" s="21"/>
      <c r="K44" s="23"/>
      <c r="L44" s="23"/>
      <c r="M44" s="76"/>
    </row>
    <row r="45" spans="1:13" s="1" customFormat="1" ht="13.5" customHeight="1">
      <c r="A45" s="182">
        <v>22</v>
      </c>
      <c r="B45" s="49"/>
      <c r="C45" s="50"/>
      <c r="D45" s="57"/>
      <c r="E45" s="58"/>
      <c r="F45" s="58"/>
      <c r="G45" s="59"/>
      <c r="H45" s="51"/>
      <c r="I45" s="51"/>
      <c r="J45" s="60"/>
      <c r="K45" s="51"/>
      <c r="L45" s="51"/>
      <c r="M45" s="75"/>
    </row>
    <row r="46" spans="1:13" s="1" customFormat="1" ht="13.5" customHeight="1" thickBot="1">
      <c r="A46" s="183"/>
      <c r="B46" s="177"/>
      <c r="C46" s="178"/>
      <c r="D46" s="179"/>
      <c r="E46" s="180"/>
      <c r="F46" s="180"/>
      <c r="G46" s="181"/>
      <c r="H46" s="48"/>
      <c r="I46" s="48"/>
      <c r="J46" s="110"/>
      <c r="K46" s="48"/>
      <c r="L46" s="48"/>
      <c r="M46" s="109"/>
    </row>
    <row r="47" spans="1:13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45">
    <mergeCell ref="A1:M1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BA43-2758-4632-A953-725FB6897015}">
  <sheetPr>
    <tabColor theme="5"/>
    <pageSetUpPr fitToPage="1"/>
  </sheetPr>
  <dimension ref="A1:N61"/>
  <sheetViews>
    <sheetView topLeftCell="A10" zoomScale="110" zoomScaleNormal="110" workbookViewId="0">
      <selection activeCell="J27" sqref="J27:J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87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86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87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86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87"/>
      <c r="I7" s="51"/>
      <c r="J7" s="100"/>
      <c r="K7" s="47"/>
      <c r="L7" s="47"/>
      <c r="M7" s="47"/>
      <c r="N7" s="127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86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87"/>
      <c r="I9" s="51"/>
      <c r="J9" s="100"/>
      <c r="K9" s="47"/>
      <c r="L9" s="47"/>
      <c r="M9" s="47"/>
      <c r="N9" s="127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86"/>
      <c r="I10" s="23"/>
      <c r="J10" s="21"/>
      <c r="K10" s="23"/>
      <c r="L10" s="23"/>
      <c r="M10" s="23"/>
      <c r="N10" s="125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87">
        <f>SUM(I11)-3.5</f>
        <v>86</v>
      </c>
      <c r="I11" s="51">
        <f>SUM(J11)-3.5</f>
        <v>89.5</v>
      </c>
      <c r="J11" s="100">
        <v>93</v>
      </c>
      <c r="K11" s="47">
        <f>SUM(J11)+3.5</f>
        <v>96.5</v>
      </c>
      <c r="L11" s="47">
        <f>SUM(K11)+3.5</f>
        <v>100</v>
      </c>
      <c r="M11" s="47">
        <f>SUM(L11)+3.5</f>
        <v>103.5</v>
      </c>
      <c r="N11" s="104">
        <f>SUM(M11)+3.5</f>
        <v>107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86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87">
        <f>SUM(I13)-4</f>
        <v>91.5</v>
      </c>
      <c r="I13" s="51">
        <f>SUM(J13)-4</f>
        <v>95.5</v>
      </c>
      <c r="J13" s="100">
        <v>99.5</v>
      </c>
      <c r="K13" s="47">
        <f>SUM(J13)+4</f>
        <v>103.5</v>
      </c>
      <c r="L13" s="47">
        <f>SUM(K13)+4</f>
        <v>107.5</v>
      </c>
      <c r="M13" s="47">
        <f>SUM(L13)+4</f>
        <v>111.5</v>
      </c>
      <c r="N13" s="104">
        <f>SUM(M13)+4</f>
        <v>115.5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86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87">
        <f>SUM(I15)-0.7</f>
        <v>12.600000000000001</v>
      </c>
      <c r="I15" s="51">
        <f>SUM(J15)-0.7</f>
        <v>13.3</v>
      </c>
      <c r="J15" s="60">
        <v>14</v>
      </c>
      <c r="K15" s="51">
        <f>SUM(J15)+1.2</f>
        <v>15.2</v>
      </c>
      <c r="L15" s="51">
        <f>SUM(K15)+0.7</f>
        <v>15.899999999999999</v>
      </c>
      <c r="M15" s="51">
        <f>SUM(L15)+0.7</f>
        <v>16.599999999999998</v>
      </c>
      <c r="N15" s="123">
        <f>SUM(M15)+0.7</f>
        <v>17.299999999999997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86"/>
      <c r="I16" s="23"/>
      <c r="J16" s="21"/>
      <c r="K16" s="23"/>
      <c r="L16" s="23"/>
      <c r="M16" s="23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87"/>
      <c r="I17" s="51"/>
      <c r="J17" s="60"/>
      <c r="K17" s="51"/>
      <c r="L17" s="51"/>
      <c r="M17" s="56"/>
      <c r="N17" s="187"/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86"/>
      <c r="I18" s="23"/>
      <c r="J18" s="21"/>
      <c r="K18" s="23"/>
      <c r="L18" s="23"/>
      <c r="M18" s="52"/>
      <c r="N18" s="188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87"/>
      <c r="I19" s="51"/>
      <c r="J19" s="60"/>
      <c r="K19" s="51"/>
      <c r="L19" s="51"/>
      <c r="M19" s="51"/>
      <c r="N19" s="123"/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86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87">
        <f>SUM(I21)-7</f>
        <v>55.400000000000006</v>
      </c>
      <c r="I21" s="51">
        <f>SUM(J21)-7</f>
        <v>62.400000000000006</v>
      </c>
      <c r="J21" s="60">
        <v>69.400000000000006</v>
      </c>
      <c r="K21" s="51">
        <f>SUM(J21)+6</f>
        <v>75.400000000000006</v>
      </c>
      <c r="L21" s="51">
        <f>SUM(K21)+6</f>
        <v>81.400000000000006</v>
      </c>
      <c r="M21" s="51">
        <f>SUM(L21)+6</f>
        <v>87.4</v>
      </c>
      <c r="N21" s="123">
        <f>SUM(M21)+6</f>
        <v>93.4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86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87">
        <f>SUM(I23)-1</f>
        <v>23</v>
      </c>
      <c r="I23" s="51">
        <f>SUM(J23)-1</f>
        <v>24</v>
      </c>
      <c r="J23" s="60">
        <v>25</v>
      </c>
      <c r="K23" s="51">
        <f>SUM(J23)+1</f>
        <v>26</v>
      </c>
      <c r="L23" s="51">
        <f t="shared" ref="L23:N23" si="0">SUM(K23)+1</f>
        <v>27</v>
      </c>
      <c r="M23" s="51">
        <f t="shared" si="0"/>
        <v>28</v>
      </c>
      <c r="N23" s="75">
        <f t="shared" si="0"/>
        <v>29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86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87">
        <f>SUM(I25)-1.1</f>
        <v>20.599999999999998</v>
      </c>
      <c r="I25" s="51">
        <f>SUM(J25)-1.1</f>
        <v>21.7</v>
      </c>
      <c r="J25" s="60">
        <v>22.8</v>
      </c>
      <c r="K25" s="51">
        <f>SUM(J25)+1.6</f>
        <v>24.400000000000002</v>
      </c>
      <c r="L25" s="51">
        <f>SUM(K25)+1.1</f>
        <v>25.500000000000004</v>
      </c>
      <c r="M25" s="56">
        <f>SUM(L25)+1.1</f>
        <v>26.600000000000005</v>
      </c>
      <c r="N25" s="187">
        <f>SUM(M25)+1.1</f>
        <v>27.700000000000006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86"/>
      <c r="I26" s="23"/>
      <c r="J26" s="21"/>
      <c r="K26" s="23"/>
      <c r="L26" s="23"/>
      <c r="M26" s="52"/>
      <c r="N26" s="188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87">
        <f>SUM(I27)-1.3</f>
        <v>27.9</v>
      </c>
      <c r="I27" s="51">
        <f>SUM(J27)-1.3</f>
        <v>29.2</v>
      </c>
      <c r="J27" s="60">
        <v>30.5</v>
      </c>
      <c r="K27" s="51">
        <f>SUM(J27)+1.8</f>
        <v>32.299999999999997</v>
      </c>
      <c r="L27" s="51">
        <f>SUM(K27)+1.3</f>
        <v>33.599999999999994</v>
      </c>
      <c r="M27" s="56">
        <f>SUM(L27)+1.4</f>
        <v>34.999999999999993</v>
      </c>
      <c r="N27" s="185">
        <f>SUM(M27)+1.4</f>
        <v>36.399999999999991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86"/>
      <c r="I28" s="23"/>
      <c r="J28" s="21"/>
      <c r="K28" s="23"/>
      <c r="L28" s="23"/>
      <c r="M28" s="52"/>
      <c r="N28" s="18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87">
        <f>SUM(I29)-2.7</f>
        <v>54.599999999999994</v>
      </c>
      <c r="I29" s="51">
        <f>SUM(J29)-2.7</f>
        <v>57.3</v>
      </c>
      <c r="J29" s="60">
        <v>60</v>
      </c>
      <c r="K29" s="51">
        <f>SUM(J29)+2.6</f>
        <v>62.6</v>
      </c>
      <c r="L29" s="51">
        <f>SUM(K29)+2.6</f>
        <v>65.2</v>
      </c>
      <c r="M29" s="51">
        <f>SUM(L29)+2.6</f>
        <v>67.8</v>
      </c>
      <c r="N29" s="75">
        <f>SUM(M29)+2.6</f>
        <v>70.399999999999991</v>
      </c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86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87">
        <f>SUM(I31)-6</f>
        <v>36.1</v>
      </c>
      <c r="I31" s="51">
        <f>SUM(J31)-6</f>
        <v>42.1</v>
      </c>
      <c r="J31" s="60">
        <v>48.1</v>
      </c>
      <c r="K31" s="51">
        <f>SUM(J31)+4.5</f>
        <v>52.6</v>
      </c>
      <c r="L31" s="51">
        <f>SUM(K31)+5</f>
        <v>57.6</v>
      </c>
      <c r="M31" s="51">
        <f>SUM(L31)+5</f>
        <v>62.6</v>
      </c>
      <c r="N31" s="123">
        <f>SUM(M31)+5</f>
        <v>67.599999999999994</v>
      </c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86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87">
        <f>SUM(I33)-2.2</f>
        <v>49.399999999999991</v>
      </c>
      <c r="I33" s="51">
        <f>SUM(J33)-2.2</f>
        <v>51.599999999999994</v>
      </c>
      <c r="J33" s="60">
        <v>53.8</v>
      </c>
      <c r="K33" s="51">
        <f>SUM(J33)+2.2</f>
        <v>56</v>
      </c>
      <c r="L33" s="51">
        <f t="shared" ref="L33:N33" si="1">SUM(K33)+2.2</f>
        <v>58.2</v>
      </c>
      <c r="M33" s="51">
        <f t="shared" si="1"/>
        <v>60.400000000000006</v>
      </c>
      <c r="N33" s="75">
        <f t="shared" si="1"/>
        <v>62.600000000000009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86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87">
        <f>SUM(I35)-3.1</f>
        <v>32.5</v>
      </c>
      <c r="I35" s="51">
        <f>SUM(J35)-3.1</f>
        <v>35.6</v>
      </c>
      <c r="J35" s="60">
        <v>38.700000000000003</v>
      </c>
      <c r="K35" s="51">
        <f>SUM(J35)+3.1</f>
        <v>41.800000000000004</v>
      </c>
      <c r="L35" s="51">
        <f>SUM(K35)+2.8</f>
        <v>44.6</v>
      </c>
      <c r="M35" s="51">
        <f t="shared" ref="M35:N35" si="2">SUM(L35)+2.7</f>
        <v>47.300000000000004</v>
      </c>
      <c r="N35" s="75">
        <f t="shared" si="2"/>
        <v>50.000000000000007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86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174</v>
      </c>
      <c r="C37" s="50"/>
      <c r="D37" s="57"/>
      <c r="E37" s="58"/>
      <c r="F37" s="58"/>
      <c r="G37" s="59"/>
      <c r="H37" s="87">
        <f>SUM(I37)-0.5</f>
        <v>10.5</v>
      </c>
      <c r="I37" s="51">
        <f>SUM(J37)-0.5</f>
        <v>11</v>
      </c>
      <c r="J37" s="60">
        <v>11.5</v>
      </c>
      <c r="K37" s="51">
        <f>SUM(J37)+0.5</f>
        <v>12</v>
      </c>
      <c r="L37" s="51">
        <f>SUM(K37)+0.5</f>
        <v>12.5</v>
      </c>
      <c r="M37" s="51">
        <f>SUM(L37)+0.5</f>
        <v>13</v>
      </c>
      <c r="N37" s="75">
        <f>SUM(M37)+0.5</f>
        <v>13.5</v>
      </c>
    </row>
    <row r="38" spans="1:14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86"/>
      <c r="I38" s="23"/>
      <c r="J38" s="21"/>
      <c r="K38" s="23"/>
      <c r="L38" s="23"/>
      <c r="M38" s="23"/>
      <c r="N38" s="76"/>
    </row>
    <row r="39" spans="1:14" s="1" customFormat="1" ht="14.1" customHeight="1">
      <c r="A39" s="182">
        <v>19</v>
      </c>
      <c r="B39" s="49"/>
      <c r="C39" s="50"/>
      <c r="D39" s="57"/>
      <c r="E39" s="58"/>
      <c r="F39" s="58"/>
      <c r="G39" s="59"/>
      <c r="H39" s="87"/>
      <c r="I39" s="51"/>
      <c r="J39" s="60"/>
      <c r="K39" s="51"/>
      <c r="L39" s="51"/>
      <c r="M39" s="51"/>
      <c r="N39" s="123"/>
    </row>
    <row r="40" spans="1:14" s="1" customFormat="1" ht="14.1" customHeight="1">
      <c r="A40" s="184"/>
      <c r="B40" s="77"/>
      <c r="C40" s="78"/>
      <c r="D40" s="79"/>
      <c r="E40" s="80"/>
      <c r="F40" s="80"/>
      <c r="G40" s="81"/>
      <c r="H40" s="86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/>
      <c r="C41" s="50"/>
      <c r="D41" s="57"/>
      <c r="E41" s="58"/>
      <c r="F41" s="58"/>
      <c r="G41" s="59"/>
      <c r="H41" s="87"/>
      <c r="I41" s="51"/>
      <c r="J41" s="60"/>
      <c r="K41" s="51"/>
      <c r="L41" s="51"/>
      <c r="M41" s="51"/>
      <c r="N41" s="123"/>
    </row>
    <row r="42" spans="1:14" s="1" customFormat="1" ht="14.1" customHeight="1">
      <c r="A42" s="184"/>
      <c r="B42" s="77"/>
      <c r="C42" s="78"/>
      <c r="D42" s="79"/>
      <c r="E42" s="80"/>
      <c r="F42" s="80"/>
      <c r="G42" s="81"/>
      <c r="H42" s="86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/>
      <c r="C43" s="50"/>
      <c r="D43" s="57"/>
      <c r="E43" s="58"/>
      <c r="F43" s="58"/>
      <c r="G43" s="59"/>
      <c r="H43" s="87"/>
      <c r="I43" s="51"/>
      <c r="J43" s="60"/>
      <c r="K43" s="51"/>
      <c r="L43" s="51"/>
      <c r="M43" s="51"/>
      <c r="N43" s="123"/>
    </row>
    <row r="44" spans="1:14" s="1" customFormat="1" ht="13.5" customHeight="1">
      <c r="A44" s="184"/>
      <c r="B44" s="144"/>
      <c r="C44" s="145"/>
      <c r="D44" s="146"/>
      <c r="E44" s="147"/>
      <c r="F44" s="147"/>
      <c r="G44" s="148"/>
      <c r="H44" s="88"/>
      <c r="I44" s="47"/>
      <c r="J44" s="100"/>
      <c r="K44" s="47"/>
      <c r="L44" s="47"/>
      <c r="M44" s="47"/>
      <c r="N44" s="127"/>
    </row>
    <row r="45" spans="1:14" s="1" customFormat="1" ht="13.5" customHeight="1">
      <c r="A45" s="182">
        <v>22</v>
      </c>
      <c r="B45" s="49"/>
      <c r="C45" s="50"/>
      <c r="D45" s="57"/>
      <c r="E45" s="58"/>
      <c r="F45" s="58"/>
      <c r="G45" s="59"/>
      <c r="H45" s="87"/>
      <c r="I45" s="51"/>
      <c r="J45" s="60"/>
      <c r="K45" s="51"/>
      <c r="L45" s="51"/>
      <c r="M45" s="51"/>
      <c r="N45" s="123"/>
    </row>
    <row r="46" spans="1:14" s="1" customFormat="1" ht="13.5" customHeight="1" thickBot="1">
      <c r="A46" s="183"/>
      <c r="B46" s="177"/>
      <c r="C46" s="178"/>
      <c r="D46" s="179"/>
      <c r="E46" s="180"/>
      <c r="F46" s="180"/>
      <c r="G46" s="181"/>
      <c r="H46" s="176"/>
      <c r="I46" s="48"/>
      <c r="J46" s="110"/>
      <c r="K46" s="48"/>
      <c r="L46" s="48"/>
      <c r="M46" s="48"/>
      <c r="N46" s="124"/>
    </row>
    <row r="47" spans="1:14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6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FD65-46C7-4DEA-97DC-EB251C85C649}">
  <sheetPr>
    <tabColor theme="5"/>
    <pageSetUpPr fitToPage="1"/>
  </sheetPr>
  <dimension ref="A1:N51"/>
  <sheetViews>
    <sheetView topLeftCell="A13" zoomScale="110" zoomScaleNormal="110" workbookViewId="0">
      <selection activeCell="J49" sqref="J4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1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76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1"/>
      <c r="I5" s="51"/>
      <c r="J5" s="100"/>
      <c r="K5" s="47"/>
      <c r="L5" s="47"/>
      <c r="M5" s="104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76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100"/>
      <c r="K7" s="47"/>
      <c r="L7" s="47"/>
      <c r="M7" s="104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76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214"/>
      <c r="I9" s="216">
        <f>SUM(J9)-2.2</f>
        <v>-2.2000000000000002</v>
      </c>
      <c r="J9" s="100"/>
      <c r="K9" s="218">
        <f>SUM(J9)+2.2</f>
        <v>2.2000000000000002</v>
      </c>
      <c r="L9" s="218">
        <f>SUM(K9)+2.2</f>
        <v>4.4000000000000004</v>
      </c>
      <c r="M9" s="219">
        <f>SUM(L9)+2.2</f>
        <v>6.6000000000000005</v>
      </c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15"/>
      <c r="I10" s="217"/>
      <c r="J10" s="21"/>
      <c r="K10" s="217"/>
      <c r="L10" s="217"/>
      <c r="M10" s="220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75.7</v>
      </c>
      <c r="I11" s="51">
        <f>SUM(J11)-3.5</f>
        <v>79.2</v>
      </c>
      <c r="J11" s="100">
        <v>82.7</v>
      </c>
      <c r="K11" s="47">
        <f>SUM(J11)+3.5</f>
        <v>86.2</v>
      </c>
      <c r="L11" s="47">
        <f>SUM(K11)+3.5</f>
        <v>89.7</v>
      </c>
      <c r="M11" s="104">
        <f>SUM(L11)+3.5</f>
        <v>93.2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476</v>
      </c>
      <c r="E13" s="58"/>
      <c r="F13" s="58"/>
      <c r="G13" s="59"/>
      <c r="H13" s="51">
        <f>SUM(I13)-4</f>
        <v>83.8</v>
      </c>
      <c r="I13" s="51">
        <f>SUM(J13)-4</f>
        <v>87.8</v>
      </c>
      <c r="J13" s="60">
        <v>91.8</v>
      </c>
      <c r="K13" s="51">
        <f>SUM(J13)+4</f>
        <v>95.8</v>
      </c>
      <c r="L13" s="51">
        <f>SUM(K13)+4</f>
        <v>99.8</v>
      </c>
      <c r="M13" s="75">
        <f>SUM(L13)+4</f>
        <v>103.8</v>
      </c>
    </row>
    <row r="14" spans="1:14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23"/>
      <c r="I14" s="23"/>
      <c r="J14" s="21"/>
      <c r="K14" s="23"/>
      <c r="L14" s="23"/>
      <c r="M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12.900000000000002</v>
      </c>
      <c r="I15" s="51">
        <f>SUM(J15)-0.7</f>
        <v>13.600000000000001</v>
      </c>
      <c r="J15" s="60">
        <v>14.3</v>
      </c>
      <c r="K15" s="51">
        <f>SUM(J15)+1.2</f>
        <v>15.5</v>
      </c>
      <c r="L15" s="51">
        <f>SUM(K15)+0.7</f>
        <v>16.2</v>
      </c>
      <c r="M15" s="75">
        <f t="shared" ref="M15" si="0">SUM(L15)+0.7</f>
        <v>16.899999999999999</v>
      </c>
    </row>
    <row r="16" spans="1:14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1"/>
      <c r="I17" s="51"/>
      <c r="J17" s="60"/>
      <c r="K17" s="51"/>
      <c r="L17" s="51"/>
      <c r="M17" s="18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23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75">
        <f>SUM(L21)+6</f>
        <v>84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40.400000000000006</v>
      </c>
      <c r="I23" s="51">
        <f>SUM(J23)-1.8</f>
        <v>42.2</v>
      </c>
      <c r="J23" s="60">
        <v>44</v>
      </c>
      <c r="K23" s="51">
        <f>SUM(J23)+1.8</f>
        <v>45.8</v>
      </c>
      <c r="L23" s="51">
        <f t="shared" ref="L23:M23" si="1">SUM(K23)+1.8</f>
        <v>47.599999999999994</v>
      </c>
      <c r="M23" s="75">
        <f t="shared" si="1"/>
        <v>49.399999999999991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1">
        <f>SUM(I25)-1.1</f>
        <v>22.999999999999996</v>
      </c>
      <c r="I25" s="51">
        <f>SUM(J25)-1.1</f>
        <v>24.099999999999998</v>
      </c>
      <c r="J25" s="60">
        <v>25.2</v>
      </c>
      <c r="K25" s="51">
        <f>SUM(J25)+1.6</f>
        <v>26.8</v>
      </c>
      <c r="L25" s="51">
        <f>SUM(K25)+1.1</f>
        <v>27.900000000000002</v>
      </c>
      <c r="M25" s="185">
        <f>SUM(L25)+1.1</f>
        <v>29.000000000000004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23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1">
        <f>SUM(I27)-1.3</f>
        <v>29.6</v>
      </c>
      <c r="I27" s="51">
        <f>SUM(J27)-1.3</f>
        <v>30.900000000000002</v>
      </c>
      <c r="J27" s="60">
        <v>32.200000000000003</v>
      </c>
      <c r="K27" s="51">
        <f>SUM(J27)+1.8</f>
        <v>34</v>
      </c>
      <c r="L27" s="51">
        <f>SUM(K27)+1.3</f>
        <v>35.299999999999997</v>
      </c>
      <c r="M27" s="185">
        <f>SUM(L27)+1.3</f>
        <v>36.599999999999994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23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SUM(I29)-2.9</f>
        <v>53.300000000000004</v>
      </c>
      <c r="I29" s="51">
        <f>SUM(J29)-2.9</f>
        <v>56.2</v>
      </c>
      <c r="J29" s="60">
        <v>59.1</v>
      </c>
      <c r="K29" s="51">
        <f>SUM(J29)+2.7</f>
        <v>61.800000000000004</v>
      </c>
      <c r="L29" s="51">
        <f t="shared" ref="L29:M29" si="2">SUM(K29)+2.7</f>
        <v>64.5</v>
      </c>
      <c r="M29" s="75">
        <f t="shared" si="2"/>
        <v>67.2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29.4</v>
      </c>
      <c r="I31" s="51">
        <f>SUM(J31)-6</f>
        <v>35.4</v>
      </c>
      <c r="J31" s="60">
        <v>41.4</v>
      </c>
      <c r="K31" s="51">
        <f>SUM(J31)+4.5</f>
        <v>45.9</v>
      </c>
      <c r="L31" s="51">
        <f>SUM(K31)+5</f>
        <v>50.9</v>
      </c>
      <c r="M31" s="75">
        <f t="shared" ref="M31" si="3">SUM(L31)+5</f>
        <v>55.9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SUM(I33)-2.2</f>
        <v>49.399999999999991</v>
      </c>
      <c r="I33" s="51">
        <f>SUM(J33)-2.2</f>
        <v>51.599999999999994</v>
      </c>
      <c r="J33" s="60">
        <v>53.8</v>
      </c>
      <c r="K33" s="51">
        <f>SUM(J33)+2.2</f>
        <v>56</v>
      </c>
      <c r="L33" s="51">
        <f t="shared" ref="L33:M33" si="4">SUM(K33)+2.2</f>
        <v>58.2</v>
      </c>
      <c r="M33" s="75">
        <f t="shared" si="4"/>
        <v>60.400000000000006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SUM(I35)-3.2</f>
        <v>33.599999999999994</v>
      </c>
      <c r="I35" s="51">
        <f>SUM(J35)-3.2</f>
        <v>36.799999999999997</v>
      </c>
      <c r="J35" s="60">
        <v>40</v>
      </c>
      <c r="K35" s="51">
        <f>SUM(J35)+3.1</f>
        <v>43.1</v>
      </c>
      <c r="L35" s="51">
        <f>SUM(K35)+2.9</f>
        <v>46</v>
      </c>
      <c r="M35" s="75">
        <f t="shared" ref="M35" si="5">SUM(L35)+2.9</f>
        <v>48.9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4.5</v>
      </c>
      <c r="I37" s="51">
        <f>SUM(J37)-0.2</f>
        <v>4.7</v>
      </c>
      <c r="J37" s="39">
        <v>4.9000000000000004</v>
      </c>
      <c r="K37" s="32">
        <f>SUM(J37)+0.2</f>
        <v>5.1000000000000005</v>
      </c>
      <c r="L37" s="32">
        <f t="shared" ref="L37:M37" si="6">SUM(K37)+0.2</f>
        <v>5.3000000000000007</v>
      </c>
      <c r="M37" s="82">
        <f t="shared" si="6"/>
        <v>5.5000000000000009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82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10</v>
      </c>
      <c r="I39" s="51">
        <f>SUM(J39)-0.6</f>
        <v>10.6</v>
      </c>
      <c r="J39" s="60">
        <v>11.2</v>
      </c>
      <c r="K39" s="51">
        <f>SUM(J39)+0.6</f>
        <v>11.799999999999999</v>
      </c>
      <c r="L39" s="51">
        <f t="shared" ref="L39:M39" si="7">SUM(K39)+0.6</f>
        <v>12.399999999999999</v>
      </c>
      <c r="M39" s="75">
        <f t="shared" si="7"/>
        <v>12.999999999999998</v>
      </c>
    </row>
    <row r="40" spans="1:14" s="1" customFormat="1" ht="14.1" customHeight="1">
      <c r="A40" s="184"/>
      <c r="B40" s="144" t="s">
        <v>54</v>
      </c>
      <c r="C40" s="145"/>
      <c r="D40" s="200" t="s">
        <v>108</v>
      </c>
      <c r="E40" s="147"/>
      <c r="F40" s="147"/>
      <c r="G40" s="148"/>
      <c r="H40" s="47"/>
      <c r="I40" s="47"/>
      <c r="J40" s="100"/>
      <c r="K40" s="47"/>
      <c r="L40" s="47"/>
      <c r="M40" s="104"/>
    </row>
    <row r="41" spans="1:14" s="1" customFormat="1" ht="14.1" customHeight="1">
      <c r="A41" s="182">
        <v>20</v>
      </c>
      <c r="B41" s="49" t="s">
        <v>141</v>
      </c>
      <c r="C41" s="50"/>
      <c r="D41" s="57"/>
      <c r="E41" s="58"/>
      <c r="F41" s="58"/>
      <c r="G41" s="59"/>
      <c r="H41" s="51">
        <f>SUM(I41)-0.4</f>
        <v>4.7999999999999989</v>
      </c>
      <c r="I41" s="51">
        <f>SUM(J41)-0.4</f>
        <v>5.1999999999999993</v>
      </c>
      <c r="J41" s="60">
        <v>5.6</v>
      </c>
      <c r="K41" s="51">
        <f>SUM(J41)+0.4</f>
        <v>6</v>
      </c>
      <c r="L41" s="51">
        <f t="shared" ref="L41:M41" si="8">SUM(K41)+0.4</f>
        <v>6.4</v>
      </c>
      <c r="M41" s="75">
        <f t="shared" si="8"/>
        <v>6.8000000000000007</v>
      </c>
    </row>
    <row r="42" spans="1:14" s="1" customFormat="1" ht="14.1" customHeight="1">
      <c r="A42" s="182"/>
      <c r="B42" s="53" t="s">
        <v>140</v>
      </c>
      <c r="C42" s="54"/>
      <c r="D42" s="200" t="s">
        <v>483</v>
      </c>
      <c r="E42" s="147"/>
      <c r="F42" s="147"/>
      <c r="G42" s="148"/>
      <c r="H42" s="47"/>
      <c r="I42" s="47"/>
      <c r="J42" s="100"/>
      <c r="K42" s="47"/>
      <c r="L42" s="47"/>
      <c r="M42" s="104"/>
    </row>
    <row r="43" spans="1:14" s="1" customFormat="1" ht="14.1" customHeight="1">
      <c r="A43" s="201">
        <v>21</v>
      </c>
      <c r="B43" s="49" t="s">
        <v>139</v>
      </c>
      <c r="C43" s="50"/>
      <c r="D43" s="57"/>
      <c r="E43" s="58"/>
      <c r="F43" s="58"/>
      <c r="G43" s="59"/>
      <c r="H43" s="51">
        <f>SUM(I43)-0.1</f>
        <v>1.7999999999999998</v>
      </c>
      <c r="I43" s="51">
        <f>SUM(J43)-0.1</f>
        <v>1.9</v>
      </c>
      <c r="J43" s="60">
        <v>2</v>
      </c>
      <c r="K43" s="51">
        <f>SUM(J43)+0.1</f>
        <v>2.1</v>
      </c>
      <c r="L43" s="51">
        <f t="shared" ref="L43:M43" si="9">SUM(K43)+0.1</f>
        <v>2.2000000000000002</v>
      </c>
      <c r="M43" s="75">
        <f t="shared" si="9"/>
        <v>2.3000000000000003</v>
      </c>
    </row>
    <row r="44" spans="1:14" s="1" customFormat="1" ht="14.1" customHeight="1" thickBot="1">
      <c r="A44" s="183"/>
      <c r="B44" s="27" t="s">
        <v>138</v>
      </c>
      <c r="C44" s="28"/>
      <c r="D44" s="199" t="s">
        <v>484</v>
      </c>
      <c r="E44" s="180"/>
      <c r="F44" s="180"/>
      <c r="G44" s="181"/>
      <c r="H44" s="48"/>
      <c r="I44" s="48"/>
      <c r="J44" s="110"/>
      <c r="K44" s="48"/>
      <c r="L44" s="48"/>
      <c r="M44" s="109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1D81-4C92-40F8-B134-F456BE361D5C}">
  <sheetPr>
    <tabColor theme="5"/>
    <pageSetUpPr fitToPage="1"/>
  </sheetPr>
  <dimension ref="A1:P52"/>
  <sheetViews>
    <sheetView topLeftCell="A19" zoomScale="110" zoomScaleNormal="110" workbookViewId="0">
      <selection activeCell="P22" sqref="P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287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6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154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6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04">
        <f>SUM(M9)+2.2</f>
        <v>49.800000000000011</v>
      </c>
    </row>
    <row r="10" spans="1:16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76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61</v>
      </c>
      <c r="I11" s="51">
        <f>SUM(J11)-4.5</f>
        <v>65.5</v>
      </c>
      <c r="J11" s="100">
        <v>70</v>
      </c>
      <c r="K11" s="47">
        <f>SUM(J11)+4.5</f>
        <v>74.5</v>
      </c>
      <c r="L11" s="47">
        <f>SUM(K11)+4.5</f>
        <v>79</v>
      </c>
      <c r="M11" s="47">
        <f>SUM(L11)+4.5</f>
        <v>83.5</v>
      </c>
      <c r="N11" s="127">
        <f>SUM(M11)+4.5</f>
        <v>88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3"/>
      <c r="N12" s="125"/>
    </row>
    <row r="13" spans="1:16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78</v>
      </c>
      <c r="I13" s="51">
        <f>SUM(J13)-5</f>
        <v>83</v>
      </c>
      <c r="J13" s="60">
        <v>88</v>
      </c>
      <c r="K13" s="51">
        <f>SUM(J13)+5</f>
        <v>93</v>
      </c>
      <c r="L13" s="51">
        <f>SUM(K13)+5</f>
        <v>98</v>
      </c>
      <c r="M13" s="51">
        <f>SUM(L13)+5</f>
        <v>103</v>
      </c>
      <c r="N13" s="123">
        <f>SUM(M13)+5</f>
        <v>108</v>
      </c>
    </row>
    <row r="14" spans="1:16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23"/>
      <c r="N14" s="125"/>
      <c r="P14" s="1" t="s">
        <v>173</v>
      </c>
    </row>
    <row r="15" spans="1:16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56">
        <f>SUM(L15)+0.7</f>
        <v>12.599999999999998</v>
      </c>
      <c r="N15" s="123">
        <f>SUM(M15)+0.7</f>
        <v>13.299999999999997</v>
      </c>
    </row>
    <row r="16" spans="1:16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52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6">
        <f>SUM(L17)+0.7</f>
        <v>12.599999999999998</v>
      </c>
      <c r="N17" s="123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25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123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51">
        <f>SUM(L21)+6</f>
        <v>84</v>
      </c>
      <c r="N21" s="123">
        <f>SUM(M21)+6</f>
        <v>90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29.4</v>
      </c>
      <c r="I23" s="51">
        <f>SUM(J23)-1.8</f>
        <v>31.2</v>
      </c>
      <c r="J23" s="60">
        <v>33</v>
      </c>
      <c r="K23" s="51">
        <f>SUM(J23)+1.8</f>
        <v>34.799999999999997</v>
      </c>
      <c r="L23" s="51">
        <f>SUM(K23)+1.8</f>
        <v>36.599999999999994</v>
      </c>
      <c r="M23" s="51">
        <f>SUM(L23)+1.8</f>
        <v>38.399999999999991</v>
      </c>
      <c r="N23" s="75">
        <f>SUM(M23)+1.8</f>
        <v>40.199999999999989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20.799999999999997</v>
      </c>
      <c r="I25" s="51">
        <f>SUM(J25)-1.1</f>
        <v>21.9</v>
      </c>
      <c r="J25" s="60">
        <v>23</v>
      </c>
      <c r="K25" s="51">
        <f>SUM(J25)+1.6</f>
        <v>24.6</v>
      </c>
      <c r="L25" s="51">
        <f>SUM(K25)+1.1</f>
        <v>25.700000000000003</v>
      </c>
      <c r="M25" s="56">
        <f>SUM(L25)+1.1</f>
        <v>26.800000000000004</v>
      </c>
      <c r="N25" s="123">
        <f>SUM(M25)+1.1</f>
        <v>27.900000000000006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25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56">
        <f>SUM(L27)+1.3</f>
        <v>34.4</v>
      </c>
      <c r="N27" s="123">
        <f>SUM(M27)+1.3</f>
        <v>35.699999999999996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25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51"/>
      <c r="N29" s="123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125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51"/>
      <c r="N31" s="123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56"/>
      <c r="N33" s="123"/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52"/>
      <c r="N34" s="125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51"/>
      <c r="N35" s="123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125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SUM(I37)-0.3</f>
        <v>5.4</v>
      </c>
      <c r="I37" s="51">
        <f>SUM(J37)-0.3</f>
        <v>5.7</v>
      </c>
      <c r="J37" s="39">
        <v>6</v>
      </c>
      <c r="K37" s="32">
        <f>SUM(J37)+0.3</f>
        <v>6.3</v>
      </c>
      <c r="L37" s="32">
        <f>SUM(K37)+0.3</f>
        <v>6.6</v>
      </c>
      <c r="M37" s="128">
        <f>SUM(L37)+0.3</f>
        <v>6.8999999999999995</v>
      </c>
      <c r="N37" s="126">
        <f>SUM(M37)+0.3</f>
        <v>7.1999999999999993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128"/>
      <c r="N38" s="12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SUM(I39)-0.5</f>
        <v>9.5</v>
      </c>
      <c r="I39" s="51">
        <f>SUM(J39)-0.5</f>
        <v>10</v>
      </c>
      <c r="J39" s="60">
        <v>10.5</v>
      </c>
      <c r="K39" s="51">
        <f>SUM(J39)+0.5</f>
        <v>11</v>
      </c>
      <c r="L39" s="51">
        <f>SUM(K39)+0.5</f>
        <v>11.5</v>
      </c>
      <c r="M39" s="51">
        <f>SUM(L39)+0.5</f>
        <v>12</v>
      </c>
      <c r="N39" s="123">
        <f>SUM(M39)+0.5</f>
        <v>12.5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11.5</v>
      </c>
      <c r="I41" s="51">
        <f>SUM(J41)-0.5</f>
        <v>12</v>
      </c>
      <c r="J41" s="60">
        <v>12.5</v>
      </c>
      <c r="K41" s="51">
        <f>SUM(J41)+0.5</f>
        <v>13</v>
      </c>
      <c r="L41" s="51">
        <f>SUM(K41)+0.5</f>
        <v>13.5</v>
      </c>
      <c r="M41" s="51">
        <f>SUM(L41)+0.5</f>
        <v>14</v>
      </c>
      <c r="N41" s="123">
        <f>SUM(M41)+0.5</f>
        <v>14.5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11.5</v>
      </c>
      <c r="I43" s="51">
        <f>SUM(J43)-0.5</f>
        <v>12</v>
      </c>
      <c r="J43" s="60">
        <v>12.5</v>
      </c>
      <c r="K43" s="51">
        <f>SUM(J43)+0.5</f>
        <v>13</v>
      </c>
      <c r="L43" s="51">
        <f>SUM(K43)+0.5</f>
        <v>13.5</v>
      </c>
      <c r="M43" s="51">
        <f>SUM(L43)+0.5</f>
        <v>14</v>
      </c>
      <c r="N43" s="75">
        <f>SUM(M43)+0.5</f>
        <v>14.5</v>
      </c>
    </row>
    <row r="44" spans="1:14" s="1" customFormat="1" ht="14.1" customHeight="1" thickBot="1">
      <c r="A44" s="183"/>
      <c r="B44" s="132" t="s">
        <v>104</v>
      </c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48"/>
      <c r="N44" s="109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7C9B-0A50-433B-A241-EEB802067CE9}">
  <sheetPr>
    <tabColor theme="5"/>
    <pageSetUpPr fitToPage="1"/>
  </sheetPr>
  <dimension ref="A1:P52"/>
  <sheetViews>
    <sheetView topLeftCell="A16" zoomScale="110" zoomScaleNormal="110" workbookViewId="0">
      <selection activeCell="J39" sqref="J39:J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310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6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154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6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04">
        <f>SUM(M9)+2.2</f>
        <v>49.800000000000011</v>
      </c>
    </row>
    <row r="10" spans="1:16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76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63</v>
      </c>
      <c r="I11" s="51">
        <f>SUM(J11)-4.5</f>
        <v>67.5</v>
      </c>
      <c r="J11" s="100">
        <v>72</v>
      </c>
      <c r="K11" s="47">
        <f>SUM(J11)+4.5</f>
        <v>76.5</v>
      </c>
      <c r="L11" s="47">
        <f>SUM(K11)+4.5</f>
        <v>81</v>
      </c>
      <c r="M11" s="47">
        <f>SUM(L11)+4.5</f>
        <v>85.5</v>
      </c>
      <c r="N11" s="127">
        <f>SUM(M11)+4.5</f>
        <v>90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3"/>
      <c r="N12" s="125"/>
    </row>
    <row r="13" spans="1:16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74</v>
      </c>
      <c r="I13" s="51">
        <f>SUM(J13)-5</f>
        <v>79</v>
      </c>
      <c r="J13" s="60">
        <v>84</v>
      </c>
      <c r="K13" s="51">
        <f>SUM(J13)+5</f>
        <v>89</v>
      </c>
      <c r="L13" s="51">
        <f>SUM(K13)+5</f>
        <v>94</v>
      </c>
      <c r="M13" s="51">
        <f>SUM(L13)+5</f>
        <v>99</v>
      </c>
      <c r="N13" s="123">
        <f>SUM(M13)+5</f>
        <v>104</v>
      </c>
    </row>
    <row r="14" spans="1:16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23"/>
      <c r="N14" s="125"/>
      <c r="P14" s="1" t="s">
        <v>173</v>
      </c>
    </row>
    <row r="15" spans="1:16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56">
        <f>SUM(L15)+0.7</f>
        <v>12.599999999999998</v>
      </c>
      <c r="N15" s="123">
        <f>SUM(M15)+0.7</f>
        <v>13.299999999999997</v>
      </c>
    </row>
    <row r="16" spans="1:16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52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6">
        <f>SUM(L17)+0.7</f>
        <v>12.599999999999998</v>
      </c>
      <c r="N17" s="123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25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123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53</v>
      </c>
      <c r="I21" s="51">
        <f>SUM(J21)-7</f>
        <v>60</v>
      </c>
      <c r="J21" s="60">
        <v>67</v>
      </c>
      <c r="K21" s="51">
        <f>SUM(J21)+6</f>
        <v>73</v>
      </c>
      <c r="L21" s="51">
        <f>SUM(K21)+6</f>
        <v>79</v>
      </c>
      <c r="M21" s="51">
        <f>SUM(L21)+6</f>
        <v>85</v>
      </c>
      <c r="N21" s="123">
        <f>SUM(M21)+6</f>
        <v>91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32</v>
      </c>
      <c r="I23" s="51">
        <f>SUM(J23)-2</f>
        <v>34</v>
      </c>
      <c r="J23" s="60">
        <v>36</v>
      </c>
      <c r="K23" s="51">
        <f>SUM(J23)+2</f>
        <v>38</v>
      </c>
      <c r="L23" s="51">
        <f>SUM(K23)+2</f>
        <v>40</v>
      </c>
      <c r="M23" s="51">
        <f>SUM(L23)+2</f>
        <v>42</v>
      </c>
      <c r="N23" s="75">
        <f>SUM(M23)+2</f>
        <v>44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20.799999999999997</v>
      </c>
      <c r="I25" s="51">
        <f>SUM(J25)-1.1</f>
        <v>21.9</v>
      </c>
      <c r="J25" s="60">
        <v>23</v>
      </c>
      <c r="K25" s="51">
        <f>SUM(J25)+1.6</f>
        <v>24.6</v>
      </c>
      <c r="L25" s="51">
        <f>SUM(K25)+1.1</f>
        <v>25.700000000000003</v>
      </c>
      <c r="M25" s="56">
        <f>SUM(L25)+1.1</f>
        <v>26.800000000000004</v>
      </c>
      <c r="N25" s="123">
        <f>SUM(M25)+1.1</f>
        <v>27.900000000000006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25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56">
        <f>SUM(L27)+1.3</f>
        <v>34.4</v>
      </c>
      <c r="N27" s="123">
        <f>SUM(M27)+1.3</f>
        <v>35.699999999999996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25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51"/>
      <c r="N29" s="123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125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51"/>
      <c r="N31" s="123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56"/>
      <c r="N33" s="123"/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52"/>
      <c r="N34" s="125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51"/>
      <c r="N35" s="123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125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3.5999999999999996</v>
      </c>
      <c r="I37" s="51">
        <f>SUM(J37)-0.2</f>
        <v>3.8</v>
      </c>
      <c r="J37" s="39">
        <v>4</v>
      </c>
      <c r="K37" s="32">
        <f>SUM(J37)+0.2</f>
        <v>4.2</v>
      </c>
      <c r="L37" s="32">
        <f>SUM(K37)+0.2</f>
        <v>4.4000000000000004</v>
      </c>
      <c r="M37" s="128">
        <f>SUM(L37)+0.2</f>
        <v>4.6000000000000005</v>
      </c>
      <c r="N37" s="126">
        <f>SUM(M37)+0.2</f>
        <v>4.8000000000000007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128"/>
      <c r="N38" s="12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9.3000000000000007</v>
      </c>
      <c r="I39" s="51">
        <f>SUM(J39)-0.6</f>
        <v>9.9</v>
      </c>
      <c r="J39" s="60">
        <v>10.5</v>
      </c>
      <c r="K39" s="51">
        <f>SUM(J39)+0.6</f>
        <v>11.1</v>
      </c>
      <c r="L39" s="51">
        <f>SUM(K39)+0.6</f>
        <v>11.7</v>
      </c>
      <c r="M39" s="51">
        <f>SUM(L39)+0.6</f>
        <v>12.299999999999999</v>
      </c>
      <c r="N39" s="123">
        <f>SUM(M39)+0.6</f>
        <v>12.899999999999999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10.5</v>
      </c>
      <c r="I41" s="51">
        <f>SUM(J41)-0.5</f>
        <v>11</v>
      </c>
      <c r="J41" s="60">
        <v>11.5</v>
      </c>
      <c r="K41" s="51">
        <f>SUM(J41)+0.5</f>
        <v>12</v>
      </c>
      <c r="L41" s="51">
        <f>SUM(K41)+0.5</f>
        <v>12.5</v>
      </c>
      <c r="M41" s="51">
        <f>SUM(L41)+0.5</f>
        <v>13</v>
      </c>
      <c r="N41" s="123">
        <f>SUM(M41)+0.5</f>
        <v>13.5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11</v>
      </c>
      <c r="I43" s="51">
        <f>SUM(J43)-0.5</f>
        <v>11.5</v>
      </c>
      <c r="J43" s="60">
        <v>12</v>
      </c>
      <c r="K43" s="51">
        <f>SUM(J43)+0.5</f>
        <v>12.5</v>
      </c>
      <c r="L43" s="51">
        <f>SUM(K43)+0.5</f>
        <v>13</v>
      </c>
      <c r="M43" s="51">
        <f>SUM(L43)+0.5</f>
        <v>13.5</v>
      </c>
      <c r="N43" s="75">
        <f>SUM(M43)+0.5</f>
        <v>14</v>
      </c>
    </row>
    <row r="44" spans="1:14" s="1" customFormat="1" ht="14.1" customHeight="1" thickBot="1">
      <c r="A44" s="183"/>
      <c r="B44" s="132" t="s">
        <v>104</v>
      </c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48"/>
      <c r="N44" s="109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D6FA-19B4-4FA8-B9D9-1DF41D61941F}">
  <sheetPr>
    <tabColor theme="5"/>
    <pageSetUpPr fitToPage="1"/>
  </sheetPr>
  <dimension ref="A1:Q61"/>
  <sheetViews>
    <sheetView topLeftCell="A19" zoomScale="110" zoomScaleNormal="110" workbookViewId="0">
      <selection activeCell="J21" sqref="J21:J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485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104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70.7</v>
      </c>
      <c r="I11" s="51">
        <f>SUM(J11)-3.5</f>
        <v>74.2</v>
      </c>
      <c r="J11" s="100">
        <v>77.7</v>
      </c>
      <c r="K11" s="47">
        <f>SUM(J11)+3.5</f>
        <v>81.2</v>
      </c>
      <c r="L11" s="47">
        <f t="shared" ref="L11:M11" si="0">SUM(K11)+3.5</f>
        <v>84.7</v>
      </c>
      <c r="M11" s="104">
        <f t="shared" si="0"/>
        <v>88.2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79.400000000000006</v>
      </c>
      <c r="I13" s="51">
        <f>SUM(J13)-4</f>
        <v>83.4</v>
      </c>
      <c r="J13" s="60">
        <v>87.4</v>
      </c>
      <c r="K13" s="51">
        <f>SUM(J13)+4</f>
        <v>91.4</v>
      </c>
      <c r="L13" s="51">
        <f>SUM(K13)+4</f>
        <v>95.4</v>
      </c>
      <c r="M13" s="75">
        <f>SUM(L13)+4</f>
        <v>99.4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13.8</v>
      </c>
      <c r="I15" s="51">
        <f>SUM(J15)-0.7</f>
        <v>14.5</v>
      </c>
      <c r="J15" s="60">
        <v>15.2</v>
      </c>
      <c r="K15" s="51">
        <f>SUM(J15)+1.2</f>
        <v>16.399999999999999</v>
      </c>
      <c r="L15" s="51">
        <f>SUM(K15)+0.7</f>
        <v>17.099999999999998</v>
      </c>
      <c r="M15" s="75">
        <f>SUM(L15)+0.7</f>
        <v>17.799999999999997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76"/>
    </row>
    <row r="17" spans="1:16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185"/>
    </row>
    <row r="18" spans="1:16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6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75"/>
    </row>
    <row r="20" spans="1:16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6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54</v>
      </c>
      <c r="I21" s="51">
        <f>SUM(J21)-7</f>
        <v>61</v>
      </c>
      <c r="J21" s="60">
        <v>68</v>
      </c>
      <c r="K21" s="51">
        <f>SUM(J21)+6</f>
        <v>74</v>
      </c>
      <c r="L21" s="51">
        <f>SUM(K21)+6</f>
        <v>80</v>
      </c>
      <c r="M21" s="75">
        <f>SUM(L21)+6</f>
        <v>86</v>
      </c>
    </row>
    <row r="22" spans="1:16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6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40.400000000000006</v>
      </c>
      <c r="I23" s="51">
        <f>SUM(J23)-1.8</f>
        <v>42.2</v>
      </c>
      <c r="J23" s="60">
        <v>44</v>
      </c>
      <c r="K23" s="51">
        <f>SUM(J23)+1.8</f>
        <v>45.8</v>
      </c>
      <c r="L23" s="51">
        <f t="shared" ref="L23:M23" si="1">SUM(K23)+1.8</f>
        <v>47.599999999999994</v>
      </c>
      <c r="M23" s="75">
        <f t="shared" si="1"/>
        <v>49.399999999999991</v>
      </c>
    </row>
    <row r="24" spans="1:16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6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22.699999999999996</v>
      </c>
      <c r="I25" s="51">
        <f>SUM(J25)-1.1</f>
        <v>23.799999999999997</v>
      </c>
      <c r="J25" s="60">
        <v>24.9</v>
      </c>
      <c r="K25" s="51">
        <f>SUM(J25)+1.6</f>
        <v>26.5</v>
      </c>
      <c r="L25" s="51">
        <f>SUM(K25)+1.1</f>
        <v>27.6</v>
      </c>
      <c r="M25" s="185">
        <f>SUM(L25)+1.1</f>
        <v>28.700000000000003</v>
      </c>
    </row>
    <row r="26" spans="1:16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6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30.299999999999997</v>
      </c>
      <c r="I27" s="51">
        <f>SUM(J27)-1.3</f>
        <v>31.599999999999998</v>
      </c>
      <c r="J27" s="60">
        <v>32.9</v>
      </c>
      <c r="K27" s="51">
        <f>SUM(J27)+1.8</f>
        <v>34.699999999999996</v>
      </c>
      <c r="L27" s="51">
        <f>SUM(K27)+1.3</f>
        <v>35.999999999999993</v>
      </c>
      <c r="M27" s="185">
        <f>SUM(L27)+1.4</f>
        <v>37.399999999999991</v>
      </c>
      <c r="P27" s="1" t="e">
        <f>SUM(H45+H45+I45+I45+J45+J45+K45+K45+L45+L45+M45+M45+#REF!+#REF!)/7/91.44*1.08</f>
        <v>#REF!</v>
      </c>
    </row>
    <row r="28" spans="1:16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6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SUM(I29)-2.7</f>
        <v>49.999999999999993</v>
      </c>
      <c r="I29" s="51">
        <f>SUM(J29)-2.7</f>
        <v>52.699999999999996</v>
      </c>
      <c r="J29" s="60">
        <v>55.4</v>
      </c>
      <c r="K29" s="51">
        <f>SUM(J29)+2.6</f>
        <v>58</v>
      </c>
      <c r="L29" s="51">
        <f t="shared" ref="L29:M29" si="2">SUM(K29)+2.6</f>
        <v>60.6</v>
      </c>
      <c r="M29" s="75">
        <f t="shared" si="2"/>
        <v>63.2</v>
      </c>
    </row>
    <row r="30" spans="1:16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6" s="1" customFormat="1" ht="14.1" customHeight="1">
      <c r="A31" s="182">
        <v>15</v>
      </c>
      <c r="B31" s="49" t="s">
        <v>20</v>
      </c>
      <c r="C31" s="50"/>
      <c r="D31" s="57" t="s">
        <v>486</v>
      </c>
      <c r="E31" s="58"/>
      <c r="F31" s="58"/>
      <c r="G31" s="59"/>
      <c r="H31" s="51">
        <f>SUM(I31)-6</f>
        <v>32.200000000000003</v>
      </c>
      <c r="I31" s="51">
        <f>SUM(J31)-6</f>
        <v>38.200000000000003</v>
      </c>
      <c r="J31" s="60">
        <v>44.2</v>
      </c>
      <c r="K31" s="51">
        <f>SUM(J31)+4.5</f>
        <v>48.7</v>
      </c>
      <c r="L31" s="51">
        <f>SUM(K31)+5</f>
        <v>53.7</v>
      </c>
      <c r="M31" s="75">
        <f>SUM(L31)+5</f>
        <v>58.7</v>
      </c>
    </row>
    <row r="32" spans="1:16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7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87">
        <f>SUM(I33)-2.4</f>
        <v>-4.8</v>
      </c>
      <c r="I33" s="87">
        <f>SUM(J33)-2.4</f>
        <v>-2.4</v>
      </c>
      <c r="J33" s="142"/>
      <c r="K33" s="87">
        <f>SUM(J33)+2.4</f>
        <v>2.4</v>
      </c>
      <c r="L33" s="87">
        <f t="shared" ref="L33:M33" si="3">SUM(K33)+2.4</f>
        <v>4.8</v>
      </c>
      <c r="M33" s="61">
        <f t="shared" si="3"/>
        <v>7.1999999999999993</v>
      </c>
    </row>
    <row r="34" spans="1:17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86"/>
      <c r="I34" s="86"/>
      <c r="J34" s="143"/>
      <c r="K34" s="86"/>
      <c r="L34" s="86"/>
      <c r="M34" s="25"/>
    </row>
    <row r="35" spans="1:17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87">
        <f>SUM(I35)-3.3</f>
        <v>-6.6</v>
      </c>
      <c r="I35" s="87">
        <f>SUM(J35)-3.3</f>
        <v>-3.3</v>
      </c>
      <c r="J35" s="142"/>
      <c r="K35" s="87">
        <f>SUM(J35)+3.3</f>
        <v>3.3</v>
      </c>
      <c r="L35" s="87">
        <f>SUM(K35)+2.9</f>
        <v>6.1999999999999993</v>
      </c>
      <c r="M35" s="61">
        <f>SUM(L35)+3</f>
        <v>9.1999999999999993</v>
      </c>
    </row>
    <row r="36" spans="1:17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86"/>
      <c r="I36" s="86"/>
      <c r="J36" s="143"/>
      <c r="K36" s="86"/>
      <c r="L36" s="86"/>
      <c r="M36" s="25"/>
    </row>
    <row r="37" spans="1:17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3.6999999999999993</v>
      </c>
      <c r="I37" s="51">
        <f>SUM(J37)-0.2</f>
        <v>3.8999999999999995</v>
      </c>
      <c r="J37" s="39">
        <v>4.0999999999999996</v>
      </c>
      <c r="K37" s="32">
        <f>SUM(J37)+0.2</f>
        <v>4.3</v>
      </c>
      <c r="L37" s="32">
        <f t="shared" ref="L37:M37" si="4">SUM(K37)+0.2</f>
        <v>4.5</v>
      </c>
      <c r="M37" s="82">
        <f t="shared" si="4"/>
        <v>4.7</v>
      </c>
    </row>
    <row r="38" spans="1:17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82"/>
    </row>
    <row r="39" spans="1:17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10.8</v>
      </c>
      <c r="I39" s="51">
        <f>SUM(J39)-0.6</f>
        <v>11.4</v>
      </c>
      <c r="J39" s="60">
        <v>12</v>
      </c>
      <c r="K39" s="51">
        <f>SUM(J39)+0.6</f>
        <v>12.6</v>
      </c>
      <c r="L39" s="51">
        <f t="shared" ref="L39:M39" si="5">SUM(K39)+0.6</f>
        <v>13.2</v>
      </c>
      <c r="M39" s="75">
        <f t="shared" si="5"/>
        <v>13.799999999999999</v>
      </c>
    </row>
    <row r="40" spans="1:17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76"/>
      <c r="Q40" s="1">
        <f>SUM(H45+H45+I45+I45+J45+J45+K45+K45+L45+L45+M45+M45)/6/91.44*1.08</f>
        <v>1.3440944881889765</v>
      </c>
    </row>
    <row r="41" spans="1:17" s="1" customFormat="1" ht="14.1" customHeight="1">
      <c r="A41" s="182">
        <v>20</v>
      </c>
      <c r="B41" s="49" t="s">
        <v>176</v>
      </c>
      <c r="C41" s="50"/>
      <c r="D41" s="57"/>
      <c r="E41" s="58"/>
      <c r="F41" s="58"/>
      <c r="G41" s="59"/>
      <c r="H41" s="51">
        <f>SUM(I41)-0.5</f>
        <v>11</v>
      </c>
      <c r="I41" s="51">
        <f>SUM(J41)-0.5</f>
        <v>11.5</v>
      </c>
      <c r="J41" s="60">
        <v>12</v>
      </c>
      <c r="K41" s="51">
        <f>SUM(J41)+0.5</f>
        <v>12.5</v>
      </c>
      <c r="L41" s="51">
        <f>SUM(K41)+0.5</f>
        <v>13</v>
      </c>
      <c r="M41" s="75">
        <f>SUM(L41)+0.5</f>
        <v>13.5</v>
      </c>
    </row>
    <row r="42" spans="1:17" s="1" customFormat="1" ht="14.1" customHeight="1">
      <c r="A42" s="184"/>
      <c r="B42" s="77" t="s">
        <v>177</v>
      </c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76"/>
    </row>
    <row r="43" spans="1:17" s="1" customFormat="1" ht="14.1" customHeight="1">
      <c r="A43" s="182">
        <v>21</v>
      </c>
      <c r="B43" s="49" t="s">
        <v>105</v>
      </c>
      <c r="C43" s="50"/>
      <c r="D43" s="57"/>
      <c r="E43" s="58"/>
      <c r="F43" s="58"/>
      <c r="G43" s="59"/>
      <c r="H43" s="51">
        <f>SUM(I43)-0.5</f>
        <v>11</v>
      </c>
      <c r="I43" s="51">
        <f>SUM(J43)-0.5</f>
        <v>11.5</v>
      </c>
      <c r="J43" s="60">
        <v>12</v>
      </c>
      <c r="K43" s="51">
        <f>SUM(J43)+0.5</f>
        <v>12.5</v>
      </c>
      <c r="L43" s="51">
        <f>SUM(K43)+0.5</f>
        <v>13</v>
      </c>
      <c r="M43" s="75">
        <f>SUM(L43)+0.5</f>
        <v>13.5</v>
      </c>
    </row>
    <row r="44" spans="1:17" s="1" customFormat="1" ht="13.5" customHeight="1">
      <c r="A44" s="184"/>
      <c r="B44" s="77" t="s">
        <v>178</v>
      </c>
      <c r="C44" s="78"/>
      <c r="D44" s="79"/>
      <c r="E44" s="80"/>
      <c r="F44" s="80"/>
      <c r="G44" s="81"/>
      <c r="H44" s="23"/>
      <c r="I44" s="23"/>
      <c r="J44" s="21"/>
      <c r="K44" s="23"/>
      <c r="L44" s="23"/>
      <c r="M44" s="76"/>
    </row>
    <row r="45" spans="1:17" s="1" customFormat="1" ht="13.5" customHeight="1">
      <c r="A45" s="182">
        <v>22</v>
      </c>
      <c r="B45" s="49" t="s">
        <v>179</v>
      </c>
      <c r="C45" s="50"/>
      <c r="D45" s="55"/>
      <c r="E45" s="55"/>
      <c r="F45" s="55"/>
      <c r="G45" s="55"/>
      <c r="H45" s="51">
        <f>SUM(I45)-1.8</f>
        <v>52.400000000000006</v>
      </c>
      <c r="I45" s="51">
        <f>SUM(J45)-1.8</f>
        <v>54.2</v>
      </c>
      <c r="J45" s="60">
        <v>56</v>
      </c>
      <c r="K45" s="51">
        <f>SUM(J45)+1.8</f>
        <v>57.8</v>
      </c>
      <c r="L45" s="51">
        <f t="shared" ref="L45:M45" si="6">SUM(K45)+1.8</f>
        <v>59.599999999999994</v>
      </c>
      <c r="M45" s="75">
        <f t="shared" si="6"/>
        <v>61.399999999999991</v>
      </c>
    </row>
    <row r="46" spans="1:17" s="1" customFormat="1" ht="13.5" customHeight="1">
      <c r="A46" s="184"/>
      <c r="B46" s="52" t="s">
        <v>180</v>
      </c>
      <c r="C46" s="52"/>
      <c r="D46" s="36" t="s">
        <v>487</v>
      </c>
      <c r="E46" s="37"/>
      <c r="F46" s="37"/>
      <c r="G46" s="38"/>
      <c r="H46" s="23"/>
      <c r="I46" s="23"/>
      <c r="J46" s="21"/>
      <c r="K46" s="23"/>
      <c r="L46" s="23"/>
      <c r="M46" s="76"/>
    </row>
    <row r="47" spans="1:17" s="1" customFormat="1" ht="13.5" customHeight="1">
      <c r="A47" s="182">
        <v>23</v>
      </c>
      <c r="B47" s="49" t="s">
        <v>181</v>
      </c>
      <c r="C47" s="50"/>
      <c r="D47" s="57" t="s">
        <v>238</v>
      </c>
      <c r="E47" s="58"/>
      <c r="F47" s="58"/>
      <c r="G47" s="59"/>
      <c r="H47" s="51">
        <f>SUM(I47)</f>
        <v>35</v>
      </c>
      <c r="I47" s="51">
        <f>SUM(J47)</f>
        <v>35</v>
      </c>
      <c r="J47" s="60">
        <v>35</v>
      </c>
      <c r="K47" s="51">
        <f>SUM(J47)</f>
        <v>35</v>
      </c>
      <c r="L47" s="51">
        <f t="shared" ref="L47:M47" si="7">SUM(K47)</f>
        <v>35</v>
      </c>
      <c r="M47" s="75">
        <f t="shared" si="7"/>
        <v>35</v>
      </c>
    </row>
    <row r="48" spans="1:17" s="1" customFormat="1" ht="13.5" customHeight="1">
      <c r="A48" s="184"/>
      <c r="B48" s="144" t="s">
        <v>182</v>
      </c>
      <c r="C48" s="145"/>
      <c r="D48" s="146" t="s">
        <v>241</v>
      </c>
      <c r="E48" s="147"/>
      <c r="F48" s="147"/>
      <c r="G48" s="148"/>
      <c r="H48" s="47"/>
      <c r="I48" s="47"/>
      <c r="J48" s="100"/>
      <c r="K48" s="47"/>
      <c r="L48" s="47"/>
      <c r="M48" s="104"/>
    </row>
    <row r="49" spans="1:14" s="1" customFormat="1" ht="13.5" customHeight="1">
      <c r="A49" s="182">
        <v>24</v>
      </c>
      <c r="B49" s="49" t="s">
        <v>141</v>
      </c>
      <c r="C49" s="50"/>
      <c r="D49" s="57"/>
      <c r="E49" s="58"/>
      <c r="F49" s="58"/>
      <c r="G49" s="59"/>
      <c r="H49" s="51">
        <f>SUM(I49)-0.1</f>
        <v>1.7999999999999998</v>
      </c>
      <c r="I49" s="51">
        <f>SUM(J49)-0.1</f>
        <v>1.9</v>
      </c>
      <c r="J49" s="60">
        <v>2</v>
      </c>
      <c r="K49" s="51">
        <f>SUM(J49)+0.1</f>
        <v>2.1</v>
      </c>
      <c r="L49" s="51">
        <f t="shared" ref="L49:M49" si="8">SUM(K49)+0.1</f>
        <v>2.2000000000000002</v>
      </c>
      <c r="M49" s="75">
        <f t="shared" si="8"/>
        <v>2.3000000000000003</v>
      </c>
    </row>
    <row r="50" spans="1:14" s="1" customFormat="1" ht="13.5" customHeight="1" thickBot="1">
      <c r="A50" s="183"/>
      <c r="B50" s="27" t="s">
        <v>140</v>
      </c>
      <c r="C50" s="28"/>
      <c r="D50" s="199" t="s">
        <v>488</v>
      </c>
      <c r="E50" s="180"/>
      <c r="F50" s="180"/>
      <c r="G50" s="181"/>
      <c r="H50" s="48"/>
      <c r="I50" s="48"/>
      <c r="J50" s="110"/>
      <c r="K50" s="48"/>
      <c r="L50" s="48"/>
      <c r="M50" s="109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6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F77F-1F58-4484-984C-555FE56E212A}">
  <sheetPr>
    <tabColor theme="5"/>
    <pageSetUpPr fitToPage="1"/>
  </sheetPr>
  <dimension ref="A1:N61"/>
  <sheetViews>
    <sheetView topLeftCell="A25" zoomScale="110" zoomScaleNormal="110" workbookViewId="0">
      <selection activeCell="J21" sqref="J21:J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8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84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76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04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76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04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76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47"/>
      <c r="N9" s="104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67.099999999999994</v>
      </c>
      <c r="I11" s="51">
        <f>SUM(J11)-3.5</f>
        <v>70.599999999999994</v>
      </c>
      <c r="J11" s="100">
        <v>74.099999999999994</v>
      </c>
      <c r="K11" s="47">
        <f>SUM(J11)+3.5</f>
        <v>77.599999999999994</v>
      </c>
      <c r="L11" s="47">
        <f>SUM(K11)+3.5</f>
        <v>81.099999999999994</v>
      </c>
      <c r="M11" s="47">
        <f>SUM(L11)+3.5</f>
        <v>84.6</v>
      </c>
      <c r="N11" s="104">
        <f>SUM(M11)+3.5</f>
        <v>88.1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72.2</v>
      </c>
      <c r="I13" s="51">
        <f>SUM(J13)-4</f>
        <v>76.2</v>
      </c>
      <c r="J13" s="100">
        <v>80.2</v>
      </c>
      <c r="K13" s="47">
        <f>SUM(J13)+4</f>
        <v>84.2</v>
      </c>
      <c r="L13" s="47">
        <f>SUM(K13)+4</f>
        <v>88.2</v>
      </c>
      <c r="M13" s="47">
        <f>SUM(L13)+4</f>
        <v>92.2</v>
      </c>
      <c r="N13" s="104">
        <f>SUM(M13)+4</f>
        <v>96.2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12.500000000000002</v>
      </c>
      <c r="I15" s="51">
        <f>SUM(J15)-0.7</f>
        <v>13.200000000000001</v>
      </c>
      <c r="J15" s="60">
        <v>13.9</v>
      </c>
      <c r="K15" s="51">
        <f>SUM(J15)+1.2</f>
        <v>15.1</v>
      </c>
      <c r="L15" s="51">
        <f>SUM(K15)+0.7</f>
        <v>15.799999999999999</v>
      </c>
      <c r="M15" s="51">
        <f>SUM(L15)+0.7</f>
        <v>16.5</v>
      </c>
      <c r="N15" s="75">
        <f>SUM(M15)+0.7</f>
        <v>17.2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23"/>
      <c r="N16" s="76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56"/>
      <c r="N17" s="185"/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86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51"/>
      <c r="N19" s="75"/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51">
        <f>SUM(L21)+6</f>
        <v>84</v>
      </c>
      <c r="N21" s="75">
        <f>SUM(M21)+6</f>
        <v>90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76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SUM(I23)-1.9</f>
        <v>38.200000000000003</v>
      </c>
      <c r="I23" s="51">
        <f>SUM(J23)-1.9</f>
        <v>40.1</v>
      </c>
      <c r="J23" s="60">
        <v>42</v>
      </c>
      <c r="K23" s="51">
        <f>SUM(J23)+1.9</f>
        <v>43.9</v>
      </c>
      <c r="L23" s="51">
        <f t="shared" ref="L23:N23" si="0">SUM(K23)+1.9</f>
        <v>45.8</v>
      </c>
      <c r="M23" s="51">
        <f t="shared" si="0"/>
        <v>47.699999999999996</v>
      </c>
      <c r="N23" s="75">
        <f t="shared" si="0"/>
        <v>49.599999999999994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20.9</v>
      </c>
      <c r="I25" s="51">
        <f>SUM(J25)-1.1</f>
        <v>22</v>
      </c>
      <c r="J25" s="60">
        <v>23.1</v>
      </c>
      <c r="K25" s="51">
        <f>SUM(J25)+1.6</f>
        <v>24.700000000000003</v>
      </c>
      <c r="L25" s="51">
        <f>SUM(K25)+1.1</f>
        <v>25.800000000000004</v>
      </c>
      <c r="M25" s="56">
        <f>SUM(L25)+1.1</f>
        <v>26.900000000000006</v>
      </c>
      <c r="N25" s="185">
        <f>SUM(M25)+1.1</f>
        <v>28.000000000000007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6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28.7</v>
      </c>
      <c r="I27" s="51">
        <f>SUM(J27)-1.3</f>
        <v>30</v>
      </c>
      <c r="J27" s="60">
        <v>31.3</v>
      </c>
      <c r="K27" s="51">
        <f>SUM(J27)+1.8</f>
        <v>33.1</v>
      </c>
      <c r="L27" s="51">
        <f>SUM(K27)+1.3</f>
        <v>34.4</v>
      </c>
      <c r="M27" s="56">
        <f>SUM(L27)+1.4</f>
        <v>35.799999999999997</v>
      </c>
      <c r="N27" s="185">
        <f>SUM(M27)+1.4</f>
        <v>37.199999999999996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SUM(I29)-2.7</f>
        <v>46.8</v>
      </c>
      <c r="I29" s="51">
        <f>SUM(J29)-2.7</f>
        <v>49.5</v>
      </c>
      <c r="J29" s="60">
        <v>52.2</v>
      </c>
      <c r="K29" s="51">
        <f>SUM(J29)+2.6</f>
        <v>54.800000000000004</v>
      </c>
      <c r="L29" s="51">
        <f>SUM(K29)+2.6</f>
        <v>57.400000000000006</v>
      </c>
      <c r="M29" s="51">
        <f>SUM(L29)+2.6</f>
        <v>60.000000000000007</v>
      </c>
      <c r="N29" s="75">
        <f>SUM(M29)+2.6</f>
        <v>62.600000000000009</v>
      </c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32.4</v>
      </c>
      <c r="I31" s="51">
        <f>SUM(J31)-6</f>
        <v>38.4</v>
      </c>
      <c r="J31" s="60">
        <v>44.4</v>
      </c>
      <c r="K31" s="51">
        <f>SUM(J31)+4.5</f>
        <v>48.9</v>
      </c>
      <c r="L31" s="51">
        <f>SUM(K31)+5</f>
        <v>53.9</v>
      </c>
      <c r="M31" s="51">
        <f>SUM(L31)+5</f>
        <v>58.9</v>
      </c>
      <c r="N31" s="75">
        <f>SUM(M31)+5</f>
        <v>63.9</v>
      </c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76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SUM(I33)-2.1</f>
        <v>42.699999999999996</v>
      </c>
      <c r="I33" s="51">
        <f>SUM(J33)-2.1</f>
        <v>44.8</v>
      </c>
      <c r="J33" s="60">
        <v>46.9</v>
      </c>
      <c r="K33" s="51">
        <f>SUM(J33)+2.1</f>
        <v>49</v>
      </c>
      <c r="L33" s="51">
        <f>SUM(K33)+2.1</f>
        <v>51.1</v>
      </c>
      <c r="M33" s="51">
        <f>SUM(L33)+2.1</f>
        <v>53.2</v>
      </c>
      <c r="N33" s="75">
        <f>SUM(M33)+2.1</f>
        <v>55.300000000000004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SUM(I35)-3.3</f>
        <v>32.100000000000009</v>
      </c>
      <c r="I35" s="51">
        <f>SUM(J35)-3.3</f>
        <v>35.400000000000006</v>
      </c>
      <c r="J35" s="60">
        <v>38.700000000000003</v>
      </c>
      <c r="K35" s="51">
        <f>SUM(J35)+3.2</f>
        <v>41.900000000000006</v>
      </c>
      <c r="L35" s="51">
        <f>SUM(K35)+2.9</f>
        <v>44.800000000000004</v>
      </c>
      <c r="M35" s="51">
        <f t="shared" ref="M35:N35" si="1">SUM(L35)+2.9</f>
        <v>47.7</v>
      </c>
      <c r="N35" s="75">
        <f t="shared" si="1"/>
        <v>50.6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4.3</v>
      </c>
      <c r="I37" s="51">
        <f>SUM(J37)-0.2</f>
        <v>4.5</v>
      </c>
      <c r="J37" s="39">
        <v>4.7</v>
      </c>
      <c r="K37" s="32">
        <f>SUM(J37)+0.2</f>
        <v>4.9000000000000004</v>
      </c>
      <c r="L37" s="32">
        <f t="shared" ref="L37:N37" si="2">SUM(K37)+0.2</f>
        <v>5.1000000000000005</v>
      </c>
      <c r="M37" s="32">
        <f t="shared" si="2"/>
        <v>5.3000000000000007</v>
      </c>
      <c r="N37" s="82">
        <f t="shared" si="2"/>
        <v>5.5000000000000009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2"/>
      <c r="N38" s="82"/>
    </row>
    <row r="39" spans="1:14" s="1" customFormat="1" ht="14.1" customHeight="1">
      <c r="A39" s="182">
        <v>18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9.5</v>
      </c>
      <c r="I39" s="51">
        <f>SUM(J39)-0.6</f>
        <v>10.1</v>
      </c>
      <c r="J39" s="60">
        <v>10.7</v>
      </c>
      <c r="K39" s="51">
        <f>SUM(J39)+0.6</f>
        <v>11.299999999999999</v>
      </c>
      <c r="L39" s="51">
        <f t="shared" ref="L39:N39" si="3">SUM(K39)+0.6</f>
        <v>11.899999999999999</v>
      </c>
      <c r="M39" s="51">
        <f t="shared" si="3"/>
        <v>12.499999999999998</v>
      </c>
      <c r="N39" s="75">
        <f t="shared" si="3"/>
        <v>13.099999999999998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76"/>
    </row>
    <row r="41" spans="1:14" s="1" customFormat="1" ht="14.1" customHeight="1">
      <c r="A41" s="182">
        <v>19</v>
      </c>
      <c r="B41" s="49" t="s">
        <v>176</v>
      </c>
      <c r="C41" s="50"/>
      <c r="D41" s="57"/>
      <c r="E41" s="58"/>
      <c r="F41" s="58"/>
      <c r="G41" s="59"/>
      <c r="H41" s="51">
        <f>SUM(I41)-0.5</f>
        <v>10.5</v>
      </c>
      <c r="I41" s="51">
        <f>SUM(J41)-0.5</f>
        <v>11</v>
      </c>
      <c r="J41" s="60">
        <v>11.5</v>
      </c>
      <c r="K41" s="51">
        <f>SUM(J41)+0.5</f>
        <v>12</v>
      </c>
      <c r="L41" s="51">
        <f>SUM(K41)+0.5</f>
        <v>12.5</v>
      </c>
      <c r="M41" s="51">
        <f>SUM(L41)+0.5</f>
        <v>13</v>
      </c>
      <c r="N41" s="75">
        <f>SUM(M41)+0.5</f>
        <v>13.5</v>
      </c>
    </row>
    <row r="42" spans="1:14" s="1" customFormat="1" ht="14.1" customHeight="1">
      <c r="A42" s="184"/>
      <c r="B42" s="77" t="s">
        <v>177</v>
      </c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23"/>
      <c r="N42" s="76"/>
    </row>
    <row r="43" spans="1:14" s="1" customFormat="1" ht="14.1" customHeight="1">
      <c r="A43" s="182">
        <v>20</v>
      </c>
      <c r="B43" s="49" t="s">
        <v>105</v>
      </c>
      <c r="C43" s="50"/>
      <c r="D43" s="57"/>
      <c r="E43" s="58"/>
      <c r="F43" s="58"/>
      <c r="G43" s="59"/>
      <c r="H43" s="51">
        <f>SUM(I43)-0.5</f>
        <v>10.5</v>
      </c>
      <c r="I43" s="51">
        <f>SUM(J43)-0.5</f>
        <v>11</v>
      </c>
      <c r="J43" s="60">
        <v>11.5</v>
      </c>
      <c r="K43" s="51">
        <f>SUM(J43)+0.5</f>
        <v>12</v>
      </c>
      <c r="L43" s="51">
        <f>SUM(K43)+0.5</f>
        <v>12.5</v>
      </c>
      <c r="M43" s="51">
        <f>SUM(L43)+0.5</f>
        <v>13</v>
      </c>
      <c r="N43" s="75">
        <f>SUM(M43)+0.5</f>
        <v>13.5</v>
      </c>
    </row>
    <row r="44" spans="1:14" s="1" customFormat="1" ht="13.5" customHeight="1">
      <c r="A44" s="184"/>
      <c r="B44" s="77" t="s">
        <v>178</v>
      </c>
      <c r="C44" s="78"/>
      <c r="D44" s="79"/>
      <c r="E44" s="80"/>
      <c r="F44" s="80"/>
      <c r="G44" s="81"/>
      <c r="H44" s="23"/>
      <c r="I44" s="23"/>
      <c r="J44" s="21"/>
      <c r="K44" s="23"/>
      <c r="L44" s="23"/>
      <c r="M44" s="23"/>
      <c r="N44" s="76"/>
    </row>
    <row r="45" spans="1:14" s="1" customFormat="1" ht="13.5" customHeight="1">
      <c r="A45" s="182">
        <v>21</v>
      </c>
      <c r="B45" s="49" t="s">
        <v>181</v>
      </c>
      <c r="C45" s="50"/>
      <c r="D45" s="57" t="s">
        <v>238</v>
      </c>
      <c r="E45" s="58"/>
      <c r="F45" s="58"/>
      <c r="G45" s="59"/>
      <c r="H45" s="51">
        <f>SUM(I45)</f>
        <v>35</v>
      </c>
      <c r="I45" s="51">
        <f>SUM(J45)</f>
        <v>35</v>
      </c>
      <c r="J45" s="60">
        <v>35</v>
      </c>
      <c r="K45" s="51">
        <f>SUM(J45)</f>
        <v>35</v>
      </c>
      <c r="L45" s="51">
        <f>SUM(K45)</f>
        <v>35</v>
      </c>
      <c r="M45" s="51">
        <f>SUM(L45)</f>
        <v>35</v>
      </c>
      <c r="N45" s="75">
        <f>SUM(M45)</f>
        <v>35</v>
      </c>
    </row>
    <row r="46" spans="1:14" s="1" customFormat="1" ht="13.5" customHeight="1">
      <c r="A46" s="184"/>
      <c r="B46" s="144" t="s">
        <v>182</v>
      </c>
      <c r="C46" s="145"/>
      <c r="D46" s="146" t="s">
        <v>241</v>
      </c>
      <c r="E46" s="147"/>
      <c r="F46" s="147"/>
      <c r="G46" s="148"/>
      <c r="H46" s="47"/>
      <c r="I46" s="47"/>
      <c r="J46" s="100"/>
      <c r="K46" s="47"/>
      <c r="L46" s="47"/>
      <c r="M46" s="47"/>
      <c r="N46" s="104"/>
    </row>
    <row r="47" spans="1:14" s="1" customFormat="1" ht="13.5" customHeight="1">
      <c r="A47" s="182">
        <v>22</v>
      </c>
      <c r="B47" s="49"/>
      <c r="C47" s="50"/>
      <c r="D47" s="57"/>
      <c r="E47" s="58"/>
      <c r="F47" s="58"/>
      <c r="G47" s="59"/>
      <c r="H47" s="51"/>
      <c r="I47" s="51"/>
      <c r="J47" s="60"/>
      <c r="K47" s="51"/>
      <c r="L47" s="51"/>
      <c r="M47" s="51"/>
      <c r="N47" s="75"/>
    </row>
    <row r="48" spans="1:14" s="1" customFormat="1" ht="13.5" customHeight="1" thickBot="1">
      <c r="A48" s="183"/>
      <c r="B48" s="177"/>
      <c r="C48" s="178"/>
      <c r="D48" s="179"/>
      <c r="E48" s="180"/>
      <c r="F48" s="180"/>
      <c r="G48" s="181"/>
      <c r="H48" s="48"/>
      <c r="I48" s="48"/>
      <c r="J48" s="110"/>
      <c r="K48" s="48"/>
      <c r="L48" s="48"/>
      <c r="M48" s="48"/>
      <c r="N48" s="109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7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B2B7-0641-4F50-BB26-C7E38CBEFBBA}">
  <sheetPr>
    <tabColor theme="5"/>
    <pageSetUpPr fitToPage="1"/>
  </sheetPr>
  <dimension ref="A1:O52"/>
  <sheetViews>
    <sheetView topLeftCell="A16" zoomScale="110" zoomScaleNormal="110" workbookViewId="0">
      <selection activeCell="I39" sqref="I39:I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50" t="s">
        <v>352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154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27">
        <f>SUM(M9)+2.2</f>
        <v>49.800000000000011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125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59</v>
      </c>
      <c r="I11" s="51">
        <f>SUM(J11)-4.5</f>
        <v>63.5</v>
      </c>
      <c r="J11" s="100">
        <v>68</v>
      </c>
      <c r="K11" s="47">
        <f>SUM(J11)+4.5</f>
        <v>72.5</v>
      </c>
      <c r="L11" s="47">
        <f>SUM(K11)+4.5</f>
        <v>77</v>
      </c>
      <c r="M11" s="47">
        <f>SUM(L11)+4.5</f>
        <v>81.5</v>
      </c>
      <c r="N11" s="127">
        <f>SUM(M11)+4.5</f>
        <v>86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3"/>
      <c r="N12" s="125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72</v>
      </c>
      <c r="I13" s="51">
        <f>SUM(J13)-5</f>
        <v>77</v>
      </c>
      <c r="J13" s="60">
        <v>82</v>
      </c>
      <c r="K13" s="51">
        <f>SUM(J13)+5</f>
        <v>87</v>
      </c>
      <c r="L13" s="51">
        <f>SUM(K13)+5</f>
        <v>92</v>
      </c>
      <c r="M13" s="51">
        <f>SUM(L13)+5</f>
        <v>97</v>
      </c>
      <c r="N13" s="123">
        <f>SUM(M13)+5</f>
        <v>102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23"/>
      <c r="N14" s="125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56">
        <f>SUM(L15)+0.7</f>
        <v>12.599999999999998</v>
      </c>
      <c r="N15" s="187">
        <f>SUM(M15)+0.7</f>
        <v>13.299999999999997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52"/>
      <c r="N16" s="188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6">
        <f>SUM(L17)+0.7</f>
        <v>12.599999999999998</v>
      </c>
      <c r="N17" s="187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88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123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51</v>
      </c>
      <c r="I21" s="51">
        <f>SUM(J21)-7</f>
        <v>58</v>
      </c>
      <c r="J21" s="60">
        <v>65</v>
      </c>
      <c r="K21" s="51">
        <f>SUM(J21)+6</f>
        <v>71</v>
      </c>
      <c r="L21" s="51">
        <f>SUM(K21)+6</f>
        <v>77</v>
      </c>
      <c r="M21" s="51">
        <f>SUM(L21)+6</f>
        <v>83</v>
      </c>
      <c r="N21" s="123">
        <f>SUM(M21)+6</f>
        <v>89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SUM(I23)-2.2</f>
        <v>39.599999999999994</v>
      </c>
      <c r="I23" s="51">
        <f>SUM(J23)-2.2</f>
        <v>41.8</v>
      </c>
      <c r="J23" s="60">
        <v>44</v>
      </c>
      <c r="K23" s="51">
        <f>SUM(J23)+2.2</f>
        <v>46.2</v>
      </c>
      <c r="L23" s="51">
        <f>SUM(K23)+2.2</f>
        <v>48.400000000000006</v>
      </c>
      <c r="M23" s="51">
        <f>SUM(L23)+2.2</f>
        <v>50.600000000000009</v>
      </c>
      <c r="N23" s="123">
        <f>SUM(M23)+2.2</f>
        <v>52.800000000000011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125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20.799999999999997</v>
      </c>
      <c r="I25" s="51">
        <f>SUM(J25)-1.1</f>
        <v>21.9</v>
      </c>
      <c r="J25" s="60">
        <v>23</v>
      </c>
      <c r="K25" s="51">
        <f>SUM(J25)+1.6</f>
        <v>24.6</v>
      </c>
      <c r="L25" s="51">
        <f>SUM(K25)+1.1</f>
        <v>25.700000000000003</v>
      </c>
      <c r="M25" s="56">
        <f>SUM(L25)+1.1</f>
        <v>26.800000000000004</v>
      </c>
      <c r="N25" s="187">
        <f>SUM(M25)+1.1</f>
        <v>27.900000000000006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8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28.4</v>
      </c>
      <c r="I27" s="51">
        <f>SUM(J27)-1.3</f>
        <v>29.7</v>
      </c>
      <c r="J27" s="60">
        <v>31</v>
      </c>
      <c r="K27" s="51">
        <f>SUM(J27)+1.8</f>
        <v>32.799999999999997</v>
      </c>
      <c r="L27" s="51">
        <f>SUM(K27)+1.3</f>
        <v>34.099999999999994</v>
      </c>
      <c r="M27" s="56">
        <f>SUM(L27)+1.3</f>
        <v>35.399999999999991</v>
      </c>
      <c r="N27" s="187">
        <f>SUM(M27)+1.3</f>
        <v>36.699999999999989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8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51"/>
      <c r="N29" s="123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125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51"/>
      <c r="N31" s="123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56"/>
      <c r="N33" s="187"/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52"/>
      <c r="N34" s="188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51"/>
      <c r="N35" s="123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125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SUM(I37)-0.5</f>
        <v>7</v>
      </c>
      <c r="I37" s="51">
        <f>SUM(J37)-0.5</f>
        <v>7.5</v>
      </c>
      <c r="J37" s="39">
        <v>8</v>
      </c>
      <c r="K37" s="32">
        <f>SUM(J37)+0.5</f>
        <v>8.5</v>
      </c>
      <c r="L37" s="32">
        <f>SUM(K37)+0.5</f>
        <v>9</v>
      </c>
      <c r="M37" s="222">
        <f>SUM(L37)+0.5</f>
        <v>9.5</v>
      </c>
      <c r="N37" s="131">
        <f>SUM(M37)+0.5</f>
        <v>10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222"/>
      <c r="N38" s="131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SUM(I39)-0.3</f>
        <v>5.9</v>
      </c>
      <c r="I39" s="51">
        <f>SUM(J39)-0.3</f>
        <v>6.2</v>
      </c>
      <c r="J39" s="60">
        <v>6.5</v>
      </c>
      <c r="K39" s="51">
        <f>SUM(J39)+0.3</f>
        <v>6.8</v>
      </c>
      <c r="L39" s="51">
        <f>SUM(K39)+0.3</f>
        <v>7.1</v>
      </c>
      <c r="M39" s="221">
        <f>SUM(L39)+0.3</f>
        <v>7.3999999999999995</v>
      </c>
      <c r="N39" s="75">
        <f>SUM(M39)+0.3</f>
        <v>7.6999999999999993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77"/>
      <c r="N40" s="76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10</v>
      </c>
      <c r="I41" s="51">
        <f>SUM(J41)-0.5</f>
        <v>10.5</v>
      </c>
      <c r="J41" s="60">
        <v>11</v>
      </c>
      <c r="K41" s="51">
        <f>SUM(J41)+0.5</f>
        <v>11.5</v>
      </c>
      <c r="L41" s="51">
        <f>SUM(K41)+0.5</f>
        <v>12</v>
      </c>
      <c r="M41" s="51">
        <f>SUM(L41)+0.5</f>
        <v>12.5</v>
      </c>
      <c r="N41" s="123">
        <f>SUM(M41)+0.5</f>
        <v>13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10.5</v>
      </c>
      <c r="I43" s="51">
        <f>SUM(J43)-0.5</f>
        <v>11</v>
      </c>
      <c r="J43" s="60">
        <v>11.5</v>
      </c>
      <c r="K43" s="51">
        <f>SUM(J43)+0.5</f>
        <v>12</v>
      </c>
      <c r="L43" s="51">
        <f>SUM(K43)+0.5</f>
        <v>12.5</v>
      </c>
      <c r="M43" s="51">
        <f>SUM(L43)+0.5</f>
        <v>13</v>
      </c>
      <c r="N43" s="123">
        <f>SUM(M43)+0.5</f>
        <v>13.5</v>
      </c>
    </row>
    <row r="44" spans="1:14" s="1" customFormat="1" ht="14.1" customHeight="1" thickBot="1">
      <c r="A44" s="183"/>
      <c r="B44" s="132" t="s">
        <v>104</v>
      </c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48"/>
      <c r="N44" s="124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A1:N1"/>
    <mergeCell ref="N3:N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7E5-FD58-4B22-886B-4C2C66EFAB0D}">
  <sheetPr>
    <tabColor theme="5"/>
    <pageSetUpPr fitToPage="1"/>
  </sheetPr>
  <dimension ref="A1:N61"/>
  <sheetViews>
    <sheetView topLeftCell="A16" zoomScale="110" zoomScaleNormal="110" workbookViewId="0">
      <selection activeCell="P16" sqref="P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04">
        <f>SUM(M9)+2.2</f>
        <v>49.800000000000011</v>
      </c>
    </row>
    <row r="10" spans="1:14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61</v>
      </c>
      <c r="I11" s="51">
        <f>SUM(J11)-4.5</f>
        <v>65.5</v>
      </c>
      <c r="J11" s="100">
        <v>70</v>
      </c>
      <c r="K11" s="47">
        <f>SUM(J11)+4.5</f>
        <v>74.5</v>
      </c>
      <c r="L11" s="47">
        <f>SUM(K11)+4.5</f>
        <v>79</v>
      </c>
      <c r="M11" s="47">
        <f>SUM(L11)+4.5</f>
        <v>83.5</v>
      </c>
      <c r="N11" s="104">
        <f>SUM(M11)+4.5</f>
        <v>88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SUM(I13)-5</f>
        <v>70</v>
      </c>
      <c r="I13" s="51">
        <f>SUM(J13)-5</f>
        <v>75</v>
      </c>
      <c r="J13" s="100">
        <v>80</v>
      </c>
      <c r="K13" s="47">
        <f>SUM(J13)+5</f>
        <v>85</v>
      </c>
      <c r="L13" s="47">
        <f>SUM(K13)+5</f>
        <v>90</v>
      </c>
      <c r="M13" s="47">
        <f>SUM(L13)+5</f>
        <v>95</v>
      </c>
      <c r="N13" s="104">
        <f>SUM(M13)+5</f>
        <v>100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14.100000000000001</v>
      </c>
      <c r="I15" s="51">
        <f>SUM(J15)-0.7</f>
        <v>14.8</v>
      </c>
      <c r="J15" s="60">
        <v>15.5</v>
      </c>
      <c r="K15" s="51">
        <f>SUM(J15)+1.2</f>
        <v>16.7</v>
      </c>
      <c r="L15" s="51">
        <f>SUM(K15)+0.7</f>
        <v>17.399999999999999</v>
      </c>
      <c r="M15" s="51">
        <f>SUM(L15)+0.7</f>
        <v>18.099999999999998</v>
      </c>
      <c r="N15" s="123">
        <f>SUM(M15)+0.7</f>
        <v>18.799999999999997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23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6">
        <f>SUM(L17)+0.7</f>
        <v>12.599999999999998</v>
      </c>
      <c r="N17" s="123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25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123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51">
        <f>SUM(L21)+6</f>
        <v>84</v>
      </c>
      <c r="N21" s="123">
        <f>SUM(M21)+6</f>
        <v>90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34</v>
      </c>
      <c r="I23" s="51">
        <f>SUM(J23)-2</f>
        <v>36</v>
      </c>
      <c r="J23" s="60">
        <v>38</v>
      </c>
      <c r="K23" s="51">
        <f>SUM(J23)+2</f>
        <v>40</v>
      </c>
      <c r="L23" s="51">
        <f>SUM(K23)+2</f>
        <v>42</v>
      </c>
      <c r="M23" s="51">
        <f>SUM(L23)+2</f>
        <v>44</v>
      </c>
      <c r="N23" s="75">
        <f>SUM(M23)+2</f>
        <v>46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20.799999999999997</v>
      </c>
      <c r="I25" s="51">
        <f>SUM(J25)-1.1</f>
        <v>21.9</v>
      </c>
      <c r="J25" s="60">
        <v>23</v>
      </c>
      <c r="K25" s="51">
        <f>SUM(J25)+1.6</f>
        <v>24.6</v>
      </c>
      <c r="L25" s="51">
        <f>SUM(K25)+1.1</f>
        <v>25.700000000000003</v>
      </c>
      <c r="M25" s="56">
        <f>SUM(L25)+1.1</f>
        <v>26.800000000000004</v>
      </c>
      <c r="N25" s="187">
        <f>SUM(M25)+1.1</f>
        <v>27.900000000000006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8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56">
        <f>SUM(L27)+1.3</f>
        <v>34.4</v>
      </c>
      <c r="N27" s="185">
        <f>SUM(M27)+1.3</f>
        <v>35.699999999999996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SUM(I29)-3.1</f>
        <v>44.8</v>
      </c>
      <c r="I29" s="51">
        <f>SUM(J29)-3.1</f>
        <v>47.9</v>
      </c>
      <c r="J29" s="60">
        <v>51</v>
      </c>
      <c r="K29" s="51">
        <f>SUM(J29)+3.1</f>
        <v>54.1</v>
      </c>
      <c r="L29" s="51">
        <f>SUM(K29)+3.1</f>
        <v>57.2</v>
      </c>
      <c r="M29" s="51">
        <f>SUM(L29)+3.1</f>
        <v>60.300000000000004</v>
      </c>
      <c r="N29" s="75">
        <f>SUM(M29)+3.1</f>
        <v>63.400000000000006</v>
      </c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32</v>
      </c>
      <c r="I31" s="51">
        <f>SUM(J31)-6</f>
        <v>38</v>
      </c>
      <c r="J31" s="60">
        <v>44</v>
      </c>
      <c r="K31" s="51">
        <f>SUM(J31)+4.5</f>
        <v>48.5</v>
      </c>
      <c r="L31" s="51">
        <f>SUM(K31)+5</f>
        <v>53.5</v>
      </c>
      <c r="M31" s="51">
        <f>SUM(L31)+5</f>
        <v>58.5</v>
      </c>
      <c r="N31" s="123">
        <f>SUM(M31)+5</f>
        <v>63.5</v>
      </c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SUM(I33)-2.5</f>
        <v>42.5</v>
      </c>
      <c r="I33" s="51">
        <f>SUM(J33)-2.5</f>
        <v>45</v>
      </c>
      <c r="J33" s="60">
        <v>47.5</v>
      </c>
      <c r="K33" s="51">
        <f>SUM(J33)+2.5</f>
        <v>50</v>
      </c>
      <c r="L33" s="51">
        <f>SUM(K33)+2.5</f>
        <v>52.5</v>
      </c>
      <c r="M33" s="51">
        <f>SUM(L33)+2.5</f>
        <v>55</v>
      </c>
      <c r="N33" s="75">
        <f>SUM(M33)+2.5</f>
        <v>57.5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SUM(I35)-3.5</f>
        <v>32</v>
      </c>
      <c r="I35" s="51">
        <f>SUM(J35)-3.5</f>
        <v>35.5</v>
      </c>
      <c r="J35" s="60">
        <v>39</v>
      </c>
      <c r="K35" s="51">
        <f>SUM(J35)+3.5</f>
        <v>42.5</v>
      </c>
      <c r="L35" s="51">
        <f>SUM(K35)+3.1</f>
        <v>45.6</v>
      </c>
      <c r="M35" s="51">
        <f>SUM(L35)+3.1</f>
        <v>48.7</v>
      </c>
      <c r="N35" s="75">
        <f>SUM(M35)+3.1</f>
        <v>51.800000000000004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4.5999999999999996</v>
      </c>
      <c r="I37" s="51">
        <f>SUM(J37)-0.2</f>
        <v>4.8</v>
      </c>
      <c r="J37" s="60">
        <v>5</v>
      </c>
      <c r="K37" s="51">
        <f>SUM(J37)+0.2</f>
        <v>5.2</v>
      </c>
      <c r="L37" s="51">
        <f>SUM(K37)+0.2</f>
        <v>5.4</v>
      </c>
      <c r="M37" s="51">
        <f>SUM(L37)+0.2</f>
        <v>5.6000000000000005</v>
      </c>
      <c r="N37" s="75">
        <f>SUM(M37)+0.2</f>
        <v>5.8000000000000007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21"/>
      <c r="K38" s="23"/>
      <c r="L38" s="23"/>
      <c r="M38" s="23"/>
      <c r="N38" s="7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10</v>
      </c>
      <c r="I39" s="51">
        <f>SUM(J39)-0.6</f>
        <v>10.6</v>
      </c>
      <c r="J39" s="60">
        <v>11.2</v>
      </c>
      <c r="K39" s="51">
        <f>SUM(J39)+0.6</f>
        <v>11.799999999999999</v>
      </c>
      <c r="L39" s="51">
        <f>SUM(K39)+0.6</f>
        <v>12.399999999999999</v>
      </c>
      <c r="M39" s="51">
        <f>SUM(L39)+0.6</f>
        <v>12.999999999999998</v>
      </c>
      <c r="N39" s="75">
        <f>SUM(M39)+0.6</f>
        <v>13.599999999999998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76"/>
    </row>
    <row r="41" spans="1:14" s="1" customFormat="1" ht="14.1" customHeight="1">
      <c r="A41" s="182">
        <v>20</v>
      </c>
      <c r="B41" s="49"/>
      <c r="C41" s="50"/>
      <c r="D41" s="57"/>
      <c r="E41" s="58"/>
      <c r="F41" s="58"/>
      <c r="G41" s="59"/>
      <c r="H41" s="51"/>
      <c r="I41" s="51"/>
      <c r="J41" s="60"/>
      <c r="K41" s="51"/>
      <c r="L41" s="51"/>
      <c r="M41" s="51"/>
      <c r="N41" s="123"/>
    </row>
    <row r="42" spans="1:14" s="1" customFormat="1" ht="14.1" customHeight="1">
      <c r="A42" s="184"/>
      <c r="B42" s="77"/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/>
      <c r="C43" s="50"/>
      <c r="D43" s="57"/>
      <c r="E43" s="58"/>
      <c r="F43" s="58"/>
      <c r="G43" s="59"/>
      <c r="H43" s="51"/>
      <c r="I43" s="51"/>
      <c r="J43" s="60"/>
      <c r="K43" s="51"/>
      <c r="L43" s="51"/>
      <c r="M43" s="51"/>
      <c r="N43" s="123"/>
    </row>
    <row r="44" spans="1:14" s="1" customFormat="1" ht="13.5" customHeight="1">
      <c r="A44" s="184"/>
      <c r="B44" s="77"/>
      <c r="C44" s="78"/>
      <c r="D44" s="79"/>
      <c r="E44" s="80"/>
      <c r="F44" s="80"/>
      <c r="G44" s="81"/>
      <c r="H44" s="23"/>
      <c r="I44" s="23"/>
      <c r="J44" s="21"/>
      <c r="K44" s="23"/>
      <c r="L44" s="23"/>
      <c r="M44" s="23"/>
      <c r="N44" s="125"/>
    </row>
    <row r="45" spans="1:14" s="1" customFormat="1" ht="13.5" customHeight="1">
      <c r="A45" s="182">
        <v>22</v>
      </c>
      <c r="B45" s="49"/>
      <c r="C45" s="50"/>
      <c r="D45" s="223"/>
      <c r="E45" s="58"/>
      <c r="F45" s="58"/>
      <c r="G45" s="59"/>
      <c r="H45" s="51"/>
      <c r="I45" s="51"/>
      <c r="J45" s="60"/>
      <c r="K45" s="51"/>
      <c r="L45" s="51"/>
      <c r="M45" s="51"/>
      <c r="N45" s="123"/>
    </row>
    <row r="46" spans="1:14" s="1" customFormat="1" ht="13.5" customHeight="1">
      <c r="A46" s="184"/>
      <c r="B46" s="144"/>
      <c r="C46" s="145"/>
      <c r="D46" s="146"/>
      <c r="E46" s="147"/>
      <c r="F46" s="147"/>
      <c r="G46" s="148"/>
      <c r="H46" s="47"/>
      <c r="I46" s="47"/>
      <c r="J46" s="100"/>
      <c r="K46" s="47"/>
      <c r="L46" s="47"/>
      <c r="M46" s="47"/>
      <c r="N46" s="127"/>
    </row>
    <row r="47" spans="1:14" s="1" customFormat="1" ht="13.5" customHeight="1">
      <c r="A47" s="182">
        <v>23</v>
      </c>
      <c r="B47" s="49"/>
      <c r="C47" s="50"/>
      <c r="D47" s="57"/>
      <c r="E47" s="58"/>
      <c r="F47" s="58"/>
      <c r="G47" s="59"/>
      <c r="H47" s="51"/>
      <c r="I47" s="51"/>
      <c r="J47" s="60"/>
      <c r="K47" s="51"/>
      <c r="L47" s="51"/>
      <c r="M47" s="51"/>
      <c r="N47" s="123"/>
    </row>
    <row r="48" spans="1:14" s="1" customFormat="1" ht="13.5" customHeight="1" thickBot="1">
      <c r="A48" s="183"/>
      <c r="B48" s="177"/>
      <c r="C48" s="178"/>
      <c r="D48" s="179"/>
      <c r="E48" s="180"/>
      <c r="F48" s="180"/>
      <c r="G48" s="181"/>
      <c r="H48" s="48"/>
      <c r="I48" s="48"/>
      <c r="J48" s="110"/>
      <c r="K48" s="48"/>
      <c r="L48" s="48"/>
      <c r="M48" s="48"/>
      <c r="N48" s="124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7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CF17-D7BF-4CD6-9837-D8EC53FD40AF}">
  <sheetPr>
    <tabColor theme="5"/>
    <pageSetUpPr fitToPage="1"/>
  </sheetPr>
  <dimension ref="A1:N61"/>
  <sheetViews>
    <sheetView topLeftCell="A16" zoomScale="110" zoomScaleNormal="110" workbookViewId="0">
      <selection activeCell="P29" sqref="P2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239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1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27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1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27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125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47"/>
      <c r="N9" s="127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68</v>
      </c>
      <c r="I11" s="51">
        <f>SUM(J11)-3.5</f>
        <v>71.5</v>
      </c>
      <c r="J11" s="100">
        <v>75</v>
      </c>
      <c r="K11" s="47">
        <f>SUM(J11)+3.5</f>
        <v>78.5</v>
      </c>
      <c r="L11" s="47">
        <f>SUM(K11)+3.5</f>
        <v>82</v>
      </c>
      <c r="M11" s="47">
        <f>SUM(L11)+3.5</f>
        <v>85.5</v>
      </c>
      <c r="N11" s="104">
        <f>SUM(M11)+3.5</f>
        <v>89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78</v>
      </c>
      <c r="I13" s="51">
        <f>SUM(J13)-4</f>
        <v>82</v>
      </c>
      <c r="J13" s="100">
        <v>86</v>
      </c>
      <c r="K13" s="47">
        <f>SUM(J13)+4</f>
        <v>90</v>
      </c>
      <c r="L13" s="47">
        <f>SUM(K13)+4</f>
        <v>94</v>
      </c>
      <c r="M13" s="47">
        <f>SUM(L13)+4</f>
        <v>98</v>
      </c>
      <c r="N13" s="104">
        <f>SUM(M13)+4</f>
        <v>102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13.900000000000002</v>
      </c>
      <c r="I15" s="51">
        <f>SUM(J15)-0.7</f>
        <v>14.600000000000001</v>
      </c>
      <c r="J15" s="60">
        <v>15.3</v>
      </c>
      <c r="K15" s="51">
        <f>SUM(J15)+1.2</f>
        <v>16.5</v>
      </c>
      <c r="L15" s="51">
        <f>SUM(K15)+0.7</f>
        <v>17.2</v>
      </c>
      <c r="M15" s="51">
        <f>SUM(L15)+0.7</f>
        <v>17.899999999999999</v>
      </c>
      <c r="N15" s="123">
        <f>SUM(M15)+0.7</f>
        <v>18.599999999999998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23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56"/>
      <c r="N17" s="187"/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52"/>
      <c r="N18" s="188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51"/>
      <c r="N19" s="123"/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51">
        <f>SUM(L21)+6</f>
        <v>84</v>
      </c>
      <c r="N21" s="123">
        <f>SUM(M21)+6</f>
        <v>90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36.400000000000006</v>
      </c>
      <c r="I23" s="51">
        <f>SUM(J23)-1.8</f>
        <v>38.200000000000003</v>
      </c>
      <c r="J23" s="60">
        <v>40</v>
      </c>
      <c r="K23" s="51">
        <f>SUM(J23)+1.8</f>
        <v>41.8</v>
      </c>
      <c r="L23" s="51">
        <f>SUM(K23)+1.8</f>
        <v>43.599999999999994</v>
      </c>
      <c r="M23" s="51">
        <f>SUM(L23)+1.8</f>
        <v>45.399999999999991</v>
      </c>
      <c r="N23" s="75">
        <f>SUM(M23)+1.8</f>
        <v>47.199999999999989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22.699999999999996</v>
      </c>
      <c r="I25" s="51">
        <f>SUM(J25)-1.1</f>
        <v>23.799999999999997</v>
      </c>
      <c r="J25" s="60">
        <v>24.9</v>
      </c>
      <c r="K25" s="51">
        <f>SUM(J25)+1.6</f>
        <v>26.5</v>
      </c>
      <c r="L25" s="51">
        <f>SUM(K25)+1.1</f>
        <v>27.6</v>
      </c>
      <c r="M25" s="56">
        <f>SUM(L25)+1.1</f>
        <v>28.700000000000003</v>
      </c>
      <c r="N25" s="187">
        <f>SUM(M25)+1.1</f>
        <v>29.800000000000004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8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29.2</v>
      </c>
      <c r="I27" s="51">
        <f>SUM(J27)-1.3</f>
        <v>30.5</v>
      </c>
      <c r="J27" s="60">
        <v>31.8</v>
      </c>
      <c r="K27" s="51">
        <f>SUM(J27)+1.8</f>
        <v>33.6</v>
      </c>
      <c r="L27" s="51">
        <f>SUM(K27)+1.3</f>
        <v>34.9</v>
      </c>
      <c r="M27" s="56">
        <f>SUM(L27)+1.3</f>
        <v>36.199999999999996</v>
      </c>
      <c r="N27" s="185">
        <f>SUM(M27)+1.3</f>
        <v>37.499999999999993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SUM(I29)-2.7</f>
        <v>50.099999999999994</v>
      </c>
      <c r="I29" s="51">
        <f>SUM(J29)-2.7</f>
        <v>52.8</v>
      </c>
      <c r="J29" s="60">
        <v>55.5</v>
      </c>
      <c r="K29" s="51">
        <f>SUM(J29)+2.7</f>
        <v>58.2</v>
      </c>
      <c r="L29" s="51">
        <f>SUM(K29)+2.7</f>
        <v>60.900000000000006</v>
      </c>
      <c r="M29" s="51">
        <f>SUM(L29)+2.7</f>
        <v>63.600000000000009</v>
      </c>
      <c r="N29" s="75">
        <f>SUM(M29)+2.7</f>
        <v>66.300000000000011</v>
      </c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32</v>
      </c>
      <c r="I31" s="51">
        <f>SUM(J31)-6</f>
        <v>38</v>
      </c>
      <c r="J31" s="60">
        <v>44</v>
      </c>
      <c r="K31" s="51">
        <f>SUM(J31)+4.5</f>
        <v>48.5</v>
      </c>
      <c r="L31" s="51">
        <f>SUM(K31)+5</f>
        <v>53.5</v>
      </c>
      <c r="M31" s="51">
        <f>SUM(L31)+5</f>
        <v>58.5</v>
      </c>
      <c r="N31" s="123">
        <f>SUM(M31)+5</f>
        <v>63.5</v>
      </c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SUM(I33)-2.2</f>
        <v>46.099999999999994</v>
      </c>
      <c r="I33" s="51">
        <f>SUM(J33)-2.2</f>
        <v>48.3</v>
      </c>
      <c r="J33" s="60">
        <v>50.5</v>
      </c>
      <c r="K33" s="51">
        <f>SUM(J33)+2.2</f>
        <v>52.7</v>
      </c>
      <c r="L33" s="51">
        <f>SUM(K33)+2.2</f>
        <v>54.900000000000006</v>
      </c>
      <c r="M33" s="51">
        <f>SUM(L33)+2.2</f>
        <v>57.100000000000009</v>
      </c>
      <c r="N33" s="75">
        <f>SUM(M33)+2.2</f>
        <v>59.300000000000011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SUM(I35)-3.3</f>
        <v>34.300000000000004</v>
      </c>
      <c r="I35" s="51">
        <f>SUM(J35)-3.3</f>
        <v>37.6</v>
      </c>
      <c r="J35" s="60">
        <v>40.9</v>
      </c>
      <c r="K35" s="51">
        <f>SUM(J35)+3.3</f>
        <v>44.199999999999996</v>
      </c>
      <c r="L35" s="51">
        <f>SUM(K35)+2.9</f>
        <v>47.099999999999994</v>
      </c>
      <c r="M35" s="51">
        <f>SUM(L35)+2.9</f>
        <v>49.999999999999993</v>
      </c>
      <c r="N35" s="75">
        <f>SUM(M35)+3</f>
        <v>52.999999999999993</v>
      </c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4.0999999999999996</v>
      </c>
      <c r="I37" s="51">
        <f>SUM(J37)-0.2</f>
        <v>4.3</v>
      </c>
      <c r="J37" s="60">
        <v>4.5</v>
      </c>
      <c r="K37" s="51">
        <f>SUM(J37)+0.2</f>
        <v>4.7</v>
      </c>
      <c r="L37" s="51">
        <f>SUM(K37)+0.2</f>
        <v>4.9000000000000004</v>
      </c>
      <c r="M37" s="51">
        <f>SUM(L37)+0.2</f>
        <v>5.1000000000000005</v>
      </c>
      <c r="N37" s="75">
        <f>SUM(M37)+0.2</f>
        <v>5.3000000000000007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21"/>
      <c r="K38" s="23"/>
      <c r="L38" s="23"/>
      <c r="M38" s="23"/>
      <c r="N38" s="7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9.3000000000000007</v>
      </c>
      <c r="I39" s="51">
        <f>SUM(J39)-0.6</f>
        <v>9.9</v>
      </c>
      <c r="J39" s="60">
        <v>10.5</v>
      </c>
      <c r="K39" s="51">
        <f>SUM(J39)+0.6</f>
        <v>11.1</v>
      </c>
      <c r="L39" s="51">
        <f>SUM(K39)+0.6</f>
        <v>11.7</v>
      </c>
      <c r="M39" s="51">
        <f>SUM(L39)+0.6</f>
        <v>12.299999999999999</v>
      </c>
      <c r="N39" s="75">
        <f>SUM(M39)+0.6</f>
        <v>12.899999999999999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76"/>
    </row>
    <row r="41" spans="1:14" s="1" customFormat="1" ht="14.1" customHeight="1">
      <c r="A41" s="182">
        <v>20</v>
      </c>
      <c r="B41" s="49" t="s">
        <v>176</v>
      </c>
      <c r="C41" s="50"/>
      <c r="D41" s="57"/>
      <c r="E41" s="58"/>
      <c r="F41" s="58"/>
      <c r="G41" s="59"/>
      <c r="H41" s="51">
        <f>SUM(I41)-0.5</f>
        <v>10.5</v>
      </c>
      <c r="I41" s="51">
        <f>SUM(J41)-0.5</f>
        <v>11</v>
      </c>
      <c r="J41" s="60">
        <v>11.5</v>
      </c>
      <c r="K41" s="51">
        <f>SUM(J41)+0.5</f>
        <v>12</v>
      </c>
      <c r="L41" s="51">
        <f>SUM(K41)+0.5</f>
        <v>12.5</v>
      </c>
      <c r="M41" s="51">
        <f>SUM(L41)+0.5</f>
        <v>13</v>
      </c>
      <c r="N41" s="123">
        <f>SUM(M41)+0.5</f>
        <v>13.5</v>
      </c>
    </row>
    <row r="42" spans="1:14" s="1" customFormat="1" ht="14.1" customHeight="1">
      <c r="A42" s="184"/>
      <c r="B42" s="77" t="s">
        <v>177</v>
      </c>
      <c r="C42" s="78"/>
      <c r="D42" s="79"/>
      <c r="E42" s="80"/>
      <c r="F42" s="80"/>
      <c r="G42" s="81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7"/>
      <c r="E43" s="58"/>
      <c r="F43" s="58"/>
      <c r="G43" s="59"/>
      <c r="H43" s="51">
        <f>SUM(I43)-0.5</f>
        <v>11</v>
      </c>
      <c r="I43" s="51">
        <f>SUM(J43)-0.5</f>
        <v>11.5</v>
      </c>
      <c r="J43" s="60">
        <v>12</v>
      </c>
      <c r="K43" s="51">
        <f>SUM(J43)+0.5</f>
        <v>12.5</v>
      </c>
      <c r="L43" s="51">
        <f>SUM(K43)+0.5</f>
        <v>13</v>
      </c>
      <c r="M43" s="51">
        <f>SUM(L43)+0.5</f>
        <v>13.5</v>
      </c>
      <c r="N43" s="123">
        <f>SUM(M43)+0.5</f>
        <v>14</v>
      </c>
    </row>
    <row r="44" spans="1:14" s="1" customFormat="1" ht="13.5" customHeight="1">
      <c r="A44" s="184"/>
      <c r="B44" s="77" t="s">
        <v>178</v>
      </c>
      <c r="C44" s="78"/>
      <c r="D44" s="79"/>
      <c r="E44" s="80"/>
      <c r="F44" s="80"/>
      <c r="G44" s="81"/>
      <c r="H44" s="23"/>
      <c r="I44" s="23"/>
      <c r="J44" s="21"/>
      <c r="K44" s="23"/>
      <c r="L44" s="23"/>
      <c r="M44" s="23"/>
      <c r="N44" s="125"/>
    </row>
    <row r="45" spans="1:14" s="1" customFormat="1" ht="13.5" customHeight="1">
      <c r="A45" s="182">
        <v>22</v>
      </c>
      <c r="B45" s="49" t="s">
        <v>181</v>
      </c>
      <c r="C45" s="50"/>
      <c r="D45" s="223" t="s">
        <v>238</v>
      </c>
      <c r="E45" s="58"/>
      <c r="F45" s="58"/>
      <c r="G45" s="59"/>
      <c r="H45" s="51">
        <f>SUM(I45)</f>
        <v>34.5</v>
      </c>
      <c r="I45" s="51">
        <f>SUM(J45)</f>
        <v>34.5</v>
      </c>
      <c r="J45" s="60">
        <v>34.5</v>
      </c>
      <c r="K45" s="51">
        <f>SUM(J45)</f>
        <v>34.5</v>
      </c>
      <c r="L45" s="51">
        <f>SUM(K45)</f>
        <v>34.5</v>
      </c>
      <c r="M45" s="51">
        <f>SUM(L45)</f>
        <v>34.5</v>
      </c>
      <c r="N45" s="123">
        <f>SUM(M45)</f>
        <v>34.5</v>
      </c>
    </row>
    <row r="46" spans="1:14" s="1" customFormat="1" ht="13.5" customHeight="1">
      <c r="A46" s="184"/>
      <c r="B46" s="144" t="s">
        <v>182</v>
      </c>
      <c r="C46" s="145"/>
      <c r="D46" s="146" t="s">
        <v>403</v>
      </c>
      <c r="E46" s="147"/>
      <c r="F46" s="147"/>
      <c r="G46" s="148"/>
      <c r="H46" s="47"/>
      <c r="I46" s="47"/>
      <c r="J46" s="100"/>
      <c r="K46" s="47"/>
      <c r="L46" s="47"/>
      <c r="M46" s="47"/>
      <c r="N46" s="127"/>
    </row>
    <row r="47" spans="1:14" s="1" customFormat="1" ht="13.5" customHeight="1">
      <c r="A47" s="182">
        <v>23</v>
      </c>
      <c r="B47" s="49"/>
      <c r="C47" s="50"/>
      <c r="D47" s="57"/>
      <c r="E47" s="58"/>
      <c r="F47" s="58"/>
      <c r="G47" s="59"/>
      <c r="H47" s="51"/>
      <c r="I47" s="51"/>
      <c r="J47" s="60"/>
      <c r="K47" s="51"/>
      <c r="L47" s="51"/>
      <c r="M47" s="51"/>
      <c r="N47" s="123"/>
    </row>
    <row r="48" spans="1:14" s="1" customFormat="1" ht="13.5" customHeight="1" thickBot="1">
      <c r="A48" s="183"/>
      <c r="B48" s="177"/>
      <c r="C48" s="178"/>
      <c r="D48" s="179"/>
      <c r="E48" s="180"/>
      <c r="F48" s="180"/>
      <c r="G48" s="181"/>
      <c r="H48" s="48"/>
      <c r="I48" s="48"/>
      <c r="J48" s="110"/>
      <c r="K48" s="48"/>
      <c r="L48" s="48"/>
      <c r="M48" s="48"/>
      <c r="N48" s="124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7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5753-1986-4D3A-8C85-020AA3AC5E49}">
  <sheetPr>
    <tabColor theme="5"/>
    <pageSetUpPr fitToPage="1"/>
  </sheetPr>
  <dimension ref="A1:O52"/>
  <sheetViews>
    <sheetView zoomScale="110" zoomScaleNormal="110" workbookViewId="0">
      <selection activeCell="I39" sqref="I39:I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381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2">
        <f>SUM(L3)+3</f>
        <v>60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5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225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5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225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5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225">
        <f>SUM(L9)+2.2</f>
        <v>47.600000000000009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5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63</v>
      </c>
      <c r="I11" s="51">
        <f>SUM(J11)-4.5</f>
        <v>67.5</v>
      </c>
      <c r="J11" s="100">
        <v>72</v>
      </c>
      <c r="K11" s="47">
        <f>SUM(J11)+4.5</f>
        <v>76.5</v>
      </c>
      <c r="L11" s="47">
        <f>SUM(K11)+4.5</f>
        <v>81</v>
      </c>
      <c r="M11" s="225">
        <f>SUM(L11)+4.5</f>
        <v>85.5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5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71</v>
      </c>
      <c r="I13" s="51">
        <f>SUM(J13)-5</f>
        <v>76</v>
      </c>
      <c r="J13" s="60">
        <v>81</v>
      </c>
      <c r="K13" s="51">
        <f>SUM(J13)+5</f>
        <v>86</v>
      </c>
      <c r="L13" s="51">
        <f>SUM(K13)+5</f>
        <v>91</v>
      </c>
      <c r="M13" s="61">
        <f>SUM(L13)+5</f>
        <v>96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25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61">
        <f>SUM(L15)+0.7</f>
        <v>12.599999999999998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25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61">
        <f>SUM(L17)+0.7</f>
        <v>12.599999999999998</v>
      </c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25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61">
        <f>SUM(L19)+0</f>
        <v>3.3</v>
      </c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5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61">
        <f>SUM(L21)+6</f>
        <v>84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5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35</v>
      </c>
      <c r="I23" s="51">
        <f>SUM(J23)-2</f>
        <v>37</v>
      </c>
      <c r="J23" s="60">
        <v>39</v>
      </c>
      <c r="K23" s="51">
        <f>SUM(J23)+2</f>
        <v>41</v>
      </c>
      <c r="L23" s="51">
        <f>SUM(K23)+2</f>
        <v>43</v>
      </c>
      <c r="M23" s="61">
        <f>SUM(L23)+2</f>
        <v>45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5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20.299999999999997</v>
      </c>
      <c r="I25" s="51">
        <f>SUM(J25)-1.1</f>
        <v>21.4</v>
      </c>
      <c r="J25" s="60">
        <v>22.5</v>
      </c>
      <c r="K25" s="51">
        <f>SUM(J25)+1.6</f>
        <v>24.1</v>
      </c>
      <c r="L25" s="51">
        <f>SUM(K25)+1.1</f>
        <v>25.200000000000003</v>
      </c>
      <c r="M25" s="61">
        <f>SUM(L25)+1.1</f>
        <v>26.300000000000004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25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61">
        <f>SUM(L27)+1.3</f>
        <v>34.4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25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61"/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5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61"/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5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61"/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25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61"/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5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SUM(I37)-0.5</f>
        <v>7</v>
      </c>
      <c r="I37" s="51">
        <f>SUM(J37)-0.5</f>
        <v>7.5</v>
      </c>
      <c r="J37" s="39">
        <v>8</v>
      </c>
      <c r="K37" s="32">
        <f>SUM(J37)+0.5</f>
        <v>8.5</v>
      </c>
      <c r="L37" s="32">
        <f>SUM(K37)+0.5</f>
        <v>9</v>
      </c>
      <c r="M37" s="33">
        <f>SUM(L37)+0.5</f>
        <v>9.5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3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SUM(I39)-0.3</f>
        <v>5.9</v>
      </c>
      <c r="I39" s="51">
        <f>SUM(J39)-0.3</f>
        <v>6.2</v>
      </c>
      <c r="J39" s="60">
        <v>6.5</v>
      </c>
      <c r="K39" s="51">
        <f>SUM(J39)+0.3</f>
        <v>6.8</v>
      </c>
      <c r="L39" s="51">
        <f>SUM(K39)+0.3</f>
        <v>7.1</v>
      </c>
      <c r="M39" s="61">
        <f>SUM(L39)+0.3</f>
        <v>7.3999999999999995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5"/>
    </row>
    <row r="41" spans="1:13" s="1" customFormat="1" ht="14.1" customHeight="1">
      <c r="A41" s="182">
        <v>20</v>
      </c>
      <c r="B41" s="49" t="s">
        <v>382</v>
      </c>
      <c r="C41" s="50"/>
      <c r="D41" s="55"/>
      <c r="E41" s="55"/>
      <c r="F41" s="55"/>
      <c r="G41" s="55"/>
      <c r="H41" s="51">
        <f>SUM(I41)-0.2</f>
        <v>3.5999999999999996</v>
      </c>
      <c r="I41" s="51">
        <f>SUM(J41)-0.2</f>
        <v>3.8</v>
      </c>
      <c r="J41" s="60">
        <v>4</v>
      </c>
      <c r="K41" s="51">
        <f>SUM(J41)+0.2</f>
        <v>4.2</v>
      </c>
      <c r="L41" s="51">
        <f>SUM(K41)+0.2</f>
        <v>4.4000000000000004</v>
      </c>
      <c r="M41" s="61">
        <f>SUM(L41)+0.2</f>
        <v>4.6000000000000005</v>
      </c>
    </row>
    <row r="42" spans="1:13" s="1" customFormat="1" ht="14.1" customHeight="1">
      <c r="A42" s="184"/>
      <c r="B42" s="34" t="s">
        <v>383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5"/>
    </row>
    <row r="43" spans="1:13" s="1" customFormat="1" ht="14.1" customHeight="1">
      <c r="A43" s="182">
        <v>21</v>
      </c>
      <c r="B43" s="49"/>
      <c r="C43" s="50"/>
      <c r="D43" s="55"/>
      <c r="E43" s="55"/>
      <c r="F43" s="55"/>
      <c r="G43" s="55"/>
      <c r="H43" s="51"/>
      <c r="I43" s="51"/>
      <c r="J43" s="60"/>
      <c r="K43" s="51"/>
      <c r="L43" s="51"/>
      <c r="M43" s="61"/>
    </row>
    <row r="44" spans="1:13" s="1" customFormat="1" ht="14.1" customHeight="1" thickBot="1">
      <c r="A44" s="183"/>
      <c r="B44" s="132"/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224"/>
    </row>
    <row r="45" spans="1:13" s="1" customFormat="1" ht="14.1" customHeight="1"/>
    <row r="46" spans="1:13" s="1" customFormat="1" ht="14.1" customHeight="1"/>
    <row r="47" spans="1:13" s="1" customFormat="1" ht="14.1" customHeight="1"/>
    <row r="48" spans="1:13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584B-20DC-48DC-838A-A9096FD2D796}">
  <sheetPr>
    <tabColor theme="5"/>
    <pageSetUpPr fitToPage="1"/>
  </sheetPr>
  <dimension ref="A1:O52"/>
  <sheetViews>
    <sheetView topLeftCell="A16" zoomScale="110" zoomScaleNormal="110" workbookViewId="0">
      <selection activeCell="I39" sqref="I39:I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351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104">
        <f>SUM(L9)+2.2</f>
        <v>47.600000000000009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76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59</v>
      </c>
      <c r="I11" s="51">
        <f>SUM(J11)-4.5</f>
        <v>63.5</v>
      </c>
      <c r="J11" s="100">
        <v>68</v>
      </c>
      <c r="K11" s="47">
        <f>SUM(J11)+4.5</f>
        <v>72.5</v>
      </c>
      <c r="L11" s="47">
        <f>SUM(K11)+4.5</f>
        <v>77</v>
      </c>
      <c r="M11" s="104">
        <f>SUM(L11)+4.5</f>
        <v>81.5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76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70</v>
      </c>
      <c r="I13" s="51">
        <f>SUM(J13)-5</f>
        <v>75</v>
      </c>
      <c r="J13" s="60">
        <v>80</v>
      </c>
      <c r="K13" s="51">
        <f>SUM(J13)+5</f>
        <v>85</v>
      </c>
      <c r="L13" s="51">
        <f>SUM(K13)+5</f>
        <v>90</v>
      </c>
      <c r="M13" s="75">
        <f>SUM(L13)+5</f>
        <v>95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76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185">
        <f>SUM(L15)+0.7</f>
        <v>12.599999999999998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18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185">
        <f>SUM(L17)+0.7</f>
        <v>12.599999999999998</v>
      </c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75">
        <f>SUM(L19)+0</f>
        <v>3.3</v>
      </c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75">
        <f>SUM(L21)+6</f>
        <v>84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34</v>
      </c>
      <c r="I23" s="51">
        <f>SUM(J23)-2</f>
        <v>36</v>
      </c>
      <c r="J23" s="60">
        <v>38</v>
      </c>
      <c r="K23" s="51">
        <f>SUM(J23)+2</f>
        <v>40</v>
      </c>
      <c r="L23" s="51">
        <f>SUM(K23)+2</f>
        <v>42</v>
      </c>
      <c r="M23" s="75">
        <f>SUM(L23)+2</f>
        <v>44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20.299999999999997</v>
      </c>
      <c r="I25" s="51">
        <f>SUM(J25)-1.1</f>
        <v>21.4</v>
      </c>
      <c r="J25" s="60">
        <v>22.5</v>
      </c>
      <c r="K25" s="51">
        <f>SUM(J25)+1.6</f>
        <v>24.1</v>
      </c>
      <c r="L25" s="51">
        <f>SUM(K25)+1.1</f>
        <v>25.200000000000003</v>
      </c>
      <c r="M25" s="185">
        <f>SUM(L25)+1.1</f>
        <v>26.300000000000004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185">
        <f>SUM(L27)+1.3</f>
        <v>34.4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75"/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75"/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185"/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18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75"/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SUM(I37)-0.5</f>
        <v>7</v>
      </c>
      <c r="I37" s="51">
        <f>SUM(J37)-0.5</f>
        <v>7.5</v>
      </c>
      <c r="J37" s="39">
        <v>8</v>
      </c>
      <c r="K37" s="32">
        <f>SUM(J37)+0.5</f>
        <v>8.5</v>
      </c>
      <c r="L37" s="32">
        <f>SUM(K37)+0.5</f>
        <v>9</v>
      </c>
      <c r="M37" s="131">
        <f>SUM(L37)+0.5</f>
        <v>9.5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131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SUM(I39)-0.3</f>
        <v>5.9</v>
      </c>
      <c r="I39" s="51">
        <f>SUM(J39)-0.3</f>
        <v>6.2</v>
      </c>
      <c r="J39" s="60">
        <v>6.5</v>
      </c>
      <c r="K39" s="51">
        <f>SUM(J39)+0.3</f>
        <v>6.8</v>
      </c>
      <c r="L39" s="51">
        <f>SUM(K39)+0.3</f>
        <v>7.1</v>
      </c>
      <c r="M39" s="75">
        <f>SUM(L39)+0.3</f>
        <v>7.3999999999999995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76"/>
    </row>
    <row r="41" spans="1:13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11.5</v>
      </c>
      <c r="I41" s="51">
        <f>SUM(J41)-0.5</f>
        <v>12</v>
      </c>
      <c r="J41" s="60">
        <v>12.5</v>
      </c>
      <c r="K41" s="51">
        <f>SUM(J41)+0.5</f>
        <v>13</v>
      </c>
      <c r="L41" s="51">
        <f>SUM(K41)+0.5</f>
        <v>13.5</v>
      </c>
      <c r="M41" s="75">
        <f>SUM(L41)+0.5</f>
        <v>14</v>
      </c>
    </row>
    <row r="42" spans="1:13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76"/>
    </row>
    <row r="43" spans="1:13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11.5</v>
      </c>
      <c r="I43" s="51">
        <f>SUM(J43)-0.5</f>
        <v>12</v>
      </c>
      <c r="J43" s="60">
        <v>12.5</v>
      </c>
      <c r="K43" s="51">
        <f>SUM(J43)+0.5</f>
        <v>13</v>
      </c>
      <c r="L43" s="51">
        <f>SUM(K43)+0.5</f>
        <v>13.5</v>
      </c>
      <c r="M43" s="75">
        <f>SUM(L43)+0.5</f>
        <v>14</v>
      </c>
    </row>
    <row r="44" spans="1:13" s="1" customFormat="1" ht="14.1" customHeight="1" thickBot="1">
      <c r="A44" s="183"/>
      <c r="B44" s="132" t="s">
        <v>104</v>
      </c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109"/>
    </row>
    <row r="45" spans="1:13" s="1" customFormat="1" ht="14.1" customHeight="1"/>
    <row r="46" spans="1:13" s="1" customFormat="1" ht="14.1" customHeight="1"/>
    <row r="47" spans="1:13" s="1" customFormat="1" ht="14.1" customHeight="1"/>
    <row r="48" spans="1:13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A4D6-01E1-48D5-B743-4C8CFDE892BA}">
  <sheetPr>
    <tabColor theme="5"/>
    <pageSetUpPr fitToPage="1"/>
  </sheetPr>
  <dimension ref="A1:P52"/>
  <sheetViews>
    <sheetView topLeftCell="A19" zoomScale="110" zoomScaleNormal="110" workbookViewId="0">
      <selection activeCell="I39" sqref="I39:I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353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6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154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87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86"/>
      <c r="I4" s="23"/>
      <c r="J4" s="21"/>
      <c r="K4" s="23"/>
      <c r="L4" s="23"/>
      <c r="M4" s="23"/>
      <c r="N4" s="125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87"/>
      <c r="I5" s="51"/>
      <c r="J5" s="100"/>
      <c r="K5" s="47"/>
      <c r="L5" s="47"/>
      <c r="M5" s="47"/>
      <c r="N5" s="127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86"/>
      <c r="I6" s="23"/>
      <c r="J6" s="21"/>
      <c r="K6" s="23"/>
      <c r="L6" s="23"/>
      <c r="M6" s="23"/>
      <c r="N6" s="125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87"/>
      <c r="I7" s="51"/>
      <c r="J7" s="100"/>
      <c r="K7" s="47"/>
      <c r="L7" s="47"/>
      <c r="M7" s="47"/>
      <c r="N7" s="127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86"/>
      <c r="I8" s="23"/>
      <c r="J8" s="21"/>
      <c r="K8" s="23"/>
      <c r="L8" s="23"/>
      <c r="M8" s="23"/>
      <c r="N8" s="125"/>
    </row>
    <row r="9" spans="1:16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87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04">
        <f>SUM(M9)+2.2</f>
        <v>49.800000000000011</v>
      </c>
    </row>
    <row r="10" spans="1:16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86"/>
      <c r="I10" s="23"/>
      <c r="J10" s="21"/>
      <c r="K10" s="23"/>
      <c r="L10" s="23"/>
      <c r="M10" s="23"/>
      <c r="N10" s="76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87">
        <f>SUM(I11)-4.5</f>
        <v>63</v>
      </c>
      <c r="I11" s="51">
        <f>SUM(J11)-4.5</f>
        <v>67.5</v>
      </c>
      <c r="J11" s="100">
        <v>72</v>
      </c>
      <c r="K11" s="47">
        <f>SUM(J11)+4.5</f>
        <v>76.5</v>
      </c>
      <c r="L11" s="47">
        <f>SUM(K11)+4.5</f>
        <v>81</v>
      </c>
      <c r="M11" s="47">
        <f>SUM(L11)+4.5</f>
        <v>85.5</v>
      </c>
      <c r="N11" s="127">
        <f>SUM(M11)+4.5</f>
        <v>90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86"/>
      <c r="I12" s="23"/>
      <c r="J12" s="21"/>
      <c r="K12" s="23"/>
      <c r="L12" s="23"/>
      <c r="M12" s="23"/>
      <c r="N12" s="125"/>
    </row>
    <row r="13" spans="1:16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87">
        <f>SUM(I13)-5</f>
        <v>71</v>
      </c>
      <c r="I13" s="51">
        <f>SUM(J13)-5</f>
        <v>76</v>
      </c>
      <c r="J13" s="60">
        <v>81</v>
      </c>
      <c r="K13" s="51">
        <f>SUM(J13)+5</f>
        <v>86</v>
      </c>
      <c r="L13" s="51">
        <f>SUM(K13)+5</f>
        <v>91</v>
      </c>
      <c r="M13" s="51">
        <f>SUM(L13)+5</f>
        <v>96</v>
      </c>
      <c r="N13" s="123">
        <f>SUM(M13)+5</f>
        <v>101</v>
      </c>
    </row>
    <row r="14" spans="1:16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86"/>
      <c r="I14" s="23"/>
      <c r="J14" s="21"/>
      <c r="K14" s="23"/>
      <c r="L14" s="23"/>
      <c r="M14" s="23"/>
      <c r="N14" s="125"/>
      <c r="P14" s="1" t="s">
        <v>173</v>
      </c>
    </row>
    <row r="15" spans="1:16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87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56">
        <f>SUM(L15)+0.7</f>
        <v>12.599999999999998</v>
      </c>
      <c r="N15" s="123">
        <f>SUM(M15)+0.7</f>
        <v>13.299999999999997</v>
      </c>
    </row>
    <row r="16" spans="1:16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86"/>
      <c r="I16" s="23"/>
      <c r="J16" s="21"/>
      <c r="K16" s="23"/>
      <c r="L16" s="23"/>
      <c r="M16" s="52"/>
      <c r="N16" s="125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87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6">
        <f>SUM(L17)+0.7</f>
        <v>12.599999999999998</v>
      </c>
      <c r="N17" s="123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86"/>
      <c r="I18" s="23"/>
      <c r="J18" s="21"/>
      <c r="K18" s="23"/>
      <c r="L18" s="23"/>
      <c r="M18" s="52"/>
      <c r="N18" s="125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87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123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86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87">
        <f>SUM(I21)-7</f>
        <v>51</v>
      </c>
      <c r="I21" s="51">
        <f>SUM(J21)-7</f>
        <v>58</v>
      </c>
      <c r="J21" s="60">
        <v>65</v>
      </c>
      <c r="K21" s="51">
        <f>SUM(J21)+6</f>
        <v>71</v>
      </c>
      <c r="L21" s="51">
        <f>SUM(K21)+6</f>
        <v>77</v>
      </c>
      <c r="M21" s="51">
        <f>SUM(L21)+6</f>
        <v>83</v>
      </c>
      <c r="N21" s="123">
        <f>SUM(M21)+6</f>
        <v>89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86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87">
        <f>SUM(I23)-2.2</f>
        <v>42.599999999999994</v>
      </c>
      <c r="I23" s="51">
        <f>SUM(J23)-2.2</f>
        <v>44.8</v>
      </c>
      <c r="J23" s="60">
        <v>47</v>
      </c>
      <c r="K23" s="51">
        <f>SUM(J23)+2.2</f>
        <v>49.2</v>
      </c>
      <c r="L23" s="51">
        <f>SUM(K23)+2.2</f>
        <v>51.400000000000006</v>
      </c>
      <c r="M23" s="51">
        <f>SUM(L23)+2.2</f>
        <v>53.600000000000009</v>
      </c>
      <c r="N23" s="75">
        <f>SUM(M23)+2.2</f>
        <v>55.800000000000011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86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87">
        <f>SUM(I25)-1.1</f>
        <v>20.799999999999997</v>
      </c>
      <c r="I25" s="51">
        <f>SUM(J25)-1.1</f>
        <v>21.9</v>
      </c>
      <c r="J25" s="60">
        <v>23</v>
      </c>
      <c r="K25" s="51">
        <f>SUM(J25)+1.6</f>
        <v>24.6</v>
      </c>
      <c r="L25" s="51">
        <f>SUM(K25)+1.1</f>
        <v>25.700000000000003</v>
      </c>
      <c r="M25" s="56">
        <f>SUM(L25)+1.1</f>
        <v>26.800000000000004</v>
      </c>
      <c r="N25" s="123">
        <f>SUM(M25)+1.1</f>
        <v>27.900000000000006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86"/>
      <c r="I26" s="23"/>
      <c r="J26" s="21"/>
      <c r="K26" s="23"/>
      <c r="L26" s="23"/>
      <c r="M26" s="52"/>
      <c r="N26" s="125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87">
        <f>SUM(I27)-1.3</f>
        <v>28.4</v>
      </c>
      <c r="I27" s="51">
        <f>SUM(J27)-1.3</f>
        <v>29.7</v>
      </c>
      <c r="J27" s="60">
        <v>31</v>
      </c>
      <c r="K27" s="51">
        <f>SUM(J27)+1.8</f>
        <v>32.799999999999997</v>
      </c>
      <c r="L27" s="51">
        <f>SUM(K27)+1.3</f>
        <v>34.099999999999994</v>
      </c>
      <c r="M27" s="56">
        <f>SUM(L27)+1.3</f>
        <v>35.399999999999991</v>
      </c>
      <c r="N27" s="123">
        <f>SUM(M27)+1.3</f>
        <v>36.699999999999989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86"/>
      <c r="I28" s="23"/>
      <c r="J28" s="21"/>
      <c r="K28" s="23"/>
      <c r="L28" s="23"/>
      <c r="M28" s="52"/>
      <c r="N28" s="125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87"/>
      <c r="I29" s="51"/>
      <c r="J29" s="60"/>
      <c r="K29" s="51"/>
      <c r="L29" s="51"/>
      <c r="M29" s="51"/>
      <c r="N29" s="123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86"/>
      <c r="I30" s="23"/>
      <c r="J30" s="21"/>
      <c r="K30" s="23"/>
      <c r="L30" s="23"/>
      <c r="M30" s="23"/>
      <c r="N30" s="125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87"/>
      <c r="I31" s="51"/>
      <c r="J31" s="60"/>
      <c r="K31" s="51"/>
      <c r="L31" s="51"/>
      <c r="M31" s="51"/>
      <c r="N31" s="123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86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87"/>
      <c r="I33" s="51"/>
      <c r="J33" s="60"/>
      <c r="K33" s="51"/>
      <c r="L33" s="51"/>
      <c r="M33" s="56"/>
      <c r="N33" s="123"/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86"/>
      <c r="I34" s="23"/>
      <c r="J34" s="21"/>
      <c r="K34" s="23"/>
      <c r="L34" s="23"/>
      <c r="M34" s="52"/>
      <c r="N34" s="125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87"/>
      <c r="I35" s="51"/>
      <c r="J35" s="60"/>
      <c r="K35" s="51"/>
      <c r="L35" s="51"/>
      <c r="M35" s="51"/>
      <c r="N35" s="123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86"/>
      <c r="I36" s="23"/>
      <c r="J36" s="21"/>
      <c r="K36" s="23"/>
      <c r="L36" s="23"/>
      <c r="M36" s="23"/>
      <c r="N36" s="125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87">
        <f>SUM(I37)-0.5</f>
        <v>7</v>
      </c>
      <c r="I37" s="51">
        <f>SUM(J37)-0.5</f>
        <v>7.5</v>
      </c>
      <c r="J37" s="39">
        <v>8</v>
      </c>
      <c r="K37" s="32">
        <f>SUM(J37)+0.5</f>
        <v>8.5</v>
      </c>
      <c r="L37" s="32">
        <f>SUM(K37)+0.5</f>
        <v>9</v>
      </c>
      <c r="M37" s="128">
        <f>SUM(L37)+0.5</f>
        <v>9.5</v>
      </c>
      <c r="N37" s="126">
        <f>SUM(M37)+0.2</f>
        <v>9.6999999999999993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86"/>
      <c r="I38" s="23"/>
      <c r="J38" s="39"/>
      <c r="K38" s="32"/>
      <c r="L38" s="32"/>
      <c r="M38" s="128"/>
      <c r="N38" s="12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87">
        <f>SUM(I39)-0.3</f>
        <v>5.4</v>
      </c>
      <c r="I39" s="51">
        <f>SUM(J39)-0.3</f>
        <v>5.7</v>
      </c>
      <c r="J39" s="60">
        <v>6</v>
      </c>
      <c r="K39" s="51">
        <f>SUM(J39)+0.3</f>
        <v>6.3</v>
      </c>
      <c r="L39" s="51">
        <f>SUM(K39)+0.3</f>
        <v>6.6</v>
      </c>
      <c r="M39" s="51">
        <f>SUM(L39)+0.3</f>
        <v>6.8999999999999995</v>
      </c>
      <c r="N39" s="123">
        <f>SUM(M39)+0.6</f>
        <v>7.4999999999999991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86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87">
        <f>SUM(I41)-0.5</f>
        <v>10.5</v>
      </c>
      <c r="I41" s="51">
        <f>SUM(J41)-0.5</f>
        <v>11</v>
      </c>
      <c r="J41" s="60">
        <v>11.5</v>
      </c>
      <c r="K41" s="51">
        <f>SUM(J41)+0.5</f>
        <v>12</v>
      </c>
      <c r="L41" s="51">
        <f>SUM(K41)+0.5</f>
        <v>12.5</v>
      </c>
      <c r="M41" s="51">
        <f>SUM(L41)+0.5</f>
        <v>13</v>
      </c>
      <c r="N41" s="123">
        <f>SUM(M41)+0.5</f>
        <v>13.5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86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87">
        <f>SUM(I43)-0.5</f>
        <v>12.5</v>
      </c>
      <c r="I43" s="51">
        <f>SUM(J43)-0.5</f>
        <v>13</v>
      </c>
      <c r="J43" s="60">
        <v>13.5</v>
      </c>
      <c r="K43" s="51">
        <f>SUM(J43)+0.5</f>
        <v>14</v>
      </c>
      <c r="L43" s="51">
        <f>SUM(K43)+0.5</f>
        <v>14.5</v>
      </c>
      <c r="M43" s="51">
        <f>SUM(L43)+0.5</f>
        <v>15</v>
      </c>
      <c r="N43" s="75">
        <f>SUM(M43)+0.5</f>
        <v>15.5</v>
      </c>
    </row>
    <row r="44" spans="1:14" s="1" customFormat="1" ht="14.1" customHeight="1" thickBot="1">
      <c r="A44" s="183"/>
      <c r="B44" s="132" t="s">
        <v>104</v>
      </c>
      <c r="C44" s="132"/>
      <c r="D44" s="29"/>
      <c r="E44" s="30"/>
      <c r="F44" s="30"/>
      <c r="G44" s="31"/>
      <c r="H44" s="176"/>
      <c r="I44" s="48"/>
      <c r="J44" s="110"/>
      <c r="K44" s="48"/>
      <c r="L44" s="48"/>
      <c r="M44" s="48"/>
      <c r="N44" s="109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E9C4-E49F-41A2-89C7-6FEC6962BD53}">
  <sheetPr>
    <tabColor theme="5"/>
    <pageSetUpPr fitToPage="1"/>
  </sheetPr>
  <dimension ref="A1:O52"/>
  <sheetViews>
    <sheetView topLeftCell="A22" zoomScale="110" zoomScaleNormal="110" workbookViewId="0">
      <selection activeCell="I39" sqref="I39:I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50" t="s">
        <v>370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  <c r="N2" s="6" t="s">
        <v>154</v>
      </c>
      <c r="O2" t="s">
        <v>371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1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130">
        <f>SUM(M3)+3</f>
        <v>63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3"/>
      <c r="N4" s="125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1"/>
      <c r="I5" s="51"/>
      <c r="J5" s="100"/>
      <c r="K5" s="47"/>
      <c r="L5" s="47"/>
      <c r="M5" s="47"/>
      <c r="N5" s="127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23"/>
      <c r="N6" s="125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100"/>
      <c r="K7" s="47"/>
      <c r="L7" s="47"/>
      <c r="M7" s="47"/>
      <c r="N7" s="127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23"/>
      <c r="N8" s="125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27">
        <f>SUM(M9)+2.2</f>
        <v>49.800000000000011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125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55</v>
      </c>
      <c r="I11" s="51">
        <f>SUM(J11)-4.5</f>
        <v>59.5</v>
      </c>
      <c r="J11" s="100">
        <v>64</v>
      </c>
      <c r="K11" s="47">
        <f>SUM(J11)+4.5</f>
        <v>68.5</v>
      </c>
      <c r="L11" s="47">
        <f>SUM(K11)+4.5</f>
        <v>73</v>
      </c>
      <c r="M11" s="47">
        <f>SUM(L11)+4.5</f>
        <v>77.5</v>
      </c>
      <c r="N11" s="127">
        <f>SUM(M11)+4.5</f>
        <v>82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125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SUM(I13)-5</f>
        <v>58</v>
      </c>
      <c r="I13" s="51">
        <f>SUM(J13)-5</f>
        <v>63</v>
      </c>
      <c r="J13" s="60">
        <v>68</v>
      </c>
      <c r="K13" s="51">
        <f>SUM(J13)+5</f>
        <v>73</v>
      </c>
      <c r="L13" s="51">
        <f>SUM(K13)+5</f>
        <v>78</v>
      </c>
      <c r="M13" s="51">
        <f>SUM(L13)+5</f>
        <v>83</v>
      </c>
      <c r="N13" s="123">
        <f>SUM(M13)+5</f>
        <v>88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23"/>
      <c r="I14" s="23"/>
      <c r="J14" s="21"/>
      <c r="K14" s="23"/>
      <c r="L14" s="23"/>
      <c r="M14" s="23"/>
      <c r="N14" s="125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56">
        <f>SUM(L15)+0.7</f>
        <v>12.599999999999998</v>
      </c>
      <c r="N15" s="187">
        <f>SUM(M15)+0.7</f>
        <v>13.299999999999997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23"/>
      <c r="I16" s="23"/>
      <c r="J16" s="21"/>
      <c r="K16" s="23"/>
      <c r="L16" s="23"/>
      <c r="M16" s="52"/>
      <c r="N16" s="188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1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6">
        <f>SUM(L17)+0.7</f>
        <v>12.599999999999998</v>
      </c>
      <c r="N17" s="187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23"/>
      <c r="I18" s="23"/>
      <c r="J18" s="21"/>
      <c r="K18" s="23"/>
      <c r="L18" s="23"/>
      <c r="M18" s="52"/>
      <c r="N18" s="188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123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125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49</v>
      </c>
      <c r="I21" s="51">
        <f>SUM(J21)-7</f>
        <v>56</v>
      </c>
      <c r="J21" s="60">
        <v>63</v>
      </c>
      <c r="K21" s="51">
        <f>SUM(J21)+6</f>
        <v>69</v>
      </c>
      <c r="L21" s="51">
        <f>SUM(K21)+6</f>
        <v>75</v>
      </c>
      <c r="M21" s="51">
        <f>SUM(L21)+6</f>
        <v>81</v>
      </c>
      <c r="N21" s="123">
        <f>SUM(M21)+6</f>
        <v>87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125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34</v>
      </c>
      <c r="I23" s="51">
        <f>SUM(J23)-2</f>
        <v>36</v>
      </c>
      <c r="J23" s="60">
        <v>38</v>
      </c>
      <c r="K23" s="51">
        <f>SUM(J23)+2</f>
        <v>40</v>
      </c>
      <c r="L23" s="51">
        <f>SUM(K23)+2</f>
        <v>42</v>
      </c>
      <c r="M23" s="51">
        <f>SUM(L23)+2</f>
        <v>44</v>
      </c>
      <c r="N23" s="123">
        <f>SUM(M23)+2</f>
        <v>46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125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1">
        <f>SUM(I25)-1.1</f>
        <v>19.799999999999997</v>
      </c>
      <c r="I25" s="51">
        <f>SUM(J25)-1.1</f>
        <v>20.9</v>
      </c>
      <c r="J25" s="60">
        <v>22</v>
      </c>
      <c r="K25" s="51">
        <f>SUM(J25)+1.6</f>
        <v>23.6</v>
      </c>
      <c r="L25" s="51">
        <f>SUM(K25)+1.1</f>
        <v>24.700000000000003</v>
      </c>
      <c r="M25" s="56">
        <f>SUM(L25)+1.1</f>
        <v>25.800000000000004</v>
      </c>
      <c r="N25" s="187">
        <f>SUM(M25)+1.1</f>
        <v>26.900000000000006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23"/>
      <c r="I26" s="23"/>
      <c r="J26" s="21"/>
      <c r="K26" s="23"/>
      <c r="L26" s="23"/>
      <c r="M26" s="52"/>
      <c r="N26" s="188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1">
        <f>SUM(I27)-1.3</f>
        <v>25.4</v>
      </c>
      <c r="I27" s="51">
        <f>SUM(J27)-1.3</f>
        <v>26.7</v>
      </c>
      <c r="J27" s="60">
        <v>28</v>
      </c>
      <c r="K27" s="51">
        <f>SUM(J27)+1.8</f>
        <v>29.8</v>
      </c>
      <c r="L27" s="51">
        <f>SUM(K27)+1.3</f>
        <v>31.1</v>
      </c>
      <c r="M27" s="56">
        <f>SUM(L27)+1.3</f>
        <v>32.4</v>
      </c>
      <c r="N27" s="187">
        <f>SUM(M27)+1.3</f>
        <v>33.699999999999996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23"/>
      <c r="I28" s="23"/>
      <c r="J28" s="21"/>
      <c r="K28" s="23"/>
      <c r="L28" s="23"/>
      <c r="M28" s="52"/>
      <c r="N28" s="188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>
        <v>38</v>
      </c>
      <c r="K29" s="51"/>
      <c r="L29" s="51"/>
      <c r="M29" s="51"/>
      <c r="N29" s="123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125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51"/>
      <c r="N31" s="123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125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SUM(I33)-1.5</f>
        <v>25.5</v>
      </c>
      <c r="I33" s="51">
        <f>SUM(J33)-1.5</f>
        <v>27</v>
      </c>
      <c r="J33" s="60">
        <v>28.5</v>
      </c>
      <c r="K33" s="51">
        <f>SUM(J33)+1.5</f>
        <v>30</v>
      </c>
      <c r="L33" s="51">
        <f>SUM(K33)+1.5</f>
        <v>31.5</v>
      </c>
      <c r="M33" s="56">
        <f>SUM(L33)+1.5</f>
        <v>33</v>
      </c>
      <c r="N33" s="187">
        <f>SUM(M33)+1.5</f>
        <v>34.5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52"/>
      <c r="N34" s="188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>
        <v>38</v>
      </c>
      <c r="K35" s="51"/>
      <c r="L35" s="51"/>
      <c r="M35" s="51"/>
      <c r="N35" s="123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125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SUM(I37)-0.6</f>
        <v>6.8000000000000007</v>
      </c>
      <c r="I37" s="51">
        <f>SUM(J37)-0.6</f>
        <v>7.4</v>
      </c>
      <c r="J37" s="39">
        <v>8</v>
      </c>
      <c r="K37" s="32">
        <f>SUM(J37)+0.6</f>
        <v>8.6</v>
      </c>
      <c r="L37" s="32">
        <f>SUM(K37)+0.6</f>
        <v>9.1999999999999993</v>
      </c>
      <c r="M37" s="32">
        <f>SUM(L37)+0.6</f>
        <v>9.7999999999999989</v>
      </c>
      <c r="N37" s="126">
        <f>SUM(M37)+0.6</f>
        <v>10.399999999999999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2"/>
      <c r="N38" s="126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SUM(I39)-0.4</f>
        <v>4.6999999999999993</v>
      </c>
      <c r="I39" s="51">
        <f>SUM(J39)-0.4</f>
        <v>5.0999999999999996</v>
      </c>
      <c r="J39" s="60">
        <v>5.5</v>
      </c>
      <c r="K39" s="51">
        <f>SUM(J39)+0.4</f>
        <v>5.9</v>
      </c>
      <c r="L39" s="51">
        <f>SUM(K39)+0.4</f>
        <v>6.3000000000000007</v>
      </c>
      <c r="M39" s="51">
        <f>SUM(L39)+0.4</f>
        <v>6.7000000000000011</v>
      </c>
      <c r="N39" s="123">
        <f>SUM(M39)+0.4</f>
        <v>7.1000000000000014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125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10</v>
      </c>
      <c r="I41" s="51">
        <f>SUM(J41)-0.5</f>
        <v>10.5</v>
      </c>
      <c r="J41" s="60">
        <v>11</v>
      </c>
      <c r="K41" s="51">
        <f>SUM(J41)+0.5</f>
        <v>11.5</v>
      </c>
      <c r="L41" s="51">
        <f>SUM(K41)+0.5</f>
        <v>12</v>
      </c>
      <c r="M41" s="51">
        <f>SUM(L41)+0.5</f>
        <v>12.5</v>
      </c>
      <c r="N41" s="123">
        <f>SUM(M41)+0.5</f>
        <v>13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3"/>
      <c r="N42" s="125"/>
    </row>
    <row r="43" spans="1:14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10</v>
      </c>
      <c r="I43" s="51">
        <f>SUM(J43)-0.5</f>
        <v>10.5</v>
      </c>
      <c r="J43" s="60">
        <v>11</v>
      </c>
      <c r="K43" s="51">
        <f>SUM(J43)+0.5</f>
        <v>11.5</v>
      </c>
      <c r="L43" s="51">
        <f>SUM(K43)+0.5</f>
        <v>12</v>
      </c>
      <c r="M43" s="51">
        <f>SUM(L43)+0.5</f>
        <v>12.5</v>
      </c>
      <c r="N43" s="123">
        <f>SUM(M43)+0.5</f>
        <v>13</v>
      </c>
    </row>
    <row r="44" spans="1:14" s="1" customFormat="1" ht="14.1" customHeight="1">
      <c r="A44" s="182"/>
      <c r="B44" s="105" t="s">
        <v>104</v>
      </c>
      <c r="C44" s="105"/>
      <c r="D44" s="67"/>
      <c r="E44" s="68"/>
      <c r="F44" s="68"/>
      <c r="G44" s="69"/>
      <c r="H44" s="47"/>
      <c r="I44" s="47"/>
      <c r="J44" s="100"/>
      <c r="K44" s="47"/>
      <c r="L44" s="47"/>
      <c r="M44" s="47"/>
      <c r="N44" s="127"/>
    </row>
    <row r="45" spans="1:14" s="1" customFormat="1" ht="14.1" customHeight="1">
      <c r="A45" s="201">
        <v>22</v>
      </c>
      <c r="B45" s="49"/>
      <c r="C45" s="50"/>
      <c r="D45" s="55"/>
      <c r="E45" s="55"/>
      <c r="F45" s="55"/>
      <c r="G45" s="55"/>
      <c r="H45" s="51"/>
      <c r="I45" s="51"/>
      <c r="J45" s="60"/>
      <c r="K45" s="51"/>
      <c r="L45" s="51"/>
      <c r="M45" s="51"/>
      <c r="N45" s="123"/>
    </row>
    <row r="46" spans="1:14" s="1" customFormat="1" ht="14.1" customHeight="1" thickBot="1">
      <c r="A46" s="183"/>
      <c r="B46" s="132"/>
      <c r="C46" s="132"/>
      <c r="D46" s="29"/>
      <c r="E46" s="30"/>
      <c r="F46" s="30"/>
      <c r="G46" s="31"/>
      <c r="H46" s="48"/>
      <c r="I46" s="48"/>
      <c r="J46" s="110"/>
      <c r="K46" s="48"/>
      <c r="L46" s="48"/>
      <c r="M46" s="48"/>
      <c r="N46" s="124"/>
    </row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67">
    <mergeCell ref="A45:A46"/>
    <mergeCell ref="H45:H46"/>
    <mergeCell ref="I45:I46"/>
    <mergeCell ref="J45:J46"/>
    <mergeCell ref="K45:K46"/>
    <mergeCell ref="B46:C46"/>
    <mergeCell ref="D46:G46"/>
    <mergeCell ref="B45:C45"/>
    <mergeCell ref="D45:G45"/>
    <mergeCell ref="L45:L46"/>
    <mergeCell ref="J43:J44"/>
    <mergeCell ref="K43:K44"/>
    <mergeCell ref="L43:L44"/>
    <mergeCell ref="M43:M44"/>
    <mergeCell ref="B44:C44"/>
    <mergeCell ref="D44:G44"/>
    <mergeCell ref="M45:M46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45:N46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2C9-EF00-4171-96D9-33B63C7486E3}">
  <sheetPr>
    <tabColor theme="5"/>
    <pageSetUpPr fitToPage="1"/>
  </sheetPr>
  <dimension ref="A1:O52"/>
  <sheetViews>
    <sheetView zoomScale="110" zoomScaleNormal="110" workbookViewId="0">
      <selection sqref="A1:M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350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104">
        <f>SUM(L9)+2.2</f>
        <v>47.600000000000009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76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57</v>
      </c>
      <c r="I11" s="51">
        <f>SUM(J11)-4.5</f>
        <v>61.5</v>
      </c>
      <c r="J11" s="100">
        <v>66</v>
      </c>
      <c r="K11" s="47">
        <f>SUM(J11)+4.5</f>
        <v>70.5</v>
      </c>
      <c r="L11" s="47">
        <f>SUM(K11)+4.5</f>
        <v>75</v>
      </c>
      <c r="M11" s="104">
        <f>SUM(L11)+4.5</f>
        <v>79.5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76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64</v>
      </c>
      <c r="I13" s="51">
        <f>SUM(J13)-5</f>
        <v>69</v>
      </c>
      <c r="J13" s="60">
        <v>74</v>
      </c>
      <c r="K13" s="51">
        <f>SUM(J13)+5</f>
        <v>79</v>
      </c>
      <c r="L13" s="51">
        <f>SUM(K13)+5</f>
        <v>84</v>
      </c>
      <c r="M13" s="75">
        <f>SUM(L13)+5</f>
        <v>89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76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185">
        <f>SUM(L15)+0.7</f>
        <v>12.599999999999998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18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185">
        <f>SUM(L17)+0.7</f>
        <v>12.599999999999998</v>
      </c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75">
        <f>SUM(L19)+0</f>
        <v>3.3</v>
      </c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75">
        <f>SUM(L21)+6</f>
        <v>84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34</v>
      </c>
      <c r="I23" s="51">
        <f>SUM(J23)-2</f>
        <v>36</v>
      </c>
      <c r="J23" s="60">
        <v>38</v>
      </c>
      <c r="K23" s="51">
        <f>SUM(J23)+2</f>
        <v>40</v>
      </c>
      <c r="L23" s="51">
        <f>SUM(K23)+2</f>
        <v>42</v>
      </c>
      <c r="M23" s="75">
        <f>SUM(L23)+2</f>
        <v>44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20.299999999999997</v>
      </c>
      <c r="I25" s="51">
        <f>SUM(J25)-1.1</f>
        <v>21.4</v>
      </c>
      <c r="J25" s="60">
        <v>22.5</v>
      </c>
      <c r="K25" s="51">
        <f>SUM(J25)+1.6</f>
        <v>24.1</v>
      </c>
      <c r="L25" s="51">
        <f>SUM(K25)+1.1</f>
        <v>25.200000000000003</v>
      </c>
      <c r="M25" s="185">
        <f>SUM(L25)+1.1</f>
        <v>26.300000000000004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185">
        <f>SUM(L27)+1.3</f>
        <v>34.4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75"/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75"/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185"/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18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75"/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SUM(I37)-0.5</f>
        <v>7</v>
      </c>
      <c r="I37" s="51">
        <f>SUM(J37)-0.5</f>
        <v>7.5</v>
      </c>
      <c r="J37" s="39">
        <v>8</v>
      </c>
      <c r="K37" s="32">
        <f>SUM(J37)+0.5</f>
        <v>8.5</v>
      </c>
      <c r="L37" s="32">
        <f>SUM(K37)+0.5</f>
        <v>9</v>
      </c>
      <c r="M37" s="131">
        <f>SUM(L37)+0.5</f>
        <v>9.5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131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SUM(I39)-0.3</f>
        <v>5.4</v>
      </c>
      <c r="I39" s="51">
        <f>SUM(J39)-0.3</f>
        <v>5.7</v>
      </c>
      <c r="J39" s="60">
        <v>6</v>
      </c>
      <c r="K39" s="51">
        <f>SUM(J39)+0.3</f>
        <v>6.3</v>
      </c>
      <c r="L39" s="51">
        <f>SUM(K39)+0.3</f>
        <v>6.6</v>
      </c>
      <c r="M39" s="75">
        <f>SUM(L39)+0.3</f>
        <v>6.8999999999999995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76"/>
    </row>
    <row r="41" spans="1:13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10.5</v>
      </c>
      <c r="I41" s="51">
        <f>SUM(J41)-0.5</f>
        <v>11</v>
      </c>
      <c r="J41" s="60">
        <v>11.5</v>
      </c>
      <c r="K41" s="51">
        <f>SUM(J41)+0.5</f>
        <v>12</v>
      </c>
      <c r="L41" s="51">
        <f>SUM(K41)+0.5</f>
        <v>12.5</v>
      </c>
      <c r="M41" s="75">
        <f>SUM(L41)+0.5</f>
        <v>13</v>
      </c>
    </row>
    <row r="42" spans="1:13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76"/>
    </row>
    <row r="43" spans="1:13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10.5</v>
      </c>
      <c r="I43" s="51">
        <f>SUM(J43)-0.5</f>
        <v>11</v>
      </c>
      <c r="J43" s="60">
        <v>11.5</v>
      </c>
      <c r="K43" s="51">
        <f>SUM(J43)+0.5</f>
        <v>12</v>
      </c>
      <c r="L43" s="51">
        <f>SUM(K43)+0.5</f>
        <v>12.5</v>
      </c>
      <c r="M43" s="75">
        <f>SUM(L43)+0.5</f>
        <v>13</v>
      </c>
    </row>
    <row r="44" spans="1:13" s="1" customFormat="1" ht="14.1" customHeight="1" thickBot="1">
      <c r="A44" s="183"/>
      <c r="B44" s="132" t="s">
        <v>104</v>
      </c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109"/>
    </row>
    <row r="45" spans="1:13" s="1" customFormat="1" ht="14.1" customHeight="1"/>
    <row r="46" spans="1:13" s="1" customFormat="1" ht="14.1" customHeight="1"/>
    <row r="47" spans="1:13" s="1" customFormat="1" ht="14.1" customHeight="1"/>
    <row r="48" spans="1:13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34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A1:M1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30DD-2B5B-43D9-975F-4F2C10D55883}">
  <sheetPr>
    <tabColor theme="5"/>
    <pageSetUpPr fitToPage="1"/>
  </sheetPr>
  <dimension ref="A1:N61"/>
  <sheetViews>
    <sheetView zoomScale="110" zoomScaleNormal="110" workbookViewId="0">
      <selection sqref="A1:M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490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8" t="s">
        <v>63</v>
      </c>
      <c r="J2" s="8" t="s">
        <v>64</v>
      </c>
      <c r="K2" s="5" t="s">
        <v>65</v>
      </c>
      <c r="L2" s="8" t="s">
        <v>66</v>
      </c>
      <c r="M2" s="8" t="s">
        <v>135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SUM(I3)-2</f>
        <v>43</v>
      </c>
      <c r="I3" s="56">
        <f>SUM(J3)-3</f>
        <v>45</v>
      </c>
      <c r="J3" s="51">
        <f>SUM(K3)-3</f>
        <v>48</v>
      </c>
      <c r="K3" s="71">
        <v>51</v>
      </c>
      <c r="L3" s="70">
        <f>SUM(K3)+3</f>
        <v>54</v>
      </c>
      <c r="M3" s="84">
        <f>SUM(L3)+3</f>
        <v>57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52"/>
      <c r="J4" s="23"/>
      <c r="K4" s="21"/>
      <c r="L4" s="23"/>
      <c r="M4" s="76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6"/>
      <c r="J5" s="51"/>
      <c r="K5" s="100"/>
      <c r="L5" s="47"/>
      <c r="M5" s="104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52"/>
      <c r="J6" s="23"/>
      <c r="K6" s="21"/>
      <c r="L6" s="23"/>
      <c r="M6" s="76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6"/>
      <c r="J7" s="51"/>
      <c r="K7" s="100"/>
      <c r="L7" s="47"/>
      <c r="M7" s="104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52"/>
      <c r="J8" s="23"/>
      <c r="K8" s="21"/>
      <c r="L8" s="23"/>
      <c r="M8" s="76"/>
    </row>
    <row r="9" spans="1:13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51"/>
      <c r="K9" s="100"/>
      <c r="L9" s="47"/>
      <c r="M9" s="104"/>
    </row>
    <row r="10" spans="1:13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3"/>
      <c r="K10" s="21"/>
      <c r="L10" s="23"/>
      <c r="M10" s="76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61.2</v>
      </c>
      <c r="I11" s="51">
        <f>SUM(J11)-3.5</f>
        <v>64.7</v>
      </c>
      <c r="J11" s="51">
        <f>SUM(K11)-3.5</f>
        <v>68.2</v>
      </c>
      <c r="K11" s="100">
        <v>71.7</v>
      </c>
      <c r="L11" s="47">
        <f>SUM(K11)+3.5</f>
        <v>75.2</v>
      </c>
      <c r="M11" s="104">
        <f t="shared" ref="M11" si="0">SUM(L11)+3.5</f>
        <v>78.7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3"/>
      <c r="K12" s="21"/>
      <c r="L12" s="23"/>
      <c r="M12" s="76"/>
    </row>
    <row r="13" spans="1:13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68.400000000000006</v>
      </c>
      <c r="I13" s="51">
        <f>SUM(J13)-4</f>
        <v>72.400000000000006</v>
      </c>
      <c r="J13" s="51">
        <f>SUM(K13)-4</f>
        <v>76.400000000000006</v>
      </c>
      <c r="K13" s="60">
        <v>80.400000000000006</v>
      </c>
      <c r="L13" s="51">
        <f>SUM(K13)+4</f>
        <v>84.4</v>
      </c>
      <c r="M13" s="75">
        <f>SUM(L13)+4</f>
        <v>88.4</v>
      </c>
    </row>
    <row r="14" spans="1:13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3"/>
      <c r="K14" s="21"/>
      <c r="L14" s="23"/>
      <c r="M14" s="76"/>
    </row>
    <row r="15" spans="1:13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11.900000000000002</v>
      </c>
      <c r="I15" s="51">
        <f>SUM(J15)-0.7</f>
        <v>12.600000000000001</v>
      </c>
      <c r="J15" s="51">
        <f>SUM(K15)-0.7</f>
        <v>13.3</v>
      </c>
      <c r="K15" s="60">
        <v>14</v>
      </c>
      <c r="L15" s="51">
        <f>SUM(K15)+1.2</f>
        <v>15.2</v>
      </c>
      <c r="M15" s="75">
        <f>SUM(L15)+0.7</f>
        <v>15.899999999999999</v>
      </c>
    </row>
    <row r="16" spans="1:13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3"/>
      <c r="K16" s="21"/>
      <c r="L16" s="23"/>
      <c r="M16" s="7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6"/>
      <c r="J17" s="51"/>
      <c r="K17" s="60"/>
      <c r="L17" s="51"/>
      <c r="M17" s="7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52"/>
      <c r="J18" s="23"/>
      <c r="K18" s="21"/>
      <c r="L18" s="23"/>
      <c r="M18" s="7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51"/>
      <c r="K19" s="60"/>
      <c r="L19" s="51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3"/>
      <c r="K20" s="21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46.5</v>
      </c>
      <c r="I21" s="51">
        <f>SUM(J21)-7</f>
        <v>53.5</v>
      </c>
      <c r="J21" s="51">
        <f>SUM(K21)-7</f>
        <v>60.5</v>
      </c>
      <c r="K21" s="60">
        <v>67.5</v>
      </c>
      <c r="L21" s="51">
        <f>SUM(K21)+6</f>
        <v>73.5</v>
      </c>
      <c r="M21" s="75">
        <f>SUM(L21)+6</f>
        <v>79.5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3"/>
      <c r="K22" s="21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/>
      <c r="E23" s="58"/>
      <c r="F23" s="58"/>
      <c r="G23" s="59"/>
      <c r="H23" s="51">
        <f>SUM(I23)-1</f>
        <v>19</v>
      </c>
      <c r="I23" s="51">
        <f>SUM(J23)-1</f>
        <v>20</v>
      </c>
      <c r="J23" s="51">
        <f>SUM(K23)-1</f>
        <v>21</v>
      </c>
      <c r="K23" s="60">
        <v>22</v>
      </c>
      <c r="L23" s="51">
        <f>SUM(K23)+1</f>
        <v>23</v>
      </c>
      <c r="M23" s="75">
        <f t="shared" ref="M23" si="1">SUM(L23)+1</f>
        <v>24</v>
      </c>
    </row>
    <row r="24" spans="1:13" s="1" customFormat="1" ht="14.1" customHeight="1">
      <c r="A24" s="184"/>
      <c r="B24" s="77" t="s">
        <v>53</v>
      </c>
      <c r="C24" s="78"/>
      <c r="D24" s="36" t="s">
        <v>673</v>
      </c>
      <c r="E24" s="37"/>
      <c r="F24" s="37"/>
      <c r="G24" s="38"/>
      <c r="H24" s="23"/>
      <c r="I24" s="23"/>
      <c r="J24" s="23"/>
      <c r="K24" s="21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20.599999999999994</v>
      </c>
      <c r="I25" s="56">
        <f>SUM(J25)-1.1</f>
        <v>21.699999999999996</v>
      </c>
      <c r="J25" s="51">
        <f>SUM(K25)-1.1</f>
        <v>22.799999999999997</v>
      </c>
      <c r="K25" s="60">
        <v>23.9</v>
      </c>
      <c r="L25" s="51">
        <f>SUM(K25)+1.6</f>
        <v>25.5</v>
      </c>
      <c r="M25" s="75">
        <f>SUM(L25)+1.1</f>
        <v>26.6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52"/>
      <c r="J26" s="23"/>
      <c r="K26" s="21"/>
      <c r="L26" s="23"/>
      <c r="M26" s="7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27.499999999999996</v>
      </c>
      <c r="I27" s="56">
        <f>SUM(J27)-1.3</f>
        <v>28.799999999999997</v>
      </c>
      <c r="J27" s="51">
        <f>SUM(K27)-1.3</f>
        <v>30.099999999999998</v>
      </c>
      <c r="K27" s="60">
        <v>31.4</v>
      </c>
      <c r="L27" s="51">
        <f>SUM(K27)+1.8</f>
        <v>33.199999999999996</v>
      </c>
      <c r="M27" s="75">
        <f>SUM(L27)+1.3</f>
        <v>34.499999999999993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52"/>
      <c r="J28" s="23"/>
      <c r="K28" s="21"/>
      <c r="L28" s="23"/>
      <c r="M28" s="7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SUM(I29)-2.6</f>
        <v>44.199999999999996</v>
      </c>
      <c r="I29" s="51">
        <f>SUM(J29)-2.6</f>
        <v>46.8</v>
      </c>
      <c r="J29" s="51">
        <f>SUM(K29)-2.6</f>
        <v>49.4</v>
      </c>
      <c r="K29" s="60">
        <v>52</v>
      </c>
      <c r="L29" s="51">
        <f>SUM(K29)+2.6</f>
        <v>54.6</v>
      </c>
      <c r="M29" s="75">
        <f t="shared" ref="M29" si="2">SUM(L29)+2.6</f>
        <v>57.2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3"/>
      <c r="K30" s="21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27.1</v>
      </c>
      <c r="I31" s="51">
        <f>SUM(J31)-6</f>
        <v>33.1</v>
      </c>
      <c r="J31" s="51">
        <f>SUM(K31)-6</f>
        <v>39.1</v>
      </c>
      <c r="K31" s="60">
        <v>45.1</v>
      </c>
      <c r="L31" s="51">
        <f>SUM(K31)+4.5</f>
        <v>49.6</v>
      </c>
      <c r="M31" s="75">
        <f>SUM(L31)+5</f>
        <v>54.6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3"/>
      <c r="K32" s="21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SUM(I33)-2.1</f>
        <v>41.099999999999994</v>
      </c>
      <c r="I33" s="51">
        <f>SUM(J33)-2.1</f>
        <v>43.199999999999996</v>
      </c>
      <c r="J33" s="51">
        <f>SUM(K33)-2.1</f>
        <v>45.3</v>
      </c>
      <c r="K33" s="60">
        <v>47.4</v>
      </c>
      <c r="L33" s="51">
        <f>SUM(K33)+2.1</f>
        <v>49.5</v>
      </c>
      <c r="M33" s="75">
        <f t="shared" ref="M33" si="3">SUM(L33)+2.1</f>
        <v>51.6</v>
      </c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3"/>
      <c r="K34" s="21"/>
      <c r="L34" s="23"/>
      <c r="M34" s="7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SUM(I35)-3.3</f>
        <v>29.700000000000006</v>
      </c>
      <c r="I35" s="51">
        <f>SUM(J35)-3.3</f>
        <v>33.000000000000007</v>
      </c>
      <c r="J35" s="51">
        <f>SUM(K35)-3.3</f>
        <v>36.300000000000004</v>
      </c>
      <c r="K35" s="60">
        <v>39.6</v>
      </c>
      <c r="L35" s="51">
        <f>SUM(K35)+3.2</f>
        <v>42.800000000000004</v>
      </c>
      <c r="M35" s="75">
        <f>SUM(L35)+2.9</f>
        <v>45.7</v>
      </c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3"/>
      <c r="K36" s="21"/>
      <c r="L36" s="23"/>
      <c r="M36" s="76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3.8999999999999995</v>
      </c>
      <c r="I37" s="51">
        <f>SUM(J37)-0.2</f>
        <v>4.0999999999999996</v>
      </c>
      <c r="J37" s="51">
        <f>SUM(K37)-0.2</f>
        <v>4.3</v>
      </c>
      <c r="K37" s="39">
        <v>4.5</v>
      </c>
      <c r="L37" s="32">
        <f>SUM(K37)+0.2</f>
        <v>4.7</v>
      </c>
      <c r="M37" s="82">
        <f t="shared" ref="M37" si="4">SUM(L37)+0.2</f>
        <v>4.9000000000000004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23"/>
      <c r="K38" s="39"/>
      <c r="L38" s="32"/>
      <c r="M38" s="82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8.8000000000000007</v>
      </c>
      <c r="I39" s="51">
        <f>SUM(J39)-0.6</f>
        <v>9.4</v>
      </c>
      <c r="J39" s="51">
        <f>SUM(K39)-0.6</f>
        <v>10</v>
      </c>
      <c r="K39" s="60">
        <v>10.6</v>
      </c>
      <c r="L39" s="51">
        <f>SUM(K39)+0.6</f>
        <v>11.2</v>
      </c>
      <c r="M39" s="75">
        <f t="shared" ref="M39" si="5">SUM(L39)+0.6</f>
        <v>11.799999999999999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3"/>
      <c r="K40" s="21"/>
      <c r="L40" s="23"/>
      <c r="M40" s="76"/>
    </row>
    <row r="41" spans="1:13" s="1" customFormat="1" ht="14.1" customHeight="1">
      <c r="A41" s="182">
        <v>20</v>
      </c>
      <c r="B41" s="49" t="s">
        <v>491</v>
      </c>
      <c r="C41" s="50"/>
      <c r="D41" s="55"/>
      <c r="E41" s="55"/>
      <c r="F41" s="55"/>
      <c r="G41" s="55"/>
      <c r="H41" s="51">
        <f>SUM(I41)-0.5</f>
        <v>9</v>
      </c>
      <c r="I41" s="51">
        <f>SUM(J41)-0.5</f>
        <v>9.5</v>
      </c>
      <c r="J41" s="51">
        <f>SUM(K41)-0.5</f>
        <v>10</v>
      </c>
      <c r="K41" s="60">
        <v>10.5</v>
      </c>
      <c r="L41" s="51">
        <f>SUM(K41)+0.5</f>
        <v>11</v>
      </c>
      <c r="M41" s="75">
        <f t="shared" ref="M41" si="6">SUM(L41)+0.5</f>
        <v>11.5</v>
      </c>
    </row>
    <row r="42" spans="1:13" s="1" customFormat="1" ht="14.1" customHeight="1">
      <c r="A42" s="184"/>
      <c r="B42" s="34" t="s">
        <v>492</v>
      </c>
      <c r="C42" s="35"/>
      <c r="D42" s="67" t="s">
        <v>493</v>
      </c>
      <c r="E42" s="68"/>
      <c r="F42" s="68"/>
      <c r="G42" s="69"/>
      <c r="H42" s="47"/>
      <c r="I42" s="47"/>
      <c r="J42" s="47"/>
      <c r="K42" s="100"/>
      <c r="L42" s="47"/>
      <c r="M42" s="104"/>
    </row>
    <row r="43" spans="1:13" s="1" customFormat="1" ht="14.1" customHeight="1">
      <c r="A43" s="182">
        <v>21</v>
      </c>
      <c r="B43" s="49" t="s">
        <v>494</v>
      </c>
      <c r="C43" s="50"/>
      <c r="D43" s="55"/>
      <c r="E43" s="55"/>
      <c r="F43" s="55"/>
      <c r="G43" s="55"/>
      <c r="H43" s="51">
        <f>SUM(I43)-0.5</f>
        <v>8.5</v>
      </c>
      <c r="I43" s="51">
        <f>SUM(J43)-0.5</f>
        <v>9</v>
      </c>
      <c r="J43" s="51">
        <f>SUM(K43)-0.5</f>
        <v>9.5</v>
      </c>
      <c r="K43" s="60">
        <v>10</v>
      </c>
      <c r="L43" s="51">
        <f>SUM(K43)+0.5</f>
        <v>10.5</v>
      </c>
      <c r="M43" s="75">
        <f t="shared" ref="M43" si="7">SUM(L43)+0.5</f>
        <v>11</v>
      </c>
    </row>
    <row r="44" spans="1:13" s="1" customFormat="1" ht="13.5" customHeight="1">
      <c r="A44" s="184"/>
      <c r="B44" s="34" t="s">
        <v>495</v>
      </c>
      <c r="C44" s="35"/>
      <c r="D44" s="139" t="s">
        <v>496</v>
      </c>
      <c r="E44" s="37"/>
      <c r="F44" s="37"/>
      <c r="G44" s="38"/>
      <c r="H44" s="23"/>
      <c r="I44" s="23"/>
      <c r="J44" s="23"/>
      <c r="K44" s="21"/>
      <c r="L44" s="23"/>
      <c r="M44" s="76"/>
    </row>
    <row r="45" spans="1:13" s="1" customFormat="1" ht="13.5" customHeight="1">
      <c r="A45" s="182">
        <v>22</v>
      </c>
      <c r="B45" s="49"/>
      <c r="C45" s="50"/>
      <c r="D45" s="55"/>
      <c r="E45" s="55"/>
      <c r="F45" s="55"/>
      <c r="G45" s="55"/>
      <c r="H45" s="51"/>
      <c r="I45" s="51"/>
      <c r="J45" s="51"/>
      <c r="K45" s="60"/>
      <c r="L45" s="51"/>
      <c r="M45" s="75"/>
    </row>
    <row r="46" spans="1:13" s="1" customFormat="1" ht="13.5" customHeight="1">
      <c r="A46" s="184"/>
      <c r="B46" s="52"/>
      <c r="C46" s="52"/>
      <c r="D46" s="36"/>
      <c r="E46" s="37"/>
      <c r="F46" s="37"/>
      <c r="G46" s="38"/>
      <c r="H46" s="23"/>
      <c r="I46" s="23"/>
      <c r="J46" s="23"/>
      <c r="K46" s="21"/>
      <c r="L46" s="23"/>
      <c r="M46" s="76"/>
    </row>
    <row r="47" spans="1:13" s="1" customFormat="1" ht="13.5" customHeight="1">
      <c r="A47" s="182">
        <v>23</v>
      </c>
      <c r="B47" s="49"/>
      <c r="C47" s="50"/>
      <c r="D47" s="57"/>
      <c r="E47" s="58"/>
      <c r="F47" s="58"/>
      <c r="G47" s="59"/>
      <c r="H47" s="51"/>
      <c r="I47" s="51"/>
      <c r="J47" s="51"/>
      <c r="K47" s="60"/>
      <c r="L47" s="51"/>
      <c r="M47" s="75"/>
    </row>
    <row r="48" spans="1:13" s="1" customFormat="1" ht="13.5" customHeight="1" thickBot="1">
      <c r="A48" s="183"/>
      <c r="B48" s="177"/>
      <c r="C48" s="178"/>
      <c r="D48" s="179"/>
      <c r="E48" s="180"/>
      <c r="F48" s="180"/>
      <c r="G48" s="181"/>
      <c r="H48" s="48"/>
      <c r="I48" s="48"/>
      <c r="J48" s="48"/>
      <c r="K48" s="110"/>
      <c r="L48" s="48"/>
      <c r="M48" s="109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56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H3:H4"/>
    <mergeCell ref="M3:M4"/>
    <mergeCell ref="B4:C4"/>
    <mergeCell ref="D4:G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H9:H10"/>
    <mergeCell ref="H11:H12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H37:H38"/>
    <mergeCell ref="H39:H40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H41:H42"/>
    <mergeCell ref="H43:H44"/>
    <mergeCell ref="K43:K44"/>
    <mergeCell ref="L43:L44"/>
    <mergeCell ref="M43:M44"/>
    <mergeCell ref="B44:C44"/>
    <mergeCell ref="D44:G44"/>
    <mergeCell ref="L41:L42"/>
    <mergeCell ref="M41:M42"/>
    <mergeCell ref="B42:C42"/>
    <mergeCell ref="D42:G42"/>
    <mergeCell ref="K41:K42"/>
    <mergeCell ref="A47:A48"/>
    <mergeCell ref="B47:C47"/>
    <mergeCell ref="D47:G47"/>
    <mergeCell ref="I47:I48"/>
    <mergeCell ref="J47:J48"/>
    <mergeCell ref="A45:A46"/>
    <mergeCell ref="B45:C45"/>
    <mergeCell ref="D45:G45"/>
    <mergeCell ref="I45:I46"/>
    <mergeCell ref="J45:J46"/>
    <mergeCell ref="H45:H46"/>
    <mergeCell ref="H47:H48"/>
    <mergeCell ref="K47:K48"/>
    <mergeCell ref="L47:L48"/>
    <mergeCell ref="M47:M48"/>
    <mergeCell ref="B48:C48"/>
    <mergeCell ref="D48:G48"/>
    <mergeCell ref="L45:L46"/>
    <mergeCell ref="M45:M46"/>
    <mergeCell ref="B46:C46"/>
    <mergeCell ref="D46:G46"/>
    <mergeCell ref="K45:K4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E260-3B96-4049-B386-38E8489318AF}">
  <sheetPr>
    <tabColor theme="5"/>
    <pageSetUpPr fitToPage="1"/>
  </sheetPr>
  <dimension ref="A1:O56"/>
  <sheetViews>
    <sheetView topLeftCell="A13" zoomScale="110" zoomScaleNormal="110" workbookViewId="0">
      <selection activeCell="J39" sqref="J39:J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50" t="s">
        <v>447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8" t="s">
        <v>136</v>
      </c>
      <c r="N2" s="6" t="s">
        <v>239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84">
        <f>SUM(M3)+3</f>
        <v>63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76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04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76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04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76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47">
        <f>SUM(L9)+2.2</f>
        <v>47.600000000000009</v>
      </c>
      <c r="N9" s="104">
        <f>SUM(M9)+2.2</f>
        <v>49.800000000000011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76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57</v>
      </c>
      <c r="I11" s="51">
        <f>SUM(J11)-4.5</f>
        <v>61.5</v>
      </c>
      <c r="J11" s="100">
        <v>66</v>
      </c>
      <c r="K11" s="47">
        <f>SUM(J11)+4.5</f>
        <v>70.5</v>
      </c>
      <c r="L11" s="47">
        <f>SUM(K11)+4.5</f>
        <v>75</v>
      </c>
      <c r="M11" s="47">
        <f>SUM(L11)+4.5</f>
        <v>79.5</v>
      </c>
      <c r="N11" s="104">
        <f>SUM(M11)+4.5</f>
        <v>84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3"/>
      <c r="N12" s="76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66</v>
      </c>
      <c r="I13" s="51">
        <f>SUM(J13)-5</f>
        <v>71</v>
      </c>
      <c r="J13" s="60">
        <v>76</v>
      </c>
      <c r="K13" s="51">
        <f>SUM(J13)+5</f>
        <v>81</v>
      </c>
      <c r="L13" s="51">
        <f>SUM(K13)+5</f>
        <v>86</v>
      </c>
      <c r="M13" s="51">
        <f>SUM(L13)+5</f>
        <v>91</v>
      </c>
      <c r="N13" s="75">
        <f>SUM(M13)+5</f>
        <v>96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23"/>
      <c r="N14" s="76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51">
        <f>SUM(L15)+0.7</f>
        <v>12.599999999999998</v>
      </c>
      <c r="N15" s="75">
        <f>SUM(M15)+0.7</f>
        <v>13.299999999999997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23"/>
      <c r="N16" s="76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51">
        <f>SUM(L17)+0.7</f>
        <v>12.599999999999998</v>
      </c>
      <c r="N17" s="75">
        <f>SUM(M17)+0.7</f>
        <v>13.299999999999997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23"/>
      <c r="N18" s="76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51">
        <f>SUM(L19)+0</f>
        <v>3.3</v>
      </c>
      <c r="N19" s="75">
        <f>SUM(M19)+0</f>
        <v>3.3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</v>
      </c>
      <c r="I21" s="51">
        <f>SUM(J21)-7</f>
        <v>59</v>
      </c>
      <c r="J21" s="60">
        <v>66</v>
      </c>
      <c r="K21" s="51">
        <f>SUM(J21)+6</f>
        <v>72</v>
      </c>
      <c r="L21" s="51">
        <f>SUM(K21)+6</f>
        <v>78</v>
      </c>
      <c r="M21" s="51">
        <f>SUM(L21)+6</f>
        <v>84</v>
      </c>
      <c r="N21" s="75">
        <f>SUM(M21)+6</f>
        <v>90</v>
      </c>
    </row>
    <row r="22" spans="1:14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76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36</v>
      </c>
      <c r="I23" s="51">
        <f>SUM(J23)-2</f>
        <v>38</v>
      </c>
      <c r="J23" s="60">
        <v>40</v>
      </c>
      <c r="K23" s="51">
        <f>SUM(J23)+2</f>
        <v>42</v>
      </c>
      <c r="L23" s="51">
        <f>SUM(K23)+2</f>
        <v>44</v>
      </c>
      <c r="M23" s="51">
        <f>SUM(L23)+2</f>
        <v>46</v>
      </c>
      <c r="N23" s="75">
        <f>SUM(M23)+2</f>
        <v>48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20.299999999999997</v>
      </c>
      <c r="I25" s="51">
        <f>SUM(J25)-1.1</f>
        <v>21.4</v>
      </c>
      <c r="J25" s="60">
        <v>22.5</v>
      </c>
      <c r="K25" s="51">
        <f>SUM(J25)+1.6</f>
        <v>24.1</v>
      </c>
      <c r="L25" s="51">
        <f>SUM(K25)+1.1</f>
        <v>25.200000000000003</v>
      </c>
      <c r="M25" s="51">
        <f>SUM(L25)+1.1</f>
        <v>26.300000000000004</v>
      </c>
      <c r="N25" s="75">
        <f>SUM(M25)+1.1</f>
        <v>27.400000000000006</v>
      </c>
    </row>
    <row r="26" spans="1:14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23"/>
      <c r="N26" s="76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51">
        <f>SUM(L27)+1.3</f>
        <v>34.4</v>
      </c>
      <c r="N27" s="75">
        <f>SUM(M27)+1.3</f>
        <v>35.699999999999996</v>
      </c>
    </row>
    <row r="28" spans="1:14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23"/>
      <c r="N28" s="7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51"/>
      <c r="N29" s="75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51"/>
      <c r="N31" s="75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76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51"/>
      <c r="N33" s="75"/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51"/>
      <c r="N35" s="75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SUM(I37)-0.5</f>
        <v>6.5</v>
      </c>
      <c r="I37" s="51">
        <f>SUM(J37)-0.5</f>
        <v>7</v>
      </c>
      <c r="J37" s="39">
        <v>7.5</v>
      </c>
      <c r="K37" s="32">
        <f>SUM(J37)+0.5</f>
        <v>8</v>
      </c>
      <c r="L37" s="32">
        <f>SUM(K37)+0.5</f>
        <v>8.5</v>
      </c>
      <c r="M37" s="32">
        <f>SUM(L37)+0.5</f>
        <v>9</v>
      </c>
      <c r="N37" s="82">
        <f>SUM(M37)+0.5</f>
        <v>9.5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2"/>
      <c r="N38" s="82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SUM(I39)-0.3</f>
        <v>5.4</v>
      </c>
      <c r="I39" s="51">
        <f>SUM(J39)-0.3</f>
        <v>5.7</v>
      </c>
      <c r="J39" s="60">
        <v>6</v>
      </c>
      <c r="K39" s="51">
        <f>SUM(J39)+0.3</f>
        <v>6.3</v>
      </c>
      <c r="L39" s="51">
        <f>SUM(K39)+0.3</f>
        <v>6.6</v>
      </c>
      <c r="M39" s="51">
        <f>SUM(L39)+0.3</f>
        <v>6.8999999999999995</v>
      </c>
      <c r="N39" s="75">
        <f>SUM(M39)+0.3</f>
        <v>7.1999999999999993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3"/>
      <c r="N40" s="76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10</v>
      </c>
      <c r="I41" s="51">
        <f>SUM(J41)-0.5</f>
        <v>10.5</v>
      </c>
      <c r="J41" s="60">
        <v>11</v>
      </c>
      <c r="K41" s="51">
        <f>SUM(J41)+0.5</f>
        <v>11.5</v>
      </c>
      <c r="L41" s="51">
        <f>SUM(K41)+0.5</f>
        <v>12</v>
      </c>
      <c r="M41" s="51">
        <f>SUM(L41)+0.5</f>
        <v>12.5</v>
      </c>
      <c r="N41" s="75">
        <f>SUM(M41)+0.5</f>
        <v>13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3"/>
      <c r="N42" s="76"/>
    </row>
    <row r="43" spans="1:14" s="1" customFormat="1" ht="14.1" customHeight="1">
      <c r="A43" s="201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10</v>
      </c>
      <c r="I43" s="51">
        <f>SUM(J43)-0.5</f>
        <v>10.5</v>
      </c>
      <c r="J43" s="60">
        <v>11</v>
      </c>
      <c r="K43" s="51">
        <f>SUM(J43)+0.5</f>
        <v>11.5</v>
      </c>
      <c r="L43" s="51">
        <f>SUM(K43)+0.5</f>
        <v>12</v>
      </c>
      <c r="M43" s="51">
        <f>SUM(L43)+0.5</f>
        <v>12.5</v>
      </c>
      <c r="N43" s="75">
        <f>SUM(M43)+0.5</f>
        <v>13</v>
      </c>
    </row>
    <row r="44" spans="1:14" s="1" customFormat="1" ht="14.1" customHeight="1">
      <c r="A44" s="184"/>
      <c r="B44" s="52" t="s">
        <v>104</v>
      </c>
      <c r="C44" s="52"/>
      <c r="D44" s="36"/>
      <c r="E44" s="37"/>
      <c r="F44" s="37"/>
      <c r="G44" s="38"/>
      <c r="H44" s="23"/>
      <c r="I44" s="23"/>
      <c r="J44" s="21"/>
      <c r="K44" s="23"/>
      <c r="L44" s="23"/>
      <c r="M44" s="23"/>
      <c r="N44" s="76"/>
    </row>
    <row r="45" spans="1:14" s="1" customFormat="1" ht="14.1" customHeight="1">
      <c r="A45" s="182">
        <v>20</v>
      </c>
      <c r="B45" s="53"/>
      <c r="C45" s="54"/>
      <c r="D45" s="99"/>
      <c r="E45" s="99"/>
      <c r="F45" s="99"/>
      <c r="G45" s="99"/>
      <c r="H45" s="47"/>
      <c r="I45" s="47"/>
      <c r="J45" s="100"/>
      <c r="K45" s="47"/>
      <c r="L45" s="47"/>
      <c r="M45" s="47"/>
      <c r="N45" s="104"/>
    </row>
    <row r="46" spans="1:14" s="1" customFormat="1" ht="14.1" customHeight="1">
      <c r="A46" s="184"/>
      <c r="B46" s="34"/>
      <c r="C46" s="35"/>
      <c r="D46" s="36"/>
      <c r="E46" s="37"/>
      <c r="F46" s="37"/>
      <c r="G46" s="38"/>
      <c r="H46" s="23"/>
      <c r="I46" s="23"/>
      <c r="J46" s="21"/>
      <c r="K46" s="23"/>
      <c r="L46" s="23"/>
      <c r="M46" s="23"/>
      <c r="N46" s="76"/>
    </row>
    <row r="47" spans="1:14" s="1" customFormat="1" ht="14.1" customHeight="1">
      <c r="A47" s="182">
        <v>21</v>
      </c>
      <c r="B47" s="49"/>
      <c r="C47" s="50"/>
      <c r="D47" s="55"/>
      <c r="E47" s="55"/>
      <c r="F47" s="55"/>
      <c r="G47" s="55"/>
      <c r="H47" s="51"/>
      <c r="I47" s="51"/>
      <c r="J47" s="60"/>
      <c r="K47" s="51"/>
      <c r="L47" s="51"/>
      <c r="M47" s="51"/>
      <c r="N47" s="75"/>
    </row>
    <row r="48" spans="1:14" s="1" customFormat="1" ht="14.1" customHeight="1" thickBot="1">
      <c r="A48" s="183"/>
      <c r="B48" s="132"/>
      <c r="C48" s="132"/>
      <c r="D48" s="29"/>
      <c r="E48" s="30"/>
      <c r="F48" s="30"/>
      <c r="G48" s="31"/>
      <c r="H48" s="48"/>
      <c r="I48" s="48"/>
      <c r="J48" s="110"/>
      <c r="K48" s="48"/>
      <c r="L48" s="48"/>
      <c r="M48" s="48"/>
      <c r="N48" s="109"/>
    </row>
    <row r="49" spans="1:13" s="1" customFormat="1" ht="14.1" customHeight="1"/>
    <row r="50" spans="1:13" s="1" customFormat="1" ht="14.1" customHeight="1"/>
    <row r="51" spans="1:13" s="1" customFormat="1" ht="14.1" customHeight="1"/>
    <row r="52" spans="1:13" s="1" customFormat="1" ht="14.1" customHeight="1"/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</sheetData>
  <mergeCells count="279"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45:N46"/>
    <mergeCell ref="N47:N48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62E6-5245-4197-ADB3-D9B462C1ACEF}">
  <sheetPr>
    <tabColor theme="5"/>
    <pageSetUpPr fitToPage="1"/>
  </sheetPr>
  <dimension ref="A1:Q61"/>
  <sheetViews>
    <sheetView topLeftCell="A19" zoomScale="110" zoomScaleNormal="110" workbookViewId="0">
      <selection activeCell="O8" sqref="O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2">
        <f>SUM(L3)+3</f>
        <v>60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5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225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5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225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5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225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25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63.3</v>
      </c>
      <c r="I11" s="51">
        <f>SUM(J11)-3.5</f>
        <v>66.8</v>
      </c>
      <c r="J11" s="100">
        <v>70.3</v>
      </c>
      <c r="K11" s="47">
        <f>SUM(J11)+3.5</f>
        <v>73.8</v>
      </c>
      <c r="L11" s="47">
        <f t="shared" ref="L11:M11" si="0">SUM(K11)+3.5</f>
        <v>77.3</v>
      </c>
      <c r="M11" s="225">
        <f t="shared" si="0"/>
        <v>80.8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5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83.8</v>
      </c>
      <c r="I13" s="51">
        <f>SUM(J13)-4</f>
        <v>87.8</v>
      </c>
      <c r="J13" s="60">
        <v>91.8</v>
      </c>
      <c r="K13" s="51">
        <f>SUM(J13)+4</f>
        <v>95.8</v>
      </c>
      <c r="L13" s="51">
        <f>SUM(K13)+4</f>
        <v>99.8</v>
      </c>
      <c r="M13" s="61">
        <f>SUM(L13)+4</f>
        <v>103.8</v>
      </c>
    </row>
    <row r="14" spans="1:14" s="1" customFormat="1" ht="14.1" customHeight="1">
      <c r="A14" s="184"/>
      <c r="B14" s="77" t="s">
        <v>51</v>
      </c>
      <c r="C14" s="78"/>
      <c r="D14" s="79" t="s">
        <v>498</v>
      </c>
      <c r="E14" s="80"/>
      <c r="F14" s="80"/>
      <c r="G14" s="81"/>
      <c r="H14" s="23"/>
      <c r="I14" s="23"/>
      <c r="J14" s="21"/>
      <c r="K14" s="23"/>
      <c r="L14" s="23"/>
      <c r="M14" s="25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12.700000000000001</v>
      </c>
      <c r="I15" s="51">
        <f>SUM(J15)-0.7</f>
        <v>13.4</v>
      </c>
      <c r="J15" s="60">
        <v>14.1</v>
      </c>
      <c r="K15" s="51">
        <f>SUM(J15)+1.2</f>
        <v>15.299999999999999</v>
      </c>
      <c r="L15" s="51">
        <f>SUM(K15)+0.7</f>
        <v>15.999999999999998</v>
      </c>
      <c r="M15" s="61">
        <f>SUM(L15)+0.7</f>
        <v>16.7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25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61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25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61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5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52.3</v>
      </c>
      <c r="I21" s="51">
        <f>SUM(J21)-7</f>
        <v>59.3</v>
      </c>
      <c r="J21" s="60">
        <v>66.3</v>
      </c>
      <c r="K21" s="51">
        <f>SUM(J21)+6</f>
        <v>72.3</v>
      </c>
      <c r="L21" s="51">
        <f>SUM(K21)+6</f>
        <v>78.3</v>
      </c>
      <c r="M21" s="61">
        <f>SUM(L21)+6</f>
        <v>84.3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5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32.400000000000006</v>
      </c>
      <c r="I23" s="51">
        <f>SUM(J23)-1.8</f>
        <v>34.200000000000003</v>
      </c>
      <c r="J23" s="60">
        <v>36</v>
      </c>
      <c r="K23" s="51">
        <f>SUM(J23)+1.8</f>
        <v>37.799999999999997</v>
      </c>
      <c r="L23" s="51">
        <f t="shared" ref="L23:M23" si="1">SUM(K23)+1.8</f>
        <v>39.599999999999994</v>
      </c>
      <c r="M23" s="61">
        <f t="shared" si="1"/>
        <v>41.399999999999991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5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21.699999999999996</v>
      </c>
      <c r="I25" s="51">
        <f>SUM(J25)-1.1</f>
        <v>22.799999999999997</v>
      </c>
      <c r="J25" s="60">
        <v>23.9</v>
      </c>
      <c r="K25" s="51">
        <f>SUM(J25)+1.6</f>
        <v>25.5</v>
      </c>
      <c r="L25" s="51">
        <f>SUM(K25)+1.1</f>
        <v>26.6</v>
      </c>
      <c r="M25" s="61">
        <f>SUM(L25)+1.1</f>
        <v>27.700000000000003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25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27.7</v>
      </c>
      <c r="I27" s="51">
        <f>SUM(J27)-1.3</f>
        <v>29</v>
      </c>
      <c r="J27" s="60">
        <v>30.3</v>
      </c>
      <c r="K27" s="51">
        <f>SUM(J27)+1.8</f>
        <v>32.1</v>
      </c>
      <c r="L27" s="51">
        <f>SUM(K27)+1.3</f>
        <v>33.4</v>
      </c>
      <c r="M27" s="61">
        <f>SUM(L27)+1.3</f>
        <v>34.699999999999996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25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SUM(I29)-2.9</f>
        <v>50</v>
      </c>
      <c r="I29" s="51">
        <f>SUM(J29)-2.9</f>
        <v>52.9</v>
      </c>
      <c r="J29" s="60">
        <v>55.8</v>
      </c>
      <c r="K29" s="51">
        <f>SUM(J29)+2.7</f>
        <v>58.5</v>
      </c>
      <c r="L29" s="51">
        <f>SUM(K29)+2.8</f>
        <v>61.3</v>
      </c>
      <c r="M29" s="61">
        <f>SUM(L29)+2.8</f>
        <v>64.099999999999994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5"/>
    </row>
    <row r="31" spans="1:13" s="1" customFormat="1" ht="14.1" customHeight="1">
      <c r="A31" s="182">
        <v>15</v>
      </c>
      <c r="B31" s="49" t="s">
        <v>20</v>
      </c>
      <c r="C31" s="50"/>
      <c r="D31" s="57" t="s">
        <v>486</v>
      </c>
      <c r="E31" s="58"/>
      <c r="F31" s="58"/>
      <c r="G31" s="59"/>
      <c r="H31" s="51">
        <f>SUM(I31)-6</f>
        <v>31.1</v>
      </c>
      <c r="I31" s="51">
        <f>SUM(J31)-6</f>
        <v>37.1</v>
      </c>
      <c r="J31" s="60">
        <v>43.1</v>
      </c>
      <c r="K31" s="51">
        <f>SUM(J31)+4.5</f>
        <v>47.6</v>
      </c>
      <c r="L31" s="51">
        <f>SUM(K31)+5</f>
        <v>52.6</v>
      </c>
      <c r="M31" s="61">
        <f>SUM(L31)+5</f>
        <v>57.6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5"/>
    </row>
    <row r="33" spans="1:17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SUM(I33)-2.2</f>
        <v>44.599999999999994</v>
      </c>
      <c r="I33" s="51">
        <f>SUM(J33)-2.2</f>
        <v>46.8</v>
      </c>
      <c r="J33" s="60">
        <v>49</v>
      </c>
      <c r="K33" s="51">
        <f>SUM(J33)+2.2</f>
        <v>51.2</v>
      </c>
      <c r="L33" s="51">
        <f t="shared" ref="L33:M33" si="2">SUM(K33)+2.2</f>
        <v>53.400000000000006</v>
      </c>
      <c r="M33" s="61">
        <f t="shared" si="2"/>
        <v>55.600000000000009</v>
      </c>
    </row>
    <row r="34" spans="1:17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5"/>
    </row>
    <row r="35" spans="1:17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SUM(I35)-3.1</f>
        <v>32.4</v>
      </c>
      <c r="I35" s="51">
        <f>SUM(J35)-3.1</f>
        <v>35.5</v>
      </c>
      <c r="J35" s="60">
        <v>38.6</v>
      </c>
      <c r="K35" s="51">
        <f>SUM(J35)+3.1</f>
        <v>41.7</v>
      </c>
      <c r="L35" s="51">
        <f>SUM(K35)+2.8</f>
        <v>44.5</v>
      </c>
      <c r="M35" s="61">
        <f>SUM(L35)+2.8</f>
        <v>47.3</v>
      </c>
    </row>
    <row r="36" spans="1:17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25"/>
    </row>
    <row r="37" spans="1:17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4.1999999999999993</v>
      </c>
      <c r="I37" s="51">
        <f>SUM(J37)-0.2</f>
        <v>4.3999999999999995</v>
      </c>
      <c r="J37" s="39">
        <v>4.5999999999999996</v>
      </c>
      <c r="K37" s="32">
        <f>SUM(J37)+0.2</f>
        <v>4.8</v>
      </c>
      <c r="L37" s="32">
        <f t="shared" ref="L37:M37" si="3">SUM(K37)+0.2</f>
        <v>5</v>
      </c>
      <c r="M37" s="33">
        <f t="shared" si="3"/>
        <v>5.2</v>
      </c>
    </row>
    <row r="38" spans="1:17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3"/>
    </row>
    <row r="39" spans="1:17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9.6000000000000014</v>
      </c>
      <c r="I39" s="51">
        <f>SUM(J39)-0.6</f>
        <v>10.200000000000001</v>
      </c>
      <c r="J39" s="60">
        <v>10.8</v>
      </c>
      <c r="K39" s="51">
        <f>SUM(J39)+0.6</f>
        <v>11.4</v>
      </c>
      <c r="L39" s="51">
        <f t="shared" ref="L39:M39" si="4">SUM(K39)+0.6</f>
        <v>12</v>
      </c>
      <c r="M39" s="61">
        <f t="shared" si="4"/>
        <v>12.6</v>
      </c>
    </row>
    <row r="40" spans="1:17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5"/>
      <c r="Q40" s="1" t="e">
        <f>SUM(#REF!+#REF!+#REF!+#REF!+#REF!+#REF!+#REF!+#REF!+#REF!+#REF!+#REF!+#REF!)/6/91.44*1.08</f>
        <v>#REF!</v>
      </c>
    </row>
    <row r="41" spans="1:17" s="1" customFormat="1" ht="14.1" customHeight="1">
      <c r="A41" s="182">
        <v>20</v>
      </c>
      <c r="B41" s="49" t="s">
        <v>499</v>
      </c>
      <c r="C41" s="50"/>
      <c r="D41" s="57" t="s">
        <v>500</v>
      </c>
      <c r="E41" s="58"/>
      <c r="F41" s="58"/>
      <c r="G41" s="59"/>
      <c r="H41" s="51">
        <f>SUM(I41)</f>
        <v>16</v>
      </c>
      <c r="I41" s="51">
        <f>SUM(J41)</f>
        <v>16</v>
      </c>
      <c r="J41" s="60">
        <v>16</v>
      </c>
      <c r="K41" s="51">
        <f>SUM(J41)+2</f>
        <v>18</v>
      </c>
      <c r="L41" s="51">
        <f t="shared" ref="L41:M41" si="5">SUM(K41)</f>
        <v>18</v>
      </c>
      <c r="M41" s="61">
        <f t="shared" si="5"/>
        <v>18</v>
      </c>
    </row>
    <row r="42" spans="1:17" s="1" customFormat="1" ht="14.1" customHeight="1">
      <c r="A42" s="184"/>
      <c r="B42" s="144" t="s">
        <v>501</v>
      </c>
      <c r="C42" s="145"/>
      <c r="D42" s="146" t="s">
        <v>502</v>
      </c>
      <c r="E42" s="147"/>
      <c r="F42" s="147"/>
      <c r="G42" s="148"/>
      <c r="H42" s="47"/>
      <c r="I42" s="47"/>
      <c r="J42" s="100"/>
      <c r="K42" s="47"/>
      <c r="L42" s="47"/>
      <c r="M42" s="225"/>
    </row>
    <row r="43" spans="1:17" s="1" customFormat="1" ht="14.1" customHeight="1">
      <c r="A43" s="182">
        <v>21</v>
      </c>
      <c r="B43" s="49"/>
      <c r="C43" s="50"/>
      <c r="D43" s="57"/>
      <c r="E43" s="58"/>
      <c r="F43" s="58"/>
      <c r="G43" s="59"/>
      <c r="H43" s="51"/>
      <c r="I43" s="51"/>
      <c r="J43" s="60"/>
      <c r="K43" s="51"/>
      <c r="L43" s="51"/>
      <c r="M43" s="61"/>
    </row>
    <row r="44" spans="1:17" s="1" customFormat="1" ht="13.5" customHeight="1" thickBot="1">
      <c r="A44" s="183"/>
      <c r="B44" s="27"/>
      <c r="C44" s="28"/>
      <c r="D44" s="199"/>
      <c r="E44" s="180"/>
      <c r="F44" s="180"/>
      <c r="G44" s="181"/>
      <c r="H44" s="48"/>
      <c r="I44" s="48"/>
      <c r="J44" s="110"/>
      <c r="K44" s="48"/>
      <c r="L44" s="48"/>
      <c r="M44" s="224"/>
    </row>
    <row r="45" spans="1:17" s="1" customFormat="1" ht="13.5" customHeight="1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7" s="1" customFormat="1" ht="13.5" customHeight="1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7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7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>
      <c r="N55" s="1"/>
    </row>
    <row r="56" spans="1:14" ht="13.5" customHeight="1">
      <c r="N56" s="1"/>
    </row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8C7E-3FB3-42E5-A4DD-189D46CBA03F}">
  <sheetPr>
    <tabColor theme="5"/>
    <pageSetUpPr fitToPage="1"/>
  </sheetPr>
  <dimension ref="A1:O52"/>
  <sheetViews>
    <sheetView topLeftCell="A16" zoomScale="110" zoomScaleNormal="110" workbookViewId="0">
      <selection activeCell="D16" sqref="D16:G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457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104">
        <f>SUM(L9)+2.2</f>
        <v>47.600000000000009</v>
      </c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76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63</v>
      </c>
      <c r="I11" s="51">
        <f>SUM(J11)-4.5</f>
        <v>67.5</v>
      </c>
      <c r="J11" s="100">
        <v>72</v>
      </c>
      <c r="K11" s="47">
        <f>SUM(J11)+4.5</f>
        <v>76.5</v>
      </c>
      <c r="L11" s="47">
        <f>SUM(K11)+4.5</f>
        <v>81</v>
      </c>
      <c r="M11" s="104">
        <f>SUM(L11)+4.5</f>
        <v>85.5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76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72</v>
      </c>
      <c r="I13" s="51">
        <f>SUM(J13)-5</f>
        <v>77</v>
      </c>
      <c r="J13" s="60">
        <v>82</v>
      </c>
      <c r="K13" s="51">
        <f>SUM(J13)+5</f>
        <v>87</v>
      </c>
      <c r="L13" s="51">
        <f>SUM(K13)+5</f>
        <v>92</v>
      </c>
      <c r="M13" s="75">
        <f>SUM(L13)+5</f>
        <v>97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76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9.1000000000000014</v>
      </c>
      <c r="I15" s="51">
        <f>SUM(J15)-0.7</f>
        <v>9.8000000000000007</v>
      </c>
      <c r="J15" s="60">
        <v>10.5</v>
      </c>
      <c r="K15" s="51">
        <f>SUM(J15)+0.7</f>
        <v>11.2</v>
      </c>
      <c r="L15" s="51">
        <f>SUM(K15)+0.7</f>
        <v>11.899999999999999</v>
      </c>
      <c r="M15" s="185">
        <f>SUM(L15)+0.7</f>
        <v>12.599999999999998</v>
      </c>
    </row>
    <row r="16" spans="1:15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52"/>
      <c r="I16" s="23"/>
      <c r="J16" s="21"/>
      <c r="K16" s="23"/>
      <c r="L16" s="23"/>
      <c r="M16" s="18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>
        <f>SUM(I17)-0.7</f>
        <v>9.1000000000000014</v>
      </c>
      <c r="I17" s="51">
        <f>SUM(J17)-0.7</f>
        <v>9.8000000000000007</v>
      </c>
      <c r="J17" s="60">
        <v>10.5</v>
      </c>
      <c r="K17" s="51">
        <f>SUM(J17)+0.7</f>
        <v>11.2</v>
      </c>
      <c r="L17" s="51">
        <f>SUM(K17)+0.7</f>
        <v>11.899999999999999</v>
      </c>
      <c r="M17" s="185">
        <f>SUM(L17)+0.7</f>
        <v>12.599999999999998</v>
      </c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>
        <f>SUM(I19)-0</f>
        <v>2.8</v>
      </c>
      <c r="I19" s="51">
        <f>SUM(J19)-0</f>
        <v>2.8</v>
      </c>
      <c r="J19" s="60">
        <v>2.8</v>
      </c>
      <c r="K19" s="51">
        <f>SUM(J19)+0.5</f>
        <v>3.3</v>
      </c>
      <c r="L19" s="51">
        <f>SUM(K19)+0</f>
        <v>3.3</v>
      </c>
      <c r="M19" s="75">
        <f>SUM(L19)+0</f>
        <v>3.3</v>
      </c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51</v>
      </c>
      <c r="I21" s="51">
        <f>SUM(J21)-7</f>
        <v>58</v>
      </c>
      <c r="J21" s="60">
        <v>65</v>
      </c>
      <c r="K21" s="51">
        <f>SUM(J21)+6</f>
        <v>71</v>
      </c>
      <c r="L21" s="51">
        <f>SUM(K21)+6</f>
        <v>77</v>
      </c>
      <c r="M21" s="75">
        <f>SUM(L21)+6</f>
        <v>83</v>
      </c>
    </row>
    <row r="22" spans="1:13" s="1" customFormat="1" ht="14.1" customHeight="1">
      <c r="A22" s="184"/>
      <c r="B22" s="77" t="s">
        <v>458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SUM(I23)-2.2</f>
        <v>37.599999999999994</v>
      </c>
      <c r="I23" s="51">
        <f>SUM(J23)-2.2</f>
        <v>39.799999999999997</v>
      </c>
      <c r="J23" s="60">
        <v>42</v>
      </c>
      <c r="K23" s="51">
        <f>SUM(J23)+2.2</f>
        <v>44.2</v>
      </c>
      <c r="L23" s="51">
        <f>SUM(K23)+2.2</f>
        <v>46.400000000000006</v>
      </c>
      <c r="M23" s="75">
        <f>SUM(L23)+2.2</f>
        <v>48.600000000000009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20.299999999999997</v>
      </c>
      <c r="I25" s="51">
        <f>SUM(J25)-1.1</f>
        <v>21.4</v>
      </c>
      <c r="J25" s="60">
        <v>22.5</v>
      </c>
      <c r="K25" s="51">
        <f>SUM(J25)+1.6</f>
        <v>24.1</v>
      </c>
      <c r="L25" s="51">
        <f>SUM(K25)+1.1</f>
        <v>25.200000000000003</v>
      </c>
      <c r="M25" s="185">
        <f>SUM(L25)+1.1</f>
        <v>26.300000000000004</v>
      </c>
    </row>
    <row r="26" spans="1:13" s="1" customFormat="1" ht="14.1" customHeight="1">
      <c r="A26" s="184"/>
      <c r="B26" s="77" t="s">
        <v>761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27.4</v>
      </c>
      <c r="I27" s="51">
        <f>SUM(J27)-1.3</f>
        <v>28.7</v>
      </c>
      <c r="J27" s="60">
        <v>30</v>
      </c>
      <c r="K27" s="51">
        <f>SUM(J27)+1.8</f>
        <v>31.8</v>
      </c>
      <c r="L27" s="51">
        <f>SUM(K27)+1.3</f>
        <v>33.1</v>
      </c>
      <c r="M27" s="185">
        <f>SUM(L27)+1.3</f>
        <v>34.4</v>
      </c>
    </row>
    <row r="28" spans="1:13" s="1" customFormat="1" ht="14.1" customHeight="1">
      <c r="A28" s="184"/>
      <c r="B28" s="77" t="s">
        <v>762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/>
      <c r="I29" s="51"/>
      <c r="J29" s="60"/>
      <c r="K29" s="51"/>
      <c r="L29" s="51"/>
      <c r="M29" s="75"/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/>
      <c r="I31" s="51"/>
      <c r="J31" s="60"/>
      <c r="K31" s="51"/>
      <c r="L31" s="51"/>
      <c r="M31" s="75"/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6"/>
      <c r="I33" s="51"/>
      <c r="J33" s="60"/>
      <c r="K33" s="51"/>
      <c r="L33" s="51"/>
      <c r="M33" s="185"/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52"/>
      <c r="I34" s="23"/>
      <c r="J34" s="21"/>
      <c r="K34" s="23"/>
      <c r="L34" s="23"/>
      <c r="M34" s="18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/>
      <c r="I35" s="51"/>
      <c r="J35" s="60"/>
      <c r="K35" s="51"/>
      <c r="L35" s="51"/>
      <c r="M35" s="75"/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 t="s">
        <v>763</v>
      </c>
      <c r="C37" s="50"/>
      <c r="D37" s="57"/>
      <c r="E37" s="58"/>
      <c r="F37" s="58"/>
      <c r="G37" s="59"/>
      <c r="H37" s="51">
        <f>SUM(I37)-0.5</f>
        <v>11</v>
      </c>
      <c r="I37" s="51">
        <f>SUM(J37)-0.5</f>
        <v>11.5</v>
      </c>
      <c r="J37" s="39">
        <v>12</v>
      </c>
      <c r="K37" s="32">
        <f>SUM(J37)+0.5</f>
        <v>12.5</v>
      </c>
      <c r="L37" s="32">
        <f>SUM(K37)+0.5</f>
        <v>13</v>
      </c>
      <c r="M37" s="131">
        <f>SUM(L37)+0.5</f>
        <v>13.5</v>
      </c>
    </row>
    <row r="38" spans="1:13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23"/>
      <c r="I38" s="23"/>
      <c r="J38" s="39"/>
      <c r="K38" s="32"/>
      <c r="L38" s="32"/>
      <c r="M38" s="131"/>
    </row>
    <row r="39" spans="1:13" s="1" customFormat="1" ht="14.1" customHeight="1">
      <c r="A39" s="182">
        <v>19</v>
      </c>
      <c r="B39" s="49" t="s">
        <v>107</v>
      </c>
      <c r="C39" s="50"/>
      <c r="D39" s="55"/>
      <c r="E39" s="55"/>
      <c r="F39" s="55"/>
      <c r="G39" s="55"/>
      <c r="H39" s="51">
        <f>SUM(I39)-0.5</f>
        <v>11</v>
      </c>
      <c r="I39" s="51">
        <f>SUM(J39)-0.5</f>
        <v>11.5</v>
      </c>
      <c r="J39" s="60">
        <v>12</v>
      </c>
      <c r="K39" s="51">
        <f>SUM(J39)+0.5</f>
        <v>12.5</v>
      </c>
      <c r="L39" s="51">
        <f>SUM(K39)+0.5</f>
        <v>13</v>
      </c>
      <c r="M39" s="75">
        <f>SUM(L39)+0.5</f>
        <v>13.5</v>
      </c>
    </row>
    <row r="40" spans="1:13" s="1" customFormat="1" ht="14.1" customHeight="1">
      <c r="A40" s="184"/>
      <c r="B40" s="34" t="s">
        <v>106</v>
      </c>
      <c r="C40" s="35"/>
      <c r="D40" s="36"/>
      <c r="E40" s="37"/>
      <c r="F40" s="37"/>
      <c r="G40" s="38"/>
      <c r="H40" s="47"/>
      <c r="I40" s="47"/>
      <c r="J40" s="100"/>
      <c r="K40" s="47"/>
      <c r="L40" s="47"/>
      <c r="M40" s="104"/>
    </row>
    <row r="41" spans="1:13" s="1" customFormat="1" ht="14.1" customHeight="1">
      <c r="A41" s="182">
        <v>20</v>
      </c>
      <c r="B41" s="49" t="s">
        <v>105</v>
      </c>
      <c r="C41" s="50"/>
      <c r="D41" s="55"/>
      <c r="E41" s="55"/>
      <c r="F41" s="55"/>
      <c r="G41" s="55"/>
      <c r="H41" s="51">
        <f>SUM(I41)-0.5</f>
        <v>10</v>
      </c>
      <c r="I41" s="51">
        <f>SUM(J41)-0.5</f>
        <v>10.5</v>
      </c>
      <c r="J41" s="60">
        <v>11</v>
      </c>
      <c r="K41" s="51">
        <f>SUM(J41)+0.5</f>
        <v>11.5</v>
      </c>
      <c r="L41" s="51">
        <f>SUM(K41)+0.5</f>
        <v>12</v>
      </c>
      <c r="M41" s="75">
        <f>SUM(L41)+0.5</f>
        <v>12.5</v>
      </c>
    </row>
    <row r="42" spans="1:13" s="1" customFormat="1" ht="14.1" customHeight="1">
      <c r="A42" s="182"/>
      <c r="B42" s="105" t="s">
        <v>104</v>
      </c>
      <c r="C42" s="105"/>
      <c r="D42" s="67"/>
      <c r="E42" s="68"/>
      <c r="F42" s="68"/>
      <c r="G42" s="69"/>
      <c r="H42" s="47"/>
      <c r="I42" s="47"/>
      <c r="J42" s="100"/>
      <c r="K42" s="47"/>
      <c r="L42" s="47"/>
      <c r="M42" s="104"/>
    </row>
    <row r="43" spans="1:13" s="1" customFormat="1" ht="14.1" customHeight="1">
      <c r="A43" s="201">
        <v>21</v>
      </c>
      <c r="B43" s="49"/>
      <c r="C43" s="50"/>
      <c r="D43" s="55"/>
      <c r="E43" s="55"/>
      <c r="F43" s="55"/>
      <c r="G43" s="55"/>
      <c r="H43" s="51"/>
      <c r="I43" s="51"/>
      <c r="J43" s="60"/>
      <c r="K43" s="51"/>
      <c r="L43" s="51"/>
      <c r="M43" s="75"/>
    </row>
    <row r="44" spans="1:13" s="1" customFormat="1" ht="14.1" customHeight="1" thickBot="1">
      <c r="A44" s="183"/>
      <c r="B44" s="132"/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109"/>
    </row>
    <row r="45" spans="1:13" s="1" customFormat="1" ht="14.1" customHeight="1"/>
    <row r="46" spans="1:13" s="1" customFormat="1" ht="14.1" customHeight="1"/>
    <row r="47" spans="1:13" s="1" customFormat="1" ht="14.1" customHeight="1"/>
    <row r="48" spans="1:13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9AAF-FE72-4510-9E0D-C6F553006F86}">
  <sheetPr>
    <tabColor theme="5"/>
    <pageSetUpPr fitToPage="1"/>
  </sheetPr>
  <dimension ref="A1:N61"/>
  <sheetViews>
    <sheetView topLeftCell="A16" zoomScale="110" zoomScaleNormal="110" workbookViewId="0">
      <selection activeCell="B37" sqref="B37:M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3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104"/>
    </row>
    <row r="10" spans="1:13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61.3</v>
      </c>
      <c r="I11" s="51">
        <f>SUM(J11)-3.5</f>
        <v>64.8</v>
      </c>
      <c r="J11" s="100">
        <v>68.3</v>
      </c>
      <c r="K11" s="47">
        <f>SUM(J11)+3.5</f>
        <v>71.8</v>
      </c>
      <c r="L11" s="47">
        <f>SUM(K11)+3.5</f>
        <v>75.3</v>
      </c>
      <c r="M11" s="104">
        <f>SUM(L11)+3.5</f>
        <v>78.8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3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67.5</v>
      </c>
      <c r="I13" s="51">
        <f>SUM(J13)-4</f>
        <v>71.5</v>
      </c>
      <c r="J13" s="100">
        <v>75.5</v>
      </c>
      <c r="K13" s="47">
        <f>SUM(J13)+4</f>
        <v>79.5</v>
      </c>
      <c r="L13" s="47">
        <f>SUM(K13)+4</f>
        <v>83.5</v>
      </c>
      <c r="M13" s="104">
        <f>SUM(L13)+4</f>
        <v>87.5</v>
      </c>
    </row>
    <row r="14" spans="1:13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76"/>
    </row>
    <row r="15" spans="1:13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12.600000000000001</v>
      </c>
      <c r="I15" s="51">
        <f>SUM(J15)-0.7</f>
        <v>13.3</v>
      </c>
      <c r="J15" s="60">
        <v>14</v>
      </c>
      <c r="K15" s="51">
        <f>SUM(J15)+1.2</f>
        <v>15.2</v>
      </c>
      <c r="L15" s="51">
        <f>SUM(K15)+0.7</f>
        <v>15.899999999999999</v>
      </c>
      <c r="M15" s="75">
        <f>SUM(L15)+0.7</f>
        <v>16.599999999999998</v>
      </c>
    </row>
    <row r="16" spans="1:13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18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50</v>
      </c>
      <c r="I21" s="51">
        <f>SUM(J21)-7</f>
        <v>57</v>
      </c>
      <c r="J21" s="60">
        <v>64</v>
      </c>
      <c r="K21" s="51">
        <f>SUM(J21)+6</f>
        <v>70</v>
      </c>
      <c r="L21" s="51">
        <f>SUM(K21)+6</f>
        <v>76</v>
      </c>
      <c r="M21" s="75">
        <f>SUM(L21)+6</f>
        <v>82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39.400000000000006</v>
      </c>
      <c r="I23" s="51">
        <f>SUM(J23)-1.8</f>
        <v>41.2</v>
      </c>
      <c r="J23" s="60">
        <v>43</v>
      </c>
      <c r="K23" s="51">
        <f>SUM(J23)+1.8</f>
        <v>44.8</v>
      </c>
      <c r="L23" s="51">
        <f>SUM(K23)+1.8</f>
        <v>46.599999999999994</v>
      </c>
      <c r="M23" s="75">
        <f>SUM(L23)+1.8</f>
        <v>48.399999999999991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21.699999999999996</v>
      </c>
      <c r="I25" s="51">
        <f>SUM(J25)-1.1</f>
        <v>22.799999999999997</v>
      </c>
      <c r="J25" s="60">
        <v>23.9</v>
      </c>
      <c r="K25" s="51">
        <f>SUM(J25)+1.6</f>
        <v>25.5</v>
      </c>
      <c r="L25" s="51">
        <f>SUM(K25)+1.1</f>
        <v>26.6</v>
      </c>
      <c r="M25" s="185">
        <f>SUM(L25)+1.1</f>
        <v>27.700000000000003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28.9</v>
      </c>
      <c r="I27" s="51">
        <f>SUM(J27)-1.3</f>
        <v>30.2</v>
      </c>
      <c r="J27" s="60">
        <v>31.5</v>
      </c>
      <c r="K27" s="51">
        <f>SUM(J27)+1.8</f>
        <v>33.299999999999997</v>
      </c>
      <c r="L27" s="51">
        <f>SUM(K27)+1.3</f>
        <v>34.599999999999994</v>
      </c>
      <c r="M27" s="185">
        <f>SUM(L27)+1.4</f>
        <v>35.999999999999993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SUM(I29)-2.6</f>
        <v>44.5</v>
      </c>
      <c r="I29" s="51">
        <f>SUM(J29)-2.6</f>
        <v>47.1</v>
      </c>
      <c r="J29" s="60">
        <v>49.7</v>
      </c>
      <c r="K29" s="51">
        <f>SUM(J29)+2.5</f>
        <v>52.2</v>
      </c>
      <c r="L29" s="51">
        <f>SUM(K29)+2.6</f>
        <v>54.800000000000004</v>
      </c>
      <c r="M29" s="75">
        <f>SUM(L29)+2.6</f>
        <v>57.400000000000006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29.799999999999997</v>
      </c>
      <c r="I31" s="51">
        <f>SUM(J31)-6</f>
        <v>35.799999999999997</v>
      </c>
      <c r="J31" s="60">
        <v>41.8</v>
      </c>
      <c r="K31" s="51">
        <f>SUM(J31)+4.5</f>
        <v>46.3</v>
      </c>
      <c r="L31" s="51">
        <f>SUM(K31)+5</f>
        <v>51.3</v>
      </c>
      <c r="M31" s="75">
        <f>SUM(L31)+5</f>
        <v>56.3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SUM(I33)-1.9</f>
        <v>41.6</v>
      </c>
      <c r="I33" s="51">
        <f>SUM(J33)-1.9</f>
        <v>43.5</v>
      </c>
      <c r="J33" s="60">
        <v>45.4</v>
      </c>
      <c r="K33" s="51">
        <f>SUM(J33)+1.9</f>
        <v>47.3</v>
      </c>
      <c r="L33" s="51">
        <f>SUM(K33)+1.9</f>
        <v>49.199999999999996</v>
      </c>
      <c r="M33" s="75">
        <f>SUM(L33)+1.9</f>
        <v>51.099999999999994</v>
      </c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7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SUM(I35)-3.6</f>
        <v>33.199999999999996</v>
      </c>
      <c r="I35" s="51">
        <f>SUM(J35)-3.6</f>
        <v>36.799999999999997</v>
      </c>
      <c r="J35" s="60">
        <v>40.4</v>
      </c>
      <c r="K35" s="51">
        <f>SUM(J35)+3.4</f>
        <v>43.8</v>
      </c>
      <c r="L35" s="51">
        <f>SUM(K35)+3.1</f>
        <v>46.9</v>
      </c>
      <c r="M35" s="75">
        <f>SUM(L35)+3.1</f>
        <v>50</v>
      </c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4.0999999999999996</v>
      </c>
      <c r="I37" s="51">
        <f>SUM(J37)-0.2</f>
        <v>4.3</v>
      </c>
      <c r="J37" s="39">
        <v>4.5</v>
      </c>
      <c r="K37" s="32">
        <f>SUM(J37)+0.2</f>
        <v>4.7</v>
      </c>
      <c r="L37" s="32">
        <f>SUM(K37)+0.2</f>
        <v>4.9000000000000004</v>
      </c>
      <c r="M37" s="131">
        <f>SUM(L37)+0.2</f>
        <v>5.1000000000000005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131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9.6000000000000014</v>
      </c>
      <c r="I39" s="51">
        <f>SUM(J39)-0.6</f>
        <v>10.200000000000001</v>
      </c>
      <c r="J39" s="60">
        <v>10.8</v>
      </c>
      <c r="K39" s="51">
        <f>SUM(J39)+0.6</f>
        <v>11.4</v>
      </c>
      <c r="L39" s="51">
        <f>SUM(K39)+0.6</f>
        <v>12</v>
      </c>
      <c r="M39" s="75">
        <f>SUM(L39)+0.6</f>
        <v>12.6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76"/>
    </row>
    <row r="41" spans="1:13" s="1" customFormat="1" ht="14.1" customHeight="1">
      <c r="A41" s="182">
        <v>20</v>
      </c>
      <c r="B41" s="49" t="s">
        <v>181</v>
      </c>
      <c r="C41" s="50"/>
      <c r="D41" s="57"/>
      <c r="E41" s="58"/>
      <c r="F41" s="58"/>
      <c r="G41" s="59"/>
      <c r="H41" s="51">
        <f>SUM(I41)</f>
        <v>35</v>
      </c>
      <c r="I41" s="51">
        <f>SUM(J41)</f>
        <v>35</v>
      </c>
      <c r="J41" s="60">
        <v>35</v>
      </c>
      <c r="K41" s="51">
        <f>SUM(J41)</f>
        <v>35</v>
      </c>
      <c r="L41" s="51">
        <f>SUM(K41)</f>
        <v>35</v>
      </c>
      <c r="M41" s="75">
        <f>SUM(L41)</f>
        <v>35</v>
      </c>
    </row>
    <row r="42" spans="1:13" s="1" customFormat="1" ht="14.1" customHeight="1">
      <c r="A42" s="184"/>
      <c r="B42" s="77" t="s">
        <v>748</v>
      </c>
      <c r="C42" s="78"/>
      <c r="D42" s="79" t="s">
        <v>749</v>
      </c>
      <c r="E42" s="80"/>
      <c r="F42" s="80"/>
      <c r="G42" s="81"/>
      <c r="H42" s="23"/>
      <c r="I42" s="23"/>
      <c r="J42" s="21"/>
      <c r="K42" s="23"/>
      <c r="L42" s="23"/>
      <c r="M42" s="76"/>
    </row>
    <row r="43" spans="1:13" s="1" customFormat="1" ht="14.1" customHeight="1">
      <c r="A43" s="182">
        <v>21</v>
      </c>
      <c r="B43" s="49"/>
      <c r="C43" s="50"/>
      <c r="D43" s="57"/>
      <c r="E43" s="58"/>
      <c r="F43" s="58"/>
      <c r="G43" s="59"/>
      <c r="H43" s="51"/>
      <c r="I43" s="51"/>
      <c r="J43" s="60"/>
      <c r="K43" s="51"/>
      <c r="L43" s="51"/>
      <c r="M43" s="75"/>
    </row>
    <row r="44" spans="1:13" s="1" customFormat="1" ht="13.5" customHeight="1">
      <c r="A44" s="184"/>
      <c r="B44" s="144"/>
      <c r="C44" s="145"/>
      <c r="D44" s="146"/>
      <c r="E44" s="147"/>
      <c r="F44" s="147"/>
      <c r="G44" s="148"/>
      <c r="H44" s="23"/>
      <c r="I44" s="23"/>
      <c r="J44" s="21"/>
      <c r="K44" s="23"/>
      <c r="L44" s="23"/>
      <c r="M44" s="76"/>
    </row>
    <row r="45" spans="1:13" s="1" customFormat="1" ht="13.5" customHeight="1">
      <c r="A45" s="182">
        <v>22</v>
      </c>
      <c r="B45" s="49"/>
      <c r="C45" s="50"/>
      <c r="D45" s="57"/>
      <c r="E45" s="58"/>
      <c r="F45" s="58"/>
      <c r="G45" s="59"/>
      <c r="H45" s="51"/>
      <c r="I45" s="51"/>
      <c r="J45" s="60"/>
      <c r="K45" s="51"/>
      <c r="L45" s="51"/>
      <c r="M45" s="75"/>
    </row>
    <row r="46" spans="1:13" s="1" customFormat="1" ht="13.5" customHeight="1" thickBot="1">
      <c r="A46" s="183"/>
      <c r="B46" s="177"/>
      <c r="C46" s="178"/>
      <c r="D46" s="179"/>
      <c r="E46" s="180"/>
      <c r="F46" s="180"/>
      <c r="G46" s="181"/>
      <c r="H46" s="48"/>
      <c r="I46" s="48"/>
      <c r="J46" s="110"/>
      <c r="K46" s="48"/>
      <c r="L46" s="48"/>
      <c r="M46" s="109"/>
    </row>
    <row r="47" spans="1:13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45"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3FF9-9E41-4DD4-B7E4-9A465D22E392}">
  <sheetPr>
    <tabColor theme="5"/>
    <pageSetUpPr fitToPage="1"/>
  </sheetPr>
  <dimension ref="A1:O61"/>
  <sheetViews>
    <sheetView topLeftCell="A16" zoomScale="110" zoomScaleNormal="110" workbookViewId="0">
      <selection activeCell="A39" sqref="A39:M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706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104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104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</row>
    <row r="9" spans="1:14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47"/>
      <c r="M9" s="104"/>
    </row>
    <row r="10" spans="1:14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63.099999999999994</v>
      </c>
      <c r="I11" s="51">
        <f>SUM(J11)-3.5</f>
        <v>66.599999999999994</v>
      </c>
      <c r="J11" s="100">
        <v>70.099999999999994</v>
      </c>
      <c r="K11" s="47">
        <f>SUM(J11)+3.5</f>
        <v>73.599999999999994</v>
      </c>
      <c r="L11" s="47">
        <f>SUM(K11)+3.5</f>
        <v>77.099999999999994</v>
      </c>
      <c r="M11" s="104">
        <f>SUM(L11)+3.5</f>
        <v>80.599999999999994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69.2</v>
      </c>
      <c r="I13" s="51">
        <f>SUM(J13)-4</f>
        <v>73.2</v>
      </c>
      <c r="J13" s="100">
        <v>77.2</v>
      </c>
      <c r="K13" s="47">
        <f>SUM(J13)+4</f>
        <v>81.2</v>
      </c>
      <c r="L13" s="47">
        <f>SUM(K13)+4</f>
        <v>85.2</v>
      </c>
      <c r="M13" s="104">
        <f>SUM(L13)+4</f>
        <v>89.2</v>
      </c>
    </row>
    <row r="14" spans="1:14" s="1" customFormat="1" ht="14.1" customHeight="1">
      <c r="A14" s="184"/>
      <c r="B14" s="77" t="s">
        <v>51</v>
      </c>
      <c r="C14" s="78"/>
      <c r="D14" s="79" t="s">
        <v>242</v>
      </c>
      <c r="E14" s="80"/>
      <c r="F14" s="80"/>
      <c r="G14" s="81"/>
      <c r="H14" s="23"/>
      <c r="I14" s="23"/>
      <c r="J14" s="21"/>
      <c r="K14" s="23"/>
      <c r="L14" s="23"/>
      <c r="M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12.200000000000001</v>
      </c>
      <c r="I15" s="51">
        <f>SUM(J15)-0.7</f>
        <v>12.9</v>
      </c>
      <c r="J15" s="60">
        <v>13.6</v>
      </c>
      <c r="K15" s="51">
        <f>SUM(J15)+1.2</f>
        <v>14.799999999999999</v>
      </c>
      <c r="L15" s="51">
        <f>SUM(K15)+0.7</f>
        <v>15.499999999999998</v>
      </c>
      <c r="M15" s="75">
        <f>SUM(L15)+0.7</f>
        <v>16.2</v>
      </c>
    </row>
    <row r="16" spans="1:14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18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52.5</v>
      </c>
      <c r="I21" s="51">
        <f>SUM(J21)-7</f>
        <v>59.5</v>
      </c>
      <c r="J21" s="60">
        <v>66.5</v>
      </c>
      <c r="K21" s="51">
        <f>SUM(J21)+6</f>
        <v>72.5</v>
      </c>
      <c r="L21" s="51">
        <f>SUM(K21)+6</f>
        <v>78.5</v>
      </c>
      <c r="M21" s="75">
        <f>SUM(L21)+6</f>
        <v>84.5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SUM(I23)-2</f>
        <v>38</v>
      </c>
      <c r="I23" s="51">
        <f>SUM(J23)-2</f>
        <v>40</v>
      </c>
      <c r="J23" s="60">
        <v>42</v>
      </c>
      <c r="K23" s="51">
        <f>SUM(J23)+2</f>
        <v>44</v>
      </c>
      <c r="L23" s="51">
        <f>SUM(K23)+2</f>
        <v>46</v>
      </c>
      <c r="M23" s="75">
        <f>SUM(L23)+2</f>
        <v>48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20.299999999999997</v>
      </c>
      <c r="I25" s="51">
        <f>SUM(J25)-1.1</f>
        <v>21.4</v>
      </c>
      <c r="J25" s="60">
        <v>22.5</v>
      </c>
      <c r="K25" s="51">
        <f>SUM(J25)+1.6</f>
        <v>24.1</v>
      </c>
      <c r="L25" s="51">
        <f>SUM(K25)+1.1</f>
        <v>25.200000000000003</v>
      </c>
      <c r="M25" s="185">
        <f>SUM(L25)+1.1</f>
        <v>26.300000000000004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27.2</v>
      </c>
      <c r="I27" s="51">
        <f>SUM(J27)-1.3</f>
        <v>28.5</v>
      </c>
      <c r="J27" s="60">
        <v>29.8</v>
      </c>
      <c r="K27" s="51">
        <f>SUM(J27)+1.8</f>
        <v>31.6</v>
      </c>
      <c r="L27" s="51">
        <f>SUM(K27)+1.3</f>
        <v>32.9</v>
      </c>
      <c r="M27" s="185">
        <f>SUM(L27)+1.4</f>
        <v>34.299999999999997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SUM(I29)-2.6</f>
        <v>44.5</v>
      </c>
      <c r="I29" s="51">
        <f>SUM(J29)-2.6</f>
        <v>47.1</v>
      </c>
      <c r="J29" s="60">
        <v>49.7</v>
      </c>
      <c r="K29" s="51">
        <f>SUM(J29)+2.6</f>
        <v>52.300000000000004</v>
      </c>
      <c r="L29" s="51">
        <f t="shared" ref="L29:M29" si="0">SUM(K29)+2.6</f>
        <v>54.900000000000006</v>
      </c>
      <c r="M29" s="75">
        <f t="shared" si="0"/>
        <v>57.500000000000007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33.200000000000003</v>
      </c>
      <c r="I31" s="51">
        <f>SUM(J31)-6</f>
        <v>39.200000000000003</v>
      </c>
      <c r="J31" s="60">
        <v>45.2</v>
      </c>
      <c r="K31" s="51">
        <f>SUM(J31)+4.5</f>
        <v>49.7</v>
      </c>
      <c r="L31" s="51">
        <f>SUM(K31)+5</f>
        <v>54.7</v>
      </c>
      <c r="M31" s="75">
        <f>SUM(L31)+5</f>
        <v>59.7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76"/>
    </row>
    <row r="33" spans="1:15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SUM(I33)-2.1</f>
        <v>41.099999999999994</v>
      </c>
      <c r="I33" s="51">
        <f>SUM(J33)-2.1</f>
        <v>43.199999999999996</v>
      </c>
      <c r="J33" s="60">
        <v>45.3</v>
      </c>
      <c r="K33" s="51">
        <f>SUM(J33)+2.1</f>
        <v>47.4</v>
      </c>
      <c r="L33" s="51">
        <f>SUM(K33)+2.1</f>
        <v>49.5</v>
      </c>
      <c r="M33" s="75">
        <f>SUM(L33)+2.1</f>
        <v>51.6</v>
      </c>
      <c r="O33" s="1" t="s">
        <v>379</v>
      </c>
    </row>
    <row r="34" spans="1:15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76"/>
      <c r="O34" s="1">
        <f>SUM(H41+H41+I41+I41+J41+J41+K41+K41+L41+L41+M41+M41)/91.44/6*1.08</f>
        <v>1.299212598425197</v>
      </c>
    </row>
    <row r="35" spans="1:15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SUM(I35)-3.4</f>
        <v>32.800000000000004</v>
      </c>
      <c r="I35" s="51">
        <f>SUM(J35)-3.5</f>
        <v>36.200000000000003</v>
      </c>
      <c r="J35" s="60">
        <v>39.700000000000003</v>
      </c>
      <c r="K35" s="51">
        <f>SUM(J35)+3.3</f>
        <v>43</v>
      </c>
      <c r="L35" s="51">
        <f>SUM(K35)+3</f>
        <v>46</v>
      </c>
      <c r="M35" s="75">
        <f>SUM(L35)+3</f>
        <v>49</v>
      </c>
    </row>
    <row r="36" spans="1:15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23"/>
      <c r="I36" s="23"/>
      <c r="J36" s="21"/>
      <c r="K36" s="23"/>
      <c r="L36" s="23"/>
      <c r="M36" s="76"/>
    </row>
    <row r="37" spans="1:15" s="1" customFormat="1" ht="14.1" customHeight="1">
      <c r="A37" s="182">
        <v>18</v>
      </c>
      <c r="B37" s="49" t="s">
        <v>174</v>
      </c>
      <c r="C37" s="50"/>
      <c r="D37" s="57"/>
      <c r="E37" s="58"/>
      <c r="F37" s="58"/>
      <c r="G37" s="59"/>
      <c r="H37" s="51">
        <f>SUM(I37)-0.5</f>
        <v>10</v>
      </c>
      <c r="I37" s="51">
        <f>SUM(J37)-0.5</f>
        <v>10.5</v>
      </c>
      <c r="J37" s="60">
        <v>11</v>
      </c>
      <c r="K37" s="51">
        <f>SUM(J37)+0.5</f>
        <v>11.5</v>
      </c>
      <c r="L37" s="51">
        <f>SUM(K37)+0.5</f>
        <v>12</v>
      </c>
      <c r="M37" s="75">
        <f>SUM(L37)+0.5</f>
        <v>12.5</v>
      </c>
    </row>
    <row r="38" spans="1:15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23"/>
      <c r="I38" s="23"/>
      <c r="J38" s="21"/>
      <c r="K38" s="23"/>
      <c r="L38" s="23"/>
      <c r="M38" s="76"/>
    </row>
    <row r="39" spans="1:15" s="1" customFormat="1" ht="14.1" customHeight="1">
      <c r="A39" s="182">
        <v>19</v>
      </c>
      <c r="B39" s="49" t="s">
        <v>181</v>
      </c>
      <c r="C39" s="50"/>
      <c r="D39" s="57" t="s">
        <v>238</v>
      </c>
      <c r="E39" s="58"/>
      <c r="F39" s="58"/>
      <c r="G39" s="59"/>
      <c r="H39" s="51">
        <f>SUM(I39)</f>
        <v>29</v>
      </c>
      <c r="I39" s="51">
        <f>SUM(J39)</f>
        <v>29</v>
      </c>
      <c r="J39" s="60">
        <v>29</v>
      </c>
      <c r="K39" s="51">
        <f>SUM(J39)</f>
        <v>29</v>
      </c>
      <c r="L39" s="51">
        <f>SUM(K39)</f>
        <v>29</v>
      </c>
      <c r="M39" s="75">
        <f>SUM(L39)</f>
        <v>29</v>
      </c>
    </row>
    <row r="40" spans="1:15" s="1" customFormat="1" ht="14.1" customHeight="1">
      <c r="A40" s="184"/>
      <c r="B40" s="144" t="s">
        <v>182</v>
      </c>
      <c r="C40" s="145"/>
      <c r="D40" s="146" t="s">
        <v>707</v>
      </c>
      <c r="E40" s="147"/>
      <c r="F40" s="147"/>
      <c r="G40" s="148"/>
      <c r="H40" s="47"/>
      <c r="I40" s="47"/>
      <c r="J40" s="100"/>
      <c r="K40" s="47"/>
      <c r="L40" s="47"/>
      <c r="M40" s="104"/>
    </row>
    <row r="41" spans="1:15" s="1" customFormat="1" ht="14.1" customHeight="1">
      <c r="A41" s="182">
        <v>20</v>
      </c>
      <c r="B41" s="49" t="s">
        <v>179</v>
      </c>
      <c r="C41" s="50"/>
      <c r="D41" s="55"/>
      <c r="E41" s="55"/>
      <c r="F41" s="55"/>
      <c r="G41" s="55"/>
      <c r="H41" s="51">
        <f>SUM(I41)-2</f>
        <v>50</v>
      </c>
      <c r="I41" s="51">
        <f>SUM(J41)-2</f>
        <v>52</v>
      </c>
      <c r="J41" s="60">
        <v>54</v>
      </c>
      <c r="K41" s="51">
        <f>SUM(J41)+2</f>
        <v>56</v>
      </c>
      <c r="L41" s="51">
        <f>SUM(K41)+2</f>
        <v>58</v>
      </c>
      <c r="M41" s="75">
        <f>SUM(L41)+2</f>
        <v>60</v>
      </c>
    </row>
    <row r="42" spans="1:15" s="1" customFormat="1" ht="14.1" customHeight="1">
      <c r="A42" s="184"/>
      <c r="B42" s="52" t="s">
        <v>180</v>
      </c>
      <c r="C42" s="52"/>
      <c r="D42" s="36" t="s">
        <v>487</v>
      </c>
      <c r="E42" s="37"/>
      <c r="F42" s="37"/>
      <c r="G42" s="38"/>
      <c r="H42" s="23"/>
      <c r="I42" s="23"/>
      <c r="J42" s="21"/>
      <c r="K42" s="23"/>
      <c r="L42" s="23"/>
      <c r="M42" s="76"/>
    </row>
    <row r="43" spans="1:15" s="1" customFormat="1" ht="14.1" customHeight="1">
      <c r="A43" s="182">
        <v>21</v>
      </c>
      <c r="B43" s="49" t="s">
        <v>141</v>
      </c>
      <c r="C43" s="50"/>
      <c r="D43" s="57"/>
      <c r="E43" s="58"/>
      <c r="F43" s="58"/>
      <c r="G43" s="59"/>
      <c r="H43" s="51">
        <f>SUM(I43)-0.1</f>
        <v>1.0999999999999999</v>
      </c>
      <c r="I43" s="51">
        <f>SUM(J43)-0.1</f>
        <v>1.2</v>
      </c>
      <c r="J43" s="60">
        <v>1.3</v>
      </c>
      <c r="K43" s="51">
        <f>SUM(J43)+0.1</f>
        <v>1.4000000000000001</v>
      </c>
      <c r="L43" s="51">
        <f t="shared" ref="L43:M43" si="1">SUM(K43)+0.1</f>
        <v>1.5000000000000002</v>
      </c>
      <c r="M43" s="75">
        <f t="shared" si="1"/>
        <v>1.6000000000000003</v>
      </c>
    </row>
    <row r="44" spans="1:15" s="1" customFormat="1" ht="13.5" customHeight="1">
      <c r="A44" s="184"/>
      <c r="B44" s="34" t="s">
        <v>140</v>
      </c>
      <c r="C44" s="35"/>
      <c r="D44" s="79" t="s">
        <v>488</v>
      </c>
      <c r="E44" s="80"/>
      <c r="F44" s="80"/>
      <c r="G44" s="81"/>
      <c r="H44" s="23"/>
      <c r="I44" s="23"/>
      <c r="J44" s="21"/>
      <c r="K44" s="23"/>
      <c r="L44" s="23"/>
      <c r="M44" s="76"/>
    </row>
    <row r="45" spans="1:15" s="1" customFormat="1" ht="13.5" customHeight="1">
      <c r="A45" s="182">
        <v>22</v>
      </c>
      <c r="B45" s="53"/>
      <c r="C45" s="54"/>
      <c r="D45" s="67"/>
      <c r="E45" s="68"/>
      <c r="F45" s="68"/>
      <c r="G45" s="69"/>
      <c r="H45" s="47"/>
      <c r="I45" s="47"/>
      <c r="J45" s="100"/>
      <c r="K45" s="47"/>
      <c r="L45" s="47"/>
      <c r="M45" s="104"/>
    </row>
    <row r="46" spans="1:15" s="1" customFormat="1" ht="13.5" customHeight="1">
      <c r="A46" s="184"/>
      <c r="B46" s="144"/>
      <c r="C46" s="145"/>
      <c r="D46" s="146"/>
      <c r="E46" s="147"/>
      <c r="F46" s="147"/>
      <c r="G46" s="148"/>
      <c r="H46" s="47"/>
      <c r="I46" s="47"/>
      <c r="J46" s="100"/>
      <c r="K46" s="47"/>
      <c r="L46" s="47"/>
      <c r="M46" s="104"/>
    </row>
    <row r="47" spans="1:15" s="1" customFormat="1" ht="13.5" customHeight="1">
      <c r="A47" s="182">
        <v>23</v>
      </c>
      <c r="B47" s="49"/>
      <c r="C47" s="50"/>
      <c r="D47" s="57"/>
      <c r="E47" s="58"/>
      <c r="F47" s="58"/>
      <c r="G47" s="59"/>
      <c r="H47" s="51"/>
      <c r="I47" s="51"/>
      <c r="J47" s="60"/>
      <c r="K47" s="51"/>
      <c r="L47" s="51"/>
      <c r="M47" s="75"/>
    </row>
    <row r="48" spans="1:15" s="1" customFormat="1" ht="13.5" customHeight="1" thickBot="1">
      <c r="A48" s="183"/>
      <c r="B48" s="177"/>
      <c r="C48" s="178"/>
      <c r="D48" s="179"/>
      <c r="E48" s="180"/>
      <c r="F48" s="180"/>
      <c r="G48" s="181"/>
      <c r="H48" s="48"/>
      <c r="I48" s="48"/>
      <c r="J48" s="110"/>
      <c r="K48" s="48"/>
      <c r="L48" s="48"/>
      <c r="M48" s="109"/>
    </row>
    <row r="49" spans="1:14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4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4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4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4" ht="13.5" customHeight="1">
      <c r="N53" s="1"/>
    </row>
    <row r="54" spans="1:14" ht="13.5" customHeight="1">
      <c r="N54" s="1"/>
    </row>
    <row r="55" spans="1:14" ht="13.5" customHeight="1"/>
    <row r="56" spans="1:14" ht="13.5" customHeight="1"/>
    <row r="57" spans="1:14" ht="13.5" customHeight="1"/>
    <row r="58" spans="1:14" ht="13.5" customHeight="1"/>
    <row r="59" spans="1:14" ht="13.5" customHeight="1"/>
    <row r="60" spans="1:14" ht="13.5" customHeight="1"/>
    <row r="61" spans="1:14" ht="13.5" customHeight="1"/>
  </sheetData>
  <mergeCells count="256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5E22-AC35-4943-A34B-F0757CB83DB3}">
  <sheetPr>
    <tabColor theme="5"/>
    <pageSetUpPr fitToPage="1"/>
  </sheetPr>
  <dimension ref="A1:O52"/>
  <sheetViews>
    <sheetView zoomScale="110" zoomScaleNormal="110" workbookViewId="0">
      <selection sqref="A1:N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766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5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8" t="s">
        <v>136</v>
      </c>
      <c r="N2" s="6" t="s">
        <v>239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0">
        <f>SUM(L3)+3</f>
        <v>60</v>
      </c>
      <c r="N3" s="84">
        <f>SUM(M3)+3</f>
        <v>63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23"/>
      <c r="N4" s="76"/>
    </row>
    <row r="5" spans="1:15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1"/>
      <c r="J5" s="100"/>
      <c r="K5" s="47"/>
      <c r="L5" s="47"/>
      <c r="M5" s="47"/>
      <c r="N5" s="104"/>
    </row>
    <row r="6" spans="1:15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23"/>
      <c r="N6" s="76"/>
    </row>
    <row r="7" spans="1:15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1"/>
      <c r="J7" s="100"/>
      <c r="K7" s="47"/>
      <c r="L7" s="47"/>
      <c r="M7" s="47"/>
      <c r="N7" s="104"/>
    </row>
    <row r="8" spans="1:15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23"/>
      <c r="N8" s="76"/>
    </row>
    <row r="9" spans="1:15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/>
      <c r="I9" s="51"/>
      <c r="J9" s="100"/>
      <c r="K9" s="47"/>
      <c r="L9" s="47"/>
      <c r="M9" s="47"/>
      <c r="N9" s="104"/>
    </row>
    <row r="10" spans="1:15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23"/>
      <c r="I10" s="23"/>
      <c r="J10" s="21"/>
      <c r="K10" s="23"/>
      <c r="L10" s="23"/>
      <c r="M10" s="23"/>
      <c r="N10" s="76"/>
    </row>
    <row r="11" spans="1:15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67</v>
      </c>
      <c r="I11" s="51">
        <f>SUM(J11)-3.5</f>
        <v>70.5</v>
      </c>
      <c r="J11" s="100">
        <v>74</v>
      </c>
      <c r="K11" s="47">
        <f>SUM(J11)+3.5</f>
        <v>77.5</v>
      </c>
      <c r="L11" s="47">
        <f>SUM(K11)+3.5</f>
        <v>81</v>
      </c>
      <c r="M11" s="47">
        <f>SUM(L11)+3.5</f>
        <v>84.5</v>
      </c>
      <c r="N11" s="104">
        <f>SUM(M11)+3.5</f>
        <v>88</v>
      </c>
    </row>
    <row r="12" spans="1:15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5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72</v>
      </c>
      <c r="I13" s="51">
        <f>SUM(J13)-4</f>
        <v>76</v>
      </c>
      <c r="J13" s="100">
        <v>80</v>
      </c>
      <c r="K13" s="47">
        <f>SUM(J13)+4</f>
        <v>84</v>
      </c>
      <c r="L13" s="47">
        <f>SUM(K13)+4</f>
        <v>88</v>
      </c>
      <c r="M13" s="47">
        <f>SUM(L13)+4</f>
        <v>92</v>
      </c>
      <c r="N13" s="104">
        <f>SUM(M13)+4</f>
        <v>96</v>
      </c>
    </row>
    <row r="14" spans="1:15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23"/>
      <c r="I14" s="23"/>
      <c r="J14" s="21"/>
      <c r="K14" s="23"/>
      <c r="L14" s="23"/>
      <c r="M14" s="23"/>
      <c r="N14" s="76"/>
      <c r="O14" s="1" t="s">
        <v>173</v>
      </c>
    </row>
    <row r="15" spans="1:15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1">
        <f>SUM(I15)-0.7</f>
        <v>13.200000000000001</v>
      </c>
      <c r="I15" s="51">
        <f>SUM(J15)-0.7</f>
        <v>13.9</v>
      </c>
      <c r="J15" s="60">
        <v>14.6</v>
      </c>
      <c r="K15" s="51">
        <f>SUM(J15)+1.2</f>
        <v>15.799999999999999</v>
      </c>
      <c r="L15" s="51">
        <f>SUM(K15)+0.7</f>
        <v>16.5</v>
      </c>
      <c r="M15" s="51">
        <f>SUM(L15)+0.7</f>
        <v>17.2</v>
      </c>
      <c r="N15" s="75">
        <f>SUM(M15)+0.7</f>
        <v>17.899999999999999</v>
      </c>
    </row>
    <row r="16" spans="1:15" s="1" customFormat="1" ht="14.1" customHeight="1">
      <c r="A16" s="184"/>
      <c r="B16" s="77" t="s">
        <v>112</v>
      </c>
      <c r="C16" s="78"/>
      <c r="D16" s="139" t="s">
        <v>770</v>
      </c>
      <c r="E16" s="140"/>
      <c r="F16" s="140"/>
      <c r="G16" s="141"/>
      <c r="H16" s="23"/>
      <c r="I16" s="23"/>
      <c r="J16" s="21"/>
      <c r="K16" s="23"/>
      <c r="L16" s="23"/>
      <c r="M16" s="23"/>
      <c r="N16" s="76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1"/>
      <c r="J17" s="60"/>
      <c r="K17" s="51"/>
      <c r="L17" s="51"/>
      <c r="M17" s="56"/>
      <c r="N17" s="185"/>
    </row>
    <row r="18" spans="1:14" s="1" customFormat="1" ht="14.1" customHeight="1">
      <c r="A18" s="184"/>
      <c r="B18" s="77" t="s">
        <v>133</v>
      </c>
      <c r="C18" s="78"/>
      <c r="D18" s="139"/>
      <c r="E18" s="140"/>
      <c r="F18" s="140"/>
      <c r="G18" s="141"/>
      <c r="H18" s="52"/>
      <c r="I18" s="23"/>
      <c r="J18" s="21"/>
      <c r="K18" s="23"/>
      <c r="L18" s="23"/>
      <c r="M18" s="52"/>
      <c r="N18" s="186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51"/>
      <c r="N19" s="75"/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182">
        <v>10</v>
      </c>
      <c r="B21" s="49" t="s">
        <v>9</v>
      </c>
      <c r="C21" s="50"/>
      <c r="D21" s="57" t="s">
        <v>771</v>
      </c>
      <c r="E21" s="58"/>
      <c r="F21" s="58"/>
      <c r="G21" s="59"/>
      <c r="H21" s="51">
        <f>SUM(I21)-7</f>
        <v>50.3</v>
      </c>
      <c r="I21" s="51">
        <f>SUM(J21)-7</f>
        <v>57.3</v>
      </c>
      <c r="J21" s="60">
        <v>64.3</v>
      </c>
      <c r="K21" s="51">
        <f>SUM(J21)+6</f>
        <v>70.3</v>
      </c>
      <c r="L21" s="51">
        <f>SUM(K21)+6</f>
        <v>76.3</v>
      </c>
      <c r="M21" s="51">
        <f>SUM(L21)+6</f>
        <v>82.3</v>
      </c>
      <c r="N21" s="75">
        <f>SUM(M21)+6</f>
        <v>88.3</v>
      </c>
    </row>
    <row r="22" spans="1:14" s="1" customFormat="1" ht="14.1" customHeight="1">
      <c r="A22" s="184"/>
      <c r="B22" s="77" t="s">
        <v>769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3"/>
      <c r="N22" s="76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41.400000000000006</v>
      </c>
      <c r="I23" s="51">
        <f>SUM(J23)-1.8</f>
        <v>43.2</v>
      </c>
      <c r="J23" s="60">
        <v>45</v>
      </c>
      <c r="K23" s="51">
        <f>SUM(J23)+1.8</f>
        <v>46.8</v>
      </c>
      <c r="L23" s="51">
        <f t="shared" ref="L23:M23" si="0">SUM(K23)+1.8</f>
        <v>48.599999999999994</v>
      </c>
      <c r="M23" s="51">
        <f t="shared" si="0"/>
        <v>50.399999999999991</v>
      </c>
      <c r="N23" s="75">
        <f t="shared" ref="N23" si="1">SUM(M23)+1.8</f>
        <v>52.199999999999989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21.299999999999997</v>
      </c>
      <c r="I25" s="51">
        <f>SUM(J25)-1.1</f>
        <v>22.4</v>
      </c>
      <c r="J25" s="60">
        <v>23.5</v>
      </c>
      <c r="K25" s="51">
        <f>SUM(J25)+1.6</f>
        <v>25.1</v>
      </c>
      <c r="L25" s="51">
        <f>SUM(K25)+1.1</f>
        <v>26.200000000000003</v>
      </c>
      <c r="M25" s="56">
        <f>SUM(L25)+1.1</f>
        <v>27.300000000000004</v>
      </c>
      <c r="N25" s="185">
        <f>SUM(M25)+1.1</f>
        <v>28.400000000000006</v>
      </c>
    </row>
    <row r="26" spans="1:14" s="1" customFormat="1" ht="14.1" customHeight="1">
      <c r="A26" s="184"/>
      <c r="B26" s="77" t="s">
        <v>767</v>
      </c>
      <c r="C26" s="78"/>
      <c r="D26" s="79" t="s">
        <v>95</v>
      </c>
      <c r="E26" s="80"/>
      <c r="F26" s="80"/>
      <c r="G26" s="81"/>
      <c r="H26" s="52"/>
      <c r="I26" s="23"/>
      <c r="J26" s="21"/>
      <c r="K26" s="23"/>
      <c r="L26" s="23"/>
      <c r="M26" s="52"/>
      <c r="N26" s="186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28.2</v>
      </c>
      <c r="I27" s="51">
        <f>SUM(J27)-1.3</f>
        <v>29.5</v>
      </c>
      <c r="J27" s="60">
        <v>30.8</v>
      </c>
      <c r="K27" s="51">
        <f>SUM(J27)+1.8</f>
        <v>32.6</v>
      </c>
      <c r="L27" s="51">
        <f>SUM(K27)+1.3</f>
        <v>33.9</v>
      </c>
      <c r="M27" s="56">
        <f>SUM(L27)+1.4</f>
        <v>35.299999999999997</v>
      </c>
      <c r="N27" s="185">
        <f>SUM(M27)+1.4</f>
        <v>36.699999999999996</v>
      </c>
    </row>
    <row r="28" spans="1:14" s="1" customFormat="1" ht="14.1" customHeight="1">
      <c r="A28" s="184"/>
      <c r="B28" s="77" t="s">
        <v>768</v>
      </c>
      <c r="C28" s="78"/>
      <c r="D28" s="79" t="s">
        <v>95</v>
      </c>
      <c r="E28" s="80"/>
      <c r="F28" s="80"/>
      <c r="G28" s="81"/>
      <c r="H28" s="52"/>
      <c r="I28" s="23"/>
      <c r="J28" s="21"/>
      <c r="K28" s="23"/>
      <c r="L28" s="23"/>
      <c r="M28" s="52"/>
      <c r="N28" s="18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SUM(I29)-2.5</f>
        <v>46.2</v>
      </c>
      <c r="I29" s="51">
        <f>SUM(J29)-2.5</f>
        <v>48.7</v>
      </c>
      <c r="J29" s="60">
        <v>51.2</v>
      </c>
      <c r="K29" s="51">
        <f>SUM(J29)+2.5</f>
        <v>53.7</v>
      </c>
      <c r="L29" s="51">
        <f t="shared" ref="L29:M29" si="2">SUM(K29)+2.5</f>
        <v>56.2</v>
      </c>
      <c r="M29" s="51">
        <f t="shared" si="2"/>
        <v>58.7</v>
      </c>
      <c r="N29" s="75">
        <f t="shared" ref="N29" si="3">SUM(M29)+2.5</f>
        <v>61.2</v>
      </c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30</v>
      </c>
      <c r="I31" s="51">
        <f>SUM(J31)-6</f>
        <v>36</v>
      </c>
      <c r="J31" s="60">
        <v>42</v>
      </c>
      <c r="K31" s="51">
        <f>SUM(J31)+4.5</f>
        <v>46.5</v>
      </c>
      <c r="L31" s="51">
        <f>SUM(K31)+5</f>
        <v>51.5</v>
      </c>
      <c r="M31" s="51">
        <f>SUM(L31)+5</f>
        <v>56.5</v>
      </c>
      <c r="N31" s="75">
        <f>SUM(M31)+5</f>
        <v>61.5</v>
      </c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3"/>
      <c r="N32" s="76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SUM(I33)-1.9</f>
        <v>43.5</v>
      </c>
      <c r="I33" s="51">
        <f>SUM(J33)-1.9</f>
        <v>45.4</v>
      </c>
      <c r="J33" s="60">
        <v>47.3</v>
      </c>
      <c r="K33" s="51">
        <f>SUM(J33)+1.9</f>
        <v>49.199999999999996</v>
      </c>
      <c r="L33" s="51">
        <f t="shared" ref="L33:M33" si="4">SUM(K33)+1.9</f>
        <v>51.099999999999994</v>
      </c>
      <c r="M33" s="51">
        <f t="shared" si="4"/>
        <v>52.999999999999993</v>
      </c>
      <c r="N33" s="75">
        <f t="shared" ref="N33" si="5">SUM(M33)+1.9</f>
        <v>54.899999999999991</v>
      </c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3"/>
      <c r="N34" s="7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SUM(I35)-3.4</f>
        <v>33.1</v>
      </c>
      <c r="I35" s="51">
        <f>SUM(J35)-3.5</f>
        <v>36.5</v>
      </c>
      <c r="J35" s="60">
        <v>40</v>
      </c>
      <c r="K35" s="51">
        <f>SUM(J35)+3.4</f>
        <v>43.4</v>
      </c>
      <c r="L35" s="51">
        <f>SUM(K35)+3.1</f>
        <v>46.5</v>
      </c>
      <c r="M35" s="51">
        <f>SUM(L35)+3.1</f>
        <v>49.6</v>
      </c>
      <c r="N35" s="75">
        <f>SUM(M35)+3.1</f>
        <v>52.7</v>
      </c>
    </row>
    <row r="36" spans="1:14" s="1" customFormat="1" ht="14.1" customHeight="1">
      <c r="A36" s="184"/>
      <c r="B36" s="77" t="s">
        <v>87</v>
      </c>
      <c r="C36" s="78"/>
      <c r="D36" s="79" t="s">
        <v>772</v>
      </c>
      <c r="E36" s="80"/>
      <c r="F36" s="80"/>
      <c r="G36" s="81"/>
      <c r="H36" s="23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763</v>
      </c>
      <c r="C37" s="50"/>
      <c r="D37" s="57"/>
      <c r="E37" s="58"/>
      <c r="F37" s="58"/>
      <c r="G37" s="59"/>
      <c r="H37" s="51">
        <f>SUM(I37)-0.5</f>
        <v>10</v>
      </c>
      <c r="I37" s="51">
        <f>SUM(J37)-0.5</f>
        <v>10.5</v>
      </c>
      <c r="J37" s="39">
        <v>11</v>
      </c>
      <c r="K37" s="32">
        <f>SUM(J37)+0.5</f>
        <v>11.5</v>
      </c>
      <c r="L37" s="32">
        <f>SUM(K37)+0.5</f>
        <v>12</v>
      </c>
      <c r="M37" s="128">
        <f>SUM(L37)+0.5</f>
        <v>12.5</v>
      </c>
      <c r="N37" s="131">
        <f>SUM(M37)+0.5</f>
        <v>13</v>
      </c>
    </row>
    <row r="38" spans="1:14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23"/>
      <c r="I38" s="23"/>
      <c r="J38" s="39"/>
      <c r="K38" s="32"/>
      <c r="L38" s="32"/>
      <c r="M38" s="128"/>
      <c r="N38" s="131"/>
    </row>
    <row r="39" spans="1:14" s="1" customFormat="1" ht="14.1" customHeight="1">
      <c r="A39" s="182">
        <v>19</v>
      </c>
      <c r="B39" s="49" t="s">
        <v>181</v>
      </c>
      <c r="C39" s="50"/>
      <c r="D39" s="57" t="s">
        <v>238</v>
      </c>
      <c r="E39" s="58"/>
      <c r="F39" s="58"/>
      <c r="G39" s="59"/>
      <c r="H39" s="51">
        <f>SUM(I39)</f>
        <v>35</v>
      </c>
      <c r="I39" s="51">
        <f>SUM(J39)</f>
        <v>35</v>
      </c>
      <c r="J39" s="60">
        <v>35</v>
      </c>
      <c r="K39" s="51">
        <f>SUM(J39)</f>
        <v>35</v>
      </c>
      <c r="L39" s="51">
        <f>SUM(K39)</f>
        <v>35</v>
      </c>
      <c r="M39" s="51">
        <f t="shared" ref="M39:N39" si="6">SUM(L39)</f>
        <v>35</v>
      </c>
      <c r="N39" s="75">
        <f t="shared" si="6"/>
        <v>35</v>
      </c>
    </row>
    <row r="40" spans="1:14" s="1" customFormat="1" ht="14.1" customHeight="1">
      <c r="A40" s="184"/>
      <c r="B40" s="144" t="s">
        <v>182</v>
      </c>
      <c r="C40" s="145"/>
      <c r="D40" s="146" t="s">
        <v>241</v>
      </c>
      <c r="E40" s="147"/>
      <c r="F40" s="147"/>
      <c r="G40" s="148"/>
      <c r="H40" s="47"/>
      <c r="I40" s="47"/>
      <c r="J40" s="100"/>
      <c r="K40" s="47"/>
      <c r="L40" s="47"/>
      <c r="M40" s="47"/>
      <c r="N40" s="104"/>
    </row>
    <row r="41" spans="1:14" s="1" customFormat="1" ht="14.1" customHeight="1">
      <c r="A41" s="182">
        <v>20</v>
      </c>
      <c r="B41" s="49"/>
      <c r="C41" s="50"/>
      <c r="D41" s="55"/>
      <c r="E41" s="55"/>
      <c r="F41" s="55"/>
      <c r="G41" s="55"/>
      <c r="H41" s="51"/>
      <c r="I41" s="51"/>
      <c r="J41" s="60"/>
      <c r="K41" s="51"/>
      <c r="L41" s="51"/>
      <c r="M41" s="51"/>
      <c r="N41" s="75"/>
    </row>
    <row r="42" spans="1:14" s="1" customFormat="1" ht="14.1" customHeight="1">
      <c r="A42" s="182"/>
      <c r="B42" s="105"/>
      <c r="C42" s="105"/>
      <c r="D42" s="67"/>
      <c r="E42" s="68"/>
      <c r="F42" s="68"/>
      <c r="G42" s="69"/>
      <c r="H42" s="47"/>
      <c r="I42" s="47"/>
      <c r="J42" s="100"/>
      <c r="K42" s="47"/>
      <c r="L42" s="47"/>
      <c r="M42" s="47"/>
      <c r="N42" s="104"/>
    </row>
    <row r="43" spans="1:14" s="1" customFormat="1" ht="14.1" customHeight="1">
      <c r="A43" s="201">
        <v>21</v>
      </c>
      <c r="B43" s="49"/>
      <c r="C43" s="50"/>
      <c r="D43" s="55"/>
      <c r="E43" s="55"/>
      <c r="F43" s="55"/>
      <c r="G43" s="55"/>
      <c r="H43" s="51"/>
      <c r="I43" s="51"/>
      <c r="J43" s="60"/>
      <c r="K43" s="51"/>
      <c r="L43" s="51"/>
      <c r="M43" s="51"/>
      <c r="N43" s="75"/>
    </row>
    <row r="44" spans="1:14" s="1" customFormat="1" ht="14.1" customHeight="1" thickBot="1">
      <c r="A44" s="183"/>
      <c r="B44" s="132"/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48"/>
      <c r="N44" s="109"/>
    </row>
    <row r="45" spans="1:14" s="1" customFormat="1" ht="14.1" customHeight="1"/>
    <row r="46" spans="1:14" s="1" customFormat="1" ht="14.1" customHeight="1"/>
    <row r="47" spans="1:14" s="1" customFormat="1" ht="14.1" customHeight="1"/>
    <row r="48" spans="1:14" s="1" customFormat="1" ht="14.1" customHeight="1"/>
    <row r="49" s="1" customFormat="1" ht="14.1" customHeight="1"/>
    <row r="50" s="1" customFormat="1" ht="14.1" customHeight="1"/>
    <row r="51" s="1" customFormat="1" ht="14.1" customHeight="1"/>
    <row r="52" s="1" customFormat="1" ht="14.1" customHeight="1"/>
  </sheetData>
  <mergeCells count="255">
    <mergeCell ref="N39:N40"/>
    <mergeCell ref="N41:N42"/>
    <mergeCell ref="N43:N44"/>
    <mergeCell ref="A1:N1"/>
    <mergeCell ref="N27:N28"/>
    <mergeCell ref="N29:N30"/>
    <mergeCell ref="N31:N32"/>
    <mergeCell ref="N33:N34"/>
    <mergeCell ref="N35:N36"/>
    <mergeCell ref="N37:N38"/>
    <mergeCell ref="N15:N16"/>
    <mergeCell ref="N17:N18"/>
    <mergeCell ref="N19:N20"/>
    <mergeCell ref="N21:N22"/>
    <mergeCell ref="N23:N24"/>
    <mergeCell ref="N25:N26"/>
    <mergeCell ref="N3:N4"/>
    <mergeCell ref="N5:N6"/>
    <mergeCell ref="N7:N8"/>
    <mergeCell ref="N9:N10"/>
    <mergeCell ref="N11:N12"/>
    <mergeCell ref="N13:N14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3842-36E2-46F9-A93D-C96B9E875C3E}">
  <sheetPr>
    <tabColor theme="5"/>
    <pageSetUpPr fitToPage="1"/>
  </sheetPr>
  <dimension ref="A1:Q61"/>
  <sheetViews>
    <sheetView topLeftCell="A16" zoomScale="110" zoomScaleNormal="110" workbookViewId="0">
      <selection activeCell="Q5" sqref="Q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62" t="s">
        <v>750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7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751</v>
      </c>
      <c r="I2" s="20" t="s">
        <v>624</v>
      </c>
      <c r="J2" s="5" t="s">
        <v>63</v>
      </c>
      <c r="K2" s="8" t="s">
        <v>64</v>
      </c>
      <c r="L2" s="8" t="s">
        <v>65</v>
      </c>
      <c r="M2" s="8" t="s">
        <v>752</v>
      </c>
    </row>
    <row r="3" spans="1:17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SUM(I3)-2</f>
        <v>41</v>
      </c>
      <c r="I3" s="56">
        <f>SUM(J3)-2</f>
        <v>43</v>
      </c>
      <c r="J3" s="226">
        <v>45</v>
      </c>
      <c r="K3" s="101">
        <f t="shared" ref="K3:L3" si="0">SUM(J3)+3</f>
        <v>48</v>
      </c>
      <c r="L3" s="101">
        <f t="shared" si="0"/>
        <v>51</v>
      </c>
      <c r="M3" s="61">
        <f t="shared" ref="M3" si="1">SUM(L3)+3</f>
        <v>54</v>
      </c>
      <c r="Q3" s="1">
        <f>SUM(H3+I3)/91.44/2*1.08</f>
        <v>0.49606299212598431</v>
      </c>
    </row>
    <row r="4" spans="1:17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52"/>
      <c r="J4" s="227"/>
      <c r="K4" s="52"/>
      <c r="L4" s="52"/>
      <c r="M4" s="25"/>
      <c r="Q4" s="1">
        <f>SUM(J3+K3+L3)/91.44/3*1.08</f>
        <v>0.56692913385826771</v>
      </c>
    </row>
    <row r="5" spans="1:17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56"/>
      <c r="J5" s="228"/>
      <c r="K5" s="51"/>
      <c r="L5" s="214"/>
      <c r="M5" s="219"/>
    </row>
    <row r="6" spans="1:17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52"/>
      <c r="J6" s="227"/>
      <c r="K6" s="23"/>
      <c r="L6" s="215"/>
      <c r="M6" s="220"/>
    </row>
    <row r="7" spans="1:17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56"/>
      <c r="J7" s="228"/>
      <c r="K7" s="51"/>
      <c r="L7" s="214"/>
      <c r="M7" s="219"/>
    </row>
    <row r="8" spans="1:17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52"/>
      <c r="J8" s="227"/>
      <c r="K8" s="23"/>
      <c r="L8" s="215"/>
      <c r="M8" s="220"/>
    </row>
    <row r="9" spans="1:17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60"/>
      <c r="K9" s="51"/>
      <c r="L9" s="214"/>
      <c r="M9" s="219"/>
    </row>
    <row r="10" spans="1:17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15"/>
      <c r="M10" s="220"/>
    </row>
    <row r="11" spans="1:17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68.599999999999994</v>
      </c>
      <c r="I11" s="51">
        <f>SUM(J11)-3.5</f>
        <v>72.099999999999994</v>
      </c>
      <c r="J11" s="60">
        <v>75.599999999999994</v>
      </c>
      <c r="K11" s="51">
        <f t="shared" ref="K11:L11" si="2">SUM(J11)+3.5</f>
        <v>79.099999999999994</v>
      </c>
      <c r="L11" s="51">
        <f t="shared" si="2"/>
        <v>82.6</v>
      </c>
      <c r="M11" s="61">
        <f t="shared" ref="M11" si="3">SUM(L11)+3.5</f>
        <v>86.1</v>
      </c>
    </row>
    <row r="12" spans="1:17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5"/>
    </row>
    <row r="13" spans="1:17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78.5</v>
      </c>
      <c r="I13" s="51">
        <f>SUM(J13)-4</f>
        <v>82.5</v>
      </c>
      <c r="J13" s="60">
        <v>86.5</v>
      </c>
      <c r="K13" s="51">
        <f t="shared" ref="K13:L13" si="4">SUM(J13)+4</f>
        <v>90.5</v>
      </c>
      <c r="L13" s="51">
        <f t="shared" si="4"/>
        <v>94.5</v>
      </c>
      <c r="M13" s="61">
        <f t="shared" ref="M13" si="5">SUM(L13)+4</f>
        <v>98.5</v>
      </c>
    </row>
    <row r="14" spans="1:17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23"/>
      <c r="I14" s="23"/>
      <c r="J14" s="21"/>
      <c r="K14" s="23"/>
      <c r="L14" s="23"/>
      <c r="M14" s="25"/>
    </row>
    <row r="15" spans="1:17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14.200000000000001</v>
      </c>
      <c r="I15" s="56">
        <f>SUM(J15)-0.7</f>
        <v>14.9</v>
      </c>
      <c r="J15" s="228">
        <v>15.6</v>
      </c>
      <c r="K15" s="56">
        <f t="shared" ref="K15:L15" si="6">SUM(J15)+0.7</f>
        <v>16.3</v>
      </c>
      <c r="L15" s="56">
        <f t="shared" si="6"/>
        <v>17</v>
      </c>
      <c r="M15" s="61">
        <f>SUM(L15)+1.2</f>
        <v>18.2</v>
      </c>
    </row>
    <row r="16" spans="1:17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52"/>
      <c r="I16" s="52"/>
      <c r="J16" s="227"/>
      <c r="K16" s="52"/>
      <c r="L16" s="52"/>
      <c r="M16" s="25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56"/>
      <c r="J17" s="228"/>
      <c r="K17" s="56"/>
      <c r="L17" s="56"/>
      <c r="M17" s="229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52"/>
      <c r="J18" s="227"/>
      <c r="K18" s="52"/>
      <c r="L18" s="52"/>
      <c r="M18" s="220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51"/>
      <c r="J19" s="60"/>
      <c r="K19" s="51"/>
      <c r="L19" s="51"/>
      <c r="M19" s="229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220"/>
    </row>
    <row r="21" spans="1:13" s="1" customFormat="1" ht="14.1" customHeight="1">
      <c r="A21" s="182">
        <v>10</v>
      </c>
      <c r="B21" s="49" t="s">
        <v>9</v>
      </c>
      <c r="C21" s="50"/>
      <c r="D21" s="57" t="s">
        <v>753</v>
      </c>
      <c r="E21" s="58"/>
      <c r="F21" s="58"/>
      <c r="G21" s="59"/>
      <c r="H21" s="51">
        <f>SUM(I21)-7</f>
        <v>41.5</v>
      </c>
      <c r="I21" s="51">
        <f>SUM(J21)-7</f>
        <v>48.5</v>
      </c>
      <c r="J21" s="60">
        <v>55.5</v>
      </c>
      <c r="K21" s="51">
        <f t="shared" ref="K21:L21" si="7">SUM(J21)+7</f>
        <v>62.5</v>
      </c>
      <c r="L21" s="51">
        <f t="shared" si="7"/>
        <v>69.5</v>
      </c>
      <c r="M21" s="61">
        <f>SUM(L21)+6</f>
        <v>75.5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25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</f>
        <v>20</v>
      </c>
      <c r="I23" s="51">
        <f>SUM(J23)-1</f>
        <v>21</v>
      </c>
      <c r="J23" s="60">
        <v>22</v>
      </c>
      <c r="K23" s="51">
        <f t="shared" ref="K23:M23" si="8">SUM(J23)+1</f>
        <v>23</v>
      </c>
      <c r="L23" s="51">
        <f t="shared" si="8"/>
        <v>24</v>
      </c>
      <c r="M23" s="61">
        <f t="shared" si="8"/>
        <v>25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25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22.799999999999997</v>
      </c>
      <c r="I25" s="56">
        <f>SUM(J25)-1.1</f>
        <v>23.9</v>
      </c>
      <c r="J25" s="228">
        <v>25</v>
      </c>
      <c r="K25" s="56">
        <f t="shared" ref="K25:L25" si="9">SUM(J25)+1.1</f>
        <v>26.1</v>
      </c>
      <c r="L25" s="56">
        <f t="shared" si="9"/>
        <v>27.200000000000003</v>
      </c>
      <c r="M25" s="61">
        <f>SUM(L25)+1.6</f>
        <v>28.800000000000004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52"/>
      <c r="J26" s="227"/>
      <c r="K26" s="52"/>
      <c r="L26" s="52"/>
      <c r="M26" s="25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27.099999999999998</v>
      </c>
      <c r="I27" s="56">
        <f>SUM(J27)-1.3</f>
        <v>28.4</v>
      </c>
      <c r="J27" s="228">
        <v>29.7</v>
      </c>
      <c r="K27" s="56">
        <f t="shared" ref="K27:L27" si="10">SUM(J27)+1.3</f>
        <v>31</v>
      </c>
      <c r="L27" s="56">
        <f t="shared" si="10"/>
        <v>32.299999999999997</v>
      </c>
      <c r="M27" s="61">
        <f>SUM(L27)+1.8</f>
        <v>34.099999999999994</v>
      </c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52"/>
      <c r="J28" s="227"/>
      <c r="K28" s="52"/>
      <c r="L28" s="52"/>
      <c r="M28" s="25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SUM(I29)-3</f>
        <v>46</v>
      </c>
      <c r="I29" s="51">
        <f>SUM(J29)-3</f>
        <v>49</v>
      </c>
      <c r="J29" s="60">
        <v>52</v>
      </c>
      <c r="K29" s="51">
        <f>SUM(J29)+2.9</f>
        <v>54.9</v>
      </c>
      <c r="L29" s="51">
        <f>SUM(K29)+2.9</f>
        <v>57.8</v>
      </c>
      <c r="M29" s="61">
        <f>SUM(L29)+2.7</f>
        <v>60.5</v>
      </c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3"/>
      <c r="J30" s="21"/>
      <c r="K30" s="23"/>
      <c r="L30" s="23"/>
      <c r="M30" s="25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19.7</v>
      </c>
      <c r="I31" s="51">
        <f>SUM(J31)-6</f>
        <v>25.7</v>
      </c>
      <c r="J31" s="60">
        <v>31.7</v>
      </c>
      <c r="K31" s="51">
        <f t="shared" ref="K31:L31" si="11">SUM(J31)+6</f>
        <v>37.700000000000003</v>
      </c>
      <c r="L31" s="51">
        <f t="shared" si="11"/>
        <v>43.7</v>
      </c>
      <c r="M31" s="61">
        <f>SUM(L31)+4.5</f>
        <v>48.2</v>
      </c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3"/>
      <c r="J32" s="21"/>
      <c r="K32" s="23"/>
      <c r="L32" s="23"/>
      <c r="M32" s="25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SUM(I33)-2.3</f>
        <v>43.100000000000009</v>
      </c>
      <c r="I33" s="51">
        <f>SUM(J33)-2.3</f>
        <v>45.400000000000006</v>
      </c>
      <c r="J33" s="60">
        <v>47.7</v>
      </c>
      <c r="K33" s="51">
        <f>SUM(J33)+2.3</f>
        <v>50</v>
      </c>
      <c r="L33" s="51">
        <f t="shared" ref="L33:M33" si="12">SUM(K33)+2.3</f>
        <v>52.3</v>
      </c>
      <c r="M33" s="61">
        <f t="shared" si="12"/>
        <v>54.599999999999994</v>
      </c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3"/>
      <c r="J34" s="21"/>
      <c r="K34" s="23"/>
      <c r="L34" s="23"/>
      <c r="M34" s="25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SUM(I35)-3.4</f>
        <v>29.800000000000004</v>
      </c>
      <c r="I35" s="51">
        <f>SUM(J35)-3.4</f>
        <v>33.200000000000003</v>
      </c>
      <c r="J35" s="60">
        <v>36.6</v>
      </c>
      <c r="K35" s="51">
        <f>SUM(J35)+3.4</f>
        <v>40</v>
      </c>
      <c r="L35" s="51">
        <f>SUM(K35)+3.4</f>
        <v>43.4</v>
      </c>
      <c r="M35" s="61">
        <f>SUM(L35)+3.3</f>
        <v>46.699999999999996</v>
      </c>
    </row>
    <row r="36" spans="1:13" s="1" customFormat="1" ht="14.1" customHeight="1">
      <c r="A36" s="184"/>
      <c r="B36" s="144" t="s">
        <v>87</v>
      </c>
      <c r="C36" s="145"/>
      <c r="D36" s="200" t="s">
        <v>126</v>
      </c>
      <c r="E36" s="147"/>
      <c r="F36" s="147"/>
      <c r="G36" s="148"/>
      <c r="H36" s="47"/>
      <c r="I36" s="47"/>
      <c r="J36" s="100"/>
      <c r="K36" s="23"/>
      <c r="L36" s="23"/>
      <c r="M36" s="225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51">
        <f>SUM(I37)-0.2</f>
        <v>4.6999999999999993</v>
      </c>
      <c r="I37" s="51">
        <f>SUM(J37)-0.2</f>
        <v>4.8999999999999995</v>
      </c>
      <c r="J37" s="39">
        <v>5.0999999999999996</v>
      </c>
      <c r="K37" s="32">
        <f>SUM(J37)+0.2</f>
        <v>5.3</v>
      </c>
      <c r="L37" s="32">
        <f>SUM(K37)+0.2</f>
        <v>5.5</v>
      </c>
      <c r="M37" s="33">
        <f>SUM(L37)+0.2</f>
        <v>5.7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23"/>
      <c r="I38" s="23"/>
      <c r="J38" s="39"/>
      <c r="K38" s="32"/>
      <c r="L38" s="32"/>
      <c r="M38" s="33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51">
        <f>SUM(I39)-0.6</f>
        <v>8</v>
      </c>
      <c r="I39" s="51">
        <f>SUM(J39)-0.6</f>
        <v>8.6</v>
      </c>
      <c r="J39" s="60">
        <v>9.1999999999999993</v>
      </c>
      <c r="K39" s="51">
        <f>SUM(J39)+0.6</f>
        <v>9.7999999999999989</v>
      </c>
      <c r="L39" s="51">
        <f>SUM(K39)+0.6</f>
        <v>10.399999999999999</v>
      </c>
      <c r="M39" s="61">
        <f>SUM(L39)+0.6</f>
        <v>10.999999999999998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23"/>
      <c r="I40" s="23"/>
      <c r="J40" s="21"/>
      <c r="K40" s="23"/>
      <c r="L40" s="23"/>
      <c r="M40" s="25"/>
    </row>
    <row r="41" spans="1:13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51">
        <f>SUM(I41)-0.5</f>
        <v>9.5</v>
      </c>
      <c r="I41" s="51">
        <f>SUM(J41)-0.5</f>
        <v>10</v>
      </c>
      <c r="J41" s="60">
        <v>10.5</v>
      </c>
      <c r="K41" s="51">
        <f>SUM(J41)+0.5</f>
        <v>11</v>
      </c>
      <c r="L41" s="51">
        <f>SUM(K41)+0.5</f>
        <v>11.5</v>
      </c>
      <c r="M41" s="61">
        <f>SUM(L41)+0.5</f>
        <v>12</v>
      </c>
    </row>
    <row r="42" spans="1:13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23"/>
      <c r="I42" s="23"/>
      <c r="J42" s="21"/>
      <c r="K42" s="23"/>
      <c r="L42" s="23"/>
      <c r="M42" s="25"/>
    </row>
    <row r="43" spans="1:13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51">
        <f>SUM(I43)-0.5</f>
        <v>9.5</v>
      </c>
      <c r="I43" s="51">
        <f>SUM(J43)-0.5</f>
        <v>10</v>
      </c>
      <c r="J43" s="60">
        <v>10.5</v>
      </c>
      <c r="K43" s="51">
        <f>SUM(J43)+0.5</f>
        <v>11</v>
      </c>
      <c r="L43" s="51">
        <f>SUM(K43)+0.5</f>
        <v>11.5</v>
      </c>
      <c r="M43" s="61">
        <f>SUM(L43)+0.5</f>
        <v>12</v>
      </c>
    </row>
    <row r="44" spans="1:13" s="1" customFormat="1" ht="13.5" customHeight="1" thickBot="1">
      <c r="A44" s="183"/>
      <c r="B44" s="132" t="s">
        <v>104</v>
      </c>
      <c r="C44" s="132"/>
      <c r="D44" s="29"/>
      <c r="E44" s="30"/>
      <c r="F44" s="30"/>
      <c r="G44" s="31"/>
      <c r="H44" s="48"/>
      <c r="I44" s="48"/>
      <c r="J44" s="110"/>
      <c r="K44" s="48"/>
      <c r="L44" s="48"/>
      <c r="M44" s="224"/>
    </row>
    <row r="45" spans="1:13" s="1" customFormat="1" ht="13.5" customHeight="1"/>
    <row r="46" spans="1:13" s="1" customFormat="1" ht="13.5" customHeight="1"/>
    <row r="47" spans="1:13" s="1" customFormat="1" ht="13.5" customHeight="1"/>
    <row r="48" spans="1:13" s="1" customFormat="1" ht="13.5" customHeight="1"/>
    <row r="49" spans="1:13" s="1" customFormat="1" ht="13.5" customHeight="1"/>
    <row r="50" spans="1:13" s="1" customFormat="1" ht="13.5" customHeight="1"/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34"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3:K44"/>
    <mergeCell ref="A41:A42"/>
    <mergeCell ref="B41:C41"/>
    <mergeCell ref="D41:G41"/>
    <mergeCell ref="H41:H42"/>
    <mergeCell ref="J39:J40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K41:K42"/>
    <mergeCell ref="L41:L42"/>
    <mergeCell ref="M41:M42"/>
    <mergeCell ref="B42:C42"/>
    <mergeCell ref="D42:G42"/>
    <mergeCell ref="J41:J42"/>
    <mergeCell ref="I41:I42"/>
    <mergeCell ref="A37:A38"/>
    <mergeCell ref="B37:C37"/>
    <mergeCell ref="D37:G37"/>
    <mergeCell ref="H37:H38"/>
    <mergeCell ref="J35:J36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K37:K38"/>
    <mergeCell ref="L37:L38"/>
    <mergeCell ref="M37:M38"/>
    <mergeCell ref="B38:C38"/>
    <mergeCell ref="D38:G38"/>
    <mergeCell ref="J37:J38"/>
    <mergeCell ref="I37:I38"/>
    <mergeCell ref="A33:A34"/>
    <mergeCell ref="B33:C33"/>
    <mergeCell ref="D33:G33"/>
    <mergeCell ref="H33:H34"/>
    <mergeCell ref="J31:J32"/>
    <mergeCell ref="K31:K32"/>
    <mergeCell ref="L31:L32"/>
    <mergeCell ref="M31:M32"/>
    <mergeCell ref="B32:C32"/>
    <mergeCell ref="D32:G32"/>
    <mergeCell ref="K33:K34"/>
    <mergeCell ref="L33:L34"/>
    <mergeCell ref="M33:M34"/>
    <mergeCell ref="B34:C34"/>
    <mergeCell ref="D34:G34"/>
    <mergeCell ref="A31:A32"/>
    <mergeCell ref="B31:C31"/>
    <mergeCell ref="D31:G31"/>
    <mergeCell ref="H31:H32"/>
    <mergeCell ref="I31:I32"/>
    <mergeCell ref="J33:J34"/>
    <mergeCell ref="I33:I34"/>
    <mergeCell ref="A29:A30"/>
    <mergeCell ref="B29:C29"/>
    <mergeCell ref="D29:G29"/>
    <mergeCell ref="H29:H30"/>
    <mergeCell ref="K27:K28"/>
    <mergeCell ref="L27:L28"/>
    <mergeCell ref="M27:M28"/>
    <mergeCell ref="B28:C28"/>
    <mergeCell ref="D28:G28"/>
    <mergeCell ref="K29:K30"/>
    <mergeCell ref="L29:L30"/>
    <mergeCell ref="M29:M30"/>
    <mergeCell ref="B30:C30"/>
    <mergeCell ref="J29:J30"/>
    <mergeCell ref="I29:I30"/>
    <mergeCell ref="D30:G30"/>
    <mergeCell ref="K25:K26"/>
    <mergeCell ref="L25:L26"/>
    <mergeCell ref="M25:M26"/>
    <mergeCell ref="B26:C26"/>
    <mergeCell ref="D26:G26"/>
    <mergeCell ref="J25:J26"/>
    <mergeCell ref="I25:I26"/>
    <mergeCell ref="J27:J28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I21:I22"/>
    <mergeCell ref="J23:J24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I17:I18"/>
    <mergeCell ref="J19:J20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I13:I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I9:I10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605A-C738-4DCD-83BE-51E1AB8BC4A9}">
  <sheetPr>
    <tabColor theme="5"/>
    <pageSetUpPr fitToPage="1"/>
  </sheetPr>
  <dimension ref="A1:Q61"/>
  <sheetViews>
    <sheetView topLeftCell="A7" zoomScale="110" zoomScaleNormal="110" workbookViewId="0">
      <selection activeCell="O32" sqref="O3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7" ht="16.5" customHeight="1" thickBot="1">
      <c r="A1" s="62" t="s">
        <v>702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7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5" t="s">
        <v>63</v>
      </c>
      <c r="J2" s="8" t="s">
        <v>64</v>
      </c>
      <c r="K2" s="8" t="s">
        <v>65</v>
      </c>
      <c r="L2" s="8" t="s">
        <v>66</v>
      </c>
      <c r="M2" s="8" t="s">
        <v>703</v>
      </c>
    </row>
    <row r="3" spans="1:17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SUM(I3)-2</f>
        <v>43</v>
      </c>
      <c r="I3" s="228">
        <v>45</v>
      </c>
      <c r="J3" s="56">
        <f>SUM(I3)+3</f>
        <v>48</v>
      </c>
      <c r="K3" s="56">
        <f t="shared" ref="K3:L3" si="0">SUM(J3)+3</f>
        <v>51</v>
      </c>
      <c r="L3" s="56">
        <f t="shared" si="0"/>
        <v>54</v>
      </c>
      <c r="M3" s="230"/>
      <c r="Q3" s="1">
        <f>SUM(H3+I3)/91.44/2*1.08</f>
        <v>0.51968503937007882</v>
      </c>
    </row>
    <row r="4" spans="1:17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27"/>
      <c r="J4" s="52"/>
      <c r="K4" s="52"/>
      <c r="L4" s="52"/>
      <c r="M4" s="186"/>
      <c r="Q4" s="1">
        <f>SUM(J3+K3+L3+M3)/91.44/4*1.08</f>
        <v>0.45177165354330717</v>
      </c>
    </row>
    <row r="5" spans="1:17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/>
      <c r="I5" s="228"/>
      <c r="J5" s="56"/>
      <c r="K5" s="51"/>
      <c r="L5" s="231"/>
      <c r="M5" s="75"/>
    </row>
    <row r="6" spans="1:17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27"/>
      <c r="J6" s="52"/>
      <c r="K6" s="23"/>
      <c r="L6" s="215"/>
      <c r="M6" s="76"/>
    </row>
    <row r="7" spans="1:17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/>
      <c r="I7" s="228"/>
      <c r="J7" s="56"/>
      <c r="K7" s="51"/>
      <c r="L7" s="231"/>
      <c r="M7" s="75"/>
    </row>
    <row r="8" spans="1:17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27"/>
      <c r="J8" s="52"/>
      <c r="K8" s="23"/>
      <c r="L8" s="215"/>
      <c r="M8" s="76"/>
    </row>
    <row r="9" spans="1:17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60"/>
      <c r="J9" s="51"/>
      <c r="K9" s="51"/>
      <c r="L9" s="231"/>
      <c r="M9" s="75"/>
    </row>
    <row r="10" spans="1:17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1"/>
      <c r="J10" s="23"/>
      <c r="K10" s="23"/>
      <c r="L10" s="215"/>
      <c r="M10" s="76"/>
    </row>
    <row r="11" spans="1:17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69.5</v>
      </c>
      <c r="I11" s="60">
        <v>73</v>
      </c>
      <c r="J11" s="51">
        <f>SUM(I11)+3.5</f>
        <v>76.5</v>
      </c>
      <c r="K11" s="51">
        <f t="shared" ref="K11:L11" si="1">SUM(J11)+3.5</f>
        <v>80</v>
      </c>
      <c r="L11" s="51">
        <f t="shared" si="1"/>
        <v>83.5</v>
      </c>
      <c r="M11" s="75"/>
    </row>
    <row r="12" spans="1:17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1"/>
      <c r="J12" s="23"/>
      <c r="K12" s="23"/>
      <c r="L12" s="23"/>
      <c r="M12" s="76"/>
    </row>
    <row r="13" spans="1:17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1">
        <f>SUM(I13)-4</f>
        <v>76</v>
      </c>
      <c r="I13" s="60">
        <v>80</v>
      </c>
      <c r="J13" s="51">
        <f>SUM(I13)+4</f>
        <v>84</v>
      </c>
      <c r="K13" s="51">
        <f t="shared" ref="K13:L13" si="2">SUM(J13)+4</f>
        <v>88</v>
      </c>
      <c r="L13" s="51">
        <f t="shared" si="2"/>
        <v>92</v>
      </c>
      <c r="M13" s="75"/>
    </row>
    <row r="14" spans="1:17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23"/>
      <c r="I14" s="21"/>
      <c r="J14" s="23"/>
      <c r="K14" s="23"/>
      <c r="L14" s="23"/>
      <c r="M14" s="76"/>
    </row>
    <row r="15" spans="1:17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56">
        <f>SUM(I15)-0.7</f>
        <v>14.700000000000001</v>
      </c>
      <c r="I15" s="228">
        <v>15.4</v>
      </c>
      <c r="J15" s="56">
        <f>SUM(I15)+0.7</f>
        <v>16.100000000000001</v>
      </c>
      <c r="K15" s="56">
        <f t="shared" ref="K15" si="3">SUM(J15)+0.7</f>
        <v>16.8</v>
      </c>
      <c r="L15" s="56">
        <f>SUM(K15)+1.2</f>
        <v>18</v>
      </c>
      <c r="M15" s="185"/>
    </row>
    <row r="16" spans="1:17" s="1" customFormat="1" ht="14.1" customHeight="1">
      <c r="A16" s="184"/>
      <c r="B16" s="77" t="s">
        <v>112</v>
      </c>
      <c r="C16" s="78"/>
      <c r="D16" s="139" t="s">
        <v>127</v>
      </c>
      <c r="E16" s="140"/>
      <c r="F16" s="140"/>
      <c r="G16" s="141"/>
      <c r="H16" s="52"/>
      <c r="I16" s="227"/>
      <c r="J16" s="52"/>
      <c r="K16" s="52"/>
      <c r="L16" s="52"/>
      <c r="M16" s="18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56"/>
      <c r="I17" s="228"/>
      <c r="J17" s="56"/>
      <c r="K17" s="51"/>
      <c r="L17" s="214"/>
      <c r="M17" s="7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52"/>
      <c r="I18" s="227"/>
      <c r="J18" s="52"/>
      <c r="K18" s="23"/>
      <c r="L18" s="215"/>
      <c r="M18" s="7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51"/>
      <c r="I19" s="60"/>
      <c r="J19" s="51"/>
      <c r="K19" s="51"/>
      <c r="L19" s="214"/>
      <c r="M19" s="75"/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23"/>
      <c r="I20" s="21"/>
      <c r="J20" s="23"/>
      <c r="K20" s="23"/>
      <c r="L20" s="215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SUM(I21)-7</f>
        <v>47</v>
      </c>
      <c r="I21" s="60">
        <v>54</v>
      </c>
      <c r="J21" s="51">
        <f>SUM(I21)+7</f>
        <v>61</v>
      </c>
      <c r="K21" s="51">
        <f t="shared" ref="K21" si="4">SUM(J21)+7</f>
        <v>68</v>
      </c>
      <c r="L21" s="51">
        <f>SUM(K21)+6</f>
        <v>74</v>
      </c>
      <c r="M21" s="75"/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1"/>
      <c r="J22" s="23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</f>
        <v>15</v>
      </c>
      <c r="I23" s="60">
        <v>16</v>
      </c>
      <c r="J23" s="51">
        <f>SUM(I23)+1</f>
        <v>17</v>
      </c>
      <c r="K23" s="51">
        <f t="shared" ref="K23:L23" si="5">SUM(J23)+1</f>
        <v>18</v>
      </c>
      <c r="L23" s="51">
        <f t="shared" si="5"/>
        <v>19</v>
      </c>
      <c r="M23" s="75"/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1"/>
      <c r="J24" s="23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6">
        <f>SUM(I25)-1.1</f>
        <v>21.9</v>
      </c>
      <c r="I25" s="228">
        <v>23</v>
      </c>
      <c r="J25" s="56">
        <f>SUM(I25)+1.1</f>
        <v>24.1</v>
      </c>
      <c r="K25" s="56">
        <f t="shared" ref="K25" si="6">SUM(J25)+1.1</f>
        <v>25.200000000000003</v>
      </c>
      <c r="L25" s="56">
        <f>SUM(K25)+1.6</f>
        <v>26.800000000000004</v>
      </c>
      <c r="M25" s="75"/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52"/>
      <c r="I26" s="227"/>
      <c r="J26" s="52"/>
      <c r="K26" s="52"/>
      <c r="L26" s="52"/>
      <c r="M26" s="7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6">
        <f>SUM(I27)-1.3</f>
        <v>28.4</v>
      </c>
      <c r="I27" s="228">
        <v>29.7</v>
      </c>
      <c r="J27" s="56">
        <f>SUM(I27)+1.3</f>
        <v>31</v>
      </c>
      <c r="K27" s="56">
        <f t="shared" ref="K27" si="7">SUM(J27)+1.3</f>
        <v>32.299999999999997</v>
      </c>
      <c r="L27" s="56">
        <f>SUM(K27)+1.8</f>
        <v>34.099999999999994</v>
      </c>
      <c r="M27" s="75"/>
    </row>
    <row r="28" spans="1:13" s="1" customFormat="1" ht="14.1" customHeight="1">
      <c r="A28" s="184"/>
      <c r="B28" s="77" t="s">
        <v>58</v>
      </c>
      <c r="C28" s="78"/>
      <c r="D28" s="79" t="s">
        <v>95</v>
      </c>
      <c r="E28" s="80"/>
      <c r="F28" s="80"/>
      <c r="G28" s="81"/>
      <c r="H28" s="52"/>
      <c r="I28" s="227"/>
      <c r="J28" s="52"/>
      <c r="K28" s="52"/>
      <c r="L28" s="52"/>
      <c r="M28" s="7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51">
        <f>SUM(I29)-2.9</f>
        <v>45.9</v>
      </c>
      <c r="I29" s="60">
        <v>48.8</v>
      </c>
      <c r="J29" s="51">
        <f>SUM(I29)+2.7</f>
        <v>51.5</v>
      </c>
      <c r="K29" s="51">
        <f>SUM(J29)+2.7</f>
        <v>54.2</v>
      </c>
      <c r="L29" s="51">
        <f>SUM(K29)+2.7</f>
        <v>56.900000000000006</v>
      </c>
      <c r="M29" s="75"/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23"/>
      <c r="I30" s="21"/>
      <c r="J30" s="23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51">
        <f>SUM(I31)-6</f>
        <v>25.6</v>
      </c>
      <c r="I31" s="60">
        <v>31.6</v>
      </c>
      <c r="J31" s="51">
        <f>SUM(I31)+6</f>
        <v>37.6</v>
      </c>
      <c r="K31" s="51">
        <f t="shared" ref="K31" si="8">SUM(J31)+6</f>
        <v>43.6</v>
      </c>
      <c r="L31" s="51">
        <f>SUM(K31)+4.5</f>
        <v>48.1</v>
      </c>
      <c r="M31" s="75"/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23"/>
      <c r="I32" s="21"/>
      <c r="J32" s="23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51">
        <f>SUM(I33)-2.2</f>
        <v>42.3</v>
      </c>
      <c r="I33" s="60">
        <v>44.5</v>
      </c>
      <c r="J33" s="51">
        <f>SUM(I33)+2.2</f>
        <v>46.7</v>
      </c>
      <c r="K33" s="51">
        <f t="shared" ref="K33:L33" si="9">SUM(J33)+2.2</f>
        <v>48.900000000000006</v>
      </c>
      <c r="L33" s="51">
        <f t="shared" si="9"/>
        <v>51.100000000000009</v>
      </c>
      <c r="M33" s="75"/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23"/>
      <c r="I34" s="21"/>
      <c r="J34" s="23"/>
      <c r="K34" s="23"/>
      <c r="L34" s="23"/>
      <c r="M34" s="7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51">
        <f>SUM(I35)-3.2</f>
        <v>31.099999999999998</v>
      </c>
      <c r="I35" s="60">
        <v>34.299999999999997</v>
      </c>
      <c r="J35" s="51">
        <f>SUM(I35)+3.2</f>
        <v>37.5</v>
      </c>
      <c r="K35" s="51">
        <f t="shared" ref="K35" si="10">SUM(J35)+3.3</f>
        <v>40.799999999999997</v>
      </c>
      <c r="L35" s="51">
        <f>SUM(K35)+3.2</f>
        <v>44</v>
      </c>
      <c r="M35" s="75"/>
    </row>
    <row r="36" spans="1:13" s="1" customFormat="1" ht="14.1" customHeight="1">
      <c r="A36" s="184"/>
      <c r="B36" s="144" t="s">
        <v>87</v>
      </c>
      <c r="C36" s="145"/>
      <c r="D36" s="200" t="s">
        <v>126</v>
      </c>
      <c r="E36" s="147"/>
      <c r="F36" s="147"/>
      <c r="G36" s="148"/>
      <c r="H36" s="47"/>
      <c r="I36" s="100"/>
      <c r="J36" s="47"/>
      <c r="K36" s="47"/>
      <c r="L36" s="47"/>
      <c r="M36" s="76"/>
    </row>
    <row r="37" spans="1:13" s="1" customFormat="1" ht="14.1" customHeight="1">
      <c r="A37" s="182">
        <v>18</v>
      </c>
      <c r="B37" s="49" t="s">
        <v>174</v>
      </c>
      <c r="C37" s="50"/>
      <c r="D37" s="57"/>
      <c r="E37" s="58"/>
      <c r="F37" s="58"/>
      <c r="G37" s="59"/>
      <c r="H37" s="214">
        <f>SUM(I37)-0.5</f>
        <v>10</v>
      </c>
      <c r="I37" s="60">
        <v>10.5</v>
      </c>
      <c r="J37" s="51">
        <f>SUM(I37)+0.5</f>
        <v>11</v>
      </c>
      <c r="K37" s="51">
        <f t="shared" ref="K37:L37" si="11">SUM(J37)+0.5</f>
        <v>11.5</v>
      </c>
      <c r="L37" s="51">
        <f t="shared" si="11"/>
        <v>12</v>
      </c>
      <c r="M37" s="75"/>
    </row>
    <row r="38" spans="1:13" s="1" customFormat="1" ht="14.1" customHeight="1">
      <c r="A38" s="184"/>
      <c r="B38" s="77" t="s">
        <v>175</v>
      </c>
      <c r="C38" s="78"/>
      <c r="D38" s="79"/>
      <c r="E38" s="80"/>
      <c r="F38" s="80"/>
      <c r="G38" s="81"/>
      <c r="H38" s="215"/>
      <c r="I38" s="21"/>
      <c r="J38" s="23"/>
      <c r="K38" s="23"/>
      <c r="L38" s="23"/>
      <c r="M38" s="76"/>
    </row>
    <row r="39" spans="1:13" s="1" customFormat="1" ht="14.1" customHeight="1">
      <c r="A39" s="182">
        <v>19</v>
      </c>
      <c r="B39" s="49" t="s">
        <v>141</v>
      </c>
      <c r="C39" s="50"/>
      <c r="D39" s="57"/>
      <c r="E39" s="58"/>
      <c r="F39" s="58"/>
      <c r="G39" s="59"/>
      <c r="H39" s="214">
        <f>SUM(I39)</f>
        <v>2.5</v>
      </c>
      <c r="I39" s="60">
        <v>2.5</v>
      </c>
      <c r="J39" s="51">
        <f>SUM(I39)</f>
        <v>2.5</v>
      </c>
      <c r="K39" s="51">
        <f t="shared" ref="K39:L39" si="12">SUM(J39)</f>
        <v>2.5</v>
      </c>
      <c r="L39" s="51">
        <f t="shared" si="12"/>
        <v>2.5</v>
      </c>
      <c r="M39" s="75"/>
    </row>
    <row r="40" spans="1:13" s="1" customFormat="1" ht="14.1" customHeight="1">
      <c r="A40" s="184"/>
      <c r="B40" s="53" t="s">
        <v>140</v>
      </c>
      <c r="C40" s="54"/>
      <c r="D40" s="200" t="s">
        <v>704</v>
      </c>
      <c r="E40" s="147"/>
      <c r="F40" s="147"/>
      <c r="G40" s="148"/>
      <c r="H40" s="215"/>
      <c r="I40" s="21"/>
      <c r="J40" s="23"/>
      <c r="K40" s="23"/>
      <c r="L40" s="23"/>
      <c r="M40" s="76"/>
    </row>
    <row r="41" spans="1:13" s="1" customFormat="1" ht="14.1" customHeight="1">
      <c r="A41" s="182">
        <v>20</v>
      </c>
      <c r="B41" s="49" t="s">
        <v>139</v>
      </c>
      <c r="C41" s="50"/>
      <c r="D41" s="57"/>
      <c r="E41" s="58"/>
      <c r="F41" s="58"/>
      <c r="G41" s="59"/>
      <c r="H41" s="214">
        <f>SUM(I41)-0.4</f>
        <v>7.7999999999999989</v>
      </c>
      <c r="I41" s="60">
        <v>8.1999999999999993</v>
      </c>
      <c r="J41" s="51">
        <f>SUM(I41)+0.4</f>
        <v>8.6</v>
      </c>
      <c r="K41" s="51">
        <f t="shared" ref="K41:L41" si="13">SUM(J41)+0.4</f>
        <v>9</v>
      </c>
      <c r="L41" s="51">
        <f t="shared" si="13"/>
        <v>9.4</v>
      </c>
      <c r="M41" s="75"/>
    </row>
    <row r="42" spans="1:13" s="1" customFormat="1" ht="14.1" customHeight="1" thickBot="1">
      <c r="A42" s="183"/>
      <c r="B42" s="27" t="s">
        <v>138</v>
      </c>
      <c r="C42" s="28"/>
      <c r="D42" s="199" t="s">
        <v>705</v>
      </c>
      <c r="E42" s="180"/>
      <c r="F42" s="180"/>
      <c r="G42" s="181"/>
      <c r="H42" s="232"/>
      <c r="I42" s="110"/>
      <c r="J42" s="48"/>
      <c r="K42" s="48"/>
      <c r="L42" s="48"/>
      <c r="M42" s="109"/>
    </row>
    <row r="43" spans="1:13" s="1" customFormat="1" ht="14.1" customHeight="1"/>
    <row r="44" spans="1:13" s="1" customFormat="1" ht="13.5" customHeight="1"/>
    <row r="45" spans="1:13" s="1" customFormat="1" ht="13.5" customHeight="1"/>
    <row r="46" spans="1:13" s="1" customFormat="1" ht="13.5" customHeight="1"/>
    <row r="47" spans="1:13" s="1" customFormat="1" ht="13.5" customHeight="1"/>
    <row r="48" spans="1:13" s="1" customFormat="1" ht="13.5" customHeight="1"/>
    <row r="49" spans="1:13" s="1" customFormat="1" ht="13.5" customHeight="1"/>
    <row r="50" spans="1:13" s="1" customFormat="1" ht="13.5" customHeight="1"/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D173-E215-4784-8223-00DE9DEE84F2}">
  <sheetPr>
    <tabColor theme="5"/>
    <pageSetUpPr fitToPage="1"/>
  </sheetPr>
  <dimension ref="A1:M61"/>
  <sheetViews>
    <sheetView topLeftCell="A19" zoomScale="110" zoomScaleNormal="110" workbookViewId="0">
      <selection activeCell="P17" sqref="P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808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751</v>
      </c>
      <c r="I2" s="20" t="s">
        <v>624</v>
      </c>
      <c r="J2" s="5" t="s">
        <v>63</v>
      </c>
      <c r="K2" s="8" t="s">
        <v>64</v>
      </c>
      <c r="L2" s="8" t="s">
        <v>65</v>
      </c>
      <c r="M2" s="8" t="s">
        <v>752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87">
        <f>SUM(I3)-2</f>
        <v>41</v>
      </c>
      <c r="I3" s="51">
        <f>SUM(J3)-2</f>
        <v>43</v>
      </c>
      <c r="J3" s="71">
        <v>45</v>
      </c>
      <c r="K3" s="70">
        <f>SUM(J3)+3</f>
        <v>48</v>
      </c>
      <c r="L3" s="70">
        <f>SUM(K3)+3</f>
        <v>51</v>
      </c>
      <c r="M3" s="84">
        <f>SUM(L3)+3</f>
        <v>54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86"/>
      <c r="I4" s="23"/>
      <c r="J4" s="21"/>
      <c r="K4" s="23"/>
      <c r="L4" s="23"/>
      <c r="M4" s="76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87"/>
      <c r="I5" s="51"/>
      <c r="J5" s="100"/>
      <c r="K5" s="47"/>
      <c r="L5" s="47"/>
      <c r="M5" s="104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86"/>
      <c r="I6" s="23"/>
      <c r="J6" s="21"/>
      <c r="K6" s="23"/>
      <c r="L6" s="23"/>
      <c r="M6" s="76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87"/>
      <c r="I7" s="51"/>
      <c r="J7" s="100"/>
      <c r="K7" s="47"/>
      <c r="L7" s="47"/>
      <c r="M7" s="104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86"/>
      <c r="I8" s="23"/>
      <c r="J8" s="21"/>
      <c r="K8" s="23"/>
      <c r="L8" s="23"/>
      <c r="M8" s="76"/>
    </row>
    <row r="9" spans="1:13" s="1" customFormat="1" ht="14.1" customHeight="1">
      <c r="A9" s="182">
        <v>4</v>
      </c>
      <c r="B9" s="49" t="s">
        <v>129</v>
      </c>
      <c r="C9" s="50"/>
      <c r="D9" s="189" t="s">
        <v>809</v>
      </c>
      <c r="E9" s="190"/>
      <c r="F9" s="190"/>
      <c r="G9" s="191"/>
      <c r="H9" s="87">
        <f>SUM(I9)-1.5</f>
        <v>35</v>
      </c>
      <c r="I9" s="51">
        <f>SUM(J9)-1.5</f>
        <v>36.5</v>
      </c>
      <c r="J9" s="100">
        <v>38</v>
      </c>
      <c r="K9" s="47">
        <f>SUM(J9)+2.2</f>
        <v>40.200000000000003</v>
      </c>
      <c r="L9" s="47">
        <f>SUM(K9)+2.2</f>
        <v>42.400000000000006</v>
      </c>
      <c r="M9" s="104">
        <f>SUM(L9)+2.2</f>
        <v>44.600000000000009</v>
      </c>
    </row>
    <row r="10" spans="1:13" s="1" customFormat="1" ht="14.1" customHeight="1">
      <c r="A10" s="184"/>
      <c r="B10" s="77" t="s">
        <v>128</v>
      </c>
      <c r="C10" s="78"/>
      <c r="D10" s="89" t="s">
        <v>810</v>
      </c>
      <c r="E10" s="90"/>
      <c r="F10" s="90"/>
      <c r="G10" s="91"/>
      <c r="H10" s="86"/>
      <c r="I10" s="23"/>
      <c r="J10" s="21"/>
      <c r="K10" s="23"/>
      <c r="L10" s="23"/>
      <c r="M10" s="76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87">
        <f>SUM(I11)-3</f>
        <v>58</v>
      </c>
      <c r="I11" s="51">
        <f>SUM(J11)-3</f>
        <v>61</v>
      </c>
      <c r="J11" s="100">
        <v>64</v>
      </c>
      <c r="K11" s="47">
        <f>SUM(J11)+4.5</f>
        <v>68.5</v>
      </c>
      <c r="L11" s="47">
        <f>SUM(K11)+4.5</f>
        <v>73</v>
      </c>
      <c r="M11" s="104">
        <f>SUM(L11)+4.5</f>
        <v>77.5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86"/>
      <c r="I12" s="23"/>
      <c r="J12" s="21"/>
      <c r="K12" s="23"/>
      <c r="L12" s="23"/>
      <c r="M12" s="76"/>
    </row>
    <row r="13" spans="1:13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87">
        <f>SUM(I13)-3</f>
        <v>72</v>
      </c>
      <c r="I13" s="51">
        <f>SUM(J13)-3</f>
        <v>75</v>
      </c>
      <c r="J13" s="60">
        <v>78</v>
      </c>
      <c r="K13" s="51">
        <f>SUM(J13)+5</f>
        <v>83</v>
      </c>
      <c r="L13" s="51">
        <f>SUM(K13)+5</f>
        <v>88</v>
      </c>
      <c r="M13" s="75">
        <f>SUM(L13)+5</f>
        <v>93</v>
      </c>
    </row>
    <row r="14" spans="1:13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86"/>
      <c r="I14" s="23"/>
      <c r="J14" s="21"/>
      <c r="K14" s="23"/>
      <c r="L14" s="23"/>
      <c r="M14" s="76"/>
    </row>
    <row r="15" spans="1:13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87">
        <f>SUM(I15)-0.7</f>
        <v>8.3000000000000007</v>
      </c>
      <c r="I15" s="51">
        <f>SUM(J15)-0</f>
        <v>9</v>
      </c>
      <c r="J15" s="60">
        <v>9</v>
      </c>
      <c r="K15" s="51">
        <f>SUM(J15)+0.7</f>
        <v>9.6999999999999993</v>
      </c>
      <c r="L15" s="51">
        <f>SUM(K15)+0.7</f>
        <v>10.399999999999999</v>
      </c>
      <c r="M15" s="185">
        <f>SUM(L15)+0.7</f>
        <v>11.099999999999998</v>
      </c>
    </row>
    <row r="16" spans="1:13" s="1" customFormat="1" ht="14.1" customHeight="1">
      <c r="A16" s="184"/>
      <c r="B16" s="77" t="s">
        <v>112</v>
      </c>
      <c r="C16" s="78"/>
      <c r="D16" s="139" t="s">
        <v>812</v>
      </c>
      <c r="E16" s="140"/>
      <c r="F16" s="140"/>
      <c r="G16" s="141"/>
      <c r="H16" s="86"/>
      <c r="I16" s="23"/>
      <c r="J16" s="21"/>
      <c r="K16" s="23"/>
      <c r="L16" s="23"/>
      <c r="M16" s="186"/>
    </row>
    <row r="17" spans="1:13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87"/>
      <c r="I17" s="51"/>
      <c r="J17" s="60"/>
      <c r="K17" s="51"/>
      <c r="L17" s="51"/>
      <c r="M17" s="185"/>
    </row>
    <row r="18" spans="1:13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86"/>
      <c r="I18" s="23"/>
      <c r="J18" s="21"/>
      <c r="K18" s="23"/>
      <c r="L18" s="23"/>
      <c r="M18" s="186"/>
    </row>
    <row r="19" spans="1:13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87">
        <f>SUM(I19)-0</f>
        <v>2.8</v>
      </c>
      <c r="I19" s="51">
        <f>SUM(J19)-0</f>
        <v>2.8</v>
      </c>
      <c r="J19" s="60">
        <v>2.8</v>
      </c>
      <c r="K19" s="51">
        <f>SUM(J19)+0</f>
        <v>2.8</v>
      </c>
      <c r="L19" s="51">
        <f>SUM(K19)+0</f>
        <v>2.8</v>
      </c>
      <c r="M19" s="75">
        <f>SUM(L19)+0.5</f>
        <v>3.3</v>
      </c>
    </row>
    <row r="20" spans="1:13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86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87">
        <f>SUM(I21)-7</f>
        <v>36</v>
      </c>
      <c r="I21" s="51">
        <f>SUM(J21)-7</f>
        <v>43</v>
      </c>
      <c r="J21" s="60">
        <v>50</v>
      </c>
      <c r="K21" s="51">
        <f>SUM(J21)+7</f>
        <v>57</v>
      </c>
      <c r="L21" s="51">
        <f>SUM(K21)+7</f>
        <v>64</v>
      </c>
      <c r="M21" s="75">
        <f>SUM(L21)+6</f>
        <v>70</v>
      </c>
    </row>
    <row r="22" spans="1:13" s="1" customFormat="1" ht="14.1" customHeight="1">
      <c r="A22" s="184"/>
      <c r="B22" s="77" t="s">
        <v>458</v>
      </c>
      <c r="C22" s="78"/>
      <c r="D22" s="79" t="s">
        <v>97</v>
      </c>
      <c r="E22" s="80"/>
      <c r="F22" s="80"/>
      <c r="G22" s="81"/>
      <c r="H22" s="86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87">
        <f>SUM(I23)-2</f>
        <v>40</v>
      </c>
      <c r="I23" s="51">
        <f>SUM(J23)-2</f>
        <v>42</v>
      </c>
      <c r="J23" s="60">
        <v>44</v>
      </c>
      <c r="K23" s="51">
        <f>SUM(J23)+2</f>
        <v>46</v>
      </c>
      <c r="L23" s="51">
        <f>SUM(K23)+2</f>
        <v>48</v>
      </c>
      <c r="M23" s="75">
        <f>SUM(L23)+2</f>
        <v>50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86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87">
        <f>SUM(I25)-0.8</f>
        <v>19.8</v>
      </c>
      <c r="I25" s="51">
        <f>SUM(J25)-0</f>
        <v>20.6</v>
      </c>
      <c r="J25" s="60">
        <v>20.6</v>
      </c>
      <c r="K25" s="51">
        <f>SUM(J25)+1.1</f>
        <v>21.700000000000003</v>
      </c>
      <c r="L25" s="51">
        <f>SUM(K25)+1.1</f>
        <v>22.800000000000004</v>
      </c>
      <c r="M25" s="185">
        <f>SUM(L25)+1.6</f>
        <v>24.400000000000006</v>
      </c>
    </row>
    <row r="26" spans="1:13" s="1" customFormat="1" ht="14.1" customHeight="1">
      <c r="A26" s="184"/>
      <c r="B26" s="77" t="s">
        <v>761</v>
      </c>
      <c r="C26" s="78"/>
      <c r="D26" s="79" t="s">
        <v>95</v>
      </c>
      <c r="E26" s="80"/>
      <c r="F26" s="80"/>
      <c r="G26" s="81"/>
      <c r="H26" s="86"/>
      <c r="I26" s="23"/>
      <c r="J26" s="21"/>
      <c r="K26" s="23"/>
      <c r="L26" s="23"/>
      <c r="M26" s="18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87">
        <f>SUM(I27)-1</f>
        <v>26.4</v>
      </c>
      <c r="I27" s="51">
        <f>SUM(J27)-0</f>
        <v>27.4</v>
      </c>
      <c r="J27" s="60">
        <v>27.4</v>
      </c>
      <c r="K27" s="51">
        <f>SUM(J27)+1.3</f>
        <v>28.7</v>
      </c>
      <c r="L27" s="51">
        <f>SUM(K27)+1.3</f>
        <v>30</v>
      </c>
      <c r="M27" s="185">
        <f>SUM(L27)+1.8</f>
        <v>31.8</v>
      </c>
    </row>
    <row r="28" spans="1:13" s="1" customFormat="1" ht="14.1" customHeight="1">
      <c r="A28" s="184"/>
      <c r="B28" s="77" t="s">
        <v>762</v>
      </c>
      <c r="C28" s="78"/>
      <c r="D28" s="79" t="s">
        <v>95</v>
      </c>
      <c r="E28" s="80"/>
      <c r="F28" s="80"/>
      <c r="G28" s="81"/>
      <c r="H28" s="86"/>
      <c r="I28" s="23"/>
      <c r="J28" s="21"/>
      <c r="K28" s="23"/>
      <c r="L28" s="23"/>
      <c r="M28" s="186"/>
    </row>
    <row r="29" spans="1:13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87"/>
      <c r="I29" s="51"/>
      <c r="J29" s="60"/>
      <c r="K29" s="51"/>
      <c r="L29" s="51"/>
      <c r="M29" s="75"/>
    </row>
    <row r="30" spans="1:13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86"/>
      <c r="I30" s="23"/>
      <c r="J30" s="21"/>
      <c r="K30" s="23"/>
      <c r="L30" s="23"/>
      <c r="M30" s="76"/>
    </row>
    <row r="31" spans="1:13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87"/>
      <c r="I31" s="51"/>
      <c r="J31" s="60"/>
      <c r="K31" s="51"/>
      <c r="L31" s="51"/>
      <c r="M31" s="75"/>
    </row>
    <row r="32" spans="1:13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86"/>
      <c r="I32" s="23"/>
      <c r="J32" s="21"/>
      <c r="K32" s="23"/>
      <c r="L32" s="23"/>
      <c r="M32" s="76"/>
    </row>
    <row r="33" spans="1:13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87"/>
      <c r="I33" s="51"/>
      <c r="J33" s="60"/>
      <c r="K33" s="51"/>
      <c r="L33" s="51"/>
      <c r="M33" s="185"/>
    </row>
    <row r="34" spans="1:13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86"/>
      <c r="I34" s="23"/>
      <c r="J34" s="21"/>
      <c r="K34" s="23"/>
      <c r="L34" s="23"/>
      <c r="M34" s="186"/>
    </row>
    <row r="35" spans="1:13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87"/>
      <c r="I35" s="51"/>
      <c r="J35" s="60"/>
      <c r="K35" s="51"/>
      <c r="L35" s="51"/>
      <c r="M35" s="75"/>
    </row>
    <row r="36" spans="1:13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86"/>
      <c r="I36" s="23"/>
      <c r="J36" s="21"/>
      <c r="K36" s="23"/>
      <c r="L36" s="23"/>
      <c r="M36" s="76"/>
    </row>
    <row r="37" spans="1:13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87">
        <f>SUM(I37)-0.2</f>
        <v>3.6999999999999993</v>
      </c>
      <c r="I37" s="51">
        <f>SUM(J37)-0.2</f>
        <v>3.8999999999999995</v>
      </c>
      <c r="J37" s="39">
        <v>4.0999999999999996</v>
      </c>
      <c r="K37" s="32">
        <f>SUM(J37)+0.2</f>
        <v>4.3</v>
      </c>
      <c r="L37" s="32">
        <f>SUM(K37)+0.2</f>
        <v>4.5</v>
      </c>
      <c r="M37" s="82">
        <f>SUM(L37)+0.2</f>
        <v>4.7</v>
      </c>
    </row>
    <row r="38" spans="1:13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86"/>
      <c r="I38" s="23"/>
      <c r="J38" s="39"/>
      <c r="K38" s="32"/>
      <c r="L38" s="32"/>
      <c r="M38" s="82"/>
    </row>
    <row r="39" spans="1:13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87">
        <f>SUM(I39)-0.6</f>
        <v>8.1000000000000014</v>
      </c>
      <c r="I39" s="51">
        <f>SUM(J39)-0.6</f>
        <v>8.7000000000000011</v>
      </c>
      <c r="J39" s="60">
        <v>9.3000000000000007</v>
      </c>
      <c r="K39" s="51">
        <f>SUM(J39)+0.6</f>
        <v>9.9</v>
      </c>
      <c r="L39" s="51">
        <f>SUM(K39)+0.6</f>
        <v>10.5</v>
      </c>
      <c r="M39" s="75">
        <f>SUM(L39)+0.6</f>
        <v>11.1</v>
      </c>
    </row>
    <row r="40" spans="1:13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86"/>
      <c r="I40" s="23"/>
      <c r="J40" s="21"/>
      <c r="K40" s="23"/>
      <c r="L40" s="23"/>
      <c r="M40" s="76"/>
    </row>
    <row r="41" spans="1:13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87">
        <f>SUM(I41)-0.5</f>
        <v>10</v>
      </c>
      <c r="I41" s="51">
        <f>SUM(J41)-0.5</f>
        <v>10.5</v>
      </c>
      <c r="J41" s="60">
        <v>11</v>
      </c>
      <c r="K41" s="51">
        <f>SUM(J41)+0.5</f>
        <v>11.5</v>
      </c>
      <c r="L41" s="51">
        <f>SUM(K41)+0.5</f>
        <v>12</v>
      </c>
      <c r="M41" s="75">
        <f>SUM(L41)+0.5</f>
        <v>12.5</v>
      </c>
    </row>
    <row r="42" spans="1:13" s="1" customFormat="1" ht="14.1" customHeight="1">
      <c r="A42" s="184"/>
      <c r="B42" s="34" t="s">
        <v>106</v>
      </c>
      <c r="C42" s="35"/>
      <c r="D42" s="36" t="s">
        <v>811</v>
      </c>
      <c r="E42" s="37"/>
      <c r="F42" s="37"/>
      <c r="G42" s="38"/>
      <c r="H42" s="86"/>
      <c r="I42" s="23"/>
      <c r="J42" s="21"/>
      <c r="K42" s="23"/>
      <c r="L42" s="23"/>
      <c r="M42" s="76"/>
    </row>
    <row r="43" spans="1:13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87">
        <f>SUM(I43)-0.5</f>
        <v>11</v>
      </c>
      <c r="I43" s="51">
        <f>SUM(J43)-0.5</f>
        <v>11.5</v>
      </c>
      <c r="J43" s="60">
        <v>12</v>
      </c>
      <c r="K43" s="51">
        <f>SUM(J43)+0.5</f>
        <v>12.5</v>
      </c>
      <c r="L43" s="51">
        <f>SUM(K43)+0.5</f>
        <v>13</v>
      </c>
      <c r="M43" s="75">
        <f>SUM(L43)+0.5</f>
        <v>13.5</v>
      </c>
    </row>
    <row r="44" spans="1:13" s="1" customFormat="1" ht="13.5" customHeight="1">
      <c r="A44" s="182"/>
      <c r="B44" s="105" t="s">
        <v>104</v>
      </c>
      <c r="C44" s="105"/>
      <c r="D44" s="67" t="s">
        <v>782</v>
      </c>
      <c r="E44" s="68"/>
      <c r="F44" s="68"/>
      <c r="G44" s="69"/>
      <c r="H44" s="88"/>
      <c r="I44" s="47"/>
      <c r="J44" s="100"/>
      <c r="K44" s="47"/>
      <c r="L44" s="47"/>
      <c r="M44" s="104"/>
    </row>
    <row r="45" spans="1:13" s="1" customFormat="1" ht="13.5" customHeight="1">
      <c r="A45" s="201">
        <v>22</v>
      </c>
      <c r="B45" s="49"/>
      <c r="C45" s="50"/>
      <c r="D45" s="55"/>
      <c r="E45" s="55"/>
      <c r="F45" s="55"/>
      <c r="G45" s="55"/>
      <c r="H45" s="87"/>
      <c r="I45" s="51"/>
      <c r="J45" s="60"/>
      <c r="K45" s="51"/>
      <c r="L45" s="51"/>
      <c r="M45" s="75"/>
    </row>
    <row r="46" spans="1:13" s="1" customFormat="1" ht="13.5" customHeight="1">
      <c r="A46" s="184"/>
      <c r="B46" s="34"/>
      <c r="C46" s="35"/>
      <c r="D46" s="36"/>
      <c r="E46" s="37"/>
      <c r="F46" s="37"/>
      <c r="G46" s="38"/>
      <c r="H46" s="86"/>
      <c r="I46" s="23"/>
      <c r="J46" s="21"/>
      <c r="K46" s="23"/>
      <c r="L46" s="23"/>
      <c r="M46" s="76"/>
    </row>
    <row r="47" spans="1:13" s="1" customFormat="1" ht="13.5" customHeight="1">
      <c r="A47" s="182">
        <v>23</v>
      </c>
      <c r="B47" s="53"/>
      <c r="C47" s="54"/>
      <c r="D47" s="99"/>
      <c r="E47" s="99"/>
      <c r="F47" s="99"/>
      <c r="G47" s="99"/>
      <c r="H47" s="88"/>
      <c r="I47" s="47"/>
      <c r="J47" s="100"/>
      <c r="K47" s="47"/>
      <c r="L47" s="47"/>
      <c r="M47" s="104"/>
    </row>
    <row r="48" spans="1:13" s="1" customFormat="1" ht="13.5" customHeight="1" thickBot="1">
      <c r="A48" s="183"/>
      <c r="B48" s="132"/>
      <c r="C48" s="132"/>
      <c r="D48" s="29"/>
      <c r="E48" s="30"/>
      <c r="F48" s="30"/>
      <c r="G48" s="31"/>
      <c r="H48" s="176"/>
      <c r="I48" s="48"/>
      <c r="J48" s="110"/>
      <c r="K48" s="48"/>
      <c r="L48" s="48"/>
      <c r="M48" s="109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56">
    <mergeCell ref="A45:A46"/>
    <mergeCell ref="A47:A48"/>
    <mergeCell ref="L47:L48"/>
    <mergeCell ref="M47:M48"/>
    <mergeCell ref="B48:C48"/>
    <mergeCell ref="D48:G48"/>
    <mergeCell ref="L45:L46"/>
    <mergeCell ref="M45:M46"/>
    <mergeCell ref="B46:C46"/>
    <mergeCell ref="D46:G46"/>
    <mergeCell ref="B47:C47"/>
    <mergeCell ref="D47:G47"/>
    <mergeCell ref="H47:H48"/>
    <mergeCell ref="I47:I48"/>
    <mergeCell ref="J47:J48"/>
    <mergeCell ref="K47:K48"/>
    <mergeCell ref="B45:C45"/>
    <mergeCell ref="D45:G45"/>
    <mergeCell ref="H45:H46"/>
    <mergeCell ref="I45:I46"/>
    <mergeCell ref="J45:J46"/>
    <mergeCell ref="K45:K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752B-5D94-469B-B4D3-DE261419E81D}">
  <sheetPr>
    <tabColor theme="5"/>
    <pageSetUpPr fitToPage="1"/>
  </sheetPr>
  <dimension ref="A1:N61"/>
  <sheetViews>
    <sheetView topLeftCell="A16" zoomScale="110" zoomScaleNormal="110" workbookViewId="0">
      <selection sqref="A1:N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50" t="s">
        <v>813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751</v>
      </c>
      <c r="I2" s="20" t="s">
        <v>624</v>
      </c>
      <c r="J2" s="5" t="s">
        <v>63</v>
      </c>
      <c r="K2" s="8" t="s">
        <v>64</v>
      </c>
      <c r="L2" s="8" t="s">
        <v>65</v>
      </c>
      <c r="M2" s="16" t="s">
        <v>66</v>
      </c>
      <c r="N2" s="8" t="s">
        <v>135</v>
      </c>
    </row>
    <row r="3" spans="1:14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87">
        <f>SUM(I3)-2</f>
        <v>41</v>
      </c>
      <c r="I3" s="51">
        <f>SUM(J3)-2</f>
        <v>43</v>
      </c>
      <c r="J3" s="71">
        <v>45</v>
      </c>
      <c r="K3" s="70">
        <f>SUM(J3)+3</f>
        <v>48</v>
      </c>
      <c r="L3" s="70">
        <f>SUM(K3)+3</f>
        <v>51</v>
      </c>
      <c r="M3" s="70">
        <f>SUM(L3)+3</f>
        <v>54</v>
      </c>
      <c r="N3" s="84">
        <f>SUM(M3)+3</f>
        <v>57</v>
      </c>
    </row>
    <row r="4" spans="1:14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86"/>
      <c r="I4" s="23"/>
      <c r="J4" s="21"/>
      <c r="K4" s="23"/>
      <c r="L4" s="23"/>
      <c r="M4" s="23"/>
      <c r="N4" s="76"/>
    </row>
    <row r="5" spans="1:14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87"/>
      <c r="I5" s="51"/>
      <c r="J5" s="100"/>
      <c r="K5" s="47"/>
      <c r="L5" s="47"/>
      <c r="M5" s="47"/>
      <c r="N5" s="104"/>
    </row>
    <row r="6" spans="1:14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86"/>
      <c r="I6" s="23"/>
      <c r="J6" s="21"/>
      <c r="K6" s="23"/>
      <c r="L6" s="23"/>
      <c r="M6" s="23"/>
      <c r="N6" s="76"/>
    </row>
    <row r="7" spans="1:14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87"/>
      <c r="I7" s="51"/>
      <c r="J7" s="100"/>
      <c r="K7" s="47"/>
      <c r="L7" s="47"/>
      <c r="M7" s="47"/>
      <c r="N7" s="104"/>
    </row>
    <row r="8" spans="1:14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86"/>
      <c r="I8" s="23"/>
      <c r="J8" s="21"/>
      <c r="K8" s="23"/>
      <c r="L8" s="23"/>
      <c r="M8" s="23"/>
      <c r="N8" s="76"/>
    </row>
    <row r="9" spans="1:14" s="1" customFormat="1" ht="14.1" customHeight="1">
      <c r="A9" s="182">
        <v>4</v>
      </c>
      <c r="B9" s="49" t="s">
        <v>129</v>
      </c>
      <c r="C9" s="50"/>
      <c r="D9" s="189" t="s">
        <v>809</v>
      </c>
      <c r="E9" s="190"/>
      <c r="F9" s="190"/>
      <c r="G9" s="191"/>
      <c r="H9" s="87">
        <f>SUM(I9)-1.5</f>
        <v>35</v>
      </c>
      <c r="I9" s="51">
        <f>SUM(J9)-1.5</f>
        <v>36.5</v>
      </c>
      <c r="J9" s="100">
        <v>38</v>
      </c>
      <c r="K9" s="47">
        <f>SUM(J9)+2.2</f>
        <v>40.200000000000003</v>
      </c>
      <c r="L9" s="47">
        <f>SUM(K9)+2.2</f>
        <v>42.400000000000006</v>
      </c>
      <c r="M9" s="47">
        <f>SUM(L9)+2.2</f>
        <v>44.600000000000009</v>
      </c>
      <c r="N9" s="104">
        <f>SUM(M9)+2.2</f>
        <v>46.800000000000011</v>
      </c>
    </row>
    <row r="10" spans="1:14" s="1" customFormat="1" ht="14.1" customHeight="1">
      <c r="A10" s="184"/>
      <c r="B10" s="77" t="s">
        <v>128</v>
      </c>
      <c r="C10" s="78"/>
      <c r="D10" s="89" t="s">
        <v>810</v>
      </c>
      <c r="E10" s="90"/>
      <c r="F10" s="90"/>
      <c r="G10" s="91"/>
      <c r="H10" s="86"/>
      <c r="I10" s="23"/>
      <c r="J10" s="21"/>
      <c r="K10" s="23"/>
      <c r="L10" s="23"/>
      <c r="M10" s="23"/>
      <c r="N10" s="76"/>
    </row>
    <row r="11" spans="1:14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87">
        <f>SUM(I11)-3</f>
        <v>59</v>
      </c>
      <c r="I11" s="51">
        <f>SUM(J11)-3</f>
        <v>62</v>
      </c>
      <c r="J11" s="100">
        <v>65</v>
      </c>
      <c r="K11" s="47">
        <f>SUM(J11)+4.5</f>
        <v>69.5</v>
      </c>
      <c r="L11" s="47">
        <f>SUM(K11)+4.5</f>
        <v>74</v>
      </c>
      <c r="M11" s="47">
        <f>SUM(L11)+4.5</f>
        <v>78.5</v>
      </c>
      <c r="N11" s="104">
        <f>SUM(M11)+4.5</f>
        <v>83</v>
      </c>
    </row>
    <row r="12" spans="1:14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86"/>
      <c r="I12" s="23"/>
      <c r="J12" s="21"/>
      <c r="K12" s="23"/>
      <c r="L12" s="23"/>
      <c r="M12" s="23"/>
      <c r="N12" s="76"/>
    </row>
    <row r="13" spans="1:14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87">
        <f>SUM(I13)-3</f>
        <v>74</v>
      </c>
      <c r="I13" s="51">
        <f>SUM(J13)-3</f>
        <v>77</v>
      </c>
      <c r="J13" s="60">
        <v>80</v>
      </c>
      <c r="K13" s="51">
        <f>SUM(J13)+5</f>
        <v>85</v>
      </c>
      <c r="L13" s="51">
        <f>SUM(K13)+5</f>
        <v>90</v>
      </c>
      <c r="M13" s="51">
        <f>SUM(L13)+5</f>
        <v>95</v>
      </c>
      <c r="N13" s="75">
        <f>SUM(M13)+5</f>
        <v>100</v>
      </c>
    </row>
    <row r="14" spans="1:14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86"/>
      <c r="I14" s="23"/>
      <c r="J14" s="21"/>
      <c r="K14" s="23"/>
      <c r="L14" s="23"/>
      <c r="M14" s="23"/>
      <c r="N14" s="76"/>
    </row>
    <row r="15" spans="1:14" s="1" customFormat="1" ht="14.1" customHeight="1">
      <c r="A15" s="182">
        <v>7</v>
      </c>
      <c r="B15" s="49" t="s">
        <v>113</v>
      </c>
      <c r="C15" s="50"/>
      <c r="D15" s="57"/>
      <c r="E15" s="58"/>
      <c r="F15" s="58"/>
      <c r="G15" s="59"/>
      <c r="H15" s="87">
        <f>SUM(I15)-0.7</f>
        <v>8.3000000000000007</v>
      </c>
      <c r="I15" s="51">
        <f>SUM(J15)-0</f>
        <v>9</v>
      </c>
      <c r="J15" s="60">
        <v>9</v>
      </c>
      <c r="K15" s="51">
        <f>SUM(J15)+0.7</f>
        <v>9.6999999999999993</v>
      </c>
      <c r="L15" s="51">
        <f>SUM(K15)+0.7</f>
        <v>10.399999999999999</v>
      </c>
      <c r="M15" s="56">
        <f>SUM(L15)+0.7</f>
        <v>11.099999999999998</v>
      </c>
      <c r="N15" s="185">
        <f>SUM(M15)+0.7</f>
        <v>11.799999999999997</v>
      </c>
    </row>
    <row r="16" spans="1:14" s="1" customFormat="1" ht="14.1" customHeight="1">
      <c r="A16" s="184"/>
      <c r="B16" s="77" t="s">
        <v>112</v>
      </c>
      <c r="C16" s="78"/>
      <c r="D16" s="139" t="s">
        <v>144</v>
      </c>
      <c r="E16" s="140"/>
      <c r="F16" s="140"/>
      <c r="G16" s="141"/>
      <c r="H16" s="86"/>
      <c r="I16" s="23"/>
      <c r="J16" s="21"/>
      <c r="K16" s="23"/>
      <c r="L16" s="23"/>
      <c r="M16" s="52"/>
      <c r="N16" s="186"/>
    </row>
    <row r="17" spans="1:14" s="1" customFormat="1" ht="14.1" customHeight="1">
      <c r="A17" s="182">
        <v>8</v>
      </c>
      <c r="B17" s="49" t="s">
        <v>132</v>
      </c>
      <c r="C17" s="50"/>
      <c r="D17" s="57"/>
      <c r="E17" s="58"/>
      <c r="F17" s="58"/>
      <c r="G17" s="59"/>
      <c r="H17" s="87">
        <f>SUM(I17)-0.7</f>
        <v>8.3000000000000007</v>
      </c>
      <c r="I17" s="51">
        <f>SUM(J17)-0</f>
        <v>9</v>
      </c>
      <c r="J17" s="60">
        <v>9</v>
      </c>
      <c r="K17" s="51">
        <f>SUM(J17)+0.7</f>
        <v>9.6999999999999993</v>
      </c>
      <c r="L17" s="51">
        <f>SUM(K17)+0.7</f>
        <v>10.399999999999999</v>
      </c>
      <c r="M17" s="56">
        <f>SUM(L17)+0.7</f>
        <v>11.099999999999998</v>
      </c>
      <c r="N17" s="185">
        <f>SUM(M17)+0.7</f>
        <v>11.799999999999997</v>
      </c>
    </row>
    <row r="18" spans="1:14" s="1" customFormat="1" ht="14.1" customHeight="1">
      <c r="A18" s="184"/>
      <c r="B18" s="77" t="s">
        <v>133</v>
      </c>
      <c r="C18" s="78"/>
      <c r="D18" s="139" t="s">
        <v>134</v>
      </c>
      <c r="E18" s="140"/>
      <c r="F18" s="140"/>
      <c r="G18" s="141"/>
      <c r="H18" s="86"/>
      <c r="I18" s="23"/>
      <c r="J18" s="21"/>
      <c r="K18" s="23"/>
      <c r="L18" s="23"/>
      <c r="M18" s="52"/>
      <c r="N18" s="186"/>
    </row>
    <row r="19" spans="1:14" s="1" customFormat="1" ht="14.1" customHeight="1">
      <c r="A19" s="182">
        <v>9</v>
      </c>
      <c r="B19" s="49" t="s">
        <v>143</v>
      </c>
      <c r="C19" s="50"/>
      <c r="D19" s="57"/>
      <c r="E19" s="58"/>
      <c r="F19" s="58"/>
      <c r="G19" s="59"/>
      <c r="H19" s="87">
        <f>SUM(I19)-0</f>
        <v>2.8</v>
      </c>
      <c r="I19" s="51">
        <f>SUM(J19)-0</f>
        <v>2.8</v>
      </c>
      <c r="J19" s="60">
        <v>2.8</v>
      </c>
      <c r="K19" s="51">
        <f>SUM(J19)+0</f>
        <v>2.8</v>
      </c>
      <c r="L19" s="51">
        <f>SUM(K19)+0</f>
        <v>2.8</v>
      </c>
      <c r="M19" s="51">
        <f>SUM(L19)+0.5</f>
        <v>3.3</v>
      </c>
      <c r="N19" s="75">
        <f>SUM(M19)+0.5</f>
        <v>3.8</v>
      </c>
    </row>
    <row r="20" spans="1:14" s="1" customFormat="1" ht="14.1" customHeight="1">
      <c r="A20" s="184"/>
      <c r="B20" s="77" t="s">
        <v>142</v>
      </c>
      <c r="C20" s="78"/>
      <c r="D20" s="139"/>
      <c r="E20" s="140"/>
      <c r="F20" s="140"/>
      <c r="G20" s="141"/>
      <c r="H20" s="86"/>
      <c r="I20" s="23"/>
      <c r="J20" s="21"/>
      <c r="K20" s="23"/>
      <c r="L20" s="23"/>
      <c r="M20" s="23"/>
      <c r="N20" s="76"/>
    </row>
    <row r="21" spans="1:14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87">
        <f>SUM(I21)-7</f>
        <v>38</v>
      </c>
      <c r="I21" s="51">
        <f>SUM(J21)-7</f>
        <v>45</v>
      </c>
      <c r="J21" s="60">
        <v>52</v>
      </c>
      <c r="K21" s="51">
        <f>SUM(J21)+7</f>
        <v>59</v>
      </c>
      <c r="L21" s="51">
        <f>SUM(K21)+7</f>
        <v>66</v>
      </c>
      <c r="M21" s="51">
        <f>SUM(L21)+6</f>
        <v>72</v>
      </c>
      <c r="N21" s="75">
        <f>SUM(M21)+6</f>
        <v>78</v>
      </c>
    </row>
    <row r="22" spans="1:14" s="1" customFormat="1" ht="14.1" customHeight="1">
      <c r="A22" s="184"/>
      <c r="B22" s="77" t="s">
        <v>814</v>
      </c>
      <c r="C22" s="78"/>
      <c r="D22" s="79" t="s">
        <v>97</v>
      </c>
      <c r="E22" s="80"/>
      <c r="F22" s="80"/>
      <c r="G22" s="81"/>
      <c r="H22" s="86"/>
      <c r="I22" s="23"/>
      <c r="J22" s="21"/>
      <c r="K22" s="23"/>
      <c r="L22" s="23"/>
      <c r="M22" s="23"/>
      <c r="N22" s="76"/>
    </row>
    <row r="23" spans="1:14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87">
        <f>SUM(I23)-1.6</f>
        <v>28.799999999999997</v>
      </c>
      <c r="I23" s="51">
        <f>SUM(J23)-1.6</f>
        <v>30.4</v>
      </c>
      <c r="J23" s="60">
        <v>32</v>
      </c>
      <c r="K23" s="51">
        <f>SUM(J23)+1.6</f>
        <v>33.6</v>
      </c>
      <c r="L23" s="51">
        <f>SUM(K23)+1.6</f>
        <v>35.200000000000003</v>
      </c>
      <c r="M23" s="51">
        <f>SUM(L23)+1.6</f>
        <v>36.800000000000004</v>
      </c>
      <c r="N23" s="75">
        <f>SUM(M23)+1.6</f>
        <v>38.400000000000006</v>
      </c>
    </row>
    <row r="24" spans="1:14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86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87">
        <f>SUM(I25)-0.8</f>
        <v>19.8</v>
      </c>
      <c r="I25" s="51">
        <f>SUM(J25)-0</f>
        <v>20.6</v>
      </c>
      <c r="J25" s="60">
        <v>20.6</v>
      </c>
      <c r="K25" s="51">
        <f>SUM(J25)+1.1</f>
        <v>21.700000000000003</v>
      </c>
      <c r="L25" s="51">
        <f>SUM(K25)+1.1</f>
        <v>22.800000000000004</v>
      </c>
      <c r="M25" s="56">
        <f>SUM(L25)+1.6</f>
        <v>24.400000000000006</v>
      </c>
      <c r="N25" s="185">
        <f>SUM(M25)+1.6</f>
        <v>26.000000000000007</v>
      </c>
    </row>
    <row r="26" spans="1:14" s="1" customFormat="1" ht="14.1" customHeight="1">
      <c r="A26" s="184"/>
      <c r="B26" s="77" t="s">
        <v>767</v>
      </c>
      <c r="C26" s="78"/>
      <c r="D26" s="79" t="s">
        <v>95</v>
      </c>
      <c r="E26" s="80"/>
      <c r="F26" s="80"/>
      <c r="G26" s="81"/>
      <c r="H26" s="86"/>
      <c r="I26" s="23"/>
      <c r="J26" s="21"/>
      <c r="K26" s="23"/>
      <c r="L26" s="23"/>
      <c r="M26" s="52"/>
      <c r="N26" s="186"/>
    </row>
    <row r="27" spans="1:14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87">
        <f>SUM(I27)-1</f>
        <v>26.4</v>
      </c>
      <c r="I27" s="51">
        <f>SUM(J27)-0</f>
        <v>27.4</v>
      </c>
      <c r="J27" s="60">
        <v>27.4</v>
      </c>
      <c r="K27" s="51">
        <f>SUM(J27)+1.3</f>
        <v>28.7</v>
      </c>
      <c r="L27" s="51">
        <f>SUM(K27)+1.3</f>
        <v>30</v>
      </c>
      <c r="M27" s="56">
        <f>SUM(L27)+1.8</f>
        <v>31.8</v>
      </c>
      <c r="N27" s="185">
        <f>SUM(M27)+1.8</f>
        <v>33.6</v>
      </c>
    </row>
    <row r="28" spans="1:14" s="1" customFormat="1" ht="14.1" customHeight="1">
      <c r="A28" s="184"/>
      <c r="B28" s="77" t="s">
        <v>768</v>
      </c>
      <c r="C28" s="78"/>
      <c r="D28" s="79" t="s">
        <v>95</v>
      </c>
      <c r="E28" s="80"/>
      <c r="F28" s="80"/>
      <c r="G28" s="81"/>
      <c r="H28" s="86"/>
      <c r="I28" s="23"/>
      <c r="J28" s="21"/>
      <c r="K28" s="23"/>
      <c r="L28" s="23"/>
      <c r="M28" s="52"/>
      <c r="N28" s="186"/>
    </row>
    <row r="29" spans="1:14" s="1" customFormat="1" ht="14.1" customHeight="1">
      <c r="A29" s="182">
        <v>14</v>
      </c>
      <c r="B29" s="49" t="s">
        <v>18</v>
      </c>
      <c r="C29" s="50"/>
      <c r="D29" s="57" t="s">
        <v>19</v>
      </c>
      <c r="E29" s="58"/>
      <c r="F29" s="58"/>
      <c r="G29" s="59"/>
      <c r="H29" s="87"/>
      <c r="I29" s="51"/>
      <c r="J29" s="60"/>
      <c r="K29" s="51"/>
      <c r="L29" s="51"/>
      <c r="M29" s="51"/>
      <c r="N29" s="75"/>
    </row>
    <row r="30" spans="1:14" s="1" customFormat="1" ht="14.1" customHeight="1">
      <c r="A30" s="184"/>
      <c r="B30" s="77" t="s">
        <v>57</v>
      </c>
      <c r="C30" s="78"/>
      <c r="D30" s="79" t="s">
        <v>94</v>
      </c>
      <c r="E30" s="80"/>
      <c r="F30" s="80"/>
      <c r="G30" s="81"/>
      <c r="H30" s="86"/>
      <c r="I30" s="23"/>
      <c r="J30" s="21"/>
      <c r="K30" s="23"/>
      <c r="L30" s="23"/>
      <c r="M30" s="23"/>
      <c r="N30" s="76"/>
    </row>
    <row r="31" spans="1:14" s="1" customFormat="1" ht="14.1" customHeight="1">
      <c r="A31" s="182">
        <v>15</v>
      </c>
      <c r="B31" s="49" t="s">
        <v>20</v>
      </c>
      <c r="C31" s="50"/>
      <c r="D31" s="57" t="s">
        <v>21</v>
      </c>
      <c r="E31" s="58"/>
      <c r="F31" s="58"/>
      <c r="G31" s="59"/>
      <c r="H31" s="87"/>
      <c r="I31" s="51"/>
      <c r="J31" s="60"/>
      <c r="K31" s="51"/>
      <c r="L31" s="51"/>
      <c r="M31" s="51"/>
      <c r="N31" s="75"/>
    </row>
    <row r="32" spans="1:14" s="1" customFormat="1" ht="14.1" customHeight="1">
      <c r="A32" s="184"/>
      <c r="B32" s="77" t="s">
        <v>56</v>
      </c>
      <c r="C32" s="78"/>
      <c r="D32" s="79" t="s">
        <v>93</v>
      </c>
      <c r="E32" s="80"/>
      <c r="F32" s="80"/>
      <c r="G32" s="81"/>
      <c r="H32" s="86"/>
      <c r="I32" s="23"/>
      <c r="J32" s="21"/>
      <c r="K32" s="23"/>
      <c r="L32" s="23"/>
      <c r="M32" s="23"/>
      <c r="N32" s="76"/>
    </row>
    <row r="33" spans="1:14" s="1" customFormat="1" ht="14.1" customHeight="1">
      <c r="A33" s="182">
        <v>16</v>
      </c>
      <c r="B33" s="49" t="s">
        <v>92</v>
      </c>
      <c r="C33" s="50"/>
      <c r="D33" s="57" t="s">
        <v>90</v>
      </c>
      <c r="E33" s="58"/>
      <c r="F33" s="58"/>
      <c r="G33" s="59"/>
      <c r="H33" s="87"/>
      <c r="I33" s="51"/>
      <c r="J33" s="60"/>
      <c r="K33" s="51"/>
      <c r="L33" s="51"/>
      <c r="M33" s="56"/>
      <c r="N33" s="185"/>
    </row>
    <row r="34" spans="1:14" s="1" customFormat="1" ht="14.1" customHeight="1">
      <c r="A34" s="184"/>
      <c r="B34" s="77" t="s">
        <v>91</v>
      </c>
      <c r="C34" s="78"/>
      <c r="D34" s="79" t="s">
        <v>90</v>
      </c>
      <c r="E34" s="80"/>
      <c r="F34" s="80"/>
      <c r="G34" s="81"/>
      <c r="H34" s="86"/>
      <c r="I34" s="23"/>
      <c r="J34" s="21"/>
      <c r="K34" s="23"/>
      <c r="L34" s="23"/>
      <c r="M34" s="52"/>
      <c r="N34" s="186"/>
    </row>
    <row r="35" spans="1:14" s="1" customFormat="1" ht="14.1" customHeight="1">
      <c r="A35" s="182">
        <v>17</v>
      </c>
      <c r="B35" s="49" t="s">
        <v>89</v>
      </c>
      <c r="C35" s="50"/>
      <c r="D35" s="57" t="s">
        <v>88</v>
      </c>
      <c r="E35" s="58"/>
      <c r="F35" s="58"/>
      <c r="G35" s="59"/>
      <c r="H35" s="87"/>
      <c r="I35" s="51"/>
      <c r="J35" s="60"/>
      <c r="K35" s="51"/>
      <c r="L35" s="51"/>
      <c r="M35" s="51"/>
      <c r="N35" s="75"/>
    </row>
    <row r="36" spans="1:14" s="1" customFormat="1" ht="14.1" customHeight="1">
      <c r="A36" s="184"/>
      <c r="B36" s="77" t="s">
        <v>87</v>
      </c>
      <c r="C36" s="78"/>
      <c r="D36" s="79" t="s">
        <v>126</v>
      </c>
      <c r="E36" s="80"/>
      <c r="F36" s="80"/>
      <c r="G36" s="81"/>
      <c r="H36" s="86"/>
      <c r="I36" s="23"/>
      <c r="J36" s="21"/>
      <c r="K36" s="23"/>
      <c r="L36" s="23"/>
      <c r="M36" s="23"/>
      <c r="N36" s="76"/>
    </row>
    <row r="37" spans="1:14" s="1" customFormat="1" ht="14.1" customHeight="1">
      <c r="A37" s="182">
        <v>18</v>
      </c>
      <c r="B37" s="49" t="s">
        <v>111</v>
      </c>
      <c r="C37" s="50"/>
      <c r="D37" s="57" t="s">
        <v>22</v>
      </c>
      <c r="E37" s="58"/>
      <c r="F37" s="58"/>
      <c r="G37" s="59"/>
      <c r="H37" s="87">
        <f>SUM(I37)-0.2</f>
        <v>4.0999999999999996</v>
      </c>
      <c r="I37" s="51">
        <f>SUM(J37)-0.2</f>
        <v>4.3</v>
      </c>
      <c r="J37" s="39">
        <v>4.5</v>
      </c>
      <c r="K37" s="32">
        <f>SUM(J37)+0.2</f>
        <v>4.7</v>
      </c>
      <c r="L37" s="32">
        <f>SUM(K37)+0.2</f>
        <v>4.9000000000000004</v>
      </c>
      <c r="M37" s="32">
        <f>SUM(L37)+0.2</f>
        <v>5.1000000000000005</v>
      </c>
      <c r="N37" s="82">
        <f>SUM(M37)+0.2</f>
        <v>5.3000000000000007</v>
      </c>
    </row>
    <row r="38" spans="1:14" s="1" customFormat="1" ht="14.1" customHeight="1">
      <c r="A38" s="184"/>
      <c r="B38" s="77" t="s">
        <v>55</v>
      </c>
      <c r="C38" s="78"/>
      <c r="D38" s="79" t="s">
        <v>110</v>
      </c>
      <c r="E38" s="80"/>
      <c r="F38" s="80"/>
      <c r="G38" s="81"/>
      <c r="H38" s="86"/>
      <c r="I38" s="23"/>
      <c r="J38" s="39"/>
      <c r="K38" s="32"/>
      <c r="L38" s="32"/>
      <c r="M38" s="32"/>
      <c r="N38" s="82"/>
    </row>
    <row r="39" spans="1:14" s="1" customFormat="1" ht="14.1" customHeight="1">
      <c r="A39" s="182">
        <v>19</v>
      </c>
      <c r="B39" s="49" t="s">
        <v>109</v>
      </c>
      <c r="C39" s="50"/>
      <c r="D39" s="57" t="s">
        <v>23</v>
      </c>
      <c r="E39" s="58"/>
      <c r="F39" s="58"/>
      <c r="G39" s="59"/>
      <c r="H39" s="87">
        <f>SUM(I39)-0.6</f>
        <v>7.8000000000000007</v>
      </c>
      <c r="I39" s="51">
        <f>SUM(J39)-0.6</f>
        <v>8.4</v>
      </c>
      <c r="J39" s="60">
        <v>9</v>
      </c>
      <c r="K39" s="51">
        <f>SUM(J39)+0.6</f>
        <v>9.6</v>
      </c>
      <c r="L39" s="51">
        <f>SUM(K39)+0.6</f>
        <v>10.199999999999999</v>
      </c>
      <c r="M39" s="51">
        <f>SUM(L39)+0.6</f>
        <v>10.799999999999999</v>
      </c>
      <c r="N39" s="75">
        <f>SUM(M39)+0.6</f>
        <v>11.399999999999999</v>
      </c>
    </row>
    <row r="40" spans="1:14" s="1" customFormat="1" ht="14.1" customHeight="1">
      <c r="A40" s="184"/>
      <c r="B40" s="77" t="s">
        <v>54</v>
      </c>
      <c r="C40" s="78"/>
      <c r="D40" s="79" t="s">
        <v>108</v>
      </c>
      <c r="E40" s="80"/>
      <c r="F40" s="80"/>
      <c r="G40" s="81"/>
      <c r="H40" s="86"/>
      <c r="I40" s="23"/>
      <c r="J40" s="21"/>
      <c r="K40" s="23"/>
      <c r="L40" s="23"/>
      <c r="M40" s="23"/>
      <c r="N40" s="76"/>
    </row>
    <row r="41" spans="1:14" s="1" customFormat="1" ht="14.1" customHeight="1">
      <c r="A41" s="182">
        <v>20</v>
      </c>
      <c r="B41" s="49" t="s">
        <v>107</v>
      </c>
      <c r="C41" s="50"/>
      <c r="D41" s="55"/>
      <c r="E41" s="55"/>
      <c r="F41" s="55"/>
      <c r="G41" s="55"/>
      <c r="H41" s="87">
        <f>SUM(I41)-0.5</f>
        <v>10</v>
      </c>
      <c r="I41" s="51">
        <f>SUM(J41)-0.5</f>
        <v>10.5</v>
      </c>
      <c r="J41" s="60">
        <v>11</v>
      </c>
      <c r="K41" s="51">
        <f>SUM(J41)+0.5</f>
        <v>11.5</v>
      </c>
      <c r="L41" s="51">
        <f>SUM(K41)+0.5</f>
        <v>12</v>
      </c>
      <c r="M41" s="51">
        <f>SUM(L41)+0.5</f>
        <v>12.5</v>
      </c>
      <c r="N41" s="75">
        <f>SUM(M41)+0.5</f>
        <v>13</v>
      </c>
    </row>
    <row r="42" spans="1:14" s="1" customFormat="1" ht="14.1" customHeight="1">
      <c r="A42" s="184"/>
      <c r="B42" s="34" t="s">
        <v>106</v>
      </c>
      <c r="C42" s="35"/>
      <c r="D42" s="36"/>
      <c r="E42" s="37"/>
      <c r="F42" s="37"/>
      <c r="G42" s="38"/>
      <c r="H42" s="86"/>
      <c r="I42" s="23"/>
      <c r="J42" s="21"/>
      <c r="K42" s="23"/>
      <c r="L42" s="23"/>
      <c r="M42" s="23"/>
      <c r="N42" s="76"/>
    </row>
    <row r="43" spans="1:14" s="1" customFormat="1" ht="14.1" customHeight="1">
      <c r="A43" s="182">
        <v>21</v>
      </c>
      <c r="B43" s="49" t="s">
        <v>105</v>
      </c>
      <c r="C43" s="50"/>
      <c r="D43" s="55"/>
      <c r="E43" s="55"/>
      <c r="F43" s="55"/>
      <c r="G43" s="55"/>
      <c r="H43" s="87">
        <f>SUM(I43)-0.5</f>
        <v>9.5</v>
      </c>
      <c r="I43" s="51">
        <f>SUM(J43)-0.5</f>
        <v>10</v>
      </c>
      <c r="J43" s="60">
        <v>10.5</v>
      </c>
      <c r="K43" s="51">
        <f>SUM(J43)+0.5</f>
        <v>11</v>
      </c>
      <c r="L43" s="51">
        <f>SUM(K43)+0.5</f>
        <v>11.5</v>
      </c>
      <c r="M43" s="51">
        <f>SUM(L43)+0.5</f>
        <v>12</v>
      </c>
      <c r="N43" s="75">
        <f>SUM(M43)+0.5</f>
        <v>12.5</v>
      </c>
    </row>
    <row r="44" spans="1:14" s="1" customFormat="1" ht="13.5" customHeight="1">
      <c r="A44" s="182"/>
      <c r="B44" s="105" t="s">
        <v>104</v>
      </c>
      <c r="C44" s="105"/>
      <c r="D44" s="67"/>
      <c r="E44" s="68"/>
      <c r="F44" s="68"/>
      <c r="G44" s="69"/>
      <c r="H44" s="88"/>
      <c r="I44" s="47"/>
      <c r="J44" s="100"/>
      <c r="K44" s="47"/>
      <c r="L44" s="47"/>
      <c r="M44" s="47"/>
      <c r="N44" s="104"/>
    </row>
    <row r="45" spans="1:14" s="1" customFormat="1" ht="13.5" customHeight="1">
      <c r="A45" s="201">
        <v>22</v>
      </c>
      <c r="B45" s="49"/>
      <c r="C45" s="50"/>
      <c r="D45" s="55"/>
      <c r="E45" s="55"/>
      <c r="F45" s="55"/>
      <c r="G45" s="55"/>
      <c r="H45" s="87"/>
      <c r="I45" s="51"/>
      <c r="J45" s="60"/>
      <c r="K45" s="51"/>
      <c r="L45" s="51"/>
      <c r="M45" s="51"/>
      <c r="N45" s="75"/>
    </row>
    <row r="46" spans="1:14" s="1" customFormat="1" ht="13.5" customHeight="1">
      <c r="A46" s="184"/>
      <c r="B46" s="34"/>
      <c r="C46" s="35"/>
      <c r="D46" s="36"/>
      <c r="E46" s="37"/>
      <c r="F46" s="37"/>
      <c r="G46" s="38"/>
      <c r="H46" s="86"/>
      <c r="I46" s="23"/>
      <c r="J46" s="21"/>
      <c r="K46" s="23"/>
      <c r="L46" s="23"/>
      <c r="M46" s="23"/>
      <c r="N46" s="76"/>
    </row>
    <row r="47" spans="1:14" s="1" customFormat="1" ht="13.5" customHeight="1">
      <c r="A47" s="182">
        <v>23</v>
      </c>
      <c r="B47" s="53"/>
      <c r="C47" s="54"/>
      <c r="D47" s="99"/>
      <c r="E47" s="99"/>
      <c r="F47" s="99"/>
      <c r="G47" s="99"/>
      <c r="H47" s="88"/>
      <c r="I47" s="47"/>
      <c r="J47" s="100"/>
      <c r="K47" s="47"/>
      <c r="L47" s="47"/>
      <c r="M47" s="47"/>
      <c r="N47" s="104"/>
    </row>
    <row r="48" spans="1:14" s="1" customFormat="1" ht="13.5" customHeight="1" thickBot="1">
      <c r="A48" s="183"/>
      <c r="B48" s="132"/>
      <c r="C48" s="132"/>
      <c r="D48" s="29"/>
      <c r="E48" s="30"/>
      <c r="F48" s="30"/>
      <c r="G48" s="31"/>
      <c r="H48" s="176"/>
      <c r="I48" s="48"/>
      <c r="J48" s="110"/>
      <c r="K48" s="48"/>
      <c r="L48" s="48"/>
      <c r="M48" s="48"/>
      <c r="N48" s="109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79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45:N46"/>
    <mergeCell ref="N47:N48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6ADB-1A0D-4BFB-85A0-1D8F861B42AB}">
  <sheetPr>
    <tabColor theme="5"/>
    <pageSetUpPr fitToPage="1"/>
  </sheetPr>
  <dimension ref="A1:P51"/>
  <sheetViews>
    <sheetView zoomScale="110" zoomScaleNormal="110" workbookViewId="0">
      <selection activeCell="N12" sqref="N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250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47</v>
      </c>
      <c r="I3" s="70">
        <f>SUM(J3)-3</f>
        <v>50</v>
      </c>
      <c r="J3" s="71">
        <v>53</v>
      </c>
      <c r="K3" s="70">
        <f>SUM(J3)+3</f>
        <v>56</v>
      </c>
      <c r="L3" s="70">
        <f>SUM(K3)+3</f>
        <v>59</v>
      </c>
      <c r="M3" s="72">
        <f>SUM(L3)+3</f>
        <v>62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5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47">
        <f>SUM(I5)-1.2</f>
        <v>17.600000000000001</v>
      </c>
      <c r="I5" s="47">
        <f>SUM(J5)-1.2</f>
        <v>18.8</v>
      </c>
      <c r="J5" s="100">
        <v>20</v>
      </c>
      <c r="K5" s="47">
        <f>SUM(J5)+1.2</f>
        <v>21.2</v>
      </c>
      <c r="L5" s="47">
        <f>SUM(K5)+1.2</f>
        <v>22.4</v>
      </c>
      <c r="M5" s="225">
        <f>SUM(L5)+1.2</f>
        <v>23.599999999999998</v>
      </c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25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>
        <f>SUM(I7)-1.8</f>
        <v>29.4</v>
      </c>
      <c r="I7" s="51">
        <f>SUM(J7)-1.8</f>
        <v>31.2</v>
      </c>
      <c r="J7" s="60">
        <v>33</v>
      </c>
      <c r="K7" s="51">
        <f>SUM(J7)+1.8</f>
        <v>34.799999999999997</v>
      </c>
      <c r="L7" s="51">
        <f>SUM(K7)+1.8</f>
        <v>36.599999999999994</v>
      </c>
      <c r="M7" s="61">
        <f>SUM(L7)+1.8</f>
        <v>38.399999999999991</v>
      </c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25"/>
      <c r="P8" s="10"/>
    </row>
    <row r="9" spans="1:16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>
        <f>SUM(I9)-1.8</f>
        <v>33.400000000000006</v>
      </c>
      <c r="I9" s="51">
        <f>SUM(J9)-1.8</f>
        <v>35.200000000000003</v>
      </c>
      <c r="J9" s="60">
        <v>37</v>
      </c>
      <c r="K9" s="51">
        <f>SUM(J9)+1.8</f>
        <v>38.799999999999997</v>
      </c>
      <c r="L9" s="51">
        <f>SUM(K9)+1.8</f>
        <v>40.599999999999994</v>
      </c>
      <c r="M9" s="61">
        <f>SUM(L9)+1.8</f>
        <v>42.399999999999991</v>
      </c>
      <c r="P9" s="10"/>
    </row>
    <row r="10" spans="1:16" s="1" customFormat="1" ht="14.1" customHeight="1">
      <c r="A10" s="184"/>
      <c r="B10" s="77" t="s">
        <v>128</v>
      </c>
      <c r="C10" s="78"/>
      <c r="D10" s="89" t="s">
        <v>251</v>
      </c>
      <c r="E10" s="90"/>
      <c r="F10" s="90"/>
      <c r="G10" s="91"/>
      <c r="H10" s="23"/>
      <c r="I10" s="23"/>
      <c r="J10" s="21"/>
      <c r="K10" s="23"/>
      <c r="L10" s="23"/>
      <c r="M10" s="25"/>
      <c r="P10" s="10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61</v>
      </c>
      <c r="I11" s="51">
        <f>SUM(J11)-4.5</f>
        <v>65.5</v>
      </c>
      <c r="J11" s="100">
        <v>70</v>
      </c>
      <c r="K11" s="47">
        <f>SUM(J11)+4.5</f>
        <v>74.5</v>
      </c>
      <c r="L11" s="47">
        <f>SUM(K11)+4.5</f>
        <v>79</v>
      </c>
      <c r="M11" s="225">
        <f>SUM(L11)+4.5</f>
        <v>83.5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5"/>
    </row>
    <row r="13" spans="1:16" s="1" customFormat="1" ht="14.1" customHeight="1">
      <c r="A13" s="182">
        <v>6</v>
      </c>
      <c r="B13" s="49" t="s">
        <v>119</v>
      </c>
      <c r="C13" s="50"/>
      <c r="D13" s="96" t="s">
        <v>73</v>
      </c>
      <c r="E13" s="97"/>
      <c r="F13" s="97"/>
      <c r="G13" s="98"/>
      <c r="H13" s="51">
        <f>SUM(I13)-2.5</f>
        <v>25</v>
      </c>
      <c r="I13" s="51">
        <f>SUM(J13)-2.5</f>
        <v>27.5</v>
      </c>
      <c r="J13" s="100">
        <v>30</v>
      </c>
      <c r="K13" s="47">
        <f>SUM(J13)+2.5</f>
        <v>32.5</v>
      </c>
      <c r="L13" s="47">
        <f>SUM(K13)+2.5</f>
        <v>35</v>
      </c>
      <c r="M13" s="225">
        <f>SUM(L13)+2.5</f>
        <v>37.5</v>
      </c>
    </row>
    <row r="14" spans="1:16" s="1" customFormat="1" ht="14.1" customHeight="1">
      <c r="A14" s="184"/>
      <c r="B14" s="23" t="s">
        <v>118</v>
      </c>
      <c r="C14" s="23"/>
      <c r="D14" s="89" t="s">
        <v>117</v>
      </c>
      <c r="E14" s="90"/>
      <c r="F14" s="90"/>
      <c r="G14" s="91"/>
      <c r="H14" s="23"/>
      <c r="I14" s="23"/>
      <c r="J14" s="21"/>
      <c r="K14" s="23"/>
      <c r="L14" s="23"/>
      <c r="M14" s="25"/>
    </row>
    <row r="15" spans="1:16" s="1" customFormat="1" ht="14.1" customHeight="1">
      <c r="A15" s="201">
        <v>7</v>
      </c>
      <c r="B15" s="56" t="s">
        <v>252</v>
      </c>
      <c r="C15" s="56"/>
      <c r="D15" s="96"/>
      <c r="E15" s="97"/>
      <c r="F15" s="97"/>
      <c r="G15" s="98"/>
      <c r="H15" s="51">
        <f>SUM(I15)-0.8</f>
        <v>6.9</v>
      </c>
      <c r="I15" s="51">
        <f>SUM(J15)-0.8</f>
        <v>7.7</v>
      </c>
      <c r="J15" s="60">
        <v>8.5</v>
      </c>
      <c r="K15" s="51">
        <f>SUM(J15)+0.3</f>
        <v>8.8000000000000007</v>
      </c>
      <c r="L15" s="51">
        <f>SUM(K15)+0.8</f>
        <v>9.6000000000000014</v>
      </c>
      <c r="M15" s="61">
        <f>SUM(L15)+0.8</f>
        <v>10.400000000000002</v>
      </c>
    </row>
    <row r="16" spans="1:16" s="1" customFormat="1" ht="14.1" customHeight="1">
      <c r="A16" s="182"/>
      <c r="B16" s="105" t="s">
        <v>253</v>
      </c>
      <c r="C16" s="105"/>
      <c r="D16" s="233"/>
      <c r="E16" s="234"/>
      <c r="F16" s="234"/>
      <c r="G16" s="235"/>
      <c r="H16" s="47"/>
      <c r="I16" s="47"/>
      <c r="J16" s="100"/>
      <c r="K16" s="47"/>
      <c r="L16" s="47"/>
      <c r="M16" s="225"/>
    </row>
    <row r="17" spans="1:13" s="1" customFormat="1" ht="14.1" customHeight="1">
      <c r="A17" s="201">
        <v>8</v>
      </c>
      <c r="B17" s="49" t="s">
        <v>254</v>
      </c>
      <c r="C17" s="50"/>
      <c r="D17" s="57"/>
      <c r="E17" s="58"/>
      <c r="F17" s="58"/>
      <c r="G17" s="59"/>
      <c r="H17" s="51">
        <f>SUM(I17)-0.5</f>
        <v>7.5</v>
      </c>
      <c r="I17" s="51">
        <f>SUM(J17)-0.5</f>
        <v>8</v>
      </c>
      <c r="J17" s="60">
        <v>8.5</v>
      </c>
      <c r="K17" s="51">
        <f>SUM(J17)+0.5</f>
        <v>9</v>
      </c>
      <c r="L17" s="51">
        <f>SUM(K17)+0.5</f>
        <v>9.5</v>
      </c>
      <c r="M17" s="61">
        <f>SUM(L17)+0.5</f>
        <v>10</v>
      </c>
    </row>
    <row r="18" spans="1:13" s="1" customFormat="1" ht="14.1" customHeight="1">
      <c r="A18" s="184"/>
      <c r="B18" s="77" t="s">
        <v>256</v>
      </c>
      <c r="C18" s="78"/>
      <c r="D18" s="139" t="s">
        <v>258</v>
      </c>
      <c r="E18" s="140"/>
      <c r="F18" s="140"/>
      <c r="G18" s="141"/>
      <c r="H18" s="23"/>
      <c r="I18" s="23"/>
      <c r="J18" s="21"/>
      <c r="K18" s="23"/>
      <c r="L18" s="23"/>
      <c r="M18" s="25"/>
    </row>
    <row r="19" spans="1:13" s="1" customFormat="1" ht="14.1" customHeight="1">
      <c r="A19" s="182">
        <v>9</v>
      </c>
      <c r="B19" s="49" t="s">
        <v>255</v>
      </c>
      <c r="C19" s="50"/>
      <c r="D19" s="57"/>
      <c r="E19" s="58"/>
      <c r="F19" s="58"/>
      <c r="G19" s="59"/>
      <c r="H19" s="51">
        <f>SUM(I19)-0.5</f>
        <v>8</v>
      </c>
      <c r="I19" s="51">
        <f>SUM(J19)-0.5</f>
        <v>8.5</v>
      </c>
      <c r="J19" s="60">
        <v>9</v>
      </c>
      <c r="K19" s="51">
        <f>SUM(J19)+0.5</f>
        <v>9.5</v>
      </c>
      <c r="L19" s="51">
        <f>SUM(K19)+0.5</f>
        <v>10</v>
      </c>
      <c r="M19" s="61">
        <f>SUM(L19)+0.5</f>
        <v>10.5</v>
      </c>
    </row>
    <row r="20" spans="1:13" s="1" customFormat="1" ht="14.1" customHeight="1">
      <c r="A20" s="184"/>
      <c r="B20" s="77" t="s">
        <v>257</v>
      </c>
      <c r="C20" s="78"/>
      <c r="D20" s="139" t="s">
        <v>258</v>
      </c>
      <c r="E20" s="140"/>
      <c r="F20" s="140"/>
      <c r="G20" s="141"/>
      <c r="H20" s="23"/>
      <c r="I20" s="23"/>
      <c r="J20" s="21"/>
      <c r="K20" s="23"/>
      <c r="L20" s="23"/>
      <c r="M20" s="25"/>
    </row>
    <row r="21" spans="1:13" s="1" customFormat="1" ht="14.1" customHeight="1">
      <c r="A21" s="182">
        <v>10</v>
      </c>
      <c r="B21" s="49"/>
      <c r="C21" s="50"/>
      <c r="D21" s="57"/>
      <c r="E21" s="58"/>
      <c r="F21" s="58"/>
      <c r="G21" s="59"/>
      <c r="H21" s="51"/>
      <c r="I21" s="51"/>
      <c r="J21" s="60"/>
      <c r="K21" s="51"/>
      <c r="L21" s="51"/>
      <c r="M21" s="61"/>
    </row>
    <row r="22" spans="1:13" s="1" customFormat="1" ht="14.1" customHeight="1">
      <c r="A22" s="184"/>
      <c r="B22" s="77"/>
      <c r="C22" s="78"/>
      <c r="D22" s="79"/>
      <c r="E22" s="80"/>
      <c r="F22" s="80"/>
      <c r="G22" s="81"/>
      <c r="H22" s="23"/>
      <c r="I22" s="23"/>
      <c r="J22" s="21"/>
      <c r="K22" s="23"/>
      <c r="L22" s="23"/>
      <c r="M22" s="25"/>
    </row>
    <row r="23" spans="1:13" s="1" customFormat="1" ht="14.1" customHeight="1">
      <c r="A23" s="182">
        <v>11</v>
      </c>
      <c r="B23" s="49"/>
      <c r="C23" s="50"/>
      <c r="D23" s="57"/>
      <c r="E23" s="58"/>
      <c r="F23" s="58"/>
      <c r="G23" s="59"/>
      <c r="H23" s="51"/>
      <c r="I23" s="51"/>
      <c r="J23" s="60"/>
      <c r="K23" s="51"/>
      <c r="L23" s="51"/>
      <c r="M23" s="75"/>
    </row>
    <row r="24" spans="1:13" s="1" customFormat="1" ht="14.1" customHeight="1">
      <c r="A24" s="184"/>
      <c r="B24" s="77"/>
      <c r="C24" s="78"/>
      <c r="D24" s="36"/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/>
      <c r="C25" s="50"/>
      <c r="D25" s="57"/>
      <c r="E25" s="58"/>
      <c r="F25" s="58"/>
      <c r="G25" s="59"/>
      <c r="H25" s="51"/>
      <c r="I25" s="51"/>
      <c r="J25" s="60"/>
      <c r="K25" s="51"/>
      <c r="L25" s="51"/>
      <c r="M25" s="75"/>
    </row>
    <row r="26" spans="1:13" s="1" customFormat="1" ht="14.1" customHeight="1">
      <c r="A26" s="184"/>
      <c r="B26" s="77"/>
      <c r="C26" s="78"/>
      <c r="D26" s="79"/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182">
        <v>13</v>
      </c>
      <c r="B27" s="49"/>
      <c r="C27" s="50"/>
      <c r="D27" s="57"/>
      <c r="E27" s="58"/>
      <c r="F27" s="58"/>
      <c r="G27" s="59"/>
      <c r="H27" s="51"/>
      <c r="I27" s="51"/>
      <c r="J27" s="60"/>
      <c r="K27" s="51"/>
      <c r="L27" s="51"/>
      <c r="M27" s="75"/>
    </row>
    <row r="28" spans="1:13" s="1" customFormat="1" ht="14.1" customHeight="1" thickBot="1">
      <c r="A28" s="183"/>
      <c r="B28" s="177"/>
      <c r="C28" s="178"/>
      <c r="D28" s="199"/>
      <c r="E28" s="180"/>
      <c r="F28" s="180"/>
      <c r="G28" s="181"/>
      <c r="H28" s="48"/>
      <c r="I28" s="48"/>
      <c r="J28" s="110"/>
      <c r="K28" s="48"/>
      <c r="L28" s="48"/>
      <c r="M28" s="109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A12A-60C8-4862-BFFB-716EE0F84959}">
  <sheetPr>
    <tabColor theme="5"/>
    <pageSetUpPr fitToPage="1"/>
  </sheetPr>
  <dimension ref="A1:P51"/>
  <sheetViews>
    <sheetView zoomScale="110" zoomScaleNormal="110" workbookViewId="0">
      <selection activeCell="M11" sqref="M11:M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206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47</v>
      </c>
      <c r="I3" s="70">
        <f>SUM(J3)-3</f>
        <v>50</v>
      </c>
      <c r="J3" s="71">
        <v>53</v>
      </c>
      <c r="K3" s="70">
        <f>SUM(J3)+3</f>
        <v>56</v>
      </c>
      <c r="L3" s="70">
        <f>SUM(K3)+3</f>
        <v>59</v>
      </c>
      <c r="M3" s="84">
        <f>SUM(L3)+3</f>
        <v>62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76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47">
        <f>SUM(I5)-1.5</f>
        <v>16</v>
      </c>
      <c r="I5" s="47">
        <f>SUM(J5)-1.5</f>
        <v>17.5</v>
      </c>
      <c r="J5" s="100">
        <v>19</v>
      </c>
      <c r="K5" s="47">
        <f>SUM(J5)+1.5</f>
        <v>20.5</v>
      </c>
      <c r="L5" s="47">
        <f t="shared" ref="L5:M5" si="0">SUM(K5)+1.5</f>
        <v>22</v>
      </c>
      <c r="M5" s="104">
        <f t="shared" si="0"/>
        <v>23.5</v>
      </c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76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>
        <f>SUM(I7)-1.5</f>
        <v>31</v>
      </c>
      <c r="I7" s="51">
        <f>SUM(J7)-1.5</f>
        <v>32.5</v>
      </c>
      <c r="J7" s="60">
        <v>34</v>
      </c>
      <c r="K7" s="51">
        <f>SUM(J7)+1.5</f>
        <v>35.5</v>
      </c>
      <c r="L7" s="51">
        <f t="shared" ref="L7:M7" si="1">SUM(K7)+1.5</f>
        <v>37</v>
      </c>
      <c r="M7" s="75">
        <f t="shared" si="1"/>
        <v>38.5</v>
      </c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76"/>
      <c r="P8" s="10" t="s">
        <v>207</v>
      </c>
    </row>
    <row r="9" spans="1:16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SUM(I9)-1.5</f>
        <v>35</v>
      </c>
      <c r="I9" s="51">
        <f>SUM(J9)-1.5</f>
        <v>36.5</v>
      </c>
      <c r="J9" s="60">
        <v>38</v>
      </c>
      <c r="K9" s="51">
        <f>SUM(J9)+1.5</f>
        <v>39.5</v>
      </c>
      <c r="L9" s="51">
        <f t="shared" ref="L9:M9" si="2">SUM(K9)+1.5</f>
        <v>41</v>
      </c>
      <c r="M9" s="75">
        <f t="shared" si="2"/>
        <v>42.5</v>
      </c>
      <c r="P9" s="10">
        <f>SUM(H15+I15+J15+K15+L15+M15)</f>
        <v>465</v>
      </c>
    </row>
    <row r="10" spans="1:16" s="1" customFormat="1" ht="14.1" customHeight="1">
      <c r="A10" s="184"/>
      <c r="B10" s="77" t="s">
        <v>128</v>
      </c>
      <c r="C10" s="78"/>
      <c r="D10" s="89" t="s">
        <v>308</v>
      </c>
      <c r="E10" s="90"/>
      <c r="F10" s="90"/>
      <c r="G10" s="91"/>
      <c r="H10" s="23"/>
      <c r="I10" s="23"/>
      <c r="J10" s="21"/>
      <c r="K10" s="23"/>
      <c r="L10" s="23"/>
      <c r="M10" s="76"/>
      <c r="P10" s="10">
        <f>SUM(P9/91.44/6*1.08)</f>
        <v>0.91535433070866146</v>
      </c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61</v>
      </c>
      <c r="I11" s="51">
        <f>SUM(J11)-4.5</f>
        <v>65.5</v>
      </c>
      <c r="J11" s="100">
        <v>70</v>
      </c>
      <c r="K11" s="47">
        <f>SUM(J11)+4.5</f>
        <v>74.5</v>
      </c>
      <c r="L11" s="47">
        <f>SUM(K11)+4.5</f>
        <v>79</v>
      </c>
      <c r="M11" s="104">
        <f>SUM(L11)+4.5</f>
        <v>83.5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6" s="1" customFormat="1" ht="14.1" customHeight="1">
      <c r="A13" s="182">
        <v>6</v>
      </c>
      <c r="B13" s="49" t="s">
        <v>119</v>
      </c>
      <c r="C13" s="50"/>
      <c r="D13" s="96" t="s">
        <v>73</v>
      </c>
      <c r="E13" s="97"/>
      <c r="F13" s="97"/>
      <c r="G13" s="98"/>
      <c r="H13" s="51">
        <f>SUM(I13)-2.5</f>
        <v>26.5</v>
      </c>
      <c r="I13" s="51">
        <f>SUM(J13)-2.5</f>
        <v>29</v>
      </c>
      <c r="J13" s="100">
        <v>31.5</v>
      </c>
      <c r="K13" s="47">
        <f>SUM(J13)+2.5</f>
        <v>34</v>
      </c>
      <c r="L13" s="47">
        <f>SUM(K13)+2.5</f>
        <v>36.5</v>
      </c>
      <c r="M13" s="104">
        <f>SUM(L13)+2.5</f>
        <v>39</v>
      </c>
    </row>
    <row r="14" spans="1:16" s="1" customFormat="1" ht="14.1" customHeight="1">
      <c r="A14" s="184"/>
      <c r="B14" s="23" t="s">
        <v>118</v>
      </c>
      <c r="C14" s="23"/>
      <c r="D14" s="89" t="s">
        <v>117</v>
      </c>
      <c r="E14" s="90"/>
      <c r="F14" s="90"/>
      <c r="G14" s="91"/>
      <c r="H14" s="23"/>
      <c r="I14" s="23"/>
      <c r="J14" s="21"/>
      <c r="K14" s="23"/>
      <c r="L14" s="23"/>
      <c r="M14" s="76"/>
    </row>
    <row r="15" spans="1:16" s="1" customFormat="1" ht="14.1" customHeight="1">
      <c r="A15" s="201">
        <v>7</v>
      </c>
      <c r="B15" s="56" t="s">
        <v>171</v>
      </c>
      <c r="C15" s="56"/>
      <c r="D15" s="96"/>
      <c r="E15" s="97"/>
      <c r="F15" s="97"/>
      <c r="G15" s="98"/>
      <c r="H15" s="51">
        <f>SUM(I15)-5</f>
        <v>65</v>
      </c>
      <c r="I15" s="51">
        <f>SUM(J15)-5</f>
        <v>70</v>
      </c>
      <c r="J15" s="60">
        <v>75</v>
      </c>
      <c r="K15" s="51">
        <f>SUM(J15)+5</f>
        <v>80</v>
      </c>
      <c r="L15" s="51">
        <f>SUM(K15)+5</f>
        <v>85</v>
      </c>
      <c r="M15" s="75">
        <f>SUM(L15)+5</f>
        <v>90</v>
      </c>
    </row>
    <row r="16" spans="1:16" s="1" customFormat="1" ht="14.1" customHeight="1" thickBot="1">
      <c r="A16" s="243"/>
      <c r="B16" s="239" t="s">
        <v>172</v>
      </c>
      <c r="C16" s="239"/>
      <c r="D16" s="240" t="s">
        <v>205</v>
      </c>
      <c r="E16" s="241"/>
      <c r="F16" s="241"/>
      <c r="G16" s="242"/>
      <c r="H16" s="159"/>
      <c r="I16" s="159"/>
      <c r="J16" s="167"/>
      <c r="K16" s="159"/>
      <c r="L16" s="159"/>
      <c r="M16" s="160"/>
    </row>
    <row r="17" spans="1:13" s="1" customFormat="1" ht="14.1" customHeight="1" thickTop="1">
      <c r="A17" s="182">
        <v>8</v>
      </c>
      <c r="B17" s="53" t="s">
        <v>11</v>
      </c>
      <c r="C17" s="54"/>
      <c r="D17" s="67" t="s">
        <v>12</v>
      </c>
      <c r="E17" s="68"/>
      <c r="F17" s="68"/>
      <c r="G17" s="69"/>
      <c r="H17" s="47">
        <f>SUM(I17)-3.2</f>
        <v>49.699999999999996</v>
      </c>
      <c r="I17" s="47">
        <f>SUM(J17)-3.2</f>
        <v>52.9</v>
      </c>
      <c r="J17" s="100">
        <v>56.1</v>
      </c>
      <c r="K17" s="47">
        <f>SUM(J17)+3.2</f>
        <v>59.300000000000004</v>
      </c>
      <c r="L17" s="47">
        <f>SUM(K17)+3.2</f>
        <v>62.500000000000007</v>
      </c>
      <c r="M17" s="104">
        <f>SUM(L17)+3.2</f>
        <v>65.7</v>
      </c>
    </row>
    <row r="18" spans="1:13" s="1" customFormat="1" ht="14.1" customHeight="1">
      <c r="A18" s="184"/>
      <c r="B18" s="77" t="s">
        <v>51</v>
      </c>
      <c r="C18" s="78"/>
      <c r="D18" s="79" t="s">
        <v>98</v>
      </c>
      <c r="E18" s="80"/>
      <c r="F18" s="80"/>
      <c r="G18" s="81"/>
      <c r="H18" s="23"/>
      <c r="I18" s="23"/>
      <c r="J18" s="21"/>
      <c r="K18" s="23"/>
      <c r="L18" s="23"/>
      <c r="M18" s="76"/>
    </row>
    <row r="19" spans="1:13" s="1" customFormat="1" ht="14.1" customHeight="1">
      <c r="A19" s="182">
        <v>9</v>
      </c>
      <c r="B19" s="49" t="s">
        <v>113</v>
      </c>
      <c r="C19" s="50"/>
      <c r="D19" s="57"/>
      <c r="E19" s="58"/>
      <c r="F19" s="58"/>
      <c r="G19" s="59"/>
      <c r="H19" s="51">
        <f>SUM(I19)-0.7</f>
        <v>11.000000000000002</v>
      </c>
      <c r="I19" s="51">
        <f>SUM(J19)-0.7</f>
        <v>11.700000000000001</v>
      </c>
      <c r="J19" s="60">
        <v>12.4</v>
      </c>
      <c r="K19" s="51">
        <f>SUM(J19)+1.2</f>
        <v>13.6</v>
      </c>
      <c r="L19" s="51">
        <f>SUM(K19)+0.7</f>
        <v>14.299999999999999</v>
      </c>
      <c r="M19" s="75">
        <f>SUM(L19)+0.7</f>
        <v>14.999999999999998</v>
      </c>
    </row>
    <row r="20" spans="1:13" s="1" customFormat="1" ht="14.1" customHeight="1">
      <c r="A20" s="184"/>
      <c r="B20" s="77" t="s">
        <v>112</v>
      </c>
      <c r="C20" s="78"/>
      <c r="D20" s="139" t="s">
        <v>125</v>
      </c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49" t="s">
        <v>9</v>
      </c>
      <c r="C21" s="50"/>
      <c r="D21" s="57" t="s">
        <v>73</v>
      </c>
      <c r="E21" s="58"/>
      <c r="F21" s="58"/>
      <c r="G21" s="59"/>
      <c r="H21" s="51">
        <f>SUM(I21)-1.5</f>
        <v>20.3</v>
      </c>
      <c r="I21" s="51">
        <f>SUM(J21)-1.5</f>
        <v>21.8</v>
      </c>
      <c r="J21" s="60">
        <v>23.3</v>
      </c>
      <c r="K21" s="51">
        <f>SUM(J21)+1.5</f>
        <v>24.8</v>
      </c>
      <c r="L21" s="51">
        <f>SUM(K21)+1.5</f>
        <v>26.3</v>
      </c>
      <c r="M21" s="75">
        <f>SUM(L21)+1.5</f>
        <v>27.8</v>
      </c>
    </row>
    <row r="22" spans="1:13" s="1" customFormat="1" ht="14.1" customHeight="1">
      <c r="A22" s="184"/>
      <c r="B22" s="77" t="s">
        <v>52</v>
      </c>
      <c r="C22" s="78"/>
      <c r="D22" s="79" t="s">
        <v>97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14</v>
      </c>
      <c r="C23" s="50"/>
      <c r="D23" s="57" t="s">
        <v>15</v>
      </c>
      <c r="E23" s="58"/>
      <c r="F23" s="58"/>
      <c r="G23" s="59"/>
      <c r="H23" s="51">
        <f>SUM(I23)-1.8</f>
        <v>29.699999999999996</v>
      </c>
      <c r="I23" s="51">
        <f>SUM(J23)-1.8</f>
        <v>31.499999999999996</v>
      </c>
      <c r="J23" s="60">
        <v>33.299999999999997</v>
      </c>
      <c r="K23" s="51">
        <f>SUM(J23)+1.8</f>
        <v>35.099999999999994</v>
      </c>
      <c r="L23" s="51">
        <f t="shared" ref="L23:M23" si="3">SUM(K23)+1.8</f>
        <v>36.899999999999991</v>
      </c>
      <c r="M23" s="75">
        <f t="shared" si="3"/>
        <v>38.699999999999989</v>
      </c>
    </row>
    <row r="24" spans="1:13" s="1" customFormat="1" ht="14.1" customHeight="1">
      <c r="A24" s="184"/>
      <c r="B24" s="77" t="s">
        <v>53</v>
      </c>
      <c r="C24" s="78"/>
      <c r="D24" s="36" t="s">
        <v>96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16</v>
      </c>
      <c r="C25" s="50"/>
      <c r="D25" s="57" t="s">
        <v>13</v>
      </c>
      <c r="E25" s="58"/>
      <c r="F25" s="58"/>
      <c r="G25" s="59"/>
      <c r="H25" s="51">
        <f>SUM(I25)-1</f>
        <v>19</v>
      </c>
      <c r="I25" s="51">
        <f>SUM(J25)-1</f>
        <v>20</v>
      </c>
      <c r="J25" s="60">
        <v>21</v>
      </c>
      <c r="K25" s="51">
        <f>SUM(J25)+1.5</f>
        <v>22.5</v>
      </c>
      <c r="L25" s="51">
        <f>SUM(K25)+1</f>
        <v>23.5</v>
      </c>
      <c r="M25" s="75">
        <f>SUM(L25)+1</f>
        <v>24.5</v>
      </c>
    </row>
    <row r="26" spans="1:13" s="1" customFormat="1" ht="14.1" customHeight="1">
      <c r="A26" s="184"/>
      <c r="B26" s="77" t="s">
        <v>59</v>
      </c>
      <c r="C26" s="78"/>
      <c r="D26" s="79" t="s">
        <v>95</v>
      </c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182">
        <v>13</v>
      </c>
      <c r="B27" s="49" t="s">
        <v>17</v>
      </c>
      <c r="C27" s="50"/>
      <c r="D27" s="57" t="s">
        <v>13</v>
      </c>
      <c r="E27" s="58"/>
      <c r="F27" s="58"/>
      <c r="G27" s="59"/>
      <c r="H27" s="51">
        <f>SUM(I27)-1.2</f>
        <v>21.1</v>
      </c>
      <c r="I27" s="51">
        <f>SUM(J27)-1.2</f>
        <v>22.3</v>
      </c>
      <c r="J27" s="60">
        <v>23.5</v>
      </c>
      <c r="K27" s="51">
        <f>SUM(J27)+1.7</f>
        <v>25.2</v>
      </c>
      <c r="L27" s="51">
        <f>SUM(K27)+1.2</f>
        <v>26.4</v>
      </c>
      <c r="M27" s="75">
        <f>SUM(L27)+1.2</f>
        <v>27.599999999999998</v>
      </c>
    </row>
    <row r="28" spans="1:13" s="1" customFormat="1" ht="14.1" customHeight="1" thickBot="1">
      <c r="A28" s="183"/>
      <c r="B28" s="177" t="s">
        <v>58</v>
      </c>
      <c r="C28" s="178"/>
      <c r="D28" s="199" t="s">
        <v>95</v>
      </c>
      <c r="E28" s="180"/>
      <c r="F28" s="180"/>
      <c r="G28" s="181"/>
      <c r="H28" s="48"/>
      <c r="I28" s="48"/>
      <c r="J28" s="110"/>
      <c r="K28" s="48"/>
      <c r="L28" s="48"/>
      <c r="M28" s="109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0386-C33F-4A60-932D-FCA9F5A203F2}">
  <sheetPr>
    <tabColor theme="5"/>
    <pageSetUpPr fitToPage="1"/>
  </sheetPr>
  <dimension ref="A1:R51"/>
  <sheetViews>
    <sheetView zoomScale="110" zoomScaleNormal="110" workbookViewId="0">
      <selection activeCell="N11" sqref="N11:N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8" ht="16.5" customHeight="1" thickBot="1">
      <c r="A1" s="150" t="s">
        <v>307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8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8" t="s">
        <v>136</v>
      </c>
      <c r="N2" s="6" t="s">
        <v>239</v>
      </c>
    </row>
    <row r="3" spans="1:18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47</v>
      </c>
      <c r="I3" s="70">
        <f>SUM(J3)-3</f>
        <v>50</v>
      </c>
      <c r="J3" s="71">
        <v>53</v>
      </c>
      <c r="K3" s="70">
        <f>SUM(J3)+3</f>
        <v>56</v>
      </c>
      <c r="L3" s="70">
        <f>SUM(K3)+3</f>
        <v>59</v>
      </c>
      <c r="M3" s="70">
        <f>SUM(L3)+3</f>
        <v>62</v>
      </c>
      <c r="N3" s="84">
        <f>SUM(M3)+3</f>
        <v>65</v>
      </c>
    </row>
    <row r="4" spans="1:18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3"/>
      <c r="N4" s="76"/>
    </row>
    <row r="5" spans="1:18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47">
        <f>SUM(I5)-1.6</f>
        <v>22.799999999999997</v>
      </c>
      <c r="I5" s="47">
        <f>SUM(J5)-1.6</f>
        <v>24.4</v>
      </c>
      <c r="J5" s="100">
        <v>26</v>
      </c>
      <c r="K5" s="47">
        <f>SUM(J5)+1.6</f>
        <v>27.6</v>
      </c>
      <c r="L5" s="47">
        <f>SUM(K5)+1.6</f>
        <v>29.200000000000003</v>
      </c>
      <c r="M5" s="47">
        <f>SUM(L5)+1.6</f>
        <v>30.800000000000004</v>
      </c>
      <c r="N5" s="104">
        <f>SUM(M5)+1.6</f>
        <v>32.400000000000006</v>
      </c>
    </row>
    <row r="6" spans="1:18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23"/>
      <c r="N6" s="76"/>
    </row>
    <row r="7" spans="1:18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>
        <f>SUM(I7)-1.4</f>
        <v>24.200000000000003</v>
      </c>
      <c r="I7" s="51">
        <f>SUM(J7)-1.4</f>
        <v>25.6</v>
      </c>
      <c r="J7" s="60">
        <v>27</v>
      </c>
      <c r="K7" s="51">
        <f>SUM(J7)+1.4</f>
        <v>28.4</v>
      </c>
      <c r="L7" s="51">
        <f>SUM(K7)+1.4</f>
        <v>29.799999999999997</v>
      </c>
      <c r="M7" s="51">
        <f>SUM(L7)+1.4</f>
        <v>31.199999999999996</v>
      </c>
      <c r="N7" s="75">
        <f>SUM(M7)+1.4</f>
        <v>32.599999999999994</v>
      </c>
    </row>
    <row r="8" spans="1:18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23"/>
      <c r="N8" s="76"/>
      <c r="P8" s="10"/>
    </row>
    <row r="9" spans="1:18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1">
        <f>SUM(I9)-1.5</f>
        <v>28</v>
      </c>
      <c r="I9" s="51">
        <f>SUM(J9)-1.5</f>
        <v>29.5</v>
      </c>
      <c r="J9" s="60">
        <v>31</v>
      </c>
      <c r="K9" s="51">
        <f>SUM(J9)+1.5</f>
        <v>32.5</v>
      </c>
      <c r="L9" s="51">
        <f t="shared" ref="L9:N9" si="0">SUM(K9)+1.5</f>
        <v>34</v>
      </c>
      <c r="M9" s="51">
        <f t="shared" si="0"/>
        <v>35.5</v>
      </c>
      <c r="N9" s="75">
        <f t="shared" si="0"/>
        <v>37</v>
      </c>
      <c r="P9" s="10" t="s">
        <v>451</v>
      </c>
      <c r="Q9" s="1" t="s">
        <v>449</v>
      </c>
      <c r="R9" s="1" t="s">
        <v>450</v>
      </c>
    </row>
    <row r="10" spans="1:18" s="1" customFormat="1" ht="14.1" customHeight="1">
      <c r="A10" s="184"/>
      <c r="B10" s="77" t="s">
        <v>128</v>
      </c>
      <c r="C10" s="78"/>
      <c r="D10" s="89" t="s">
        <v>308</v>
      </c>
      <c r="E10" s="90"/>
      <c r="F10" s="90"/>
      <c r="G10" s="91"/>
      <c r="H10" s="23"/>
      <c r="I10" s="23"/>
      <c r="J10" s="21"/>
      <c r="K10" s="23"/>
      <c r="L10" s="23"/>
      <c r="M10" s="23"/>
      <c r="N10" s="76"/>
      <c r="P10" s="10">
        <f>SUM(H7+I7+J7)/91.44/3*1.08</f>
        <v>0.3023622047244095</v>
      </c>
      <c r="Q10" s="1">
        <f>SUM(K7+L7+M7)/91.44/3*1.08</f>
        <v>0.3519685039370079</v>
      </c>
      <c r="R10" s="1">
        <f>SUM(K7+L7+M7+N7)/91.44/4*1.08</f>
        <v>0.36023622047244097</v>
      </c>
    </row>
    <row r="11" spans="1:18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63</v>
      </c>
      <c r="I11" s="51">
        <f>SUM(J11)-4.5</f>
        <v>67.5</v>
      </c>
      <c r="J11" s="100">
        <v>72</v>
      </c>
      <c r="K11" s="47">
        <f>SUM(J11)+4.5</f>
        <v>76.5</v>
      </c>
      <c r="L11" s="47">
        <f>SUM(K11)+4.5</f>
        <v>81</v>
      </c>
      <c r="M11" s="47">
        <f>SUM(L11)+4.5</f>
        <v>85.5</v>
      </c>
      <c r="N11" s="104">
        <f>SUM(M11)+4.5</f>
        <v>90</v>
      </c>
    </row>
    <row r="12" spans="1:18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23"/>
      <c r="N12" s="76"/>
    </row>
    <row r="13" spans="1:18" s="1" customFormat="1" ht="14.1" customHeight="1">
      <c r="A13" s="182">
        <v>6</v>
      </c>
      <c r="B13" s="49" t="s">
        <v>119</v>
      </c>
      <c r="C13" s="50"/>
      <c r="D13" s="96" t="s">
        <v>73</v>
      </c>
      <c r="E13" s="97"/>
      <c r="F13" s="97"/>
      <c r="G13" s="98"/>
      <c r="H13" s="51">
        <f>SUM(I13)-2.5</f>
        <v>24</v>
      </c>
      <c r="I13" s="51">
        <f>SUM(J13)-2.5</f>
        <v>26.5</v>
      </c>
      <c r="J13" s="100">
        <v>29</v>
      </c>
      <c r="K13" s="47">
        <f>SUM(J13)+2.5</f>
        <v>31.5</v>
      </c>
      <c r="L13" s="47">
        <f>SUM(K13)+2.5</f>
        <v>34</v>
      </c>
      <c r="M13" s="47">
        <f>SUM(L13)+2.5</f>
        <v>36.5</v>
      </c>
      <c r="N13" s="104">
        <f>SUM(M13)+2.5</f>
        <v>39</v>
      </c>
      <c r="Q13" s="1">
        <f>SUM(H9+I9+J9+K9+L9+M9)/91.44/6*1.08</f>
        <v>0.37500000000000006</v>
      </c>
      <c r="R13" s="1">
        <f>SUM(H9+I9+J9+K9+L9+M9+N9)/7/91.44*1.08</f>
        <v>0.38385826771653547</v>
      </c>
    </row>
    <row r="14" spans="1:18" s="1" customFormat="1" ht="14.1" customHeight="1">
      <c r="A14" s="184"/>
      <c r="B14" s="23" t="s">
        <v>118</v>
      </c>
      <c r="C14" s="23"/>
      <c r="D14" s="89" t="s">
        <v>117</v>
      </c>
      <c r="E14" s="90"/>
      <c r="F14" s="90"/>
      <c r="G14" s="91"/>
      <c r="H14" s="23"/>
      <c r="I14" s="23"/>
      <c r="J14" s="21"/>
      <c r="K14" s="23"/>
      <c r="L14" s="23"/>
      <c r="M14" s="23"/>
      <c r="N14" s="76"/>
    </row>
    <row r="15" spans="1:18" s="1" customFormat="1" ht="14.1" customHeight="1">
      <c r="A15" s="182">
        <v>7</v>
      </c>
      <c r="B15" s="49" t="s">
        <v>141</v>
      </c>
      <c r="C15" s="50"/>
      <c r="D15" s="67"/>
      <c r="E15" s="68"/>
      <c r="F15" s="68"/>
      <c r="G15" s="69"/>
      <c r="H15" s="51">
        <f>SUM(I15)-0.2</f>
        <v>3.1999999999999997</v>
      </c>
      <c r="I15" s="51">
        <f>SUM(J15)-0.2</f>
        <v>3.4</v>
      </c>
      <c r="J15" s="100">
        <v>3.6</v>
      </c>
      <c r="K15" s="47">
        <f>SUM(J15)+0.2</f>
        <v>3.8000000000000003</v>
      </c>
      <c r="L15" s="47">
        <f>SUM(K15)+0.2</f>
        <v>4</v>
      </c>
      <c r="M15" s="47">
        <f>SUM(L15)+0.3</f>
        <v>4.3</v>
      </c>
      <c r="N15" s="104">
        <f>SUM(M15)+0.3</f>
        <v>4.5999999999999996</v>
      </c>
    </row>
    <row r="16" spans="1:18" s="1" customFormat="1" ht="14.1" customHeight="1">
      <c r="A16" s="184"/>
      <c r="B16" s="34" t="s">
        <v>140</v>
      </c>
      <c r="C16" s="35"/>
      <c r="D16" s="79" t="s">
        <v>309</v>
      </c>
      <c r="E16" s="80"/>
      <c r="F16" s="80"/>
      <c r="G16" s="81"/>
      <c r="H16" s="23"/>
      <c r="I16" s="23"/>
      <c r="J16" s="21"/>
      <c r="K16" s="23"/>
      <c r="L16" s="23"/>
      <c r="M16" s="23"/>
      <c r="N16" s="76"/>
    </row>
    <row r="17" spans="1:14" s="1" customFormat="1" ht="14.1" customHeight="1">
      <c r="A17" s="182">
        <v>8</v>
      </c>
      <c r="B17" s="49" t="s">
        <v>139</v>
      </c>
      <c r="C17" s="50"/>
      <c r="D17" s="96"/>
      <c r="E17" s="97"/>
      <c r="F17" s="97"/>
      <c r="G17" s="98"/>
      <c r="H17" s="51">
        <f>SUM(I17)-0.2</f>
        <v>1.6</v>
      </c>
      <c r="I17" s="51">
        <f>SUM(J17)-0.2</f>
        <v>1.8</v>
      </c>
      <c r="J17" s="100">
        <v>2</v>
      </c>
      <c r="K17" s="47">
        <f>SUM(J17)+0.2</f>
        <v>2.2000000000000002</v>
      </c>
      <c r="L17" s="47">
        <f>SUM(K17)+0.2</f>
        <v>2.4000000000000004</v>
      </c>
      <c r="M17" s="47">
        <f>SUM(L17)+0.2</f>
        <v>2.6000000000000005</v>
      </c>
      <c r="N17" s="104">
        <f>SUM(M17)+0.2</f>
        <v>2.8000000000000007</v>
      </c>
    </row>
    <row r="18" spans="1:14" s="1" customFormat="1" ht="14.1" customHeight="1">
      <c r="A18" s="184"/>
      <c r="B18" s="34" t="s">
        <v>138</v>
      </c>
      <c r="C18" s="35"/>
      <c r="D18" s="89"/>
      <c r="E18" s="90"/>
      <c r="F18" s="90"/>
      <c r="G18" s="91"/>
      <c r="H18" s="23"/>
      <c r="I18" s="23"/>
      <c r="J18" s="21"/>
      <c r="K18" s="23"/>
      <c r="L18" s="23"/>
      <c r="M18" s="23"/>
      <c r="N18" s="76"/>
    </row>
    <row r="19" spans="1:14" s="1" customFormat="1" ht="14.1" customHeight="1">
      <c r="A19" s="201">
        <v>9</v>
      </c>
      <c r="B19" s="56"/>
      <c r="C19" s="56"/>
      <c r="D19" s="96"/>
      <c r="E19" s="97"/>
      <c r="F19" s="97"/>
      <c r="G19" s="98"/>
      <c r="H19" s="51"/>
      <c r="I19" s="51"/>
      <c r="J19" s="60"/>
      <c r="K19" s="51"/>
      <c r="L19" s="51"/>
      <c r="M19" s="51"/>
      <c r="N19" s="75"/>
    </row>
    <row r="20" spans="1:14" s="1" customFormat="1" ht="14.1" customHeight="1" thickBot="1">
      <c r="A20" s="243"/>
      <c r="B20" s="239"/>
      <c r="C20" s="239"/>
      <c r="D20" s="240"/>
      <c r="E20" s="241"/>
      <c r="F20" s="241"/>
      <c r="G20" s="242"/>
      <c r="H20" s="159"/>
      <c r="I20" s="159"/>
      <c r="J20" s="167"/>
      <c r="K20" s="159"/>
      <c r="L20" s="159"/>
      <c r="M20" s="159"/>
      <c r="N20" s="160"/>
    </row>
    <row r="21" spans="1:14" s="1" customFormat="1" ht="14.1" customHeight="1" thickTop="1">
      <c r="A21" s="182">
        <v>10</v>
      </c>
      <c r="B21" s="53" t="s">
        <v>11</v>
      </c>
      <c r="C21" s="54"/>
      <c r="D21" s="67" t="s">
        <v>12</v>
      </c>
      <c r="E21" s="68"/>
      <c r="F21" s="68"/>
      <c r="G21" s="69"/>
      <c r="H21" s="47">
        <f>SUM(I21)-3.2</f>
        <v>53.599999999999994</v>
      </c>
      <c r="I21" s="47">
        <f>SUM(J21)-3.2</f>
        <v>56.8</v>
      </c>
      <c r="J21" s="100">
        <v>60</v>
      </c>
      <c r="K21" s="47">
        <f>SUM(J21)+3.2</f>
        <v>63.2</v>
      </c>
      <c r="L21" s="47">
        <f>SUM(K21)+3.2</f>
        <v>66.400000000000006</v>
      </c>
      <c r="M21" s="47">
        <f>SUM(L21)+3.2</f>
        <v>69.600000000000009</v>
      </c>
      <c r="N21" s="104">
        <f>SUM(M21)+3.2</f>
        <v>72.800000000000011</v>
      </c>
    </row>
    <row r="22" spans="1:14" s="1" customFormat="1" ht="14.1" customHeight="1">
      <c r="A22" s="184"/>
      <c r="B22" s="77" t="s">
        <v>51</v>
      </c>
      <c r="C22" s="78"/>
      <c r="D22" s="79" t="s">
        <v>98</v>
      </c>
      <c r="E22" s="80"/>
      <c r="F22" s="80"/>
      <c r="G22" s="81"/>
      <c r="H22" s="23"/>
      <c r="I22" s="23"/>
      <c r="J22" s="21"/>
      <c r="K22" s="23"/>
      <c r="L22" s="23"/>
      <c r="M22" s="23"/>
      <c r="N22" s="76"/>
    </row>
    <row r="23" spans="1:14" s="1" customFormat="1" ht="14.1" customHeight="1">
      <c r="A23" s="182">
        <v>11</v>
      </c>
      <c r="B23" s="49" t="s">
        <v>113</v>
      </c>
      <c r="C23" s="50"/>
      <c r="D23" s="57"/>
      <c r="E23" s="58"/>
      <c r="F23" s="58"/>
      <c r="G23" s="59"/>
      <c r="H23" s="51">
        <f>SUM(I23)-0.7</f>
        <v>12.200000000000001</v>
      </c>
      <c r="I23" s="51">
        <f>SUM(J23)-0.7</f>
        <v>12.9</v>
      </c>
      <c r="J23" s="60">
        <v>13.6</v>
      </c>
      <c r="K23" s="51">
        <f>SUM(J23)+0.7</f>
        <v>14.299999999999999</v>
      </c>
      <c r="L23" s="51">
        <f>SUM(K23)+0.7</f>
        <v>14.999999999999998</v>
      </c>
      <c r="M23" s="51">
        <f>SUM(L23)+0.7</f>
        <v>15.699999999999998</v>
      </c>
      <c r="N23" s="75">
        <f>SUM(M23)+0.7</f>
        <v>16.399999999999999</v>
      </c>
    </row>
    <row r="24" spans="1:14" s="1" customFormat="1" ht="14.1" customHeight="1">
      <c r="A24" s="184"/>
      <c r="B24" s="77" t="s">
        <v>112</v>
      </c>
      <c r="C24" s="78"/>
      <c r="D24" s="139" t="s">
        <v>125</v>
      </c>
      <c r="E24" s="140"/>
      <c r="F24" s="140"/>
      <c r="G24" s="141"/>
      <c r="H24" s="23"/>
      <c r="I24" s="23"/>
      <c r="J24" s="21"/>
      <c r="K24" s="23"/>
      <c r="L24" s="23"/>
      <c r="M24" s="23"/>
      <c r="N24" s="76"/>
    </row>
    <row r="25" spans="1:14" s="1" customFormat="1" ht="14.1" customHeight="1">
      <c r="A25" s="182">
        <v>12</v>
      </c>
      <c r="B25" s="49" t="s">
        <v>9</v>
      </c>
      <c r="C25" s="50"/>
      <c r="D25" s="57" t="s">
        <v>73</v>
      </c>
      <c r="E25" s="58"/>
      <c r="F25" s="58"/>
      <c r="G25" s="59"/>
      <c r="H25" s="51">
        <f>SUM(I25)-1.5</f>
        <v>21.5</v>
      </c>
      <c r="I25" s="51">
        <f>SUM(J25)-1.5</f>
        <v>23</v>
      </c>
      <c r="J25" s="60">
        <v>24.5</v>
      </c>
      <c r="K25" s="51">
        <f>SUM(J25)+1.5</f>
        <v>26</v>
      </c>
      <c r="L25" s="51">
        <f>SUM(K25)+1.5</f>
        <v>27.5</v>
      </c>
      <c r="M25" s="51">
        <f>SUM(L25)+1.5</f>
        <v>29</v>
      </c>
      <c r="N25" s="75">
        <f>SUM(M25)+1.5</f>
        <v>30.5</v>
      </c>
    </row>
    <row r="26" spans="1:14" s="1" customFormat="1" ht="14.1" customHeight="1">
      <c r="A26" s="184"/>
      <c r="B26" s="77" t="s">
        <v>52</v>
      </c>
      <c r="C26" s="78"/>
      <c r="D26" s="79" t="s">
        <v>97</v>
      </c>
      <c r="E26" s="80"/>
      <c r="F26" s="80"/>
      <c r="G26" s="81"/>
      <c r="H26" s="23"/>
      <c r="I26" s="23"/>
      <c r="J26" s="21"/>
      <c r="K26" s="23"/>
      <c r="L26" s="23"/>
      <c r="M26" s="23"/>
      <c r="N26" s="76"/>
    </row>
    <row r="27" spans="1:14" s="1" customFormat="1" ht="14.1" customHeight="1">
      <c r="A27" s="182">
        <v>13</v>
      </c>
      <c r="B27" s="49" t="s">
        <v>14</v>
      </c>
      <c r="C27" s="50"/>
      <c r="D27" s="57" t="s">
        <v>15</v>
      </c>
      <c r="E27" s="58"/>
      <c r="F27" s="58"/>
      <c r="G27" s="59"/>
      <c r="H27" s="51">
        <f>SUM(I27)-1.8</f>
        <v>31.400000000000002</v>
      </c>
      <c r="I27" s="51">
        <f>SUM(J27)-1.8</f>
        <v>33.200000000000003</v>
      </c>
      <c r="J27" s="60">
        <v>35</v>
      </c>
      <c r="K27" s="51">
        <f>SUM(J27)+1.8</f>
        <v>36.799999999999997</v>
      </c>
      <c r="L27" s="51">
        <f t="shared" ref="L27:N27" si="1">SUM(K27)+1.8</f>
        <v>38.599999999999994</v>
      </c>
      <c r="M27" s="51">
        <f t="shared" si="1"/>
        <v>40.399999999999991</v>
      </c>
      <c r="N27" s="75">
        <f t="shared" si="1"/>
        <v>42.199999999999989</v>
      </c>
    </row>
    <row r="28" spans="1:14" s="1" customFormat="1" ht="14.1" customHeight="1">
      <c r="A28" s="184"/>
      <c r="B28" s="77" t="s">
        <v>53</v>
      </c>
      <c r="C28" s="78"/>
      <c r="D28" s="36" t="s">
        <v>96</v>
      </c>
      <c r="E28" s="37"/>
      <c r="F28" s="37"/>
      <c r="G28" s="38"/>
      <c r="H28" s="23"/>
      <c r="I28" s="23"/>
      <c r="J28" s="21"/>
      <c r="K28" s="23"/>
      <c r="L28" s="23"/>
      <c r="M28" s="23"/>
      <c r="N28" s="76"/>
    </row>
    <row r="29" spans="1:14" ht="14.1" customHeight="1">
      <c r="A29" s="182">
        <v>14</v>
      </c>
      <c r="B29" s="49" t="s">
        <v>16</v>
      </c>
      <c r="C29" s="50"/>
      <c r="D29" s="57" t="s">
        <v>13</v>
      </c>
      <c r="E29" s="58"/>
      <c r="F29" s="58"/>
      <c r="G29" s="59"/>
      <c r="H29" s="51">
        <f>SUM(I29)-1</f>
        <v>20.100000000000001</v>
      </c>
      <c r="I29" s="51">
        <f>SUM(J29)-1</f>
        <v>21.1</v>
      </c>
      <c r="J29" s="60">
        <v>22.1</v>
      </c>
      <c r="K29" s="51">
        <f>SUM(J29)+1.1</f>
        <v>23.200000000000003</v>
      </c>
      <c r="L29" s="51">
        <f>SUM(K29)+1</f>
        <v>24.200000000000003</v>
      </c>
      <c r="M29" s="51">
        <f>SUM(L29)+1</f>
        <v>25.200000000000003</v>
      </c>
      <c r="N29" s="75">
        <f>SUM(M29)+1</f>
        <v>26.200000000000003</v>
      </c>
    </row>
    <row r="30" spans="1:14" ht="14.1" customHeight="1">
      <c r="A30" s="184"/>
      <c r="B30" s="77" t="s">
        <v>59</v>
      </c>
      <c r="C30" s="78"/>
      <c r="D30" s="79" t="s">
        <v>95</v>
      </c>
      <c r="E30" s="80"/>
      <c r="F30" s="80"/>
      <c r="G30" s="81"/>
      <c r="H30" s="23"/>
      <c r="I30" s="23"/>
      <c r="J30" s="21"/>
      <c r="K30" s="23"/>
      <c r="L30" s="23"/>
      <c r="M30" s="23"/>
      <c r="N30" s="76"/>
    </row>
    <row r="31" spans="1:14" ht="14.1" customHeight="1">
      <c r="A31" s="182">
        <v>15</v>
      </c>
      <c r="B31" s="49" t="s">
        <v>17</v>
      </c>
      <c r="C31" s="50"/>
      <c r="D31" s="57" t="s">
        <v>13</v>
      </c>
      <c r="E31" s="58"/>
      <c r="F31" s="58"/>
      <c r="G31" s="59"/>
      <c r="H31" s="51">
        <f>SUM(I31)-1.2</f>
        <v>22.400000000000002</v>
      </c>
      <c r="I31" s="51">
        <f>SUM(J31)-1.2</f>
        <v>23.6</v>
      </c>
      <c r="J31" s="60">
        <v>24.8</v>
      </c>
      <c r="K31" s="51">
        <f>SUM(J31)+1.2</f>
        <v>26</v>
      </c>
      <c r="L31" s="51">
        <f>SUM(K31)+1.2</f>
        <v>27.2</v>
      </c>
      <c r="M31" s="51">
        <f>SUM(L31)+1.2</f>
        <v>28.4</v>
      </c>
      <c r="N31" s="75">
        <f>SUM(M31)+1.2</f>
        <v>29.599999999999998</v>
      </c>
    </row>
    <row r="32" spans="1:14" ht="14.1" customHeight="1" thickBot="1">
      <c r="A32" s="183"/>
      <c r="B32" s="177" t="s">
        <v>58</v>
      </c>
      <c r="C32" s="178"/>
      <c r="D32" s="199" t="s">
        <v>95</v>
      </c>
      <c r="E32" s="180"/>
      <c r="F32" s="180"/>
      <c r="G32" s="181"/>
      <c r="H32" s="48"/>
      <c r="I32" s="48"/>
      <c r="J32" s="110"/>
      <c r="K32" s="48"/>
      <c r="L32" s="48"/>
      <c r="M32" s="48"/>
      <c r="N32" s="109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83">
    <mergeCell ref="K15:K16"/>
    <mergeCell ref="L15:L16"/>
    <mergeCell ref="M15:M16"/>
    <mergeCell ref="B16:C16"/>
    <mergeCell ref="D16:G16"/>
    <mergeCell ref="J15:J16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J27:J28"/>
    <mergeCell ref="K27:K28"/>
    <mergeCell ref="L27:L28"/>
    <mergeCell ref="M27:M28"/>
    <mergeCell ref="B28:C28"/>
    <mergeCell ref="D28:G28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3:K14"/>
    <mergeCell ref="L13:L14"/>
    <mergeCell ref="M13:M14"/>
    <mergeCell ref="B14:C14"/>
    <mergeCell ref="D14:G14"/>
    <mergeCell ref="J13:J14"/>
    <mergeCell ref="B17:C17"/>
    <mergeCell ref="D17:G17"/>
    <mergeCell ref="H17:H18"/>
    <mergeCell ref="I17:I18"/>
    <mergeCell ref="B15:C15"/>
    <mergeCell ref="D15:G15"/>
    <mergeCell ref="H15:H16"/>
    <mergeCell ref="I15:I16"/>
    <mergeCell ref="J17:J18"/>
    <mergeCell ref="K17:K18"/>
    <mergeCell ref="L17:L18"/>
    <mergeCell ref="M17:M18"/>
    <mergeCell ref="A19:A20"/>
    <mergeCell ref="B19:C19"/>
    <mergeCell ref="D19:G19"/>
    <mergeCell ref="H19:H20"/>
    <mergeCell ref="I19:I20"/>
    <mergeCell ref="A13:A14"/>
    <mergeCell ref="B13:C13"/>
    <mergeCell ref="D13:G13"/>
    <mergeCell ref="H13:H14"/>
    <mergeCell ref="I13:I14"/>
    <mergeCell ref="A17:A18"/>
    <mergeCell ref="A15:A16"/>
    <mergeCell ref="B18:C18"/>
    <mergeCell ref="D18:G1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23:N24"/>
    <mergeCell ref="N25:N26"/>
    <mergeCell ref="N27:N28"/>
    <mergeCell ref="N29:N30"/>
    <mergeCell ref="N31:N32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6BC3-4CE5-40FD-8714-CF211EDEB171}">
  <sheetPr>
    <tabColor theme="5"/>
    <pageSetUpPr fitToPage="1"/>
  </sheetPr>
  <dimension ref="A1:N61"/>
  <sheetViews>
    <sheetView zoomScale="110" zoomScaleNormal="110" workbookViewId="0">
      <selection activeCell="I11" sqref="I11:I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3" width="5.5" customWidth="1"/>
  </cols>
  <sheetData>
    <row r="1" spans="1:13" ht="16.5" customHeight="1" thickBot="1">
      <c r="A1" s="62" t="s">
        <v>512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1">
        <f>SUM(I3)-2.5</f>
        <v>44</v>
      </c>
      <c r="I3" s="51">
        <f>SUM(J3)-2.5</f>
        <v>46.5</v>
      </c>
      <c r="J3" s="71">
        <v>49</v>
      </c>
      <c r="K3" s="70">
        <f>SUM(J3)+2.5</f>
        <v>51.5</v>
      </c>
      <c r="L3" s="70">
        <f t="shared" ref="L3:M3" si="0">SUM(K3)+2.5</f>
        <v>54</v>
      </c>
      <c r="M3" s="72">
        <f t="shared" si="0"/>
        <v>56.5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5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1"/>
      <c r="I5" s="51"/>
      <c r="J5" s="100"/>
      <c r="K5" s="47"/>
      <c r="L5" s="88"/>
      <c r="M5" s="225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86"/>
      <c r="M6" s="25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100"/>
      <c r="K7" s="47"/>
      <c r="L7" s="88"/>
      <c r="M7" s="225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86"/>
      <c r="M8" s="25"/>
    </row>
    <row r="9" spans="1:13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88"/>
      <c r="M9" s="225"/>
    </row>
    <row r="10" spans="1:13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86"/>
      <c r="M10" s="25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65.5</v>
      </c>
      <c r="I11" s="51">
        <f>SUM(J11)-4.5</f>
        <v>70</v>
      </c>
      <c r="J11" s="100">
        <v>74.5</v>
      </c>
      <c r="K11" s="47">
        <f>SUM(J11)+4.5</f>
        <v>79</v>
      </c>
      <c r="L11" s="47">
        <f t="shared" ref="L11:M11" si="1">SUM(K11)+4.5</f>
        <v>83.5</v>
      </c>
      <c r="M11" s="225">
        <f t="shared" si="1"/>
        <v>88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5"/>
    </row>
    <row r="13" spans="1:13" s="1" customFormat="1" ht="14.1" customHeight="1">
      <c r="A13" s="182">
        <v>6</v>
      </c>
      <c r="B13" s="49" t="s">
        <v>367</v>
      </c>
      <c r="C13" s="50"/>
      <c r="D13" s="96"/>
      <c r="E13" s="97"/>
      <c r="F13" s="97"/>
      <c r="G13" s="98"/>
      <c r="H13" s="51">
        <f>SUM(I13)-2.5</f>
        <v>23.5</v>
      </c>
      <c r="I13" s="51">
        <f>SUM(J13)-2.5</f>
        <v>26</v>
      </c>
      <c r="J13" s="100">
        <v>28.5</v>
      </c>
      <c r="K13" s="47">
        <f>SUM(J13)+2.5</f>
        <v>31</v>
      </c>
      <c r="L13" s="47">
        <f t="shared" ref="L13:M13" si="2">SUM(K13)+2.5</f>
        <v>33.5</v>
      </c>
      <c r="M13" s="225">
        <f t="shared" si="2"/>
        <v>36</v>
      </c>
    </row>
    <row r="14" spans="1:13" s="1" customFormat="1" ht="14.1" customHeight="1">
      <c r="A14" s="184"/>
      <c r="B14" s="23" t="s">
        <v>368</v>
      </c>
      <c r="C14" s="23"/>
      <c r="D14" s="89" t="s">
        <v>189</v>
      </c>
      <c r="E14" s="90"/>
      <c r="F14" s="90"/>
      <c r="G14" s="91"/>
      <c r="H14" s="23"/>
      <c r="I14" s="23"/>
      <c r="J14" s="21"/>
      <c r="K14" s="23"/>
      <c r="L14" s="23"/>
      <c r="M14" s="25"/>
    </row>
    <row r="15" spans="1:13" s="1" customFormat="1" ht="14.1" customHeight="1">
      <c r="A15" s="182">
        <v>7</v>
      </c>
      <c r="B15" s="49" t="s">
        <v>504</v>
      </c>
      <c r="C15" s="50"/>
      <c r="D15" s="57"/>
      <c r="E15" s="58"/>
      <c r="F15" s="58"/>
      <c r="G15" s="59"/>
      <c r="H15" s="51">
        <f>SUM(I15)</f>
        <v>2.5</v>
      </c>
      <c r="I15" s="51">
        <f>SUM(J15)</f>
        <v>2.5</v>
      </c>
      <c r="J15" s="100">
        <v>2.5</v>
      </c>
      <c r="K15" s="47">
        <f>SUM(J15)</f>
        <v>2.5</v>
      </c>
      <c r="L15" s="47">
        <f t="shared" ref="L15:M15" si="3">SUM(K15)</f>
        <v>2.5</v>
      </c>
      <c r="M15" s="225">
        <f t="shared" si="3"/>
        <v>2.5</v>
      </c>
    </row>
    <row r="16" spans="1:13" s="1" customFormat="1" ht="14.1" customHeight="1">
      <c r="A16" s="184"/>
      <c r="B16" s="77" t="s">
        <v>505</v>
      </c>
      <c r="C16" s="78"/>
      <c r="D16" s="36" t="s">
        <v>513</v>
      </c>
      <c r="E16" s="140"/>
      <c r="F16" s="140"/>
      <c r="G16" s="141"/>
      <c r="H16" s="23"/>
      <c r="I16" s="23"/>
      <c r="J16" s="21"/>
      <c r="K16" s="23"/>
      <c r="L16" s="23"/>
      <c r="M16" s="25"/>
    </row>
    <row r="17" spans="1:14" s="1" customFormat="1" ht="14.1" customHeight="1">
      <c r="A17" s="182">
        <v>8</v>
      </c>
      <c r="B17" s="49" t="s">
        <v>169</v>
      </c>
      <c r="C17" s="50"/>
      <c r="D17" s="96"/>
      <c r="E17" s="97"/>
      <c r="F17" s="97"/>
      <c r="G17" s="98"/>
      <c r="H17" s="51">
        <f>SUM(I17)-1</f>
        <v>7</v>
      </c>
      <c r="I17" s="51">
        <f>SUM(J17)-1</f>
        <v>8</v>
      </c>
      <c r="J17" s="100">
        <v>9</v>
      </c>
      <c r="K17" s="47">
        <f>SUM(J17)+0.5</f>
        <v>9.5</v>
      </c>
      <c r="L17" s="47">
        <f>SUM(K17)+1</f>
        <v>10.5</v>
      </c>
      <c r="M17" s="225">
        <f>SUM(L17)+1</f>
        <v>11.5</v>
      </c>
    </row>
    <row r="18" spans="1:14" s="1" customFormat="1" ht="14.1" customHeight="1">
      <c r="A18" s="184"/>
      <c r="B18" s="23" t="s">
        <v>507</v>
      </c>
      <c r="C18" s="23"/>
      <c r="D18" s="89" t="s">
        <v>514</v>
      </c>
      <c r="E18" s="90"/>
      <c r="F18" s="90"/>
      <c r="G18" s="91"/>
      <c r="H18" s="23"/>
      <c r="I18" s="23"/>
      <c r="J18" s="21"/>
      <c r="K18" s="23"/>
      <c r="L18" s="23"/>
      <c r="M18" s="25"/>
    </row>
    <row r="19" spans="1:14" s="1" customFormat="1" ht="14.1" customHeight="1">
      <c r="A19" s="182">
        <v>9</v>
      </c>
      <c r="B19" s="49" t="s">
        <v>170</v>
      </c>
      <c r="C19" s="50"/>
      <c r="D19" s="96"/>
      <c r="E19" s="97"/>
      <c r="F19" s="97"/>
      <c r="G19" s="98"/>
      <c r="H19" s="51">
        <f>SUM(I19)-1</f>
        <v>10.3</v>
      </c>
      <c r="I19" s="51">
        <f>SUM(J19)-1</f>
        <v>11.3</v>
      </c>
      <c r="J19" s="100">
        <v>12.3</v>
      </c>
      <c r="K19" s="47">
        <f>SUM(J19)+1</f>
        <v>13.3</v>
      </c>
      <c r="L19" s="47">
        <f t="shared" ref="L19:M19" si="4">SUM(K19)+1</f>
        <v>14.3</v>
      </c>
      <c r="M19" s="225">
        <f t="shared" si="4"/>
        <v>15.3</v>
      </c>
    </row>
    <row r="20" spans="1:14" s="1" customFormat="1" ht="14.1" customHeight="1">
      <c r="A20" s="184"/>
      <c r="B20" s="23" t="s">
        <v>509</v>
      </c>
      <c r="C20" s="23"/>
      <c r="D20" s="89" t="s">
        <v>190</v>
      </c>
      <c r="E20" s="90"/>
      <c r="F20" s="90"/>
      <c r="G20" s="91"/>
      <c r="H20" s="23"/>
      <c r="I20" s="23"/>
      <c r="J20" s="21"/>
      <c r="K20" s="23"/>
      <c r="L20" s="23"/>
      <c r="M20" s="25"/>
    </row>
    <row r="21" spans="1:14" s="1" customFormat="1" ht="14.1" customHeight="1">
      <c r="A21" s="182">
        <v>10</v>
      </c>
      <c r="B21" s="49" t="s">
        <v>515</v>
      </c>
      <c r="C21" s="50"/>
      <c r="D21" s="96"/>
      <c r="E21" s="97"/>
      <c r="F21" s="97"/>
      <c r="G21" s="98"/>
      <c r="H21" s="51">
        <f>SUM(I21)-1</f>
        <v>9.3000000000000007</v>
      </c>
      <c r="I21" s="51">
        <f>SUM(J21)-1</f>
        <v>10.3</v>
      </c>
      <c r="J21" s="100">
        <v>11.3</v>
      </c>
      <c r="K21" s="47">
        <f>SUM(J21)+1</f>
        <v>12.3</v>
      </c>
      <c r="L21" s="47">
        <f t="shared" ref="L21:M21" si="5">SUM(K21)+1</f>
        <v>13.3</v>
      </c>
      <c r="M21" s="225">
        <f t="shared" si="5"/>
        <v>14.3</v>
      </c>
    </row>
    <row r="22" spans="1:14" s="1" customFormat="1" ht="14.1" customHeight="1">
      <c r="A22" s="184"/>
      <c r="B22" s="23" t="s">
        <v>516</v>
      </c>
      <c r="C22" s="23"/>
      <c r="D22" s="89" t="s">
        <v>190</v>
      </c>
      <c r="E22" s="90"/>
      <c r="F22" s="90"/>
      <c r="G22" s="91"/>
      <c r="H22" s="23"/>
      <c r="I22" s="23"/>
      <c r="J22" s="21"/>
      <c r="K22" s="23"/>
      <c r="L22" s="23"/>
      <c r="M22" s="25"/>
    </row>
    <row r="23" spans="1:14" s="1" customFormat="1" ht="14.1" customHeight="1">
      <c r="A23" s="201">
        <v>11</v>
      </c>
      <c r="B23" s="49"/>
      <c r="C23" s="50"/>
      <c r="D23" s="96"/>
      <c r="E23" s="97"/>
      <c r="F23" s="97"/>
      <c r="G23" s="98"/>
      <c r="H23" s="51"/>
      <c r="I23" s="51"/>
      <c r="J23" s="60"/>
      <c r="K23" s="51"/>
      <c r="L23" s="51"/>
      <c r="M23" s="61"/>
    </row>
    <row r="24" spans="1:14" s="1" customFormat="1" ht="14.1" customHeight="1" thickBot="1">
      <c r="A24" s="183"/>
      <c r="B24" s="48"/>
      <c r="C24" s="48"/>
      <c r="D24" s="246"/>
      <c r="E24" s="247"/>
      <c r="F24" s="247"/>
      <c r="G24" s="248"/>
      <c r="H24" s="48"/>
      <c r="I24" s="48"/>
      <c r="J24" s="110"/>
      <c r="K24" s="48"/>
      <c r="L24" s="48"/>
      <c r="M24" s="224"/>
    </row>
    <row r="25" spans="1:14" s="1" customFormat="1" ht="14.1" customHeight="1" thickTop="1">
      <c r="A25" s="245">
        <v>12</v>
      </c>
      <c r="B25" s="118" t="s">
        <v>11</v>
      </c>
      <c r="C25" s="119"/>
      <c r="D25" s="120" t="s">
        <v>12</v>
      </c>
      <c r="E25" s="121"/>
      <c r="F25" s="121"/>
      <c r="G25" s="122"/>
      <c r="H25" s="157">
        <f>SUM(I25)-3.2</f>
        <v>53.699999999999996</v>
      </c>
      <c r="I25" s="157">
        <f>SUM(J25)-3.2</f>
        <v>56.9</v>
      </c>
      <c r="J25" s="204">
        <v>60.1</v>
      </c>
      <c r="K25" s="157">
        <f>SUM(J25)+3.2</f>
        <v>63.300000000000004</v>
      </c>
      <c r="L25" s="157">
        <f t="shared" ref="L25:M25" si="6">SUM(K25)+3.2</f>
        <v>66.5</v>
      </c>
      <c r="M25" s="244">
        <f t="shared" si="6"/>
        <v>69.7</v>
      </c>
      <c r="N25" s="1" t="s">
        <v>173</v>
      </c>
    </row>
    <row r="26" spans="1:14" s="1" customFormat="1" ht="14.1" customHeight="1">
      <c r="A26" s="73"/>
      <c r="B26" s="77" t="s">
        <v>51</v>
      </c>
      <c r="C26" s="78"/>
      <c r="D26" s="79" t="s">
        <v>98</v>
      </c>
      <c r="E26" s="80"/>
      <c r="F26" s="80"/>
      <c r="G26" s="81"/>
      <c r="H26" s="23"/>
      <c r="I26" s="23"/>
      <c r="J26" s="21"/>
      <c r="K26" s="23"/>
      <c r="L26" s="23"/>
      <c r="M26" s="25"/>
    </row>
    <row r="27" spans="1:14" s="1" customFormat="1" ht="14.1" customHeight="1">
      <c r="A27" s="111">
        <v>13</v>
      </c>
      <c r="B27" s="49" t="s">
        <v>113</v>
      </c>
      <c r="C27" s="50"/>
      <c r="D27" s="57"/>
      <c r="E27" s="58"/>
      <c r="F27" s="58"/>
      <c r="G27" s="59"/>
      <c r="H27" s="51">
        <f>SUM(I27)-0.7</f>
        <v>10.100000000000001</v>
      </c>
      <c r="I27" s="51">
        <f>SUM(J27)-0.7</f>
        <v>10.8</v>
      </c>
      <c r="J27" s="60">
        <v>11.5</v>
      </c>
      <c r="K27" s="51">
        <f>SUM(J27)+1.2</f>
        <v>12.7</v>
      </c>
      <c r="L27" s="51">
        <f>SUM(K27)+0.7</f>
        <v>13.399999999999999</v>
      </c>
      <c r="M27" s="61">
        <f>SUM(L27)+0.7</f>
        <v>14.099999999999998</v>
      </c>
    </row>
    <row r="28" spans="1:14" s="1" customFormat="1" ht="14.1" customHeight="1">
      <c r="A28" s="66"/>
      <c r="B28" s="77" t="s">
        <v>112</v>
      </c>
      <c r="C28" s="78"/>
      <c r="D28" s="139" t="s">
        <v>125</v>
      </c>
      <c r="E28" s="140"/>
      <c r="F28" s="140"/>
      <c r="G28" s="141"/>
      <c r="H28" s="23"/>
      <c r="I28" s="23"/>
      <c r="J28" s="21"/>
      <c r="K28" s="23"/>
      <c r="L28" s="23"/>
      <c r="M28" s="25"/>
    </row>
    <row r="29" spans="1:14" s="1" customFormat="1" ht="14.1" customHeight="1">
      <c r="A29" s="73">
        <v>14</v>
      </c>
      <c r="B29" s="49" t="s">
        <v>9</v>
      </c>
      <c r="C29" s="50"/>
      <c r="D29" s="57" t="s">
        <v>73</v>
      </c>
      <c r="E29" s="58"/>
      <c r="F29" s="58"/>
      <c r="G29" s="59"/>
      <c r="H29" s="51">
        <f>SUM(I29)-1.5</f>
        <v>18.5</v>
      </c>
      <c r="I29" s="51">
        <f>SUM(J29)-1.5</f>
        <v>20</v>
      </c>
      <c r="J29" s="60">
        <v>21.5</v>
      </c>
      <c r="K29" s="51">
        <f>SUM(J29)+1.5</f>
        <v>23</v>
      </c>
      <c r="L29" s="51">
        <f t="shared" ref="L29:M29" si="7">SUM(K29)+1.5</f>
        <v>24.5</v>
      </c>
      <c r="M29" s="61">
        <f t="shared" si="7"/>
        <v>26</v>
      </c>
    </row>
    <row r="30" spans="1:14" s="1" customFormat="1" ht="14.1" customHeight="1">
      <c r="A30" s="66"/>
      <c r="B30" s="77" t="s">
        <v>52</v>
      </c>
      <c r="C30" s="78"/>
      <c r="D30" s="79" t="s">
        <v>511</v>
      </c>
      <c r="E30" s="80"/>
      <c r="F30" s="80"/>
      <c r="G30" s="81"/>
      <c r="H30" s="23"/>
      <c r="I30" s="23"/>
      <c r="J30" s="21"/>
      <c r="K30" s="23"/>
      <c r="L30" s="23"/>
      <c r="M30" s="25"/>
    </row>
    <row r="31" spans="1:14" s="1" customFormat="1" ht="14.1" customHeight="1">
      <c r="A31" s="111">
        <v>15</v>
      </c>
      <c r="B31" s="49" t="s">
        <v>14</v>
      </c>
      <c r="C31" s="50"/>
      <c r="D31" s="57" t="s">
        <v>15</v>
      </c>
      <c r="E31" s="58"/>
      <c r="F31" s="58"/>
      <c r="G31" s="59"/>
      <c r="H31" s="51">
        <f>SUM(I31)-1.8</f>
        <v>31.400000000000002</v>
      </c>
      <c r="I31" s="51">
        <f>SUM(J31)-1.8</f>
        <v>33.200000000000003</v>
      </c>
      <c r="J31" s="60">
        <v>35</v>
      </c>
      <c r="K31" s="51">
        <f>SUM(J31)+1.8</f>
        <v>36.799999999999997</v>
      </c>
      <c r="L31" s="51">
        <f t="shared" ref="L31:M31" si="8">SUM(K31)+1.8</f>
        <v>38.599999999999994</v>
      </c>
      <c r="M31" s="61">
        <f t="shared" si="8"/>
        <v>40.399999999999991</v>
      </c>
    </row>
    <row r="32" spans="1:14" s="1" customFormat="1" ht="14.1" customHeight="1">
      <c r="A32" s="66"/>
      <c r="B32" s="77" t="s">
        <v>53</v>
      </c>
      <c r="C32" s="78"/>
      <c r="D32" s="36" t="s">
        <v>96</v>
      </c>
      <c r="E32" s="37"/>
      <c r="F32" s="37"/>
      <c r="G32" s="38"/>
      <c r="H32" s="23"/>
      <c r="I32" s="23"/>
      <c r="J32" s="21"/>
      <c r="K32" s="23"/>
      <c r="L32" s="23"/>
      <c r="M32" s="25"/>
    </row>
    <row r="33" spans="1:13" s="1" customFormat="1" ht="14.1" customHeight="1">
      <c r="A33" s="111">
        <v>16</v>
      </c>
      <c r="B33" s="49" t="s">
        <v>16</v>
      </c>
      <c r="C33" s="50"/>
      <c r="D33" s="57" t="s">
        <v>13</v>
      </c>
      <c r="E33" s="58"/>
      <c r="F33" s="58"/>
      <c r="G33" s="59"/>
      <c r="H33" s="51">
        <f>SUM(I33)-1</f>
        <v>18</v>
      </c>
      <c r="I33" s="51">
        <f>SUM(J33)-1</f>
        <v>19</v>
      </c>
      <c r="J33" s="60">
        <v>20</v>
      </c>
      <c r="K33" s="51">
        <f>SUM(J33)+1.5</f>
        <v>21.5</v>
      </c>
      <c r="L33" s="51">
        <f>SUM(K33)+1</f>
        <v>22.5</v>
      </c>
      <c r="M33" s="61">
        <f>SUM(L33)+1</f>
        <v>23.5</v>
      </c>
    </row>
    <row r="34" spans="1:13" s="1" customFormat="1" ht="14.1" customHeight="1">
      <c r="A34" s="66"/>
      <c r="B34" s="77" t="s">
        <v>59</v>
      </c>
      <c r="C34" s="78"/>
      <c r="D34" s="79" t="s">
        <v>95</v>
      </c>
      <c r="E34" s="80"/>
      <c r="F34" s="80"/>
      <c r="G34" s="81"/>
      <c r="H34" s="23"/>
      <c r="I34" s="23"/>
      <c r="J34" s="21"/>
      <c r="K34" s="23"/>
      <c r="L34" s="23"/>
      <c r="M34" s="25"/>
    </row>
    <row r="35" spans="1:13" s="1" customFormat="1" ht="14.1" customHeight="1">
      <c r="A35" s="73">
        <v>17</v>
      </c>
      <c r="B35" s="49" t="s">
        <v>17</v>
      </c>
      <c r="C35" s="50"/>
      <c r="D35" s="57" t="s">
        <v>13</v>
      </c>
      <c r="E35" s="58"/>
      <c r="F35" s="58"/>
      <c r="G35" s="59"/>
      <c r="H35" s="51">
        <f>SUM(I35)-1.2</f>
        <v>20.200000000000003</v>
      </c>
      <c r="I35" s="51">
        <f>SUM(J35)-1.2</f>
        <v>21.400000000000002</v>
      </c>
      <c r="J35" s="60">
        <v>22.6</v>
      </c>
      <c r="K35" s="51">
        <f>SUM(J35)+1.7</f>
        <v>24.3</v>
      </c>
      <c r="L35" s="51">
        <f>SUM(K35)+1.2</f>
        <v>25.5</v>
      </c>
      <c r="M35" s="61">
        <f>SUM(L35)+1.2</f>
        <v>26.7</v>
      </c>
    </row>
    <row r="36" spans="1:13" s="1" customFormat="1" ht="14.1" customHeight="1" thickBot="1">
      <c r="A36" s="74"/>
      <c r="B36" s="177" t="s">
        <v>58</v>
      </c>
      <c r="C36" s="178"/>
      <c r="D36" s="199" t="s">
        <v>95</v>
      </c>
      <c r="E36" s="180"/>
      <c r="F36" s="180"/>
      <c r="G36" s="181"/>
      <c r="H36" s="48"/>
      <c r="I36" s="48"/>
      <c r="J36" s="110"/>
      <c r="K36" s="48"/>
      <c r="L36" s="48"/>
      <c r="M36" s="224"/>
    </row>
    <row r="37" spans="1:13" s="1" customFormat="1" ht="14.1" customHeight="1">
      <c r="A37"/>
      <c r="B37"/>
      <c r="C37"/>
      <c r="D37"/>
      <c r="E37"/>
      <c r="F37"/>
      <c r="G37"/>
      <c r="H37" s="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 s="7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A817-9185-4D2C-82E5-359595E19B16}">
  <sheetPr>
    <tabColor theme="5"/>
    <pageSetUpPr fitToPage="1"/>
  </sheetPr>
  <dimension ref="A1:P51"/>
  <sheetViews>
    <sheetView zoomScale="110" zoomScaleNormal="110" workbookViewId="0">
      <selection activeCell="I11" sqref="I11:I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406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45</v>
      </c>
      <c r="I3" s="70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76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47"/>
      <c r="I5" s="47"/>
      <c r="J5" s="100"/>
      <c r="K5" s="47"/>
      <c r="L5" s="47"/>
      <c r="M5" s="104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76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60"/>
      <c r="K7" s="51"/>
      <c r="L7" s="51"/>
      <c r="M7" s="75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76"/>
      <c r="P8" s="10"/>
    </row>
    <row r="9" spans="1:16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60"/>
      <c r="K9" s="51"/>
      <c r="L9" s="51"/>
      <c r="M9" s="75"/>
      <c r="P9" s="10"/>
    </row>
    <row r="10" spans="1:16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  <c r="P10" s="10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SUM(I11)-4.5</f>
        <v>63</v>
      </c>
      <c r="I11" s="51">
        <f>SUM(J11)-4.5</f>
        <v>67.5</v>
      </c>
      <c r="J11" s="100">
        <v>72</v>
      </c>
      <c r="K11" s="47">
        <f>SUM(J11)+4.5</f>
        <v>76.5</v>
      </c>
      <c r="L11" s="47">
        <f>SUM(K11)+4.5</f>
        <v>81</v>
      </c>
      <c r="M11" s="104">
        <f>SUM(L11)+4.5</f>
        <v>85.5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6" s="1" customFormat="1" ht="14.1" customHeight="1">
      <c r="A13" s="182">
        <v>6</v>
      </c>
      <c r="B13" s="49" t="s">
        <v>409</v>
      </c>
      <c r="C13" s="50"/>
      <c r="D13" s="96" t="s">
        <v>73</v>
      </c>
      <c r="E13" s="97"/>
      <c r="F13" s="97"/>
      <c r="G13" s="98"/>
      <c r="H13" s="51">
        <f>SUM(I13)-6</f>
        <v>41.5</v>
      </c>
      <c r="I13" s="51">
        <f>SUM(J13)-6</f>
        <v>47.5</v>
      </c>
      <c r="J13" s="100">
        <v>53.5</v>
      </c>
      <c r="K13" s="47">
        <f>SUM(J13)+5</f>
        <v>58.5</v>
      </c>
      <c r="L13" s="47">
        <f>SUM(K13)+5</f>
        <v>63.5</v>
      </c>
      <c r="M13" s="104">
        <f>SUM(L13)+5</f>
        <v>68.5</v>
      </c>
    </row>
    <row r="14" spans="1:16" s="1" customFormat="1" ht="14.1" customHeight="1">
      <c r="A14" s="184"/>
      <c r="B14" s="23" t="s">
        <v>414</v>
      </c>
      <c r="C14" s="23"/>
      <c r="D14" s="89" t="s">
        <v>117</v>
      </c>
      <c r="E14" s="90"/>
      <c r="F14" s="90"/>
      <c r="G14" s="91"/>
      <c r="H14" s="23"/>
      <c r="I14" s="23"/>
      <c r="J14" s="21"/>
      <c r="K14" s="23"/>
      <c r="L14" s="23"/>
      <c r="M14" s="76"/>
    </row>
    <row r="15" spans="1:16" s="1" customFormat="1" ht="14.1" customHeight="1">
      <c r="A15" s="182">
        <v>7</v>
      </c>
      <c r="B15" s="49" t="s">
        <v>407</v>
      </c>
      <c r="C15" s="50"/>
      <c r="D15" s="67"/>
      <c r="E15" s="68"/>
      <c r="F15" s="68"/>
      <c r="G15" s="69"/>
      <c r="H15" s="51">
        <f>SUM(I15)-1.2</f>
        <v>7.6000000000000005</v>
      </c>
      <c r="I15" s="51">
        <f>SUM(J15)-1.2</f>
        <v>8.8000000000000007</v>
      </c>
      <c r="J15" s="100">
        <v>10</v>
      </c>
      <c r="K15" s="47">
        <f>SUM(J15)+0.9</f>
        <v>10.9</v>
      </c>
      <c r="L15" s="47">
        <f>SUM(K15)+1</f>
        <v>11.9</v>
      </c>
      <c r="M15" s="104">
        <f>SUM(L15)+1</f>
        <v>12.9</v>
      </c>
    </row>
    <row r="16" spans="1:16" s="1" customFormat="1" ht="14.1" customHeight="1">
      <c r="A16" s="184"/>
      <c r="B16" s="34" t="s">
        <v>408</v>
      </c>
      <c r="C16" s="35"/>
      <c r="D16" s="79" t="s">
        <v>335</v>
      </c>
      <c r="E16" s="80"/>
      <c r="F16" s="80"/>
      <c r="G16" s="8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410</v>
      </c>
      <c r="C17" s="50"/>
      <c r="D17" s="96"/>
      <c r="E17" s="97"/>
      <c r="F17" s="97"/>
      <c r="G17" s="98"/>
      <c r="H17" s="51">
        <f>SUM(I17)-0.9</f>
        <v>6.3999999999999986</v>
      </c>
      <c r="I17" s="51">
        <f>SUM(J17)-0.9</f>
        <v>7.2999999999999989</v>
      </c>
      <c r="J17" s="100">
        <v>8.1999999999999993</v>
      </c>
      <c r="K17" s="47">
        <f>SUM(J17)+0.7</f>
        <v>8.8999999999999986</v>
      </c>
      <c r="L17" s="47">
        <f>SUM(K17)+0.8</f>
        <v>9.6999999999999993</v>
      </c>
      <c r="M17" s="104">
        <f>SUM(L17)+0.8</f>
        <v>10.5</v>
      </c>
    </row>
    <row r="18" spans="1:13" s="1" customFormat="1" ht="14.1" customHeight="1">
      <c r="A18" s="184"/>
      <c r="B18" s="34" t="s">
        <v>411</v>
      </c>
      <c r="C18" s="35"/>
      <c r="D18" s="89"/>
      <c r="E18" s="90"/>
      <c r="F18" s="90"/>
      <c r="G18" s="91"/>
      <c r="H18" s="23"/>
      <c r="I18" s="23"/>
      <c r="J18" s="21"/>
      <c r="K18" s="23"/>
      <c r="L18" s="23"/>
      <c r="M18" s="76"/>
    </row>
    <row r="19" spans="1:13" s="1" customFormat="1" ht="14.1" customHeight="1">
      <c r="A19" s="201">
        <v>9</v>
      </c>
      <c r="B19" s="49" t="s">
        <v>412</v>
      </c>
      <c r="C19" s="50"/>
      <c r="D19" s="96"/>
      <c r="E19" s="97"/>
      <c r="F19" s="97"/>
      <c r="G19" s="98"/>
      <c r="H19" s="51">
        <f>SUM(I19)-3.9</f>
        <v>24.700000000000003</v>
      </c>
      <c r="I19" s="51">
        <f>SUM(J19)-3.9</f>
        <v>28.6</v>
      </c>
      <c r="J19" s="60">
        <v>32.5</v>
      </c>
      <c r="K19" s="51">
        <f>SUM(J19)+2.9</f>
        <v>35.4</v>
      </c>
      <c r="L19" s="51">
        <f>SUM(K19)+3.2</f>
        <v>38.6</v>
      </c>
      <c r="M19" s="75">
        <f>SUM(L19)+3.2</f>
        <v>41.800000000000004</v>
      </c>
    </row>
    <row r="20" spans="1:13" s="1" customFormat="1" ht="14.1" customHeight="1">
      <c r="A20" s="184"/>
      <c r="B20" s="34" t="s">
        <v>413</v>
      </c>
      <c r="C20" s="35"/>
      <c r="D20" s="89" t="s">
        <v>415</v>
      </c>
      <c r="E20" s="90"/>
      <c r="F20" s="90"/>
      <c r="G20" s="9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53"/>
      <c r="C21" s="54"/>
      <c r="D21" s="67"/>
      <c r="E21" s="68"/>
      <c r="F21" s="68"/>
      <c r="G21" s="69"/>
      <c r="H21" s="47"/>
      <c r="I21" s="47"/>
      <c r="J21" s="100"/>
      <c r="K21" s="47"/>
      <c r="L21" s="47"/>
      <c r="M21" s="104"/>
    </row>
    <row r="22" spans="1:13" s="1" customFormat="1" ht="14.1" customHeight="1">
      <c r="A22" s="184"/>
      <c r="B22" s="77"/>
      <c r="C22" s="78"/>
      <c r="D22" s="79"/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/>
      <c r="C23" s="50"/>
      <c r="D23" s="57"/>
      <c r="E23" s="58"/>
      <c r="F23" s="58"/>
      <c r="G23" s="59"/>
      <c r="H23" s="51"/>
      <c r="I23" s="51"/>
      <c r="J23" s="60"/>
      <c r="K23" s="51"/>
      <c r="L23" s="51"/>
      <c r="M23" s="75"/>
    </row>
    <row r="24" spans="1:13" s="1" customFormat="1" ht="14.1" customHeight="1">
      <c r="A24" s="184"/>
      <c r="B24" s="77"/>
      <c r="C24" s="78"/>
      <c r="D24" s="139"/>
      <c r="E24" s="140"/>
      <c r="F24" s="140"/>
      <c r="G24" s="141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/>
      <c r="C25" s="50"/>
      <c r="D25" s="57"/>
      <c r="E25" s="58"/>
      <c r="F25" s="58"/>
      <c r="G25" s="59"/>
      <c r="H25" s="51"/>
      <c r="I25" s="51"/>
      <c r="J25" s="60"/>
      <c r="K25" s="51"/>
      <c r="L25" s="51"/>
      <c r="M25" s="75"/>
    </row>
    <row r="26" spans="1:13" s="1" customFormat="1" ht="14.1" customHeight="1">
      <c r="A26" s="184"/>
      <c r="B26" s="77"/>
      <c r="C26" s="78"/>
      <c r="D26" s="79"/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182">
        <v>13</v>
      </c>
      <c r="B27" s="49"/>
      <c r="C27" s="50"/>
      <c r="D27" s="57"/>
      <c r="E27" s="58"/>
      <c r="F27" s="58"/>
      <c r="G27" s="59"/>
      <c r="H27" s="51"/>
      <c r="I27" s="51"/>
      <c r="J27" s="60"/>
      <c r="K27" s="51"/>
      <c r="L27" s="51"/>
      <c r="M27" s="75"/>
    </row>
    <row r="28" spans="1:13" s="1" customFormat="1" ht="14.1" customHeight="1">
      <c r="A28" s="184"/>
      <c r="B28" s="77"/>
      <c r="C28" s="78"/>
      <c r="D28" s="36"/>
      <c r="E28" s="37"/>
      <c r="F28" s="37"/>
      <c r="G28" s="38"/>
      <c r="H28" s="23"/>
      <c r="I28" s="23"/>
      <c r="J28" s="21"/>
      <c r="K28" s="23"/>
      <c r="L28" s="23"/>
      <c r="M28" s="76"/>
    </row>
    <row r="29" spans="1:13" ht="14.1" customHeight="1">
      <c r="A29" s="182">
        <v>14</v>
      </c>
      <c r="B29" s="49"/>
      <c r="C29" s="50"/>
      <c r="D29" s="57"/>
      <c r="E29" s="58"/>
      <c r="F29" s="58"/>
      <c r="G29" s="59"/>
      <c r="H29" s="51"/>
      <c r="I29" s="51"/>
      <c r="J29" s="60"/>
      <c r="K29" s="51"/>
      <c r="L29" s="51"/>
      <c r="M29" s="75"/>
    </row>
    <row r="30" spans="1:13" ht="14.1" customHeight="1">
      <c r="A30" s="184"/>
      <c r="B30" s="77"/>
      <c r="C30" s="78"/>
      <c r="D30" s="79"/>
      <c r="E30" s="80"/>
      <c r="F30" s="80"/>
      <c r="G30" s="81"/>
      <c r="H30" s="23"/>
      <c r="I30" s="23"/>
      <c r="J30" s="21"/>
      <c r="K30" s="23"/>
      <c r="L30" s="23"/>
      <c r="M30" s="76"/>
    </row>
    <row r="31" spans="1:13" ht="14.1" customHeight="1">
      <c r="A31" s="182">
        <v>15</v>
      </c>
      <c r="B31" s="49"/>
      <c r="C31" s="50"/>
      <c r="D31" s="57"/>
      <c r="E31" s="58"/>
      <c r="F31" s="58"/>
      <c r="G31" s="59"/>
      <c r="H31" s="51"/>
      <c r="I31" s="51"/>
      <c r="J31" s="60"/>
      <c r="K31" s="51"/>
      <c r="L31" s="51"/>
      <c r="M31" s="75"/>
    </row>
    <row r="32" spans="1:13" ht="14.1" customHeight="1" thickBot="1">
      <c r="A32" s="183"/>
      <c r="B32" s="177"/>
      <c r="C32" s="178"/>
      <c r="D32" s="199"/>
      <c r="E32" s="180"/>
      <c r="F32" s="180"/>
      <c r="G32" s="181"/>
      <c r="H32" s="48"/>
      <c r="I32" s="48"/>
      <c r="J32" s="110"/>
      <c r="K32" s="48"/>
      <c r="L32" s="48"/>
      <c r="M32" s="109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4091-8CFC-43E8-B6CC-A802568CF1CA}">
  <sheetPr>
    <tabColor theme="5"/>
    <pageSetUpPr fitToPage="1"/>
  </sheetPr>
  <dimension ref="A1:P51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674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45</v>
      </c>
      <c r="I3" s="70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76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47"/>
      <c r="I5" s="47"/>
      <c r="J5" s="100"/>
      <c r="K5" s="47"/>
      <c r="L5" s="47"/>
      <c r="M5" s="104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76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60"/>
      <c r="K7" s="51"/>
      <c r="L7" s="51"/>
      <c r="M7" s="75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76"/>
      <c r="P8" s="10" t="s">
        <v>207</v>
      </c>
    </row>
    <row r="9" spans="1:16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60"/>
      <c r="K9" s="51"/>
      <c r="L9" s="51"/>
      <c r="M9" s="75"/>
      <c r="P9" s="10">
        <f>SUM((H19+I19+J19+K19+L19+M19)*6)</f>
        <v>169.2</v>
      </c>
    </row>
    <row r="10" spans="1:16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23"/>
      <c r="M10" s="76"/>
      <c r="P10" s="10">
        <f>SUM(P9/91.44/6*1.08)</f>
        <v>0.33307086614173231</v>
      </c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SUM(I11)-3.5</f>
        <v>49</v>
      </c>
      <c r="I11" s="51">
        <f>SUM(J11)-3.5</f>
        <v>52.5</v>
      </c>
      <c r="J11" s="100">
        <v>56</v>
      </c>
      <c r="K11" s="47">
        <f>SUM(J11)+3.5</f>
        <v>59.5</v>
      </c>
      <c r="L11" s="47">
        <f>SUM(K11)+3.5</f>
        <v>63</v>
      </c>
      <c r="M11" s="104">
        <f>SUM(L11)+3.5</f>
        <v>66.5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6" s="1" customFormat="1" ht="14.1" customHeight="1">
      <c r="A13" s="182">
        <v>6</v>
      </c>
      <c r="B13" s="49" t="s">
        <v>367</v>
      </c>
      <c r="C13" s="50"/>
      <c r="D13" s="96" t="s">
        <v>73</v>
      </c>
      <c r="E13" s="97"/>
      <c r="F13" s="97"/>
      <c r="G13" s="98"/>
      <c r="H13" s="51">
        <f>SUM(I13)-2.5</f>
        <v>24</v>
      </c>
      <c r="I13" s="51">
        <f>SUM(J13)-2.5</f>
        <v>26.5</v>
      </c>
      <c r="J13" s="100">
        <v>29</v>
      </c>
      <c r="K13" s="47">
        <f>SUM(J13)+2.5</f>
        <v>31.5</v>
      </c>
      <c r="L13" s="47">
        <f>SUM(K13)+2.5</f>
        <v>34</v>
      </c>
      <c r="M13" s="104">
        <f>SUM(L13)+2.5</f>
        <v>36.5</v>
      </c>
    </row>
    <row r="14" spans="1:16" s="1" customFormat="1" ht="14.1" customHeight="1">
      <c r="A14" s="184"/>
      <c r="B14" s="23" t="s">
        <v>368</v>
      </c>
      <c r="C14" s="23"/>
      <c r="D14" s="89" t="s">
        <v>117</v>
      </c>
      <c r="E14" s="90"/>
      <c r="F14" s="90"/>
      <c r="G14" s="91"/>
      <c r="H14" s="23"/>
      <c r="I14" s="23"/>
      <c r="J14" s="21"/>
      <c r="K14" s="23"/>
      <c r="L14" s="23"/>
      <c r="M14" s="76"/>
    </row>
    <row r="15" spans="1:16" s="1" customFormat="1" ht="14.1" customHeight="1">
      <c r="A15" s="182">
        <v>7</v>
      </c>
      <c r="B15" s="49" t="s">
        <v>407</v>
      </c>
      <c r="C15" s="50"/>
      <c r="D15" s="96"/>
      <c r="E15" s="97"/>
      <c r="F15" s="97"/>
      <c r="G15" s="98"/>
      <c r="H15" s="51">
        <f>SUM(I15)-0.5</f>
        <v>7</v>
      </c>
      <c r="I15" s="51">
        <f>SUM(J15)-0.5</f>
        <v>7.5</v>
      </c>
      <c r="J15" s="100">
        <v>8</v>
      </c>
      <c r="K15" s="47">
        <f>SUM(J15)+0.5</f>
        <v>8.5</v>
      </c>
      <c r="L15" s="47">
        <f>SUM(K15)+0.5</f>
        <v>9</v>
      </c>
      <c r="M15" s="104">
        <f>SUM(L15)+0.5</f>
        <v>9.5</v>
      </c>
    </row>
    <row r="16" spans="1:16" s="1" customFormat="1" ht="14.1" customHeight="1">
      <c r="A16" s="184"/>
      <c r="B16" s="23" t="s">
        <v>675</v>
      </c>
      <c r="C16" s="23"/>
      <c r="D16" s="89"/>
      <c r="E16" s="90"/>
      <c r="F16" s="90"/>
      <c r="G16" s="91"/>
      <c r="H16" s="23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49" t="s">
        <v>678</v>
      </c>
      <c r="C17" s="50"/>
      <c r="D17" s="96"/>
      <c r="E17" s="97"/>
      <c r="F17" s="97"/>
      <c r="G17" s="98"/>
      <c r="H17" s="51">
        <f>SUM(I17)-2</f>
        <v>17</v>
      </c>
      <c r="I17" s="51">
        <f>SUM(J17)-2</f>
        <v>19</v>
      </c>
      <c r="J17" s="100">
        <v>21</v>
      </c>
      <c r="K17" s="47">
        <f>SUM(J17)+2</f>
        <v>23</v>
      </c>
      <c r="L17" s="47">
        <f>SUM(K17)+2</f>
        <v>25</v>
      </c>
      <c r="M17" s="104">
        <f>SUM(L17)+2</f>
        <v>27</v>
      </c>
    </row>
    <row r="18" spans="1:13" s="1" customFormat="1" ht="14.1" customHeight="1">
      <c r="A18" s="184"/>
      <c r="B18" s="23" t="s">
        <v>679</v>
      </c>
      <c r="C18" s="23"/>
      <c r="D18" s="89"/>
      <c r="E18" s="90"/>
      <c r="F18" s="90"/>
      <c r="G18" s="91"/>
      <c r="H18" s="23"/>
      <c r="I18" s="23"/>
      <c r="J18" s="21"/>
      <c r="K18" s="23"/>
      <c r="L18" s="23"/>
      <c r="M18" s="76"/>
    </row>
    <row r="19" spans="1:13" s="1" customFormat="1" ht="14.1" customHeight="1">
      <c r="A19" s="201">
        <v>9</v>
      </c>
      <c r="B19" s="56" t="s">
        <v>676</v>
      </c>
      <c r="C19" s="56"/>
      <c r="D19" s="96"/>
      <c r="E19" s="97"/>
      <c r="F19" s="97"/>
      <c r="G19" s="98"/>
      <c r="H19" s="51">
        <f>SUM(I19)-0.5</f>
        <v>3.7</v>
      </c>
      <c r="I19" s="51">
        <f>SUM(J19)-0.5</f>
        <v>4.2</v>
      </c>
      <c r="J19" s="60">
        <v>4.7</v>
      </c>
      <c r="K19" s="51">
        <f>SUM(J19)+0</f>
        <v>4.7</v>
      </c>
      <c r="L19" s="51">
        <f>SUM(K19)+0.5</f>
        <v>5.2</v>
      </c>
      <c r="M19" s="75">
        <f>SUM(L19)+0.5</f>
        <v>5.7</v>
      </c>
    </row>
    <row r="20" spans="1:13" s="1" customFormat="1" ht="14.1" customHeight="1" thickBot="1">
      <c r="A20" s="243"/>
      <c r="B20" s="239" t="s">
        <v>677</v>
      </c>
      <c r="C20" s="239"/>
      <c r="D20" s="240"/>
      <c r="E20" s="241"/>
      <c r="F20" s="241"/>
      <c r="G20" s="242"/>
      <c r="H20" s="159"/>
      <c r="I20" s="159"/>
      <c r="J20" s="167"/>
      <c r="K20" s="159"/>
      <c r="L20" s="159"/>
      <c r="M20" s="160"/>
    </row>
    <row r="21" spans="1:13" s="1" customFormat="1" ht="14.1" customHeight="1" thickTop="1">
      <c r="A21" s="182">
        <v>10</v>
      </c>
      <c r="B21" s="53" t="s">
        <v>11</v>
      </c>
      <c r="C21" s="54"/>
      <c r="D21" s="67" t="s">
        <v>12</v>
      </c>
      <c r="E21" s="68"/>
      <c r="F21" s="68"/>
      <c r="G21" s="69"/>
      <c r="H21" s="47">
        <f>SUM(I21)-3.2</f>
        <v>53.599999999999994</v>
      </c>
      <c r="I21" s="47">
        <f>SUM(J21)-3.2</f>
        <v>56.8</v>
      </c>
      <c r="J21" s="100">
        <v>60</v>
      </c>
      <c r="K21" s="47">
        <f>SUM(J21)+3.2</f>
        <v>63.2</v>
      </c>
      <c r="L21" s="47">
        <f>SUM(K21)+3.2</f>
        <v>66.400000000000006</v>
      </c>
      <c r="M21" s="104">
        <f>SUM(L21)+3.2</f>
        <v>69.600000000000009</v>
      </c>
    </row>
    <row r="22" spans="1:13" s="1" customFormat="1" ht="14.1" customHeight="1">
      <c r="A22" s="184"/>
      <c r="B22" s="77" t="s">
        <v>51</v>
      </c>
      <c r="C22" s="78"/>
      <c r="D22" s="79" t="s">
        <v>98</v>
      </c>
      <c r="E22" s="80"/>
      <c r="F22" s="80"/>
      <c r="G22" s="81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113</v>
      </c>
      <c r="C23" s="50"/>
      <c r="D23" s="57"/>
      <c r="E23" s="58"/>
      <c r="F23" s="58"/>
      <c r="G23" s="59"/>
      <c r="H23" s="51">
        <f>SUM(I23)-0.7</f>
        <v>11.8</v>
      </c>
      <c r="I23" s="51">
        <f>SUM(J23)-0.7</f>
        <v>12.5</v>
      </c>
      <c r="J23" s="60">
        <v>13.2</v>
      </c>
      <c r="K23" s="51">
        <f>SUM(J23)+1.2</f>
        <v>14.399999999999999</v>
      </c>
      <c r="L23" s="51">
        <f>SUM(K23)+0.7</f>
        <v>15.099999999999998</v>
      </c>
      <c r="M23" s="75">
        <f>SUM(L23)+0.7</f>
        <v>15.799999999999997</v>
      </c>
    </row>
    <row r="24" spans="1:13" s="1" customFormat="1" ht="14.1" customHeight="1">
      <c r="A24" s="184"/>
      <c r="B24" s="77" t="s">
        <v>112</v>
      </c>
      <c r="C24" s="78"/>
      <c r="D24" s="139" t="s">
        <v>125</v>
      </c>
      <c r="E24" s="140"/>
      <c r="F24" s="140"/>
      <c r="G24" s="141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 t="s">
        <v>9</v>
      </c>
      <c r="C25" s="50"/>
      <c r="D25" s="57" t="s">
        <v>73</v>
      </c>
      <c r="E25" s="58"/>
      <c r="F25" s="58"/>
      <c r="G25" s="59"/>
      <c r="H25" s="51">
        <f>SUM(I25)-1.5</f>
        <v>21</v>
      </c>
      <c r="I25" s="51">
        <f>SUM(J25)-1.5</f>
        <v>22.5</v>
      </c>
      <c r="J25" s="60">
        <v>24</v>
      </c>
      <c r="K25" s="51">
        <f>SUM(J25)+1.5</f>
        <v>25.5</v>
      </c>
      <c r="L25" s="51">
        <f>SUM(K25)+1.5</f>
        <v>27</v>
      </c>
      <c r="M25" s="75">
        <f>SUM(L25)+1.5</f>
        <v>28.5</v>
      </c>
    </row>
    <row r="26" spans="1:13" s="1" customFormat="1" ht="14.1" customHeight="1">
      <c r="A26" s="184"/>
      <c r="B26" s="77" t="s">
        <v>52</v>
      </c>
      <c r="C26" s="78"/>
      <c r="D26" s="79" t="s">
        <v>97</v>
      </c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182">
        <v>13</v>
      </c>
      <c r="B27" s="49" t="s">
        <v>14</v>
      </c>
      <c r="C27" s="50"/>
      <c r="D27" s="57" t="s">
        <v>15</v>
      </c>
      <c r="E27" s="58"/>
      <c r="F27" s="58"/>
      <c r="G27" s="59"/>
      <c r="H27" s="51">
        <f>SUM(I27)-1.8</f>
        <v>31.400000000000002</v>
      </c>
      <c r="I27" s="51">
        <f>SUM(J27)-1.8</f>
        <v>33.200000000000003</v>
      </c>
      <c r="J27" s="60">
        <v>35</v>
      </c>
      <c r="K27" s="51">
        <f>SUM(J27)+1.8</f>
        <v>36.799999999999997</v>
      </c>
      <c r="L27" s="51">
        <f t="shared" ref="L27:M27" si="0">SUM(K27)+1.8</f>
        <v>38.599999999999994</v>
      </c>
      <c r="M27" s="75">
        <f t="shared" si="0"/>
        <v>40.399999999999991</v>
      </c>
    </row>
    <row r="28" spans="1:13" s="1" customFormat="1" ht="14.1" customHeight="1">
      <c r="A28" s="184"/>
      <c r="B28" s="77" t="s">
        <v>53</v>
      </c>
      <c r="C28" s="78"/>
      <c r="D28" s="36" t="s">
        <v>96</v>
      </c>
      <c r="E28" s="37"/>
      <c r="F28" s="37"/>
      <c r="G28" s="38"/>
      <c r="H28" s="23"/>
      <c r="I28" s="23"/>
      <c r="J28" s="21"/>
      <c r="K28" s="23"/>
      <c r="L28" s="23"/>
      <c r="M28" s="76"/>
    </row>
    <row r="29" spans="1:13" ht="14.1" customHeight="1">
      <c r="A29" s="182">
        <v>14</v>
      </c>
      <c r="B29" s="49" t="s">
        <v>16</v>
      </c>
      <c r="C29" s="50"/>
      <c r="D29" s="57" t="s">
        <v>13</v>
      </c>
      <c r="E29" s="58"/>
      <c r="F29" s="58"/>
      <c r="G29" s="59"/>
      <c r="H29" s="51">
        <f>SUM(I29)-1</f>
        <v>20</v>
      </c>
      <c r="I29" s="51">
        <f>SUM(J29)-1</f>
        <v>21</v>
      </c>
      <c r="J29" s="60">
        <v>22</v>
      </c>
      <c r="K29" s="51">
        <f>SUM(J29)+1.5</f>
        <v>23.5</v>
      </c>
      <c r="L29" s="51">
        <f>SUM(K29)+1</f>
        <v>24.5</v>
      </c>
      <c r="M29" s="75">
        <f>SUM(L29)+1</f>
        <v>25.5</v>
      </c>
    </row>
    <row r="30" spans="1:13" ht="14.1" customHeight="1">
      <c r="A30" s="184"/>
      <c r="B30" s="77" t="s">
        <v>59</v>
      </c>
      <c r="C30" s="78"/>
      <c r="D30" s="79" t="s">
        <v>95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ht="14.1" customHeight="1">
      <c r="A31" s="182">
        <v>15</v>
      </c>
      <c r="B31" s="49" t="s">
        <v>17</v>
      </c>
      <c r="C31" s="50"/>
      <c r="D31" s="57" t="s">
        <v>13</v>
      </c>
      <c r="E31" s="58"/>
      <c r="F31" s="58"/>
      <c r="G31" s="59"/>
      <c r="H31" s="51">
        <f>SUM(I31)-1.2</f>
        <v>22.1</v>
      </c>
      <c r="I31" s="51">
        <f>SUM(J31)-1.2</f>
        <v>23.3</v>
      </c>
      <c r="J31" s="60">
        <v>24.5</v>
      </c>
      <c r="K31" s="51">
        <f>SUM(J31)+1.7</f>
        <v>26.2</v>
      </c>
      <c r="L31" s="51">
        <f>SUM(K31)+1.2</f>
        <v>27.4</v>
      </c>
      <c r="M31" s="75">
        <f>SUM(L31)+1.2</f>
        <v>28.599999999999998</v>
      </c>
    </row>
    <row r="32" spans="1:13" ht="14.1" customHeight="1" thickBot="1">
      <c r="A32" s="183"/>
      <c r="B32" s="177" t="s">
        <v>58</v>
      </c>
      <c r="C32" s="178"/>
      <c r="D32" s="199" t="s">
        <v>95</v>
      </c>
      <c r="E32" s="180"/>
      <c r="F32" s="180"/>
      <c r="G32" s="181"/>
      <c r="H32" s="48"/>
      <c r="I32" s="48"/>
      <c r="J32" s="110"/>
      <c r="K32" s="48"/>
      <c r="L32" s="48"/>
      <c r="M32" s="109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9:A20"/>
    <mergeCell ref="B19:C19"/>
    <mergeCell ref="D19:G19"/>
    <mergeCell ref="H19:H20"/>
    <mergeCell ref="I19:I20"/>
    <mergeCell ref="A13:A14"/>
    <mergeCell ref="B13:C13"/>
    <mergeCell ref="D13:G13"/>
    <mergeCell ref="H13:H14"/>
    <mergeCell ref="I13:I14"/>
    <mergeCell ref="A17:A18"/>
    <mergeCell ref="A15:A16"/>
    <mergeCell ref="B18:C18"/>
    <mergeCell ref="D18:G18"/>
    <mergeCell ref="J19:J20"/>
    <mergeCell ref="K19:K20"/>
    <mergeCell ref="L19:L20"/>
    <mergeCell ref="M19:M20"/>
    <mergeCell ref="B20:C20"/>
    <mergeCell ref="D20:G20"/>
    <mergeCell ref="K13:K14"/>
    <mergeCell ref="L13:L14"/>
    <mergeCell ref="M13:M14"/>
    <mergeCell ref="B14:C14"/>
    <mergeCell ref="D14:G14"/>
    <mergeCell ref="J13:J14"/>
    <mergeCell ref="B17:C17"/>
    <mergeCell ref="D17:G17"/>
    <mergeCell ref="H17:H18"/>
    <mergeCell ref="I17:I18"/>
    <mergeCell ref="B15:C15"/>
    <mergeCell ref="D15:G15"/>
    <mergeCell ref="H15:H16"/>
    <mergeCell ref="I15:I16"/>
    <mergeCell ref="J17:J18"/>
    <mergeCell ref="K17:K18"/>
    <mergeCell ref="L17:L18"/>
    <mergeCell ref="M17:M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15:K16"/>
    <mergeCell ref="L15:L16"/>
    <mergeCell ref="M15:M16"/>
    <mergeCell ref="B16:C16"/>
    <mergeCell ref="D16:G16"/>
    <mergeCell ref="J15:J16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J27:J28"/>
    <mergeCell ref="K27:K28"/>
    <mergeCell ref="L27:L28"/>
    <mergeCell ref="M27:M28"/>
    <mergeCell ref="B28:C28"/>
    <mergeCell ref="D28:G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2B3C-0CD7-4A1F-840A-D5BF3027EDBC}">
  <sheetPr>
    <tabColor theme="5"/>
    <pageSetUpPr fitToPage="1"/>
  </sheetPr>
  <dimension ref="A1:P51"/>
  <sheetViews>
    <sheetView zoomScale="110" zoomScaleNormal="110" workbookViewId="0">
      <selection activeCell="R17" sqref="R17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369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87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86"/>
      <c r="I4" s="23"/>
      <c r="J4" s="21"/>
      <c r="K4" s="23"/>
      <c r="L4" s="23"/>
      <c r="M4" s="76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87"/>
      <c r="I5" s="51"/>
      <c r="J5" s="100"/>
      <c r="K5" s="47"/>
      <c r="L5" s="47"/>
      <c r="M5" s="104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86"/>
      <c r="I6" s="23"/>
      <c r="J6" s="21"/>
      <c r="K6" s="23"/>
      <c r="L6" s="23"/>
      <c r="M6" s="76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87"/>
      <c r="I7" s="51"/>
      <c r="J7" s="100"/>
      <c r="K7" s="47"/>
      <c r="L7" s="47"/>
      <c r="M7" s="104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86"/>
      <c r="I8" s="23"/>
      <c r="J8" s="21"/>
      <c r="K8" s="23"/>
      <c r="L8" s="23"/>
      <c r="M8" s="76"/>
      <c r="P8" s="10"/>
    </row>
    <row r="9" spans="1:16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87">
        <f>SUM(I9)-2.2</f>
        <v>36.599999999999994</v>
      </c>
      <c r="I9" s="51">
        <f>SUM(J9)-2.2</f>
        <v>38.799999999999997</v>
      </c>
      <c r="J9" s="100">
        <v>41</v>
      </c>
      <c r="K9" s="47">
        <f>SUM(J9)+2.2</f>
        <v>43.2</v>
      </c>
      <c r="L9" s="47">
        <f>SUM(K9)+2.2</f>
        <v>45.400000000000006</v>
      </c>
      <c r="M9" s="75">
        <f>SUM(L9)+2.2</f>
        <v>47.600000000000009</v>
      </c>
      <c r="P9" s="10"/>
    </row>
    <row r="10" spans="1:16" s="1" customFormat="1" ht="14.1" customHeight="1">
      <c r="A10" s="184"/>
      <c r="B10" s="77" t="s">
        <v>128</v>
      </c>
      <c r="C10" s="78"/>
      <c r="D10" s="89" t="s">
        <v>289</v>
      </c>
      <c r="E10" s="90"/>
      <c r="F10" s="90"/>
      <c r="G10" s="91"/>
      <c r="H10" s="86"/>
      <c r="I10" s="23"/>
      <c r="J10" s="21"/>
      <c r="K10" s="23"/>
      <c r="L10" s="23"/>
      <c r="M10" s="76"/>
      <c r="P10" s="10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87">
        <f>SUM(I11)-4.5</f>
        <v>59</v>
      </c>
      <c r="I11" s="51">
        <f>SUM(J11)-4.5</f>
        <v>63.5</v>
      </c>
      <c r="J11" s="100">
        <v>68</v>
      </c>
      <c r="K11" s="47">
        <f>SUM(J11)+4.5</f>
        <v>72.5</v>
      </c>
      <c r="L11" s="47">
        <f>SUM(K11)+4.5</f>
        <v>77</v>
      </c>
      <c r="M11" s="104">
        <f>SUM(L11)+4.5</f>
        <v>81.5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86"/>
      <c r="I12" s="23"/>
      <c r="J12" s="21"/>
      <c r="K12" s="23"/>
      <c r="L12" s="23"/>
      <c r="M12" s="76"/>
    </row>
    <row r="13" spans="1:16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87">
        <f>SUM(I13)-5</f>
        <v>66</v>
      </c>
      <c r="I13" s="51">
        <f>SUM(J13)-5</f>
        <v>71</v>
      </c>
      <c r="J13" s="60">
        <v>76</v>
      </c>
      <c r="K13" s="51">
        <f>SUM(J13)+5</f>
        <v>81</v>
      </c>
      <c r="L13" s="51">
        <f>SUM(K13)+5</f>
        <v>86</v>
      </c>
      <c r="M13" s="75">
        <f>SUM(L13)+5</f>
        <v>91</v>
      </c>
    </row>
    <row r="14" spans="1:16" s="1" customFormat="1" ht="14.1" customHeight="1">
      <c r="A14" s="184"/>
      <c r="B14" s="77" t="s">
        <v>51</v>
      </c>
      <c r="C14" s="78"/>
      <c r="D14" s="79" t="s">
        <v>98</v>
      </c>
      <c r="E14" s="80"/>
      <c r="F14" s="80"/>
      <c r="G14" s="81"/>
      <c r="H14" s="86"/>
      <c r="I14" s="23"/>
      <c r="J14" s="21"/>
      <c r="K14" s="23"/>
      <c r="L14" s="23"/>
      <c r="M14" s="76"/>
    </row>
    <row r="15" spans="1:16" s="1" customFormat="1" ht="14.1" customHeight="1">
      <c r="A15" s="182">
        <v>7</v>
      </c>
      <c r="B15" s="49" t="s">
        <v>367</v>
      </c>
      <c r="C15" s="50"/>
      <c r="D15" s="96"/>
      <c r="E15" s="97"/>
      <c r="F15" s="97"/>
      <c r="G15" s="98"/>
      <c r="H15" s="87">
        <f>SUM(I15)-2.5</f>
        <v>24.5</v>
      </c>
      <c r="I15" s="51">
        <f>SUM(J15)-2.5</f>
        <v>27</v>
      </c>
      <c r="J15" s="100">
        <v>29.5</v>
      </c>
      <c r="K15" s="47">
        <f>SUM(J15)+2.5</f>
        <v>32</v>
      </c>
      <c r="L15" s="47">
        <f>SUM(K15)+2.5</f>
        <v>34.5</v>
      </c>
      <c r="M15" s="104">
        <f>SUM(L15)+2.5</f>
        <v>37</v>
      </c>
    </row>
    <row r="16" spans="1:16" s="1" customFormat="1" ht="14.1" customHeight="1">
      <c r="A16" s="184"/>
      <c r="B16" s="23" t="s">
        <v>368</v>
      </c>
      <c r="C16" s="23"/>
      <c r="D16" s="89"/>
      <c r="E16" s="90"/>
      <c r="F16" s="90"/>
      <c r="G16" s="91"/>
      <c r="H16" s="86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56" t="s">
        <v>43</v>
      </c>
      <c r="C17" s="56"/>
      <c r="D17" s="55" t="s">
        <v>8</v>
      </c>
      <c r="E17" s="55"/>
      <c r="F17" s="55"/>
      <c r="G17" s="55"/>
      <c r="H17" s="87">
        <f>SUM(I17)-2.8</f>
        <v>37.400000000000006</v>
      </c>
      <c r="I17" s="51">
        <f>SUM(J17)-2.8</f>
        <v>40.200000000000003</v>
      </c>
      <c r="J17" s="100">
        <v>43</v>
      </c>
      <c r="K17" s="47">
        <f>SUM(J17)+2.8</f>
        <v>45.8</v>
      </c>
      <c r="L17" s="47">
        <f>SUM(K17)+2.8</f>
        <v>48.599999999999994</v>
      </c>
      <c r="M17" s="104">
        <f>SUM(L17)+2.8</f>
        <v>51.399999999999991</v>
      </c>
    </row>
    <row r="18" spans="1:13" s="1" customFormat="1" ht="14.1" customHeight="1">
      <c r="A18" s="184"/>
      <c r="B18" s="52" t="s">
        <v>25</v>
      </c>
      <c r="C18" s="52"/>
      <c r="D18" s="36" t="s">
        <v>46</v>
      </c>
      <c r="E18" s="37"/>
      <c r="F18" s="37"/>
      <c r="G18" s="38"/>
      <c r="H18" s="86"/>
      <c r="I18" s="23"/>
      <c r="J18" s="21"/>
      <c r="K18" s="23"/>
      <c r="L18" s="23"/>
      <c r="M18" s="76"/>
    </row>
    <row r="19" spans="1:13" s="1" customFormat="1" ht="14.1" customHeight="1">
      <c r="A19" s="182">
        <v>9</v>
      </c>
      <c r="B19" s="49" t="s">
        <v>132</v>
      </c>
      <c r="C19" s="50"/>
      <c r="D19" s="57"/>
      <c r="E19" s="58"/>
      <c r="F19" s="58"/>
      <c r="G19" s="59"/>
      <c r="H19" s="87">
        <f>SUM(I19)-0.7</f>
        <v>9.1000000000000014</v>
      </c>
      <c r="I19" s="51">
        <f>SUM(J19)-0.7</f>
        <v>9.8000000000000007</v>
      </c>
      <c r="J19" s="60">
        <v>10.5</v>
      </c>
      <c r="K19" s="51">
        <f>SUM(J19)+0.7</f>
        <v>11.2</v>
      </c>
      <c r="L19" s="51">
        <f>SUM(K19)+0.7</f>
        <v>11.899999999999999</v>
      </c>
      <c r="M19" s="185">
        <f>SUM(L19)+0.7</f>
        <v>12.599999999999998</v>
      </c>
    </row>
    <row r="20" spans="1:13" s="1" customFormat="1" ht="14.1" customHeight="1">
      <c r="A20" s="184"/>
      <c r="B20" s="77" t="s">
        <v>133</v>
      </c>
      <c r="C20" s="78"/>
      <c r="D20" s="139" t="s">
        <v>134</v>
      </c>
      <c r="E20" s="140"/>
      <c r="F20" s="140"/>
      <c r="G20" s="141"/>
      <c r="H20" s="86"/>
      <c r="I20" s="23"/>
      <c r="J20" s="21"/>
      <c r="K20" s="23"/>
      <c r="L20" s="23"/>
      <c r="M20" s="186"/>
    </row>
    <row r="21" spans="1:13" s="1" customFormat="1" ht="14.1" customHeight="1">
      <c r="A21" s="182">
        <v>10</v>
      </c>
      <c r="B21" s="49" t="s">
        <v>143</v>
      </c>
      <c r="C21" s="50"/>
      <c r="D21" s="57"/>
      <c r="E21" s="58"/>
      <c r="F21" s="58"/>
      <c r="G21" s="59"/>
      <c r="H21" s="87">
        <f>SUM(I21)-0</f>
        <v>2.8</v>
      </c>
      <c r="I21" s="51">
        <f>SUM(J21)-0</f>
        <v>2.8</v>
      </c>
      <c r="J21" s="60">
        <v>2.8</v>
      </c>
      <c r="K21" s="51">
        <f>SUM(J21)+0.5</f>
        <v>3.3</v>
      </c>
      <c r="L21" s="51">
        <f>SUM(K21)+0</f>
        <v>3.3</v>
      </c>
      <c r="M21" s="75">
        <f>SUM(L21)+0</f>
        <v>3.3</v>
      </c>
    </row>
    <row r="22" spans="1:13" s="1" customFormat="1" ht="14.1" customHeight="1">
      <c r="A22" s="184"/>
      <c r="B22" s="77" t="s">
        <v>142</v>
      </c>
      <c r="C22" s="78"/>
      <c r="D22" s="139"/>
      <c r="E22" s="140"/>
      <c r="F22" s="140"/>
      <c r="G22" s="141"/>
      <c r="H22" s="86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 t="s">
        <v>111</v>
      </c>
      <c r="C23" s="50"/>
      <c r="D23" s="57" t="s">
        <v>22</v>
      </c>
      <c r="E23" s="58"/>
      <c r="F23" s="58"/>
      <c r="G23" s="59"/>
      <c r="H23" s="87">
        <f>SUM(I23)-0.5</f>
        <v>6.5</v>
      </c>
      <c r="I23" s="51">
        <f>SUM(J23)-0.5</f>
        <v>7</v>
      </c>
      <c r="J23" s="39">
        <v>7.5</v>
      </c>
      <c r="K23" s="32">
        <f>SUM(J23)+0.5</f>
        <v>8</v>
      </c>
      <c r="L23" s="32">
        <f>SUM(K23)+0.5</f>
        <v>8.5</v>
      </c>
      <c r="M23" s="131">
        <f>SUM(L23)+0.5</f>
        <v>9</v>
      </c>
    </row>
    <row r="24" spans="1:13" s="1" customFormat="1" ht="14.1" customHeight="1">
      <c r="A24" s="182"/>
      <c r="B24" s="144" t="s">
        <v>55</v>
      </c>
      <c r="C24" s="145"/>
      <c r="D24" s="200" t="s">
        <v>110</v>
      </c>
      <c r="E24" s="147"/>
      <c r="F24" s="147"/>
      <c r="G24" s="148"/>
      <c r="H24" s="88"/>
      <c r="I24" s="47"/>
      <c r="J24" s="60"/>
      <c r="K24" s="51"/>
      <c r="L24" s="51"/>
      <c r="M24" s="185"/>
    </row>
    <row r="25" spans="1:13" s="1" customFormat="1" ht="14.1" customHeight="1">
      <c r="A25" s="201">
        <v>12</v>
      </c>
      <c r="B25" s="49" t="s">
        <v>109</v>
      </c>
      <c r="C25" s="50"/>
      <c r="D25" s="57" t="s">
        <v>23</v>
      </c>
      <c r="E25" s="58"/>
      <c r="F25" s="58"/>
      <c r="G25" s="59"/>
      <c r="H25" s="87">
        <f>SUM(I25)-0.3</f>
        <v>5.4</v>
      </c>
      <c r="I25" s="51">
        <f>SUM(J25)-0.3</f>
        <v>5.7</v>
      </c>
      <c r="J25" s="60">
        <v>6</v>
      </c>
      <c r="K25" s="51">
        <f>SUM(J25)+0.3</f>
        <v>6.3</v>
      </c>
      <c r="L25" s="51">
        <f>SUM(K25)+0.3</f>
        <v>6.6</v>
      </c>
      <c r="M25" s="75">
        <f>SUM(L25)+0.3</f>
        <v>6.8999999999999995</v>
      </c>
    </row>
    <row r="26" spans="1:13" s="1" customFormat="1" ht="14.1" customHeight="1">
      <c r="A26" s="182"/>
      <c r="B26" s="144" t="s">
        <v>54</v>
      </c>
      <c r="C26" s="145"/>
      <c r="D26" s="200" t="s">
        <v>108</v>
      </c>
      <c r="E26" s="147"/>
      <c r="F26" s="147"/>
      <c r="G26" s="148"/>
      <c r="H26" s="88"/>
      <c r="I26" s="47"/>
      <c r="J26" s="100"/>
      <c r="K26" s="47"/>
      <c r="L26" s="47"/>
      <c r="M26" s="104"/>
    </row>
    <row r="27" spans="1:13" s="1" customFormat="1" ht="14.1" customHeight="1">
      <c r="A27" s="201">
        <v>20</v>
      </c>
      <c r="B27" s="49" t="s">
        <v>107</v>
      </c>
      <c r="C27" s="50"/>
      <c r="D27" s="55"/>
      <c r="E27" s="55"/>
      <c r="F27" s="55"/>
      <c r="G27" s="55"/>
      <c r="H27" s="87">
        <f>SUM(I27)-0.5</f>
        <v>9.5</v>
      </c>
      <c r="I27" s="51">
        <f>SUM(J27)-0.5</f>
        <v>10</v>
      </c>
      <c r="J27" s="60">
        <v>10.5</v>
      </c>
      <c r="K27" s="51">
        <f>SUM(J27)+0.5</f>
        <v>11</v>
      </c>
      <c r="L27" s="51">
        <f>SUM(K27)+0.5</f>
        <v>11.5</v>
      </c>
      <c r="M27" s="75">
        <f>SUM(L27)+0.5</f>
        <v>12</v>
      </c>
    </row>
    <row r="28" spans="1:13" s="1" customFormat="1" ht="14.1" customHeight="1">
      <c r="A28" s="184"/>
      <c r="B28" s="34" t="s">
        <v>106</v>
      </c>
      <c r="C28" s="35"/>
      <c r="D28" s="36"/>
      <c r="E28" s="37"/>
      <c r="F28" s="37"/>
      <c r="G28" s="38"/>
      <c r="H28" s="86"/>
      <c r="I28" s="23"/>
      <c r="J28" s="21"/>
      <c r="K28" s="23"/>
      <c r="L28" s="23"/>
      <c r="M28" s="76"/>
    </row>
    <row r="29" spans="1:13" ht="14.1" customHeight="1">
      <c r="A29" s="182">
        <v>21</v>
      </c>
      <c r="B29" s="49" t="s">
        <v>105</v>
      </c>
      <c r="C29" s="50"/>
      <c r="D29" s="55"/>
      <c r="E29" s="55"/>
      <c r="F29" s="55"/>
      <c r="G29" s="55"/>
      <c r="H29" s="87">
        <f>SUM(I29)-0.5</f>
        <v>10</v>
      </c>
      <c r="I29" s="51">
        <f>SUM(J29)-0.5</f>
        <v>10.5</v>
      </c>
      <c r="J29" s="60">
        <v>11</v>
      </c>
      <c r="K29" s="51">
        <f>SUM(J29)+0.5</f>
        <v>11.5</v>
      </c>
      <c r="L29" s="51">
        <f>SUM(K29)+0.5</f>
        <v>12</v>
      </c>
      <c r="M29" s="75">
        <f>SUM(L29)+0.5</f>
        <v>12.5</v>
      </c>
    </row>
    <row r="30" spans="1:13" ht="14.1" customHeight="1" thickBot="1">
      <c r="A30" s="182"/>
      <c r="B30" s="105" t="s">
        <v>104</v>
      </c>
      <c r="C30" s="105"/>
      <c r="D30" s="67"/>
      <c r="E30" s="68"/>
      <c r="F30" s="68"/>
      <c r="G30" s="69"/>
      <c r="H30" s="88"/>
      <c r="I30" s="47"/>
      <c r="J30" s="100"/>
      <c r="K30" s="47"/>
      <c r="L30" s="47"/>
      <c r="M30" s="104"/>
    </row>
    <row r="31" spans="1:13" ht="14.1" customHeight="1" thickTop="1">
      <c r="A31" s="202">
        <v>22</v>
      </c>
      <c r="B31" s="118" t="s">
        <v>11</v>
      </c>
      <c r="C31" s="119"/>
      <c r="D31" s="120" t="s">
        <v>12</v>
      </c>
      <c r="E31" s="121"/>
      <c r="F31" s="121"/>
      <c r="G31" s="122"/>
      <c r="H31" s="249">
        <f>SUM(I31)-3.2</f>
        <v>53.599999999999994</v>
      </c>
      <c r="I31" s="157">
        <f>SUM(J31)-3.2</f>
        <v>56.8</v>
      </c>
      <c r="J31" s="204">
        <v>60</v>
      </c>
      <c r="K31" s="157">
        <f>SUM(J31)+3.2</f>
        <v>63.2</v>
      </c>
      <c r="L31" s="157">
        <f>SUM(K31)+3.2</f>
        <v>66.400000000000006</v>
      </c>
      <c r="M31" s="203">
        <f>SUM(L31)+3.2</f>
        <v>69.600000000000009</v>
      </c>
    </row>
    <row r="32" spans="1:13" ht="14.1" customHeight="1">
      <c r="A32" s="184"/>
      <c r="B32" s="77" t="s">
        <v>51</v>
      </c>
      <c r="C32" s="78"/>
      <c r="D32" s="79" t="s">
        <v>98</v>
      </c>
      <c r="E32" s="80"/>
      <c r="F32" s="80"/>
      <c r="G32" s="81"/>
      <c r="H32" s="86"/>
      <c r="I32" s="23"/>
      <c r="J32" s="21"/>
      <c r="K32" s="23"/>
      <c r="L32" s="23"/>
      <c r="M32" s="76"/>
    </row>
    <row r="33" spans="1:13" ht="14.1" customHeight="1">
      <c r="A33" s="182">
        <v>23</v>
      </c>
      <c r="B33" s="49" t="s">
        <v>113</v>
      </c>
      <c r="C33" s="50"/>
      <c r="D33" s="57"/>
      <c r="E33" s="58"/>
      <c r="F33" s="58"/>
      <c r="G33" s="59"/>
      <c r="H33" s="87">
        <f>SUM(I33)-0.7</f>
        <v>12.200000000000001</v>
      </c>
      <c r="I33" s="51">
        <f>SUM(J33)-0.7</f>
        <v>12.9</v>
      </c>
      <c r="J33" s="60">
        <v>13.6</v>
      </c>
      <c r="K33" s="51">
        <f>SUM(J33)+0.7</f>
        <v>14.299999999999999</v>
      </c>
      <c r="L33" s="51">
        <f>SUM(K33)+0.7</f>
        <v>14.999999999999998</v>
      </c>
      <c r="M33" s="75">
        <f>SUM(L33)+0.7</f>
        <v>15.699999999999998</v>
      </c>
    </row>
    <row r="34" spans="1:13" ht="14.1" customHeight="1">
      <c r="A34" s="184"/>
      <c r="B34" s="77" t="s">
        <v>112</v>
      </c>
      <c r="C34" s="78"/>
      <c r="D34" s="139" t="s">
        <v>125</v>
      </c>
      <c r="E34" s="140"/>
      <c r="F34" s="140"/>
      <c r="G34" s="141"/>
      <c r="H34" s="86"/>
      <c r="I34" s="23"/>
      <c r="J34" s="21"/>
      <c r="K34" s="23"/>
      <c r="L34" s="23"/>
      <c r="M34" s="76"/>
    </row>
    <row r="35" spans="1:13" ht="14.1" customHeight="1">
      <c r="A35" s="182">
        <v>24</v>
      </c>
      <c r="B35" s="49" t="s">
        <v>9</v>
      </c>
      <c r="C35" s="50"/>
      <c r="D35" s="57" t="s">
        <v>73</v>
      </c>
      <c r="E35" s="58"/>
      <c r="F35" s="58"/>
      <c r="G35" s="59"/>
      <c r="H35" s="87">
        <f>SUM(I35)-1.5</f>
        <v>21.5</v>
      </c>
      <c r="I35" s="51">
        <f>SUM(J35)-1.5</f>
        <v>23</v>
      </c>
      <c r="J35" s="60">
        <v>24.5</v>
      </c>
      <c r="K35" s="51">
        <f>SUM(J35)+1.5</f>
        <v>26</v>
      </c>
      <c r="L35" s="51">
        <f>SUM(K35)+1.5</f>
        <v>27.5</v>
      </c>
      <c r="M35" s="75">
        <f>SUM(L35)+1.5</f>
        <v>29</v>
      </c>
    </row>
    <row r="36" spans="1:13" ht="14.1" customHeight="1">
      <c r="A36" s="184"/>
      <c r="B36" s="77" t="s">
        <v>52</v>
      </c>
      <c r="C36" s="78"/>
      <c r="D36" s="79" t="s">
        <v>97</v>
      </c>
      <c r="E36" s="80"/>
      <c r="F36" s="80"/>
      <c r="G36" s="81"/>
      <c r="H36" s="86"/>
      <c r="I36" s="23"/>
      <c r="J36" s="21"/>
      <c r="K36" s="23"/>
      <c r="L36" s="23"/>
      <c r="M36" s="76"/>
    </row>
    <row r="37" spans="1:13" ht="14.1" customHeight="1">
      <c r="A37" s="182">
        <v>25</v>
      </c>
      <c r="B37" s="49" t="s">
        <v>14</v>
      </c>
      <c r="C37" s="50"/>
      <c r="D37" s="57" t="s">
        <v>15</v>
      </c>
      <c r="E37" s="58"/>
      <c r="F37" s="58"/>
      <c r="G37" s="59"/>
      <c r="H37" s="87">
        <f>SUM(I37)-1.8</f>
        <v>31.400000000000002</v>
      </c>
      <c r="I37" s="51">
        <f>SUM(J37)-1.8</f>
        <v>33.200000000000003</v>
      </c>
      <c r="J37" s="60">
        <v>35</v>
      </c>
      <c r="K37" s="51">
        <f>SUM(J37)+1.8</f>
        <v>36.799999999999997</v>
      </c>
      <c r="L37" s="51">
        <f t="shared" ref="L37:M37" si="0">SUM(K37)+1.8</f>
        <v>38.599999999999994</v>
      </c>
      <c r="M37" s="75">
        <f t="shared" si="0"/>
        <v>40.399999999999991</v>
      </c>
    </row>
    <row r="38" spans="1:13" ht="14.1" customHeight="1">
      <c r="A38" s="184"/>
      <c r="B38" s="77" t="s">
        <v>53</v>
      </c>
      <c r="C38" s="78"/>
      <c r="D38" s="36" t="s">
        <v>96</v>
      </c>
      <c r="E38" s="37"/>
      <c r="F38" s="37"/>
      <c r="G38" s="38"/>
      <c r="H38" s="86"/>
      <c r="I38" s="23"/>
      <c r="J38" s="21"/>
      <c r="K38" s="23"/>
      <c r="L38" s="23"/>
      <c r="M38" s="76"/>
    </row>
    <row r="39" spans="1:13" ht="14.1" customHeight="1">
      <c r="A39" s="182">
        <v>26</v>
      </c>
      <c r="B39" s="49" t="s">
        <v>16</v>
      </c>
      <c r="C39" s="50"/>
      <c r="D39" s="57" t="s">
        <v>13</v>
      </c>
      <c r="E39" s="58"/>
      <c r="F39" s="58"/>
      <c r="G39" s="59"/>
      <c r="H39" s="87">
        <f>SUM(I39)-1</f>
        <v>20.100000000000001</v>
      </c>
      <c r="I39" s="51">
        <f>SUM(J39)-1</f>
        <v>21.1</v>
      </c>
      <c r="J39" s="60">
        <v>22.1</v>
      </c>
      <c r="K39" s="51">
        <f>SUM(J39)+1.1</f>
        <v>23.200000000000003</v>
      </c>
      <c r="L39" s="51">
        <f>SUM(K39)+1</f>
        <v>24.200000000000003</v>
      </c>
      <c r="M39" s="75">
        <f>SUM(L39)+1</f>
        <v>25.200000000000003</v>
      </c>
    </row>
    <row r="40" spans="1:13" ht="14.1" customHeight="1">
      <c r="A40" s="184"/>
      <c r="B40" s="77" t="s">
        <v>59</v>
      </c>
      <c r="C40" s="78"/>
      <c r="D40" s="79" t="s">
        <v>95</v>
      </c>
      <c r="E40" s="80"/>
      <c r="F40" s="80"/>
      <c r="G40" s="81"/>
      <c r="H40" s="86"/>
      <c r="I40" s="23"/>
      <c r="J40" s="21"/>
      <c r="K40" s="23"/>
      <c r="L40" s="23"/>
      <c r="M40" s="76"/>
    </row>
    <row r="41" spans="1:13" ht="14.1" customHeight="1">
      <c r="A41" s="182">
        <v>27</v>
      </c>
      <c r="B41" s="49" t="s">
        <v>17</v>
      </c>
      <c r="C41" s="50"/>
      <c r="D41" s="57" t="s">
        <v>13</v>
      </c>
      <c r="E41" s="58"/>
      <c r="F41" s="58"/>
      <c r="G41" s="59"/>
      <c r="H41" s="87">
        <f>SUM(I41)-1.2</f>
        <v>22.400000000000002</v>
      </c>
      <c r="I41" s="51">
        <f>SUM(J41)-1.2</f>
        <v>23.6</v>
      </c>
      <c r="J41" s="60">
        <v>24.8</v>
      </c>
      <c r="K41" s="51">
        <f>SUM(J41)+1.2</f>
        <v>26</v>
      </c>
      <c r="L41" s="51">
        <f>SUM(K41)+1.2</f>
        <v>27.2</v>
      </c>
      <c r="M41" s="75">
        <f>SUM(L41)+1.2</f>
        <v>28.4</v>
      </c>
    </row>
    <row r="42" spans="1:13" ht="14.1" customHeight="1" thickBot="1">
      <c r="A42" s="183"/>
      <c r="B42" s="177" t="s">
        <v>58</v>
      </c>
      <c r="C42" s="178"/>
      <c r="D42" s="199" t="s">
        <v>95</v>
      </c>
      <c r="E42" s="180"/>
      <c r="F42" s="180"/>
      <c r="G42" s="181"/>
      <c r="H42" s="176"/>
      <c r="I42" s="48"/>
      <c r="J42" s="110"/>
      <c r="K42" s="48"/>
      <c r="L42" s="48"/>
      <c r="M42" s="109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23">
    <mergeCell ref="L41:L42"/>
    <mergeCell ref="M41:M42"/>
    <mergeCell ref="B42:C42"/>
    <mergeCell ref="D42:G42"/>
    <mergeCell ref="A39:A40"/>
    <mergeCell ref="B39:C39"/>
    <mergeCell ref="D39:G39"/>
    <mergeCell ref="H39:H40"/>
    <mergeCell ref="I39:I40"/>
    <mergeCell ref="J39:J40"/>
    <mergeCell ref="K39:K40"/>
    <mergeCell ref="L39:L40"/>
    <mergeCell ref="M39:M40"/>
    <mergeCell ref="B40:C40"/>
    <mergeCell ref="D40:G40"/>
    <mergeCell ref="A41:A42"/>
    <mergeCell ref="B41:C41"/>
    <mergeCell ref="D41:G41"/>
    <mergeCell ref="H41:H42"/>
    <mergeCell ref="I41:I42"/>
    <mergeCell ref="J41:J42"/>
    <mergeCell ref="K41:K42"/>
    <mergeCell ref="L37:L38"/>
    <mergeCell ref="M37:M38"/>
    <mergeCell ref="B38:C38"/>
    <mergeCell ref="D38:G38"/>
    <mergeCell ref="A35:A36"/>
    <mergeCell ref="B35:C35"/>
    <mergeCell ref="D35:G35"/>
    <mergeCell ref="H35:H36"/>
    <mergeCell ref="I35:I36"/>
    <mergeCell ref="J35:J36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J37:J38"/>
    <mergeCell ref="K37:K38"/>
    <mergeCell ref="L33:L34"/>
    <mergeCell ref="M33:M34"/>
    <mergeCell ref="B34:C34"/>
    <mergeCell ref="D34:G34"/>
    <mergeCell ref="A31:A32"/>
    <mergeCell ref="B31:C31"/>
    <mergeCell ref="D31:G31"/>
    <mergeCell ref="H31:H32"/>
    <mergeCell ref="I31:I32"/>
    <mergeCell ref="J31:J32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J33:J34"/>
    <mergeCell ref="K33:K34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B7EB-575E-438E-90C7-D1066FA3C797}">
  <sheetPr>
    <tabColor theme="5"/>
    <pageSetUpPr fitToPage="1"/>
  </sheetPr>
  <dimension ref="A1:N61"/>
  <sheetViews>
    <sheetView zoomScale="110" zoomScaleNormal="110" workbookViewId="0">
      <selection activeCell="N21" sqref="N21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3" width="5.5" customWidth="1"/>
  </cols>
  <sheetData>
    <row r="1" spans="1:13" ht="16.5" customHeight="1" thickBot="1">
      <c r="A1" s="62" t="s">
        <v>503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3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1">
        <f>SUM(I3)-3</f>
        <v>45</v>
      </c>
      <c r="I3" s="51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72">
        <f t="shared" ref="M3" si="0">SUM(L3)+2.5</f>
        <v>59.5</v>
      </c>
    </row>
    <row r="4" spans="1:13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25"/>
    </row>
    <row r="5" spans="1:13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1"/>
      <c r="I5" s="51"/>
      <c r="J5" s="100"/>
      <c r="K5" s="47"/>
      <c r="L5" s="88"/>
      <c r="M5" s="225"/>
    </row>
    <row r="6" spans="1:13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86"/>
      <c r="M6" s="25"/>
    </row>
    <row r="7" spans="1:13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100"/>
      <c r="K7" s="47"/>
      <c r="L7" s="88"/>
      <c r="M7" s="225"/>
    </row>
    <row r="8" spans="1:13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86"/>
      <c r="M8" s="25"/>
    </row>
    <row r="9" spans="1:13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100"/>
      <c r="K9" s="47"/>
      <c r="L9" s="88"/>
      <c r="M9" s="225"/>
    </row>
    <row r="10" spans="1:13" s="1" customFormat="1" ht="14.1" customHeight="1">
      <c r="A10" s="184"/>
      <c r="B10" s="77" t="s">
        <v>128</v>
      </c>
      <c r="C10" s="78"/>
      <c r="D10" s="89"/>
      <c r="E10" s="90"/>
      <c r="F10" s="90"/>
      <c r="G10" s="91"/>
      <c r="H10" s="23"/>
      <c r="I10" s="23"/>
      <c r="J10" s="21"/>
      <c r="K10" s="23"/>
      <c r="L10" s="86"/>
      <c r="M10" s="25"/>
    </row>
    <row r="11" spans="1:13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65</v>
      </c>
      <c r="I11" s="51">
        <f>SUM(J11)-4.5</f>
        <v>69.5</v>
      </c>
      <c r="J11" s="100">
        <v>74</v>
      </c>
      <c r="K11" s="47">
        <f>SUM(J11)+4.5</f>
        <v>78.5</v>
      </c>
      <c r="L11" s="47">
        <f t="shared" ref="L11:M11" si="1">SUM(K11)+4.5</f>
        <v>83</v>
      </c>
      <c r="M11" s="225">
        <f t="shared" si="1"/>
        <v>87.5</v>
      </c>
    </row>
    <row r="12" spans="1:13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25"/>
    </row>
    <row r="13" spans="1:13" s="1" customFormat="1" ht="14.1" customHeight="1">
      <c r="A13" s="182">
        <v>6</v>
      </c>
      <c r="B13" s="49" t="s">
        <v>367</v>
      </c>
      <c r="C13" s="50"/>
      <c r="D13" s="96"/>
      <c r="E13" s="97"/>
      <c r="F13" s="97"/>
      <c r="G13" s="98"/>
      <c r="H13" s="51">
        <f>SUM(I13)-2.5</f>
        <v>24</v>
      </c>
      <c r="I13" s="51">
        <f>SUM(J13)-2.5</f>
        <v>26.5</v>
      </c>
      <c r="J13" s="100">
        <v>29</v>
      </c>
      <c r="K13" s="47">
        <f>SUM(J13)+2.5</f>
        <v>31.5</v>
      </c>
      <c r="L13" s="47">
        <f t="shared" ref="L13:M13" si="2">SUM(K13)+2.5</f>
        <v>34</v>
      </c>
      <c r="M13" s="225">
        <f t="shared" si="2"/>
        <v>36.5</v>
      </c>
    </row>
    <row r="14" spans="1:13" s="1" customFormat="1" ht="14.1" customHeight="1">
      <c r="A14" s="184"/>
      <c r="B14" s="23" t="s">
        <v>368</v>
      </c>
      <c r="C14" s="23"/>
      <c r="D14" s="89" t="s">
        <v>189</v>
      </c>
      <c r="E14" s="90"/>
      <c r="F14" s="90"/>
      <c r="G14" s="91"/>
      <c r="H14" s="23"/>
      <c r="I14" s="23"/>
      <c r="J14" s="21"/>
      <c r="K14" s="23"/>
      <c r="L14" s="23"/>
      <c r="M14" s="25"/>
    </row>
    <row r="15" spans="1:13" s="1" customFormat="1" ht="14.1" customHeight="1">
      <c r="A15" s="182">
        <v>7</v>
      </c>
      <c r="B15" s="49" t="s">
        <v>504</v>
      </c>
      <c r="C15" s="50"/>
      <c r="D15" s="96"/>
      <c r="E15" s="97"/>
      <c r="F15" s="97"/>
      <c r="G15" s="98"/>
      <c r="H15" s="51">
        <f>SUM(I15)-0.9</f>
        <v>5.3999999999999995</v>
      </c>
      <c r="I15" s="51">
        <f>SUM(J15)-0.9</f>
        <v>6.3</v>
      </c>
      <c r="J15" s="100">
        <v>7.2</v>
      </c>
      <c r="K15" s="47">
        <f>SUM(J15)+0.4</f>
        <v>7.6000000000000005</v>
      </c>
      <c r="L15" s="47">
        <f>SUM(K15)+0.9</f>
        <v>8.5</v>
      </c>
      <c r="M15" s="225">
        <f t="shared" ref="M15" si="3">SUM(L15)</f>
        <v>8.5</v>
      </c>
    </row>
    <row r="16" spans="1:13" s="1" customFormat="1" ht="14.1" customHeight="1">
      <c r="A16" s="184"/>
      <c r="B16" s="23" t="s">
        <v>505</v>
      </c>
      <c r="C16" s="23"/>
      <c r="D16" s="89" t="s">
        <v>506</v>
      </c>
      <c r="E16" s="90"/>
      <c r="F16" s="90"/>
      <c r="G16" s="91"/>
      <c r="H16" s="23"/>
      <c r="I16" s="23"/>
      <c r="J16" s="21"/>
      <c r="K16" s="23"/>
      <c r="L16" s="23"/>
      <c r="M16" s="25"/>
    </row>
    <row r="17" spans="1:14" s="1" customFormat="1" ht="14.1" customHeight="1">
      <c r="A17" s="182">
        <v>8</v>
      </c>
      <c r="B17" s="49" t="s">
        <v>169</v>
      </c>
      <c r="C17" s="50"/>
      <c r="D17" s="96"/>
      <c r="E17" s="97"/>
      <c r="F17" s="97"/>
      <c r="G17" s="98"/>
      <c r="H17" s="51">
        <f>SUM(I17)-0.9</f>
        <v>8.6999999999999993</v>
      </c>
      <c r="I17" s="51">
        <f>SUM(J17)-0.9</f>
        <v>9.6</v>
      </c>
      <c r="J17" s="100">
        <v>10.5</v>
      </c>
      <c r="K17" s="47">
        <f>SUM(J17)+0.9</f>
        <v>11.4</v>
      </c>
      <c r="L17" s="47">
        <f>SUM(K17)+0.9</f>
        <v>12.3</v>
      </c>
      <c r="M17" s="104"/>
    </row>
    <row r="18" spans="1:14" s="1" customFormat="1" ht="14.1" customHeight="1">
      <c r="A18" s="184"/>
      <c r="B18" s="23" t="s">
        <v>507</v>
      </c>
      <c r="C18" s="23"/>
      <c r="D18" s="89" t="s">
        <v>508</v>
      </c>
      <c r="E18" s="90"/>
      <c r="F18" s="90"/>
      <c r="G18" s="91"/>
      <c r="H18" s="23"/>
      <c r="I18" s="23"/>
      <c r="J18" s="21"/>
      <c r="K18" s="23"/>
      <c r="L18" s="23"/>
      <c r="M18" s="76"/>
    </row>
    <row r="19" spans="1:14" s="1" customFormat="1" ht="14.1" customHeight="1">
      <c r="A19" s="182">
        <v>9</v>
      </c>
      <c r="B19" s="49" t="s">
        <v>170</v>
      </c>
      <c r="C19" s="50"/>
      <c r="D19" s="96"/>
      <c r="E19" s="97"/>
      <c r="F19" s="97"/>
      <c r="G19" s="98"/>
      <c r="H19" s="51">
        <f>SUM(I19)-0.7</f>
        <v>7.1</v>
      </c>
      <c r="I19" s="51">
        <f>SUM(J19)-0.7</f>
        <v>7.8</v>
      </c>
      <c r="J19" s="100">
        <v>8.5</v>
      </c>
      <c r="K19" s="47">
        <f>SUM(J19)+0.7</f>
        <v>9.1999999999999993</v>
      </c>
      <c r="L19" s="47">
        <f>SUM(K19)+0.7</f>
        <v>9.8999999999999986</v>
      </c>
      <c r="M19" s="225">
        <f t="shared" ref="M19" si="4">SUM(L19)+1</f>
        <v>10.899999999999999</v>
      </c>
    </row>
    <row r="20" spans="1:14" s="1" customFormat="1" ht="14.1" customHeight="1">
      <c r="A20" s="184"/>
      <c r="B20" s="23" t="s">
        <v>509</v>
      </c>
      <c r="C20" s="23"/>
      <c r="D20" s="89" t="s">
        <v>510</v>
      </c>
      <c r="E20" s="90"/>
      <c r="F20" s="90"/>
      <c r="G20" s="91"/>
      <c r="H20" s="23"/>
      <c r="I20" s="23"/>
      <c r="J20" s="21"/>
      <c r="K20" s="23"/>
      <c r="L20" s="23"/>
      <c r="M20" s="25"/>
    </row>
    <row r="21" spans="1:14" s="1" customFormat="1" ht="14.1" customHeight="1">
      <c r="A21" s="182">
        <v>10</v>
      </c>
      <c r="B21" s="49"/>
      <c r="C21" s="50"/>
      <c r="D21" s="96"/>
      <c r="E21" s="97"/>
      <c r="F21" s="97"/>
      <c r="G21" s="98"/>
      <c r="H21" s="51"/>
      <c r="I21" s="51"/>
      <c r="J21" s="100"/>
      <c r="K21" s="47"/>
      <c r="L21" s="47"/>
      <c r="M21" s="225"/>
    </row>
    <row r="22" spans="1:14" s="1" customFormat="1" ht="14.1" customHeight="1">
      <c r="A22" s="184"/>
      <c r="B22" s="23"/>
      <c r="C22" s="23"/>
      <c r="D22" s="89"/>
      <c r="E22" s="90"/>
      <c r="F22" s="90"/>
      <c r="G22" s="91"/>
      <c r="H22" s="23"/>
      <c r="I22" s="23"/>
      <c r="J22" s="21"/>
      <c r="K22" s="23"/>
      <c r="L22" s="23"/>
      <c r="M22" s="25"/>
    </row>
    <row r="23" spans="1:14" s="1" customFormat="1" ht="14.1" customHeight="1">
      <c r="A23" s="201">
        <v>11</v>
      </c>
      <c r="B23" s="49"/>
      <c r="C23" s="50"/>
      <c r="D23" s="96"/>
      <c r="E23" s="97"/>
      <c r="F23" s="97"/>
      <c r="G23" s="98"/>
      <c r="H23" s="51"/>
      <c r="I23" s="51"/>
      <c r="J23" s="60"/>
      <c r="K23" s="51"/>
      <c r="L23" s="51"/>
      <c r="M23" s="61"/>
    </row>
    <row r="24" spans="1:14" s="1" customFormat="1" ht="14.1" customHeight="1" thickBot="1">
      <c r="A24" s="183"/>
      <c r="B24" s="48"/>
      <c r="C24" s="48"/>
      <c r="D24" s="246"/>
      <c r="E24" s="247"/>
      <c r="F24" s="247"/>
      <c r="G24" s="248"/>
      <c r="H24" s="48"/>
      <c r="I24" s="48"/>
      <c r="J24" s="110"/>
      <c r="K24" s="48"/>
      <c r="L24" s="48"/>
      <c r="M24" s="224"/>
    </row>
    <row r="25" spans="1:14" s="1" customFormat="1" ht="14.1" customHeight="1" thickTop="1">
      <c r="A25" s="245">
        <v>12</v>
      </c>
      <c r="B25" s="118" t="s">
        <v>11</v>
      </c>
      <c r="C25" s="119"/>
      <c r="D25" s="120" t="s">
        <v>12</v>
      </c>
      <c r="E25" s="121"/>
      <c r="F25" s="121"/>
      <c r="G25" s="122"/>
      <c r="H25" s="157">
        <f>SUM(I25)-3.2</f>
        <v>53.699999999999996</v>
      </c>
      <c r="I25" s="157">
        <f>SUM(J25)-3.2</f>
        <v>56.9</v>
      </c>
      <c r="J25" s="204">
        <v>60.1</v>
      </c>
      <c r="K25" s="157">
        <f>SUM(J25)+3.2</f>
        <v>63.300000000000004</v>
      </c>
      <c r="L25" s="157">
        <f t="shared" ref="L25:M25" si="5">SUM(K25)+3.2</f>
        <v>66.5</v>
      </c>
      <c r="M25" s="244">
        <f t="shared" si="5"/>
        <v>69.7</v>
      </c>
      <c r="N25" s="1" t="s">
        <v>173</v>
      </c>
    </row>
    <row r="26" spans="1:14" s="1" customFormat="1" ht="14.1" customHeight="1">
      <c r="A26" s="73"/>
      <c r="B26" s="77" t="s">
        <v>51</v>
      </c>
      <c r="C26" s="78"/>
      <c r="D26" s="79" t="s">
        <v>98</v>
      </c>
      <c r="E26" s="80"/>
      <c r="F26" s="80"/>
      <c r="G26" s="81"/>
      <c r="H26" s="23"/>
      <c r="I26" s="23"/>
      <c r="J26" s="21"/>
      <c r="K26" s="23"/>
      <c r="L26" s="23"/>
      <c r="M26" s="25"/>
    </row>
    <row r="27" spans="1:14" s="1" customFormat="1" ht="14.1" customHeight="1">
      <c r="A27" s="111">
        <v>13</v>
      </c>
      <c r="B27" s="49" t="s">
        <v>113</v>
      </c>
      <c r="C27" s="50"/>
      <c r="D27" s="57"/>
      <c r="E27" s="58"/>
      <c r="F27" s="58"/>
      <c r="G27" s="59"/>
      <c r="H27" s="51">
        <f>SUM(I27)-0.7</f>
        <v>9.5000000000000018</v>
      </c>
      <c r="I27" s="51">
        <f>SUM(J27)-0.7</f>
        <v>10.200000000000001</v>
      </c>
      <c r="J27" s="60">
        <v>10.9</v>
      </c>
      <c r="K27" s="51">
        <f>SUM(J27)+1.2</f>
        <v>12.1</v>
      </c>
      <c r="L27" s="51">
        <f>SUM(K27)+0.7</f>
        <v>12.799999999999999</v>
      </c>
      <c r="M27" s="61">
        <f>SUM(L27)+0.7</f>
        <v>13.499999999999998</v>
      </c>
    </row>
    <row r="28" spans="1:14" s="1" customFormat="1" ht="14.1" customHeight="1">
      <c r="A28" s="66"/>
      <c r="B28" s="77" t="s">
        <v>112</v>
      </c>
      <c r="C28" s="78"/>
      <c r="D28" s="139" t="s">
        <v>125</v>
      </c>
      <c r="E28" s="140"/>
      <c r="F28" s="140"/>
      <c r="G28" s="141"/>
      <c r="H28" s="23"/>
      <c r="I28" s="23"/>
      <c r="J28" s="21"/>
      <c r="K28" s="23"/>
      <c r="L28" s="23"/>
      <c r="M28" s="25"/>
    </row>
    <row r="29" spans="1:14" s="1" customFormat="1" ht="14.1" customHeight="1">
      <c r="A29" s="73">
        <v>14</v>
      </c>
      <c r="B29" s="49" t="s">
        <v>9</v>
      </c>
      <c r="C29" s="50"/>
      <c r="D29" s="57" t="s">
        <v>73</v>
      </c>
      <c r="E29" s="58"/>
      <c r="F29" s="58"/>
      <c r="G29" s="59"/>
      <c r="H29" s="51">
        <f>SUM(I29)-1.5</f>
        <v>18.8</v>
      </c>
      <c r="I29" s="51">
        <f>SUM(J29)-1.5</f>
        <v>20.3</v>
      </c>
      <c r="J29" s="60">
        <v>21.8</v>
      </c>
      <c r="K29" s="51">
        <f>SUM(J29)+1.5</f>
        <v>23.3</v>
      </c>
      <c r="L29" s="51">
        <f t="shared" ref="L29:M29" si="6">SUM(K29)+1.5</f>
        <v>24.8</v>
      </c>
      <c r="M29" s="61">
        <f t="shared" si="6"/>
        <v>26.3</v>
      </c>
    </row>
    <row r="30" spans="1:14" s="1" customFormat="1" ht="14.1" customHeight="1">
      <c r="A30" s="66"/>
      <c r="B30" s="77" t="s">
        <v>52</v>
      </c>
      <c r="C30" s="78"/>
      <c r="D30" s="79" t="s">
        <v>511</v>
      </c>
      <c r="E30" s="80"/>
      <c r="F30" s="80"/>
      <c r="G30" s="81"/>
      <c r="H30" s="23"/>
      <c r="I30" s="23"/>
      <c r="J30" s="21"/>
      <c r="K30" s="23"/>
      <c r="L30" s="23"/>
      <c r="M30" s="25"/>
    </row>
    <row r="31" spans="1:14" s="1" customFormat="1" ht="14.1" customHeight="1">
      <c r="A31" s="111">
        <v>15</v>
      </c>
      <c r="B31" s="49" t="s">
        <v>14</v>
      </c>
      <c r="C31" s="50"/>
      <c r="D31" s="57" t="s">
        <v>15</v>
      </c>
      <c r="E31" s="58"/>
      <c r="F31" s="58"/>
      <c r="G31" s="59"/>
      <c r="H31" s="51">
        <f>SUM(I31)-1.8</f>
        <v>31.400000000000002</v>
      </c>
      <c r="I31" s="51">
        <f>SUM(J31)-1.8</f>
        <v>33.200000000000003</v>
      </c>
      <c r="J31" s="60">
        <v>35</v>
      </c>
      <c r="K31" s="51">
        <f>SUM(J31)+1.8</f>
        <v>36.799999999999997</v>
      </c>
      <c r="L31" s="51">
        <f t="shared" ref="L31:M31" si="7">SUM(K31)+1.8</f>
        <v>38.599999999999994</v>
      </c>
      <c r="M31" s="61">
        <f t="shared" si="7"/>
        <v>40.399999999999991</v>
      </c>
    </row>
    <row r="32" spans="1:14" s="1" customFormat="1" ht="14.1" customHeight="1">
      <c r="A32" s="66"/>
      <c r="B32" s="77" t="s">
        <v>53</v>
      </c>
      <c r="C32" s="78"/>
      <c r="D32" s="36" t="s">
        <v>96</v>
      </c>
      <c r="E32" s="37"/>
      <c r="F32" s="37"/>
      <c r="G32" s="38"/>
      <c r="H32" s="23"/>
      <c r="I32" s="23"/>
      <c r="J32" s="21"/>
      <c r="K32" s="23"/>
      <c r="L32" s="23"/>
      <c r="M32" s="25"/>
    </row>
    <row r="33" spans="1:13" s="1" customFormat="1" ht="14.1" customHeight="1">
      <c r="A33" s="111">
        <v>16</v>
      </c>
      <c r="B33" s="49" t="s">
        <v>16</v>
      </c>
      <c r="C33" s="50"/>
      <c r="D33" s="57" t="s">
        <v>13</v>
      </c>
      <c r="E33" s="58"/>
      <c r="F33" s="58"/>
      <c r="G33" s="59"/>
      <c r="H33" s="51">
        <f>SUM(I33)-1</f>
        <v>17.399999999999999</v>
      </c>
      <c r="I33" s="51">
        <f>SUM(J33)-1</f>
        <v>18.399999999999999</v>
      </c>
      <c r="J33" s="60">
        <v>19.399999999999999</v>
      </c>
      <c r="K33" s="51">
        <f>SUM(J33)+1.5</f>
        <v>20.9</v>
      </c>
      <c r="L33" s="51">
        <f>SUM(K33)+1</f>
        <v>21.9</v>
      </c>
      <c r="M33" s="61">
        <f>SUM(L33)+1</f>
        <v>22.9</v>
      </c>
    </row>
    <row r="34" spans="1:13" s="1" customFormat="1" ht="14.1" customHeight="1">
      <c r="A34" s="66"/>
      <c r="B34" s="77" t="s">
        <v>59</v>
      </c>
      <c r="C34" s="78"/>
      <c r="D34" s="79" t="s">
        <v>95</v>
      </c>
      <c r="E34" s="80"/>
      <c r="F34" s="80"/>
      <c r="G34" s="81"/>
      <c r="H34" s="23"/>
      <c r="I34" s="23"/>
      <c r="J34" s="21"/>
      <c r="K34" s="23"/>
      <c r="L34" s="23"/>
      <c r="M34" s="25"/>
    </row>
    <row r="35" spans="1:13" s="1" customFormat="1" ht="14.1" customHeight="1">
      <c r="A35" s="73">
        <v>17</v>
      </c>
      <c r="B35" s="49" t="s">
        <v>17</v>
      </c>
      <c r="C35" s="50"/>
      <c r="D35" s="57" t="s">
        <v>13</v>
      </c>
      <c r="E35" s="58"/>
      <c r="F35" s="58"/>
      <c r="G35" s="59"/>
      <c r="H35" s="51">
        <f>SUM(I35)-1.2</f>
        <v>19.700000000000003</v>
      </c>
      <c r="I35" s="51">
        <f>SUM(J35)-1.2</f>
        <v>20.900000000000002</v>
      </c>
      <c r="J35" s="60">
        <v>22.1</v>
      </c>
      <c r="K35" s="51">
        <f>SUM(J35)+1.7</f>
        <v>23.8</v>
      </c>
      <c r="L35" s="51">
        <f>SUM(K35)+1.2</f>
        <v>25</v>
      </c>
      <c r="M35" s="61">
        <f>SUM(L35)+1.2</f>
        <v>26.2</v>
      </c>
    </row>
    <row r="36" spans="1:13" s="1" customFormat="1" ht="14.1" customHeight="1" thickBot="1">
      <c r="A36" s="74"/>
      <c r="B36" s="177" t="s">
        <v>58</v>
      </c>
      <c r="C36" s="178"/>
      <c r="D36" s="199" t="s">
        <v>95</v>
      </c>
      <c r="E36" s="180"/>
      <c r="F36" s="180"/>
      <c r="G36" s="181"/>
      <c r="H36" s="48"/>
      <c r="I36" s="48"/>
      <c r="J36" s="110"/>
      <c r="K36" s="48"/>
      <c r="L36" s="48"/>
      <c r="M36" s="224"/>
    </row>
    <row r="37" spans="1:13" s="1" customFormat="1" ht="14.1" customHeight="1">
      <c r="A37"/>
      <c r="B37"/>
      <c r="C37"/>
      <c r="D37"/>
      <c r="E37"/>
      <c r="F37"/>
      <c r="G37"/>
      <c r="H37" s="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 s="7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3970-BEFC-4735-9790-068B4C280FBC}">
  <sheetPr>
    <tabColor theme="5"/>
    <pageSetUpPr fitToPage="1"/>
  </sheetPr>
  <dimension ref="A1:P51"/>
  <sheetViews>
    <sheetView zoomScale="110" zoomScaleNormal="110" workbookViewId="0">
      <selection activeCell="J11" sqref="J11:J1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826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56">
        <f>SUM(I3)-3</f>
        <v>47</v>
      </c>
      <c r="I3" s="51">
        <f>SUM(J3)-3</f>
        <v>50</v>
      </c>
      <c r="J3" s="71">
        <v>53</v>
      </c>
      <c r="K3" s="70">
        <f>SUM(J3)+3</f>
        <v>56</v>
      </c>
      <c r="L3" s="70">
        <f>SUM(K3)+3</f>
        <v>59</v>
      </c>
      <c r="M3" s="84">
        <f>SUM(L3)+3</f>
        <v>62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52"/>
      <c r="I4" s="23"/>
      <c r="J4" s="21"/>
      <c r="K4" s="23"/>
      <c r="L4" s="23"/>
      <c r="M4" s="76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56">
        <f>SUM(I5)-1.2</f>
        <v>17.600000000000001</v>
      </c>
      <c r="I5" s="51">
        <f>SUM(J5)-1.2</f>
        <v>18.8</v>
      </c>
      <c r="J5" s="60">
        <v>20</v>
      </c>
      <c r="K5" s="51">
        <f>SUM(J5)+1.2</f>
        <v>21.2</v>
      </c>
      <c r="L5" s="51">
        <f>SUM(K5)+1.2</f>
        <v>22.4</v>
      </c>
      <c r="M5" s="75">
        <f>SUM(L5)+1.2</f>
        <v>23.599999999999998</v>
      </c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52"/>
      <c r="I6" s="23"/>
      <c r="J6" s="21"/>
      <c r="K6" s="23"/>
      <c r="L6" s="23"/>
      <c r="M6" s="76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6">
        <f>SUM(I7)-1.8</f>
        <v>29.4</v>
      </c>
      <c r="I7" s="51">
        <f>SUM(J7)-1.8</f>
        <v>31.2</v>
      </c>
      <c r="J7" s="60">
        <v>33</v>
      </c>
      <c r="K7" s="51">
        <f>SUM(J7)+1.8</f>
        <v>34.799999999999997</v>
      </c>
      <c r="L7" s="51">
        <f>SUM(K7)+1.8</f>
        <v>36.599999999999994</v>
      </c>
      <c r="M7" s="75">
        <f>SUM(L7)+1.8</f>
        <v>38.399999999999991</v>
      </c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52"/>
      <c r="I8" s="23"/>
      <c r="J8" s="21"/>
      <c r="K8" s="23"/>
      <c r="L8" s="23"/>
      <c r="M8" s="76"/>
      <c r="P8" s="10"/>
    </row>
    <row r="9" spans="1:16" s="1" customFormat="1" ht="14.1" customHeight="1">
      <c r="A9" s="182">
        <v>4</v>
      </c>
      <c r="B9" s="49" t="s">
        <v>129</v>
      </c>
      <c r="C9" s="50"/>
      <c r="D9" s="189" t="s">
        <v>288</v>
      </c>
      <c r="E9" s="190"/>
      <c r="F9" s="190"/>
      <c r="G9" s="191"/>
      <c r="H9" s="56">
        <f>SUM(I9)-1.8</f>
        <v>33.400000000000006</v>
      </c>
      <c r="I9" s="51">
        <f>SUM(J9)-1.8</f>
        <v>35.200000000000003</v>
      </c>
      <c r="J9" s="60">
        <v>37</v>
      </c>
      <c r="K9" s="51">
        <f>SUM(J9)+1.8</f>
        <v>38.799999999999997</v>
      </c>
      <c r="L9" s="51">
        <f>SUM(K9)+1.8</f>
        <v>40.599999999999994</v>
      </c>
      <c r="M9" s="75">
        <f>SUM(L9)+1.8</f>
        <v>42.399999999999991</v>
      </c>
      <c r="P9" s="10"/>
    </row>
    <row r="10" spans="1:16" s="1" customFormat="1" ht="14.1" customHeight="1">
      <c r="A10" s="184"/>
      <c r="B10" s="77" t="s">
        <v>128</v>
      </c>
      <c r="C10" s="78"/>
      <c r="D10" s="89" t="s">
        <v>308</v>
      </c>
      <c r="E10" s="90"/>
      <c r="F10" s="90"/>
      <c r="G10" s="91"/>
      <c r="H10" s="52"/>
      <c r="I10" s="23"/>
      <c r="J10" s="21"/>
      <c r="K10" s="23"/>
      <c r="L10" s="23"/>
      <c r="M10" s="76"/>
      <c r="P10" s="10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6">
        <f>SUM(I11)-4.5</f>
        <v>61</v>
      </c>
      <c r="I11" s="51">
        <f>SUM(J11)-4.5</f>
        <v>65.5</v>
      </c>
      <c r="J11" s="100">
        <v>70</v>
      </c>
      <c r="K11" s="47">
        <f>SUM(J11)+4.5</f>
        <v>74.5</v>
      </c>
      <c r="L11" s="47">
        <f>SUM(K11)+4.5</f>
        <v>79</v>
      </c>
      <c r="M11" s="104">
        <f>SUM(L11)+4.5</f>
        <v>83.5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52"/>
      <c r="I12" s="23"/>
      <c r="J12" s="21"/>
      <c r="K12" s="23"/>
      <c r="L12" s="23"/>
      <c r="M12" s="76"/>
    </row>
    <row r="13" spans="1:16" s="1" customFormat="1" ht="14.1" customHeight="1">
      <c r="A13" s="182">
        <v>6</v>
      </c>
      <c r="B13" s="49" t="s">
        <v>11</v>
      </c>
      <c r="C13" s="50"/>
      <c r="D13" s="57" t="s">
        <v>146</v>
      </c>
      <c r="E13" s="58"/>
      <c r="F13" s="58"/>
      <c r="G13" s="59"/>
      <c r="H13" s="56">
        <f>SUM(I13)-5</f>
        <v>70</v>
      </c>
      <c r="I13" s="51">
        <f>SUM(J13)-5</f>
        <v>75</v>
      </c>
      <c r="J13" s="60">
        <v>80</v>
      </c>
      <c r="K13" s="51">
        <f>SUM(J13)+5</f>
        <v>85</v>
      </c>
      <c r="L13" s="51">
        <f>SUM(K13)+5</f>
        <v>90</v>
      </c>
      <c r="M13" s="75">
        <f>SUM(L13)+5</f>
        <v>95</v>
      </c>
    </row>
    <row r="14" spans="1:16" s="1" customFormat="1" ht="14.1" customHeight="1">
      <c r="A14" s="184"/>
      <c r="B14" s="77" t="s">
        <v>824</v>
      </c>
      <c r="C14" s="78"/>
      <c r="D14" s="79" t="s">
        <v>98</v>
      </c>
      <c r="E14" s="80"/>
      <c r="F14" s="80"/>
      <c r="G14" s="81"/>
      <c r="H14" s="52"/>
      <c r="I14" s="23"/>
      <c r="J14" s="21"/>
      <c r="K14" s="23"/>
      <c r="L14" s="23"/>
      <c r="M14" s="76"/>
    </row>
    <row r="15" spans="1:16" s="1" customFormat="1" ht="14.1" customHeight="1">
      <c r="A15" s="182">
        <v>7</v>
      </c>
      <c r="B15" s="49" t="s">
        <v>367</v>
      </c>
      <c r="C15" s="50"/>
      <c r="D15" s="96"/>
      <c r="E15" s="97"/>
      <c r="F15" s="97"/>
      <c r="G15" s="98"/>
      <c r="H15" s="56">
        <f>SUM(I15)-2.5</f>
        <v>24</v>
      </c>
      <c r="I15" s="51">
        <f>SUM(J15)-2.5</f>
        <v>26.5</v>
      </c>
      <c r="J15" s="100">
        <v>29</v>
      </c>
      <c r="K15" s="47">
        <f>SUM(J15)+2.5</f>
        <v>31.5</v>
      </c>
      <c r="L15" s="47">
        <f>SUM(K15)+2.5</f>
        <v>34</v>
      </c>
      <c r="M15" s="104">
        <f>SUM(L15)+2.5</f>
        <v>36.5</v>
      </c>
    </row>
    <row r="16" spans="1:16" s="1" customFormat="1" ht="14.1" customHeight="1">
      <c r="A16" s="184"/>
      <c r="B16" s="23" t="s">
        <v>368</v>
      </c>
      <c r="C16" s="23"/>
      <c r="D16" s="89"/>
      <c r="E16" s="90"/>
      <c r="F16" s="90"/>
      <c r="G16" s="91"/>
      <c r="H16" s="52"/>
      <c r="I16" s="23"/>
      <c r="J16" s="21"/>
      <c r="K16" s="23"/>
      <c r="L16" s="23"/>
      <c r="M16" s="76"/>
    </row>
    <row r="17" spans="1:13" s="1" customFormat="1" ht="14.1" customHeight="1">
      <c r="A17" s="182">
        <v>8</v>
      </c>
      <c r="B17" s="56" t="s">
        <v>43</v>
      </c>
      <c r="C17" s="56"/>
      <c r="D17" s="55" t="s">
        <v>8</v>
      </c>
      <c r="E17" s="55"/>
      <c r="F17" s="55"/>
      <c r="G17" s="55"/>
      <c r="H17" s="56"/>
      <c r="I17" s="51"/>
      <c r="J17" s="100">
        <v>60.5</v>
      </c>
      <c r="K17" s="47"/>
      <c r="L17" s="47"/>
      <c r="M17" s="104"/>
    </row>
    <row r="18" spans="1:13" s="1" customFormat="1" ht="14.1" customHeight="1">
      <c r="A18" s="184"/>
      <c r="B18" s="52" t="s">
        <v>25</v>
      </c>
      <c r="C18" s="52"/>
      <c r="D18" s="36" t="s">
        <v>825</v>
      </c>
      <c r="E18" s="37"/>
      <c r="F18" s="37"/>
      <c r="G18" s="38"/>
      <c r="H18" s="52"/>
      <c r="I18" s="23"/>
      <c r="J18" s="21"/>
      <c r="K18" s="23"/>
      <c r="L18" s="23"/>
      <c r="M18" s="76"/>
    </row>
    <row r="19" spans="1:13" s="1" customFormat="1" ht="14.1" customHeight="1">
      <c r="A19" s="182">
        <v>9</v>
      </c>
      <c r="B19" s="49" t="s">
        <v>132</v>
      </c>
      <c r="C19" s="50"/>
      <c r="D19" s="57"/>
      <c r="E19" s="58"/>
      <c r="F19" s="58"/>
      <c r="G19" s="59"/>
      <c r="H19" s="56">
        <f>SUM(I19)-0.7</f>
        <v>9.1000000000000014</v>
      </c>
      <c r="I19" s="51">
        <f>SUM(J19)-0.7</f>
        <v>9.8000000000000007</v>
      </c>
      <c r="J19" s="60">
        <v>10.5</v>
      </c>
      <c r="K19" s="51">
        <f>SUM(J19)+0.7</f>
        <v>11.2</v>
      </c>
      <c r="L19" s="51">
        <f>SUM(K19)+0.7</f>
        <v>11.899999999999999</v>
      </c>
      <c r="M19" s="185">
        <f>SUM(L19)+0.7</f>
        <v>12.599999999999998</v>
      </c>
    </row>
    <row r="20" spans="1:13" s="1" customFormat="1" ht="14.1" customHeight="1">
      <c r="A20" s="184"/>
      <c r="B20" s="77" t="s">
        <v>133</v>
      </c>
      <c r="C20" s="78"/>
      <c r="D20" s="139" t="s">
        <v>134</v>
      </c>
      <c r="E20" s="140"/>
      <c r="F20" s="140"/>
      <c r="G20" s="141"/>
      <c r="H20" s="52"/>
      <c r="I20" s="23"/>
      <c r="J20" s="21"/>
      <c r="K20" s="23"/>
      <c r="L20" s="23"/>
      <c r="M20" s="186"/>
    </row>
    <row r="21" spans="1:13" s="1" customFormat="1" ht="14.1" customHeight="1">
      <c r="A21" s="182">
        <v>10</v>
      </c>
      <c r="B21" s="49" t="s">
        <v>143</v>
      </c>
      <c r="C21" s="50"/>
      <c r="D21" s="57"/>
      <c r="E21" s="58"/>
      <c r="F21" s="58"/>
      <c r="G21" s="59"/>
      <c r="H21" s="56">
        <f>SUM(I21)-0</f>
        <v>2.8</v>
      </c>
      <c r="I21" s="51">
        <f>SUM(J21)-0</f>
        <v>2.8</v>
      </c>
      <c r="J21" s="60">
        <v>2.8</v>
      </c>
      <c r="K21" s="51">
        <f>SUM(J21)+0.5</f>
        <v>3.3</v>
      </c>
      <c r="L21" s="51">
        <f>SUM(K21)+0</f>
        <v>3.3</v>
      </c>
      <c r="M21" s="75">
        <f>SUM(L21)+0</f>
        <v>3.3</v>
      </c>
    </row>
    <row r="22" spans="1:13" s="1" customFormat="1" ht="14.1" customHeight="1">
      <c r="A22" s="184"/>
      <c r="B22" s="77" t="s">
        <v>142</v>
      </c>
      <c r="C22" s="78"/>
      <c r="D22" s="139"/>
      <c r="E22" s="140"/>
      <c r="F22" s="140"/>
      <c r="G22" s="141"/>
      <c r="H22" s="52"/>
      <c r="I22" s="23"/>
      <c r="J22" s="21"/>
      <c r="K22" s="23"/>
      <c r="L22" s="23"/>
      <c r="M22" s="76"/>
    </row>
    <row r="23" spans="1:13" s="1" customFormat="1" ht="14.1" customHeight="1">
      <c r="A23" s="111">
        <v>11</v>
      </c>
      <c r="B23" s="49"/>
      <c r="C23" s="50"/>
      <c r="D23" s="57"/>
      <c r="E23" s="58"/>
      <c r="F23" s="58"/>
      <c r="G23" s="59"/>
      <c r="H23" s="56"/>
      <c r="I23" s="51"/>
      <c r="J23" s="60"/>
      <c r="K23" s="51"/>
      <c r="L23" s="51"/>
      <c r="M23" s="185"/>
    </row>
    <row r="24" spans="1:13" s="1" customFormat="1" ht="14.1" customHeight="1" thickBot="1">
      <c r="A24" s="73"/>
      <c r="B24" s="144"/>
      <c r="C24" s="145"/>
      <c r="D24" s="200"/>
      <c r="E24" s="147"/>
      <c r="F24" s="147"/>
      <c r="G24" s="148"/>
      <c r="H24" s="105"/>
      <c r="I24" s="47"/>
      <c r="J24" s="100"/>
      <c r="K24" s="47"/>
      <c r="L24" s="47"/>
      <c r="M24" s="250"/>
    </row>
    <row r="25" spans="1:13" s="1" customFormat="1" ht="14.1" customHeight="1" thickTop="1">
      <c r="A25" s="202">
        <v>12</v>
      </c>
      <c r="B25" s="118" t="s">
        <v>11</v>
      </c>
      <c r="C25" s="119"/>
      <c r="D25" s="120" t="s">
        <v>12</v>
      </c>
      <c r="E25" s="121"/>
      <c r="F25" s="121"/>
      <c r="G25" s="122"/>
      <c r="H25" s="157">
        <f>SUM(I25)-3.2</f>
        <v>53.599999999999994</v>
      </c>
      <c r="I25" s="157">
        <f>SUM(J25)-3.2</f>
        <v>56.8</v>
      </c>
      <c r="J25" s="204">
        <v>60</v>
      </c>
      <c r="K25" s="157">
        <f>SUM(J25)+3.2</f>
        <v>63.2</v>
      </c>
      <c r="L25" s="157">
        <f>SUM(K25)+3.2</f>
        <v>66.400000000000006</v>
      </c>
      <c r="M25" s="203">
        <f>SUM(L25)+3.2</f>
        <v>69.600000000000009</v>
      </c>
    </row>
    <row r="26" spans="1:13" s="1" customFormat="1" ht="14.1" customHeight="1">
      <c r="A26" s="184"/>
      <c r="B26" s="77" t="s">
        <v>51</v>
      </c>
      <c r="C26" s="78"/>
      <c r="D26" s="79" t="s">
        <v>98</v>
      </c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182">
        <v>13</v>
      </c>
      <c r="B27" s="49" t="s">
        <v>113</v>
      </c>
      <c r="C27" s="50"/>
      <c r="D27" s="57"/>
      <c r="E27" s="58"/>
      <c r="F27" s="58"/>
      <c r="G27" s="59"/>
      <c r="H27" s="51">
        <f>SUM(I27)-0.7</f>
        <v>12.100000000000001</v>
      </c>
      <c r="I27" s="51">
        <f>SUM(J27)-0.7</f>
        <v>12.8</v>
      </c>
      <c r="J27" s="60">
        <v>13.5</v>
      </c>
      <c r="K27" s="51">
        <f>SUM(J27)+1.2</f>
        <v>14.7</v>
      </c>
      <c r="L27" s="51">
        <f>SUM(K27)+0.7</f>
        <v>15.399999999999999</v>
      </c>
      <c r="M27" s="75">
        <f>SUM(L27)+0.7</f>
        <v>16.099999999999998</v>
      </c>
    </row>
    <row r="28" spans="1:13" s="1" customFormat="1" ht="14.1" customHeight="1">
      <c r="A28" s="184"/>
      <c r="B28" s="77" t="s">
        <v>112</v>
      </c>
      <c r="C28" s="78"/>
      <c r="D28" s="139" t="s">
        <v>125</v>
      </c>
      <c r="E28" s="140"/>
      <c r="F28" s="140"/>
      <c r="G28" s="141"/>
      <c r="H28" s="23"/>
      <c r="I28" s="23"/>
      <c r="J28" s="21"/>
      <c r="K28" s="23"/>
      <c r="L28" s="23"/>
      <c r="M28" s="76"/>
    </row>
    <row r="29" spans="1:13" ht="14.1" customHeight="1">
      <c r="A29" s="182">
        <v>14</v>
      </c>
      <c r="B29" s="49" t="s">
        <v>9</v>
      </c>
      <c r="C29" s="50"/>
      <c r="D29" s="57" t="s">
        <v>73</v>
      </c>
      <c r="E29" s="58"/>
      <c r="F29" s="58"/>
      <c r="G29" s="59"/>
      <c r="H29" s="51">
        <f>SUM(I29)-1.5</f>
        <v>21</v>
      </c>
      <c r="I29" s="51">
        <f>SUM(J29)-1.5</f>
        <v>22.5</v>
      </c>
      <c r="J29" s="60">
        <v>24</v>
      </c>
      <c r="K29" s="51">
        <f>SUM(J29)+1.5</f>
        <v>25.5</v>
      </c>
      <c r="L29" s="51">
        <f>SUM(K29)+1.5</f>
        <v>27</v>
      </c>
      <c r="M29" s="75">
        <f>SUM(L29)+1.5</f>
        <v>28.5</v>
      </c>
    </row>
    <row r="30" spans="1:13" ht="14.1" customHeight="1">
      <c r="A30" s="184"/>
      <c r="B30" s="77" t="s">
        <v>52</v>
      </c>
      <c r="C30" s="78"/>
      <c r="D30" s="79" t="s">
        <v>97</v>
      </c>
      <c r="E30" s="80"/>
      <c r="F30" s="80"/>
      <c r="G30" s="81"/>
      <c r="H30" s="23"/>
      <c r="I30" s="23"/>
      <c r="J30" s="21"/>
      <c r="K30" s="23"/>
      <c r="L30" s="23"/>
      <c r="M30" s="76"/>
    </row>
    <row r="31" spans="1:13" ht="14.1" customHeight="1">
      <c r="A31" s="182">
        <v>15</v>
      </c>
      <c r="B31" s="49" t="s">
        <v>14</v>
      </c>
      <c r="C31" s="50"/>
      <c r="D31" s="57" t="s">
        <v>15</v>
      </c>
      <c r="E31" s="58"/>
      <c r="F31" s="58"/>
      <c r="G31" s="59"/>
      <c r="H31" s="51">
        <f>SUM(I31)-1.8</f>
        <v>31.400000000000002</v>
      </c>
      <c r="I31" s="51">
        <f>SUM(J31)-1.8</f>
        <v>33.200000000000003</v>
      </c>
      <c r="J31" s="60">
        <v>35</v>
      </c>
      <c r="K31" s="51">
        <f>SUM(J31)+1.8</f>
        <v>36.799999999999997</v>
      </c>
      <c r="L31" s="51">
        <f t="shared" ref="L31:M31" si="0">SUM(K31)+1.8</f>
        <v>38.599999999999994</v>
      </c>
      <c r="M31" s="75">
        <f t="shared" si="0"/>
        <v>40.399999999999991</v>
      </c>
    </row>
    <row r="32" spans="1:13" ht="14.1" customHeight="1">
      <c r="A32" s="184"/>
      <c r="B32" s="77" t="s">
        <v>53</v>
      </c>
      <c r="C32" s="78"/>
      <c r="D32" s="36" t="s">
        <v>96</v>
      </c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182">
        <v>16</v>
      </c>
      <c r="B33" s="49" t="s">
        <v>16</v>
      </c>
      <c r="C33" s="50"/>
      <c r="D33" s="57" t="s">
        <v>13</v>
      </c>
      <c r="E33" s="58"/>
      <c r="F33" s="58"/>
      <c r="G33" s="59"/>
      <c r="H33" s="51">
        <f>SUM(I33)-1</f>
        <v>20</v>
      </c>
      <c r="I33" s="51">
        <f>SUM(J33)-1</f>
        <v>21</v>
      </c>
      <c r="J33" s="60">
        <v>22</v>
      </c>
      <c r="K33" s="51">
        <f>SUM(J33)+1.5</f>
        <v>23.5</v>
      </c>
      <c r="L33" s="51">
        <f>SUM(K33)+1</f>
        <v>24.5</v>
      </c>
      <c r="M33" s="75">
        <f>SUM(L33)+1</f>
        <v>25.5</v>
      </c>
    </row>
    <row r="34" spans="1:13" ht="14.1" customHeight="1">
      <c r="A34" s="184"/>
      <c r="B34" s="77" t="s">
        <v>59</v>
      </c>
      <c r="C34" s="78"/>
      <c r="D34" s="79" t="s">
        <v>95</v>
      </c>
      <c r="E34" s="80"/>
      <c r="F34" s="80"/>
      <c r="G34" s="81"/>
      <c r="H34" s="23"/>
      <c r="I34" s="23"/>
      <c r="J34" s="21"/>
      <c r="K34" s="23"/>
      <c r="L34" s="23"/>
      <c r="M34" s="76"/>
    </row>
    <row r="35" spans="1:13" ht="14.1" customHeight="1">
      <c r="A35" s="182">
        <v>17</v>
      </c>
      <c r="B35" s="49" t="s">
        <v>17</v>
      </c>
      <c r="C35" s="50"/>
      <c r="D35" s="57" t="s">
        <v>13</v>
      </c>
      <c r="E35" s="58"/>
      <c r="F35" s="58"/>
      <c r="G35" s="59"/>
      <c r="H35" s="51">
        <f>SUM(I35)-1.2</f>
        <v>22.1</v>
      </c>
      <c r="I35" s="51">
        <f>SUM(J35)-1.2</f>
        <v>23.3</v>
      </c>
      <c r="J35" s="60">
        <v>24.5</v>
      </c>
      <c r="K35" s="51">
        <f>SUM(J35)+1.7</f>
        <v>26.2</v>
      </c>
      <c r="L35" s="51">
        <f>SUM(K35)+1.2</f>
        <v>27.4</v>
      </c>
      <c r="M35" s="75">
        <f>SUM(L35)+1.2</f>
        <v>28.599999999999998</v>
      </c>
    </row>
    <row r="36" spans="1:13" ht="14.1" customHeight="1" thickBot="1">
      <c r="A36" s="183"/>
      <c r="B36" s="177" t="s">
        <v>58</v>
      </c>
      <c r="C36" s="178"/>
      <c r="D36" s="199" t="s">
        <v>95</v>
      </c>
      <c r="E36" s="180"/>
      <c r="F36" s="180"/>
      <c r="G36" s="181"/>
      <c r="H36" s="48"/>
      <c r="I36" s="48"/>
      <c r="J36" s="110"/>
      <c r="K36" s="48"/>
      <c r="L36" s="48"/>
      <c r="M36" s="109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F95E-9F9E-4F24-AFD5-1EB86907980B}">
  <sheetPr>
    <tabColor theme="5"/>
    <pageSetUpPr fitToPage="1"/>
  </sheetPr>
  <dimension ref="A1:O51"/>
  <sheetViews>
    <sheetView zoomScale="110" zoomScaleNormal="110" workbookViewId="0">
      <selection activeCell="D18" sqref="D18:G1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5" ht="16.5" customHeight="1" thickBot="1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4"/>
    </row>
    <row r="2" spans="1:15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5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45</v>
      </c>
      <c r="I3" s="70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5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76"/>
    </row>
    <row r="5" spans="1:15" s="1" customFormat="1" ht="14.1" customHeight="1">
      <c r="A5" s="182">
        <v>5</v>
      </c>
      <c r="B5" s="49" t="s">
        <v>123</v>
      </c>
      <c r="C5" s="50"/>
      <c r="D5" s="67"/>
      <c r="E5" s="68"/>
      <c r="F5" s="68"/>
      <c r="G5" s="69"/>
      <c r="H5" s="51">
        <f>SUM(I5)-4.5</f>
        <v>49.2</v>
      </c>
      <c r="I5" s="51">
        <f>SUM(J5)-4.5</f>
        <v>53.7</v>
      </c>
      <c r="J5" s="100">
        <v>58.2</v>
      </c>
      <c r="K5" s="47">
        <f>SUM(J5)+4.5</f>
        <v>62.7</v>
      </c>
      <c r="L5" s="47">
        <f>SUM(K5)+4.5</f>
        <v>67.2</v>
      </c>
      <c r="M5" s="104">
        <f>SUM(L5)+4.5</f>
        <v>71.7</v>
      </c>
    </row>
    <row r="6" spans="1:15" s="1" customFormat="1" ht="14.1" customHeight="1">
      <c r="A6" s="184"/>
      <c r="B6" s="77" t="s">
        <v>124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76"/>
    </row>
    <row r="7" spans="1:15" s="1" customFormat="1" ht="14.1" customHeight="1">
      <c r="A7" s="182">
        <v>6</v>
      </c>
      <c r="B7" s="49" t="s">
        <v>119</v>
      </c>
      <c r="C7" s="50"/>
      <c r="D7" s="96" t="s">
        <v>73</v>
      </c>
      <c r="E7" s="97"/>
      <c r="F7" s="97"/>
      <c r="G7" s="98"/>
      <c r="H7" s="51">
        <f>SUM(I7)-2.5</f>
        <v>24</v>
      </c>
      <c r="I7" s="51">
        <f>SUM(J7)-2.5</f>
        <v>26.5</v>
      </c>
      <c r="J7" s="100">
        <v>29</v>
      </c>
      <c r="K7" s="47">
        <f>SUM(J7)+2.5</f>
        <v>31.5</v>
      </c>
      <c r="L7" s="47">
        <f>SUM(K7)+2.5</f>
        <v>34</v>
      </c>
      <c r="M7" s="104">
        <f>SUM(L7)+2.5</f>
        <v>36.5</v>
      </c>
    </row>
    <row r="8" spans="1:15" s="1" customFormat="1" ht="14.1" customHeight="1">
      <c r="A8" s="184"/>
      <c r="B8" s="23" t="s">
        <v>118</v>
      </c>
      <c r="C8" s="23"/>
      <c r="D8" s="89" t="s">
        <v>117</v>
      </c>
      <c r="E8" s="90"/>
      <c r="F8" s="90"/>
      <c r="G8" s="91"/>
      <c r="H8" s="23"/>
      <c r="I8" s="23"/>
      <c r="J8" s="21"/>
      <c r="K8" s="23"/>
      <c r="L8" s="23"/>
      <c r="M8" s="76"/>
      <c r="O8" s="10"/>
    </row>
    <row r="9" spans="1:15" s="1" customFormat="1" ht="14.1" customHeight="1">
      <c r="A9" s="182">
        <v>7</v>
      </c>
      <c r="B9" s="56" t="s">
        <v>846</v>
      </c>
      <c r="C9" s="56"/>
      <c r="D9" s="96" t="s">
        <v>73</v>
      </c>
      <c r="E9" s="97"/>
      <c r="F9" s="97"/>
      <c r="G9" s="98"/>
      <c r="H9" s="51">
        <f>SUM(I9)</f>
        <v>7.5</v>
      </c>
      <c r="I9" s="51">
        <f>SUM(J9)</f>
        <v>7.5</v>
      </c>
      <c r="J9" s="100">
        <v>7.5</v>
      </c>
      <c r="K9" s="47">
        <f>SUM(J9)+0.5</f>
        <v>8</v>
      </c>
      <c r="L9" s="47">
        <f>SUM(K9)</f>
        <v>8</v>
      </c>
      <c r="M9" s="104">
        <f t="shared" ref="M9" si="0">SUM(L9)</f>
        <v>8</v>
      </c>
      <c r="O9" s="10"/>
    </row>
    <row r="10" spans="1:15" s="1" customFormat="1" ht="14.1" customHeight="1">
      <c r="A10" s="184"/>
      <c r="B10" s="52" t="s">
        <v>847</v>
      </c>
      <c r="C10" s="52"/>
      <c r="D10" s="89" t="s">
        <v>848</v>
      </c>
      <c r="E10" s="90"/>
      <c r="F10" s="90"/>
      <c r="G10" s="91"/>
      <c r="H10" s="23"/>
      <c r="I10" s="23"/>
      <c r="J10" s="21"/>
      <c r="K10" s="23"/>
      <c r="L10" s="23"/>
      <c r="M10" s="76"/>
      <c r="O10" s="10"/>
    </row>
    <row r="11" spans="1:15" s="1" customFormat="1" ht="14.1" customHeight="1">
      <c r="A11" s="182">
        <v>8</v>
      </c>
      <c r="B11" s="49"/>
      <c r="C11" s="50"/>
      <c r="D11" s="96"/>
      <c r="E11" s="97"/>
      <c r="F11" s="97"/>
      <c r="G11" s="98"/>
      <c r="H11" s="51"/>
      <c r="I11" s="51"/>
      <c r="J11" s="100"/>
      <c r="K11" s="47"/>
      <c r="L11" s="47"/>
      <c r="M11" s="104"/>
    </row>
    <row r="12" spans="1:15" s="1" customFormat="1" ht="14.1" customHeight="1">
      <c r="A12" s="184"/>
      <c r="B12" s="34"/>
      <c r="C12" s="35"/>
      <c r="D12" s="89"/>
      <c r="E12" s="90"/>
      <c r="F12" s="90"/>
      <c r="G12" s="91"/>
      <c r="H12" s="23"/>
      <c r="I12" s="23"/>
      <c r="J12" s="21"/>
      <c r="K12" s="23"/>
      <c r="L12" s="23"/>
      <c r="M12" s="76"/>
    </row>
    <row r="13" spans="1:15" s="1" customFormat="1" ht="14.1" customHeight="1">
      <c r="A13" s="201">
        <v>9</v>
      </c>
      <c r="B13" s="56"/>
      <c r="C13" s="56"/>
      <c r="D13" s="96"/>
      <c r="E13" s="97"/>
      <c r="F13" s="97"/>
      <c r="G13" s="98"/>
      <c r="H13" s="51"/>
      <c r="I13" s="51"/>
      <c r="J13" s="60"/>
      <c r="K13" s="51"/>
      <c r="L13" s="51"/>
      <c r="M13" s="75"/>
    </row>
    <row r="14" spans="1:15" s="1" customFormat="1" ht="14.1" customHeight="1" thickBot="1">
      <c r="A14" s="243"/>
      <c r="B14" s="239"/>
      <c r="C14" s="239"/>
      <c r="D14" s="240"/>
      <c r="E14" s="241"/>
      <c r="F14" s="241"/>
      <c r="G14" s="242"/>
      <c r="H14" s="159"/>
      <c r="I14" s="159"/>
      <c r="J14" s="167"/>
      <c r="K14" s="159"/>
      <c r="L14" s="159"/>
      <c r="M14" s="160"/>
    </row>
    <row r="15" spans="1:15" s="1" customFormat="1" ht="14.1" customHeight="1" thickTop="1">
      <c r="A15" s="182">
        <v>10</v>
      </c>
      <c r="B15" s="53" t="s">
        <v>11</v>
      </c>
      <c r="C15" s="54"/>
      <c r="D15" s="67" t="s">
        <v>12</v>
      </c>
      <c r="E15" s="68"/>
      <c r="F15" s="68"/>
      <c r="G15" s="69"/>
      <c r="H15" s="47">
        <f>SUM(I15)-3.2</f>
        <v>53.599999999999994</v>
      </c>
      <c r="I15" s="47">
        <f>SUM(J15)-3.2</f>
        <v>56.8</v>
      </c>
      <c r="J15" s="100">
        <v>60</v>
      </c>
      <c r="K15" s="47">
        <f>SUM(J15)+3.2</f>
        <v>63.2</v>
      </c>
      <c r="L15" s="47">
        <f>SUM(K15)+3.2</f>
        <v>66.400000000000006</v>
      </c>
      <c r="M15" s="104">
        <f>SUM(L15)+3.2</f>
        <v>69.600000000000009</v>
      </c>
    </row>
    <row r="16" spans="1:15" s="1" customFormat="1" ht="14.1" customHeight="1">
      <c r="A16" s="184"/>
      <c r="B16" s="77" t="s">
        <v>51</v>
      </c>
      <c r="C16" s="78"/>
      <c r="D16" s="79" t="s">
        <v>98</v>
      </c>
      <c r="E16" s="80"/>
      <c r="F16" s="80"/>
      <c r="G16" s="81"/>
      <c r="H16" s="23"/>
      <c r="I16" s="23"/>
      <c r="J16" s="21"/>
      <c r="K16" s="23"/>
      <c r="L16" s="23"/>
      <c r="M16" s="76"/>
    </row>
    <row r="17" spans="1:14" s="1" customFormat="1" ht="14.1" customHeight="1">
      <c r="A17" s="182">
        <v>11</v>
      </c>
      <c r="B17" s="49" t="s">
        <v>113</v>
      </c>
      <c r="C17" s="50"/>
      <c r="D17" s="57"/>
      <c r="E17" s="58"/>
      <c r="F17" s="58"/>
      <c r="G17" s="59"/>
      <c r="H17" s="51">
        <f>SUM(I17)-0.7</f>
        <v>13.200000000000001</v>
      </c>
      <c r="I17" s="51">
        <f>SUM(J17)-0.7</f>
        <v>13.9</v>
      </c>
      <c r="J17" s="60">
        <v>14.6</v>
      </c>
      <c r="K17" s="51">
        <f>SUM(J17)+0.7</f>
        <v>15.299999999999999</v>
      </c>
      <c r="L17" s="51">
        <f>SUM(K17)+0.7</f>
        <v>15.999999999999998</v>
      </c>
      <c r="M17" s="75">
        <f>SUM(L17)+0.7</f>
        <v>16.7</v>
      </c>
    </row>
    <row r="18" spans="1:14" s="1" customFormat="1" ht="14.1" customHeight="1">
      <c r="A18" s="184"/>
      <c r="B18" s="77" t="s">
        <v>112</v>
      </c>
      <c r="C18" s="78"/>
      <c r="D18" s="139" t="s">
        <v>125</v>
      </c>
      <c r="E18" s="140"/>
      <c r="F18" s="140"/>
      <c r="G18" s="141"/>
      <c r="H18" s="23"/>
      <c r="I18" s="23"/>
      <c r="J18" s="21"/>
      <c r="K18" s="23"/>
      <c r="L18" s="23"/>
      <c r="M18" s="76"/>
    </row>
    <row r="19" spans="1:14" s="1" customFormat="1" ht="14.1" customHeight="1">
      <c r="A19" s="182">
        <v>12</v>
      </c>
      <c r="B19" s="49" t="s">
        <v>9</v>
      </c>
      <c r="C19" s="50"/>
      <c r="D19" s="57" t="s">
        <v>73</v>
      </c>
      <c r="E19" s="58"/>
      <c r="F19" s="58"/>
      <c r="G19" s="59"/>
      <c r="H19" s="51">
        <f>SUM(I19)-1.5</f>
        <v>22.5</v>
      </c>
      <c r="I19" s="51">
        <f>SUM(J19)-1.5</f>
        <v>24</v>
      </c>
      <c r="J19" s="60">
        <v>25.5</v>
      </c>
      <c r="K19" s="51">
        <f>SUM(J19)+1.5</f>
        <v>27</v>
      </c>
      <c r="L19" s="51">
        <f>SUM(K19)+1.5</f>
        <v>28.5</v>
      </c>
      <c r="M19" s="75">
        <f>SUM(L19)+1.5</f>
        <v>30</v>
      </c>
    </row>
    <row r="20" spans="1:14" s="1" customFormat="1" ht="14.1" customHeight="1">
      <c r="A20" s="184"/>
      <c r="B20" s="77" t="s">
        <v>52</v>
      </c>
      <c r="C20" s="78"/>
      <c r="D20" s="79" t="s">
        <v>97</v>
      </c>
      <c r="E20" s="80"/>
      <c r="F20" s="80"/>
      <c r="G20" s="81"/>
      <c r="H20" s="23"/>
      <c r="I20" s="23"/>
      <c r="J20" s="21"/>
      <c r="K20" s="23"/>
      <c r="L20" s="23"/>
      <c r="M20" s="76"/>
    </row>
    <row r="21" spans="1:14" s="1" customFormat="1" ht="14.1" customHeight="1">
      <c r="A21" s="182">
        <v>13</v>
      </c>
      <c r="B21" s="49" t="s">
        <v>14</v>
      </c>
      <c r="C21" s="50"/>
      <c r="D21" s="57" t="s">
        <v>15</v>
      </c>
      <c r="E21" s="58"/>
      <c r="F21" s="58"/>
      <c r="G21" s="59"/>
      <c r="H21" s="51">
        <f>SUM(I21)-1.8</f>
        <v>31.400000000000002</v>
      </c>
      <c r="I21" s="51">
        <f>SUM(J21)-1.8</f>
        <v>33.200000000000003</v>
      </c>
      <c r="J21" s="60">
        <v>35</v>
      </c>
      <c r="K21" s="51">
        <f>SUM(J21)+1.8</f>
        <v>36.799999999999997</v>
      </c>
      <c r="L21" s="51">
        <f t="shared" ref="L21:M21" si="1">SUM(K21)+1.8</f>
        <v>38.599999999999994</v>
      </c>
      <c r="M21" s="75">
        <f t="shared" si="1"/>
        <v>40.399999999999991</v>
      </c>
    </row>
    <row r="22" spans="1:14" s="1" customFormat="1" ht="14.1" customHeight="1">
      <c r="A22" s="184"/>
      <c r="B22" s="77" t="s">
        <v>53</v>
      </c>
      <c r="C22" s="78"/>
      <c r="D22" s="36" t="s">
        <v>96</v>
      </c>
      <c r="E22" s="37"/>
      <c r="F22" s="37"/>
      <c r="G22" s="38"/>
      <c r="H22" s="23"/>
      <c r="I22" s="23"/>
      <c r="J22" s="21"/>
      <c r="K22" s="23"/>
      <c r="L22" s="23"/>
      <c r="M22" s="76"/>
    </row>
    <row r="23" spans="1:14" s="1" customFormat="1" ht="14.1" customHeight="1">
      <c r="A23" s="182">
        <v>14</v>
      </c>
      <c r="B23" s="49" t="s">
        <v>16</v>
      </c>
      <c r="C23" s="50"/>
      <c r="D23" s="57" t="s">
        <v>13</v>
      </c>
      <c r="E23" s="58"/>
      <c r="F23" s="58"/>
      <c r="G23" s="59"/>
      <c r="H23" s="51">
        <f>SUM(I23)-1</f>
        <v>21.1</v>
      </c>
      <c r="I23" s="51">
        <f>SUM(J23)-1</f>
        <v>22.1</v>
      </c>
      <c r="J23" s="60">
        <v>23.1</v>
      </c>
      <c r="K23" s="51">
        <f>SUM(J23)+1.1</f>
        <v>24.200000000000003</v>
      </c>
      <c r="L23" s="51">
        <f>SUM(K23)+1</f>
        <v>25.200000000000003</v>
      </c>
      <c r="M23" s="75">
        <f>SUM(L23)+1</f>
        <v>26.200000000000003</v>
      </c>
    </row>
    <row r="24" spans="1:14" s="1" customFormat="1" ht="14.1" customHeight="1">
      <c r="A24" s="184"/>
      <c r="B24" s="77" t="s">
        <v>59</v>
      </c>
      <c r="C24" s="78"/>
      <c r="D24" s="79" t="s">
        <v>95</v>
      </c>
      <c r="E24" s="80"/>
      <c r="F24" s="80"/>
      <c r="G24" s="81"/>
      <c r="H24" s="23"/>
      <c r="I24" s="23"/>
      <c r="J24" s="21"/>
      <c r="K24" s="23"/>
      <c r="L24" s="23"/>
      <c r="M24" s="76"/>
    </row>
    <row r="25" spans="1:14" s="1" customFormat="1" ht="14.1" customHeight="1">
      <c r="A25" s="182">
        <v>15</v>
      </c>
      <c r="B25" s="49" t="s">
        <v>17</v>
      </c>
      <c r="C25" s="50"/>
      <c r="D25" s="57" t="s">
        <v>13</v>
      </c>
      <c r="E25" s="58"/>
      <c r="F25" s="58"/>
      <c r="G25" s="59"/>
      <c r="H25" s="51">
        <f>SUM(I25)-1.2</f>
        <v>23.400000000000002</v>
      </c>
      <c r="I25" s="51">
        <f>SUM(J25)-1.2</f>
        <v>24.6</v>
      </c>
      <c r="J25" s="60">
        <v>25.8</v>
      </c>
      <c r="K25" s="51">
        <f>SUM(J25)+1.2</f>
        <v>27</v>
      </c>
      <c r="L25" s="51">
        <f>SUM(K25)+1.2</f>
        <v>28.2</v>
      </c>
      <c r="M25" s="75">
        <f>SUM(L25)+1.2</f>
        <v>29.4</v>
      </c>
    </row>
    <row r="26" spans="1:14" s="1" customFormat="1" ht="14.1" customHeight="1" thickBot="1">
      <c r="A26" s="183"/>
      <c r="B26" s="177" t="s">
        <v>58</v>
      </c>
      <c r="C26" s="178"/>
      <c r="D26" s="199" t="s">
        <v>95</v>
      </c>
      <c r="E26" s="180"/>
      <c r="F26" s="180"/>
      <c r="G26" s="181"/>
      <c r="H26" s="48"/>
      <c r="I26" s="48"/>
      <c r="J26" s="110"/>
      <c r="K26" s="48"/>
      <c r="L26" s="48"/>
      <c r="M26" s="109"/>
    </row>
    <row r="27" spans="1:14" s="1" customFormat="1" ht="14.1" customHeight="1">
      <c r="A27"/>
      <c r="B27"/>
      <c r="C27"/>
      <c r="D27"/>
      <c r="E27"/>
      <c r="F27"/>
      <c r="G27"/>
      <c r="H27" s="7"/>
      <c r="I27"/>
      <c r="J27"/>
      <c r="K27"/>
      <c r="L27"/>
      <c r="M27"/>
      <c r="N27"/>
    </row>
    <row r="28" spans="1:14" s="1" customFormat="1" ht="14.1" customHeight="1">
      <c r="A28"/>
      <c r="B28"/>
      <c r="C28"/>
      <c r="D28"/>
      <c r="E28"/>
      <c r="F28"/>
      <c r="G28"/>
      <c r="H28" s="7"/>
      <c r="I28"/>
      <c r="J28"/>
      <c r="K28"/>
      <c r="L28"/>
      <c r="M28"/>
      <c r="N28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3:K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J5:J6"/>
    <mergeCell ref="L3:L4"/>
    <mergeCell ref="M3:M4"/>
    <mergeCell ref="B4:C4"/>
    <mergeCell ref="D4:G4"/>
    <mergeCell ref="B2:C2"/>
    <mergeCell ref="D2:G2"/>
    <mergeCell ref="A3:A4"/>
    <mergeCell ref="B3:C3"/>
    <mergeCell ref="D3:G3"/>
    <mergeCell ref="H3:H4"/>
    <mergeCell ref="I3:I4"/>
    <mergeCell ref="J3:J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03BF-F33E-4458-892F-93C01086D3E4}">
  <sheetPr>
    <tabColor theme="5"/>
    <pageSetUpPr fitToPage="1"/>
  </sheetPr>
  <dimension ref="A1:P51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7" customWidth="1"/>
    <col min="9" max="14" width="5.5" customWidth="1"/>
  </cols>
  <sheetData>
    <row r="1" spans="1:16" ht="16.5" customHeight="1" thickBot="1">
      <c r="A1" s="62" t="s">
        <v>850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3" t="s">
        <v>60</v>
      </c>
      <c r="B2" s="236" t="s">
        <v>61</v>
      </c>
      <c r="C2" s="237"/>
      <c r="D2" s="236" t="s">
        <v>62</v>
      </c>
      <c r="E2" s="238"/>
      <c r="F2" s="238"/>
      <c r="G2" s="237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6" t="s">
        <v>136</v>
      </c>
    </row>
    <row r="3" spans="1:16" s="1" customFormat="1" ht="14.1" customHeight="1">
      <c r="A3" s="192">
        <v>1</v>
      </c>
      <c r="B3" s="193" t="s">
        <v>116</v>
      </c>
      <c r="C3" s="194"/>
      <c r="D3" s="103" t="s">
        <v>71</v>
      </c>
      <c r="E3" s="112"/>
      <c r="F3" s="112"/>
      <c r="G3" s="113"/>
      <c r="H3" s="70">
        <f>SUM(I3)-3</f>
        <v>45</v>
      </c>
      <c r="I3" s="70">
        <f>SUM(J3)-3</f>
        <v>48</v>
      </c>
      <c r="J3" s="71">
        <v>51</v>
      </c>
      <c r="K3" s="70">
        <f>SUM(J3)+3</f>
        <v>54</v>
      </c>
      <c r="L3" s="70">
        <f>SUM(K3)+3</f>
        <v>57</v>
      </c>
      <c r="M3" s="84">
        <f>SUM(L3)+3</f>
        <v>60</v>
      </c>
    </row>
    <row r="4" spans="1:16" s="1" customFormat="1" ht="14.1" customHeight="1">
      <c r="A4" s="184"/>
      <c r="B4" s="77" t="s">
        <v>86</v>
      </c>
      <c r="C4" s="78"/>
      <c r="D4" s="79" t="s">
        <v>72</v>
      </c>
      <c r="E4" s="80"/>
      <c r="F4" s="80"/>
      <c r="G4" s="81"/>
      <c r="H4" s="23"/>
      <c r="I4" s="23"/>
      <c r="J4" s="21"/>
      <c r="K4" s="23"/>
      <c r="L4" s="23"/>
      <c r="M4" s="76"/>
    </row>
    <row r="5" spans="1:16" s="1" customFormat="1" ht="14.1" customHeight="1">
      <c r="A5" s="182">
        <v>2</v>
      </c>
      <c r="B5" s="53" t="s">
        <v>131</v>
      </c>
      <c r="C5" s="54"/>
      <c r="D5" s="67"/>
      <c r="E5" s="68"/>
      <c r="F5" s="68"/>
      <c r="G5" s="69"/>
      <c r="H5" s="47"/>
      <c r="I5" s="47"/>
      <c r="J5" s="100"/>
      <c r="K5" s="47"/>
      <c r="L5" s="47"/>
      <c r="M5" s="104"/>
    </row>
    <row r="6" spans="1:16" s="1" customFormat="1" ht="14.1" customHeight="1">
      <c r="A6" s="184"/>
      <c r="B6" s="77" t="s">
        <v>130</v>
      </c>
      <c r="C6" s="78"/>
      <c r="D6" s="79"/>
      <c r="E6" s="80"/>
      <c r="F6" s="80"/>
      <c r="G6" s="81"/>
      <c r="H6" s="23"/>
      <c r="I6" s="23"/>
      <c r="J6" s="21"/>
      <c r="K6" s="23"/>
      <c r="L6" s="23"/>
      <c r="M6" s="76"/>
    </row>
    <row r="7" spans="1:16" s="1" customFormat="1" ht="14.1" customHeight="1">
      <c r="A7" s="182">
        <v>3</v>
      </c>
      <c r="B7" s="53" t="s">
        <v>115</v>
      </c>
      <c r="C7" s="54"/>
      <c r="D7" s="67"/>
      <c r="E7" s="68"/>
      <c r="F7" s="68"/>
      <c r="G7" s="69"/>
      <c r="H7" s="51"/>
      <c r="I7" s="51"/>
      <c r="J7" s="60"/>
      <c r="K7" s="51"/>
      <c r="L7" s="51"/>
      <c r="M7" s="75"/>
    </row>
    <row r="8" spans="1:16" s="1" customFormat="1" ht="14.1" customHeight="1">
      <c r="A8" s="184"/>
      <c r="B8" s="77" t="s">
        <v>114</v>
      </c>
      <c r="C8" s="78"/>
      <c r="D8" s="79"/>
      <c r="E8" s="80"/>
      <c r="F8" s="80"/>
      <c r="G8" s="81"/>
      <c r="H8" s="23"/>
      <c r="I8" s="23"/>
      <c r="J8" s="21"/>
      <c r="K8" s="23"/>
      <c r="L8" s="23"/>
      <c r="M8" s="76"/>
      <c r="P8" s="10"/>
    </row>
    <row r="9" spans="1:16" s="1" customFormat="1" ht="14.1" customHeight="1">
      <c r="A9" s="182">
        <v>4</v>
      </c>
      <c r="B9" s="49" t="s">
        <v>129</v>
      </c>
      <c r="C9" s="50"/>
      <c r="D9" s="189"/>
      <c r="E9" s="190"/>
      <c r="F9" s="190"/>
      <c r="G9" s="191"/>
      <c r="H9" s="51"/>
      <c r="I9" s="51"/>
      <c r="J9" s="60"/>
      <c r="K9" s="51"/>
      <c r="L9" s="51"/>
      <c r="M9" s="75"/>
      <c r="P9" s="10"/>
    </row>
    <row r="10" spans="1:16" s="1" customFormat="1" ht="14.1" customHeight="1">
      <c r="A10" s="184"/>
      <c r="B10" s="77" t="s">
        <v>128</v>
      </c>
      <c r="C10" s="78"/>
      <c r="D10" s="89" t="s">
        <v>251</v>
      </c>
      <c r="E10" s="90"/>
      <c r="F10" s="90"/>
      <c r="G10" s="91"/>
      <c r="H10" s="23"/>
      <c r="I10" s="23"/>
      <c r="J10" s="21"/>
      <c r="K10" s="23"/>
      <c r="L10" s="23"/>
      <c r="M10" s="76"/>
      <c r="P10" s="10"/>
    </row>
    <row r="11" spans="1:16" s="1" customFormat="1" ht="14.1" customHeight="1">
      <c r="A11" s="182">
        <v>5</v>
      </c>
      <c r="B11" s="49" t="s">
        <v>123</v>
      </c>
      <c r="C11" s="50"/>
      <c r="D11" s="67"/>
      <c r="E11" s="68"/>
      <c r="F11" s="68"/>
      <c r="G11" s="69"/>
      <c r="H11" s="51">
        <f>SUM(I11)-4</f>
        <v>50</v>
      </c>
      <c r="I11" s="51">
        <f>SUM(J11)-4</f>
        <v>54</v>
      </c>
      <c r="J11" s="100">
        <v>58</v>
      </c>
      <c r="K11" s="47">
        <f>SUM(J11)+4</f>
        <v>62</v>
      </c>
      <c r="L11" s="47">
        <f>SUM(K11)+4</f>
        <v>66</v>
      </c>
      <c r="M11" s="104">
        <f>SUM(L11)+4</f>
        <v>70</v>
      </c>
    </row>
    <row r="12" spans="1:16" s="1" customFormat="1" ht="14.1" customHeight="1">
      <c r="A12" s="184"/>
      <c r="B12" s="77" t="s">
        <v>124</v>
      </c>
      <c r="C12" s="78"/>
      <c r="D12" s="79"/>
      <c r="E12" s="80"/>
      <c r="F12" s="80"/>
      <c r="G12" s="81"/>
      <c r="H12" s="23"/>
      <c r="I12" s="23"/>
      <c r="J12" s="21"/>
      <c r="K12" s="23"/>
      <c r="L12" s="23"/>
      <c r="M12" s="76"/>
    </row>
    <row r="13" spans="1:16" s="1" customFormat="1" ht="14.1" customHeight="1">
      <c r="A13" s="182">
        <v>6</v>
      </c>
      <c r="B13" s="49" t="s">
        <v>119</v>
      </c>
      <c r="C13" s="50"/>
      <c r="D13" s="96" t="s">
        <v>73</v>
      </c>
      <c r="E13" s="97"/>
      <c r="F13" s="97"/>
      <c r="G13" s="98"/>
      <c r="H13" s="51">
        <f>SUM(I13)-2.5</f>
        <v>24</v>
      </c>
      <c r="I13" s="51">
        <f>SUM(J13)-2.5</f>
        <v>26.5</v>
      </c>
      <c r="J13" s="100">
        <v>29</v>
      </c>
      <c r="K13" s="47">
        <f>SUM(J13)+2.5</f>
        <v>31.5</v>
      </c>
      <c r="L13" s="47">
        <f>SUM(K13)+2.5</f>
        <v>34</v>
      </c>
      <c r="M13" s="104">
        <f>SUM(L13)+2.5</f>
        <v>36.5</v>
      </c>
    </row>
    <row r="14" spans="1:16" s="1" customFormat="1" ht="14.1" customHeight="1">
      <c r="A14" s="184"/>
      <c r="B14" s="23" t="s">
        <v>118</v>
      </c>
      <c r="C14" s="23"/>
      <c r="D14" s="89" t="s">
        <v>117</v>
      </c>
      <c r="E14" s="90"/>
      <c r="F14" s="90"/>
      <c r="G14" s="91"/>
      <c r="H14" s="23"/>
      <c r="I14" s="23"/>
      <c r="J14" s="21"/>
      <c r="K14" s="23"/>
      <c r="L14" s="23"/>
      <c r="M14" s="76"/>
    </row>
    <row r="15" spans="1:16" s="1" customFormat="1" ht="14.1" customHeight="1">
      <c r="A15" s="201">
        <v>7</v>
      </c>
      <c r="B15" s="56" t="s">
        <v>43</v>
      </c>
      <c r="C15" s="56"/>
      <c r="D15" s="55" t="s">
        <v>8</v>
      </c>
      <c r="E15" s="55"/>
      <c r="F15" s="55"/>
      <c r="G15" s="55"/>
      <c r="H15" s="51">
        <f>SUM(I15)-3.4</f>
        <v>43.2</v>
      </c>
      <c r="I15" s="51">
        <f>SUM(J15)-3.4</f>
        <v>46.6</v>
      </c>
      <c r="J15" s="60">
        <v>50</v>
      </c>
      <c r="K15" s="51">
        <f>SUM(J15)+3.4</f>
        <v>53.4</v>
      </c>
      <c r="L15" s="51">
        <f>SUM(K15)+3.4</f>
        <v>56.8</v>
      </c>
      <c r="M15" s="75">
        <f>SUM(L15)+3.4</f>
        <v>60.199999999999996</v>
      </c>
    </row>
    <row r="16" spans="1:16" s="1" customFormat="1" ht="14.1" customHeight="1">
      <c r="A16" s="182"/>
      <c r="B16" s="52" t="s">
        <v>25</v>
      </c>
      <c r="C16" s="52"/>
      <c r="D16" s="36" t="s">
        <v>46</v>
      </c>
      <c r="E16" s="37"/>
      <c r="F16" s="37"/>
      <c r="G16" s="38"/>
      <c r="H16" s="23"/>
      <c r="I16" s="23"/>
      <c r="J16" s="21"/>
      <c r="K16" s="23"/>
      <c r="L16" s="23"/>
      <c r="M16" s="76"/>
    </row>
    <row r="17" spans="1:13" s="1" customFormat="1" ht="14.1" customHeight="1">
      <c r="A17" s="201">
        <v>8</v>
      </c>
      <c r="B17" s="56" t="s">
        <v>342</v>
      </c>
      <c r="C17" s="56"/>
      <c r="D17" s="96"/>
      <c r="E17" s="97"/>
      <c r="F17" s="97"/>
      <c r="G17" s="98"/>
      <c r="H17" s="51">
        <f>SUM(I17)</f>
        <v>3</v>
      </c>
      <c r="I17" s="51">
        <f>SUM(J17)</f>
        <v>3</v>
      </c>
      <c r="J17" s="60">
        <v>3</v>
      </c>
      <c r="K17" s="51">
        <f>SUM(J17)+0.5</f>
        <v>3.5</v>
      </c>
      <c r="L17" s="51">
        <f>SUM(K17)</f>
        <v>3.5</v>
      </c>
      <c r="M17" s="75">
        <f>SUM(L17)</f>
        <v>3.5</v>
      </c>
    </row>
    <row r="18" spans="1:13" s="1" customFormat="1" ht="14.1" customHeight="1">
      <c r="A18" s="184"/>
      <c r="B18" s="105" t="s">
        <v>851</v>
      </c>
      <c r="C18" s="105"/>
      <c r="D18" s="233"/>
      <c r="E18" s="234"/>
      <c r="F18" s="234"/>
      <c r="G18" s="235"/>
      <c r="H18" s="47"/>
      <c r="I18" s="47"/>
      <c r="J18" s="100"/>
      <c r="K18" s="47"/>
      <c r="L18" s="47"/>
      <c r="M18" s="104"/>
    </row>
    <row r="19" spans="1:13" s="1" customFormat="1" ht="14.1" customHeight="1">
      <c r="A19" s="182">
        <v>9</v>
      </c>
      <c r="B19" s="49" t="s">
        <v>471</v>
      </c>
      <c r="C19" s="50"/>
      <c r="D19" s="57"/>
      <c r="E19" s="58"/>
      <c r="F19" s="58"/>
      <c r="G19" s="59"/>
      <c r="H19" s="51">
        <f>SUM(I19)-0.5</f>
        <v>7</v>
      </c>
      <c r="I19" s="51">
        <f>SUM(J19)-0.5</f>
        <v>7.5</v>
      </c>
      <c r="J19" s="60">
        <v>8</v>
      </c>
      <c r="K19" s="51">
        <f>SUM(J19)+0.5</f>
        <v>8.5</v>
      </c>
      <c r="L19" s="51">
        <f>SUM(K19)+0.5</f>
        <v>9</v>
      </c>
      <c r="M19" s="75">
        <f>SUM(L19)+0.5</f>
        <v>9.5</v>
      </c>
    </row>
    <row r="20" spans="1:13" s="1" customFormat="1" ht="14.1" customHeight="1">
      <c r="A20" s="184"/>
      <c r="B20" s="77" t="s">
        <v>829</v>
      </c>
      <c r="C20" s="78"/>
      <c r="D20" s="139"/>
      <c r="E20" s="140"/>
      <c r="F20" s="140"/>
      <c r="G20" s="141"/>
      <c r="H20" s="23"/>
      <c r="I20" s="23"/>
      <c r="J20" s="21"/>
      <c r="K20" s="23"/>
      <c r="L20" s="23"/>
      <c r="M20" s="76"/>
    </row>
    <row r="21" spans="1:13" s="1" customFormat="1" ht="14.1" customHeight="1">
      <c r="A21" s="182">
        <v>10</v>
      </c>
      <c r="B21" s="56"/>
      <c r="C21" s="56"/>
      <c r="D21" s="55"/>
      <c r="E21" s="55"/>
      <c r="F21" s="55"/>
      <c r="G21" s="55"/>
      <c r="H21" s="51"/>
      <c r="I21" s="51"/>
      <c r="J21" s="60"/>
      <c r="K21" s="51"/>
      <c r="L21" s="51"/>
      <c r="M21" s="75"/>
    </row>
    <row r="22" spans="1:13" s="1" customFormat="1" ht="14.1" customHeight="1">
      <c r="A22" s="184"/>
      <c r="B22" s="52"/>
      <c r="C22" s="52"/>
      <c r="D22" s="36"/>
      <c r="E22" s="37"/>
      <c r="F22" s="37"/>
      <c r="G22" s="38"/>
      <c r="H22" s="23"/>
      <c r="I22" s="23"/>
      <c r="J22" s="21"/>
      <c r="K22" s="23"/>
      <c r="L22" s="23"/>
      <c r="M22" s="76"/>
    </row>
    <row r="23" spans="1:13" s="1" customFormat="1" ht="14.1" customHeight="1">
      <c r="A23" s="182">
        <v>11</v>
      </c>
      <c r="B23" s="49"/>
      <c r="C23" s="50"/>
      <c r="D23" s="57"/>
      <c r="E23" s="58"/>
      <c r="F23" s="58"/>
      <c r="G23" s="59"/>
      <c r="H23" s="51"/>
      <c r="I23" s="51"/>
      <c r="J23" s="60"/>
      <c r="K23" s="51"/>
      <c r="L23" s="51"/>
      <c r="M23" s="75"/>
    </row>
    <row r="24" spans="1:13" s="1" customFormat="1" ht="14.1" customHeight="1">
      <c r="A24" s="184"/>
      <c r="B24" s="77"/>
      <c r="C24" s="78"/>
      <c r="D24" s="36"/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182">
        <v>12</v>
      </c>
      <c r="B25" s="49"/>
      <c r="C25" s="50"/>
      <c r="D25" s="57"/>
      <c r="E25" s="58"/>
      <c r="F25" s="58"/>
      <c r="G25" s="59"/>
      <c r="H25" s="51"/>
      <c r="I25" s="51"/>
      <c r="J25" s="60"/>
      <c r="K25" s="51"/>
      <c r="L25" s="51"/>
      <c r="M25" s="75"/>
    </row>
    <row r="26" spans="1:13" s="1" customFormat="1" ht="14.1" customHeight="1">
      <c r="A26" s="184"/>
      <c r="B26" s="77"/>
      <c r="C26" s="78"/>
      <c r="D26" s="79"/>
      <c r="E26" s="80"/>
      <c r="F26" s="80"/>
      <c r="G26" s="81"/>
      <c r="H26" s="23"/>
      <c r="I26" s="23"/>
      <c r="J26" s="21"/>
      <c r="K26" s="23"/>
      <c r="L26" s="23"/>
      <c r="M26" s="76"/>
    </row>
    <row r="27" spans="1:13" s="1" customFormat="1" ht="14.1" customHeight="1">
      <c r="A27" s="182">
        <v>13</v>
      </c>
      <c r="B27" s="49"/>
      <c r="C27" s="50"/>
      <c r="D27" s="57"/>
      <c r="E27" s="58"/>
      <c r="F27" s="58"/>
      <c r="G27" s="59"/>
      <c r="H27" s="51"/>
      <c r="I27" s="51"/>
      <c r="J27" s="60"/>
      <c r="K27" s="51"/>
      <c r="L27" s="51"/>
      <c r="M27" s="75"/>
    </row>
    <row r="28" spans="1:13" s="1" customFormat="1" ht="14.1" customHeight="1" thickBot="1">
      <c r="A28" s="183"/>
      <c r="B28" s="177"/>
      <c r="C28" s="178"/>
      <c r="D28" s="199"/>
      <c r="E28" s="180"/>
      <c r="F28" s="180"/>
      <c r="G28" s="181"/>
      <c r="H28" s="48"/>
      <c r="I28" s="48"/>
      <c r="J28" s="110"/>
      <c r="K28" s="48"/>
      <c r="L28" s="48"/>
      <c r="M28" s="109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2A4C-A587-445D-AC05-86DE16088A89}">
  <sheetPr>
    <tabColor theme="5"/>
    <pageSetUpPr fitToPage="1"/>
  </sheetPr>
  <dimension ref="A1:O51"/>
  <sheetViews>
    <sheetView zoomScale="110" zoomScaleNormal="110" workbookViewId="0">
      <selection activeCell="R15" sqref="R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270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5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17" t="s">
        <v>239</v>
      </c>
    </row>
    <row r="3" spans="1:15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87">
        <f>SUM(I3)-3.5</f>
        <v>37.4</v>
      </c>
      <c r="I3" s="51">
        <f>SUM(J3)-3.5</f>
        <v>40.9</v>
      </c>
      <c r="J3" s="114">
        <v>44.4</v>
      </c>
      <c r="K3" s="168">
        <f>SUM(J3)+3</f>
        <v>47.4</v>
      </c>
      <c r="L3" s="168">
        <f>SUM(K3)+3</f>
        <v>50.4</v>
      </c>
      <c r="M3" s="168">
        <f>SUM(L3)+3</f>
        <v>53.4</v>
      </c>
      <c r="N3" s="251">
        <f>SUM(M3)+3</f>
        <v>56.4</v>
      </c>
    </row>
    <row r="4" spans="1:15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86"/>
      <c r="I4" s="23"/>
      <c r="J4" s="60"/>
      <c r="K4" s="51"/>
      <c r="L4" s="51"/>
      <c r="M4" s="51"/>
      <c r="N4" s="123"/>
    </row>
    <row r="5" spans="1:15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87">
        <f>SUM(I5)-2.2</f>
        <v>43.599999999999994</v>
      </c>
      <c r="I5" s="51">
        <f>SUM(J5)-2.2</f>
        <v>45.8</v>
      </c>
      <c r="J5" s="60">
        <v>48</v>
      </c>
      <c r="K5" s="51">
        <f>SUM(J5)+2</f>
        <v>50</v>
      </c>
      <c r="L5" s="51">
        <f t="shared" ref="L5:N5" si="0">SUM(K5)+2</f>
        <v>52</v>
      </c>
      <c r="M5" s="51">
        <f t="shared" si="0"/>
        <v>54</v>
      </c>
      <c r="N5" s="75">
        <f t="shared" si="0"/>
        <v>56</v>
      </c>
    </row>
    <row r="6" spans="1:15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86"/>
      <c r="I6" s="23"/>
      <c r="J6" s="21"/>
      <c r="K6" s="23"/>
      <c r="L6" s="23"/>
      <c r="M6" s="23"/>
      <c r="N6" s="76"/>
    </row>
    <row r="7" spans="1:15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87">
        <f>SUM(I7)-2.25</f>
        <v>43.5</v>
      </c>
      <c r="I7" s="51">
        <f>SUM(J7)-2.25</f>
        <v>45.75</v>
      </c>
      <c r="J7" s="60">
        <v>48</v>
      </c>
      <c r="K7" s="51">
        <f>SUM(J7)+2</f>
        <v>50</v>
      </c>
      <c r="L7" s="51">
        <f>SUM(K7)+2</f>
        <v>52</v>
      </c>
      <c r="M7" s="51">
        <f>SUM(L7)+2</f>
        <v>54</v>
      </c>
      <c r="N7" s="123">
        <f>SUM(M7)+2</f>
        <v>56</v>
      </c>
    </row>
    <row r="8" spans="1:15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86"/>
      <c r="I8" s="23"/>
      <c r="J8" s="21"/>
      <c r="K8" s="23"/>
      <c r="L8" s="23"/>
      <c r="M8" s="23"/>
      <c r="N8" s="125"/>
    </row>
    <row r="9" spans="1:15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87">
        <f>SUM(I9)-1.6</f>
        <v>30.799999999999997</v>
      </c>
      <c r="I9" s="51">
        <f>SUM(J9)-1.6</f>
        <v>32.4</v>
      </c>
      <c r="J9" s="60">
        <v>34</v>
      </c>
      <c r="K9" s="51">
        <f>SUM(J9)+1.4</f>
        <v>35.4</v>
      </c>
      <c r="L9" s="51">
        <f t="shared" ref="L9:N9" si="1">SUM(K9)+1.4</f>
        <v>36.799999999999997</v>
      </c>
      <c r="M9" s="51">
        <f t="shared" si="1"/>
        <v>38.199999999999996</v>
      </c>
      <c r="N9" s="75">
        <f t="shared" si="1"/>
        <v>39.599999999999994</v>
      </c>
      <c r="O9" s="1" t="s">
        <v>173</v>
      </c>
    </row>
    <row r="10" spans="1:15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86"/>
      <c r="I10" s="23"/>
      <c r="J10" s="21"/>
      <c r="K10" s="23"/>
      <c r="L10" s="23"/>
      <c r="M10" s="23"/>
      <c r="N10" s="76"/>
    </row>
    <row r="11" spans="1:15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17.5</v>
      </c>
      <c r="I11" s="51">
        <f>SUM(J11)-0.8</f>
        <v>18.3</v>
      </c>
      <c r="J11" s="39">
        <v>19.100000000000001</v>
      </c>
      <c r="K11" s="32">
        <f>SUM(J11)+0.8</f>
        <v>19.900000000000002</v>
      </c>
      <c r="L11" s="32">
        <f>SUM(K11)+0.8</f>
        <v>20.700000000000003</v>
      </c>
      <c r="M11" s="32">
        <f>SUM(L11)+0.8</f>
        <v>21.500000000000004</v>
      </c>
      <c r="N11" s="126">
        <f>SUM(M11)+0.8</f>
        <v>22.300000000000004</v>
      </c>
    </row>
    <row r="12" spans="1:15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23"/>
      <c r="J12" s="39"/>
      <c r="K12" s="32"/>
      <c r="L12" s="32"/>
      <c r="M12" s="32"/>
      <c r="N12" s="126"/>
    </row>
    <row r="13" spans="1:15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87">
        <f>SUM(I13)-0.6</f>
        <v>12.8</v>
      </c>
      <c r="I13" s="51">
        <f>SUM(J13)-0.6</f>
        <v>13.4</v>
      </c>
      <c r="J13" s="39">
        <v>14</v>
      </c>
      <c r="K13" s="32">
        <f>SUM(J13)+0.6</f>
        <v>14.6</v>
      </c>
      <c r="L13" s="32">
        <f>SUM(K13)+0.6</f>
        <v>15.2</v>
      </c>
      <c r="M13" s="32">
        <f>SUM(L13)+0.6</f>
        <v>15.799999999999999</v>
      </c>
      <c r="N13" s="126">
        <f>SUM(M13)+0.6</f>
        <v>16.399999999999999</v>
      </c>
    </row>
    <row r="14" spans="1:15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86"/>
      <c r="I14" s="23"/>
      <c r="J14" s="39"/>
      <c r="K14" s="32"/>
      <c r="L14" s="32"/>
      <c r="M14" s="32"/>
      <c r="N14" s="126"/>
    </row>
    <row r="15" spans="1:15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87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32">
        <f>SUM(L15)+0.3</f>
        <v>7.3</v>
      </c>
      <c r="N15" s="126">
        <f>SUM(M15)+0.3</f>
        <v>7.6</v>
      </c>
    </row>
    <row r="16" spans="1:15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86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87">
        <f>SUM(I17)-1.6</f>
        <v>37.799999999999997</v>
      </c>
      <c r="I17" s="51">
        <f>SUM(J17)-1.6</f>
        <v>39.4</v>
      </c>
      <c r="J17" s="39">
        <v>41</v>
      </c>
      <c r="K17" s="32">
        <f>SUM(J17)+1.6</f>
        <v>42.6</v>
      </c>
      <c r="L17" s="32">
        <f>SUM(K17)+1.6</f>
        <v>44.2</v>
      </c>
      <c r="M17" s="32">
        <f>SUM(L17)+1.6</f>
        <v>45.800000000000004</v>
      </c>
      <c r="N17" s="126">
        <f>SUM(M17)+1.6</f>
        <v>47.400000000000006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86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SUM(I19)-3.4</f>
        <v>23.200000000000003</v>
      </c>
      <c r="I19" s="51">
        <f>SUM(J19)-3.4</f>
        <v>26.6</v>
      </c>
      <c r="J19" s="39">
        <v>30</v>
      </c>
      <c r="K19" s="32">
        <f>SUM(J19)+3.5</f>
        <v>33.5</v>
      </c>
      <c r="L19" s="32">
        <f t="shared" ref="L19:N19" si="2">SUM(K19)+3.5</f>
        <v>37</v>
      </c>
      <c r="M19" s="32">
        <f t="shared" si="2"/>
        <v>40.5</v>
      </c>
      <c r="N19" s="82">
        <f t="shared" si="2"/>
        <v>44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87">
        <f>SUM(I21)-1.5</f>
        <v>34</v>
      </c>
      <c r="I21" s="51">
        <f>SUM(J21)-1.5</f>
        <v>35.5</v>
      </c>
      <c r="J21" s="39">
        <v>37</v>
      </c>
      <c r="K21" s="32">
        <f>SUM(J21)+1.5</f>
        <v>38.5</v>
      </c>
      <c r="L21" s="32">
        <f t="shared" ref="L21:M21" si="3">SUM(K21)+1.5</f>
        <v>40</v>
      </c>
      <c r="M21" s="32">
        <f t="shared" si="3"/>
        <v>41.5</v>
      </c>
      <c r="N21" s="82">
        <f t="shared" ref="N21" si="4">SUM(M21)+1.5</f>
        <v>43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86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87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32">
        <f>SUM(L23)+0.6</f>
        <v>17</v>
      </c>
      <c r="N23" s="126">
        <f>SUM(M23)+0.6</f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86"/>
      <c r="I24" s="23"/>
      <c r="J24" s="39"/>
      <c r="K24" s="32"/>
      <c r="L24" s="32"/>
      <c r="M24" s="32"/>
      <c r="N24" s="126"/>
    </row>
    <row r="25" spans="1:14" s="1" customFormat="1" ht="14.1" customHeight="1">
      <c r="A25" s="40">
        <v>12</v>
      </c>
      <c r="B25" s="49" t="s">
        <v>262</v>
      </c>
      <c r="C25" s="50"/>
      <c r="D25" s="93"/>
      <c r="E25" s="94"/>
      <c r="F25" s="94"/>
      <c r="G25" s="95"/>
      <c r="H25" s="87">
        <f>SUM(I25)-0.2</f>
        <v>5.3</v>
      </c>
      <c r="I25" s="51">
        <f>SUM(J25)-0.2</f>
        <v>5.5</v>
      </c>
      <c r="J25" s="39">
        <v>5.7</v>
      </c>
      <c r="K25" s="32">
        <f>SUM(J25)+0.2</f>
        <v>5.9</v>
      </c>
      <c r="L25" s="32">
        <f t="shared" ref="L25:N25" si="5">SUM(K25)+0.2</f>
        <v>6.1000000000000005</v>
      </c>
      <c r="M25" s="32">
        <f t="shared" si="5"/>
        <v>6.3000000000000007</v>
      </c>
      <c r="N25" s="82">
        <f t="shared" si="5"/>
        <v>6.5000000000000009</v>
      </c>
    </row>
    <row r="26" spans="1:14" s="1" customFormat="1" ht="14.1" customHeight="1">
      <c r="A26" s="40"/>
      <c r="B26" s="34" t="s">
        <v>263</v>
      </c>
      <c r="C26" s="35"/>
      <c r="D26" s="36" t="s">
        <v>264</v>
      </c>
      <c r="E26" s="37"/>
      <c r="F26" s="37"/>
      <c r="G26" s="38"/>
      <c r="H26" s="86"/>
      <c r="I26" s="23"/>
      <c r="J26" s="39"/>
      <c r="K26" s="32"/>
      <c r="L26" s="32"/>
      <c r="M26" s="32"/>
      <c r="N26" s="82"/>
    </row>
    <row r="27" spans="1:14" s="1" customFormat="1" ht="14.1" customHeight="1">
      <c r="A27" s="40">
        <v>13</v>
      </c>
      <c r="B27" s="49" t="s">
        <v>265</v>
      </c>
      <c r="C27" s="50"/>
      <c r="D27" s="93"/>
      <c r="E27" s="94"/>
      <c r="F27" s="94"/>
      <c r="G27" s="95"/>
      <c r="H27" s="87">
        <f>SUM(I27)-0.3</f>
        <v>5.4</v>
      </c>
      <c r="I27" s="51">
        <f>SUM(J27)-0.3</f>
        <v>5.7</v>
      </c>
      <c r="J27" s="39">
        <v>6</v>
      </c>
      <c r="K27" s="32">
        <f>SUM(J27)+0.3</f>
        <v>6.3</v>
      </c>
      <c r="L27" s="32">
        <f t="shared" ref="L27:N27" si="6">SUM(K27)+0.3</f>
        <v>6.6</v>
      </c>
      <c r="M27" s="32">
        <f t="shared" si="6"/>
        <v>6.8999999999999995</v>
      </c>
      <c r="N27" s="82">
        <f t="shared" si="6"/>
        <v>7.1999999999999993</v>
      </c>
    </row>
    <row r="28" spans="1:14" s="1" customFormat="1" ht="14.1" customHeight="1">
      <c r="A28" s="40"/>
      <c r="B28" s="34" t="s">
        <v>266</v>
      </c>
      <c r="C28" s="35"/>
      <c r="D28" s="36" t="s">
        <v>267</v>
      </c>
      <c r="E28" s="37"/>
      <c r="F28" s="37"/>
      <c r="G28" s="38"/>
      <c r="H28" s="86"/>
      <c r="I28" s="23"/>
      <c r="J28" s="39"/>
      <c r="K28" s="32"/>
      <c r="L28" s="32"/>
      <c r="M28" s="32"/>
      <c r="N28" s="82"/>
    </row>
    <row r="29" spans="1:14" s="1" customFormat="1" ht="14.1" customHeight="1">
      <c r="A29" s="40">
        <v>14</v>
      </c>
      <c r="B29" s="49" t="s">
        <v>141</v>
      </c>
      <c r="C29" s="50"/>
      <c r="D29" s="93"/>
      <c r="E29" s="94"/>
      <c r="F29" s="94"/>
      <c r="G29" s="95"/>
      <c r="H29" s="87">
        <f>SUM(I29)-0.5</f>
        <v>6.5</v>
      </c>
      <c r="I29" s="51">
        <f>SUM(J29)-0.5</f>
        <v>7</v>
      </c>
      <c r="J29" s="39">
        <v>7.5</v>
      </c>
      <c r="K29" s="32">
        <f>SUM(J29)+0.4</f>
        <v>7.9</v>
      </c>
      <c r="L29" s="32">
        <f t="shared" ref="L29:N29" si="7">SUM(K29)+0.4</f>
        <v>8.3000000000000007</v>
      </c>
      <c r="M29" s="32">
        <f t="shared" si="7"/>
        <v>8.7000000000000011</v>
      </c>
      <c r="N29" s="82">
        <f t="shared" si="7"/>
        <v>9.1000000000000014</v>
      </c>
    </row>
    <row r="30" spans="1:14" s="1" customFormat="1" ht="14.1" customHeight="1">
      <c r="A30" s="40"/>
      <c r="B30" s="34" t="s">
        <v>140</v>
      </c>
      <c r="C30" s="35"/>
      <c r="D30" s="36" t="s">
        <v>268</v>
      </c>
      <c r="E30" s="37"/>
      <c r="F30" s="37"/>
      <c r="G30" s="38"/>
      <c r="H30" s="86"/>
      <c r="I30" s="23"/>
      <c r="J30" s="60"/>
      <c r="K30" s="32"/>
      <c r="L30" s="32"/>
      <c r="M30" s="32"/>
      <c r="N30" s="82"/>
    </row>
    <row r="31" spans="1:14" ht="13.5" customHeight="1">
      <c r="A31" s="40">
        <v>15</v>
      </c>
      <c r="B31" s="53" t="s">
        <v>139</v>
      </c>
      <c r="C31" s="54"/>
      <c r="D31" s="44"/>
      <c r="E31" s="45"/>
      <c r="F31" s="45"/>
      <c r="G31" s="46"/>
      <c r="H31" s="87">
        <f>SUM(I31)-0.2</f>
        <v>2.0999999999999996</v>
      </c>
      <c r="I31" s="51">
        <f>SUM(J31)-0.2</f>
        <v>2.2999999999999998</v>
      </c>
      <c r="J31" s="39">
        <v>2.5</v>
      </c>
      <c r="K31" s="32">
        <f>SUM(J31)+0.2</f>
        <v>2.7</v>
      </c>
      <c r="L31" s="32">
        <f t="shared" ref="L31:N31" si="8">SUM(K31)+0.2</f>
        <v>2.9000000000000004</v>
      </c>
      <c r="M31" s="32">
        <f t="shared" si="8"/>
        <v>3.1000000000000005</v>
      </c>
      <c r="N31" s="82">
        <f t="shared" si="8"/>
        <v>3.3000000000000007</v>
      </c>
    </row>
    <row r="32" spans="1:14" ht="14.1" customHeight="1" thickBot="1">
      <c r="A32" s="41"/>
      <c r="B32" s="27" t="s">
        <v>138</v>
      </c>
      <c r="C32" s="28"/>
      <c r="D32" s="29" t="s">
        <v>269</v>
      </c>
      <c r="E32" s="30"/>
      <c r="F32" s="30"/>
      <c r="G32" s="31"/>
      <c r="H32" s="176"/>
      <c r="I32" s="48"/>
      <c r="J32" s="22"/>
      <c r="K32" s="24"/>
      <c r="L32" s="24"/>
      <c r="M32" s="24"/>
      <c r="N32" s="92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83"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15F2-101E-4E68-A55C-52125AFE8B64}">
  <sheetPr>
    <tabColor theme="5"/>
    <pageSetUpPr fitToPage="1"/>
  </sheetPr>
  <dimension ref="A1:R51"/>
  <sheetViews>
    <sheetView topLeftCell="A4" zoomScale="110" zoomScaleNormal="110" workbookViewId="0">
      <selection activeCell="B29" sqref="B29:N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62" t="s">
        <v>572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8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17" t="s">
        <v>239</v>
      </c>
    </row>
    <row r="3" spans="1:18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40.200000000000003</v>
      </c>
      <c r="I3" s="51">
        <f>SUM(J3)-3.4</f>
        <v>43.6</v>
      </c>
      <c r="J3" s="114">
        <v>47</v>
      </c>
      <c r="K3" s="168">
        <f>SUM(J3)+2.9</f>
        <v>49.9</v>
      </c>
      <c r="L3" s="168">
        <f t="shared" ref="L3:N3" si="0">SUM(K3)+2.9</f>
        <v>52.8</v>
      </c>
      <c r="M3" s="168">
        <f t="shared" si="0"/>
        <v>55.699999999999996</v>
      </c>
      <c r="N3" s="169">
        <f t="shared" si="0"/>
        <v>58.599999999999994</v>
      </c>
    </row>
    <row r="4" spans="1:18" s="1" customFormat="1" ht="14.1" customHeight="1">
      <c r="A4" s="40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60"/>
      <c r="K4" s="51"/>
      <c r="L4" s="51"/>
      <c r="M4" s="51"/>
      <c r="N4" s="75"/>
    </row>
    <row r="5" spans="1:18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32</v>
      </c>
      <c r="I5" s="51">
        <f>SUM(J5)-2</f>
        <v>34</v>
      </c>
      <c r="J5" s="60">
        <v>36</v>
      </c>
      <c r="K5" s="51">
        <f>SUM(J5)+1.8</f>
        <v>37.799999999999997</v>
      </c>
      <c r="L5" s="51">
        <f t="shared" ref="L5:N5" si="1">SUM(K5)+1.8</f>
        <v>39.599999999999994</v>
      </c>
      <c r="M5" s="51">
        <f t="shared" si="1"/>
        <v>41.399999999999991</v>
      </c>
      <c r="N5" s="75">
        <f t="shared" si="1"/>
        <v>43.199999999999989</v>
      </c>
    </row>
    <row r="6" spans="1:18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8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33.5</v>
      </c>
      <c r="I7" s="51">
        <f>SUM(J7)-2.25</f>
        <v>35.75</v>
      </c>
      <c r="J7" s="60">
        <v>38</v>
      </c>
      <c r="K7" s="51">
        <f>SUM(J7)+2</f>
        <v>40</v>
      </c>
      <c r="L7" s="51">
        <f t="shared" ref="L7:M7" si="2">SUM(K7)+2</f>
        <v>42</v>
      </c>
      <c r="M7" s="51">
        <f t="shared" si="2"/>
        <v>44</v>
      </c>
      <c r="N7" s="75">
        <f t="shared" ref="N7" si="3">SUM(M7)+2</f>
        <v>46</v>
      </c>
    </row>
    <row r="8" spans="1:18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8" s="1" customFormat="1" ht="14.1" customHeight="1">
      <c r="A9" s="40">
        <v>4</v>
      </c>
      <c r="B9" s="56" t="s">
        <v>461</v>
      </c>
      <c r="C9" s="56"/>
      <c r="D9" s="55" t="s">
        <v>573</v>
      </c>
      <c r="E9" s="55"/>
      <c r="F9" s="55"/>
      <c r="G9" s="55"/>
      <c r="H9" s="51">
        <f>SUM(I9)-2</f>
        <v>31</v>
      </c>
      <c r="I9" s="51">
        <f>SUM(J9)-2</f>
        <v>33</v>
      </c>
      <c r="J9" s="60">
        <v>35</v>
      </c>
      <c r="K9" s="51">
        <f>SUM(J9)+1.8</f>
        <v>36.799999999999997</v>
      </c>
      <c r="L9" s="51">
        <f t="shared" ref="L9:N9" si="4">SUM(K9)+1.8</f>
        <v>38.599999999999994</v>
      </c>
      <c r="M9" s="51">
        <f t="shared" si="4"/>
        <v>40.399999999999991</v>
      </c>
      <c r="N9" s="75">
        <f t="shared" si="4"/>
        <v>42.199999999999989</v>
      </c>
      <c r="O9" s="1" t="s">
        <v>173</v>
      </c>
    </row>
    <row r="10" spans="1:18" s="1" customFormat="1" ht="14.1" customHeight="1">
      <c r="A10" s="40"/>
      <c r="B10" s="52" t="s">
        <v>574</v>
      </c>
      <c r="C10" s="52"/>
      <c r="D10" s="36" t="s">
        <v>575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8" s="1" customFormat="1" ht="14.1" customHeight="1">
      <c r="A11" s="40">
        <v>5</v>
      </c>
      <c r="B11" s="56" t="s">
        <v>576</v>
      </c>
      <c r="C11" s="56"/>
      <c r="D11" s="55"/>
      <c r="E11" s="55"/>
      <c r="F11" s="55"/>
      <c r="G11" s="55"/>
      <c r="H11" s="51">
        <f>SUM(I11)-1.8</f>
        <v>28.4</v>
      </c>
      <c r="I11" s="51">
        <f>SUM(J11)-1.8</f>
        <v>30.2</v>
      </c>
      <c r="J11" s="60">
        <v>32</v>
      </c>
      <c r="K11" s="51">
        <f>SUM(J11)+1.6</f>
        <v>33.6</v>
      </c>
      <c r="L11" s="51">
        <f t="shared" ref="L11:N11" si="5">SUM(K11)+1.6</f>
        <v>35.200000000000003</v>
      </c>
      <c r="M11" s="51">
        <f t="shared" si="5"/>
        <v>36.800000000000004</v>
      </c>
      <c r="N11" s="75">
        <f t="shared" si="5"/>
        <v>38.400000000000006</v>
      </c>
    </row>
    <row r="12" spans="1:18" s="1" customFormat="1" ht="14.1" customHeight="1">
      <c r="A12" s="40"/>
      <c r="B12" s="52" t="s">
        <v>577</v>
      </c>
      <c r="C12" s="52"/>
      <c r="D12" s="36" t="s">
        <v>578</v>
      </c>
      <c r="E12" s="37"/>
      <c r="F12" s="37"/>
      <c r="G12" s="38"/>
      <c r="H12" s="23"/>
      <c r="I12" s="23"/>
      <c r="J12" s="21"/>
      <c r="K12" s="23"/>
      <c r="L12" s="23"/>
      <c r="M12" s="23"/>
      <c r="N12" s="76"/>
    </row>
    <row r="13" spans="1:18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14.899999999999999</v>
      </c>
      <c r="I13" s="51">
        <f>SUM(J13)-0.8</f>
        <v>15.7</v>
      </c>
      <c r="J13" s="39">
        <v>16.5</v>
      </c>
      <c r="K13" s="32">
        <f>SUM(J13)+0.8</f>
        <v>17.3</v>
      </c>
      <c r="L13" s="32">
        <f t="shared" ref="L13:M13" si="6">SUM(K13)+0.8</f>
        <v>18.100000000000001</v>
      </c>
      <c r="M13" s="32">
        <f t="shared" si="6"/>
        <v>18.900000000000002</v>
      </c>
      <c r="N13" s="82">
        <f>SUM(M13)+0.8</f>
        <v>19.700000000000003</v>
      </c>
    </row>
    <row r="14" spans="1:18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8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12.200000000000001</v>
      </c>
      <c r="I15" s="51">
        <f>SUM(J15)-0.6</f>
        <v>12.8</v>
      </c>
      <c r="J15" s="39">
        <v>13.4</v>
      </c>
      <c r="K15" s="32">
        <f>SUM(J15)+0.6</f>
        <v>14</v>
      </c>
      <c r="L15" s="32">
        <f t="shared" ref="L15:N15" si="7">SUM(K15)+0.6</f>
        <v>14.6</v>
      </c>
      <c r="M15" s="32">
        <f t="shared" si="7"/>
        <v>15.2</v>
      </c>
      <c r="N15" s="82">
        <f t="shared" si="7"/>
        <v>15.799999999999999</v>
      </c>
      <c r="R15" s="10" t="s">
        <v>207</v>
      </c>
    </row>
    <row r="16" spans="1:18" s="1" customFormat="1" ht="14.1" customHeight="1">
      <c r="A16" s="40"/>
      <c r="B16" s="52" t="s">
        <v>27</v>
      </c>
      <c r="C16" s="52"/>
      <c r="D16" s="36" t="s">
        <v>161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  <c r="R16" s="10">
        <f>SUM(H11+I11+J11+K11+L11+M11+N11)/7/91.44*1.08</f>
        <v>0.39583802024746906</v>
      </c>
    </row>
    <row r="17" spans="1:14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6.5</v>
      </c>
      <c r="I17" s="51">
        <f>SUM(J17)-0.3</f>
        <v>6.8</v>
      </c>
      <c r="J17" s="39">
        <v>7.1</v>
      </c>
      <c r="K17" s="32">
        <f>SUM(J17)+0.3</f>
        <v>7.3999999999999995</v>
      </c>
      <c r="L17" s="32">
        <f t="shared" ref="L17:N17" si="8">SUM(K17)+0.3</f>
        <v>7.6999999999999993</v>
      </c>
      <c r="M17" s="32">
        <f t="shared" si="8"/>
        <v>7.9999999999999991</v>
      </c>
      <c r="N17" s="82">
        <f t="shared" si="8"/>
        <v>8.2999999999999989</v>
      </c>
    </row>
    <row r="18" spans="1:14" s="1" customFormat="1" ht="14.1" customHeight="1">
      <c r="A18" s="40"/>
      <c r="B18" s="52" t="s">
        <v>28</v>
      </c>
      <c r="C18" s="52"/>
      <c r="D18" s="36" t="s">
        <v>168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49" t="s">
        <v>74</v>
      </c>
      <c r="C19" s="50"/>
      <c r="D19" s="57" t="s">
        <v>75</v>
      </c>
      <c r="E19" s="58"/>
      <c r="F19" s="58"/>
      <c r="G19" s="59"/>
      <c r="H19" s="51">
        <f>SUM(I19)-1.6</f>
        <v>33.199999999999996</v>
      </c>
      <c r="I19" s="51">
        <f>SUM(J19)-1.6</f>
        <v>34.799999999999997</v>
      </c>
      <c r="J19" s="39">
        <v>36.4</v>
      </c>
      <c r="K19" s="32">
        <f>SUM(J19)+1.6</f>
        <v>38</v>
      </c>
      <c r="L19" s="32">
        <f t="shared" ref="L19:N19" si="9">SUM(K19)+1.6</f>
        <v>39.6</v>
      </c>
      <c r="M19" s="32">
        <f t="shared" si="9"/>
        <v>41.2</v>
      </c>
      <c r="N19" s="82">
        <f t="shared" si="9"/>
        <v>42.800000000000004</v>
      </c>
    </row>
    <row r="20" spans="1:14" s="1" customFormat="1" ht="14.1" customHeight="1">
      <c r="A20" s="40"/>
      <c r="B20" s="52" t="s">
        <v>35</v>
      </c>
      <c r="C20" s="52"/>
      <c r="D20" s="36" t="s">
        <v>85</v>
      </c>
      <c r="E20" s="37"/>
      <c r="F20" s="37"/>
      <c r="G20" s="38"/>
      <c r="H20" s="23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>
        <f>SUM(I21)-3.5</f>
        <v>29</v>
      </c>
      <c r="I21" s="51">
        <f>SUM(J21)-3.5</f>
        <v>32.5</v>
      </c>
      <c r="J21" s="39">
        <v>36</v>
      </c>
      <c r="K21" s="32">
        <f>SUM(J21)+3.6</f>
        <v>39.6</v>
      </c>
      <c r="L21" s="32">
        <f t="shared" ref="L21:M21" si="10">SUM(K21)+3.6</f>
        <v>43.2</v>
      </c>
      <c r="M21" s="32">
        <f t="shared" si="10"/>
        <v>46.800000000000004</v>
      </c>
      <c r="N21" s="82">
        <f>SUM(M21)+3.6</f>
        <v>50.400000000000006</v>
      </c>
    </row>
    <row r="22" spans="1:14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>
        <f>SUM(I23)-1.5</f>
        <v>28</v>
      </c>
      <c r="I23" s="51">
        <f>SUM(J23)-1.5</f>
        <v>29.5</v>
      </c>
      <c r="J23" s="39">
        <v>31</v>
      </c>
      <c r="K23" s="32">
        <f>SUM(J23)+1.5</f>
        <v>32.5</v>
      </c>
      <c r="L23" s="32">
        <f t="shared" ref="L23:M23" si="11">SUM(K23)+1.5</f>
        <v>34</v>
      </c>
      <c r="M23" s="32">
        <f t="shared" si="11"/>
        <v>35.5</v>
      </c>
      <c r="N23" s="82">
        <f>SUM(M23)+1.5</f>
        <v>37</v>
      </c>
    </row>
    <row r="24" spans="1:14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68</v>
      </c>
      <c r="C25" s="50"/>
      <c r="D25" s="55" t="s">
        <v>69</v>
      </c>
      <c r="E25" s="55"/>
      <c r="F25" s="55"/>
      <c r="G25" s="55"/>
      <c r="H25" s="51">
        <f>SUM(I25)-1</f>
        <v>16.5</v>
      </c>
      <c r="I25" s="51">
        <f>SUM(J25)-1</f>
        <v>17.5</v>
      </c>
      <c r="J25" s="39">
        <v>18.5</v>
      </c>
      <c r="K25" s="32">
        <f>SUM(J25)+1</f>
        <v>19.5</v>
      </c>
      <c r="L25" s="32">
        <f t="shared" ref="L25:N25" si="12">SUM(K25)+1</f>
        <v>20.5</v>
      </c>
      <c r="M25" s="32">
        <f t="shared" si="12"/>
        <v>21.5</v>
      </c>
      <c r="N25" s="82">
        <f t="shared" si="12"/>
        <v>22.5</v>
      </c>
    </row>
    <row r="26" spans="1:14" s="1" customFormat="1" ht="14.1" customHeight="1">
      <c r="A26" s="40"/>
      <c r="B26" s="52" t="s">
        <v>31</v>
      </c>
      <c r="C26" s="52"/>
      <c r="D26" s="139" t="s">
        <v>301</v>
      </c>
      <c r="E26" s="140"/>
      <c r="F26" s="140"/>
      <c r="G26" s="141"/>
      <c r="H26" s="23"/>
      <c r="I26" s="23"/>
      <c r="J26" s="39"/>
      <c r="K26" s="32"/>
      <c r="L26" s="32"/>
      <c r="M26" s="32"/>
      <c r="N26" s="82"/>
    </row>
    <row r="27" spans="1:14" s="1" customFormat="1" ht="14.1" customHeight="1">
      <c r="A27" s="40">
        <v>13</v>
      </c>
      <c r="B27" s="56" t="s">
        <v>579</v>
      </c>
      <c r="C27" s="56"/>
      <c r="D27" s="55"/>
      <c r="E27" s="55"/>
      <c r="F27" s="55"/>
      <c r="G27" s="55"/>
      <c r="H27" s="51">
        <f>SUM(I27)-1.4</f>
        <v>19.000000000000004</v>
      </c>
      <c r="I27" s="51">
        <f>SUM(J27)-1.4</f>
        <v>20.400000000000002</v>
      </c>
      <c r="J27" s="39">
        <v>21.8</v>
      </c>
      <c r="K27" s="32">
        <f>SUM(J27)+0.9</f>
        <v>22.7</v>
      </c>
      <c r="L27" s="32">
        <f t="shared" ref="L27:M27" si="13">SUM(K27)+0.9</f>
        <v>23.599999999999998</v>
      </c>
      <c r="M27" s="32">
        <f t="shared" si="13"/>
        <v>24.499999999999996</v>
      </c>
      <c r="N27" s="82">
        <f>SUM(M27)+0.9</f>
        <v>25.399999999999995</v>
      </c>
    </row>
    <row r="28" spans="1:14" s="1" customFormat="1" ht="14.1" customHeight="1" thickBot="1">
      <c r="A28" s="40"/>
      <c r="B28" s="105" t="s">
        <v>389</v>
      </c>
      <c r="C28" s="105"/>
      <c r="D28" s="139" t="s">
        <v>580</v>
      </c>
      <c r="E28" s="140"/>
      <c r="F28" s="140"/>
      <c r="G28" s="141"/>
      <c r="H28" s="23"/>
      <c r="I28" s="23"/>
      <c r="J28" s="39"/>
      <c r="K28" s="32"/>
      <c r="L28" s="32"/>
      <c r="M28" s="32"/>
      <c r="N28" s="82"/>
    </row>
    <row r="29" spans="1:14" s="1" customFormat="1" ht="14.1" customHeight="1" thickTop="1">
      <c r="A29" s="155">
        <v>14</v>
      </c>
      <c r="B29" s="118" t="s">
        <v>581</v>
      </c>
      <c r="C29" s="119"/>
      <c r="D29" s="156"/>
      <c r="E29" s="156"/>
      <c r="F29" s="156"/>
      <c r="G29" s="120"/>
      <c r="H29" s="157">
        <f>SUM(I29)-1.5</f>
        <v>13</v>
      </c>
      <c r="I29" s="157">
        <f>SUM(J29)-1.5</f>
        <v>14.5</v>
      </c>
      <c r="J29" s="158">
        <v>16</v>
      </c>
      <c r="K29" s="153">
        <f>SUM(J29)+1.5</f>
        <v>17.5</v>
      </c>
      <c r="L29" s="153">
        <f t="shared" ref="L29:M29" si="14">SUM(K29)+1.5</f>
        <v>19</v>
      </c>
      <c r="M29" s="153">
        <f t="shared" si="14"/>
        <v>20.5</v>
      </c>
      <c r="N29" s="154">
        <f>SUM(M29)+1.5</f>
        <v>22</v>
      </c>
    </row>
    <row r="30" spans="1:14" s="1" customFormat="1" ht="14.1" customHeight="1">
      <c r="A30" s="40"/>
      <c r="B30" s="34" t="s">
        <v>582</v>
      </c>
      <c r="C30" s="35"/>
      <c r="D30" s="36" t="s">
        <v>583</v>
      </c>
      <c r="E30" s="37"/>
      <c r="F30" s="37"/>
      <c r="G30" s="37"/>
      <c r="H30" s="23"/>
      <c r="I30" s="23"/>
      <c r="J30" s="39"/>
      <c r="K30" s="32"/>
      <c r="L30" s="32"/>
      <c r="M30" s="32"/>
      <c r="N30" s="82"/>
    </row>
    <row r="31" spans="1:14" ht="13.5" customHeight="1">
      <c r="A31" s="40">
        <v>15</v>
      </c>
      <c r="B31" s="49" t="s">
        <v>424</v>
      </c>
      <c r="C31" s="50"/>
      <c r="D31" s="55"/>
      <c r="E31" s="55"/>
      <c r="F31" s="55"/>
      <c r="G31" s="55"/>
      <c r="H31" s="51">
        <f>SUM(I31)-1.7</f>
        <v>23.400000000000002</v>
      </c>
      <c r="I31" s="51">
        <f>SUM(J31)-1.7</f>
        <v>25.1</v>
      </c>
      <c r="J31" s="60">
        <v>26.8</v>
      </c>
      <c r="K31" s="51">
        <f>SUM(J31)+1.5</f>
        <v>28.3</v>
      </c>
      <c r="L31" s="51">
        <f t="shared" ref="L31:M31" si="15">SUM(K31)+1.5</f>
        <v>29.8</v>
      </c>
      <c r="M31" s="51">
        <f t="shared" si="15"/>
        <v>31.3</v>
      </c>
      <c r="N31" s="75">
        <f>SUM(M31)+1.5</f>
        <v>32.799999999999997</v>
      </c>
    </row>
    <row r="32" spans="1:14" ht="14.1" customHeight="1">
      <c r="A32" s="40"/>
      <c r="B32" s="52" t="s">
        <v>425</v>
      </c>
      <c r="C32" s="52"/>
      <c r="D32" s="36" t="s">
        <v>584</v>
      </c>
      <c r="E32" s="37"/>
      <c r="F32" s="37"/>
      <c r="G32" s="38"/>
      <c r="H32" s="23"/>
      <c r="I32" s="23"/>
      <c r="J32" s="21"/>
      <c r="K32" s="23"/>
      <c r="L32" s="23"/>
      <c r="M32" s="23"/>
      <c r="N32" s="76"/>
    </row>
    <row r="33" spans="1:14" ht="14.1" customHeight="1">
      <c r="A33" s="40">
        <v>16</v>
      </c>
      <c r="B33" s="56" t="s">
        <v>585</v>
      </c>
      <c r="C33" s="56"/>
      <c r="D33" s="55" t="s">
        <v>73</v>
      </c>
      <c r="E33" s="55"/>
      <c r="F33" s="55"/>
      <c r="G33" s="55"/>
      <c r="H33" s="51">
        <f>SUM(I33)-2.25</f>
        <v>30.5</v>
      </c>
      <c r="I33" s="51">
        <f>SUM(J33)-2.25</f>
        <v>32.75</v>
      </c>
      <c r="J33" s="60">
        <v>35</v>
      </c>
      <c r="K33" s="51">
        <f>SUM(J33)+2</f>
        <v>37</v>
      </c>
      <c r="L33" s="51">
        <f t="shared" ref="L33:M33" si="16">SUM(K33)+2</f>
        <v>39</v>
      </c>
      <c r="M33" s="51">
        <f t="shared" si="16"/>
        <v>41</v>
      </c>
      <c r="N33" s="75">
        <f>SUM(M33)+2</f>
        <v>43</v>
      </c>
    </row>
    <row r="34" spans="1:14" ht="14.1" customHeight="1">
      <c r="A34" s="40"/>
      <c r="B34" s="52" t="s">
        <v>586</v>
      </c>
      <c r="C34" s="52"/>
      <c r="D34" s="36" t="s">
        <v>45</v>
      </c>
      <c r="E34" s="37"/>
      <c r="F34" s="37"/>
      <c r="G34" s="38"/>
      <c r="H34" s="23"/>
      <c r="I34" s="23"/>
      <c r="J34" s="21"/>
      <c r="K34" s="23"/>
      <c r="L34" s="23"/>
      <c r="M34" s="23"/>
      <c r="N34" s="76"/>
    </row>
    <row r="35" spans="1:14" ht="14.1" customHeight="1">
      <c r="A35" s="40">
        <v>17</v>
      </c>
      <c r="B35" s="56" t="s">
        <v>524</v>
      </c>
      <c r="C35" s="56"/>
      <c r="D35" s="55"/>
      <c r="E35" s="55"/>
      <c r="F35" s="55"/>
      <c r="G35" s="55"/>
      <c r="H35" s="51">
        <f>SUM(I35)-0.5</f>
        <v>9</v>
      </c>
      <c r="I35" s="51">
        <f>SUM(J35)-0.5</f>
        <v>9.5</v>
      </c>
      <c r="J35" s="60">
        <v>10</v>
      </c>
      <c r="K35" s="51">
        <f>SUM(J35)+0.5</f>
        <v>10.5</v>
      </c>
      <c r="L35" s="51">
        <f t="shared" ref="L35:M35" si="17">SUM(K35)+0.5</f>
        <v>11</v>
      </c>
      <c r="M35" s="51">
        <f t="shared" si="17"/>
        <v>11.5</v>
      </c>
      <c r="N35" s="75">
        <f>SUM(M35)+0.5</f>
        <v>12</v>
      </c>
    </row>
    <row r="36" spans="1:14" ht="14.1" customHeight="1">
      <c r="A36" s="40"/>
      <c r="B36" s="52" t="s">
        <v>391</v>
      </c>
      <c r="C36" s="52"/>
      <c r="D36" s="36"/>
      <c r="E36" s="37"/>
      <c r="F36" s="37"/>
      <c r="G36" s="38"/>
      <c r="H36" s="23"/>
      <c r="I36" s="23"/>
      <c r="J36" s="21"/>
      <c r="K36" s="23"/>
      <c r="L36" s="23"/>
      <c r="M36" s="23"/>
      <c r="N36" s="76"/>
    </row>
    <row r="37" spans="1:14" ht="14.1" customHeight="1">
      <c r="A37" s="40">
        <v>18</v>
      </c>
      <c r="B37" s="49" t="s">
        <v>141</v>
      </c>
      <c r="C37" s="50"/>
      <c r="D37" s="93"/>
      <c r="E37" s="94"/>
      <c r="F37" s="94"/>
      <c r="G37" s="95"/>
      <c r="H37" s="51">
        <f>SUM(I37)</f>
        <v>1.8</v>
      </c>
      <c r="I37" s="51">
        <f>SUM(J37)</f>
        <v>1.8</v>
      </c>
      <c r="J37" s="39">
        <v>1.8</v>
      </c>
      <c r="K37" s="32">
        <f>SUM(J37)</f>
        <v>1.8</v>
      </c>
      <c r="L37" s="32">
        <f t="shared" ref="L37:M37" si="18">SUM(K37)</f>
        <v>1.8</v>
      </c>
      <c r="M37" s="32">
        <f t="shared" si="18"/>
        <v>1.8</v>
      </c>
      <c r="N37" s="82">
        <f>SUM(M37)</f>
        <v>1.8</v>
      </c>
    </row>
    <row r="38" spans="1:14" ht="14.1" customHeight="1">
      <c r="A38" s="40"/>
      <c r="B38" s="34" t="s">
        <v>140</v>
      </c>
      <c r="C38" s="35"/>
      <c r="D38" s="36" t="s">
        <v>587</v>
      </c>
      <c r="E38" s="37"/>
      <c r="F38" s="37"/>
      <c r="G38" s="38"/>
      <c r="H38" s="47"/>
      <c r="I38" s="47"/>
      <c r="J38" s="60"/>
      <c r="K38" s="51"/>
      <c r="L38" s="51"/>
      <c r="M38" s="51"/>
      <c r="N38" s="75"/>
    </row>
    <row r="39" spans="1:14" ht="14.1" customHeight="1">
      <c r="A39" s="40">
        <v>19</v>
      </c>
      <c r="B39" s="53" t="s">
        <v>139</v>
      </c>
      <c r="C39" s="54"/>
      <c r="D39" s="44"/>
      <c r="E39" s="45"/>
      <c r="F39" s="45"/>
      <c r="G39" s="46"/>
      <c r="H39" s="51">
        <f>SUM(I39)-0.4</f>
        <v>4.1999999999999993</v>
      </c>
      <c r="I39" s="51">
        <f>SUM(J39)-0.4</f>
        <v>4.5999999999999996</v>
      </c>
      <c r="J39" s="39">
        <v>5</v>
      </c>
      <c r="K39" s="32">
        <f>SUM(J39)+0.3</f>
        <v>5.3</v>
      </c>
      <c r="L39" s="32">
        <f t="shared" ref="L39:M39" si="19">SUM(K39)+0.3</f>
        <v>5.6</v>
      </c>
      <c r="M39" s="32">
        <f t="shared" si="19"/>
        <v>5.8999999999999995</v>
      </c>
      <c r="N39" s="82">
        <f>SUM(M39)+0.3</f>
        <v>6.1999999999999993</v>
      </c>
    </row>
    <row r="40" spans="1:14" ht="14.1" customHeight="1" thickBot="1">
      <c r="A40" s="41"/>
      <c r="B40" s="27" t="s">
        <v>138</v>
      </c>
      <c r="C40" s="28"/>
      <c r="D40" s="29" t="s">
        <v>588</v>
      </c>
      <c r="E40" s="30"/>
      <c r="F40" s="30"/>
      <c r="G40" s="31"/>
      <c r="H40" s="48"/>
      <c r="I40" s="48"/>
      <c r="J40" s="22"/>
      <c r="K40" s="24"/>
      <c r="L40" s="24"/>
      <c r="M40" s="24"/>
      <c r="N40" s="92"/>
    </row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31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1682-E839-48CE-8F14-A6882A4F53F1}">
  <sheetPr>
    <tabColor theme="5"/>
    <pageSetUpPr fitToPage="1"/>
  </sheetPr>
  <dimension ref="A1:O51"/>
  <sheetViews>
    <sheetView zoomScale="110" zoomScaleNormal="110" workbookViewId="0">
      <selection activeCell="Q19" sqref="Q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290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5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154</v>
      </c>
    </row>
    <row r="3" spans="1:15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87">
        <f>SUM(I3)-3.4</f>
        <v>37.200000000000003</v>
      </c>
      <c r="I3" s="51">
        <f>SUM(J3)-3.4</f>
        <v>40.6</v>
      </c>
      <c r="J3" s="114">
        <v>44</v>
      </c>
      <c r="K3" s="168">
        <f>SUM(J3)+2.9</f>
        <v>46.9</v>
      </c>
      <c r="L3" s="168">
        <f>SUM(K3)+2.9</f>
        <v>49.8</v>
      </c>
      <c r="M3" s="168">
        <f>SUM(L3)+2.9</f>
        <v>52.699999999999996</v>
      </c>
      <c r="N3" s="251">
        <f>SUM(M3)+2.9</f>
        <v>55.599999999999994</v>
      </c>
    </row>
    <row r="4" spans="1:15" s="1" customFormat="1" ht="14.1" customHeight="1">
      <c r="A4" s="40"/>
      <c r="B4" s="52" t="s">
        <v>34</v>
      </c>
      <c r="C4" s="52"/>
      <c r="D4" s="36" t="s">
        <v>101</v>
      </c>
      <c r="E4" s="37"/>
      <c r="F4" s="37"/>
      <c r="G4" s="37"/>
      <c r="H4" s="86"/>
      <c r="I4" s="23"/>
      <c r="J4" s="60"/>
      <c r="K4" s="51"/>
      <c r="L4" s="51"/>
      <c r="M4" s="51"/>
      <c r="N4" s="123"/>
    </row>
    <row r="5" spans="1:15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87">
        <f>SUM(I5)-1.8</f>
        <v>27.4</v>
      </c>
      <c r="I5" s="51">
        <f>SUM(J5)-1.8</f>
        <v>29.2</v>
      </c>
      <c r="J5" s="39">
        <v>31</v>
      </c>
      <c r="K5" s="32">
        <f>SUM(J5)+1.6</f>
        <v>32.6</v>
      </c>
      <c r="L5" s="32">
        <f>SUM(K5)+1.6</f>
        <v>34.200000000000003</v>
      </c>
      <c r="M5" s="32">
        <f>SUM(L5)+1.6</f>
        <v>35.800000000000004</v>
      </c>
      <c r="N5" s="126">
        <f>SUM(M5)+1.6</f>
        <v>37.400000000000006</v>
      </c>
    </row>
    <row r="6" spans="1:15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86"/>
      <c r="I6" s="23"/>
      <c r="J6" s="39"/>
      <c r="K6" s="32"/>
      <c r="L6" s="32"/>
      <c r="M6" s="32"/>
      <c r="N6" s="126"/>
    </row>
    <row r="7" spans="1:15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87">
        <f>SUM(I7)-2.25</f>
        <v>34.5</v>
      </c>
      <c r="I7" s="51">
        <f>SUM(J7)-2.25</f>
        <v>36.75</v>
      </c>
      <c r="J7" s="39">
        <v>39</v>
      </c>
      <c r="K7" s="32">
        <f>SUM(J7)+2</f>
        <v>41</v>
      </c>
      <c r="L7" s="32">
        <f>SUM(K7)+2</f>
        <v>43</v>
      </c>
      <c r="M7" s="32">
        <f>SUM(L7)+2</f>
        <v>45</v>
      </c>
      <c r="N7" s="126">
        <f>SUM(M7)+2</f>
        <v>47</v>
      </c>
    </row>
    <row r="8" spans="1:15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86"/>
      <c r="I8" s="23"/>
      <c r="J8" s="39"/>
      <c r="K8" s="32"/>
      <c r="L8" s="32"/>
      <c r="M8" s="32"/>
      <c r="N8" s="126"/>
    </row>
    <row r="9" spans="1:15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87">
        <f>SUM(I9)-2.25</f>
        <v>34.5</v>
      </c>
      <c r="I9" s="51">
        <f>SUM(J9)-2.25</f>
        <v>36.75</v>
      </c>
      <c r="J9" s="39">
        <v>39</v>
      </c>
      <c r="K9" s="32">
        <f>SUM(J9)+2</f>
        <v>41</v>
      </c>
      <c r="L9" s="32">
        <f>SUM(K9)+2</f>
        <v>43</v>
      </c>
      <c r="M9" s="32">
        <f>SUM(L9)+2</f>
        <v>45</v>
      </c>
      <c r="N9" s="126">
        <f>SUM(M9)+2</f>
        <v>47</v>
      </c>
      <c r="O9" s="1" t="s">
        <v>173</v>
      </c>
    </row>
    <row r="10" spans="1:15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86"/>
      <c r="I10" s="23"/>
      <c r="J10" s="39"/>
      <c r="K10" s="32"/>
      <c r="L10" s="32"/>
      <c r="M10" s="32"/>
      <c r="N10" s="126"/>
    </row>
    <row r="11" spans="1:15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14.799999999999997</v>
      </c>
      <c r="I11" s="51">
        <f>SUM(J11)-0.8</f>
        <v>15.599999999999998</v>
      </c>
      <c r="J11" s="39">
        <v>16.399999999999999</v>
      </c>
      <c r="K11" s="32">
        <f>SUM(J11)+0.8</f>
        <v>17.2</v>
      </c>
      <c r="L11" s="32">
        <f>SUM(K11)+0.8</f>
        <v>18</v>
      </c>
      <c r="M11" s="32">
        <f>SUM(L11)+0.8</f>
        <v>18.8</v>
      </c>
      <c r="N11" s="126">
        <f>SUM(M11)+0.8</f>
        <v>19.600000000000001</v>
      </c>
    </row>
    <row r="12" spans="1:15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23"/>
      <c r="J12" s="39"/>
      <c r="K12" s="32"/>
      <c r="L12" s="32"/>
      <c r="M12" s="32"/>
      <c r="N12" s="126"/>
    </row>
    <row r="13" spans="1:15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87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32">
        <f>SUM(L13)+0.6</f>
        <v>14.999999999999998</v>
      </c>
      <c r="N13" s="126">
        <f>SUM(M13)+0.6</f>
        <v>15.599999999999998</v>
      </c>
    </row>
    <row r="14" spans="1:15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86"/>
      <c r="I14" s="23"/>
      <c r="J14" s="39"/>
      <c r="K14" s="32"/>
      <c r="L14" s="32"/>
      <c r="M14" s="32"/>
      <c r="N14" s="126"/>
    </row>
    <row r="15" spans="1:15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87">
        <f>SUM(I15)-0.3</f>
        <v>6</v>
      </c>
      <c r="I15" s="51">
        <f>SUM(J15)-0.3</f>
        <v>6.3</v>
      </c>
      <c r="J15" s="39">
        <v>6.6</v>
      </c>
      <c r="K15" s="32">
        <f>SUM(J15)+0.3</f>
        <v>6.8999999999999995</v>
      </c>
      <c r="L15" s="32">
        <f>SUM(K15)+0.3</f>
        <v>7.1999999999999993</v>
      </c>
      <c r="M15" s="32">
        <f>SUM(L15)+0.3</f>
        <v>7.4999999999999991</v>
      </c>
      <c r="N15" s="126">
        <f>SUM(M15)+0.3</f>
        <v>7.7999999999999989</v>
      </c>
    </row>
    <row r="16" spans="1:15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86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87">
        <f>SUM(I17)-1.6</f>
        <v>32</v>
      </c>
      <c r="I17" s="51">
        <f>SUM(J17)-1.6</f>
        <v>33.6</v>
      </c>
      <c r="J17" s="39">
        <v>35.200000000000003</v>
      </c>
      <c r="K17" s="32">
        <f>SUM(J17)+1.6</f>
        <v>36.800000000000004</v>
      </c>
      <c r="L17" s="32">
        <f>SUM(K17)+1.6</f>
        <v>38.400000000000006</v>
      </c>
      <c r="M17" s="32">
        <f>SUM(L17)+1.6</f>
        <v>40.000000000000007</v>
      </c>
      <c r="N17" s="126">
        <f>SUM(M17)+1.6</f>
        <v>41.600000000000009</v>
      </c>
    </row>
    <row r="18" spans="1:14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86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49" t="s">
        <v>291</v>
      </c>
      <c r="C19" s="50"/>
      <c r="D19" s="68" t="s">
        <v>292</v>
      </c>
      <c r="E19" s="68"/>
      <c r="F19" s="68"/>
      <c r="G19" s="68"/>
      <c r="H19" s="87">
        <f>SUM(I19)-0.1</f>
        <v>1.2999999999999998</v>
      </c>
      <c r="I19" s="51">
        <f>SUM(J19)-0.1</f>
        <v>1.4</v>
      </c>
      <c r="J19" s="39">
        <v>1.5</v>
      </c>
      <c r="K19" s="32">
        <f>SUM(J19)+0.1</f>
        <v>1.6</v>
      </c>
      <c r="L19" s="32">
        <f>SUM(K19)+0.1</f>
        <v>1.7000000000000002</v>
      </c>
      <c r="M19" s="32">
        <f>SUM(L19)+0.1</f>
        <v>1.8000000000000003</v>
      </c>
      <c r="N19" s="126">
        <f>SUM(M19)+0.1</f>
        <v>1.9000000000000004</v>
      </c>
    </row>
    <row r="20" spans="1:14" s="1" customFormat="1" ht="14.1" customHeight="1">
      <c r="A20" s="40"/>
      <c r="B20" s="52" t="s">
        <v>293</v>
      </c>
      <c r="C20" s="52"/>
      <c r="D20" s="36" t="s">
        <v>294</v>
      </c>
      <c r="E20" s="37"/>
      <c r="F20" s="37"/>
      <c r="G20" s="38"/>
      <c r="H20" s="86"/>
      <c r="I20" s="23"/>
      <c r="J20" s="39"/>
      <c r="K20" s="32"/>
      <c r="L20" s="32"/>
      <c r="M20" s="32"/>
      <c r="N20" s="126"/>
    </row>
    <row r="21" spans="1:14" s="1" customFormat="1" ht="14.1" customHeight="1">
      <c r="A21" s="40">
        <v>10</v>
      </c>
      <c r="B21" s="49" t="s">
        <v>76</v>
      </c>
      <c r="C21" s="50"/>
      <c r="D21" s="68" t="s">
        <v>295</v>
      </c>
      <c r="E21" s="68"/>
      <c r="F21" s="68"/>
      <c r="G21" s="68"/>
      <c r="H21" s="87">
        <f>SUM(I21)-0.2</f>
        <v>4.6999999999999993</v>
      </c>
      <c r="I21" s="51">
        <f>SUM(J21)-0.2</f>
        <v>4.8999999999999995</v>
      </c>
      <c r="J21" s="39">
        <v>5.0999999999999996</v>
      </c>
      <c r="K21" s="32">
        <f>SUM(J21)+0.2</f>
        <v>5.3</v>
      </c>
      <c r="L21" s="32">
        <f>SUM(K21)+0.2</f>
        <v>5.5</v>
      </c>
      <c r="M21" s="32">
        <f>SUM(L21)+0.2</f>
        <v>5.7</v>
      </c>
      <c r="N21" s="126">
        <f>SUM(M21)+0.2</f>
        <v>5.9</v>
      </c>
    </row>
    <row r="22" spans="1:14" s="1" customFormat="1" ht="14.1" customHeight="1">
      <c r="A22" s="40"/>
      <c r="B22" s="52" t="s">
        <v>302</v>
      </c>
      <c r="C22" s="52"/>
      <c r="D22" s="36" t="s">
        <v>296</v>
      </c>
      <c r="E22" s="37"/>
      <c r="F22" s="37"/>
      <c r="G22" s="38"/>
      <c r="H22" s="86"/>
      <c r="I22" s="23"/>
      <c r="J22" s="39"/>
      <c r="K22" s="32"/>
      <c r="L22" s="32"/>
      <c r="M22" s="32"/>
      <c r="N22" s="126"/>
    </row>
    <row r="23" spans="1:14" s="1" customFormat="1" ht="14.1" customHeight="1">
      <c r="A23" s="111">
        <v>11</v>
      </c>
      <c r="B23" s="49" t="s">
        <v>297</v>
      </c>
      <c r="C23" s="50"/>
      <c r="D23" s="57" t="s">
        <v>298</v>
      </c>
      <c r="E23" s="58"/>
      <c r="F23" s="58"/>
      <c r="G23" s="59"/>
      <c r="H23" s="87"/>
      <c r="I23" s="51"/>
      <c r="J23" s="60"/>
      <c r="K23" s="51"/>
      <c r="L23" s="51"/>
      <c r="M23" s="51"/>
      <c r="N23" s="123"/>
    </row>
    <row r="24" spans="1:14" s="1" customFormat="1" ht="14.1" customHeight="1">
      <c r="A24" s="66"/>
      <c r="B24" s="34" t="s">
        <v>299</v>
      </c>
      <c r="C24" s="35"/>
      <c r="D24" s="36" t="s">
        <v>300</v>
      </c>
      <c r="E24" s="37"/>
      <c r="F24" s="37"/>
      <c r="G24" s="38"/>
      <c r="H24" s="86"/>
      <c r="I24" s="23"/>
      <c r="J24" s="21"/>
      <c r="K24" s="23"/>
      <c r="L24" s="23"/>
      <c r="M24" s="23"/>
      <c r="N24" s="125"/>
    </row>
    <row r="25" spans="1:14" s="1" customFormat="1" ht="14.1" customHeight="1">
      <c r="A25" s="40">
        <v>12</v>
      </c>
      <c r="B25" s="49" t="s">
        <v>4</v>
      </c>
      <c r="C25" s="50"/>
      <c r="D25" s="55" t="s">
        <v>5</v>
      </c>
      <c r="E25" s="55"/>
      <c r="F25" s="55"/>
      <c r="G25" s="55"/>
      <c r="H25" s="87">
        <f>SUM(I25)-3.6</f>
        <v>32.799999999999997</v>
      </c>
      <c r="I25" s="51">
        <f>SUM(J25)-3.6</f>
        <v>36.4</v>
      </c>
      <c r="J25" s="39">
        <v>40</v>
      </c>
      <c r="K25" s="32">
        <f>SUM(J25)+3.7</f>
        <v>43.7</v>
      </c>
      <c r="L25" s="32">
        <f>SUM(K25)+3.7</f>
        <v>47.400000000000006</v>
      </c>
      <c r="M25" s="32">
        <f>SUM(L25)+3.7</f>
        <v>51.100000000000009</v>
      </c>
      <c r="N25" s="126">
        <f>SUM(M25)+3.7</f>
        <v>54.800000000000011</v>
      </c>
    </row>
    <row r="26" spans="1:14" s="1" customFormat="1" ht="14.1" customHeight="1">
      <c r="A26" s="40"/>
      <c r="B26" s="52" t="s">
        <v>303</v>
      </c>
      <c r="C26" s="52"/>
      <c r="D26" s="36" t="s">
        <v>50</v>
      </c>
      <c r="E26" s="37"/>
      <c r="F26" s="37"/>
      <c r="G26" s="38"/>
      <c r="H26" s="86"/>
      <c r="I26" s="23"/>
      <c r="J26" s="39"/>
      <c r="K26" s="32"/>
      <c r="L26" s="32"/>
      <c r="M26" s="32"/>
      <c r="N26" s="126"/>
    </row>
    <row r="27" spans="1:14" s="1" customFormat="1" ht="14.1" customHeight="1">
      <c r="A27" s="40">
        <v>13</v>
      </c>
      <c r="B27" s="49" t="s">
        <v>6</v>
      </c>
      <c r="C27" s="50"/>
      <c r="D27" s="57" t="s">
        <v>7</v>
      </c>
      <c r="E27" s="58"/>
      <c r="F27" s="58"/>
      <c r="G27" s="59"/>
      <c r="H27" s="87"/>
      <c r="I27" s="51"/>
      <c r="J27" s="39"/>
      <c r="K27" s="32"/>
      <c r="L27" s="32"/>
      <c r="M27" s="32"/>
      <c r="N27" s="126"/>
    </row>
    <row r="28" spans="1:14" s="1" customFormat="1" ht="14.1" customHeight="1">
      <c r="A28" s="40"/>
      <c r="B28" s="52" t="s">
        <v>30</v>
      </c>
      <c r="C28" s="52"/>
      <c r="D28" s="36" t="s">
        <v>67</v>
      </c>
      <c r="E28" s="37"/>
      <c r="F28" s="37"/>
      <c r="G28" s="38"/>
      <c r="H28" s="86"/>
      <c r="I28" s="23"/>
      <c r="J28" s="39"/>
      <c r="K28" s="32"/>
      <c r="L28" s="32"/>
      <c r="M28" s="32"/>
      <c r="N28" s="126"/>
    </row>
    <row r="29" spans="1:14" s="1" customFormat="1" ht="14.1" customHeight="1">
      <c r="A29" s="40">
        <v>14</v>
      </c>
      <c r="B29" s="49" t="s">
        <v>68</v>
      </c>
      <c r="C29" s="50"/>
      <c r="D29" s="55" t="s">
        <v>69</v>
      </c>
      <c r="E29" s="55"/>
      <c r="F29" s="55"/>
      <c r="G29" s="55"/>
      <c r="H29" s="87">
        <f>SUM(I29)-1</f>
        <v>16.5</v>
      </c>
      <c r="I29" s="51">
        <f>SUM(J29)-1</f>
        <v>17.5</v>
      </c>
      <c r="J29" s="39">
        <v>18.5</v>
      </c>
      <c r="K29" s="32">
        <f>SUM(J29)+1</f>
        <v>19.5</v>
      </c>
      <c r="L29" s="32">
        <f>SUM(K29)+1</f>
        <v>20.5</v>
      </c>
      <c r="M29" s="32">
        <f>SUM(L29)+1</f>
        <v>21.5</v>
      </c>
      <c r="N29" s="126">
        <f>SUM(M29)+1</f>
        <v>22.5</v>
      </c>
    </row>
    <row r="30" spans="1:14" s="1" customFormat="1" ht="14.1" customHeight="1">
      <c r="A30" s="40"/>
      <c r="B30" s="52" t="s">
        <v>31</v>
      </c>
      <c r="C30" s="52"/>
      <c r="D30" s="139" t="s">
        <v>301</v>
      </c>
      <c r="E30" s="140"/>
      <c r="F30" s="140"/>
      <c r="G30" s="141"/>
      <c r="H30" s="86"/>
      <c r="I30" s="23"/>
      <c r="J30" s="39"/>
      <c r="K30" s="32"/>
      <c r="L30" s="32"/>
      <c r="M30" s="32"/>
      <c r="N30" s="126"/>
    </row>
    <row r="31" spans="1:14" ht="13.5" customHeight="1">
      <c r="A31" s="111">
        <v>15</v>
      </c>
      <c r="B31" s="49" t="s">
        <v>111</v>
      </c>
      <c r="C31" s="50"/>
      <c r="D31" s="57"/>
      <c r="E31" s="58"/>
      <c r="F31" s="58"/>
      <c r="G31" s="59"/>
      <c r="H31" s="87">
        <f>SUM(I31)-0.4</f>
        <v>7.1999999999999993</v>
      </c>
      <c r="I31" s="51">
        <f>SUM(J31)-0.4</f>
        <v>7.6</v>
      </c>
      <c r="J31" s="39">
        <v>8</v>
      </c>
      <c r="K31" s="32">
        <f>SUM(J31)+0.4</f>
        <v>8.4</v>
      </c>
      <c r="L31" s="32">
        <f>SUM(K31)+0.4</f>
        <v>8.8000000000000007</v>
      </c>
      <c r="M31" s="32">
        <f>SUM(L31)+0.4</f>
        <v>9.2000000000000011</v>
      </c>
      <c r="N31" s="126">
        <f>SUM(M31)+0.4</f>
        <v>9.6000000000000014</v>
      </c>
    </row>
    <row r="32" spans="1:14" ht="14.1" customHeight="1">
      <c r="A32" s="66"/>
      <c r="B32" s="77" t="s">
        <v>55</v>
      </c>
      <c r="C32" s="78"/>
      <c r="D32" s="36"/>
      <c r="E32" s="37"/>
      <c r="F32" s="37"/>
      <c r="G32" s="38"/>
      <c r="H32" s="86"/>
      <c r="I32" s="23"/>
      <c r="J32" s="39"/>
      <c r="K32" s="32"/>
      <c r="L32" s="32"/>
      <c r="M32" s="32"/>
      <c r="N32" s="126"/>
    </row>
    <row r="33" spans="1:14" ht="14.1" customHeight="1">
      <c r="A33" s="111">
        <v>16</v>
      </c>
      <c r="B33" s="49" t="s">
        <v>109</v>
      </c>
      <c r="C33" s="50"/>
      <c r="D33" s="57"/>
      <c r="E33" s="58"/>
      <c r="F33" s="58"/>
      <c r="G33" s="59"/>
      <c r="H33" s="87">
        <f>SUM(I33)-0.4</f>
        <v>7.1999999999999993</v>
      </c>
      <c r="I33" s="51">
        <f>SUM(J33)-0.4</f>
        <v>7.6</v>
      </c>
      <c r="J33" s="39">
        <v>8</v>
      </c>
      <c r="K33" s="32">
        <f>SUM(J33)+0.4</f>
        <v>8.4</v>
      </c>
      <c r="L33" s="32">
        <f>SUM(K33)+0.4</f>
        <v>8.8000000000000007</v>
      </c>
      <c r="M33" s="32">
        <f>SUM(L33)+0.4</f>
        <v>9.2000000000000011</v>
      </c>
      <c r="N33" s="126">
        <f>SUM(M33)+0.4</f>
        <v>9.6000000000000014</v>
      </c>
    </row>
    <row r="34" spans="1:14" ht="14.1" customHeight="1">
      <c r="A34" s="66"/>
      <c r="B34" s="77" t="s">
        <v>54</v>
      </c>
      <c r="C34" s="78"/>
      <c r="D34" s="36"/>
      <c r="E34" s="37"/>
      <c r="F34" s="37"/>
      <c r="G34" s="38"/>
      <c r="H34" s="86"/>
      <c r="I34" s="23"/>
      <c r="J34" s="39"/>
      <c r="K34" s="32"/>
      <c r="L34" s="32"/>
      <c r="M34" s="32"/>
      <c r="N34" s="126"/>
    </row>
    <row r="35" spans="1:14" ht="14.1" customHeight="1">
      <c r="A35" s="111">
        <v>17</v>
      </c>
      <c r="B35" s="49"/>
      <c r="C35" s="50"/>
      <c r="D35" s="57"/>
      <c r="E35" s="58"/>
      <c r="F35" s="58"/>
      <c r="G35" s="59"/>
      <c r="H35" s="87"/>
      <c r="I35" s="51"/>
      <c r="J35" s="60"/>
      <c r="K35" s="51"/>
      <c r="L35" s="51"/>
      <c r="M35" s="51"/>
      <c r="N35" s="123"/>
    </row>
    <row r="36" spans="1:14" ht="14.1" customHeight="1">
      <c r="A36" s="66"/>
      <c r="B36" s="34"/>
      <c r="C36" s="35"/>
      <c r="D36" s="36"/>
      <c r="E36" s="37"/>
      <c r="F36" s="37"/>
      <c r="G36" s="38"/>
      <c r="H36" s="86"/>
      <c r="I36" s="23"/>
      <c r="J36" s="21"/>
      <c r="K36" s="23"/>
      <c r="L36" s="23"/>
      <c r="M36" s="23"/>
      <c r="N36" s="125"/>
    </row>
    <row r="37" spans="1:14" ht="14.1" customHeight="1">
      <c r="A37" s="111">
        <v>18</v>
      </c>
      <c r="B37" s="49"/>
      <c r="C37" s="50"/>
      <c r="D37" s="57"/>
      <c r="E37" s="58"/>
      <c r="F37" s="58"/>
      <c r="G37" s="59"/>
      <c r="H37" s="51"/>
      <c r="I37" s="51"/>
      <c r="J37" s="60"/>
      <c r="K37" s="51"/>
      <c r="L37" s="51"/>
      <c r="M37" s="51"/>
      <c r="N37" s="123"/>
    </row>
    <row r="38" spans="1:14" ht="14.1" customHeight="1" thickBot="1">
      <c r="A38" s="74"/>
      <c r="B38" s="27"/>
      <c r="C38" s="28"/>
      <c r="D38" s="29"/>
      <c r="E38" s="30"/>
      <c r="F38" s="30"/>
      <c r="G38" s="31"/>
      <c r="H38" s="48"/>
      <c r="I38" s="48"/>
      <c r="J38" s="110"/>
      <c r="K38" s="48"/>
      <c r="L38" s="48"/>
      <c r="M38" s="48"/>
      <c r="N38" s="124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1437-8ABA-481E-AF4F-12F32F3C7DE5}">
  <sheetPr>
    <tabColor theme="5"/>
    <pageSetUpPr fitToPage="1"/>
  </sheetPr>
  <dimension ref="A1:R51"/>
  <sheetViews>
    <sheetView zoomScale="110" zoomScaleNormal="110" workbookViewId="0">
      <selection activeCell="B13" sqref="B13:G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62" t="s">
        <v>589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8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17" t="s">
        <v>239</v>
      </c>
    </row>
    <row r="3" spans="1:18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36</v>
      </c>
      <c r="I3" s="51">
        <f>SUM(J3)-3.5</f>
        <v>39.5</v>
      </c>
      <c r="J3" s="114">
        <v>43</v>
      </c>
      <c r="K3" s="168">
        <f>SUM(J3)+3</f>
        <v>46</v>
      </c>
      <c r="L3" s="168">
        <f>SUM(K3)+3</f>
        <v>49</v>
      </c>
      <c r="M3" s="168">
        <f>SUM(L3)+3</f>
        <v>52</v>
      </c>
      <c r="N3" s="251">
        <f>SUM(M3)+3</f>
        <v>55</v>
      </c>
    </row>
    <row r="4" spans="1:18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123"/>
    </row>
    <row r="5" spans="1:18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21.799999999999997</v>
      </c>
      <c r="I5" s="51">
        <f>SUM(J5)-1.6</f>
        <v>23.4</v>
      </c>
      <c r="J5" s="60">
        <v>25</v>
      </c>
      <c r="K5" s="51">
        <f>SUM(J5)+1.4</f>
        <v>26.4</v>
      </c>
      <c r="L5" s="51">
        <f t="shared" ref="L5:N5" si="0">SUM(K5)+1.4</f>
        <v>27.799999999999997</v>
      </c>
      <c r="M5" s="51">
        <f t="shared" si="0"/>
        <v>29.199999999999996</v>
      </c>
      <c r="N5" s="75">
        <f t="shared" si="0"/>
        <v>30.599999999999994</v>
      </c>
    </row>
    <row r="6" spans="1:18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8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28</v>
      </c>
      <c r="I7" s="51">
        <f>SUM(J7)-2</f>
        <v>30</v>
      </c>
      <c r="J7" s="60">
        <v>32</v>
      </c>
      <c r="K7" s="51">
        <f>SUM(J7)+1.8</f>
        <v>33.799999999999997</v>
      </c>
      <c r="L7" s="51">
        <f t="shared" ref="L7:N7" si="1">SUM(K7)+1.8</f>
        <v>35.599999999999994</v>
      </c>
      <c r="M7" s="51">
        <f t="shared" si="1"/>
        <v>37.399999999999991</v>
      </c>
      <c r="N7" s="75">
        <f t="shared" si="1"/>
        <v>39.199999999999989</v>
      </c>
    </row>
    <row r="8" spans="1:18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8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28</v>
      </c>
      <c r="I9" s="51">
        <f>SUM(J9)-2</f>
        <v>30</v>
      </c>
      <c r="J9" s="60">
        <v>32</v>
      </c>
      <c r="K9" s="51">
        <f>SUM(J9)+1.8</f>
        <v>33.799999999999997</v>
      </c>
      <c r="L9" s="51">
        <f t="shared" ref="L9" si="2">SUM(K9)+1.8</f>
        <v>35.599999999999994</v>
      </c>
      <c r="M9" s="51">
        <f t="shared" ref="M9:N9" si="3">SUM(L9)+1.8</f>
        <v>37.399999999999991</v>
      </c>
      <c r="N9" s="75">
        <f t="shared" si="3"/>
        <v>39.199999999999989</v>
      </c>
      <c r="O9" s="1" t="s">
        <v>173</v>
      </c>
    </row>
    <row r="10" spans="1:18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8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12.899999999999999</v>
      </c>
      <c r="I11" s="51">
        <f>SUM(J11)-0.9</f>
        <v>13.799999999999999</v>
      </c>
      <c r="J11" s="39">
        <v>14.7</v>
      </c>
      <c r="K11" s="32">
        <f>SUM(J11)+0.9</f>
        <v>15.6</v>
      </c>
      <c r="L11" s="32">
        <f t="shared" ref="L11:N11" si="4">SUM(K11)+0.9</f>
        <v>16.5</v>
      </c>
      <c r="M11" s="32">
        <f t="shared" si="4"/>
        <v>17.399999999999999</v>
      </c>
      <c r="N11" s="82">
        <f t="shared" si="4"/>
        <v>18.299999999999997</v>
      </c>
    </row>
    <row r="12" spans="1:18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8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12.3</v>
      </c>
      <c r="I13" s="51">
        <f>SUM(J13)-0.6</f>
        <v>12.9</v>
      </c>
      <c r="J13" s="39">
        <v>13.5</v>
      </c>
      <c r="K13" s="32">
        <f>SUM(J13)+0.6</f>
        <v>14.1</v>
      </c>
      <c r="L13" s="32">
        <f>SUM(K13)+0.6</f>
        <v>14.7</v>
      </c>
      <c r="M13" s="32">
        <f>SUM(L13)+0.6</f>
        <v>15.299999999999999</v>
      </c>
      <c r="N13" s="126">
        <f>SUM(M13)+0.6</f>
        <v>15.899999999999999</v>
      </c>
    </row>
    <row r="14" spans="1:18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  <c r="R14" s="1">
        <f>SUM(H29+H29+I29+I29+J29+J29+K29+K29+L29+L29+M29+M29+N29+N29)</f>
        <v>61.600000000000009</v>
      </c>
    </row>
    <row r="15" spans="1:18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/>
      <c r="I15" s="51"/>
      <c r="J15" s="39"/>
      <c r="K15" s="32"/>
      <c r="L15" s="32"/>
      <c r="M15" s="32"/>
      <c r="N15" s="126"/>
    </row>
    <row r="16" spans="1:18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/>
      <c r="I17" s="51"/>
      <c r="J17" s="39"/>
      <c r="K17" s="32"/>
      <c r="L17" s="32"/>
      <c r="M17" s="32"/>
      <c r="N17" s="126"/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32.599999999999994</v>
      </c>
      <c r="I19" s="51">
        <f>SUM(J19)-3.7</f>
        <v>36.299999999999997</v>
      </c>
      <c r="J19" s="39">
        <v>40</v>
      </c>
      <c r="K19" s="32">
        <f>SUM(J19)+3.8</f>
        <v>43.8</v>
      </c>
      <c r="L19" s="32">
        <f t="shared" ref="L19:N19" si="5">SUM(K19)+3.8</f>
        <v>47.599999999999994</v>
      </c>
      <c r="M19" s="32">
        <f t="shared" si="5"/>
        <v>51.399999999999991</v>
      </c>
      <c r="N19" s="82">
        <f t="shared" si="5"/>
        <v>55.199999999999989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20.800000000000004</v>
      </c>
      <c r="I21" s="51">
        <f>SUM(J21)-1.4</f>
        <v>22.200000000000003</v>
      </c>
      <c r="J21" s="39">
        <v>23.6</v>
      </c>
      <c r="K21" s="32">
        <f>SUM(J21)+1.4</f>
        <v>25</v>
      </c>
      <c r="L21" s="32">
        <f t="shared" ref="L21:N21" si="6">SUM(K21)+1.4</f>
        <v>26.4</v>
      </c>
      <c r="M21" s="32">
        <f t="shared" si="6"/>
        <v>27.799999999999997</v>
      </c>
      <c r="N21" s="82">
        <f t="shared" si="6"/>
        <v>29.199999999999996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SUM(I23)-0.7</f>
        <v>13.8</v>
      </c>
      <c r="I23" s="51">
        <f>SUM(J23)-0.7</f>
        <v>14.5</v>
      </c>
      <c r="J23" s="39">
        <v>15.2</v>
      </c>
      <c r="K23" s="32">
        <f>SUM(J23)+0.7</f>
        <v>15.899999999999999</v>
      </c>
      <c r="L23" s="32">
        <f t="shared" ref="L23:N23" si="7">SUM(K23)+0.7</f>
        <v>16.599999999999998</v>
      </c>
      <c r="M23" s="32">
        <f t="shared" si="7"/>
        <v>17.299999999999997</v>
      </c>
      <c r="N23" s="82">
        <f t="shared" si="7"/>
        <v>17.999999999999996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590</v>
      </c>
      <c r="C25" s="50"/>
      <c r="D25" s="55"/>
      <c r="E25" s="55"/>
      <c r="F25" s="55"/>
      <c r="G25" s="57"/>
      <c r="H25" s="51">
        <f>SUM(I25)-3.2</f>
        <v>30.2</v>
      </c>
      <c r="I25" s="51">
        <f>SUM(J25)-3.2</f>
        <v>33.4</v>
      </c>
      <c r="J25" s="39">
        <v>36.6</v>
      </c>
      <c r="K25" s="32">
        <f>SUM(J25)+2.7</f>
        <v>39.300000000000004</v>
      </c>
      <c r="L25" s="32">
        <f t="shared" ref="L25:N25" si="8">SUM(K25)+2.7</f>
        <v>42.000000000000007</v>
      </c>
      <c r="M25" s="32">
        <f t="shared" si="8"/>
        <v>44.70000000000001</v>
      </c>
      <c r="N25" s="82">
        <f t="shared" si="8"/>
        <v>47.400000000000013</v>
      </c>
    </row>
    <row r="26" spans="1:14" s="1" customFormat="1" ht="14.1" customHeight="1">
      <c r="A26" s="40"/>
      <c r="B26" s="34" t="s">
        <v>591</v>
      </c>
      <c r="C26" s="35"/>
      <c r="D26" s="36" t="s">
        <v>592</v>
      </c>
      <c r="E26" s="37"/>
      <c r="F26" s="37"/>
      <c r="G26" s="37"/>
      <c r="H26" s="23"/>
      <c r="I26" s="23"/>
      <c r="J26" s="39"/>
      <c r="K26" s="32"/>
      <c r="L26" s="32"/>
      <c r="M26" s="32"/>
      <c r="N26" s="82"/>
    </row>
    <row r="27" spans="1:14" s="1" customFormat="1" ht="14.1" customHeight="1">
      <c r="A27" s="40">
        <v>13</v>
      </c>
      <c r="B27" s="49" t="s">
        <v>424</v>
      </c>
      <c r="C27" s="50"/>
      <c r="D27" s="57"/>
      <c r="E27" s="58"/>
      <c r="F27" s="58"/>
      <c r="G27" s="59"/>
      <c r="H27" s="51">
        <f>SUM(I27)-0.6</f>
        <v>12.100000000000001</v>
      </c>
      <c r="I27" s="51">
        <f>SUM(J27)-0.6</f>
        <v>12.700000000000001</v>
      </c>
      <c r="J27" s="60">
        <v>13.3</v>
      </c>
      <c r="K27" s="51">
        <f>SUM(J27)+0.6</f>
        <v>13.9</v>
      </c>
      <c r="L27" s="51">
        <f t="shared" ref="L27:N27" si="9">SUM(K27)+0.6</f>
        <v>14.5</v>
      </c>
      <c r="M27" s="51">
        <f t="shared" si="9"/>
        <v>15.1</v>
      </c>
      <c r="N27" s="75">
        <f t="shared" si="9"/>
        <v>15.7</v>
      </c>
    </row>
    <row r="28" spans="1:14" s="1" customFormat="1" ht="14.1" customHeight="1">
      <c r="A28" s="40"/>
      <c r="B28" s="52" t="s">
        <v>425</v>
      </c>
      <c r="C28" s="52"/>
      <c r="D28" s="36" t="s">
        <v>593</v>
      </c>
      <c r="E28" s="37"/>
      <c r="F28" s="37"/>
      <c r="G28" s="38"/>
      <c r="H28" s="23"/>
      <c r="I28" s="23"/>
      <c r="J28" s="21"/>
      <c r="K28" s="23"/>
      <c r="L28" s="23"/>
      <c r="M28" s="23"/>
      <c r="N28" s="76"/>
    </row>
    <row r="29" spans="1:14" s="1" customFormat="1" ht="14.1" customHeight="1">
      <c r="A29" s="40">
        <v>14</v>
      </c>
      <c r="B29" s="49" t="s">
        <v>141</v>
      </c>
      <c r="C29" s="50"/>
      <c r="D29" s="93"/>
      <c r="E29" s="94"/>
      <c r="F29" s="94"/>
      <c r="G29" s="95"/>
      <c r="H29" s="51">
        <f>SUM(I29)-0.4</f>
        <v>3.2</v>
      </c>
      <c r="I29" s="51">
        <f>SUM(J29)-0.4</f>
        <v>3.6</v>
      </c>
      <c r="J29" s="39">
        <v>4</v>
      </c>
      <c r="K29" s="32">
        <f>SUM(J29)+0.4</f>
        <v>4.4000000000000004</v>
      </c>
      <c r="L29" s="32">
        <f t="shared" ref="L29:N29" si="10">SUM(K29)+0.4</f>
        <v>4.8000000000000007</v>
      </c>
      <c r="M29" s="32">
        <f t="shared" si="10"/>
        <v>5.2000000000000011</v>
      </c>
      <c r="N29" s="82">
        <f t="shared" si="10"/>
        <v>5.6000000000000014</v>
      </c>
    </row>
    <row r="30" spans="1:14" s="1" customFormat="1" ht="14.1" customHeight="1">
      <c r="A30" s="40"/>
      <c r="B30" s="34" t="s">
        <v>140</v>
      </c>
      <c r="C30" s="35"/>
      <c r="D30" s="36" t="s">
        <v>587</v>
      </c>
      <c r="E30" s="37"/>
      <c r="F30" s="37"/>
      <c r="G30" s="38"/>
      <c r="H30" s="23"/>
      <c r="I30" s="23"/>
      <c r="J30" s="60"/>
      <c r="K30" s="32"/>
      <c r="L30" s="32"/>
      <c r="M30" s="32"/>
      <c r="N30" s="82"/>
    </row>
    <row r="31" spans="1:14" ht="13.5" customHeight="1">
      <c r="A31" s="40">
        <v>15</v>
      </c>
      <c r="B31" s="53" t="s">
        <v>139</v>
      </c>
      <c r="C31" s="54"/>
      <c r="D31" s="44"/>
      <c r="E31" s="45"/>
      <c r="F31" s="45"/>
      <c r="G31" s="46"/>
      <c r="H31" s="51">
        <f>SUM(I31)-0.3</f>
        <v>3.4000000000000004</v>
      </c>
      <c r="I31" s="51">
        <f>SUM(J31)-0.3</f>
        <v>3.7</v>
      </c>
      <c r="J31" s="39">
        <v>4</v>
      </c>
      <c r="K31" s="32">
        <f>SUM(J31)+0.3</f>
        <v>4.3</v>
      </c>
      <c r="L31" s="32">
        <f t="shared" ref="L31:N31" si="11">SUM(K31)+0.3</f>
        <v>4.5999999999999996</v>
      </c>
      <c r="M31" s="32">
        <f t="shared" si="11"/>
        <v>4.8999999999999995</v>
      </c>
      <c r="N31" s="82">
        <f t="shared" si="11"/>
        <v>5.1999999999999993</v>
      </c>
    </row>
    <row r="32" spans="1:14" ht="14.1" customHeight="1">
      <c r="A32" s="40"/>
      <c r="B32" s="53" t="s">
        <v>138</v>
      </c>
      <c r="C32" s="54"/>
      <c r="D32" s="67" t="s">
        <v>588</v>
      </c>
      <c r="E32" s="68"/>
      <c r="F32" s="68"/>
      <c r="G32" s="69"/>
      <c r="H32" s="47"/>
      <c r="I32" s="47"/>
      <c r="J32" s="60"/>
      <c r="K32" s="51"/>
      <c r="L32" s="51"/>
      <c r="M32" s="51"/>
      <c r="N32" s="75"/>
    </row>
    <row r="33" spans="1:14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32"/>
      <c r="N33" s="82"/>
    </row>
    <row r="34" spans="1:14" ht="14.1" customHeight="1" thickBot="1">
      <c r="A34" s="41"/>
      <c r="B34" s="27"/>
      <c r="C34" s="28"/>
      <c r="D34" s="29"/>
      <c r="E34" s="30"/>
      <c r="F34" s="30"/>
      <c r="G34" s="31"/>
      <c r="H34" s="48"/>
      <c r="I34" s="48"/>
      <c r="J34" s="22"/>
      <c r="K34" s="24"/>
      <c r="L34" s="24"/>
      <c r="M34" s="24"/>
      <c r="N34" s="92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9673-0DD2-45A5-B7C6-289CF2DE70C3}">
  <sheetPr>
    <tabColor theme="5"/>
    <pageSetUpPr fitToPage="1"/>
  </sheetPr>
  <dimension ref="A1:P51"/>
  <sheetViews>
    <sheetView zoomScale="110" zoomScaleNormal="110" workbookViewId="0">
      <selection activeCell="B29" sqref="B29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594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239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</f>
        <v>33</v>
      </c>
      <c r="I3" s="51">
        <f>SUM(J3)-3</f>
        <v>36</v>
      </c>
      <c r="J3" s="114">
        <v>39</v>
      </c>
      <c r="K3" s="168">
        <f>SUM(J3)+2.5</f>
        <v>41.5</v>
      </c>
      <c r="L3" s="168">
        <f t="shared" ref="L3:M3" si="0">SUM(K3)+2.5</f>
        <v>44</v>
      </c>
      <c r="M3" s="168">
        <f t="shared" si="0"/>
        <v>46.5</v>
      </c>
      <c r="N3" s="169">
        <f t="shared" ref="N3" si="1">SUM(M3)+2.5</f>
        <v>49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>SUM(K5)+1.6</f>
        <v>28.200000000000003</v>
      </c>
      <c r="M5" s="51">
        <f>SUM(L5)+1.6</f>
        <v>29.800000000000004</v>
      </c>
      <c r="N5" s="123">
        <f>SUM(M5)+1.6</f>
        <v>31.400000000000006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26.5</v>
      </c>
      <c r="I7" s="51">
        <f>SUM(J7)-2.25</f>
        <v>28.75</v>
      </c>
      <c r="J7" s="60">
        <v>31</v>
      </c>
      <c r="K7" s="51">
        <f>SUM(J7)+2</f>
        <v>33</v>
      </c>
      <c r="L7" s="51">
        <f t="shared" ref="L7:M7" si="2">SUM(K7)+2</f>
        <v>35</v>
      </c>
      <c r="M7" s="51">
        <f t="shared" si="2"/>
        <v>37</v>
      </c>
      <c r="N7" s="123">
        <f t="shared" ref="N7" si="3">SUM(M7)+2</f>
        <v>39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</f>
        <v>25.6</v>
      </c>
      <c r="I9" s="51">
        <f>SUM(J9)-2.2</f>
        <v>27.8</v>
      </c>
      <c r="J9" s="60">
        <v>30</v>
      </c>
      <c r="K9" s="51">
        <f>SUM(J9)+2</f>
        <v>32</v>
      </c>
      <c r="L9" s="51">
        <f t="shared" ref="L9:M9" si="4">SUM(K9)+2</f>
        <v>34</v>
      </c>
      <c r="M9" s="51">
        <f t="shared" si="4"/>
        <v>36</v>
      </c>
      <c r="N9" s="123">
        <f t="shared" ref="N9" si="5">SUM(M9)+2</f>
        <v>38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12.099999999999998</v>
      </c>
      <c r="I11" s="51">
        <f>SUM(J11)-0.8</f>
        <v>12.899999999999999</v>
      </c>
      <c r="J11" s="39">
        <v>13.7</v>
      </c>
      <c r="K11" s="32">
        <f>SUM(J11)+0.8</f>
        <v>14.5</v>
      </c>
      <c r="L11" s="32">
        <f>SUM(K11)+0.8</f>
        <v>15.3</v>
      </c>
      <c r="M11" s="32">
        <f>SUM(L11)+0.8</f>
        <v>16.100000000000001</v>
      </c>
      <c r="N11" s="126">
        <f>SUM(M11)+0.8</f>
        <v>16.900000000000002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126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17.799999999999997</v>
      </c>
      <c r="I13" s="51">
        <f>SUM(J13)-0.6</f>
        <v>18.399999999999999</v>
      </c>
      <c r="J13" s="39">
        <v>19</v>
      </c>
      <c r="K13" s="32">
        <f>SUM(J13)+0.6</f>
        <v>19.600000000000001</v>
      </c>
      <c r="L13" s="32">
        <f>SUM(K13)+0.6</f>
        <v>20.200000000000003</v>
      </c>
      <c r="M13" s="32">
        <f>SUM(L13)+0.6</f>
        <v>20.800000000000004</v>
      </c>
      <c r="N13" s="126">
        <f>SUM(M13)+0.6</f>
        <v>21.400000000000006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6.7</v>
      </c>
      <c r="I15" s="51">
        <f>SUM(J15)-0.3</f>
        <v>7</v>
      </c>
      <c r="J15" s="39">
        <v>7.3</v>
      </c>
      <c r="K15" s="32">
        <f>SUM(J15)+0.3</f>
        <v>7.6</v>
      </c>
      <c r="L15" s="32">
        <f>SUM(K15)+0.3</f>
        <v>7.8999999999999995</v>
      </c>
      <c r="M15" s="32">
        <f>SUM(L15)+0.3</f>
        <v>8.1999999999999993</v>
      </c>
      <c r="N15" s="126">
        <f>SUM(M15)+0.3</f>
        <v>8.5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6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42.8</v>
      </c>
      <c r="I17" s="51">
        <f>SUM(J17)-1.6</f>
        <v>44.4</v>
      </c>
      <c r="J17" s="39">
        <v>46</v>
      </c>
      <c r="K17" s="32">
        <f>SUM(J17)+1.6</f>
        <v>47.6</v>
      </c>
      <c r="L17" s="32">
        <f>SUM(K17)+1.6</f>
        <v>49.2</v>
      </c>
      <c r="M17" s="32">
        <f>SUM(L17)+1.6</f>
        <v>50.800000000000004</v>
      </c>
      <c r="N17" s="126">
        <f>SUM(M17)+1.6</f>
        <v>52.400000000000006</v>
      </c>
    </row>
    <row r="18" spans="1:16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6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33.299999999999997</v>
      </c>
      <c r="I19" s="51">
        <f>SUM(J19)-3.6</f>
        <v>36.9</v>
      </c>
      <c r="J19" s="39">
        <v>40.5</v>
      </c>
      <c r="K19" s="32">
        <f>SUM(J19)+3.7</f>
        <v>44.2</v>
      </c>
      <c r="L19" s="32">
        <f>SUM(K19)+3.7</f>
        <v>47.900000000000006</v>
      </c>
      <c r="M19" s="32">
        <f>SUM(L19)+3.7</f>
        <v>51.600000000000009</v>
      </c>
      <c r="N19" s="126">
        <f>SUM(M19)+3.7</f>
        <v>55.300000000000011</v>
      </c>
    </row>
    <row r="20" spans="1:16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126"/>
    </row>
    <row r="21" spans="1:16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SUM(I21)-1.2</f>
        <v>19.100000000000001</v>
      </c>
      <c r="I21" s="51">
        <f>SUM(J21)-1.2</f>
        <v>20.3</v>
      </c>
      <c r="J21" s="39">
        <v>21.5</v>
      </c>
      <c r="K21" s="32">
        <f>SUM(J21)+1.2</f>
        <v>22.7</v>
      </c>
      <c r="L21" s="32">
        <f t="shared" ref="L21:N21" si="6">SUM(K21)+1.2</f>
        <v>23.9</v>
      </c>
      <c r="M21" s="32">
        <f t="shared" si="6"/>
        <v>25.099999999999998</v>
      </c>
      <c r="N21" s="126">
        <f t="shared" si="6"/>
        <v>26.299999999999997</v>
      </c>
    </row>
    <row r="22" spans="1:16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126"/>
    </row>
    <row r="23" spans="1:16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 t="shared" ref="L23:N23" si="7">SUM(K23)+0.7</f>
        <v>17.399999999999999</v>
      </c>
      <c r="M23" s="32">
        <f t="shared" si="7"/>
        <v>18.099999999999998</v>
      </c>
      <c r="N23" s="126">
        <f t="shared" si="7"/>
        <v>18.799999999999997</v>
      </c>
    </row>
    <row r="24" spans="1:16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126"/>
      <c r="P24" s="1" t="s">
        <v>366</v>
      </c>
    </row>
    <row r="25" spans="1:16" s="1" customFormat="1" ht="14.1" customHeight="1">
      <c r="A25" s="40">
        <v>12</v>
      </c>
      <c r="B25" s="49" t="s">
        <v>398</v>
      </c>
      <c r="C25" s="50"/>
      <c r="D25" s="93"/>
      <c r="E25" s="94"/>
      <c r="F25" s="94"/>
      <c r="G25" s="95"/>
      <c r="H25" s="51">
        <f>SUM(I25)-0.8</f>
        <v>7.3999999999999995</v>
      </c>
      <c r="I25" s="51">
        <f>SUM(J25)-0.8</f>
        <v>8.1999999999999993</v>
      </c>
      <c r="J25" s="39">
        <v>9</v>
      </c>
      <c r="K25" s="32">
        <f>SUM(J25)+0.6</f>
        <v>9.6</v>
      </c>
      <c r="L25" s="32">
        <f t="shared" ref="L25:N25" si="8">SUM(K25)+0.6</f>
        <v>10.199999999999999</v>
      </c>
      <c r="M25" s="32">
        <f t="shared" si="8"/>
        <v>10.799999999999999</v>
      </c>
      <c r="N25" s="126">
        <f t="shared" si="8"/>
        <v>11.399999999999999</v>
      </c>
      <c r="P25" s="1">
        <f>SUM(H25+H25+I25+I25+J25+J25+K25+K25+L25+L25+M25+M25+N25+N25)/91.44/7*1.08</f>
        <v>0.22474690663667046</v>
      </c>
    </row>
    <row r="26" spans="1:16" s="1" customFormat="1" ht="14.1" customHeight="1">
      <c r="A26" s="40"/>
      <c r="B26" s="34" t="s">
        <v>399</v>
      </c>
      <c r="C26" s="35"/>
      <c r="D26" s="36"/>
      <c r="E26" s="37"/>
      <c r="F26" s="37"/>
      <c r="G26" s="38"/>
      <c r="H26" s="23"/>
      <c r="I26" s="23"/>
      <c r="J26" s="39"/>
      <c r="K26" s="32"/>
      <c r="L26" s="32"/>
      <c r="M26" s="32"/>
      <c r="N26" s="126"/>
    </row>
    <row r="27" spans="1:16" s="1" customFormat="1" ht="14.1" customHeight="1">
      <c r="A27" s="40">
        <v>13</v>
      </c>
      <c r="B27" s="56" t="s">
        <v>524</v>
      </c>
      <c r="C27" s="56"/>
      <c r="D27" s="55"/>
      <c r="E27" s="55"/>
      <c r="F27" s="55"/>
      <c r="G27" s="55"/>
      <c r="H27" s="51">
        <f>SUM(I27)-0.4</f>
        <v>8.1999999999999993</v>
      </c>
      <c r="I27" s="51">
        <f>SUM(J27)-0.4</f>
        <v>8.6</v>
      </c>
      <c r="J27" s="60">
        <v>9</v>
      </c>
      <c r="K27" s="51">
        <f>SUM(J27)+0.4</f>
        <v>9.4</v>
      </c>
      <c r="L27" s="51">
        <f t="shared" ref="L27:N27" si="9">SUM(K27)+0.4</f>
        <v>9.8000000000000007</v>
      </c>
      <c r="M27" s="51">
        <f t="shared" si="9"/>
        <v>10.200000000000001</v>
      </c>
      <c r="N27" s="75">
        <f t="shared" si="9"/>
        <v>10.600000000000001</v>
      </c>
    </row>
    <row r="28" spans="1:16" s="1" customFormat="1" ht="14.1" customHeight="1">
      <c r="A28" s="40"/>
      <c r="B28" s="52" t="s">
        <v>391</v>
      </c>
      <c r="C28" s="52"/>
      <c r="D28" s="36" t="s">
        <v>595</v>
      </c>
      <c r="E28" s="37"/>
      <c r="F28" s="37"/>
      <c r="G28" s="38"/>
      <c r="H28" s="23"/>
      <c r="I28" s="23"/>
      <c r="J28" s="21"/>
      <c r="K28" s="23"/>
      <c r="L28" s="23"/>
      <c r="M28" s="23"/>
      <c r="N28" s="76"/>
    </row>
    <row r="29" spans="1:16" s="1" customFormat="1" ht="14.1" customHeight="1">
      <c r="A29" s="40">
        <v>14</v>
      </c>
      <c r="B29" s="49" t="s">
        <v>141</v>
      </c>
      <c r="C29" s="50"/>
      <c r="D29" s="93"/>
      <c r="E29" s="94"/>
      <c r="F29" s="94"/>
      <c r="G29" s="95"/>
      <c r="H29" s="51">
        <f>SUM(I29)-0.4</f>
        <v>4.1999999999999993</v>
      </c>
      <c r="I29" s="51">
        <f>SUM(J29)-0.4</f>
        <v>4.5999999999999996</v>
      </c>
      <c r="J29" s="39">
        <v>5</v>
      </c>
      <c r="K29" s="32">
        <f>SUM(J29)+0.4</f>
        <v>5.4</v>
      </c>
      <c r="L29" s="32">
        <f t="shared" ref="L29:N29" si="10">SUM(K29)+0.4</f>
        <v>5.8000000000000007</v>
      </c>
      <c r="M29" s="32">
        <f t="shared" si="10"/>
        <v>6.2000000000000011</v>
      </c>
      <c r="N29" s="126">
        <f t="shared" si="10"/>
        <v>6.6000000000000014</v>
      </c>
    </row>
    <row r="30" spans="1:16" s="1" customFormat="1" ht="13.5" customHeight="1">
      <c r="A30" s="40"/>
      <c r="B30" s="34" t="s">
        <v>140</v>
      </c>
      <c r="C30" s="35"/>
      <c r="D30" s="36" t="s">
        <v>596</v>
      </c>
      <c r="E30" s="37"/>
      <c r="F30" s="37"/>
      <c r="G30" s="38"/>
      <c r="H30" s="23"/>
      <c r="I30" s="23"/>
      <c r="J30" s="39"/>
      <c r="K30" s="32"/>
      <c r="L30" s="32"/>
      <c r="M30" s="32"/>
      <c r="N30" s="126"/>
    </row>
    <row r="31" spans="1:16" ht="13.5" customHeight="1">
      <c r="A31" s="40">
        <v>15</v>
      </c>
      <c r="B31" s="53"/>
      <c r="C31" s="54"/>
      <c r="D31" s="44"/>
      <c r="E31" s="45"/>
      <c r="F31" s="45"/>
      <c r="G31" s="46"/>
      <c r="H31" s="47"/>
      <c r="I31" s="47"/>
      <c r="J31" s="21"/>
      <c r="K31" s="23"/>
      <c r="L31" s="23"/>
      <c r="M31" s="23"/>
      <c r="N31" s="125"/>
    </row>
    <row r="32" spans="1:16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32"/>
      <c r="N32" s="126"/>
    </row>
    <row r="33" spans="1:14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32"/>
      <c r="N33" s="126"/>
    </row>
    <row r="34" spans="1:14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32"/>
      <c r="N34" s="126"/>
    </row>
    <row r="35" spans="1:14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32"/>
      <c r="N35" s="126"/>
    </row>
    <row r="36" spans="1:14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24"/>
      <c r="N36" s="252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737B-416C-4006-AC2F-5A8DC7367B53}">
  <sheetPr>
    <tabColor theme="5"/>
    <pageSetUpPr fitToPage="1"/>
  </sheetPr>
  <dimension ref="A1:N51"/>
  <sheetViews>
    <sheetView zoomScale="110" zoomScaleNormal="110" workbookViewId="0">
      <selection activeCell="B29" sqref="B29:N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597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35.5</v>
      </c>
      <c r="I3" s="51">
        <f>SUM(J3)-3</f>
        <v>38.5</v>
      </c>
      <c r="J3" s="60">
        <v>41.5</v>
      </c>
      <c r="K3" s="51">
        <f>SUM(J3)+2.5</f>
        <v>44</v>
      </c>
      <c r="L3" s="51">
        <f t="shared" ref="L3:M3" si="0">SUM(K3)+2.5</f>
        <v>46.5</v>
      </c>
      <c r="M3" s="51">
        <f t="shared" si="0"/>
        <v>49</v>
      </c>
      <c r="N3" s="75">
        <f t="shared" ref="N3" si="1">SUM(M3)+2.5</f>
        <v>51.5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37.999999999999993</v>
      </c>
      <c r="I5" s="51">
        <f>SUM(J5)-2.2</f>
        <v>40.199999999999996</v>
      </c>
      <c r="J5" s="60">
        <v>42.4</v>
      </c>
      <c r="K5" s="51">
        <f>SUM(J5)+2</f>
        <v>44.4</v>
      </c>
      <c r="L5" s="51">
        <f t="shared" ref="L5:M5" si="2">SUM(K5)+2</f>
        <v>46.4</v>
      </c>
      <c r="M5" s="51">
        <f t="shared" si="2"/>
        <v>48.4</v>
      </c>
      <c r="N5" s="75">
        <f t="shared" ref="N5" si="3">SUM(M5)+2</f>
        <v>50.4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36.5</v>
      </c>
      <c r="I7" s="51">
        <f>SUM(J7)-2.25</f>
        <v>38.75</v>
      </c>
      <c r="J7" s="60">
        <v>41</v>
      </c>
      <c r="K7" s="51">
        <f>SUM(J7)+2</f>
        <v>43</v>
      </c>
      <c r="L7" s="51">
        <f>SUM(K7)+2</f>
        <v>45</v>
      </c>
      <c r="M7" s="51">
        <f>SUM(L7)+2</f>
        <v>47</v>
      </c>
      <c r="N7" s="75">
        <f>SUM(M7)+2</f>
        <v>49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SUM(I9)-1.9</f>
        <v>30.200000000000003</v>
      </c>
      <c r="I9" s="51">
        <f>SUM(J9)-1.9</f>
        <v>32.1</v>
      </c>
      <c r="J9" s="60">
        <v>34</v>
      </c>
      <c r="K9" s="51">
        <f>SUM(J9)+1.7</f>
        <v>35.700000000000003</v>
      </c>
      <c r="L9" s="51">
        <f t="shared" ref="L9:N9" si="4">SUM(K9)+1.7</f>
        <v>37.400000000000006</v>
      </c>
      <c r="M9" s="51">
        <f t="shared" si="4"/>
        <v>39.100000000000009</v>
      </c>
      <c r="N9" s="75">
        <f t="shared" si="4"/>
        <v>40.800000000000011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14.799999999999997</v>
      </c>
      <c r="I11" s="51">
        <f>SUM(J11)-0.8</f>
        <v>15.599999999999998</v>
      </c>
      <c r="J11" s="39">
        <v>16.399999999999999</v>
      </c>
      <c r="K11" s="32">
        <f>SUM(J11)+0.8</f>
        <v>17.2</v>
      </c>
      <c r="L11" s="32">
        <f>SUM(K11)+0.8</f>
        <v>18</v>
      </c>
      <c r="M11" s="32">
        <f>SUM(L11)+0.8</f>
        <v>18.8</v>
      </c>
      <c r="N11" s="82">
        <f>SUM(M11)+0.8</f>
        <v>19.600000000000001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10.8</v>
      </c>
      <c r="I13" s="51">
        <f>SUM(J13)-0.6</f>
        <v>11.4</v>
      </c>
      <c r="J13" s="39">
        <v>12</v>
      </c>
      <c r="K13" s="32">
        <f>SUM(J13)+0.6</f>
        <v>12.6</v>
      </c>
      <c r="L13" s="32">
        <f>SUM(K13)+0.6</f>
        <v>13.2</v>
      </c>
      <c r="M13" s="32">
        <f>SUM(L13)+0.6</f>
        <v>13.799999999999999</v>
      </c>
      <c r="N13" s="82">
        <f>SUM(M13)+0.6</f>
        <v>14.399999999999999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5.2</v>
      </c>
      <c r="I15" s="51">
        <f>SUM(J15)-0.3</f>
        <v>5.5</v>
      </c>
      <c r="J15" s="39">
        <v>5.8</v>
      </c>
      <c r="K15" s="32">
        <f>SUM(J15)+0.3</f>
        <v>6.1</v>
      </c>
      <c r="L15" s="32">
        <f>SUM(K15)+0.3</f>
        <v>6.3999999999999995</v>
      </c>
      <c r="M15" s="32">
        <f>SUM(L15)+0.3</f>
        <v>6.6999999999999993</v>
      </c>
      <c r="N15" s="82">
        <f>SUM(M15)+0.3</f>
        <v>6.9999999999999991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34.799999999999997</v>
      </c>
      <c r="I17" s="51">
        <f>SUM(J17)-1.6</f>
        <v>36.4</v>
      </c>
      <c r="J17" s="39">
        <v>38</v>
      </c>
      <c r="K17" s="32">
        <f>SUM(J17)+1.6</f>
        <v>39.6</v>
      </c>
      <c r="L17" s="32">
        <f>SUM(K17)+1.6</f>
        <v>41.2</v>
      </c>
      <c r="M17" s="32">
        <f>SUM(L17)+1.6</f>
        <v>42.800000000000004</v>
      </c>
      <c r="N17" s="82">
        <f>SUM(M17)+1.6</f>
        <v>44.400000000000006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25.700000000000003</v>
      </c>
      <c r="I19" s="51">
        <f>SUM(J19)-3.4</f>
        <v>29.1</v>
      </c>
      <c r="J19" s="60">
        <v>32.5</v>
      </c>
      <c r="K19" s="51">
        <f>SUM(J19)+3.5</f>
        <v>36</v>
      </c>
      <c r="L19" s="51">
        <f t="shared" ref="L19:N19" si="5">SUM(K19)+3.5</f>
        <v>39.5</v>
      </c>
      <c r="M19" s="51">
        <f t="shared" si="5"/>
        <v>43</v>
      </c>
      <c r="N19" s="75">
        <f t="shared" si="5"/>
        <v>46.5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29.299999999999997</v>
      </c>
      <c r="I21" s="51">
        <f>SUM(J21)-1.6</f>
        <v>30.9</v>
      </c>
      <c r="J21" s="39">
        <v>32.5</v>
      </c>
      <c r="K21" s="32">
        <f>SUM(J21)+1.6</f>
        <v>34.1</v>
      </c>
      <c r="L21" s="32">
        <f t="shared" ref="L21:N21" si="6">SUM(K21)+1.6</f>
        <v>35.700000000000003</v>
      </c>
      <c r="M21" s="32">
        <f t="shared" si="6"/>
        <v>37.300000000000004</v>
      </c>
      <c r="N21" s="82">
        <f t="shared" si="6"/>
        <v>38.900000000000006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 t="shared" ref="L23:N23" si="7">SUM(K23)+0.6</f>
        <v>16.399999999999999</v>
      </c>
      <c r="M23" s="32">
        <f t="shared" si="7"/>
        <v>17</v>
      </c>
      <c r="N23" s="82">
        <f t="shared" si="7"/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SUM(I25)-0.3</f>
        <v>6.4</v>
      </c>
      <c r="I25" s="51">
        <f>SUM(J25)-0.3</f>
        <v>6.7</v>
      </c>
      <c r="J25" s="39">
        <v>7</v>
      </c>
      <c r="K25" s="32">
        <f>SUM(J25)+0.3</f>
        <v>7.3</v>
      </c>
      <c r="L25" s="32">
        <f t="shared" ref="L25:N25" si="8">SUM(K25)+0.3</f>
        <v>7.6</v>
      </c>
      <c r="M25" s="32">
        <f t="shared" si="8"/>
        <v>7.8999999999999995</v>
      </c>
      <c r="N25" s="82">
        <f t="shared" si="8"/>
        <v>8.1999999999999993</v>
      </c>
    </row>
    <row r="26" spans="1:14" s="1" customFormat="1" ht="14.1" customHeight="1">
      <c r="A26" s="111"/>
      <c r="B26" s="34" t="s">
        <v>140</v>
      </c>
      <c r="C26" s="35"/>
      <c r="D26" s="67" t="s">
        <v>598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60FA-E3C6-48AE-8088-82754ED2ACA2}">
  <sheetPr>
    <tabColor theme="5"/>
    <pageSetUpPr fitToPage="1"/>
  </sheetPr>
  <dimension ref="A1:N51"/>
  <sheetViews>
    <sheetView zoomScale="110" zoomScaleNormal="110" workbookViewId="0">
      <selection activeCell="P27" sqref="P2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599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35</v>
      </c>
      <c r="I3" s="51">
        <f>SUM(J3)-3.5</f>
        <v>38.5</v>
      </c>
      <c r="J3" s="60">
        <v>42</v>
      </c>
      <c r="K3" s="51">
        <f>SUM(J3)+3</f>
        <v>45</v>
      </c>
      <c r="L3" s="51">
        <f>SUM(K3)+3</f>
        <v>48</v>
      </c>
      <c r="M3" s="84">
        <f>SUM(L3)+3</f>
        <v>51</v>
      </c>
    </row>
    <row r="4" spans="1:14" s="1" customFormat="1" ht="14.1" customHeight="1">
      <c r="A4" s="66"/>
      <c r="B4" s="52" t="s">
        <v>38</v>
      </c>
      <c r="C4" s="52"/>
      <c r="D4" s="36" t="s">
        <v>601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44</v>
      </c>
      <c r="I5" s="51">
        <f>SUM(J5)-4.5</f>
        <v>48.5</v>
      </c>
      <c r="J5" s="39">
        <v>53</v>
      </c>
      <c r="K5" s="32">
        <f>SUM(J5)+4.5</f>
        <v>57.5</v>
      </c>
      <c r="L5" s="32">
        <f>SUM(K5)+4.5</f>
        <v>62</v>
      </c>
      <c r="M5" s="82">
        <f>SUM(L5)+4.5</f>
        <v>66.5</v>
      </c>
    </row>
    <row r="6" spans="1:14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32"/>
      <c r="M6" s="82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33</v>
      </c>
      <c r="I7" s="51">
        <f>SUM(J7)-2.25</f>
        <v>35.25</v>
      </c>
      <c r="J7" s="60">
        <v>37.5</v>
      </c>
      <c r="K7" s="51">
        <f>SUM(J7)+2</f>
        <v>39.5</v>
      </c>
      <c r="L7" s="51">
        <f>SUM(K7)+2</f>
        <v>41.5</v>
      </c>
      <c r="M7" s="75">
        <f>SUM(L7)+2</f>
        <v>43.5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33</v>
      </c>
      <c r="I9" s="51">
        <f>SUM(J9)-2.25</f>
        <v>35.25</v>
      </c>
      <c r="J9" s="60">
        <v>37.5</v>
      </c>
      <c r="K9" s="51">
        <f>SUM(J9)+2</f>
        <v>39.5</v>
      </c>
      <c r="L9" s="51">
        <f>SUM(K9)+2</f>
        <v>41.5</v>
      </c>
      <c r="M9" s="75">
        <f>SUM(L9)+2</f>
        <v>43.5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-1.6</v>
      </c>
      <c r="I11" s="87">
        <f>SUM(J11)-0.8</f>
        <v>-0.8</v>
      </c>
      <c r="J11" s="256"/>
      <c r="K11" s="255">
        <f>SUM(J11)+0.8</f>
        <v>0.8</v>
      </c>
      <c r="L11" s="255">
        <f>SUM(K11)+0.8</f>
        <v>1.6</v>
      </c>
      <c r="M11" s="33">
        <f>SUM(L11)+0.8</f>
        <v>2.4000000000000004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86"/>
      <c r="J12" s="256"/>
      <c r="K12" s="255"/>
      <c r="L12" s="255"/>
      <c r="M12" s="33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14.4</v>
      </c>
      <c r="I13" s="51">
        <f>SUM(J13)-0.6</f>
        <v>15</v>
      </c>
      <c r="J13" s="39">
        <v>15.6</v>
      </c>
      <c r="K13" s="32">
        <f>SUM(J13)+0.6</f>
        <v>16.2</v>
      </c>
      <c r="L13" s="32">
        <f>SUM(K13)+0.6</f>
        <v>16.8</v>
      </c>
      <c r="M13" s="82">
        <f>SUM(L13)+0.6</f>
        <v>17.400000000000002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5.6000000000000005</v>
      </c>
      <c r="I15" s="51">
        <f>SUM(J15)-0.3</f>
        <v>5.9</v>
      </c>
      <c r="J15" s="39">
        <v>6.2</v>
      </c>
      <c r="K15" s="32">
        <f>SUM(J15)+0.3</f>
        <v>6.5</v>
      </c>
      <c r="L15" s="32">
        <f>SUM(K15)+0.3</f>
        <v>6.8</v>
      </c>
      <c r="M15" s="82">
        <f>SUM(L15)+0.3</f>
        <v>7.1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33.799999999999997</v>
      </c>
      <c r="I17" s="51">
        <f>SUM(J17)-1.6</f>
        <v>35.4</v>
      </c>
      <c r="J17" s="39">
        <v>37</v>
      </c>
      <c r="K17" s="32">
        <f>SUM(J17)+1.6</f>
        <v>38.6</v>
      </c>
      <c r="L17" s="32">
        <f>SUM(K17)+1.6</f>
        <v>40.200000000000003</v>
      </c>
      <c r="M17" s="82">
        <f>SUM(L17)+1.6</f>
        <v>41.800000000000004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SUM(I19)-3.5</f>
        <v>-7</v>
      </c>
      <c r="I19" s="87">
        <f>SUM(J19)-3.5</f>
        <v>-3.5</v>
      </c>
      <c r="J19" s="142"/>
      <c r="K19" s="87">
        <f>SUM(J19)+3.6</f>
        <v>3.6</v>
      </c>
      <c r="L19" s="87">
        <f t="shared" ref="L19:M19" si="0">SUM(K19)+3.6</f>
        <v>7.2</v>
      </c>
      <c r="M19" s="61">
        <f t="shared" si="0"/>
        <v>10.8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86"/>
      <c r="J20" s="143"/>
      <c r="K20" s="86"/>
      <c r="L20" s="86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25.299999999999997</v>
      </c>
      <c r="I21" s="51">
        <f>SUM(J21)-1.6</f>
        <v>26.9</v>
      </c>
      <c r="J21" s="39">
        <v>28.5</v>
      </c>
      <c r="K21" s="32">
        <f>SUM(J21)+1.6</f>
        <v>30.1</v>
      </c>
      <c r="L21" s="32">
        <f t="shared" ref="L21:M21" si="1">SUM(K21)+1.6</f>
        <v>31.700000000000003</v>
      </c>
      <c r="M21" s="82">
        <f t="shared" si="1"/>
        <v>33.300000000000004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 t="shared" ref="L23:M23" si="2">SUM(K23)+0.7</f>
        <v>19.399999999999999</v>
      </c>
      <c r="M23" s="82">
        <f t="shared" si="2"/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3.4000000000000004</v>
      </c>
      <c r="I25" s="51">
        <f>SUM(J25)-0.3</f>
        <v>3.7</v>
      </c>
      <c r="J25" s="39">
        <v>4</v>
      </c>
      <c r="K25" s="32">
        <f>SUM(J25)+0.3</f>
        <v>4.3</v>
      </c>
      <c r="L25" s="32">
        <f t="shared" ref="L25:M25" si="3">SUM(K25)+0.3</f>
        <v>4.5999999999999996</v>
      </c>
      <c r="M25" s="82">
        <f t="shared" si="3"/>
        <v>4.8999999999999995</v>
      </c>
    </row>
    <row r="26" spans="1:13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56" t="s">
        <v>604</v>
      </c>
      <c r="C27" s="56"/>
      <c r="D27" s="55"/>
      <c r="E27" s="55"/>
      <c r="F27" s="55"/>
      <c r="G27" s="55"/>
      <c r="H27" s="51">
        <f>SUM(I27)</f>
        <v>1.7</v>
      </c>
      <c r="I27" s="51">
        <f>SUM(J27)</f>
        <v>1.7</v>
      </c>
      <c r="J27" s="39">
        <v>1.7</v>
      </c>
      <c r="K27" s="32">
        <f>SUM(J27)</f>
        <v>1.7</v>
      </c>
      <c r="L27" s="32">
        <f t="shared" ref="L27:M27" si="4">SUM(K27)</f>
        <v>1.7</v>
      </c>
      <c r="M27" s="82">
        <f t="shared" si="4"/>
        <v>1.7</v>
      </c>
    </row>
    <row r="28" spans="1:13" ht="14.1" customHeight="1" thickBot="1">
      <c r="A28" s="41"/>
      <c r="B28" s="132" t="s">
        <v>605</v>
      </c>
      <c r="C28" s="132"/>
      <c r="D28" s="179" t="s">
        <v>606</v>
      </c>
      <c r="E28" s="253"/>
      <c r="F28" s="253"/>
      <c r="G28" s="254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2A4D-F6EA-4C35-8FB3-E3B37BC15670}">
  <sheetPr>
    <tabColor theme="5"/>
    <pageSetUpPr fitToPage="1"/>
  </sheetPr>
  <dimension ref="A1:Q51"/>
  <sheetViews>
    <sheetView zoomScale="110" zoomScaleNormal="110" workbookViewId="0">
      <selection activeCell="B29" sqref="B29:N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607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36</v>
      </c>
      <c r="I3" s="51">
        <f>SUM(J3)-3.5</f>
        <v>39.5</v>
      </c>
      <c r="J3" s="114">
        <v>43</v>
      </c>
      <c r="K3" s="168">
        <f>SUM(J3)+3</f>
        <v>46</v>
      </c>
      <c r="L3" s="168">
        <f>SUM(K3)+3</f>
        <v>49</v>
      </c>
      <c r="M3" s="169">
        <f>SUM(L3)+3</f>
        <v>52</v>
      </c>
    </row>
    <row r="4" spans="1:17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26</v>
      </c>
      <c r="I5" s="51">
        <f>SUM(J5)-1.8</f>
        <v>27.8</v>
      </c>
      <c r="J5" s="60">
        <v>29.6</v>
      </c>
      <c r="K5" s="51">
        <f>SUM(J5)+1.6</f>
        <v>31.200000000000003</v>
      </c>
      <c r="L5" s="51">
        <f t="shared" ref="L5:M5" si="0">SUM(K5)+1.6</f>
        <v>32.800000000000004</v>
      </c>
      <c r="M5" s="75">
        <f t="shared" si="0"/>
        <v>34.400000000000006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32.5</v>
      </c>
      <c r="I7" s="51">
        <f>SUM(J7)-2.25</f>
        <v>34.75</v>
      </c>
      <c r="J7" s="60">
        <v>37</v>
      </c>
      <c r="K7" s="51">
        <f>SUM(J7)+2</f>
        <v>39</v>
      </c>
      <c r="L7" s="51">
        <f t="shared" ref="L7:M7" si="1">SUM(K7)+2</f>
        <v>41</v>
      </c>
      <c r="M7" s="75">
        <f t="shared" si="1"/>
        <v>43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7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32.5</v>
      </c>
      <c r="I9" s="51">
        <f>SUM(J9)-2.25</f>
        <v>34.75</v>
      </c>
      <c r="J9" s="60">
        <v>37</v>
      </c>
      <c r="K9" s="51">
        <f>SUM(J9)+2</f>
        <v>39</v>
      </c>
      <c r="L9" s="51">
        <f t="shared" ref="L9:M9" si="2">SUM(K9)+2</f>
        <v>41</v>
      </c>
      <c r="M9" s="75">
        <f t="shared" si="2"/>
        <v>43</v>
      </c>
      <c r="N9" s="1" t="s">
        <v>173</v>
      </c>
    </row>
    <row r="10" spans="1:17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7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13.999999999999998</v>
      </c>
      <c r="I11" s="51">
        <f>SUM(J11)-0.8</f>
        <v>14.799999999999999</v>
      </c>
      <c r="J11" s="39">
        <v>15.6</v>
      </c>
      <c r="K11" s="32">
        <f>SUM(J11)+0.8</f>
        <v>16.399999999999999</v>
      </c>
      <c r="L11" s="32">
        <f t="shared" ref="L11:M11" si="3">SUM(K11)+0.8</f>
        <v>17.2</v>
      </c>
      <c r="M11" s="82">
        <f t="shared" si="3"/>
        <v>18</v>
      </c>
    </row>
    <row r="12" spans="1:17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7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14.100000000000001</v>
      </c>
      <c r="I13" s="51">
        <f>SUM(J13)-0.6</f>
        <v>14.700000000000001</v>
      </c>
      <c r="J13" s="39">
        <v>15.3</v>
      </c>
      <c r="K13" s="32">
        <f>SUM(J13)+0.6</f>
        <v>15.9</v>
      </c>
      <c r="L13" s="32">
        <f>SUM(K13)+0.6</f>
        <v>16.5</v>
      </c>
      <c r="M13" s="82">
        <f>SUM(L13)+0.6</f>
        <v>17.100000000000001</v>
      </c>
    </row>
    <row r="14" spans="1:17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  <c r="Q14" s="1" t="e">
        <f>SUM(H31+H31+I31+I31+J31+J31+K31+K31+L31+L31+M31+M31+#REF!+#REF!)</f>
        <v>#REF!</v>
      </c>
    </row>
    <row r="15" spans="1:17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6.4</v>
      </c>
      <c r="I15" s="51">
        <f>SUM(J15)-0.3</f>
        <v>6.7</v>
      </c>
      <c r="J15" s="39">
        <v>7</v>
      </c>
      <c r="K15" s="32">
        <f>SUM(J15)+0.3</f>
        <v>7.3</v>
      </c>
      <c r="L15" s="32">
        <f>SUM(K15)+0.3</f>
        <v>7.6</v>
      </c>
      <c r="M15" s="82">
        <f>SUM(L15)+0.3</f>
        <v>7.8999999999999995</v>
      </c>
    </row>
    <row r="16" spans="1:17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36.799999999999997</v>
      </c>
      <c r="I17" s="51">
        <f>SUM(J17)-1.6</f>
        <v>38.4</v>
      </c>
      <c r="J17" s="39">
        <v>40</v>
      </c>
      <c r="K17" s="32">
        <f>SUM(J17)+1.6</f>
        <v>41.6</v>
      </c>
      <c r="L17" s="32">
        <f>SUM(K17)+1.6</f>
        <v>43.2</v>
      </c>
      <c r="M17" s="82">
        <f>SUM(L17)+1.6</f>
        <v>44.800000000000004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31</v>
      </c>
      <c r="I19" s="51">
        <f>SUM(J19)-3.6</f>
        <v>34.6</v>
      </c>
      <c r="J19" s="39">
        <v>38.200000000000003</v>
      </c>
      <c r="K19" s="32">
        <f>SUM(J19)+3.7</f>
        <v>41.900000000000006</v>
      </c>
      <c r="L19" s="32">
        <f t="shared" ref="L19:M19" si="4">SUM(K19)+3.7</f>
        <v>45.600000000000009</v>
      </c>
      <c r="M19" s="82">
        <f t="shared" si="4"/>
        <v>49.300000000000011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24.6</v>
      </c>
      <c r="I21" s="51">
        <f>SUM(J21)-1.4</f>
        <v>26</v>
      </c>
      <c r="J21" s="39">
        <v>27.4</v>
      </c>
      <c r="K21" s="32">
        <f>SUM(J21)+1.4</f>
        <v>28.799999999999997</v>
      </c>
      <c r="L21" s="32">
        <f t="shared" ref="L21:M21" si="5">SUM(K21)+1.4</f>
        <v>30.199999999999996</v>
      </c>
      <c r="M21" s="82">
        <f t="shared" si="5"/>
        <v>31.599999999999994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SUM(I23)-0.7</f>
        <v>15.600000000000001</v>
      </c>
      <c r="I23" s="51">
        <f>SUM(J23)-0.7</f>
        <v>16.3</v>
      </c>
      <c r="J23" s="39">
        <v>17</v>
      </c>
      <c r="K23" s="32">
        <f>SUM(J23)+0.7</f>
        <v>17.7</v>
      </c>
      <c r="L23" s="32">
        <f t="shared" ref="L23:M23" si="6">SUM(K23)+0.7</f>
        <v>18.399999999999999</v>
      </c>
      <c r="M23" s="82">
        <f t="shared" si="6"/>
        <v>19.099999999999998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581</v>
      </c>
      <c r="C25" s="50"/>
      <c r="D25" s="55"/>
      <c r="E25" s="55"/>
      <c r="F25" s="55"/>
      <c r="G25" s="57"/>
      <c r="H25" s="51">
        <f>SUM(I25)-1.2</f>
        <v>10.8</v>
      </c>
      <c r="I25" s="51">
        <f>SUM(J25)-1.2</f>
        <v>12</v>
      </c>
      <c r="J25" s="39">
        <v>13.2</v>
      </c>
      <c r="K25" s="32">
        <f>SUM(J25)+1</f>
        <v>14.2</v>
      </c>
      <c r="L25" s="32">
        <f t="shared" ref="L25:M25" si="7">SUM(K25)+1</f>
        <v>15.2</v>
      </c>
      <c r="M25" s="82">
        <f t="shared" si="7"/>
        <v>16.2</v>
      </c>
    </row>
    <row r="26" spans="1:13" s="1" customFormat="1" ht="14.1" customHeight="1">
      <c r="A26" s="40"/>
      <c r="B26" s="34" t="s">
        <v>582</v>
      </c>
      <c r="C26" s="35"/>
      <c r="D26" s="36" t="s">
        <v>608</v>
      </c>
      <c r="E26" s="37"/>
      <c r="F26" s="37"/>
      <c r="G26" s="37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/>
      <c r="C27" s="50"/>
      <c r="D27" s="55"/>
      <c r="E27" s="55"/>
      <c r="F27" s="55"/>
      <c r="G27" s="57"/>
      <c r="H27" s="51"/>
      <c r="I27" s="51"/>
      <c r="J27" s="39"/>
      <c r="K27" s="32"/>
      <c r="L27" s="32"/>
      <c r="M27" s="82"/>
    </row>
    <row r="28" spans="1:13" s="1" customFormat="1" ht="14.1" customHeight="1">
      <c r="A28" s="40"/>
      <c r="B28" s="34"/>
      <c r="C28" s="35"/>
      <c r="D28" s="36"/>
      <c r="E28" s="37"/>
      <c r="F28" s="37"/>
      <c r="G28" s="37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56"/>
      <c r="C29" s="56"/>
      <c r="D29" s="55"/>
      <c r="E29" s="55"/>
      <c r="F29" s="55"/>
      <c r="G29" s="55"/>
      <c r="H29" s="51"/>
      <c r="I29" s="51"/>
      <c r="J29" s="60"/>
      <c r="K29" s="51"/>
      <c r="L29" s="51"/>
      <c r="M29" s="75"/>
    </row>
    <row r="30" spans="1:13" s="1" customFormat="1" ht="14.1" customHeight="1">
      <c r="A30" s="40"/>
      <c r="B30" s="52"/>
      <c r="C30" s="52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3.5" customHeight="1">
      <c r="A31" s="40">
        <v>15</v>
      </c>
      <c r="B31" s="56"/>
      <c r="C31" s="56"/>
      <c r="D31" s="55"/>
      <c r="E31" s="55"/>
      <c r="F31" s="55"/>
      <c r="G31" s="55"/>
      <c r="H31" s="51"/>
      <c r="I31" s="51"/>
      <c r="J31" s="60"/>
      <c r="K31" s="51"/>
      <c r="L31" s="51"/>
      <c r="M31" s="75"/>
    </row>
    <row r="32" spans="1:13" ht="14.1" customHeight="1">
      <c r="A32" s="40"/>
      <c r="B32" s="52"/>
      <c r="C32" s="52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57"/>
      <c r="E33" s="58"/>
      <c r="F33" s="58"/>
      <c r="G33" s="59"/>
      <c r="H33" s="51"/>
      <c r="I33" s="51"/>
      <c r="J33" s="60"/>
      <c r="K33" s="51"/>
      <c r="L33" s="51"/>
      <c r="M33" s="75"/>
    </row>
    <row r="34" spans="1:13" ht="14.1" customHeight="1">
      <c r="A34" s="40"/>
      <c r="B34" s="52"/>
      <c r="C34" s="52"/>
      <c r="D34" s="36"/>
      <c r="E34" s="37"/>
      <c r="F34" s="37"/>
      <c r="G34" s="38"/>
      <c r="H34" s="23"/>
      <c r="I34" s="23"/>
      <c r="J34" s="21"/>
      <c r="K34" s="23"/>
      <c r="L34" s="23"/>
      <c r="M34" s="76"/>
    </row>
    <row r="35" spans="1:13" ht="14.1" customHeight="1">
      <c r="A35" s="40">
        <v>17</v>
      </c>
      <c r="B35" s="53"/>
      <c r="C35" s="54"/>
      <c r="D35" s="93"/>
      <c r="E35" s="94"/>
      <c r="F35" s="94"/>
      <c r="G35" s="95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1414-A46A-410C-8CFF-F213D5A6DAB6}">
  <sheetPr>
    <tabColor theme="5"/>
    <pageSetUpPr fitToPage="1"/>
  </sheetPr>
  <dimension ref="A1:M50"/>
  <sheetViews>
    <sheetView zoomScale="110" zoomScaleNormal="110" workbookViewId="0">
      <selection activeCell="M3" sqref="M3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609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36.200000000000003</v>
      </c>
      <c r="I3" s="51">
        <f>SUM(J3)-3.4</f>
        <v>39.6</v>
      </c>
      <c r="J3" s="114">
        <v>43</v>
      </c>
      <c r="K3" s="168">
        <f>SUM(J3)+2.9</f>
        <v>45.9</v>
      </c>
      <c r="L3" s="168">
        <f>SUM(K3)+2.9</f>
        <v>48.8</v>
      </c>
      <c r="M3" s="257">
        <f>SUM(L3)+2.9</f>
        <v>51.699999999999996</v>
      </c>
    </row>
    <row r="4" spans="1:13" s="1" customFormat="1" ht="14.1" customHeight="1">
      <c r="A4" s="40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60"/>
      <c r="K4" s="51"/>
      <c r="L4" s="51"/>
      <c r="M4" s="61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23.4</v>
      </c>
      <c r="I5" s="51">
        <f>SUM(J5)-1.8</f>
        <v>25.2</v>
      </c>
      <c r="J5" s="60">
        <v>27</v>
      </c>
      <c r="K5" s="51">
        <f>SUM(J5)+1.6</f>
        <v>28.6</v>
      </c>
      <c r="L5" s="51">
        <f t="shared" ref="L5:M5" si="0">SUM(K5)+1.6</f>
        <v>30.200000000000003</v>
      </c>
      <c r="M5" s="61">
        <f t="shared" si="0"/>
        <v>31.800000000000004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28</v>
      </c>
      <c r="I7" s="51">
        <f>SUM(J7)-2</f>
        <v>30</v>
      </c>
      <c r="J7" s="60">
        <v>32</v>
      </c>
      <c r="K7" s="51">
        <f>SUM(J7)+1.8</f>
        <v>33.799999999999997</v>
      </c>
      <c r="L7" s="51">
        <f t="shared" ref="L7:M7" si="1">SUM(K7)+1.8</f>
        <v>35.599999999999994</v>
      </c>
      <c r="M7" s="61">
        <f t="shared" si="1"/>
        <v>37.399999999999991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28</v>
      </c>
      <c r="I9" s="51">
        <f>SUM(J9)-2</f>
        <v>30</v>
      </c>
      <c r="J9" s="60">
        <v>32</v>
      </c>
      <c r="K9" s="51">
        <f>SUM(J9)+1.8</f>
        <v>33.799999999999997</v>
      </c>
      <c r="L9" s="51">
        <f t="shared" ref="L9:M9" si="2">SUM(K9)+1.8</f>
        <v>35.599999999999994</v>
      </c>
      <c r="M9" s="61">
        <f t="shared" si="2"/>
        <v>37.399999999999991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5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12.999999999999998</v>
      </c>
      <c r="I11" s="51">
        <f>SUM(J11)-0.8</f>
        <v>13.799999999999999</v>
      </c>
      <c r="J11" s="39">
        <v>14.6</v>
      </c>
      <c r="K11" s="32">
        <f>SUM(J11)+0.8</f>
        <v>15.4</v>
      </c>
      <c r="L11" s="32">
        <f>SUM(K11)+0.8</f>
        <v>16.2</v>
      </c>
      <c r="M11" s="33">
        <f>SUM(L11)+0.8</f>
        <v>17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3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11.8</v>
      </c>
      <c r="I13" s="51">
        <f>SUM(J13)-0.6</f>
        <v>12.4</v>
      </c>
      <c r="J13" s="39">
        <v>13</v>
      </c>
      <c r="K13" s="32">
        <f>SUM(J13)+0.6</f>
        <v>13.6</v>
      </c>
      <c r="L13" s="32">
        <f>SUM(K13)+0.6</f>
        <v>14.2</v>
      </c>
      <c r="M13" s="33">
        <f>SUM(L13)+0.6</f>
        <v>14.799999999999999</v>
      </c>
    </row>
    <row r="14" spans="1:13" s="1" customFormat="1" ht="14.1" customHeight="1">
      <c r="A14" s="40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33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5.6000000000000005</v>
      </c>
      <c r="I15" s="51">
        <f>SUM(J15)-0.3</f>
        <v>5.9</v>
      </c>
      <c r="J15" s="39">
        <v>6.2</v>
      </c>
      <c r="K15" s="32">
        <f>SUM(J15)+0.3</f>
        <v>6.5</v>
      </c>
      <c r="L15" s="32">
        <f>SUM(K15)+0.3</f>
        <v>6.8</v>
      </c>
      <c r="M15" s="33">
        <f>SUM(L15)+0.3</f>
        <v>7.1</v>
      </c>
    </row>
    <row r="16" spans="1:13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30.699999999999996</v>
      </c>
      <c r="I17" s="51">
        <f>SUM(J17)-1.6</f>
        <v>32.299999999999997</v>
      </c>
      <c r="J17" s="39">
        <v>33.9</v>
      </c>
      <c r="K17" s="32">
        <f>SUM(J17)+1.6</f>
        <v>35.5</v>
      </c>
      <c r="L17" s="32">
        <f>SUM(K17)+1.6</f>
        <v>37.1</v>
      </c>
      <c r="M17" s="33">
        <f>SUM(L17)+1.6</f>
        <v>38.700000000000003</v>
      </c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49" t="s">
        <v>610</v>
      </c>
      <c r="C19" s="50"/>
      <c r="D19" s="57"/>
      <c r="E19" s="58"/>
      <c r="F19" s="58"/>
      <c r="G19" s="59"/>
      <c r="H19" s="51">
        <f>SUM(I19)-0.2</f>
        <v>4.8</v>
      </c>
      <c r="I19" s="51">
        <f>SUM(J19)-0.2</f>
        <v>5</v>
      </c>
      <c r="J19" s="39">
        <v>5.2</v>
      </c>
      <c r="K19" s="32">
        <f>SUM(J19)+0.2</f>
        <v>5.4</v>
      </c>
      <c r="L19" s="32">
        <f>SUM(K19)+0.2</f>
        <v>5.6000000000000005</v>
      </c>
      <c r="M19" s="33">
        <f>SUM(L19)+0.2</f>
        <v>5.8000000000000007</v>
      </c>
    </row>
    <row r="20" spans="1:13" s="1" customFormat="1" ht="14.1" customHeight="1">
      <c r="A20" s="40"/>
      <c r="B20" s="52" t="s">
        <v>611</v>
      </c>
      <c r="C20" s="52"/>
      <c r="D20" s="139" t="s">
        <v>612</v>
      </c>
      <c r="E20" s="37"/>
      <c r="F20" s="37"/>
      <c r="G20" s="38"/>
      <c r="H20" s="23"/>
      <c r="I20" s="23"/>
      <c r="J20" s="39"/>
      <c r="K20" s="32"/>
      <c r="L20" s="32"/>
      <c r="M20" s="33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>
        <f>SUM(I21)-3.6</f>
        <v>33.299999999999997</v>
      </c>
      <c r="I21" s="51">
        <f>SUM(J21)-3.6</f>
        <v>36.9</v>
      </c>
      <c r="J21" s="39">
        <v>40.5</v>
      </c>
      <c r="K21" s="32">
        <f>SUM(J21)+3.7</f>
        <v>44.2</v>
      </c>
      <c r="L21" s="32">
        <f t="shared" ref="L21:M21" si="3">SUM(K21)+3.7</f>
        <v>47.900000000000006</v>
      </c>
      <c r="M21" s="33">
        <f t="shared" si="3"/>
        <v>51.600000000000009</v>
      </c>
    </row>
    <row r="22" spans="1:13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23"/>
      <c r="I22" s="23"/>
      <c r="J22" s="39"/>
      <c r="K22" s="32"/>
      <c r="L22" s="32"/>
      <c r="M22" s="33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/>
      <c r="I23" s="51"/>
      <c r="J23" s="39"/>
      <c r="K23" s="32"/>
      <c r="L23" s="32"/>
      <c r="M23" s="33"/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68</v>
      </c>
      <c r="C25" s="50"/>
      <c r="D25" s="55" t="s">
        <v>69</v>
      </c>
      <c r="E25" s="55"/>
      <c r="F25" s="55"/>
      <c r="G25" s="55"/>
      <c r="H25" s="51">
        <f>SUM(I25)-0.7</f>
        <v>16</v>
      </c>
      <c r="I25" s="51">
        <f>SUM(J25)-0.7</f>
        <v>16.7</v>
      </c>
      <c r="J25" s="39">
        <v>17.399999999999999</v>
      </c>
      <c r="K25" s="32">
        <f>SUM(J25)+0.7</f>
        <v>18.099999999999998</v>
      </c>
      <c r="L25" s="32">
        <f t="shared" ref="L25:M25" si="4">SUM(K25)+0.7</f>
        <v>18.799999999999997</v>
      </c>
      <c r="M25" s="33">
        <f t="shared" si="4"/>
        <v>19.499999999999996</v>
      </c>
    </row>
    <row r="26" spans="1:13" s="1" customFormat="1" ht="14.1" customHeight="1">
      <c r="A26" s="40"/>
      <c r="B26" s="52" t="s">
        <v>31</v>
      </c>
      <c r="C26" s="52"/>
      <c r="D26" s="36" t="s">
        <v>70</v>
      </c>
      <c r="E26" s="37"/>
      <c r="F26" s="37"/>
      <c r="G26" s="38"/>
      <c r="H26" s="23"/>
      <c r="I26" s="23"/>
      <c r="J26" s="39"/>
      <c r="K26" s="32"/>
      <c r="L26" s="32"/>
      <c r="M26" s="33"/>
    </row>
    <row r="27" spans="1:13" s="1" customFormat="1" ht="14.1" customHeight="1">
      <c r="A27" s="40">
        <v>13</v>
      </c>
      <c r="B27" s="49" t="s">
        <v>148</v>
      </c>
      <c r="C27" s="50"/>
      <c r="D27" s="93"/>
      <c r="E27" s="94"/>
      <c r="F27" s="94"/>
      <c r="G27" s="95"/>
      <c r="H27" s="51">
        <f>SUM(I27)</f>
        <v>10.5</v>
      </c>
      <c r="I27" s="51">
        <f>SUM(J27)</f>
        <v>10.5</v>
      </c>
      <c r="J27" s="39">
        <v>10.5</v>
      </c>
      <c r="K27" s="32">
        <f>SUM(J27)+0.2</f>
        <v>10.7</v>
      </c>
      <c r="L27" s="32">
        <f>SUM(K27)+0.2</f>
        <v>10.899999999999999</v>
      </c>
      <c r="M27" s="33">
        <f>SUM(L27)+0.2</f>
        <v>11.099999999999998</v>
      </c>
    </row>
    <row r="28" spans="1:13" s="1" customFormat="1" ht="14.1" customHeight="1">
      <c r="A28" s="40"/>
      <c r="B28" s="34" t="s">
        <v>149</v>
      </c>
      <c r="C28" s="35"/>
      <c r="D28" s="36" t="s">
        <v>188</v>
      </c>
      <c r="E28" s="37"/>
      <c r="F28" s="37"/>
      <c r="G28" s="38"/>
      <c r="H28" s="23"/>
      <c r="I28" s="23"/>
      <c r="J28" s="39"/>
      <c r="K28" s="32"/>
      <c r="L28" s="32"/>
      <c r="M28" s="33"/>
    </row>
    <row r="29" spans="1:13" s="1" customFormat="1" ht="14.1" customHeight="1">
      <c r="A29" s="66">
        <v>14</v>
      </c>
      <c r="B29" s="49"/>
      <c r="C29" s="50"/>
      <c r="D29" s="93"/>
      <c r="E29" s="94"/>
      <c r="F29" s="94"/>
      <c r="G29" s="95"/>
      <c r="H29" s="87"/>
      <c r="I29" s="51"/>
      <c r="J29" s="39"/>
      <c r="K29" s="32"/>
      <c r="L29" s="32"/>
      <c r="M29" s="82"/>
    </row>
    <row r="30" spans="1:13" s="1" customFormat="1" ht="14.1" customHeight="1">
      <c r="A30" s="111"/>
      <c r="B30" s="34"/>
      <c r="C30" s="35"/>
      <c r="D30" s="36"/>
      <c r="E30" s="37"/>
      <c r="F30" s="37"/>
      <c r="G30" s="38"/>
      <c r="H30" s="86"/>
      <c r="I30" s="23"/>
      <c r="J30" s="39"/>
      <c r="K30" s="32"/>
      <c r="L30" s="32"/>
      <c r="M30" s="82"/>
    </row>
    <row r="31" spans="1:13" s="1" customFormat="1" ht="14.1" customHeight="1">
      <c r="A31" s="40">
        <v>15</v>
      </c>
      <c r="B31" s="49"/>
      <c r="C31" s="50"/>
      <c r="D31" s="93"/>
      <c r="E31" s="94"/>
      <c r="F31" s="94"/>
      <c r="G31" s="95"/>
      <c r="H31" s="87"/>
      <c r="I31" s="51"/>
      <c r="J31" s="39"/>
      <c r="K31" s="32"/>
      <c r="L31" s="32"/>
      <c r="M31" s="82"/>
    </row>
    <row r="32" spans="1:13" s="1" customFormat="1" ht="14.1" customHeight="1">
      <c r="A32" s="40"/>
      <c r="B32" s="52"/>
      <c r="C32" s="52"/>
      <c r="D32" s="36"/>
      <c r="E32" s="37"/>
      <c r="F32" s="37"/>
      <c r="G32" s="38"/>
      <c r="H32" s="86"/>
      <c r="I32" s="23"/>
      <c r="J32" s="39"/>
      <c r="K32" s="32"/>
      <c r="L32" s="32"/>
      <c r="M32" s="82"/>
    </row>
    <row r="33" spans="1:13" s="1" customFormat="1" ht="14.1" customHeight="1">
      <c r="A33" s="66">
        <v>16</v>
      </c>
      <c r="B33" s="53"/>
      <c r="C33" s="54"/>
      <c r="D33" s="44"/>
      <c r="E33" s="45"/>
      <c r="F33" s="45"/>
      <c r="G33" s="46"/>
      <c r="H33" s="88"/>
      <c r="I33" s="47"/>
      <c r="J33" s="21"/>
      <c r="K33" s="23"/>
      <c r="L33" s="23"/>
      <c r="M33" s="76"/>
    </row>
    <row r="34" spans="1:13" s="1" customFormat="1" ht="13.5" customHeight="1" thickBot="1">
      <c r="A34" s="41"/>
      <c r="B34" s="27"/>
      <c r="C34" s="28"/>
      <c r="D34" s="29"/>
      <c r="E34" s="30"/>
      <c r="F34" s="30"/>
      <c r="G34" s="31"/>
      <c r="H34" s="176"/>
      <c r="I34" s="48"/>
      <c r="J34" s="22"/>
      <c r="K34" s="24"/>
      <c r="L34" s="24"/>
      <c r="M34" s="92"/>
    </row>
    <row r="35" spans="1:13" s="1" customFormat="1" ht="14.1" customHeight="1"/>
    <row r="36" spans="1:13" s="1" customFormat="1" ht="14.1" customHeight="1"/>
    <row r="37" spans="1:13" s="1" customFormat="1" ht="14.1" customHeight="1"/>
    <row r="38" spans="1:13" s="1" customFormat="1" ht="14.1" customHeight="1"/>
    <row r="39" spans="1:13" s="1" customFormat="1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>
      <c r="B44" s="19"/>
      <c r="C44" s="19"/>
      <c r="D44" s="19"/>
      <c r="E44" s="19"/>
      <c r="F44" s="19"/>
      <c r="G44" s="19"/>
    </row>
    <row r="45" spans="1:13" ht="14.1" customHeight="1">
      <c r="B45" s="19"/>
      <c r="C45" s="19"/>
      <c r="D45" s="19"/>
      <c r="E45" s="19"/>
      <c r="F45" s="19"/>
      <c r="G45" s="19"/>
    </row>
    <row r="46" spans="1:13" ht="14.1" customHeight="1">
      <c r="B46" s="19"/>
      <c r="C46" s="19"/>
      <c r="D46" s="19"/>
      <c r="E46" s="19"/>
      <c r="F46" s="19"/>
      <c r="G46" s="19"/>
    </row>
    <row r="47" spans="1:13" ht="14.1" customHeight="1"/>
    <row r="48" spans="1:13" ht="14.1" customHeight="1"/>
    <row r="49" ht="14.1" customHeight="1"/>
    <row r="50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4C1E-CEB2-4B61-A52D-AC7F3EA46403}">
  <sheetPr>
    <tabColor theme="5"/>
    <pageSetUpPr fitToPage="1"/>
  </sheetPr>
  <dimension ref="A1:N51"/>
  <sheetViews>
    <sheetView zoomScale="110" zoomScaleNormal="110" workbookViewId="0">
      <selection activeCell="B29" sqref="B29:C2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384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</f>
        <v>34</v>
      </c>
      <c r="I3" s="51">
        <f>SUM(J3)-3</f>
        <v>37</v>
      </c>
      <c r="J3" s="114">
        <v>40</v>
      </c>
      <c r="K3" s="168">
        <f>SUM(J3)+2.5</f>
        <v>42.5</v>
      </c>
      <c r="L3" s="168">
        <f>SUM(K3)+2.5</f>
        <v>45</v>
      </c>
      <c r="M3" s="169">
        <f>SUM(L3)+2.5</f>
        <v>47.5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21.799999999999997</v>
      </c>
      <c r="I5" s="51">
        <f>SUM(J5)-1.6</f>
        <v>23.4</v>
      </c>
      <c r="J5" s="60">
        <v>25</v>
      </c>
      <c r="K5" s="51">
        <f>SUM(J5)+1.4</f>
        <v>26.4</v>
      </c>
      <c r="L5" s="51">
        <f>SUM(K5)+1.4</f>
        <v>27.799999999999997</v>
      </c>
      <c r="M5" s="75">
        <f>SUM(L5)+1.4</f>
        <v>29.199999999999996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29.5</v>
      </c>
      <c r="I7" s="51">
        <f>SUM(J7)-2.25</f>
        <v>31.75</v>
      </c>
      <c r="J7" s="60">
        <v>34</v>
      </c>
      <c r="K7" s="51">
        <f>SUM(J7)+2</f>
        <v>36</v>
      </c>
      <c r="L7" s="51">
        <f>SUM(K7)+2</f>
        <v>38</v>
      </c>
      <c r="M7" s="75">
        <f>SUM(L7)+2</f>
        <v>40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29.5</v>
      </c>
      <c r="I9" s="51">
        <f>SUM(J9)-2.25</f>
        <v>31.75</v>
      </c>
      <c r="J9" s="60">
        <v>34</v>
      </c>
      <c r="K9" s="51">
        <f>SUM(J9)+2</f>
        <v>36</v>
      </c>
      <c r="L9" s="51">
        <f>SUM(K9)+2</f>
        <v>38</v>
      </c>
      <c r="M9" s="75">
        <f>SUM(L9)+2</f>
        <v>40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13.899999999999999</v>
      </c>
      <c r="I11" s="51">
        <f>SUM(J11)-0.9</f>
        <v>14.799999999999999</v>
      </c>
      <c r="J11" s="39">
        <v>15.7</v>
      </c>
      <c r="K11" s="32">
        <f>SUM(J11)+0.9</f>
        <v>16.599999999999998</v>
      </c>
      <c r="L11" s="32">
        <f>SUM(K11)+0.9</f>
        <v>17.499999999999996</v>
      </c>
      <c r="M11" s="82">
        <f>SUM(L11)+0.9</f>
        <v>18.399999999999995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14.8</v>
      </c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82">
        <f>SUM(L13)+0.6</f>
        <v>17.800000000000004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</v>
      </c>
      <c r="I15" s="51">
        <f>SUM(J15)-0.3</f>
        <v>6.3</v>
      </c>
      <c r="J15" s="39">
        <v>6.6</v>
      </c>
      <c r="K15" s="32">
        <f>SUM(J15)+0.3</f>
        <v>6.8999999999999995</v>
      </c>
      <c r="L15" s="32">
        <f>SUM(K15)+0.3</f>
        <v>7.1999999999999993</v>
      </c>
      <c r="M15" s="82">
        <f>SUM(L15)+0.3</f>
        <v>7.4999999999999991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37.799999999999997</v>
      </c>
      <c r="I17" s="51">
        <f>SUM(J17)-1.6</f>
        <v>39.4</v>
      </c>
      <c r="J17" s="39">
        <v>41</v>
      </c>
      <c r="K17" s="32">
        <f>SUM(J17)+1.6</f>
        <v>42.6</v>
      </c>
      <c r="L17" s="32">
        <f>SUM(K17)+1.6</f>
        <v>44.2</v>
      </c>
      <c r="M17" s="82">
        <f>SUM(L17)+1.6</f>
        <v>45.800000000000004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33.099999999999994</v>
      </c>
      <c r="I19" s="51">
        <f>SUM(J19)-3.7</f>
        <v>36.799999999999997</v>
      </c>
      <c r="J19" s="39">
        <v>40.5</v>
      </c>
      <c r="K19" s="32">
        <f>SUM(J19)+3.8</f>
        <v>44.3</v>
      </c>
      <c r="L19" s="32">
        <f>SUM(K19)+3.8</f>
        <v>48.099999999999994</v>
      </c>
      <c r="M19" s="82">
        <f>SUM(L19)+3.8</f>
        <v>51.899999999999991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22.200000000000003</v>
      </c>
      <c r="I21" s="51">
        <f>SUM(J21)-1.4</f>
        <v>23.6</v>
      </c>
      <c r="J21" s="39">
        <v>25</v>
      </c>
      <c r="K21" s="32">
        <f>SUM(J21)+1.4</f>
        <v>26.4</v>
      </c>
      <c r="L21" s="32">
        <f>SUM(K21)+1.4</f>
        <v>27.799999999999997</v>
      </c>
      <c r="M21" s="82">
        <f>SUM(L21)+1.4</f>
        <v>29.199999999999996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14.8</v>
      </c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82">
        <f>SUM(L23)+0.6</f>
        <v>17.800000000000004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385</v>
      </c>
      <c r="C25" s="50"/>
      <c r="D25" s="93"/>
      <c r="E25" s="94"/>
      <c r="F25" s="94"/>
      <c r="G25" s="95"/>
      <c r="H25" s="51">
        <f>SUM(I25)-2.5</f>
        <v>19.8</v>
      </c>
      <c r="I25" s="51">
        <f>SUM(J25)-2.5</f>
        <v>22.3</v>
      </c>
      <c r="J25" s="39">
        <v>24.8</v>
      </c>
      <c r="K25" s="32">
        <f>SUM(J25)+2</f>
        <v>26.8</v>
      </c>
      <c r="L25" s="32">
        <f>SUM(K25)+2</f>
        <v>28.8</v>
      </c>
      <c r="M25" s="82">
        <f>SUM(L25)+2</f>
        <v>30.8</v>
      </c>
    </row>
    <row r="26" spans="1:13" s="1" customFormat="1" ht="14.1" customHeight="1">
      <c r="A26" s="40"/>
      <c r="B26" s="34" t="s">
        <v>386</v>
      </c>
      <c r="C26" s="35"/>
      <c r="D26" s="36" t="s">
        <v>387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 t="s">
        <v>388</v>
      </c>
      <c r="C27" s="50"/>
      <c r="D27" s="93"/>
      <c r="E27" s="94"/>
      <c r="F27" s="94"/>
      <c r="G27" s="95"/>
      <c r="H27" s="51">
        <f>SUM(I27)-0.2</f>
        <v>3.5999999999999996</v>
      </c>
      <c r="I27" s="51">
        <f>SUM(J27)-0.2</f>
        <v>3.8</v>
      </c>
      <c r="J27" s="39">
        <v>4</v>
      </c>
      <c r="K27" s="32">
        <f>SUM(J27)+0.2</f>
        <v>4.2</v>
      </c>
      <c r="L27" s="32">
        <f>SUM(K27)+0.2</f>
        <v>4.4000000000000004</v>
      </c>
      <c r="M27" s="82">
        <f>SUM(L27)+0.2</f>
        <v>4.6000000000000005</v>
      </c>
    </row>
    <row r="28" spans="1:13" s="1" customFormat="1" ht="14.1" customHeight="1">
      <c r="A28" s="40"/>
      <c r="B28" s="34" t="s">
        <v>389</v>
      </c>
      <c r="C28" s="35"/>
      <c r="D28" s="36"/>
      <c r="E28" s="37"/>
      <c r="F28" s="37"/>
      <c r="G28" s="38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49" t="s">
        <v>390</v>
      </c>
      <c r="C29" s="50"/>
      <c r="D29" s="93"/>
      <c r="E29" s="94"/>
      <c r="F29" s="94"/>
      <c r="G29" s="95"/>
      <c r="H29" s="51">
        <f>SUM(I29)-0.3</f>
        <v>8.3999999999999986</v>
      </c>
      <c r="I29" s="51">
        <f>SUM(J29)-0.3</f>
        <v>8.6999999999999993</v>
      </c>
      <c r="J29" s="39">
        <v>9</v>
      </c>
      <c r="K29" s="32">
        <f>SUM(J29)+0.3</f>
        <v>9.3000000000000007</v>
      </c>
      <c r="L29" s="32">
        <f>SUM(K29)+0.3</f>
        <v>9.6000000000000014</v>
      </c>
      <c r="M29" s="82">
        <f>SUM(L29)+0.3</f>
        <v>9.9000000000000021</v>
      </c>
    </row>
    <row r="30" spans="1:13" s="1" customFormat="1" ht="13.5" customHeight="1">
      <c r="A30" s="40"/>
      <c r="B30" s="34" t="s">
        <v>391</v>
      </c>
      <c r="C30" s="35"/>
      <c r="D30" s="36" t="s">
        <v>392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3" ht="13.5" customHeight="1">
      <c r="A31" s="40">
        <v>15</v>
      </c>
      <c r="B31" s="49" t="s">
        <v>390</v>
      </c>
      <c r="C31" s="50"/>
      <c r="D31" s="93"/>
      <c r="E31" s="94"/>
      <c r="F31" s="94"/>
      <c r="G31" s="95"/>
      <c r="H31" s="51">
        <f>SUM(I31)-0.3</f>
        <v>8.5999999999999979</v>
      </c>
      <c r="I31" s="51">
        <f>SUM(J31)-0.3</f>
        <v>8.8999999999999986</v>
      </c>
      <c r="J31" s="39">
        <v>9.1999999999999993</v>
      </c>
      <c r="K31" s="32">
        <f>SUM(J31)+0.3</f>
        <v>9.5</v>
      </c>
      <c r="L31" s="32">
        <f>SUM(K31)+0.3</f>
        <v>9.8000000000000007</v>
      </c>
      <c r="M31" s="82">
        <f>SUM(L31)+0.3</f>
        <v>10.100000000000001</v>
      </c>
    </row>
    <row r="32" spans="1:13" ht="14.1" customHeight="1">
      <c r="A32" s="40"/>
      <c r="B32" s="34" t="s">
        <v>391</v>
      </c>
      <c r="C32" s="35"/>
      <c r="D32" s="36" t="s">
        <v>393</v>
      </c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I31:I32"/>
    <mergeCell ref="J31:J32"/>
    <mergeCell ref="K31:K32"/>
    <mergeCell ref="L31:L32"/>
    <mergeCell ref="M31:M32"/>
    <mergeCell ref="B32:C32"/>
    <mergeCell ref="D32:G32"/>
    <mergeCell ref="B30:C30"/>
    <mergeCell ref="D30:G30"/>
    <mergeCell ref="A31:A32"/>
    <mergeCell ref="B31:C31"/>
    <mergeCell ref="D31:G31"/>
    <mergeCell ref="H31:H32"/>
    <mergeCell ref="A1:M1"/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D025-E686-4EF4-892C-7D1C8DE27242}">
  <sheetPr>
    <tabColor theme="5"/>
    <pageSetUpPr fitToPage="1"/>
  </sheetPr>
  <dimension ref="A1:O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62" t="s">
        <v>613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5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17" t="s">
        <v>239</v>
      </c>
    </row>
    <row r="3" spans="1:15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35.299999999999997</v>
      </c>
      <c r="I3" s="51">
        <f>SUM(J3)-3.5</f>
        <v>38.799999999999997</v>
      </c>
      <c r="J3" s="114">
        <v>42.3</v>
      </c>
      <c r="K3" s="168">
        <f>SUM(J3)+3</f>
        <v>45.3</v>
      </c>
      <c r="L3" s="168">
        <f>SUM(K3)+3</f>
        <v>48.3</v>
      </c>
      <c r="M3" s="168">
        <f>SUM(L3)+3</f>
        <v>51.3</v>
      </c>
      <c r="N3" s="251">
        <f>SUM(M3)+3</f>
        <v>54.3</v>
      </c>
    </row>
    <row r="4" spans="1:15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123"/>
    </row>
    <row r="5" spans="1:15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38.399999999999991</v>
      </c>
      <c r="I5" s="51">
        <f>SUM(J5)-2.2</f>
        <v>40.599999999999994</v>
      </c>
      <c r="J5" s="60">
        <v>42.8</v>
      </c>
      <c r="K5" s="51">
        <f>SUM(J5)+2</f>
        <v>44.8</v>
      </c>
      <c r="L5" s="51">
        <f t="shared" ref="L5:N5" si="0">SUM(K5)+2</f>
        <v>46.8</v>
      </c>
      <c r="M5" s="51">
        <f t="shared" si="0"/>
        <v>48.8</v>
      </c>
      <c r="N5" s="75">
        <f t="shared" si="0"/>
        <v>50.8</v>
      </c>
    </row>
    <row r="6" spans="1:15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5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38.5</v>
      </c>
      <c r="I7" s="51">
        <f>SUM(J7)-2.25</f>
        <v>40.75</v>
      </c>
      <c r="J7" s="60">
        <v>43</v>
      </c>
      <c r="K7" s="51">
        <f>SUM(J7)+2</f>
        <v>45</v>
      </c>
      <c r="L7" s="51">
        <f>SUM(K7)+2</f>
        <v>47</v>
      </c>
      <c r="M7" s="51">
        <f>SUM(L7)+2</f>
        <v>49</v>
      </c>
      <c r="N7" s="123">
        <f>SUM(M7)+2</f>
        <v>51</v>
      </c>
    </row>
    <row r="8" spans="1:15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5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31.400000000000002</v>
      </c>
      <c r="I9" s="51">
        <f>SUM(J9)-1.8</f>
        <v>33.200000000000003</v>
      </c>
      <c r="J9" s="60">
        <v>35</v>
      </c>
      <c r="K9" s="51">
        <f>SUM(J9)+1.6</f>
        <v>36.6</v>
      </c>
      <c r="L9" s="51">
        <f t="shared" ref="L9:N9" si="1">SUM(K9)+1.6</f>
        <v>38.200000000000003</v>
      </c>
      <c r="M9" s="51">
        <f t="shared" si="1"/>
        <v>39.800000000000004</v>
      </c>
      <c r="N9" s="75">
        <f t="shared" si="1"/>
        <v>41.400000000000006</v>
      </c>
      <c r="O9" s="1" t="s">
        <v>173</v>
      </c>
    </row>
    <row r="10" spans="1:15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5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15.399999999999999</v>
      </c>
      <c r="I11" s="51">
        <f>SUM(J11)-0.8</f>
        <v>16.2</v>
      </c>
      <c r="J11" s="39">
        <v>17</v>
      </c>
      <c r="K11" s="32">
        <f>SUM(J11)+0.8</f>
        <v>17.8</v>
      </c>
      <c r="L11" s="32">
        <f>SUM(K11)+0.8</f>
        <v>18.600000000000001</v>
      </c>
      <c r="M11" s="32">
        <f>SUM(L11)+0.8</f>
        <v>19.400000000000002</v>
      </c>
      <c r="N11" s="126">
        <f>SUM(M11)+0.8</f>
        <v>20.200000000000003</v>
      </c>
    </row>
    <row r="12" spans="1:15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126"/>
    </row>
    <row r="13" spans="1:15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11.9</v>
      </c>
      <c r="I13" s="51">
        <f>SUM(J13)-0.6</f>
        <v>12.5</v>
      </c>
      <c r="J13" s="39">
        <v>13.1</v>
      </c>
      <c r="K13" s="32">
        <f>SUM(J13)+0.6</f>
        <v>13.7</v>
      </c>
      <c r="L13" s="32">
        <f>SUM(K13)+0.6</f>
        <v>14.299999999999999</v>
      </c>
      <c r="M13" s="32">
        <f>SUM(L13)+0.6</f>
        <v>14.899999999999999</v>
      </c>
      <c r="N13" s="126">
        <f>SUM(M13)+0.6</f>
        <v>15.499999999999998</v>
      </c>
    </row>
    <row r="14" spans="1:15" s="1" customFormat="1" ht="14.1" customHeight="1">
      <c r="A14" s="40"/>
      <c r="B14" s="52" t="s">
        <v>27</v>
      </c>
      <c r="C14" s="52"/>
      <c r="D14" s="36" t="s">
        <v>614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</row>
    <row r="15" spans="1:15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5.4</v>
      </c>
      <c r="I15" s="51">
        <f>SUM(J15)-0.3</f>
        <v>5.7</v>
      </c>
      <c r="J15" s="39">
        <v>6</v>
      </c>
      <c r="K15" s="32">
        <f>SUM(J15)+0.3</f>
        <v>6.3</v>
      </c>
      <c r="L15" s="32">
        <f>SUM(K15)+0.3</f>
        <v>6.6</v>
      </c>
      <c r="M15" s="32">
        <f>SUM(L15)+0.3</f>
        <v>6.8999999999999995</v>
      </c>
      <c r="N15" s="126">
        <f>SUM(M15)+0.3</f>
        <v>7.1999999999999993</v>
      </c>
    </row>
    <row r="16" spans="1:15" s="1" customFormat="1" ht="14.1" customHeight="1">
      <c r="A16" s="40"/>
      <c r="B16" s="52" t="s">
        <v>28</v>
      </c>
      <c r="C16" s="52"/>
      <c r="D16" s="36" t="s">
        <v>849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615</v>
      </c>
      <c r="E17" s="58"/>
      <c r="F17" s="58"/>
      <c r="G17" s="59"/>
      <c r="H17" s="51">
        <f>SUM(I17)-1.6</f>
        <v>36.299999999999997</v>
      </c>
      <c r="I17" s="51">
        <f>SUM(J17)-1.6</f>
        <v>37.9</v>
      </c>
      <c r="J17" s="39">
        <v>39.5</v>
      </c>
      <c r="K17" s="32">
        <f>SUM(J17)+1.6</f>
        <v>41.1</v>
      </c>
      <c r="L17" s="32">
        <f>SUM(K17)+1.6</f>
        <v>42.7</v>
      </c>
      <c r="M17" s="32">
        <f>SUM(L17)+1.6</f>
        <v>44.300000000000004</v>
      </c>
      <c r="N17" s="126">
        <f>SUM(M17)+1.6</f>
        <v>45.900000000000006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25.700000000000003</v>
      </c>
      <c r="I19" s="51">
        <f>SUM(J19)-3.4</f>
        <v>29.1</v>
      </c>
      <c r="J19" s="39">
        <v>32.5</v>
      </c>
      <c r="K19" s="32">
        <f>SUM(J19)+3.5</f>
        <v>36</v>
      </c>
      <c r="L19" s="32">
        <f t="shared" ref="L19:N19" si="2">SUM(K19)+3.5</f>
        <v>39.5</v>
      </c>
      <c r="M19" s="32">
        <f t="shared" si="2"/>
        <v>43</v>
      </c>
      <c r="N19" s="82">
        <f t="shared" si="2"/>
        <v>46.5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29.9</v>
      </c>
      <c r="I21" s="51">
        <f>SUM(J21)-1.6</f>
        <v>31.5</v>
      </c>
      <c r="J21" s="39">
        <v>33.1</v>
      </c>
      <c r="K21" s="32">
        <f>SUM(J21)+1.6</f>
        <v>34.700000000000003</v>
      </c>
      <c r="L21" s="32">
        <f t="shared" ref="L21:N21" si="3">SUM(K21)+1.6</f>
        <v>36.300000000000004</v>
      </c>
      <c r="M21" s="32">
        <f t="shared" si="3"/>
        <v>37.900000000000006</v>
      </c>
      <c r="N21" s="82">
        <f t="shared" si="3"/>
        <v>39.500000000000007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32">
        <f>SUM(L23)+0.6</f>
        <v>17</v>
      </c>
      <c r="N23" s="126">
        <f>SUM(M23)+0.6</f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126"/>
    </row>
    <row r="25" spans="1:14" s="1" customFormat="1" ht="14.1" customHeight="1">
      <c r="A25" s="40">
        <v>12</v>
      </c>
      <c r="B25" s="56" t="s">
        <v>524</v>
      </c>
      <c r="C25" s="56"/>
      <c r="D25" s="55"/>
      <c r="E25" s="55"/>
      <c r="F25" s="55"/>
      <c r="G25" s="55"/>
      <c r="H25" s="51">
        <f>SUM(I25)-0.5</f>
        <v>7.6</v>
      </c>
      <c r="I25" s="51">
        <f>SUM(J25)-0.5</f>
        <v>8.1</v>
      </c>
      <c r="J25" s="60">
        <v>8.6</v>
      </c>
      <c r="K25" s="51">
        <f>SUM(J25)+0.4</f>
        <v>9</v>
      </c>
      <c r="L25" s="51">
        <f t="shared" ref="L25:N25" si="4">SUM(K25)+0.4</f>
        <v>9.4</v>
      </c>
      <c r="M25" s="51">
        <f t="shared" si="4"/>
        <v>9.8000000000000007</v>
      </c>
      <c r="N25" s="75">
        <f t="shared" si="4"/>
        <v>10.200000000000001</v>
      </c>
    </row>
    <row r="26" spans="1:14" s="1" customFormat="1" ht="14.1" customHeight="1">
      <c r="A26" s="40"/>
      <c r="B26" s="52" t="s">
        <v>391</v>
      </c>
      <c r="C26" s="52"/>
      <c r="D26" s="36" t="s">
        <v>595</v>
      </c>
      <c r="E26" s="37"/>
      <c r="F26" s="37"/>
      <c r="G26" s="38"/>
      <c r="H26" s="23"/>
      <c r="I26" s="23"/>
      <c r="J26" s="21"/>
      <c r="K26" s="23"/>
      <c r="L26" s="23"/>
      <c r="M26" s="23"/>
      <c r="N26" s="76"/>
    </row>
    <row r="27" spans="1:14" s="1" customFormat="1" ht="14.1" customHeight="1">
      <c r="A27" s="40">
        <v>13</v>
      </c>
      <c r="B27" s="49" t="s">
        <v>141</v>
      </c>
      <c r="C27" s="50"/>
      <c r="D27" s="93"/>
      <c r="E27" s="94"/>
      <c r="F27" s="94"/>
      <c r="G27" s="95"/>
      <c r="H27" s="51">
        <f>SUM(I27)-0.2</f>
        <v>3.3999999999999995</v>
      </c>
      <c r="I27" s="51">
        <f>SUM(J27)-0.2</f>
        <v>3.5999999999999996</v>
      </c>
      <c r="J27" s="39">
        <v>3.8</v>
      </c>
      <c r="K27" s="32">
        <f>SUM(J27)+0.2</f>
        <v>4</v>
      </c>
      <c r="L27" s="32">
        <f t="shared" ref="L27:N27" si="5">SUM(K27)+0.2</f>
        <v>4.2</v>
      </c>
      <c r="M27" s="32">
        <f t="shared" si="5"/>
        <v>4.4000000000000004</v>
      </c>
      <c r="N27" s="82">
        <f t="shared" si="5"/>
        <v>4.6000000000000005</v>
      </c>
    </row>
    <row r="28" spans="1:14" s="1" customFormat="1" ht="14.1" customHeight="1" thickBot="1">
      <c r="A28" s="41"/>
      <c r="B28" s="27" t="s">
        <v>140</v>
      </c>
      <c r="C28" s="28"/>
      <c r="D28" s="29" t="s">
        <v>596</v>
      </c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13.5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EBEF-8ED9-4BF9-A317-6C9EFE928725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394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35</v>
      </c>
      <c r="I3" s="51">
        <f>SUM(J3)-3.5</f>
        <v>38.5</v>
      </c>
      <c r="J3" s="114">
        <v>42</v>
      </c>
      <c r="K3" s="168">
        <f>SUM(J3)+3</f>
        <v>45</v>
      </c>
      <c r="L3" s="168">
        <f>SUM(K3)+3</f>
        <v>48</v>
      </c>
      <c r="M3" s="169">
        <f>SUM(L3)+3</f>
        <v>51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>SUM(K5)+1.6</f>
        <v>28.200000000000003</v>
      </c>
      <c r="M5" s="75">
        <f>SUM(L5)+1.6</f>
        <v>29.800000000000004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26</v>
      </c>
      <c r="I7" s="51">
        <f>SUM(J7)-2</f>
        <v>28</v>
      </c>
      <c r="J7" s="60">
        <v>30</v>
      </c>
      <c r="K7" s="51">
        <f>SUM(J7)+1.8</f>
        <v>31.8</v>
      </c>
      <c r="L7" s="51">
        <f>SUM(K7)+1.8</f>
        <v>33.6</v>
      </c>
      <c r="M7" s="75">
        <f>SUM(L7)+1.8</f>
        <v>35.4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26</v>
      </c>
      <c r="I9" s="51">
        <f>SUM(J9)-2</f>
        <v>28</v>
      </c>
      <c r="J9" s="60">
        <v>30</v>
      </c>
      <c r="K9" s="51">
        <f>SUM(J9)+1.8</f>
        <v>31.8</v>
      </c>
      <c r="L9" s="51">
        <f>SUM(K9)+1.8</f>
        <v>33.6</v>
      </c>
      <c r="M9" s="75">
        <f>SUM(L9)+1.8</f>
        <v>35.4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12.7</v>
      </c>
      <c r="I11" s="51">
        <f>SUM(J11)-0.8</f>
        <v>13.5</v>
      </c>
      <c r="J11" s="39">
        <v>14.3</v>
      </c>
      <c r="K11" s="32">
        <f>SUM(J11)+0.8</f>
        <v>15.100000000000001</v>
      </c>
      <c r="L11" s="32">
        <f>SUM(K11)+0.8</f>
        <v>15.900000000000002</v>
      </c>
      <c r="M11" s="82">
        <f>SUM(L11)+0.8</f>
        <v>16.700000000000003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82">
        <f>SUM(L13)+0.6</f>
        <v>14.999999999999998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4.9000000000000004</v>
      </c>
      <c r="I15" s="51">
        <f>SUM(J15)-0.3</f>
        <v>5.2</v>
      </c>
      <c r="J15" s="39">
        <v>5.5</v>
      </c>
      <c r="K15" s="32">
        <f>SUM(J15)+0.3</f>
        <v>5.8</v>
      </c>
      <c r="L15" s="32">
        <f>SUM(K15)+0.3</f>
        <v>6.1</v>
      </c>
      <c r="M15" s="82">
        <f>SUM(L15)+0.3</f>
        <v>6.3999999999999995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33.299999999999997</v>
      </c>
      <c r="I17" s="51">
        <f>SUM(J17)-1.6</f>
        <v>34.9</v>
      </c>
      <c r="J17" s="39">
        <v>36.5</v>
      </c>
      <c r="K17" s="32">
        <f>SUM(J17)+1.6</f>
        <v>38.1</v>
      </c>
      <c r="L17" s="32">
        <f>SUM(K17)+1.6</f>
        <v>39.700000000000003</v>
      </c>
      <c r="M17" s="82">
        <f>SUM(L17)+1.6</f>
        <v>41.300000000000004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33.299999999999997</v>
      </c>
      <c r="I19" s="51">
        <f>SUM(J19)-3.6</f>
        <v>36.9</v>
      </c>
      <c r="J19" s="39">
        <v>40.5</v>
      </c>
      <c r="K19" s="32">
        <f>SUM(J19)+3.7</f>
        <v>44.2</v>
      </c>
      <c r="L19" s="32">
        <f>SUM(K19)+3.7</f>
        <v>47.900000000000006</v>
      </c>
      <c r="M19" s="82">
        <f>SUM(L19)+3.7</f>
        <v>51.600000000000009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SUM(I21)-1.3</f>
        <v>21</v>
      </c>
      <c r="I21" s="51">
        <f>SUM(J21)-1.3</f>
        <v>22.3</v>
      </c>
      <c r="J21" s="39">
        <v>23.6</v>
      </c>
      <c r="K21" s="32">
        <f>SUM(J21)+1.3</f>
        <v>24.900000000000002</v>
      </c>
      <c r="L21" s="32">
        <f>SUM(K21)+1.3</f>
        <v>26.200000000000003</v>
      </c>
      <c r="M21" s="82">
        <f>SUM(L21)+1.3</f>
        <v>27.500000000000004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82">
        <f>SUM(L23)+0.6</f>
        <v>17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SUM(I25)-0.6</f>
        <v>6.3000000000000007</v>
      </c>
      <c r="I25" s="51">
        <f>SUM(J25)-0.6</f>
        <v>6.9</v>
      </c>
      <c r="J25" s="39">
        <v>7.5</v>
      </c>
      <c r="K25" s="32">
        <f>SUM(J25)+0.5</f>
        <v>8</v>
      </c>
      <c r="L25" s="32">
        <f>SUM(K25)+0.5</f>
        <v>8.5</v>
      </c>
      <c r="M25" s="82">
        <f>SUM(L25)+0.5</f>
        <v>9</v>
      </c>
    </row>
    <row r="26" spans="1:13" s="1" customFormat="1" ht="14.1" customHeight="1">
      <c r="A26" s="40"/>
      <c r="B26" s="34" t="s">
        <v>140</v>
      </c>
      <c r="C26" s="35"/>
      <c r="D26" s="36" t="s">
        <v>395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 t="s">
        <v>139</v>
      </c>
      <c r="C27" s="50"/>
      <c r="D27" s="93"/>
      <c r="E27" s="94"/>
      <c r="F27" s="94"/>
      <c r="G27" s="95"/>
      <c r="H27" s="51">
        <f>SUM(I27)-1.5</f>
        <v>13.8</v>
      </c>
      <c r="I27" s="51">
        <f>SUM(J27)-1.5</f>
        <v>15.3</v>
      </c>
      <c r="J27" s="39">
        <v>16.8</v>
      </c>
      <c r="K27" s="32">
        <f>SUM(J27)+1</f>
        <v>17.8</v>
      </c>
      <c r="L27" s="32">
        <f>SUM(K27)+1</f>
        <v>18.8</v>
      </c>
      <c r="M27" s="82">
        <f>SUM(L27)+1</f>
        <v>19.8</v>
      </c>
    </row>
    <row r="28" spans="1:13" s="1" customFormat="1" ht="14.1" customHeight="1">
      <c r="A28" s="40"/>
      <c r="B28" s="34" t="s">
        <v>138</v>
      </c>
      <c r="C28" s="35"/>
      <c r="D28" s="36" t="s">
        <v>396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82"/>
    </row>
    <row r="30" spans="1:13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3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3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8B0F-1644-48F3-B7FA-307E6E0A1BCC}">
  <sheetPr>
    <tabColor theme="5"/>
    <pageSetUpPr fitToPage="1"/>
  </sheetPr>
  <dimension ref="A1:P51"/>
  <sheetViews>
    <sheetView zoomScale="110" zoomScaleNormal="110" workbookViewId="0">
      <selection activeCell="Q19" sqref="Q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397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35</v>
      </c>
      <c r="I3" s="51">
        <f>SUM(J3)-3.5</f>
        <v>38.5</v>
      </c>
      <c r="J3" s="114">
        <v>42</v>
      </c>
      <c r="K3" s="168">
        <f>SUM(J3)+3</f>
        <v>45</v>
      </c>
      <c r="L3" s="168">
        <f>SUM(K3)+3</f>
        <v>48</v>
      </c>
      <c r="M3" s="169">
        <f>SUM(L3)+3</f>
        <v>51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22.4</v>
      </c>
      <c r="I5" s="51">
        <f>SUM(J5)-1.8</f>
        <v>24.2</v>
      </c>
      <c r="J5" s="60">
        <v>26</v>
      </c>
      <c r="K5" s="51">
        <f>SUM(J5)+1.6</f>
        <v>27.6</v>
      </c>
      <c r="L5" s="51">
        <f>SUM(K5)+1.6</f>
        <v>29.200000000000003</v>
      </c>
      <c r="M5" s="75">
        <f>SUM(L5)+1.6</f>
        <v>30.800000000000004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27</v>
      </c>
      <c r="I7" s="51">
        <f>SUM(J7)-2</f>
        <v>29</v>
      </c>
      <c r="J7" s="60">
        <v>31</v>
      </c>
      <c r="K7" s="51">
        <f>SUM(J7)+1.8</f>
        <v>32.799999999999997</v>
      </c>
      <c r="L7" s="51">
        <f>SUM(K7)+1.8</f>
        <v>34.599999999999994</v>
      </c>
      <c r="M7" s="75">
        <f>SUM(L7)+1.8</f>
        <v>36.399999999999991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27</v>
      </c>
      <c r="I9" s="51">
        <f>SUM(J9)-2</f>
        <v>29</v>
      </c>
      <c r="J9" s="60">
        <v>31</v>
      </c>
      <c r="K9" s="51">
        <f>SUM(J9)+1.8</f>
        <v>32.799999999999997</v>
      </c>
      <c r="L9" s="51">
        <f>SUM(K9)+1.8</f>
        <v>34.599999999999994</v>
      </c>
      <c r="M9" s="75">
        <f>SUM(L9)+1.8</f>
        <v>36.399999999999991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12.399999999999999</v>
      </c>
      <c r="I11" s="51">
        <f>SUM(J11)-0.8</f>
        <v>13.2</v>
      </c>
      <c r="J11" s="39">
        <v>14</v>
      </c>
      <c r="K11" s="32">
        <f>SUM(J11)+0.8</f>
        <v>14.8</v>
      </c>
      <c r="L11" s="32">
        <f>SUM(K11)+0.8</f>
        <v>15.600000000000001</v>
      </c>
      <c r="M11" s="82">
        <f>SUM(L11)+0.8</f>
        <v>16.400000000000002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15.3</v>
      </c>
      <c r="I13" s="51">
        <f>SUM(J13)-0.6</f>
        <v>15.9</v>
      </c>
      <c r="J13" s="39">
        <v>16.5</v>
      </c>
      <c r="K13" s="32">
        <f>SUM(J13)+0.6</f>
        <v>17.100000000000001</v>
      </c>
      <c r="L13" s="32">
        <f>SUM(K13)+0.6</f>
        <v>17.700000000000003</v>
      </c>
      <c r="M13" s="82">
        <f>SUM(L13)+0.6</f>
        <v>18.300000000000004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5.6000000000000005</v>
      </c>
      <c r="I15" s="51">
        <f>SUM(J15)-0.3</f>
        <v>5.9</v>
      </c>
      <c r="J15" s="39">
        <v>6.2</v>
      </c>
      <c r="K15" s="32">
        <f>SUM(J15)+0.3</f>
        <v>6.5</v>
      </c>
      <c r="L15" s="32">
        <f>SUM(K15)+0.3</f>
        <v>6.8</v>
      </c>
      <c r="M15" s="82">
        <f>SUM(L15)+0.3</f>
        <v>7.1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6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82">
        <f>SUM(L17)+1.6</f>
        <v>46.800000000000004</v>
      </c>
    </row>
    <row r="18" spans="1:16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6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32.799999999999997</v>
      </c>
      <c r="I19" s="51">
        <f>SUM(J19)-3.6</f>
        <v>36.4</v>
      </c>
      <c r="J19" s="39">
        <v>40</v>
      </c>
      <c r="K19" s="32">
        <f>SUM(J19)+3.7</f>
        <v>43.7</v>
      </c>
      <c r="L19" s="32">
        <f>SUM(K19)+3.7</f>
        <v>47.400000000000006</v>
      </c>
      <c r="M19" s="82">
        <f>SUM(L19)+3.7</f>
        <v>51.100000000000009</v>
      </c>
    </row>
    <row r="20" spans="1:16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6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SUM(I21)-1.3</f>
        <v>21</v>
      </c>
      <c r="I21" s="51">
        <f>SUM(J21)-1.3</f>
        <v>22.3</v>
      </c>
      <c r="J21" s="39">
        <v>23.6</v>
      </c>
      <c r="K21" s="32">
        <f>SUM(J21)+1.3</f>
        <v>24.900000000000002</v>
      </c>
      <c r="L21" s="32">
        <f>SUM(K21)+1.3</f>
        <v>26.200000000000003</v>
      </c>
      <c r="M21" s="82">
        <f>SUM(L21)+1.3</f>
        <v>27.500000000000004</v>
      </c>
    </row>
    <row r="22" spans="1:16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6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14.8</v>
      </c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82">
        <f>SUM(L23)+0.6</f>
        <v>17.800000000000004</v>
      </c>
    </row>
    <row r="24" spans="1:16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  <c r="P24" s="1" t="s">
        <v>366</v>
      </c>
    </row>
    <row r="25" spans="1:16" s="1" customFormat="1" ht="14.1" customHeight="1">
      <c r="A25" s="40">
        <v>12</v>
      </c>
      <c r="B25" s="49" t="s">
        <v>398</v>
      </c>
      <c r="C25" s="50"/>
      <c r="D25" s="93"/>
      <c r="E25" s="94"/>
      <c r="F25" s="94"/>
      <c r="G25" s="95"/>
      <c r="H25" s="51">
        <f>SUM(I25)-0.5</f>
        <v>4.5</v>
      </c>
      <c r="I25" s="51">
        <f>SUM(J25)-0.5</f>
        <v>5</v>
      </c>
      <c r="J25" s="39">
        <v>5.5</v>
      </c>
      <c r="K25" s="32">
        <f>SUM(J25)+0.5</f>
        <v>6</v>
      </c>
      <c r="L25" s="32">
        <f>SUM(K25)+0.5</f>
        <v>6.5</v>
      </c>
      <c r="M25" s="82">
        <f>SUM(L25)+0.5</f>
        <v>7</v>
      </c>
      <c r="P25" s="1">
        <f>SUM(H25+H25+I25+I25+J25+J25+K25+K25+L25+L25+M25+M25)</f>
        <v>69</v>
      </c>
    </row>
    <row r="26" spans="1:16" s="1" customFormat="1" ht="14.1" customHeight="1">
      <c r="A26" s="40"/>
      <c r="B26" s="34" t="s">
        <v>399</v>
      </c>
      <c r="C26" s="35"/>
      <c r="D26" s="36"/>
      <c r="E26" s="37"/>
      <c r="F26" s="37"/>
      <c r="G26" s="38"/>
      <c r="H26" s="23"/>
      <c r="I26" s="23"/>
      <c r="J26" s="39"/>
      <c r="K26" s="32"/>
      <c r="L26" s="32"/>
      <c r="M26" s="82"/>
      <c r="P26" s="1">
        <f>SUM(P25/91.44/6*1.08)</f>
        <v>0.13582677165354334</v>
      </c>
    </row>
    <row r="27" spans="1:16" s="1" customFormat="1" ht="14.1" customHeight="1">
      <c r="A27" s="40">
        <v>13</v>
      </c>
      <c r="B27" s="49" t="s">
        <v>262</v>
      </c>
      <c r="C27" s="50"/>
      <c r="D27" s="93"/>
      <c r="E27" s="94"/>
      <c r="F27" s="94"/>
      <c r="G27" s="95"/>
      <c r="H27" s="51">
        <f>SUM(I27)-0.4</f>
        <v>3.2</v>
      </c>
      <c r="I27" s="51">
        <f>SUM(J27)-0.4</f>
        <v>3.6</v>
      </c>
      <c r="J27" s="39">
        <v>4</v>
      </c>
      <c r="K27" s="32">
        <f>SUM(J27)+0.4</f>
        <v>4.4000000000000004</v>
      </c>
      <c r="L27" s="32">
        <f>SUM(K27)+0.4</f>
        <v>4.8000000000000007</v>
      </c>
      <c r="M27" s="82">
        <f>SUM(L27)+0.4</f>
        <v>5.2000000000000011</v>
      </c>
    </row>
    <row r="28" spans="1:16" s="1" customFormat="1" ht="14.1" customHeight="1">
      <c r="A28" s="40"/>
      <c r="B28" s="34" t="s">
        <v>400</v>
      </c>
      <c r="C28" s="35"/>
      <c r="D28" s="36" t="s">
        <v>185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6" s="1" customFormat="1" ht="14.1" customHeight="1">
      <c r="A29" s="40">
        <v>14</v>
      </c>
      <c r="B29" s="49" t="s">
        <v>186</v>
      </c>
      <c r="C29" s="50"/>
      <c r="D29" s="93"/>
      <c r="E29" s="94"/>
      <c r="F29" s="94"/>
      <c r="G29" s="95"/>
      <c r="H29" s="51">
        <f>SUM(I29)-0.9</f>
        <v>12.2</v>
      </c>
      <c r="I29" s="51">
        <f>SUM(J29)-0.9</f>
        <v>13.1</v>
      </c>
      <c r="J29" s="39">
        <v>14</v>
      </c>
      <c r="K29" s="32">
        <f>SUM(J29)+0.9</f>
        <v>14.9</v>
      </c>
      <c r="L29" s="32">
        <f>SUM(K29)+0.9</f>
        <v>15.8</v>
      </c>
      <c r="M29" s="82">
        <f>SUM(L29)+0.9</f>
        <v>16.7</v>
      </c>
    </row>
    <row r="30" spans="1:16" s="1" customFormat="1" ht="13.5" customHeight="1">
      <c r="A30" s="40"/>
      <c r="B30" s="34" t="s">
        <v>401</v>
      </c>
      <c r="C30" s="35"/>
      <c r="D30" s="36" t="s">
        <v>188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6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6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BA94-D0F3-4F26-B718-CA8791552731}">
  <sheetPr>
    <tabColor theme="5"/>
    <pageSetUpPr fitToPage="1"/>
  </sheetPr>
  <dimension ref="A1:P51"/>
  <sheetViews>
    <sheetView zoomScale="110" zoomScaleNormal="110" workbookViewId="0">
      <selection activeCell="Q13" sqref="Q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666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</f>
        <v>34</v>
      </c>
      <c r="I3" s="51">
        <f>SUM(J3)-3</f>
        <v>37</v>
      </c>
      <c r="J3" s="114">
        <v>40</v>
      </c>
      <c r="K3" s="168">
        <f>SUM(J3)+2.5</f>
        <v>42.5</v>
      </c>
      <c r="L3" s="168">
        <f>SUM(K3)+2.5</f>
        <v>45</v>
      </c>
      <c r="M3" s="169">
        <f>SUM(L3)+2.5</f>
        <v>47.5</v>
      </c>
    </row>
    <row r="4" spans="1:13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21.799999999999997</v>
      </c>
      <c r="I5" s="51">
        <f>SUM(J5)-1.6</f>
        <v>23.4</v>
      </c>
      <c r="J5" s="60">
        <v>25</v>
      </c>
      <c r="K5" s="51">
        <f>SUM(J5)+1.4</f>
        <v>26.4</v>
      </c>
      <c r="L5" s="51">
        <f>SUM(K5)+1.4</f>
        <v>27.799999999999997</v>
      </c>
      <c r="M5" s="75">
        <f>SUM(L5)+1.4</f>
        <v>29.199999999999996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27.5</v>
      </c>
      <c r="I7" s="51">
        <f>SUM(J7)-2</f>
        <v>29.5</v>
      </c>
      <c r="J7" s="60">
        <v>31.5</v>
      </c>
      <c r="K7" s="51">
        <f>SUM(J7)+1.8</f>
        <v>33.299999999999997</v>
      </c>
      <c r="L7" s="51">
        <f>SUM(K7)+1.8</f>
        <v>35.099999999999994</v>
      </c>
      <c r="M7" s="75">
        <f>SUM(L7)+1.8</f>
        <v>36.899999999999991</v>
      </c>
    </row>
    <row r="8" spans="1:13" s="1" customFormat="1" ht="14.1" customHeight="1">
      <c r="A8" s="40"/>
      <c r="B8" s="52" t="s">
        <v>445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28.5</v>
      </c>
      <c r="I9" s="51">
        <f>SUM(J9)-2</f>
        <v>30.5</v>
      </c>
      <c r="J9" s="60">
        <v>32.5</v>
      </c>
      <c r="K9" s="51">
        <f>SUM(J9)+1.8</f>
        <v>34.299999999999997</v>
      </c>
      <c r="L9" s="51">
        <f>SUM(K9)+1.8</f>
        <v>36.099999999999994</v>
      </c>
      <c r="M9" s="75">
        <f>SUM(L9)+1.8</f>
        <v>37.899999999999991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13.799999999999999</v>
      </c>
      <c r="I11" s="51">
        <f>SUM(J11)-0.8</f>
        <v>14.6</v>
      </c>
      <c r="J11" s="39">
        <v>15.4</v>
      </c>
      <c r="K11" s="32">
        <f>SUM(J11)+0.9</f>
        <v>16.3</v>
      </c>
      <c r="L11" s="32">
        <f>SUM(K11)+0.8</f>
        <v>17.100000000000001</v>
      </c>
      <c r="M11" s="82">
        <f>SUM(L11)+0.9</f>
        <v>18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14.200000000000001</v>
      </c>
      <c r="I13" s="51">
        <f>SUM(J13)-0.6</f>
        <v>14.8</v>
      </c>
      <c r="J13" s="39">
        <v>15.4</v>
      </c>
      <c r="K13" s="32">
        <f>SUM(J13)+0.6</f>
        <v>16</v>
      </c>
      <c r="L13" s="32">
        <f>SUM(K13)+0.6</f>
        <v>16.600000000000001</v>
      </c>
      <c r="M13" s="82">
        <f>SUM(L13)+0.6</f>
        <v>17.200000000000003</v>
      </c>
    </row>
    <row r="14" spans="1:13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7.1000000000000005</v>
      </c>
      <c r="I15" s="51">
        <f>SUM(J15)-0.3</f>
        <v>7.4</v>
      </c>
      <c r="J15" s="39">
        <v>7.7</v>
      </c>
      <c r="K15" s="32">
        <f>SUM(J15)+0.3</f>
        <v>8</v>
      </c>
      <c r="L15" s="32">
        <f>SUM(K15)+0.3</f>
        <v>8.3000000000000007</v>
      </c>
      <c r="M15" s="82">
        <f>SUM(L15)+0.3</f>
        <v>8.6000000000000014</v>
      </c>
    </row>
    <row r="16" spans="1:13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6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/>
      <c r="I17" s="51"/>
      <c r="J17" s="39"/>
      <c r="K17" s="32"/>
      <c r="L17" s="32"/>
      <c r="M17" s="82"/>
    </row>
    <row r="18" spans="1:16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6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33.099999999999994</v>
      </c>
      <c r="I19" s="51">
        <f>SUM(J19)-3.7</f>
        <v>36.799999999999997</v>
      </c>
      <c r="J19" s="39">
        <v>40.5</v>
      </c>
      <c r="K19" s="32">
        <f>SUM(J19)+3.8</f>
        <v>44.3</v>
      </c>
      <c r="L19" s="32">
        <f>SUM(K19)+3.8</f>
        <v>48.099999999999994</v>
      </c>
      <c r="M19" s="82">
        <f>SUM(L19)+3.8</f>
        <v>51.899999999999991</v>
      </c>
    </row>
    <row r="20" spans="1:16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6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SUM(I21)-1.3</f>
        <v>20.399999999999999</v>
      </c>
      <c r="I21" s="51">
        <f>SUM(J21)-1.3</f>
        <v>21.7</v>
      </c>
      <c r="J21" s="39">
        <v>23</v>
      </c>
      <c r="K21" s="32">
        <f>SUM(J21)+1.3</f>
        <v>24.3</v>
      </c>
      <c r="L21" s="32">
        <f>SUM(K21)+1.3</f>
        <v>25.6</v>
      </c>
      <c r="M21" s="82">
        <f>SUM(L21)+1.3</f>
        <v>26.900000000000002</v>
      </c>
    </row>
    <row r="22" spans="1:16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6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14.3</v>
      </c>
      <c r="I23" s="51">
        <f>SUM(J23)-0.6</f>
        <v>14.9</v>
      </c>
      <c r="J23" s="39">
        <v>15.5</v>
      </c>
      <c r="K23" s="32">
        <f>SUM(J23)+0.6</f>
        <v>16.100000000000001</v>
      </c>
      <c r="L23" s="32">
        <f>SUM(K23)+0.6</f>
        <v>16.700000000000003</v>
      </c>
      <c r="M23" s="82">
        <f>SUM(L23)+0.6</f>
        <v>17.300000000000004</v>
      </c>
    </row>
    <row r="24" spans="1:16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6" s="1" customFormat="1" ht="14.1" customHeight="1">
      <c r="A25" s="40">
        <v>12</v>
      </c>
      <c r="B25" s="49" t="s">
        <v>668</v>
      </c>
      <c r="C25" s="50"/>
      <c r="D25" s="93"/>
      <c r="E25" s="94"/>
      <c r="F25" s="94"/>
      <c r="G25" s="95"/>
      <c r="H25" s="51">
        <f>SUM(I25)-0.8</f>
        <v>22.4</v>
      </c>
      <c r="I25" s="51">
        <f>SUM(J25)-0.8</f>
        <v>23.2</v>
      </c>
      <c r="J25" s="39">
        <v>24</v>
      </c>
      <c r="K25" s="32">
        <f>SUM(J25)+0.8</f>
        <v>24.8</v>
      </c>
      <c r="L25" s="32">
        <f>SUM(K25)+0.8</f>
        <v>25.6</v>
      </c>
      <c r="M25" s="82">
        <f>SUM(L25)+0.8</f>
        <v>26.400000000000002</v>
      </c>
      <c r="P25" s="1" t="s">
        <v>667</v>
      </c>
    </row>
    <row r="26" spans="1:16" s="1" customFormat="1" ht="14.1" customHeight="1">
      <c r="A26" s="40"/>
      <c r="B26" s="34" t="s">
        <v>669</v>
      </c>
      <c r="C26" s="35"/>
      <c r="D26" s="36"/>
      <c r="E26" s="37"/>
      <c r="F26" s="37"/>
      <c r="G26" s="38"/>
      <c r="H26" s="23"/>
      <c r="I26" s="23"/>
      <c r="J26" s="39"/>
      <c r="K26" s="32"/>
      <c r="L26" s="32"/>
      <c r="M26" s="82"/>
      <c r="P26" s="1">
        <f>SUM(H25+I25+J25+K25+L25+M25)</f>
        <v>146.4</v>
      </c>
    </row>
    <row r="27" spans="1:16" s="1" customFormat="1" ht="14.1" customHeight="1">
      <c r="A27" s="40">
        <v>13</v>
      </c>
      <c r="B27" s="49" t="s">
        <v>670</v>
      </c>
      <c r="C27" s="50"/>
      <c r="D27" s="93"/>
      <c r="E27" s="94"/>
      <c r="F27" s="94"/>
      <c r="G27" s="95"/>
      <c r="H27" s="51">
        <f>SUM(I27)-0.4</f>
        <v>10.199999999999999</v>
      </c>
      <c r="I27" s="51">
        <f>SUM(J27)-0.4</f>
        <v>10.6</v>
      </c>
      <c r="J27" s="39">
        <v>11</v>
      </c>
      <c r="K27" s="32">
        <f>SUM(J27)+0.4</f>
        <v>11.4</v>
      </c>
      <c r="L27" s="32">
        <f>SUM(K27)+0.4</f>
        <v>11.8</v>
      </c>
      <c r="M27" s="82">
        <f>SUM(L27)+0.4</f>
        <v>12.200000000000001</v>
      </c>
      <c r="P27" s="1">
        <f>SUM(P26/91.44/6*1.08)</f>
        <v>0.28818897637795277</v>
      </c>
    </row>
    <row r="28" spans="1:16" s="1" customFormat="1" ht="14.1" customHeight="1">
      <c r="A28" s="40"/>
      <c r="B28" s="34" t="s">
        <v>671</v>
      </c>
      <c r="C28" s="35"/>
      <c r="D28" s="36" t="s">
        <v>672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6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82"/>
    </row>
    <row r="30" spans="1:16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6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6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A1:M1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CB32-BDC2-4C4A-8914-90D173F88E83}">
  <sheetPr>
    <tabColor theme="5"/>
    <pageSetUpPr fitToPage="1"/>
  </sheetPr>
  <dimension ref="A1:R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62" t="s">
        <v>616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8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17" t="s">
        <v>239</v>
      </c>
    </row>
    <row r="3" spans="1:18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36</v>
      </c>
      <c r="I3" s="51">
        <f>SUM(J3)-3.5</f>
        <v>39.5</v>
      </c>
      <c r="J3" s="114">
        <v>43</v>
      </c>
      <c r="K3" s="168">
        <f>SUM(J3)+3</f>
        <v>46</v>
      </c>
      <c r="L3" s="168">
        <f>SUM(K3)+3</f>
        <v>49</v>
      </c>
      <c r="M3" s="168">
        <f>SUM(L3)+3</f>
        <v>52</v>
      </c>
      <c r="N3" s="251">
        <f>SUM(M3)+3</f>
        <v>55</v>
      </c>
    </row>
    <row r="4" spans="1:18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123"/>
    </row>
    <row r="5" spans="1:18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21.799999999999997</v>
      </c>
      <c r="I5" s="51">
        <f>SUM(J5)-1.6</f>
        <v>23.4</v>
      </c>
      <c r="J5" s="60">
        <v>25</v>
      </c>
      <c r="K5" s="51">
        <f>SUM(J5)+1.4</f>
        <v>26.4</v>
      </c>
      <c r="L5" s="51">
        <f t="shared" ref="L5:N5" si="0">SUM(K5)+1.4</f>
        <v>27.799999999999997</v>
      </c>
      <c r="M5" s="51">
        <f t="shared" si="0"/>
        <v>29.199999999999996</v>
      </c>
      <c r="N5" s="75">
        <f t="shared" si="0"/>
        <v>30.599999999999994</v>
      </c>
    </row>
    <row r="6" spans="1:18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8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26</v>
      </c>
      <c r="I7" s="51">
        <f>SUM(J7)-2</f>
        <v>28</v>
      </c>
      <c r="J7" s="60">
        <v>30</v>
      </c>
      <c r="K7" s="51">
        <f>SUM(J7)+1.8</f>
        <v>31.8</v>
      </c>
      <c r="L7" s="51">
        <f t="shared" ref="L7:N7" si="1">SUM(K7)+1.8</f>
        <v>33.6</v>
      </c>
      <c r="M7" s="51">
        <f t="shared" si="1"/>
        <v>35.4</v>
      </c>
      <c r="N7" s="75">
        <f t="shared" si="1"/>
        <v>37.199999999999996</v>
      </c>
    </row>
    <row r="8" spans="1:18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8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SUM(I9)-1.9</f>
        <v>25.200000000000003</v>
      </c>
      <c r="I9" s="51">
        <f>SUM(J9)-1.9</f>
        <v>27.1</v>
      </c>
      <c r="J9" s="60">
        <v>29</v>
      </c>
      <c r="K9" s="51">
        <f>SUM(J9)+1.7</f>
        <v>30.7</v>
      </c>
      <c r="L9" s="51">
        <f t="shared" ref="L9:N9" si="2">SUM(K9)+1.7</f>
        <v>32.4</v>
      </c>
      <c r="M9" s="51">
        <f t="shared" si="2"/>
        <v>34.1</v>
      </c>
      <c r="N9" s="75">
        <f t="shared" si="2"/>
        <v>35.800000000000004</v>
      </c>
      <c r="O9" s="1" t="s">
        <v>173</v>
      </c>
    </row>
    <row r="10" spans="1:18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8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12.7</v>
      </c>
      <c r="I11" s="51">
        <f>SUM(J11)-0.9</f>
        <v>13.6</v>
      </c>
      <c r="J11" s="39">
        <v>14.5</v>
      </c>
      <c r="K11" s="32">
        <f>SUM(J11)+0.9</f>
        <v>15.4</v>
      </c>
      <c r="L11" s="32">
        <f t="shared" ref="L11:N11" si="3">SUM(K11)+0.9</f>
        <v>16.3</v>
      </c>
      <c r="M11" s="32">
        <f t="shared" si="3"/>
        <v>17.2</v>
      </c>
      <c r="N11" s="82">
        <f t="shared" si="3"/>
        <v>18.099999999999998</v>
      </c>
    </row>
    <row r="12" spans="1:18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8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11.8</v>
      </c>
      <c r="I13" s="51">
        <f>SUM(J13)-0.6</f>
        <v>12.4</v>
      </c>
      <c r="J13" s="39">
        <v>13</v>
      </c>
      <c r="K13" s="32">
        <f>SUM(J13)+0.6</f>
        <v>13.6</v>
      </c>
      <c r="L13" s="32">
        <f>SUM(K13)+0.6</f>
        <v>14.2</v>
      </c>
      <c r="M13" s="32">
        <f>SUM(L13)+0.6</f>
        <v>14.799999999999999</v>
      </c>
      <c r="N13" s="126">
        <f>SUM(M13)+0.6</f>
        <v>15.399999999999999</v>
      </c>
    </row>
    <row r="14" spans="1:18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  <c r="R14" s="1">
        <f>SUM(H31+H31+I31+I31+J31+J31+K31+K31+L31+L31+M31+M31+N31+N31)</f>
        <v>306.59999999999997</v>
      </c>
    </row>
    <row r="15" spans="1:18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5.7</v>
      </c>
      <c r="I15" s="51">
        <f>SUM(J15)-0.3</f>
        <v>6</v>
      </c>
      <c r="J15" s="39">
        <v>6.3</v>
      </c>
      <c r="K15" s="32">
        <f>SUM(J15)+0.3</f>
        <v>6.6</v>
      </c>
      <c r="L15" s="32">
        <f>SUM(K15)+0.3</f>
        <v>6.8999999999999995</v>
      </c>
      <c r="M15" s="32">
        <f>SUM(L15)+0.3</f>
        <v>7.1999999999999993</v>
      </c>
      <c r="N15" s="126">
        <f>SUM(M15)+0.3</f>
        <v>7.4999999999999991</v>
      </c>
    </row>
    <row r="16" spans="1:18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33.799999999999997</v>
      </c>
      <c r="I17" s="51">
        <f>SUM(J17)-1.6</f>
        <v>35.4</v>
      </c>
      <c r="J17" s="39">
        <v>37</v>
      </c>
      <c r="K17" s="32">
        <f>SUM(J17)+1.6</f>
        <v>38.6</v>
      </c>
      <c r="L17" s="32">
        <f>SUM(K17)+1.6</f>
        <v>40.200000000000003</v>
      </c>
      <c r="M17" s="32">
        <f>SUM(L17)+1.6</f>
        <v>41.800000000000004</v>
      </c>
      <c r="N17" s="126">
        <f>SUM(M17)+1.6</f>
        <v>43.400000000000006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33.099999999999994</v>
      </c>
      <c r="I19" s="51">
        <f>SUM(J19)-3.7</f>
        <v>36.799999999999997</v>
      </c>
      <c r="J19" s="39">
        <v>40.5</v>
      </c>
      <c r="K19" s="32">
        <f>SUM(J19)+3.8</f>
        <v>44.3</v>
      </c>
      <c r="L19" s="32">
        <f t="shared" ref="L19:N19" si="4">SUM(K19)+3.8</f>
        <v>48.099999999999994</v>
      </c>
      <c r="M19" s="32">
        <f t="shared" si="4"/>
        <v>51.899999999999991</v>
      </c>
      <c r="N19" s="82">
        <f t="shared" si="4"/>
        <v>55.699999999999989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21.200000000000003</v>
      </c>
      <c r="I21" s="51">
        <f>SUM(J21)-1.4</f>
        <v>22.6</v>
      </c>
      <c r="J21" s="39">
        <v>24</v>
      </c>
      <c r="K21" s="32">
        <f>SUM(J21)+1.4</f>
        <v>25.4</v>
      </c>
      <c r="L21" s="32">
        <f t="shared" ref="L21:N21" si="5">SUM(K21)+1.4</f>
        <v>26.799999999999997</v>
      </c>
      <c r="M21" s="32">
        <f t="shared" si="5"/>
        <v>28.199999999999996</v>
      </c>
      <c r="N21" s="82">
        <f t="shared" si="5"/>
        <v>29.599999999999994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32">
        <f>SUM(L23)+0.6</f>
        <v>17</v>
      </c>
      <c r="N23" s="126">
        <f>SUM(M23)+0.6</f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126"/>
    </row>
    <row r="25" spans="1:14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</f>
        <v>2.5</v>
      </c>
      <c r="I25" s="51">
        <f>SUM(J25)</f>
        <v>2.5</v>
      </c>
      <c r="J25" s="39">
        <v>2.5</v>
      </c>
      <c r="K25" s="32">
        <f>SUM(J25)</f>
        <v>2.5</v>
      </c>
      <c r="L25" s="32">
        <f t="shared" ref="L25:N25" si="6">SUM(K25)</f>
        <v>2.5</v>
      </c>
      <c r="M25" s="32">
        <f t="shared" si="6"/>
        <v>2.5</v>
      </c>
      <c r="N25" s="82">
        <f t="shared" si="6"/>
        <v>2.5</v>
      </c>
    </row>
    <row r="26" spans="1:14" s="1" customFormat="1" ht="14.1" customHeight="1" thickBot="1">
      <c r="A26" s="40"/>
      <c r="B26" s="34" t="s">
        <v>140</v>
      </c>
      <c r="C26" s="35"/>
      <c r="D26" s="36" t="s">
        <v>188</v>
      </c>
      <c r="E26" s="37"/>
      <c r="F26" s="37"/>
      <c r="G26" s="38"/>
      <c r="H26" s="23"/>
      <c r="I26" s="23"/>
      <c r="J26" s="39"/>
      <c r="K26" s="32"/>
      <c r="L26" s="32"/>
      <c r="M26" s="32"/>
      <c r="N26" s="82"/>
    </row>
    <row r="27" spans="1:14" s="1" customFormat="1" ht="14.1" customHeight="1" thickTop="1">
      <c r="A27" s="155">
        <v>13</v>
      </c>
      <c r="B27" s="118" t="s">
        <v>581</v>
      </c>
      <c r="C27" s="119"/>
      <c r="D27" s="156"/>
      <c r="E27" s="156"/>
      <c r="F27" s="156"/>
      <c r="G27" s="120"/>
      <c r="H27" s="157">
        <f>SUM(I27)-1.4</f>
        <v>14.2</v>
      </c>
      <c r="I27" s="157">
        <f>SUM(J27)-1.4</f>
        <v>15.6</v>
      </c>
      <c r="J27" s="158">
        <v>17</v>
      </c>
      <c r="K27" s="153">
        <f>SUM(J27)+1.2</f>
        <v>18.2</v>
      </c>
      <c r="L27" s="153">
        <f t="shared" ref="L27:N27" si="7">SUM(K27)+1.2</f>
        <v>19.399999999999999</v>
      </c>
      <c r="M27" s="153">
        <f t="shared" si="7"/>
        <v>20.599999999999998</v>
      </c>
      <c r="N27" s="154">
        <f t="shared" si="7"/>
        <v>21.799999999999997</v>
      </c>
    </row>
    <row r="28" spans="1:14" s="1" customFormat="1" ht="14.1" customHeight="1">
      <c r="A28" s="40"/>
      <c r="B28" s="34" t="s">
        <v>582</v>
      </c>
      <c r="C28" s="35"/>
      <c r="D28" s="36" t="s">
        <v>583</v>
      </c>
      <c r="E28" s="37"/>
      <c r="F28" s="37"/>
      <c r="G28" s="37"/>
      <c r="H28" s="23"/>
      <c r="I28" s="23"/>
      <c r="J28" s="39"/>
      <c r="K28" s="32"/>
      <c r="L28" s="32"/>
      <c r="M28" s="32"/>
      <c r="N28" s="82"/>
    </row>
    <row r="29" spans="1:14" s="1" customFormat="1" ht="14.1" customHeight="1">
      <c r="A29" s="40">
        <v>14</v>
      </c>
      <c r="B29" s="56" t="s">
        <v>37</v>
      </c>
      <c r="C29" s="56"/>
      <c r="D29" s="55" t="s">
        <v>73</v>
      </c>
      <c r="E29" s="55"/>
      <c r="F29" s="55"/>
      <c r="G29" s="55"/>
      <c r="H29" s="51">
        <f>SUM(I29)-2</f>
        <v>26.5</v>
      </c>
      <c r="I29" s="51">
        <f>SUM(J29)-2</f>
        <v>28.5</v>
      </c>
      <c r="J29" s="60">
        <v>30.5</v>
      </c>
      <c r="K29" s="51">
        <f>SUM(J29)+1.8</f>
        <v>32.299999999999997</v>
      </c>
      <c r="L29" s="51">
        <f t="shared" ref="L29:N29" si="8">SUM(K29)+1.8</f>
        <v>34.099999999999994</v>
      </c>
      <c r="M29" s="51">
        <f t="shared" si="8"/>
        <v>35.899999999999991</v>
      </c>
      <c r="N29" s="75">
        <f t="shared" si="8"/>
        <v>37.699999999999989</v>
      </c>
    </row>
    <row r="30" spans="1:14" s="1" customFormat="1" ht="14.1" customHeight="1">
      <c r="A30" s="40"/>
      <c r="B30" s="52" t="s">
        <v>586</v>
      </c>
      <c r="C30" s="52"/>
      <c r="D30" s="36" t="s">
        <v>45</v>
      </c>
      <c r="E30" s="37"/>
      <c r="F30" s="37"/>
      <c r="G30" s="38"/>
      <c r="H30" s="23"/>
      <c r="I30" s="23"/>
      <c r="J30" s="21"/>
      <c r="K30" s="23"/>
      <c r="L30" s="23"/>
      <c r="M30" s="23"/>
      <c r="N30" s="76"/>
    </row>
    <row r="31" spans="1:14" ht="13.5" customHeight="1">
      <c r="A31" s="40">
        <v>15</v>
      </c>
      <c r="B31" s="56" t="s">
        <v>524</v>
      </c>
      <c r="C31" s="56"/>
      <c r="D31" s="55"/>
      <c r="E31" s="55"/>
      <c r="F31" s="55"/>
      <c r="G31" s="55"/>
      <c r="H31" s="51">
        <f>SUM(I31)-1.1</f>
        <v>18.599999999999998</v>
      </c>
      <c r="I31" s="51">
        <f>SUM(J31)-1.1</f>
        <v>19.7</v>
      </c>
      <c r="J31" s="60">
        <v>20.8</v>
      </c>
      <c r="K31" s="51">
        <f>SUM(J31)+1.1</f>
        <v>21.900000000000002</v>
      </c>
      <c r="L31" s="51">
        <f t="shared" ref="L31:N31" si="9">SUM(K31)+1.1</f>
        <v>23.000000000000004</v>
      </c>
      <c r="M31" s="51">
        <f t="shared" si="9"/>
        <v>24.100000000000005</v>
      </c>
      <c r="N31" s="75">
        <f t="shared" si="9"/>
        <v>25.200000000000006</v>
      </c>
    </row>
    <row r="32" spans="1:14" ht="14.1" customHeight="1">
      <c r="A32" s="40"/>
      <c r="B32" s="52" t="s">
        <v>391</v>
      </c>
      <c r="C32" s="52"/>
      <c r="D32" s="36"/>
      <c r="E32" s="37"/>
      <c r="F32" s="37"/>
      <c r="G32" s="38"/>
      <c r="H32" s="23"/>
      <c r="I32" s="23"/>
      <c r="J32" s="21"/>
      <c r="K32" s="23"/>
      <c r="L32" s="23"/>
      <c r="M32" s="23"/>
      <c r="N32" s="76"/>
    </row>
    <row r="33" spans="1:14" ht="14.1" customHeight="1">
      <c r="A33" s="40">
        <v>16</v>
      </c>
      <c r="B33" s="49" t="s">
        <v>617</v>
      </c>
      <c r="C33" s="50"/>
      <c r="D33" s="57"/>
      <c r="E33" s="58"/>
      <c r="F33" s="58"/>
      <c r="G33" s="59"/>
      <c r="H33" s="51">
        <f>SUM(I33)-1</f>
        <v>14</v>
      </c>
      <c r="I33" s="51">
        <f>SUM(J33)-1</f>
        <v>15</v>
      </c>
      <c r="J33" s="60">
        <v>16</v>
      </c>
      <c r="K33" s="51">
        <f>SUM(J33)+1</f>
        <v>17</v>
      </c>
      <c r="L33" s="51">
        <f t="shared" ref="L33:N33" si="10">SUM(K33)+1</f>
        <v>18</v>
      </c>
      <c r="M33" s="51">
        <f t="shared" si="10"/>
        <v>19</v>
      </c>
      <c r="N33" s="75">
        <f t="shared" si="10"/>
        <v>20</v>
      </c>
    </row>
    <row r="34" spans="1:14" ht="14.1" customHeight="1">
      <c r="A34" s="40"/>
      <c r="B34" s="52" t="s">
        <v>618</v>
      </c>
      <c r="C34" s="52"/>
      <c r="D34" s="36" t="s">
        <v>426</v>
      </c>
      <c r="E34" s="37"/>
      <c r="F34" s="37"/>
      <c r="G34" s="38"/>
      <c r="H34" s="23"/>
      <c r="I34" s="23"/>
      <c r="J34" s="21"/>
      <c r="K34" s="23"/>
      <c r="L34" s="23"/>
      <c r="M34" s="23"/>
      <c r="N34" s="76"/>
    </row>
    <row r="35" spans="1:14" ht="14.1" customHeight="1">
      <c r="A35" s="40">
        <v>17</v>
      </c>
      <c r="B35" s="53"/>
      <c r="C35" s="54"/>
      <c r="D35" s="93"/>
      <c r="E35" s="94"/>
      <c r="F35" s="94"/>
      <c r="G35" s="95"/>
      <c r="H35" s="51"/>
      <c r="I35" s="51"/>
      <c r="J35" s="39"/>
      <c r="K35" s="32"/>
      <c r="L35" s="32"/>
      <c r="M35" s="32"/>
      <c r="N35" s="82"/>
    </row>
    <row r="36" spans="1:14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24"/>
      <c r="N36" s="92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7C6C-5243-4A70-9507-7500E5EA1592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40.5</v>
      </c>
      <c r="I3" s="51">
        <f>SUM(J3)-3.5</f>
        <v>44</v>
      </c>
      <c r="J3" s="60">
        <v>47.5</v>
      </c>
      <c r="K3" s="51">
        <f>SUM(J3)+3</f>
        <v>50.5</v>
      </c>
      <c r="L3" s="51">
        <f>SUM(K3)+3</f>
        <v>53.5</v>
      </c>
      <c r="M3" s="84">
        <f>SUM(L3)+3</f>
        <v>56.5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45</v>
      </c>
      <c r="I5" s="51">
        <f>SUM(J5)-4.5</f>
        <v>49.5</v>
      </c>
      <c r="J5" s="39">
        <v>54</v>
      </c>
      <c r="K5" s="32">
        <f>SUM(J5)+4.5</f>
        <v>58.5</v>
      </c>
      <c r="L5" s="32">
        <f>SUM(K5)+4.5</f>
        <v>63</v>
      </c>
      <c r="M5" s="82">
        <f>SUM(L5)+4.5</f>
        <v>67.5</v>
      </c>
    </row>
    <row r="6" spans="1:14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32"/>
      <c r="M6" s="82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40.5</v>
      </c>
      <c r="I7" s="51">
        <f>SUM(J7)-2.25</f>
        <v>42.75</v>
      </c>
      <c r="J7" s="60">
        <v>45</v>
      </c>
      <c r="K7" s="51">
        <f>SUM(J7)+2</f>
        <v>47</v>
      </c>
      <c r="L7" s="51">
        <f>SUM(K7)+2</f>
        <v>49</v>
      </c>
      <c r="M7" s="75">
        <f>SUM(L7)+2</f>
        <v>51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SUM(I9)-2.15</f>
        <v>38.700000000000003</v>
      </c>
      <c r="I9" s="51">
        <f>SUM(J9)-2.15</f>
        <v>40.85</v>
      </c>
      <c r="J9" s="60">
        <v>43</v>
      </c>
      <c r="K9" s="51">
        <f>SUM(J9)+1.9</f>
        <v>44.9</v>
      </c>
      <c r="L9" s="51">
        <f t="shared" ref="L9:M9" si="0">SUM(K9)+1.9</f>
        <v>46.8</v>
      </c>
      <c r="M9" s="75">
        <f t="shared" si="0"/>
        <v>48.699999999999996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-1.6</v>
      </c>
      <c r="I11" s="87">
        <f>SUM(J11)-0.8</f>
        <v>-0.8</v>
      </c>
      <c r="J11" s="256"/>
      <c r="K11" s="255">
        <f>SUM(J11)+0.8</f>
        <v>0.8</v>
      </c>
      <c r="L11" s="255">
        <f>SUM(K11)+0.8</f>
        <v>1.6</v>
      </c>
      <c r="M11" s="33">
        <f>SUM(L11)+0.8</f>
        <v>2.4000000000000004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86"/>
      <c r="J12" s="256"/>
      <c r="K12" s="255"/>
      <c r="L12" s="255"/>
      <c r="M12" s="33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12.4</v>
      </c>
      <c r="I13" s="51">
        <f>SUM(J13)-0.6</f>
        <v>13</v>
      </c>
      <c r="J13" s="39">
        <v>13.6</v>
      </c>
      <c r="K13" s="32">
        <f>SUM(J13)+0.6</f>
        <v>14.2</v>
      </c>
      <c r="L13" s="32">
        <f>SUM(K13)+0.6</f>
        <v>14.799999999999999</v>
      </c>
      <c r="M13" s="82">
        <f>SUM(L13)+0.6</f>
        <v>15.399999999999999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5.7</v>
      </c>
      <c r="I15" s="51">
        <f>SUM(J15)-0.3</f>
        <v>6</v>
      </c>
      <c r="J15" s="39">
        <v>6.3</v>
      </c>
      <c r="K15" s="32">
        <f>SUM(J15)+0.3</f>
        <v>6.6</v>
      </c>
      <c r="L15" s="32">
        <f>SUM(K15)+0.3</f>
        <v>6.8999999999999995</v>
      </c>
      <c r="M15" s="82">
        <f>SUM(L15)+0.3</f>
        <v>7.1999999999999993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36.799999999999997</v>
      </c>
      <c r="I17" s="51">
        <f>SUM(J17)-1.6</f>
        <v>38.4</v>
      </c>
      <c r="J17" s="39">
        <v>40</v>
      </c>
      <c r="K17" s="32">
        <f>SUM(J17)+1.6</f>
        <v>41.6</v>
      </c>
      <c r="L17" s="32">
        <f>SUM(K17)+1.6</f>
        <v>43.2</v>
      </c>
      <c r="M17" s="82">
        <f>SUM(L17)+1.6</f>
        <v>44.800000000000004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SUM(I19)-3.5</f>
        <v>-7</v>
      </c>
      <c r="I19" s="87">
        <f>SUM(J19)-3.5</f>
        <v>-3.5</v>
      </c>
      <c r="J19" s="142"/>
      <c r="K19" s="87">
        <f>SUM(J19)+3.6</f>
        <v>3.6</v>
      </c>
      <c r="L19" s="87">
        <f t="shared" ref="L19:M19" si="1">SUM(K19)+3.6</f>
        <v>7.2</v>
      </c>
      <c r="M19" s="61">
        <f t="shared" si="1"/>
        <v>10.8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86"/>
      <c r="J20" s="143"/>
      <c r="K20" s="86"/>
      <c r="L20" s="86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30.199999999999996</v>
      </c>
      <c r="I21" s="51">
        <f>SUM(J21)-1.6</f>
        <v>31.799999999999997</v>
      </c>
      <c r="J21" s="39">
        <v>33.4</v>
      </c>
      <c r="K21" s="32">
        <f>SUM(J21)+1.7</f>
        <v>35.1</v>
      </c>
      <c r="L21" s="32">
        <f t="shared" ref="L21:M21" si="2">SUM(K21)+1.7</f>
        <v>36.800000000000004</v>
      </c>
      <c r="M21" s="82">
        <f t="shared" si="2"/>
        <v>38.500000000000007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 t="shared" ref="L23:M23" si="3">SUM(K23)+0.6</f>
        <v>16.399999999999999</v>
      </c>
      <c r="M23" s="82">
        <f t="shared" si="3"/>
        <v>17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4.4000000000000004</v>
      </c>
      <c r="I25" s="51">
        <f>SUM(J25)-0.3</f>
        <v>4.7</v>
      </c>
      <c r="J25" s="39">
        <v>5</v>
      </c>
      <c r="K25" s="32">
        <f>SUM(J25)+0.3</f>
        <v>5.3</v>
      </c>
      <c r="L25" s="32">
        <f t="shared" ref="L25:M25" si="4">SUM(K25)+0.3</f>
        <v>5.6</v>
      </c>
      <c r="M25" s="82">
        <f t="shared" si="4"/>
        <v>5.8999999999999995</v>
      </c>
    </row>
    <row r="26" spans="1:13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265" t="s">
        <v>139</v>
      </c>
      <c r="C27" s="138"/>
      <c r="D27" s="266"/>
      <c r="E27" s="267"/>
      <c r="F27" s="267"/>
      <c r="G27" s="268"/>
      <c r="H27" s="87">
        <f>SUM(I27)-0.5</f>
        <v>-1</v>
      </c>
      <c r="I27" s="87">
        <f>SUM(J27)-0.5</f>
        <v>-0.5</v>
      </c>
      <c r="J27" s="256"/>
      <c r="K27" s="255">
        <f>SUM(J27)+0.5</f>
        <v>0.5</v>
      </c>
      <c r="L27" s="255">
        <f t="shared" ref="L27:M27" si="5">SUM(K27)+0.5</f>
        <v>1</v>
      </c>
      <c r="M27" s="33">
        <f t="shared" si="5"/>
        <v>1.5</v>
      </c>
    </row>
    <row r="28" spans="1:13" ht="14.1" customHeight="1" thickBot="1">
      <c r="A28" s="41"/>
      <c r="B28" s="260" t="s">
        <v>138</v>
      </c>
      <c r="C28" s="261"/>
      <c r="D28" s="262" t="s">
        <v>596</v>
      </c>
      <c r="E28" s="263"/>
      <c r="F28" s="263"/>
      <c r="G28" s="264"/>
      <c r="H28" s="176"/>
      <c r="I28" s="176"/>
      <c r="J28" s="258"/>
      <c r="K28" s="259"/>
      <c r="L28" s="259"/>
      <c r="M28" s="26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C04E-88E5-42AD-94E2-5773CF6EED0E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</v>
      </c>
      <c r="I3" s="51">
        <f>SUM(J3)-3.5</f>
        <v>39.5</v>
      </c>
      <c r="J3" s="60">
        <v>43</v>
      </c>
      <c r="K3" s="51">
        <f>SUM(J3)+3</f>
        <v>46</v>
      </c>
      <c r="L3" s="51">
        <f>SUM(K3)+3</f>
        <v>49</v>
      </c>
      <c r="M3" s="84">
        <f>SUM(L3)+3</f>
        <v>52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26.4</v>
      </c>
      <c r="I5" s="51">
        <f>SUM(J5)-1.8</f>
        <v>28.2</v>
      </c>
      <c r="J5" s="60">
        <v>30</v>
      </c>
      <c r="K5" s="51">
        <f>SUM(J5)+1.6</f>
        <v>31.6</v>
      </c>
      <c r="L5" s="51">
        <f t="shared" ref="L5:M5" si="0">SUM(K5)+1.6</f>
        <v>33.200000000000003</v>
      </c>
      <c r="M5" s="75">
        <f t="shared" si="0"/>
        <v>34.800000000000004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32</v>
      </c>
      <c r="I7" s="51">
        <f>SUM(J7)-2.25</f>
        <v>34.25</v>
      </c>
      <c r="J7" s="60">
        <v>36.5</v>
      </c>
      <c r="K7" s="51">
        <f>SUM(J7)+2</f>
        <v>38.5</v>
      </c>
      <c r="L7" s="51">
        <f>SUM(K7)+2</f>
        <v>40.5</v>
      </c>
      <c r="M7" s="75">
        <f>SUM(L7)+2</f>
        <v>42.5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32</v>
      </c>
      <c r="I9" s="51">
        <f>SUM(J9)-2.25</f>
        <v>34.25</v>
      </c>
      <c r="J9" s="60">
        <v>36.5</v>
      </c>
      <c r="K9" s="51">
        <f>SUM(J9)+2</f>
        <v>38.5</v>
      </c>
      <c r="L9" s="51">
        <f>SUM(K9)+2</f>
        <v>40.5</v>
      </c>
      <c r="M9" s="75">
        <f>SUM(L9)+2</f>
        <v>42.5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12.899999999999999</v>
      </c>
      <c r="I11" s="51">
        <f>SUM(J11)-0.8</f>
        <v>13.7</v>
      </c>
      <c r="J11" s="39">
        <v>14.5</v>
      </c>
      <c r="K11" s="32">
        <f>SUM(J11)+0.8</f>
        <v>15.3</v>
      </c>
      <c r="L11" s="32">
        <f>SUM(K11)+0.8</f>
        <v>16.100000000000001</v>
      </c>
      <c r="M11" s="82">
        <f>SUM(L11)+0.8</f>
        <v>16.900000000000002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14.8</v>
      </c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82">
        <f>SUM(L13)+0.6</f>
        <v>17.800000000000004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82">
        <f>SUM(L15)+0.3</f>
        <v>7.3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82">
        <f>SUM(L17)+1.6</f>
        <v>46.800000000000004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30.799999999999997</v>
      </c>
      <c r="I19" s="51">
        <f>SUM(J19)-3.6</f>
        <v>34.4</v>
      </c>
      <c r="J19" s="60">
        <v>38</v>
      </c>
      <c r="K19" s="51">
        <f>SUM(J19)+3.7</f>
        <v>41.7</v>
      </c>
      <c r="L19" s="51">
        <f t="shared" ref="L19:M19" si="1">SUM(K19)+3.7</f>
        <v>45.400000000000006</v>
      </c>
      <c r="M19" s="75">
        <f t="shared" si="1"/>
        <v>49.100000000000009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22.4</v>
      </c>
      <c r="I21" s="51">
        <f>SUM(J21)-1.5</f>
        <v>23.9</v>
      </c>
      <c r="J21" s="39">
        <v>25.4</v>
      </c>
      <c r="K21" s="32">
        <f>SUM(J21)+1.5</f>
        <v>26.9</v>
      </c>
      <c r="L21" s="32">
        <f>SUM(K21)+1.5</f>
        <v>28.4</v>
      </c>
      <c r="M21" s="82">
        <f>SUM(L21)+1.5</f>
        <v>29.9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>SUM(K23)+0.7</f>
        <v>19.399999999999999</v>
      </c>
      <c r="M23" s="82">
        <f>SUM(L23)+0.7</f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SUM(I25)-0.4</f>
        <v>4.6999999999999993</v>
      </c>
      <c r="I25" s="51">
        <f>SUM(J25)-0.4</f>
        <v>5.0999999999999996</v>
      </c>
      <c r="J25" s="39">
        <v>5.5</v>
      </c>
      <c r="K25" s="32">
        <f>SUM(J25)+0.4</f>
        <v>5.9</v>
      </c>
      <c r="L25" s="32">
        <f t="shared" ref="L25:M25" si="2">SUM(K25)+0.4</f>
        <v>6.3000000000000007</v>
      </c>
      <c r="M25" s="82">
        <f t="shared" si="2"/>
        <v>6.7000000000000011</v>
      </c>
    </row>
    <row r="26" spans="1:13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27FD-3F53-437C-81D1-45B74E68C376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621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39</v>
      </c>
      <c r="I3" s="51">
        <f>SUM(J3)-3.5</f>
        <v>42.5</v>
      </c>
      <c r="J3" s="60">
        <v>46</v>
      </c>
      <c r="K3" s="51">
        <f>SUM(J3)+3</f>
        <v>49</v>
      </c>
      <c r="L3" s="51">
        <f>SUM(K3)+3</f>
        <v>52</v>
      </c>
      <c r="M3" s="84">
        <f>SUM(L3)+3</f>
        <v>55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32</v>
      </c>
      <c r="I5" s="51">
        <f>SUM(J5)-2</f>
        <v>34</v>
      </c>
      <c r="J5" s="60">
        <v>36</v>
      </c>
      <c r="K5" s="51">
        <f>SUM(J5)+1.8</f>
        <v>37.799999999999997</v>
      </c>
      <c r="L5" s="51">
        <f t="shared" ref="L5:M5" si="0">SUM(K5)+1.8</f>
        <v>39.599999999999994</v>
      </c>
      <c r="M5" s="75">
        <f t="shared" si="0"/>
        <v>41.399999999999991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36.5</v>
      </c>
      <c r="I7" s="51">
        <f>SUM(J7)-2.25</f>
        <v>38.75</v>
      </c>
      <c r="J7" s="60">
        <v>41</v>
      </c>
      <c r="K7" s="51">
        <f>SUM(J7)+2</f>
        <v>43</v>
      </c>
      <c r="L7" s="51">
        <f>SUM(K7)+2</f>
        <v>45</v>
      </c>
      <c r="M7" s="75">
        <f>SUM(L7)+2</f>
        <v>47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36.5</v>
      </c>
      <c r="I9" s="51">
        <f>SUM(J9)-2.25</f>
        <v>38.75</v>
      </c>
      <c r="J9" s="60">
        <v>41</v>
      </c>
      <c r="K9" s="51">
        <f>SUM(J9)+2</f>
        <v>43</v>
      </c>
      <c r="L9" s="51">
        <f>SUM(K9)+2</f>
        <v>45</v>
      </c>
      <c r="M9" s="75">
        <f>SUM(L9)+2</f>
        <v>47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13.499999999999998</v>
      </c>
      <c r="I11" s="51">
        <f>SUM(J11)-0.8</f>
        <v>14.299999999999999</v>
      </c>
      <c r="J11" s="39">
        <v>15.1</v>
      </c>
      <c r="K11" s="32">
        <f>SUM(J11)+0.8</f>
        <v>15.9</v>
      </c>
      <c r="L11" s="32">
        <f>SUM(K11)+0.8</f>
        <v>16.7</v>
      </c>
      <c r="M11" s="82">
        <f>SUM(L11)+0.8</f>
        <v>17.5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</v>
      </c>
      <c r="I13" s="51">
        <f>SUM(J13)-0.6</f>
        <v>14.6</v>
      </c>
      <c r="J13" s="39">
        <v>15.2</v>
      </c>
      <c r="K13" s="32">
        <f>SUM(J13)+0.6</f>
        <v>15.799999999999999</v>
      </c>
      <c r="L13" s="32">
        <f>SUM(K13)+0.6</f>
        <v>16.399999999999999</v>
      </c>
      <c r="M13" s="82">
        <f>SUM(L13)+0.6</f>
        <v>17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6.8000000000000007</v>
      </c>
      <c r="I15" s="51">
        <f>SUM(J15)-0.3</f>
        <v>7.1000000000000005</v>
      </c>
      <c r="J15" s="39">
        <v>7.4</v>
      </c>
      <c r="K15" s="32">
        <f>SUM(J15)+0.3</f>
        <v>7.7</v>
      </c>
      <c r="L15" s="32">
        <f>SUM(K15)+0.3</f>
        <v>8</v>
      </c>
      <c r="M15" s="82">
        <f>SUM(L15)+0.3</f>
        <v>8.3000000000000007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34.799999999999997</v>
      </c>
      <c r="I17" s="51">
        <f>SUM(J17)-1.6</f>
        <v>36.4</v>
      </c>
      <c r="J17" s="39">
        <v>38</v>
      </c>
      <c r="K17" s="32">
        <f>SUM(J17)+1.6</f>
        <v>39.6</v>
      </c>
      <c r="L17" s="32">
        <f>SUM(K17)+1.6</f>
        <v>41.2</v>
      </c>
      <c r="M17" s="82">
        <f>SUM(L17)+1.6</f>
        <v>42.800000000000004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SUM(I19)-3.5</f>
        <v>28</v>
      </c>
      <c r="I19" s="51">
        <f>SUM(J19)-3.5</f>
        <v>31.5</v>
      </c>
      <c r="J19" s="60">
        <v>35</v>
      </c>
      <c r="K19" s="51">
        <f>SUM(J19)+3.6</f>
        <v>38.6</v>
      </c>
      <c r="L19" s="51">
        <f t="shared" ref="L19:M19" si="1">SUM(K19)+3.6</f>
        <v>42.2</v>
      </c>
      <c r="M19" s="75">
        <f t="shared" si="1"/>
        <v>45.800000000000004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25.6</v>
      </c>
      <c r="I21" s="51">
        <f>SUM(J21)-1.5</f>
        <v>27.1</v>
      </c>
      <c r="J21" s="39">
        <v>28.6</v>
      </c>
      <c r="K21" s="32">
        <f>SUM(J21)+1.5</f>
        <v>30.1</v>
      </c>
      <c r="L21" s="32">
        <f>SUM(K21)+1.5</f>
        <v>31.6</v>
      </c>
      <c r="M21" s="82">
        <f>SUM(L21)+1.5</f>
        <v>33.1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 t="shared" ref="L23:M23" si="2">SUM(K23)+0.7</f>
        <v>19.399999999999999</v>
      </c>
      <c r="M23" s="82">
        <f t="shared" si="2"/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SUM(I25)-0.5</f>
        <v>4.5</v>
      </c>
      <c r="I25" s="51">
        <f>SUM(J25)-0.5</f>
        <v>5</v>
      </c>
      <c r="J25" s="39">
        <v>5.5</v>
      </c>
      <c r="K25" s="32">
        <f>SUM(J25)+0.4</f>
        <v>5.9</v>
      </c>
      <c r="L25" s="32">
        <f t="shared" ref="L25:M25" si="3">SUM(K25)+0.4</f>
        <v>6.3000000000000007</v>
      </c>
      <c r="M25" s="82">
        <f t="shared" si="3"/>
        <v>6.7000000000000011</v>
      </c>
    </row>
    <row r="26" spans="1:13" s="1" customFormat="1" ht="14.1" customHeight="1">
      <c r="A26" s="40"/>
      <c r="B26" s="34" t="s">
        <v>140</v>
      </c>
      <c r="C26" s="35"/>
      <c r="D26" s="36" t="s">
        <v>622</v>
      </c>
      <c r="E26" s="37"/>
      <c r="F26" s="37"/>
      <c r="G26" s="38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53" t="s">
        <v>139</v>
      </c>
      <c r="C27" s="54"/>
      <c r="D27" s="44"/>
      <c r="E27" s="45"/>
      <c r="F27" s="45"/>
      <c r="G27" s="46"/>
      <c r="H27" s="51">
        <f>SUM(I27)-0.5</f>
        <v>5.3</v>
      </c>
      <c r="I27" s="51">
        <f>SUM(J27)-0.5</f>
        <v>5.8</v>
      </c>
      <c r="J27" s="39">
        <v>6.3</v>
      </c>
      <c r="K27" s="32">
        <f>SUM(J27)+0.5</f>
        <v>6.8</v>
      </c>
      <c r="L27" s="32">
        <f t="shared" ref="L27:M27" si="4">SUM(K27)+0.5</f>
        <v>7.3</v>
      </c>
      <c r="M27" s="82">
        <f t="shared" si="4"/>
        <v>7.8</v>
      </c>
    </row>
    <row r="28" spans="1:13" ht="14.1" customHeight="1" thickBot="1">
      <c r="A28" s="41"/>
      <c r="B28" s="27" t="s">
        <v>138</v>
      </c>
      <c r="C28" s="28"/>
      <c r="D28" s="29" t="s">
        <v>596</v>
      </c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4E79-5649-4FCC-B1F8-4C26464862F0}">
  <sheetPr>
    <tabColor theme="5"/>
    <pageSetUpPr fitToPage="1"/>
  </sheetPr>
  <dimension ref="A1:N51"/>
  <sheetViews>
    <sheetView zoomScale="110" zoomScaleNormal="110" workbookViewId="0">
      <selection activeCell="Q13" sqref="Q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623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8" t="s">
        <v>63</v>
      </c>
      <c r="J2" s="8" t="s">
        <v>64</v>
      </c>
      <c r="K2" s="5" t="s">
        <v>65</v>
      </c>
      <c r="L2" s="8" t="s">
        <v>66</v>
      </c>
      <c r="M2" s="8" t="s">
        <v>135</v>
      </c>
      <c r="N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36.4</v>
      </c>
      <c r="I3" s="51">
        <f>SUM(J3)-3.5</f>
        <v>39.9</v>
      </c>
      <c r="J3" s="70">
        <f>SUM(K3)-3.5</f>
        <v>43.4</v>
      </c>
      <c r="K3" s="71">
        <v>46.9</v>
      </c>
      <c r="L3" s="70">
        <f>SUM(K3)+3</f>
        <v>49.9</v>
      </c>
      <c r="M3" s="70">
        <f>SUM(L3)+3</f>
        <v>52.9</v>
      </c>
      <c r="N3" s="84">
        <f>SUM(M3)+3</f>
        <v>55.9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3"/>
      <c r="K4" s="21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38.599999999999994</v>
      </c>
      <c r="I5" s="51">
        <f>SUM(J5)-2.2</f>
        <v>40.799999999999997</v>
      </c>
      <c r="J5" s="51">
        <f>SUM(K5)-2.2</f>
        <v>43</v>
      </c>
      <c r="K5" s="60">
        <v>45.2</v>
      </c>
      <c r="L5" s="51">
        <f>SUM(K5)+2</f>
        <v>47.2</v>
      </c>
      <c r="M5" s="51">
        <f>SUM(L5)+2</f>
        <v>49.2</v>
      </c>
      <c r="N5" s="75">
        <f>SUM(M5)+2</f>
        <v>51.2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3"/>
      <c r="K6" s="21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40.25</v>
      </c>
      <c r="I7" s="51">
        <f>SUM(J7)-2.25</f>
        <v>42.5</v>
      </c>
      <c r="J7" s="51">
        <f>SUM(K7)-2.25</f>
        <v>44.75</v>
      </c>
      <c r="K7" s="60">
        <v>47</v>
      </c>
      <c r="L7" s="51">
        <f>SUM(K7)+2</f>
        <v>49</v>
      </c>
      <c r="M7" s="51">
        <f>SUM(L7)+2</f>
        <v>51</v>
      </c>
      <c r="N7" s="75">
        <f>SUM(M7)+2</f>
        <v>53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3"/>
      <c r="K8" s="21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SUM(I9)-1.7</f>
        <v>29.9</v>
      </c>
      <c r="I9" s="51">
        <f>SUM(J9)-1.7</f>
        <v>31.599999999999998</v>
      </c>
      <c r="J9" s="51">
        <f>SUM(K9)-1.7</f>
        <v>33.299999999999997</v>
      </c>
      <c r="K9" s="60">
        <v>35</v>
      </c>
      <c r="L9" s="51">
        <f>SUM(K9)+1.5</f>
        <v>36.5</v>
      </c>
      <c r="M9" s="51">
        <f>SUM(L9)+1.5</f>
        <v>38</v>
      </c>
      <c r="N9" s="75">
        <f>SUM(M9)+1.5</f>
        <v>39.5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3"/>
      <c r="K10" s="21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16.099999999999998</v>
      </c>
      <c r="I11" s="51">
        <f>SUM(J11)-0.8</f>
        <v>16.899999999999999</v>
      </c>
      <c r="J11" s="51">
        <f>SUM(K11)-0.8</f>
        <v>17.7</v>
      </c>
      <c r="K11" s="60">
        <v>18.5</v>
      </c>
      <c r="L11" s="51">
        <f>SUM(K11)+0.8</f>
        <v>19.3</v>
      </c>
      <c r="M11" s="51">
        <f>SUM(L11)+0.8</f>
        <v>20.100000000000001</v>
      </c>
      <c r="N11" s="75">
        <f>SUM(M11)+0.8</f>
        <v>20.900000000000002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23"/>
      <c r="K12" s="21"/>
      <c r="L12" s="23"/>
      <c r="M12" s="23"/>
      <c r="N12" s="76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</f>
        <v>14.600000000000001</v>
      </c>
      <c r="I13" s="51">
        <f>SUM(J13)-0.6</f>
        <v>14.600000000000001</v>
      </c>
      <c r="J13" s="51">
        <f>SUM(K13)-0.6</f>
        <v>15.200000000000001</v>
      </c>
      <c r="K13" s="60">
        <v>15.8</v>
      </c>
      <c r="L13" s="51">
        <f>SUM(K13)+0.6</f>
        <v>16.400000000000002</v>
      </c>
      <c r="M13" s="51">
        <f>SUM(L13)+0.6</f>
        <v>17.000000000000004</v>
      </c>
      <c r="N13" s="75">
        <f>SUM(M13)+0.6</f>
        <v>17.600000000000005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23"/>
      <c r="K14" s="21"/>
      <c r="L14" s="23"/>
      <c r="M14" s="23"/>
      <c r="N14" s="7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</f>
        <v>7.2</v>
      </c>
      <c r="I15" s="51">
        <f>SUM(J15)-0.3</f>
        <v>7.2</v>
      </c>
      <c r="J15" s="51">
        <f>SUM(K15)-0.3</f>
        <v>7.5</v>
      </c>
      <c r="K15" s="60">
        <v>7.8</v>
      </c>
      <c r="L15" s="51">
        <f>SUM(K15)+0.3</f>
        <v>8.1</v>
      </c>
      <c r="M15" s="51">
        <f>SUM(L15)+0.3</f>
        <v>8.4</v>
      </c>
      <c r="N15" s="75">
        <f>SUM(M15)+0.3</f>
        <v>8.7000000000000011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23"/>
      <c r="K16" s="21"/>
      <c r="L16" s="23"/>
      <c r="M16" s="23"/>
      <c r="N16" s="7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</f>
        <v>39.299999999999997</v>
      </c>
      <c r="I17" s="51">
        <f>SUM(J17)-1.6</f>
        <v>39.299999999999997</v>
      </c>
      <c r="J17" s="51">
        <f>SUM(K17)-1.6</f>
        <v>40.9</v>
      </c>
      <c r="K17" s="60">
        <v>42.5</v>
      </c>
      <c r="L17" s="51">
        <f>SUM(K17)+1.6</f>
        <v>44.1</v>
      </c>
      <c r="M17" s="51">
        <f>SUM(L17)+1.6</f>
        <v>45.7</v>
      </c>
      <c r="N17" s="75">
        <f>SUM(M17)+1.6</f>
        <v>47.300000000000004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23"/>
      <c r="K18" s="21"/>
      <c r="L18" s="23"/>
      <c r="M18" s="23"/>
      <c r="N18" s="7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21.300000000000004</v>
      </c>
      <c r="I19" s="51">
        <f>SUM(J19)-3.4</f>
        <v>24.700000000000003</v>
      </c>
      <c r="J19" s="51">
        <f>SUM(K19)-3.4</f>
        <v>28.1</v>
      </c>
      <c r="K19" s="60">
        <v>31.5</v>
      </c>
      <c r="L19" s="51">
        <f>SUM(K19)+3.5</f>
        <v>35</v>
      </c>
      <c r="M19" s="51">
        <f>SUM(L19)+3.5</f>
        <v>38.5</v>
      </c>
      <c r="N19" s="75">
        <f>SUM(M19)+3.5</f>
        <v>42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3"/>
      <c r="K20" s="21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31.200000000000003</v>
      </c>
      <c r="I21" s="51">
        <f>SUM(J21)-1.5</f>
        <v>32.700000000000003</v>
      </c>
      <c r="J21" s="51">
        <f>SUM(K21)-1.5</f>
        <v>34.200000000000003</v>
      </c>
      <c r="K21" s="60">
        <v>35.700000000000003</v>
      </c>
      <c r="L21" s="51">
        <f>SUM(K21)+1.5</f>
        <v>37.200000000000003</v>
      </c>
      <c r="M21" s="51">
        <f>SUM(L21)+1.5</f>
        <v>38.700000000000003</v>
      </c>
      <c r="N21" s="75">
        <f>SUM(M21)+1.5</f>
        <v>40.200000000000003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23"/>
      <c r="K22" s="21"/>
      <c r="L22" s="23"/>
      <c r="M22" s="23"/>
      <c r="N22" s="76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13.4</v>
      </c>
      <c r="I23" s="51">
        <f>SUM(J23)-0.6</f>
        <v>14</v>
      </c>
      <c r="J23" s="51">
        <f>SUM(K23)-0.6</f>
        <v>14.6</v>
      </c>
      <c r="K23" s="60">
        <v>15.2</v>
      </c>
      <c r="L23" s="51">
        <f>SUM(K23)+0.6</f>
        <v>15.799999999999999</v>
      </c>
      <c r="M23" s="51">
        <f>SUM(L23)+0.6</f>
        <v>16.399999999999999</v>
      </c>
      <c r="N23" s="75">
        <f>SUM(M23)+0.6</f>
        <v>17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23"/>
      <c r="K24" s="21"/>
      <c r="L24" s="23"/>
      <c r="M24" s="23"/>
      <c r="N24" s="76"/>
    </row>
    <row r="25" spans="1:14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5.1000000000000005</v>
      </c>
      <c r="I25" s="51">
        <f>SUM(J25)-0.3</f>
        <v>5.4</v>
      </c>
      <c r="J25" s="51">
        <f>SUM(K25)-0.3</f>
        <v>5.7</v>
      </c>
      <c r="K25" s="60">
        <v>6</v>
      </c>
      <c r="L25" s="51">
        <f>SUM(K25)+0.3</f>
        <v>6.3</v>
      </c>
      <c r="M25" s="51">
        <f>SUM(L25)+0.3</f>
        <v>6.6</v>
      </c>
      <c r="N25" s="75">
        <f>SUM(M25)+0.3</f>
        <v>6.8999999999999995</v>
      </c>
    </row>
    <row r="26" spans="1:14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47"/>
      <c r="I26" s="47"/>
      <c r="J26" s="23"/>
      <c r="K26" s="21"/>
      <c r="L26" s="23"/>
      <c r="M26" s="23"/>
      <c r="N26" s="76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51"/>
      <c r="K27" s="60"/>
      <c r="L27" s="51"/>
      <c r="M27" s="51"/>
      <c r="N27" s="75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48"/>
      <c r="K28" s="110"/>
      <c r="L28" s="48"/>
      <c r="M28" s="48"/>
      <c r="N28" s="109"/>
    </row>
    <row r="29" spans="1:14" ht="14.1" customHeight="1">
      <c r="H29" s="47"/>
    </row>
    <row r="30" spans="1:14" ht="14.1" customHeight="1" thickBot="1">
      <c r="H30" s="48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0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H29:H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FE67-E600-49A4-A761-A2711B10468D}">
  <sheetPr>
    <tabColor theme="5"/>
    <pageSetUpPr fitToPage="1"/>
  </sheetPr>
  <dimension ref="A1:N51"/>
  <sheetViews>
    <sheetView zoomScale="110" zoomScaleNormal="110" workbookViewId="0">
      <selection activeCell="B25" sqref="B25:G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50" t="s">
        <v>405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154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40</v>
      </c>
      <c r="I3" s="51">
        <f>SUM(J3)-3.5</f>
        <v>43.5</v>
      </c>
      <c r="J3" s="114">
        <v>47</v>
      </c>
      <c r="K3" s="168">
        <f>SUM(J3)+3</f>
        <v>50</v>
      </c>
      <c r="L3" s="168">
        <f>SUM(K3)+3</f>
        <v>53</v>
      </c>
      <c r="M3" s="168">
        <f>SUM(L3)+3</f>
        <v>56</v>
      </c>
      <c r="N3" s="251">
        <f>SUM(M3)+3</f>
        <v>59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123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40.199999999999996</v>
      </c>
      <c r="I5" s="51">
        <f>SUM(J5)-2.2</f>
        <v>42.4</v>
      </c>
      <c r="J5" s="60">
        <v>44.6</v>
      </c>
      <c r="K5" s="51">
        <f>SUM(J5)+2</f>
        <v>46.6</v>
      </c>
      <c r="L5" s="51">
        <f>SUM(K5)+2</f>
        <v>48.6</v>
      </c>
      <c r="M5" s="51">
        <f>SUM(L5)+2</f>
        <v>50.6</v>
      </c>
      <c r="N5" s="123">
        <f>SUM(M5)+2</f>
        <v>52.6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41.5</v>
      </c>
      <c r="I7" s="51">
        <f>SUM(J7)-2.25</f>
        <v>43.75</v>
      </c>
      <c r="J7" s="60">
        <v>46</v>
      </c>
      <c r="K7" s="51">
        <f>SUM(J7)+2</f>
        <v>48</v>
      </c>
      <c r="L7" s="51">
        <f>SUM(K7)+2</f>
        <v>50</v>
      </c>
      <c r="M7" s="51">
        <f>SUM(L7)+2</f>
        <v>52</v>
      </c>
      <c r="N7" s="123">
        <f>SUM(M7)+2</f>
        <v>54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31.400000000000002</v>
      </c>
      <c r="I9" s="51">
        <f>SUM(J9)-1.8</f>
        <v>33.200000000000003</v>
      </c>
      <c r="J9" s="60">
        <v>35</v>
      </c>
      <c r="K9" s="51">
        <f>SUM(J9)+1.6</f>
        <v>36.6</v>
      </c>
      <c r="L9" s="51">
        <f>SUM(K9)+1.6</f>
        <v>38.200000000000003</v>
      </c>
      <c r="M9" s="51">
        <f>SUM(L9)+1.6</f>
        <v>39.800000000000004</v>
      </c>
      <c r="N9" s="123">
        <f>SUM(M9)+1.6</f>
        <v>41.400000000000006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16.5</v>
      </c>
      <c r="I11" s="51">
        <f>SUM(J11)-0.8</f>
        <v>17.3</v>
      </c>
      <c r="J11" s="39">
        <v>18.100000000000001</v>
      </c>
      <c r="K11" s="32">
        <f>SUM(J11)+0.8</f>
        <v>18.900000000000002</v>
      </c>
      <c r="L11" s="32">
        <f>SUM(K11)+0.8</f>
        <v>19.700000000000003</v>
      </c>
      <c r="M11" s="32">
        <f>SUM(L11)+0.8</f>
        <v>20.500000000000004</v>
      </c>
      <c r="N11" s="126">
        <f>SUM(M11)+0.8</f>
        <v>21.300000000000004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126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2">
        <f>SUM(L13)+0.6</f>
        <v>18.800000000000004</v>
      </c>
      <c r="N13" s="126">
        <f>SUM(M13)+0.6</f>
        <v>19.400000000000006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6.1000000000000005</v>
      </c>
      <c r="I15" s="51">
        <f>SUM(J15)-0.3</f>
        <v>6.4</v>
      </c>
      <c r="J15" s="39">
        <v>6.7</v>
      </c>
      <c r="K15" s="32">
        <f>SUM(J15)+0.3</f>
        <v>7</v>
      </c>
      <c r="L15" s="32">
        <f>SUM(K15)+0.3</f>
        <v>7.3</v>
      </c>
      <c r="M15" s="32">
        <f>SUM(L15)+0.3</f>
        <v>7.6</v>
      </c>
      <c r="N15" s="126">
        <f>SUM(M15)+0.3</f>
        <v>7.8999999999999995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40.799999999999997</v>
      </c>
      <c r="I17" s="51">
        <f>SUM(J17)-1.6</f>
        <v>42.4</v>
      </c>
      <c r="J17" s="39">
        <v>44</v>
      </c>
      <c r="K17" s="32">
        <f>SUM(J17)+1.6</f>
        <v>45.6</v>
      </c>
      <c r="L17" s="32">
        <f>SUM(K17)+1.6</f>
        <v>47.2</v>
      </c>
      <c r="M17" s="32">
        <f>SUM(L17)+1.6</f>
        <v>48.800000000000004</v>
      </c>
      <c r="N17" s="126">
        <f>SUM(M17)+1.6</f>
        <v>50.400000000000006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24.900000000000002</v>
      </c>
      <c r="I19" s="51">
        <f>SUM(J19)-3.4</f>
        <v>28.3</v>
      </c>
      <c r="J19" s="39">
        <v>31.7</v>
      </c>
      <c r="K19" s="32">
        <f>SUM(J19)+3.5</f>
        <v>35.200000000000003</v>
      </c>
      <c r="L19" s="32">
        <f>SUM(K19)+3.5</f>
        <v>38.700000000000003</v>
      </c>
      <c r="M19" s="32">
        <f>SUM(L19)+3.5</f>
        <v>42.2</v>
      </c>
      <c r="N19" s="126">
        <f>SUM(M19)+3.5</f>
        <v>45.7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12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31.599999999999994</v>
      </c>
      <c r="I21" s="51">
        <f>SUM(J21)-1.6</f>
        <v>33.199999999999996</v>
      </c>
      <c r="J21" s="39">
        <v>34.799999999999997</v>
      </c>
      <c r="K21" s="32">
        <f>SUM(J21)+1.6</f>
        <v>36.4</v>
      </c>
      <c r="L21" s="32">
        <f>SUM(K21)+1.6</f>
        <v>38</v>
      </c>
      <c r="M21" s="32">
        <f>SUM(L21)+1.6</f>
        <v>39.6</v>
      </c>
      <c r="N21" s="126">
        <f>SUM(M21)+1.6</f>
        <v>41.2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126"/>
    </row>
    <row r="23" spans="1:14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32">
        <f>SUM(L23)+0.6</f>
        <v>17</v>
      </c>
      <c r="N23" s="126">
        <f>SUM(M23)+0.6</f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126"/>
    </row>
    <row r="25" spans="1:14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SUM(I25)-0.3</f>
        <v>4.4000000000000004</v>
      </c>
      <c r="I25" s="51">
        <f>SUM(J25)-0.3</f>
        <v>4.7</v>
      </c>
      <c r="J25" s="39">
        <v>5</v>
      </c>
      <c r="K25" s="32">
        <f>SUM(J25)+0.3</f>
        <v>5.3</v>
      </c>
      <c r="L25" s="32">
        <f>SUM(K25)+0.3</f>
        <v>5.6</v>
      </c>
      <c r="M25" s="32">
        <f>SUM(L25)+0.3</f>
        <v>5.8999999999999995</v>
      </c>
      <c r="N25" s="126">
        <f>SUM(M25)+0.3</f>
        <v>6.1999999999999993</v>
      </c>
    </row>
    <row r="26" spans="1:14" s="1" customFormat="1" ht="14.1" customHeight="1">
      <c r="A26" s="40"/>
      <c r="B26" s="34" t="s">
        <v>140</v>
      </c>
      <c r="C26" s="35"/>
      <c r="D26" s="36" t="s">
        <v>395</v>
      </c>
      <c r="E26" s="37"/>
      <c r="F26" s="37"/>
      <c r="G26" s="38"/>
      <c r="H26" s="23"/>
      <c r="I26" s="23"/>
      <c r="J26" s="39"/>
      <c r="K26" s="32"/>
      <c r="L26" s="32"/>
      <c r="M26" s="32"/>
      <c r="N26" s="126"/>
    </row>
    <row r="27" spans="1:14" s="1" customFormat="1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126"/>
    </row>
    <row r="28" spans="1:14" s="1" customFormat="1" ht="14.1" customHeight="1">
      <c r="A28" s="40"/>
      <c r="B28" s="34"/>
      <c r="C28" s="35"/>
      <c r="D28" s="36"/>
      <c r="E28" s="37"/>
      <c r="F28" s="37"/>
      <c r="G28" s="38"/>
      <c r="H28" s="23"/>
      <c r="I28" s="23"/>
      <c r="J28" s="39"/>
      <c r="K28" s="32"/>
      <c r="L28" s="32"/>
      <c r="M28" s="32"/>
      <c r="N28" s="126"/>
    </row>
    <row r="29" spans="1:14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32"/>
      <c r="N29" s="126"/>
    </row>
    <row r="30" spans="1:14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32"/>
      <c r="N30" s="126"/>
    </row>
    <row r="31" spans="1:14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32"/>
      <c r="N31" s="126"/>
    </row>
    <row r="32" spans="1:14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32"/>
      <c r="N32" s="126"/>
    </row>
    <row r="33" spans="1:14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32"/>
      <c r="N33" s="126"/>
    </row>
    <row r="34" spans="1:14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32"/>
      <c r="N34" s="126"/>
    </row>
    <row r="35" spans="1:14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32"/>
      <c r="N35" s="126"/>
    </row>
    <row r="36" spans="1:14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24"/>
      <c r="N36" s="252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N25:N26"/>
    <mergeCell ref="N27:N28"/>
    <mergeCell ref="N29:N30"/>
    <mergeCell ref="N31:N32"/>
    <mergeCell ref="N33:N34"/>
    <mergeCell ref="N35:N36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1E44-9574-4B12-A7C1-09817D390E7F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</v>
      </c>
      <c r="I3" s="51">
        <f>SUM(J3)-3.5</f>
        <v>39.5</v>
      </c>
      <c r="J3" s="60">
        <v>43</v>
      </c>
      <c r="K3" s="51">
        <f>SUM(J3)+3</f>
        <v>46</v>
      </c>
      <c r="L3" s="51">
        <f>SUM(K3)+3</f>
        <v>49</v>
      </c>
      <c r="M3" s="70">
        <f>SUM(L3)+3</f>
        <v>52</v>
      </c>
      <c r="N3" s="130">
        <f>SUM(M3)+3</f>
        <v>55</v>
      </c>
    </row>
    <row r="4" spans="1:14" s="1" customFormat="1" ht="14.1" customHeight="1">
      <c r="A4" s="66"/>
      <c r="B4" s="52" t="s">
        <v>38</v>
      </c>
      <c r="C4" s="52"/>
      <c r="D4" s="36" t="s">
        <v>626</v>
      </c>
      <c r="E4" s="37"/>
      <c r="F4" s="37"/>
      <c r="G4" s="37"/>
      <c r="H4" s="23"/>
      <c r="I4" s="23"/>
      <c r="J4" s="21"/>
      <c r="K4" s="23"/>
      <c r="L4" s="23"/>
      <c r="M4" s="23"/>
      <c r="N4" s="125"/>
    </row>
    <row r="5" spans="1:14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45</v>
      </c>
      <c r="I5" s="51">
        <f>SUM(J5)-4.5</f>
        <v>49.5</v>
      </c>
      <c r="J5" s="39">
        <v>54</v>
      </c>
      <c r="K5" s="32">
        <f>SUM(J5)+4.5</f>
        <v>58.5</v>
      </c>
      <c r="L5" s="32">
        <f>SUM(K5)+4.5</f>
        <v>63</v>
      </c>
      <c r="M5" s="32">
        <f>SUM(L5)+4.5</f>
        <v>67.5</v>
      </c>
      <c r="N5" s="126">
        <f>SUM(M5)+4.5</f>
        <v>72</v>
      </c>
    </row>
    <row r="6" spans="1:14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32"/>
      <c r="M6" s="32"/>
      <c r="N6" s="12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35.5</v>
      </c>
      <c r="I7" s="51">
        <f>SUM(J7)-2.25</f>
        <v>37.75</v>
      </c>
      <c r="J7" s="60">
        <v>40</v>
      </c>
      <c r="K7" s="51">
        <f>SUM(J7)+2</f>
        <v>42</v>
      </c>
      <c r="L7" s="51">
        <f>SUM(K7)+2</f>
        <v>44</v>
      </c>
      <c r="M7" s="51">
        <f>SUM(L7)+2</f>
        <v>46</v>
      </c>
      <c r="N7" s="123">
        <f>SUM(M7)+2</f>
        <v>48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SUM(I9)-1.9</f>
        <v>29.200000000000003</v>
      </c>
      <c r="I9" s="51">
        <f>SUM(J9)-1.9</f>
        <v>31.1</v>
      </c>
      <c r="J9" s="60">
        <v>33</v>
      </c>
      <c r="K9" s="51">
        <f>SUM(J9)+1.7</f>
        <v>34.700000000000003</v>
      </c>
      <c r="L9" s="51">
        <f t="shared" ref="L9:N9" si="0">SUM(K9)+1.7</f>
        <v>36.400000000000006</v>
      </c>
      <c r="M9" s="51">
        <f t="shared" si="0"/>
        <v>38.100000000000009</v>
      </c>
      <c r="N9" s="123">
        <f t="shared" si="0"/>
        <v>39.800000000000011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-1.6</v>
      </c>
      <c r="I11" s="87">
        <f>SUM(J11)-0.8</f>
        <v>-0.8</v>
      </c>
      <c r="J11" s="256"/>
      <c r="K11" s="255">
        <f>SUM(J11)+0.8</f>
        <v>0.8</v>
      </c>
      <c r="L11" s="255">
        <f>SUM(K11)+0.8</f>
        <v>1.6</v>
      </c>
      <c r="M11" s="255">
        <f>SUM(L11)+0.8</f>
        <v>2.4000000000000004</v>
      </c>
      <c r="N11" s="269">
        <f>SUM(M11)+0.8</f>
        <v>3.2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86"/>
      <c r="J12" s="256"/>
      <c r="K12" s="255"/>
      <c r="L12" s="255"/>
      <c r="M12" s="255"/>
      <c r="N12" s="269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14.8</v>
      </c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32">
        <f>SUM(L13)+0.6</f>
        <v>17.800000000000004</v>
      </c>
      <c r="N13" s="126">
        <f>SUM(M13)+0.6</f>
        <v>18.400000000000006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6.4</v>
      </c>
      <c r="I15" s="51">
        <f>SUM(J15)-0.3</f>
        <v>6.7</v>
      </c>
      <c r="J15" s="39">
        <v>7</v>
      </c>
      <c r="K15" s="32">
        <f>SUM(J15)+0.3</f>
        <v>7.3</v>
      </c>
      <c r="L15" s="32">
        <f>SUM(K15)+0.3</f>
        <v>7.6</v>
      </c>
      <c r="M15" s="32">
        <f>SUM(L15)+0.3</f>
        <v>7.8999999999999995</v>
      </c>
      <c r="N15" s="126">
        <f>SUM(M15)+0.3</f>
        <v>8.1999999999999993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39.799999999999997</v>
      </c>
      <c r="I17" s="51">
        <f>SUM(J17)-1.6</f>
        <v>41.4</v>
      </c>
      <c r="J17" s="39">
        <v>43</v>
      </c>
      <c r="K17" s="32">
        <f>SUM(J17)+1.6</f>
        <v>44.6</v>
      </c>
      <c r="L17" s="32">
        <f>SUM(K17)+1.6</f>
        <v>46.2</v>
      </c>
      <c r="M17" s="32">
        <f>SUM(L17)+1.6</f>
        <v>47.800000000000004</v>
      </c>
      <c r="N17" s="126">
        <f>SUM(M17)+1.6</f>
        <v>49.400000000000006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SUM(I19)-3.5</f>
        <v>-7</v>
      </c>
      <c r="I19" s="87">
        <f>SUM(J19)-3.5</f>
        <v>-3.5</v>
      </c>
      <c r="J19" s="142"/>
      <c r="K19" s="87">
        <f>SUM(J19)+3.6</f>
        <v>3.6</v>
      </c>
      <c r="L19" s="87">
        <f t="shared" ref="L19:N19" si="1">SUM(K19)+3.6</f>
        <v>7.2</v>
      </c>
      <c r="M19" s="87">
        <f t="shared" si="1"/>
        <v>10.8</v>
      </c>
      <c r="N19" s="195">
        <f t="shared" si="1"/>
        <v>14.4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86"/>
      <c r="J20" s="143"/>
      <c r="K20" s="86"/>
      <c r="L20" s="86"/>
      <c r="M20" s="86"/>
      <c r="N20" s="19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SUM(I21)-1.7</f>
        <v>29</v>
      </c>
      <c r="I21" s="51">
        <f>SUM(J21)-1.7</f>
        <v>30.7</v>
      </c>
      <c r="J21" s="39">
        <v>32.4</v>
      </c>
      <c r="K21" s="32">
        <f>SUM(J21)+1.7</f>
        <v>34.1</v>
      </c>
      <c r="L21" s="32">
        <f t="shared" ref="L21:N21" si="2">SUM(K21)+1.7</f>
        <v>35.800000000000004</v>
      </c>
      <c r="M21" s="32">
        <f t="shared" si="2"/>
        <v>37.500000000000007</v>
      </c>
      <c r="N21" s="126">
        <f t="shared" si="2"/>
        <v>39.20000000000001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126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 t="shared" ref="L23:N23" si="3">SUM(K23)+0.6</f>
        <v>16.399999999999999</v>
      </c>
      <c r="M23" s="32">
        <f t="shared" si="3"/>
        <v>17</v>
      </c>
      <c r="N23" s="82">
        <f t="shared" si="3"/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SUM(I25)-0.2</f>
        <v>2.0999999999999996</v>
      </c>
      <c r="I25" s="51">
        <f>SUM(J25)-0.2</f>
        <v>2.2999999999999998</v>
      </c>
      <c r="J25" s="39">
        <v>2.5</v>
      </c>
      <c r="K25" s="32">
        <f>SUM(J25)+0.2</f>
        <v>2.7</v>
      </c>
      <c r="L25" s="32">
        <f t="shared" ref="L25:N25" si="4">SUM(K25)+0.2</f>
        <v>2.9000000000000004</v>
      </c>
      <c r="M25" s="32">
        <f t="shared" si="4"/>
        <v>3.1000000000000005</v>
      </c>
      <c r="N25" s="126">
        <f t="shared" si="4"/>
        <v>3.3000000000000007</v>
      </c>
    </row>
    <row r="26" spans="1:14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51"/>
      <c r="N26" s="123"/>
    </row>
    <row r="27" spans="1:14" ht="14.1" customHeight="1">
      <c r="A27" s="40">
        <v>13</v>
      </c>
      <c r="B27" s="56"/>
      <c r="C27" s="56"/>
      <c r="D27" s="55"/>
      <c r="E27" s="55"/>
      <c r="F27" s="55"/>
      <c r="G27" s="55"/>
      <c r="H27" s="51"/>
      <c r="I27" s="51"/>
      <c r="J27" s="39"/>
      <c r="K27" s="32"/>
      <c r="L27" s="32"/>
      <c r="M27" s="32"/>
      <c r="N27" s="126"/>
    </row>
    <row r="28" spans="1:14" ht="14.1" customHeight="1" thickBot="1">
      <c r="A28" s="41"/>
      <c r="B28" s="132"/>
      <c r="C28" s="132"/>
      <c r="D28" s="179"/>
      <c r="E28" s="253"/>
      <c r="F28" s="253"/>
      <c r="G28" s="254"/>
      <c r="H28" s="48"/>
      <c r="I28" s="48"/>
      <c r="J28" s="22"/>
      <c r="K28" s="24"/>
      <c r="L28" s="24"/>
      <c r="M28" s="24"/>
      <c r="N28" s="25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2FFB-6742-45BD-80ED-890B05CFA3FB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600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32</v>
      </c>
      <c r="I3" s="51">
        <f>SUM(J3)-3</f>
        <v>35</v>
      </c>
      <c r="J3" s="60">
        <v>38</v>
      </c>
      <c r="K3" s="51">
        <f>SUM(J3)+2.5</f>
        <v>40.5</v>
      </c>
      <c r="L3" s="51">
        <f t="shared" ref="L3:N3" si="0">SUM(K3)+2.5</f>
        <v>43</v>
      </c>
      <c r="M3" s="51">
        <f t="shared" si="0"/>
        <v>45.5</v>
      </c>
      <c r="N3" s="75">
        <f t="shared" si="0"/>
        <v>48</v>
      </c>
    </row>
    <row r="4" spans="1:14" s="1" customFormat="1" ht="14.1" customHeight="1">
      <c r="A4" s="66"/>
      <c r="B4" s="52" t="s">
        <v>38</v>
      </c>
      <c r="C4" s="52"/>
      <c r="D4" s="36" t="s">
        <v>626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21.9</v>
      </c>
      <c r="I5" s="51">
        <f>SUM(J5)-1.6</f>
        <v>23.5</v>
      </c>
      <c r="J5" s="60">
        <v>25.1</v>
      </c>
      <c r="K5" s="51">
        <f>SUM(J5)+1.4</f>
        <v>26.5</v>
      </c>
      <c r="L5" s="51">
        <f t="shared" ref="L5:N5" si="1">SUM(K5)+1.4</f>
        <v>27.9</v>
      </c>
      <c r="M5" s="51">
        <f t="shared" si="1"/>
        <v>29.299999999999997</v>
      </c>
      <c r="N5" s="75">
        <f t="shared" si="1"/>
        <v>30.699999999999996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28</v>
      </c>
      <c r="I7" s="51">
        <f>SUM(J7)-2</f>
        <v>30</v>
      </c>
      <c r="J7" s="60">
        <v>32</v>
      </c>
      <c r="K7" s="51">
        <f>SUM(J7)+1.8</f>
        <v>33.799999999999997</v>
      </c>
      <c r="L7" s="51">
        <f t="shared" ref="L7:N7" si="2">SUM(K7)+1.8</f>
        <v>35.599999999999994</v>
      </c>
      <c r="M7" s="51">
        <f t="shared" si="2"/>
        <v>37.399999999999991</v>
      </c>
      <c r="N7" s="75">
        <f t="shared" si="2"/>
        <v>39.199999999999989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28</v>
      </c>
      <c r="I9" s="51">
        <f>SUM(J9)-2</f>
        <v>30</v>
      </c>
      <c r="J9" s="60">
        <v>32</v>
      </c>
      <c r="K9" s="51">
        <f>SUM(J9)+1.8</f>
        <v>33.799999999999997</v>
      </c>
      <c r="L9" s="51">
        <f t="shared" ref="L9:N9" si="3">SUM(K9)+1.8</f>
        <v>35.599999999999994</v>
      </c>
      <c r="M9" s="51">
        <f t="shared" si="3"/>
        <v>37.399999999999991</v>
      </c>
      <c r="N9" s="75">
        <f t="shared" si="3"/>
        <v>39.199999999999989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12.899999999999999</v>
      </c>
      <c r="I11" s="51">
        <f>SUM(J11)-0.8</f>
        <v>13.799999999999999</v>
      </c>
      <c r="J11" s="39">
        <v>14.6</v>
      </c>
      <c r="K11" s="32">
        <f>SUM(J11)+0.9</f>
        <v>15.5</v>
      </c>
      <c r="L11" s="32">
        <f t="shared" ref="L11:N11" si="4">SUM(K11)+0.9</f>
        <v>16.399999999999999</v>
      </c>
      <c r="M11" s="32">
        <f t="shared" si="4"/>
        <v>17.299999999999997</v>
      </c>
      <c r="N11" s="82">
        <f t="shared" si="4"/>
        <v>18.199999999999996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11.8</v>
      </c>
      <c r="I13" s="51">
        <f>SUM(J13)-0.6</f>
        <v>12.4</v>
      </c>
      <c r="J13" s="39">
        <v>13</v>
      </c>
      <c r="K13" s="32">
        <f>SUM(J13)+0.6</f>
        <v>13.6</v>
      </c>
      <c r="L13" s="32">
        <f>SUM(K13)+0.6</f>
        <v>14.2</v>
      </c>
      <c r="M13" s="32">
        <f>SUM(L13)+0.6</f>
        <v>14.799999999999999</v>
      </c>
      <c r="N13" s="82">
        <f>SUM(M13)+0.6</f>
        <v>15.399999999999999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5.4</v>
      </c>
      <c r="I15" s="51">
        <f>SUM(J15)-0.3</f>
        <v>5.7</v>
      </c>
      <c r="J15" s="39">
        <v>6</v>
      </c>
      <c r="K15" s="32">
        <f>SUM(J15)+0.3</f>
        <v>6.3</v>
      </c>
      <c r="L15" s="32">
        <f>SUM(K15)+0.3</f>
        <v>6.6</v>
      </c>
      <c r="M15" s="32">
        <f>SUM(L15)+0.3</f>
        <v>6.8999999999999995</v>
      </c>
      <c r="N15" s="82">
        <f>SUM(M15)+0.3</f>
        <v>7.1999999999999993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33.799999999999997</v>
      </c>
      <c r="I17" s="51">
        <f>SUM(J17)-1.6</f>
        <v>35.4</v>
      </c>
      <c r="J17" s="39">
        <v>37</v>
      </c>
      <c r="K17" s="32">
        <f>SUM(J17)+1.6</f>
        <v>38.6</v>
      </c>
      <c r="L17" s="32">
        <f>SUM(K17)+1.6</f>
        <v>40.200000000000003</v>
      </c>
      <c r="M17" s="32">
        <f>SUM(L17)+1.6</f>
        <v>41.800000000000004</v>
      </c>
      <c r="N17" s="82">
        <f>SUM(M17)+1.6</f>
        <v>43.400000000000006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33.699999999999996</v>
      </c>
      <c r="I19" s="51">
        <f>SUM(J19)-3.7</f>
        <v>37.4</v>
      </c>
      <c r="J19" s="60">
        <v>41.1</v>
      </c>
      <c r="K19" s="51">
        <f>SUM(J19)+3.8</f>
        <v>44.9</v>
      </c>
      <c r="L19" s="51">
        <f t="shared" ref="L19:N19" si="5">SUM(K19)+3.8</f>
        <v>48.699999999999996</v>
      </c>
      <c r="M19" s="51">
        <f t="shared" si="5"/>
        <v>52.499999999999993</v>
      </c>
      <c r="N19" s="75">
        <f t="shared" si="5"/>
        <v>56.29999999999999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21.200000000000003</v>
      </c>
      <c r="I21" s="51">
        <f>SUM(J21)-1.4</f>
        <v>22.6</v>
      </c>
      <c r="J21" s="39">
        <v>24</v>
      </c>
      <c r="K21" s="32">
        <f>SUM(J21)+1.4</f>
        <v>25.4</v>
      </c>
      <c r="L21" s="32">
        <f t="shared" ref="L21:N21" si="6">SUM(K21)+1.4</f>
        <v>26.799999999999997</v>
      </c>
      <c r="M21" s="32">
        <f t="shared" si="6"/>
        <v>28.199999999999996</v>
      </c>
      <c r="N21" s="82">
        <f t="shared" si="6"/>
        <v>29.599999999999994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 t="shared" ref="L23:N23" si="7">SUM(K23)+0.7</f>
        <v>17.399999999999999</v>
      </c>
      <c r="M23" s="32">
        <f t="shared" si="7"/>
        <v>18.099999999999998</v>
      </c>
      <c r="N23" s="82">
        <f t="shared" si="7"/>
        <v>18.799999999999997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SUM(I25)-0.4</f>
        <v>3.6999999999999997</v>
      </c>
      <c r="I25" s="51">
        <f>SUM(J25)-0.4</f>
        <v>4.0999999999999996</v>
      </c>
      <c r="J25" s="39">
        <v>4.5</v>
      </c>
      <c r="K25" s="32">
        <f>SUM(J25)+0.3</f>
        <v>4.8</v>
      </c>
      <c r="L25" s="32">
        <f t="shared" ref="L25:N25" si="8">SUM(K25)+0.3</f>
        <v>5.0999999999999996</v>
      </c>
      <c r="M25" s="32">
        <f t="shared" si="8"/>
        <v>5.3999999999999995</v>
      </c>
      <c r="N25" s="82">
        <f t="shared" si="8"/>
        <v>5.6999999999999993</v>
      </c>
    </row>
    <row r="26" spans="1:14" s="1" customFormat="1" ht="14.1" customHeight="1">
      <c r="A26" s="40"/>
      <c r="B26" s="34" t="s">
        <v>140</v>
      </c>
      <c r="C26" s="35"/>
      <c r="D26" s="36" t="s">
        <v>587</v>
      </c>
      <c r="E26" s="37"/>
      <c r="F26" s="37"/>
      <c r="G26" s="38"/>
      <c r="H26" s="23"/>
      <c r="I26" s="23"/>
      <c r="J26" s="60"/>
      <c r="K26" s="32"/>
      <c r="L26" s="32"/>
      <c r="M26" s="32"/>
      <c r="N26" s="82"/>
    </row>
    <row r="27" spans="1:14" ht="14.1" customHeight="1">
      <c r="A27" s="40">
        <v>13</v>
      </c>
      <c r="B27" s="53" t="s">
        <v>139</v>
      </c>
      <c r="C27" s="54"/>
      <c r="D27" s="44"/>
      <c r="E27" s="45"/>
      <c r="F27" s="45"/>
      <c r="G27" s="46"/>
      <c r="H27" s="51">
        <f>SUM(I27)-0.3</f>
        <v>2.9000000000000004</v>
      </c>
      <c r="I27" s="51">
        <f>SUM(J27)-0.3</f>
        <v>3.2</v>
      </c>
      <c r="J27" s="39">
        <v>3.5</v>
      </c>
      <c r="K27" s="32">
        <f>SUM(J27)+0.2</f>
        <v>3.7</v>
      </c>
      <c r="L27" s="32">
        <f t="shared" ref="L27:N27" si="9">SUM(K27)+0.2</f>
        <v>3.9000000000000004</v>
      </c>
      <c r="M27" s="32">
        <f t="shared" si="9"/>
        <v>4.1000000000000005</v>
      </c>
      <c r="N27" s="82">
        <f t="shared" si="9"/>
        <v>4.3000000000000007</v>
      </c>
    </row>
    <row r="28" spans="1:14" ht="14.1" customHeight="1" thickBot="1">
      <c r="A28" s="41"/>
      <c r="B28" s="27" t="s">
        <v>138</v>
      </c>
      <c r="C28" s="28"/>
      <c r="D28" s="29" t="s">
        <v>657</v>
      </c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N21:N22"/>
    <mergeCell ref="N23:N24"/>
    <mergeCell ref="N25:N26"/>
    <mergeCell ref="N27:N28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90E7-F78E-4A6F-8A52-5849B14F667F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627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39</v>
      </c>
      <c r="I3" s="51">
        <f>SUM(J3)-3.5</f>
        <v>42.5</v>
      </c>
      <c r="J3" s="60">
        <v>46</v>
      </c>
      <c r="K3" s="51">
        <f>SUM(J3)+3</f>
        <v>49</v>
      </c>
      <c r="L3" s="51">
        <f t="shared" ref="L3:N3" si="0">SUM(K3)+3</f>
        <v>52</v>
      </c>
      <c r="M3" s="51">
        <f t="shared" si="0"/>
        <v>55</v>
      </c>
      <c r="N3" s="75">
        <f t="shared" si="0"/>
        <v>58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37.499999999999993</v>
      </c>
      <c r="I5" s="51">
        <f>SUM(J5)-2.2</f>
        <v>39.699999999999996</v>
      </c>
      <c r="J5" s="60">
        <v>41.9</v>
      </c>
      <c r="K5" s="51">
        <f>SUM(J5)+2</f>
        <v>43.9</v>
      </c>
      <c r="L5" s="51">
        <f t="shared" ref="L5:M5" si="1">SUM(K5)+2</f>
        <v>45.9</v>
      </c>
      <c r="M5" s="51">
        <f t="shared" si="1"/>
        <v>47.9</v>
      </c>
      <c r="N5" s="75">
        <f t="shared" ref="N5" si="2">SUM(M5)+2</f>
        <v>49.9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39</v>
      </c>
      <c r="I7" s="51">
        <f>SUM(J7)-2.25</f>
        <v>41.25</v>
      </c>
      <c r="J7" s="60">
        <v>43.5</v>
      </c>
      <c r="K7" s="51">
        <f>SUM(J7)+2</f>
        <v>45.5</v>
      </c>
      <c r="L7" s="51">
        <f>SUM(K7)+2</f>
        <v>47.5</v>
      </c>
      <c r="M7" s="51">
        <f>SUM(L7)+2</f>
        <v>49.5</v>
      </c>
      <c r="N7" s="75">
        <f>SUM(M7)+2</f>
        <v>51.5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</f>
        <v>38.099999999999994</v>
      </c>
      <c r="I9" s="51">
        <f>SUM(J9)-2.2</f>
        <v>40.299999999999997</v>
      </c>
      <c r="J9" s="60">
        <v>42.5</v>
      </c>
      <c r="K9" s="51">
        <f>SUM(J9)+2</f>
        <v>44.5</v>
      </c>
      <c r="L9" s="51">
        <f t="shared" ref="L9" si="3">SUM(K9)+2</f>
        <v>46.5</v>
      </c>
      <c r="M9" s="51">
        <f t="shared" ref="M9:N9" si="4">SUM(L9)+2</f>
        <v>48.5</v>
      </c>
      <c r="N9" s="75">
        <f t="shared" si="4"/>
        <v>50.5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15.5</v>
      </c>
      <c r="I11" s="51">
        <f>SUM(J11)-0.8</f>
        <v>16.3</v>
      </c>
      <c r="J11" s="39">
        <v>17.100000000000001</v>
      </c>
      <c r="K11" s="32">
        <f>SUM(J11)+0.8</f>
        <v>17.900000000000002</v>
      </c>
      <c r="L11" s="32">
        <f>SUM(K11)+0.8</f>
        <v>18.700000000000003</v>
      </c>
      <c r="M11" s="32">
        <f>SUM(L11)+0.8</f>
        <v>19.500000000000004</v>
      </c>
      <c r="N11" s="82">
        <f>SUM(M11)+0.8</f>
        <v>20.300000000000004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2">
        <f>SUM(L13)+0.6</f>
        <v>18.800000000000004</v>
      </c>
      <c r="N13" s="82">
        <f>SUM(M13)+0.6</f>
        <v>19.400000000000006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6.3000000000000007</v>
      </c>
      <c r="I15" s="51">
        <f>SUM(J15)-0.3</f>
        <v>6.6000000000000005</v>
      </c>
      <c r="J15" s="39">
        <v>6.9</v>
      </c>
      <c r="K15" s="32">
        <f>SUM(J15)+0.3</f>
        <v>7.2</v>
      </c>
      <c r="L15" s="32">
        <f>SUM(K15)+0.3</f>
        <v>7.5</v>
      </c>
      <c r="M15" s="32">
        <f>SUM(L15)+0.3</f>
        <v>7.8</v>
      </c>
      <c r="N15" s="82">
        <f>SUM(M15)+0.3</f>
        <v>8.1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39.799999999999997</v>
      </c>
      <c r="I17" s="51">
        <f>SUM(J17)-1.6</f>
        <v>41.4</v>
      </c>
      <c r="J17" s="39">
        <v>43</v>
      </c>
      <c r="K17" s="32">
        <f>SUM(J17)+1.6</f>
        <v>44.6</v>
      </c>
      <c r="L17" s="32">
        <f>SUM(K17)+1.6</f>
        <v>46.2</v>
      </c>
      <c r="M17" s="32">
        <f>SUM(L17)+1.6</f>
        <v>47.800000000000004</v>
      </c>
      <c r="N17" s="82">
        <f>SUM(M17)+1.6</f>
        <v>49.400000000000006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26.700000000000003</v>
      </c>
      <c r="I19" s="51">
        <f>SUM(J19)-3.4</f>
        <v>30.1</v>
      </c>
      <c r="J19" s="60">
        <v>33.5</v>
      </c>
      <c r="K19" s="51">
        <f>SUM(J19)+3.5</f>
        <v>37</v>
      </c>
      <c r="L19" s="51">
        <f t="shared" ref="L19:N19" si="5">SUM(K19)+3.5</f>
        <v>40.5</v>
      </c>
      <c r="M19" s="51">
        <f t="shared" si="5"/>
        <v>44</v>
      </c>
      <c r="N19" s="75">
        <f t="shared" si="5"/>
        <v>47.5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30.199999999999996</v>
      </c>
      <c r="I21" s="51">
        <f>SUM(J21)-1.6</f>
        <v>31.799999999999997</v>
      </c>
      <c r="J21" s="39">
        <v>33.4</v>
      </c>
      <c r="K21" s="32">
        <f>SUM(J21)+1.6</f>
        <v>35</v>
      </c>
      <c r="L21" s="32">
        <f t="shared" ref="L21:N21" si="6">SUM(K21)+1.6</f>
        <v>36.6</v>
      </c>
      <c r="M21" s="32">
        <f t="shared" si="6"/>
        <v>38.200000000000003</v>
      </c>
      <c r="N21" s="82">
        <f t="shared" si="6"/>
        <v>39.800000000000004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13</v>
      </c>
      <c r="I23" s="51">
        <f>SUM(J23)-0.6</f>
        <v>13.6</v>
      </c>
      <c r="J23" s="39">
        <v>14.2</v>
      </c>
      <c r="K23" s="32">
        <f>SUM(J23)+0.6</f>
        <v>14.799999999999999</v>
      </c>
      <c r="L23" s="32">
        <f t="shared" ref="L23:N23" si="7">SUM(K23)+0.6</f>
        <v>15.399999999999999</v>
      </c>
      <c r="M23" s="32">
        <f t="shared" si="7"/>
        <v>15.999999999999998</v>
      </c>
      <c r="N23" s="82">
        <f t="shared" si="7"/>
        <v>16.599999999999998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SUM(I25)-0.3</f>
        <v>4.4000000000000004</v>
      </c>
      <c r="I25" s="51">
        <f>SUM(J25)-0.3</f>
        <v>4.7</v>
      </c>
      <c r="J25" s="39">
        <v>5</v>
      </c>
      <c r="K25" s="32">
        <f>SUM(J25)+0.3</f>
        <v>5.3</v>
      </c>
      <c r="L25" s="32">
        <f t="shared" ref="L25:N25" si="8">SUM(K25)+0.3</f>
        <v>5.6</v>
      </c>
      <c r="M25" s="32">
        <f t="shared" si="8"/>
        <v>5.8999999999999995</v>
      </c>
      <c r="N25" s="82">
        <f t="shared" si="8"/>
        <v>6.1999999999999993</v>
      </c>
    </row>
    <row r="26" spans="1:14" s="1" customFormat="1" ht="14.1" customHeight="1">
      <c r="A26" s="111"/>
      <c r="B26" s="34" t="s">
        <v>140</v>
      </c>
      <c r="C26" s="35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 t="s">
        <v>139</v>
      </c>
      <c r="C27" s="50"/>
      <c r="D27" s="93" t="s">
        <v>628</v>
      </c>
      <c r="E27" s="94"/>
      <c r="F27" s="94"/>
      <c r="G27" s="95"/>
      <c r="H27" s="51">
        <f>SUM(I27)</f>
        <v>1.8</v>
      </c>
      <c r="I27" s="51">
        <f>SUM(J27)</f>
        <v>1.8</v>
      </c>
      <c r="J27" s="39">
        <v>1.8</v>
      </c>
      <c r="K27" s="32">
        <f>SUM(J27)</f>
        <v>1.8</v>
      </c>
      <c r="L27" s="32">
        <f t="shared" ref="L27:N27" si="9">SUM(K27)</f>
        <v>1.8</v>
      </c>
      <c r="M27" s="32">
        <f t="shared" si="9"/>
        <v>1.8</v>
      </c>
      <c r="N27" s="82">
        <f t="shared" si="9"/>
        <v>1.8</v>
      </c>
    </row>
    <row r="28" spans="1:14" ht="14.1" customHeight="1" thickBot="1">
      <c r="A28" s="41"/>
      <c r="B28" s="27" t="s">
        <v>138</v>
      </c>
      <c r="C28" s="28"/>
      <c r="D28" s="29" t="s">
        <v>629</v>
      </c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4CED-C283-4AB2-AFDE-C15DC87AFEF2}">
  <sheetPr>
    <tabColor theme="5"/>
    <pageSetUpPr fitToPage="1"/>
  </sheetPr>
  <dimension ref="A1:Q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62" t="s">
        <v>630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7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7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32</v>
      </c>
      <c r="I3" s="51">
        <f>SUM(J3)-3</f>
        <v>35</v>
      </c>
      <c r="J3" s="60">
        <v>38</v>
      </c>
      <c r="K3" s="51">
        <f>SUM(J3)+2.5</f>
        <v>40.5</v>
      </c>
      <c r="L3" s="51">
        <f t="shared" ref="L3:M3" si="0">SUM(K3)+2.5</f>
        <v>43</v>
      </c>
      <c r="M3" s="61">
        <f t="shared" si="0"/>
        <v>45.5</v>
      </c>
    </row>
    <row r="4" spans="1:17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5"/>
    </row>
    <row r="5" spans="1:17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21.799999999999997</v>
      </c>
      <c r="I5" s="51">
        <f>SUM(J5)-1.6</f>
        <v>23.4</v>
      </c>
      <c r="J5" s="60">
        <v>25</v>
      </c>
      <c r="K5" s="51">
        <f>SUM(J5)+1.4</f>
        <v>26.4</v>
      </c>
      <c r="L5" s="51">
        <f t="shared" ref="L5:M5" si="1">SUM(K5)+1.4</f>
        <v>27.799999999999997</v>
      </c>
      <c r="M5" s="61">
        <f t="shared" si="1"/>
        <v>29.199999999999996</v>
      </c>
    </row>
    <row r="6" spans="1:17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7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28</v>
      </c>
      <c r="I7" s="51">
        <f>SUM(J7)-2</f>
        <v>30</v>
      </c>
      <c r="J7" s="60">
        <v>32</v>
      </c>
      <c r="K7" s="51">
        <f>SUM(J7)+1.8</f>
        <v>33.799999999999997</v>
      </c>
      <c r="L7" s="51">
        <f t="shared" ref="L7:M7" si="2">SUM(K7)+1.8</f>
        <v>35.599999999999994</v>
      </c>
      <c r="M7" s="61">
        <f t="shared" si="2"/>
        <v>37.399999999999991</v>
      </c>
    </row>
    <row r="8" spans="1:17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7" s="1" customFormat="1" ht="14.1" customHeight="1">
      <c r="A9" s="40">
        <v>4</v>
      </c>
      <c r="B9" s="56" t="s">
        <v>461</v>
      </c>
      <c r="C9" s="56"/>
      <c r="D9" s="55" t="s">
        <v>573</v>
      </c>
      <c r="E9" s="55"/>
      <c r="F9" s="55"/>
      <c r="G9" s="55"/>
      <c r="H9" s="51">
        <f>SUM(I9)-2</f>
        <v>28</v>
      </c>
      <c r="I9" s="51">
        <f>SUM(J9)-2</f>
        <v>30</v>
      </c>
      <c r="J9" s="60">
        <v>32</v>
      </c>
      <c r="K9" s="51">
        <f>SUM(J9)+1.8</f>
        <v>33.799999999999997</v>
      </c>
      <c r="L9" s="51">
        <f t="shared" ref="L9:M9" si="3">SUM(K9)+1.8</f>
        <v>35.599999999999994</v>
      </c>
      <c r="M9" s="61">
        <f t="shared" si="3"/>
        <v>37.399999999999991</v>
      </c>
      <c r="N9" s="1" t="s">
        <v>173</v>
      </c>
    </row>
    <row r="10" spans="1:17" s="1" customFormat="1" ht="14.1" customHeight="1">
      <c r="A10" s="40"/>
      <c r="B10" s="52" t="s">
        <v>574</v>
      </c>
      <c r="C10" s="52"/>
      <c r="D10" s="36" t="s">
        <v>575</v>
      </c>
      <c r="E10" s="37"/>
      <c r="F10" s="37"/>
      <c r="G10" s="38"/>
      <c r="H10" s="23"/>
      <c r="I10" s="23"/>
      <c r="J10" s="21"/>
      <c r="K10" s="23"/>
      <c r="L10" s="23"/>
      <c r="M10" s="25"/>
    </row>
    <row r="11" spans="1:17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13.399999999999999</v>
      </c>
      <c r="I11" s="51">
        <f>SUM(J11)-0.8</f>
        <v>14.2</v>
      </c>
      <c r="J11" s="39">
        <v>15</v>
      </c>
      <c r="K11" s="32">
        <f>SUM(J11)+0.8</f>
        <v>15.8</v>
      </c>
      <c r="L11" s="32">
        <f>SUM(K11)+0.9</f>
        <v>16.7</v>
      </c>
      <c r="M11" s="33">
        <f t="shared" ref="M11" si="4">SUM(L11)+0.9</f>
        <v>17.599999999999998</v>
      </c>
    </row>
    <row r="12" spans="1:17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3"/>
    </row>
    <row r="13" spans="1:17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12.3</v>
      </c>
      <c r="I13" s="51">
        <f>SUM(J13)-0.6</f>
        <v>12.9</v>
      </c>
      <c r="J13" s="39">
        <v>13.5</v>
      </c>
      <c r="K13" s="32">
        <f>SUM(J13)+0.6</f>
        <v>14.1</v>
      </c>
      <c r="L13" s="32">
        <f t="shared" ref="L13:M13" si="5">SUM(K13)+0.6</f>
        <v>14.7</v>
      </c>
      <c r="M13" s="33">
        <f t="shared" si="5"/>
        <v>15.299999999999999</v>
      </c>
    </row>
    <row r="14" spans="1:17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3"/>
      <c r="Q14" s="10" t="s">
        <v>631</v>
      </c>
    </row>
    <row r="15" spans="1:17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</v>
      </c>
      <c r="I15" s="51">
        <f>SUM(J15)-0.3</f>
        <v>5.3</v>
      </c>
      <c r="J15" s="39">
        <v>5.6</v>
      </c>
      <c r="K15" s="32">
        <f>SUM(J15)+0.3</f>
        <v>5.8999999999999995</v>
      </c>
      <c r="L15" s="32">
        <f t="shared" ref="L15:M15" si="6">SUM(K15)+0.3</f>
        <v>6.1999999999999993</v>
      </c>
      <c r="M15" s="33">
        <f t="shared" si="6"/>
        <v>6.4999999999999991</v>
      </c>
      <c r="Q15" s="10">
        <f>SUM(H37+I37+J37+K37+L37)/5/91.44*1.08</f>
        <v>3.5433070866141725E-2</v>
      </c>
    </row>
    <row r="16" spans="1:17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33.799999999999997</v>
      </c>
      <c r="I17" s="51">
        <f>SUM(J17)-1.6</f>
        <v>35.4</v>
      </c>
      <c r="J17" s="39">
        <v>37</v>
      </c>
      <c r="K17" s="32">
        <f>SUM(J17)+1.6</f>
        <v>38.6</v>
      </c>
      <c r="L17" s="32">
        <f t="shared" ref="L17:M17" si="7">SUM(K17)+1.6</f>
        <v>40.200000000000003</v>
      </c>
      <c r="M17" s="33">
        <f t="shared" si="7"/>
        <v>41.800000000000004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SUM(I19)-3.7</f>
        <v>34.599999999999994</v>
      </c>
      <c r="I19" s="51">
        <f>SUM(J19)-3.7</f>
        <v>38.299999999999997</v>
      </c>
      <c r="J19" s="39">
        <v>42</v>
      </c>
      <c r="K19" s="32">
        <f>SUM(J19)+3.8</f>
        <v>45.8</v>
      </c>
      <c r="L19" s="32">
        <f t="shared" ref="L19:M19" si="8">SUM(K19)+3.8</f>
        <v>49.599999999999994</v>
      </c>
      <c r="M19" s="33">
        <f t="shared" si="8"/>
        <v>53.399999999999991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3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/>
      <c r="I21" s="51"/>
      <c r="J21" s="39"/>
      <c r="K21" s="32"/>
      <c r="L21" s="32"/>
      <c r="M21" s="33"/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3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15.5</v>
      </c>
      <c r="I23" s="51">
        <f>SUM(J23)-0.7</f>
        <v>16.2</v>
      </c>
      <c r="J23" s="39">
        <v>16.899999999999999</v>
      </c>
      <c r="K23" s="32">
        <f>SUM(J23)+0.7</f>
        <v>17.599999999999998</v>
      </c>
      <c r="L23" s="32">
        <f t="shared" ref="L23:M23" si="9">SUM(K23)+0.7</f>
        <v>18.299999999999997</v>
      </c>
      <c r="M23" s="33">
        <f t="shared" si="9"/>
        <v>18.999999999999996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56"/>
      <c r="C25" s="56"/>
      <c r="D25" s="55"/>
      <c r="E25" s="55"/>
      <c r="F25" s="55"/>
      <c r="G25" s="55"/>
      <c r="H25" s="51"/>
      <c r="I25" s="51"/>
      <c r="J25" s="39"/>
      <c r="K25" s="32"/>
      <c r="L25" s="32"/>
      <c r="M25" s="33"/>
    </row>
    <row r="26" spans="1:13" s="1" customFormat="1" ht="14.1" customHeight="1" thickBot="1">
      <c r="A26" s="40"/>
      <c r="B26" s="105"/>
      <c r="C26" s="105"/>
      <c r="D26" s="139"/>
      <c r="E26" s="140"/>
      <c r="F26" s="140"/>
      <c r="G26" s="141"/>
      <c r="H26" s="23"/>
      <c r="I26" s="23"/>
      <c r="J26" s="39"/>
      <c r="K26" s="32"/>
      <c r="L26" s="32"/>
      <c r="M26" s="33"/>
    </row>
    <row r="27" spans="1:13" s="1" customFormat="1" ht="14.1" customHeight="1" thickTop="1">
      <c r="A27" s="155">
        <v>13</v>
      </c>
      <c r="B27" s="118" t="s">
        <v>581</v>
      </c>
      <c r="C27" s="119"/>
      <c r="D27" s="156"/>
      <c r="E27" s="156"/>
      <c r="F27" s="156"/>
      <c r="G27" s="120"/>
      <c r="H27" s="157">
        <f>SUM(I27)-1.6</f>
        <v>12.700000000000001</v>
      </c>
      <c r="I27" s="157">
        <f>SUM(J27)-1.6</f>
        <v>14.3</v>
      </c>
      <c r="J27" s="158">
        <v>15.9</v>
      </c>
      <c r="K27" s="153">
        <f>SUM(J27)+1.2</f>
        <v>17.100000000000001</v>
      </c>
      <c r="L27" s="153">
        <f t="shared" ref="L27:M27" si="10">SUM(K27)+1.2</f>
        <v>18.3</v>
      </c>
      <c r="M27" s="270">
        <f t="shared" si="10"/>
        <v>19.5</v>
      </c>
    </row>
    <row r="28" spans="1:13" s="1" customFormat="1" ht="14.1" customHeight="1">
      <c r="A28" s="40"/>
      <c r="B28" s="34" t="s">
        <v>632</v>
      </c>
      <c r="C28" s="35"/>
      <c r="D28" s="36" t="s">
        <v>633</v>
      </c>
      <c r="E28" s="37"/>
      <c r="F28" s="37"/>
      <c r="G28" s="37"/>
      <c r="H28" s="23"/>
      <c r="I28" s="23"/>
      <c r="J28" s="39"/>
      <c r="K28" s="32"/>
      <c r="L28" s="32"/>
      <c r="M28" s="33"/>
    </row>
    <row r="29" spans="1:13" s="1" customFormat="1" ht="14.1" customHeight="1">
      <c r="A29" s="40">
        <v>14</v>
      </c>
      <c r="B29" s="56" t="s">
        <v>585</v>
      </c>
      <c r="C29" s="56"/>
      <c r="D29" s="55" t="s">
        <v>73</v>
      </c>
      <c r="E29" s="55"/>
      <c r="F29" s="55"/>
      <c r="G29" s="55"/>
      <c r="H29" s="51">
        <f>SUM(I29)-2</f>
        <v>28</v>
      </c>
      <c r="I29" s="51">
        <f>SUM(J29)-2</f>
        <v>30</v>
      </c>
      <c r="J29" s="60">
        <v>32</v>
      </c>
      <c r="K29" s="51">
        <f>SUM(J29)+1.8</f>
        <v>33.799999999999997</v>
      </c>
      <c r="L29" s="51">
        <f t="shared" ref="L29:M29" si="11">SUM(K29)+1.8</f>
        <v>35.599999999999994</v>
      </c>
      <c r="M29" s="61">
        <f t="shared" si="11"/>
        <v>37.399999999999991</v>
      </c>
    </row>
    <row r="30" spans="1:13" s="1" customFormat="1" ht="14.1" customHeight="1">
      <c r="A30" s="40"/>
      <c r="B30" s="52" t="s">
        <v>586</v>
      </c>
      <c r="C30" s="52"/>
      <c r="D30" s="36" t="s">
        <v>45</v>
      </c>
      <c r="E30" s="37"/>
      <c r="F30" s="37"/>
      <c r="G30" s="38"/>
      <c r="H30" s="23"/>
      <c r="I30" s="23"/>
      <c r="J30" s="21"/>
      <c r="K30" s="23"/>
      <c r="L30" s="23"/>
      <c r="M30" s="25"/>
    </row>
    <row r="31" spans="1:13" ht="13.5" customHeight="1">
      <c r="A31" s="40">
        <v>15</v>
      </c>
      <c r="B31" s="56" t="s">
        <v>634</v>
      </c>
      <c r="C31" s="56"/>
      <c r="D31" s="55" t="s">
        <v>8</v>
      </c>
      <c r="E31" s="55"/>
      <c r="F31" s="55"/>
      <c r="G31" s="55"/>
      <c r="H31" s="51">
        <f>SUM(I31)-2</f>
        <v>28</v>
      </c>
      <c r="I31" s="51">
        <f>SUM(J31)-2</f>
        <v>30</v>
      </c>
      <c r="J31" s="60">
        <v>32</v>
      </c>
      <c r="K31" s="51">
        <f>SUM(J31)+1.8</f>
        <v>33.799999999999997</v>
      </c>
      <c r="L31" s="51">
        <f t="shared" ref="L31:M31" si="12">SUM(K31)+1.8</f>
        <v>35.599999999999994</v>
      </c>
      <c r="M31" s="61">
        <f t="shared" si="12"/>
        <v>37.399999999999991</v>
      </c>
    </row>
    <row r="32" spans="1:13" ht="14.1" customHeight="1">
      <c r="A32" s="40"/>
      <c r="B32" s="52" t="s">
        <v>635</v>
      </c>
      <c r="C32" s="52"/>
      <c r="D32" s="36" t="s">
        <v>46</v>
      </c>
      <c r="E32" s="37"/>
      <c r="F32" s="37"/>
      <c r="G32" s="38"/>
      <c r="H32" s="23"/>
      <c r="I32" s="23"/>
      <c r="J32" s="21"/>
      <c r="K32" s="23"/>
      <c r="L32" s="23"/>
      <c r="M32" s="25"/>
    </row>
    <row r="33" spans="1:13" ht="14.1" customHeight="1">
      <c r="A33" s="40">
        <v>16</v>
      </c>
      <c r="B33" s="49" t="s">
        <v>636</v>
      </c>
      <c r="C33" s="50"/>
      <c r="D33" s="57"/>
      <c r="E33" s="58"/>
      <c r="F33" s="58"/>
      <c r="G33" s="59"/>
      <c r="H33" s="51">
        <f>SUM(I33)-0.8</f>
        <v>12.299999999999999</v>
      </c>
      <c r="I33" s="51">
        <f>SUM(J33)-0.8</f>
        <v>13.1</v>
      </c>
      <c r="J33" s="60">
        <v>13.9</v>
      </c>
      <c r="K33" s="51">
        <f>SUM(J33)+0.8</f>
        <v>14.700000000000001</v>
      </c>
      <c r="L33" s="51">
        <f t="shared" ref="L33:M33" si="13">SUM(K33)+0.8</f>
        <v>15.500000000000002</v>
      </c>
      <c r="M33" s="61">
        <f t="shared" si="13"/>
        <v>16.3</v>
      </c>
    </row>
    <row r="34" spans="1:13" ht="14.1" customHeight="1">
      <c r="A34" s="40"/>
      <c r="B34" s="52" t="s">
        <v>425</v>
      </c>
      <c r="C34" s="52"/>
      <c r="D34" s="36" t="s">
        <v>426</v>
      </c>
      <c r="E34" s="37"/>
      <c r="F34" s="37"/>
      <c r="G34" s="38"/>
      <c r="H34" s="23"/>
      <c r="I34" s="23"/>
      <c r="J34" s="21"/>
      <c r="K34" s="23"/>
      <c r="L34" s="23"/>
      <c r="M34" s="25"/>
    </row>
    <row r="35" spans="1:13" ht="14.1" customHeight="1">
      <c r="A35" s="40">
        <v>17</v>
      </c>
      <c r="B35" s="56" t="s">
        <v>524</v>
      </c>
      <c r="C35" s="56"/>
      <c r="D35" s="55"/>
      <c r="E35" s="55"/>
      <c r="F35" s="55"/>
      <c r="G35" s="55"/>
      <c r="H35" s="51">
        <f>SUM(I35)-1.5</f>
        <v>25</v>
      </c>
      <c r="I35" s="51">
        <f>SUM(J35)-1.4</f>
        <v>26.5</v>
      </c>
      <c r="J35" s="60">
        <v>27.9</v>
      </c>
      <c r="K35" s="51">
        <f>SUM(J35)+1.5</f>
        <v>29.4</v>
      </c>
      <c r="L35" s="51">
        <f t="shared" ref="L35:M35" si="14">SUM(K35)+1.5</f>
        <v>30.9</v>
      </c>
      <c r="M35" s="61">
        <f t="shared" si="14"/>
        <v>32.4</v>
      </c>
    </row>
    <row r="36" spans="1:13" ht="14.1" customHeight="1">
      <c r="A36" s="40"/>
      <c r="B36" s="52" t="s">
        <v>391</v>
      </c>
      <c r="C36" s="52"/>
      <c r="D36" s="79" t="s">
        <v>637</v>
      </c>
      <c r="E36" s="80"/>
      <c r="F36" s="80"/>
      <c r="G36" s="81"/>
      <c r="H36" s="23"/>
      <c r="I36" s="23"/>
      <c r="J36" s="21"/>
      <c r="K36" s="23"/>
      <c r="L36" s="23"/>
      <c r="M36" s="25"/>
    </row>
    <row r="37" spans="1:13" ht="14.1" customHeight="1">
      <c r="A37" s="40">
        <v>18</v>
      </c>
      <c r="B37" s="49" t="s">
        <v>638</v>
      </c>
      <c r="C37" s="50"/>
      <c r="D37" s="55"/>
      <c r="E37" s="55"/>
      <c r="F37" s="55"/>
      <c r="G37" s="55"/>
      <c r="H37" s="51">
        <f>SUM(I37)-0.2</f>
        <v>2.5999999999999996</v>
      </c>
      <c r="I37" s="51">
        <f>SUM(J37)-0.2</f>
        <v>2.8</v>
      </c>
      <c r="J37" s="39">
        <v>3</v>
      </c>
      <c r="K37" s="32">
        <f>SUM(J37)+0.2</f>
        <v>3.2</v>
      </c>
      <c r="L37" s="32">
        <f t="shared" ref="L37:M37" si="15">SUM(K37)+0.2</f>
        <v>3.4000000000000004</v>
      </c>
      <c r="M37" s="33">
        <f t="shared" si="15"/>
        <v>3.6000000000000005</v>
      </c>
    </row>
    <row r="38" spans="1:13" ht="14.1" customHeight="1">
      <c r="A38" s="40"/>
      <c r="B38" s="52" t="s">
        <v>639</v>
      </c>
      <c r="C38" s="52"/>
      <c r="D38" s="36" t="s">
        <v>538</v>
      </c>
      <c r="E38" s="37"/>
      <c r="F38" s="37"/>
      <c r="G38" s="38"/>
      <c r="H38" s="47"/>
      <c r="I38" s="47"/>
      <c r="J38" s="60"/>
      <c r="K38" s="51"/>
      <c r="L38" s="51"/>
      <c r="M38" s="61"/>
    </row>
    <row r="39" spans="1:13" ht="14.1" customHeight="1">
      <c r="A39" s="40">
        <v>19</v>
      </c>
      <c r="B39" s="56" t="s">
        <v>579</v>
      </c>
      <c r="C39" s="56"/>
      <c r="D39" s="55"/>
      <c r="E39" s="55"/>
      <c r="F39" s="55"/>
      <c r="G39" s="55"/>
      <c r="H39" s="51">
        <f>SUM(I39)</f>
        <v>2.5</v>
      </c>
      <c r="I39" s="51">
        <f>SUM(J39)</f>
        <v>2.5</v>
      </c>
      <c r="J39" s="39">
        <v>2.5</v>
      </c>
      <c r="K39" s="32">
        <f>SUM(J39)</f>
        <v>2.5</v>
      </c>
      <c r="L39" s="32">
        <f t="shared" ref="L39:M39" si="16">SUM(K39)</f>
        <v>2.5</v>
      </c>
      <c r="M39" s="33">
        <f t="shared" si="16"/>
        <v>2.5</v>
      </c>
    </row>
    <row r="40" spans="1:13" ht="14.1" customHeight="1" thickBot="1">
      <c r="A40" s="41"/>
      <c r="B40" s="132" t="s">
        <v>640</v>
      </c>
      <c r="C40" s="132"/>
      <c r="D40" s="179"/>
      <c r="E40" s="253"/>
      <c r="F40" s="253"/>
      <c r="G40" s="254"/>
      <c r="H40" s="48"/>
      <c r="I40" s="48"/>
      <c r="J40" s="22"/>
      <c r="K40" s="24"/>
      <c r="L40" s="24"/>
      <c r="M40" s="26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1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E820-B41C-4240-9DD2-84B64ABE3F34}">
  <sheetPr>
    <tabColor theme="5"/>
    <pageSetUpPr fitToPage="1"/>
  </sheetPr>
  <dimension ref="A1:N51"/>
  <sheetViews>
    <sheetView zoomScale="110" zoomScaleNormal="110" workbookViewId="0">
      <selection activeCell="Q17" sqref="Q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40</v>
      </c>
      <c r="I3" s="51">
        <f>SUM(J3)-3.5</f>
        <v>43.5</v>
      </c>
      <c r="J3" s="60">
        <v>47</v>
      </c>
      <c r="K3" s="51">
        <f>SUM(J3)+3</f>
        <v>50</v>
      </c>
      <c r="L3" s="51">
        <f>SUM(K3)+3</f>
        <v>53</v>
      </c>
      <c r="M3" s="72">
        <f>SUM(L3)+3</f>
        <v>56</v>
      </c>
    </row>
    <row r="4" spans="1:14" s="1" customFormat="1" ht="14.1" customHeight="1">
      <c r="A4" s="66"/>
      <c r="B4" s="52" t="s">
        <v>38</v>
      </c>
      <c r="C4" s="52"/>
      <c r="D4" s="36" t="s">
        <v>626</v>
      </c>
      <c r="E4" s="37"/>
      <c r="F4" s="37"/>
      <c r="G4" s="37"/>
      <c r="H4" s="23"/>
      <c r="I4" s="23"/>
      <c r="J4" s="21"/>
      <c r="K4" s="23"/>
      <c r="L4" s="23"/>
      <c r="M4" s="2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38</v>
      </c>
      <c r="I5" s="51">
        <f>SUM(J5)-2</f>
        <v>40</v>
      </c>
      <c r="J5" s="60">
        <v>42</v>
      </c>
      <c r="K5" s="51">
        <f>SUM(J5)+1.8</f>
        <v>43.8</v>
      </c>
      <c r="L5" s="51">
        <f t="shared" ref="L5:M5" si="0">SUM(K5)+1.8</f>
        <v>45.599999999999994</v>
      </c>
      <c r="M5" s="61">
        <f t="shared" si="0"/>
        <v>47.399999999999991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40.5</v>
      </c>
      <c r="I7" s="51">
        <f>SUM(J7)-2.25</f>
        <v>42.75</v>
      </c>
      <c r="J7" s="60">
        <v>45</v>
      </c>
      <c r="K7" s="51">
        <f>SUM(J7)+2</f>
        <v>47</v>
      </c>
      <c r="L7" s="51">
        <f>SUM(K7)+2</f>
        <v>49</v>
      </c>
      <c r="M7" s="61">
        <f>SUM(L7)+2</f>
        <v>51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32.400000000000006</v>
      </c>
      <c r="I9" s="51">
        <f>SUM(J9)-1.8</f>
        <v>34.200000000000003</v>
      </c>
      <c r="J9" s="60">
        <v>36</v>
      </c>
      <c r="K9" s="51">
        <f>SUM(J9)+1.6</f>
        <v>37.6</v>
      </c>
      <c r="L9" s="51">
        <f t="shared" ref="L9:M9" si="1">SUM(K9)+1.6</f>
        <v>39.200000000000003</v>
      </c>
      <c r="M9" s="61">
        <f t="shared" si="1"/>
        <v>40.800000000000004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5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14.899999999999999</v>
      </c>
      <c r="I11" s="51">
        <f>SUM(J11)-0.8</f>
        <v>15.7</v>
      </c>
      <c r="J11" s="39">
        <v>16.5</v>
      </c>
      <c r="K11" s="32">
        <f>SUM(J11)+0.8</f>
        <v>17.3</v>
      </c>
      <c r="L11" s="32">
        <f t="shared" ref="L11:M11" si="2">SUM(K11)+0.8</f>
        <v>18.100000000000001</v>
      </c>
      <c r="M11" s="33">
        <f t="shared" si="2"/>
        <v>18.900000000000002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3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14.8</v>
      </c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33">
        <f>SUM(L13)+0.6</f>
        <v>17.800000000000004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3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6.6000000000000005</v>
      </c>
      <c r="I15" s="51">
        <f>SUM(J15)-0.3</f>
        <v>6.9</v>
      </c>
      <c r="J15" s="39">
        <v>7.2</v>
      </c>
      <c r="K15" s="32">
        <f>SUM(J15)+0.3</f>
        <v>7.5</v>
      </c>
      <c r="L15" s="32">
        <f>SUM(K15)+0.3</f>
        <v>7.8</v>
      </c>
      <c r="M15" s="33">
        <f>SUM(L15)+0.3</f>
        <v>8.1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37.4</v>
      </c>
      <c r="I17" s="51">
        <f>SUM(J17)-1.6</f>
        <v>39</v>
      </c>
      <c r="J17" s="39">
        <v>40.6</v>
      </c>
      <c r="K17" s="32">
        <f>SUM(J17)+1.6</f>
        <v>42.2</v>
      </c>
      <c r="L17" s="32">
        <f>SUM(K17)+1.6</f>
        <v>43.800000000000004</v>
      </c>
      <c r="M17" s="33">
        <f>SUM(L17)+1.6</f>
        <v>45.400000000000006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SUM(I19)-3.5</f>
        <v>26</v>
      </c>
      <c r="I19" s="51">
        <f>SUM(J19)-3.5</f>
        <v>29.5</v>
      </c>
      <c r="J19" s="39">
        <v>33</v>
      </c>
      <c r="K19" s="32">
        <f>SUM(J19)+3.6</f>
        <v>36.6</v>
      </c>
      <c r="L19" s="32">
        <f t="shared" ref="L19:M19" si="3">SUM(K19)+3.6</f>
        <v>40.200000000000003</v>
      </c>
      <c r="M19" s="33">
        <f t="shared" si="3"/>
        <v>43.800000000000004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3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28.4</v>
      </c>
      <c r="I21" s="51">
        <f>SUM(J21)-1.5</f>
        <v>29.9</v>
      </c>
      <c r="J21" s="39">
        <v>31.4</v>
      </c>
      <c r="K21" s="32">
        <f>SUM(J21)+1.5</f>
        <v>32.9</v>
      </c>
      <c r="L21" s="32">
        <f t="shared" ref="L21:M21" si="4">SUM(K21)+1.5</f>
        <v>34.4</v>
      </c>
      <c r="M21" s="33">
        <f t="shared" si="4"/>
        <v>35.9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3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 t="shared" ref="L23:M23" si="5">SUM(K23)+0.6</f>
        <v>16.399999999999999</v>
      </c>
      <c r="M23" s="33">
        <f t="shared" si="5"/>
        <v>17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4.2</v>
      </c>
      <c r="I25" s="51">
        <f>SUM(J25)-0.3</f>
        <v>4.5</v>
      </c>
      <c r="J25" s="39">
        <v>4.8</v>
      </c>
      <c r="K25" s="32">
        <f>SUM(J25)+0.3</f>
        <v>5.0999999999999996</v>
      </c>
      <c r="L25" s="32">
        <f>SUM(K25)+0.3</f>
        <v>5.3999999999999995</v>
      </c>
      <c r="M25" s="33">
        <f>SUM(L25)+0.3</f>
        <v>5.6999999999999993</v>
      </c>
    </row>
    <row r="26" spans="1:13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61"/>
    </row>
    <row r="27" spans="1:13" ht="14.1" customHeight="1">
      <c r="A27" s="40">
        <v>13</v>
      </c>
      <c r="B27" s="56"/>
      <c r="C27" s="56"/>
      <c r="D27" s="55"/>
      <c r="E27" s="55"/>
      <c r="F27" s="55"/>
      <c r="G27" s="55"/>
      <c r="H27" s="51"/>
      <c r="I27" s="51"/>
      <c r="J27" s="39"/>
      <c r="K27" s="32"/>
      <c r="L27" s="32"/>
      <c r="M27" s="33"/>
    </row>
    <row r="28" spans="1:13" ht="14.1" customHeight="1" thickBot="1">
      <c r="A28" s="41"/>
      <c r="B28" s="132"/>
      <c r="C28" s="132"/>
      <c r="D28" s="179"/>
      <c r="E28" s="253"/>
      <c r="F28" s="253"/>
      <c r="G28" s="254"/>
      <c r="H28" s="48"/>
      <c r="I28" s="48"/>
      <c r="J28" s="22"/>
      <c r="K28" s="24"/>
      <c r="L28" s="24"/>
      <c r="M28" s="26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4E04-2F74-476F-BF69-BDDD4C4518F4}">
  <sheetPr>
    <tabColor theme="5"/>
    <pageSetUpPr fitToPage="1"/>
  </sheetPr>
  <dimension ref="A1:P51"/>
  <sheetViews>
    <sheetView zoomScale="110" zoomScaleNormal="110" workbookViewId="0">
      <selection activeCell="O13" sqref="O13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454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37.799999999999997</v>
      </c>
      <c r="I3" s="51">
        <f>SUM(J3)-3.5</f>
        <v>41.3</v>
      </c>
      <c r="J3" s="114">
        <v>44.8</v>
      </c>
      <c r="K3" s="168">
        <f>SUM(J3)+3</f>
        <v>47.8</v>
      </c>
      <c r="L3" s="168">
        <f>SUM(K3)+3</f>
        <v>50.8</v>
      </c>
      <c r="M3" s="169">
        <f>SUM(L3)+3</f>
        <v>53.8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>SUM(K5)+1.6</f>
        <v>28.200000000000003</v>
      </c>
      <c r="M5" s="75">
        <f>SUM(L5)+1.6</f>
        <v>29.800000000000004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28.5</v>
      </c>
      <c r="I7" s="51">
        <f>SUM(J7)-2.25</f>
        <v>30.75</v>
      </c>
      <c r="J7" s="60">
        <v>33</v>
      </c>
      <c r="K7" s="51">
        <f>SUM(J7)+2</f>
        <v>35</v>
      </c>
      <c r="L7" s="51">
        <f>SUM(K7)+2</f>
        <v>37</v>
      </c>
      <c r="M7" s="75">
        <f>SUM(L7)+2</f>
        <v>39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28.5</v>
      </c>
      <c r="I9" s="51">
        <f>SUM(J9)-2.25</f>
        <v>30.75</v>
      </c>
      <c r="J9" s="60">
        <v>33</v>
      </c>
      <c r="K9" s="51">
        <f>SUM(J9)+2</f>
        <v>35</v>
      </c>
      <c r="L9" s="51">
        <f>SUM(K9)+2</f>
        <v>37</v>
      </c>
      <c r="M9" s="75">
        <f>SUM(L9)+2</f>
        <v>39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13.099999999999998</v>
      </c>
      <c r="I11" s="51">
        <f>SUM(J11)-0.8</f>
        <v>13.899999999999999</v>
      </c>
      <c r="J11" s="39">
        <v>14.7</v>
      </c>
      <c r="K11" s="32">
        <f>SUM(J11)+0.8</f>
        <v>15.5</v>
      </c>
      <c r="L11" s="32">
        <f>SUM(K11)+0.8</f>
        <v>16.3</v>
      </c>
      <c r="M11" s="82">
        <f>SUM(L11)+0.8</f>
        <v>17.100000000000001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12.8</v>
      </c>
      <c r="I13" s="51">
        <f>SUM(J13)-0.6</f>
        <v>13.4</v>
      </c>
      <c r="J13" s="39">
        <v>14</v>
      </c>
      <c r="K13" s="32">
        <f>SUM(J13)+0.6</f>
        <v>14.6</v>
      </c>
      <c r="L13" s="32">
        <f>SUM(K13)+0.6</f>
        <v>15.2</v>
      </c>
      <c r="M13" s="82">
        <f>SUM(L13)+0.6</f>
        <v>15.799999999999999</v>
      </c>
    </row>
    <row r="14" spans="1:14" s="1" customFormat="1" ht="14.1" customHeight="1">
      <c r="A14" s="40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6.2</v>
      </c>
      <c r="I15" s="51">
        <f>SUM(J15)-0.3</f>
        <v>6.5</v>
      </c>
      <c r="J15" s="39">
        <v>6.8</v>
      </c>
      <c r="K15" s="32">
        <f>SUM(J15)+0.3</f>
        <v>7.1</v>
      </c>
      <c r="L15" s="32">
        <f>SUM(K15)+0.3</f>
        <v>7.3999999999999995</v>
      </c>
      <c r="M15" s="82">
        <f>SUM(L15)+0.3</f>
        <v>7.6999999999999993</v>
      </c>
    </row>
    <row r="16" spans="1:14" s="1" customFormat="1" ht="14.1" customHeight="1">
      <c r="A16" s="40"/>
      <c r="B16" s="52" t="s">
        <v>28</v>
      </c>
      <c r="C16" s="52"/>
      <c r="D16" s="36" t="s">
        <v>168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6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</v>
      </c>
      <c r="I17" s="51">
        <f>SUM(J17)-1.6</f>
        <v>35.6</v>
      </c>
      <c r="J17" s="39">
        <v>37.200000000000003</v>
      </c>
      <c r="K17" s="32">
        <f>SUM(J17)+1.6</f>
        <v>38.800000000000004</v>
      </c>
      <c r="L17" s="32">
        <f>SUM(K17)+1.6</f>
        <v>40.400000000000006</v>
      </c>
      <c r="M17" s="82">
        <f>SUM(L17)+1.6</f>
        <v>42.000000000000007</v>
      </c>
    </row>
    <row r="18" spans="1:16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6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34.299999999999997</v>
      </c>
      <c r="I19" s="51">
        <f>SUM(J19)-3.6</f>
        <v>37.9</v>
      </c>
      <c r="J19" s="39">
        <v>41.5</v>
      </c>
      <c r="K19" s="32">
        <f>SUM(J19)+3.7</f>
        <v>45.2</v>
      </c>
      <c r="L19" s="32">
        <f>SUM(K19)+3.7</f>
        <v>48.900000000000006</v>
      </c>
      <c r="M19" s="82">
        <f>SUM(L19)+3.7</f>
        <v>52.600000000000009</v>
      </c>
    </row>
    <row r="20" spans="1:16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6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/>
      <c r="I21" s="51"/>
      <c r="J21" s="39"/>
      <c r="K21" s="32"/>
      <c r="L21" s="32"/>
      <c r="M21" s="82"/>
    </row>
    <row r="22" spans="1:16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  <c r="P22" s="1" t="s">
        <v>366</v>
      </c>
    </row>
    <row r="23" spans="1:16" s="1" customFormat="1" ht="14.1" customHeight="1">
      <c r="A23" s="40">
        <v>11</v>
      </c>
      <c r="B23" s="49" t="s">
        <v>455</v>
      </c>
      <c r="C23" s="50"/>
      <c r="D23" s="55" t="s">
        <v>69</v>
      </c>
      <c r="E23" s="55"/>
      <c r="F23" s="55"/>
      <c r="G23" s="55"/>
      <c r="H23" s="51">
        <f>SUM(I23)-0.6</f>
        <v>14.8</v>
      </c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82">
        <f>SUM(L23)+0.6</f>
        <v>17.800000000000004</v>
      </c>
      <c r="P23" s="1">
        <f>SUM(H23+I23+J23+K23+L23+M23)*2</f>
        <v>195.60000000000002</v>
      </c>
    </row>
    <row r="24" spans="1:16" s="1" customFormat="1" ht="14.1" customHeight="1">
      <c r="A24" s="40"/>
      <c r="B24" s="52" t="s">
        <v>456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  <c r="P24" s="1">
        <f>SUM(P23/91.44/6*1.08)</f>
        <v>0.38503937007874023</v>
      </c>
    </row>
    <row r="25" spans="1:16" s="1" customFormat="1" ht="14.1" customHeight="1">
      <c r="A25" s="40">
        <v>12</v>
      </c>
      <c r="B25" s="49" t="s">
        <v>148</v>
      </c>
      <c r="C25" s="50"/>
      <c r="D25" s="93"/>
      <c r="E25" s="94"/>
      <c r="F25" s="94"/>
      <c r="G25" s="95"/>
      <c r="H25" s="51">
        <f>SUM(I25)</f>
        <v>10.5</v>
      </c>
      <c r="I25" s="51">
        <f>SUM(J25)</f>
        <v>10.5</v>
      </c>
      <c r="J25" s="39">
        <v>10.5</v>
      </c>
      <c r="K25" s="32">
        <f>SUM(J25)+0.2</f>
        <v>10.7</v>
      </c>
      <c r="L25" s="32">
        <f>SUM(K25)+0.2</f>
        <v>10.899999999999999</v>
      </c>
      <c r="M25" s="82">
        <f>SUM(L25)+0.2</f>
        <v>11.099999999999998</v>
      </c>
    </row>
    <row r="26" spans="1:16" s="1" customFormat="1" ht="14.1" customHeight="1">
      <c r="A26" s="40"/>
      <c r="B26" s="34" t="s">
        <v>149</v>
      </c>
      <c r="C26" s="35"/>
      <c r="D26" s="36"/>
      <c r="E26" s="37"/>
      <c r="F26" s="37"/>
      <c r="G26" s="38"/>
      <c r="H26" s="23"/>
      <c r="I26" s="23"/>
      <c r="J26" s="39"/>
      <c r="K26" s="32"/>
      <c r="L26" s="32"/>
      <c r="M26" s="82"/>
    </row>
    <row r="27" spans="1:16" s="1" customFormat="1" ht="14.1" customHeight="1">
      <c r="A27" s="40">
        <v>13</v>
      </c>
      <c r="B27" s="49" t="s">
        <v>141</v>
      </c>
      <c r="C27" s="50"/>
      <c r="D27" s="93"/>
      <c r="E27" s="94"/>
      <c r="F27" s="94"/>
      <c r="G27" s="95"/>
      <c r="H27" s="51">
        <f>SUM(I27)-0.1</f>
        <v>1.2999999999999998</v>
      </c>
      <c r="I27" s="51">
        <f>SUM(J27)-0.1</f>
        <v>1.4</v>
      </c>
      <c r="J27" s="39">
        <v>1.5</v>
      </c>
      <c r="K27" s="32">
        <f>SUM(J27)+0.1</f>
        <v>1.6</v>
      </c>
      <c r="L27" s="32">
        <f>SUM(K27)+0.1</f>
        <v>1.7000000000000002</v>
      </c>
      <c r="M27" s="82">
        <f>SUM(L27)+0.1</f>
        <v>1.8000000000000003</v>
      </c>
    </row>
    <row r="28" spans="1:16" s="1" customFormat="1" ht="14.1" customHeight="1">
      <c r="A28" s="40"/>
      <c r="B28" s="34" t="s">
        <v>140</v>
      </c>
      <c r="C28" s="35"/>
      <c r="D28" s="36" t="s">
        <v>395</v>
      </c>
      <c r="E28" s="37"/>
      <c r="F28" s="37"/>
      <c r="G28" s="38"/>
      <c r="H28" s="23"/>
      <c r="I28" s="23"/>
      <c r="J28" s="39"/>
      <c r="K28" s="32"/>
      <c r="L28" s="32"/>
      <c r="M28" s="82"/>
    </row>
    <row r="29" spans="1:16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82"/>
    </row>
    <row r="30" spans="1:16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6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6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D622-A740-4B47-9725-6F83BE88813A}">
  <sheetPr>
    <tabColor theme="5"/>
    <pageSetUpPr fitToPage="1"/>
  </sheetPr>
  <dimension ref="A1:N79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4" ht="16.5" customHeight="1" thickBot="1">
      <c r="A1" s="62" t="s">
        <v>642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37</v>
      </c>
      <c r="I3" s="51">
        <f>SUM(J3)-3.5</f>
        <v>40.5</v>
      </c>
      <c r="J3" s="114">
        <v>44</v>
      </c>
      <c r="K3" s="168">
        <f>SUM(J3)+3</f>
        <v>47</v>
      </c>
      <c r="L3" s="168">
        <f t="shared" ref="L3:M3" si="0">SUM(K3)+3</f>
        <v>50</v>
      </c>
      <c r="M3" s="169">
        <f t="shared" si="0"/>
        <v>53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26.4</v>
      </c>
      <c r="I5" s="51">
        <f>SUM(J5)-1.8</f>
        <v>28.2</v>
      </c>
      <c r="J5" s="39">
        <v>30</v>
      </c>
      <c r="K5" s="32">
        <f>SUM(J5)+1.6</f>
        <v>31.6</v>
      </c>
      <c r="L5" s="32">
        <f>SUM(K5)+1.6</f>
        <v>33.200000000000003</v>
      </c>
      <c r="M5" s="82">
        <f>SUM(L5)+1.6</f>
        <v>34.800000000000004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39"/>
      <c r="K6" s="32"/>
      <c r="L6" s="32"/>
      <c r="M6" s="82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32.5</v>
      </c>
      <c r="I7" s="51">
        <f>SUM(J7)-2.25</f>
        <v>34.75</v>
      </c>
      <c r="J7" s="60">
        <v>37</v>
      </c>
      <c r="K7" s="51">
        <f>SUM(J7)+2</f>
        <v>39</v>
      </c>
      <c r="L7" s="51">
        <f>SUM(K7)+2</f>
        <v>41</v>
      </c>
      <c r="M7" s="75">
        <f>SUM(L7)+2</f>
        <v>43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32.5</v>
      </c>
      <c r="I9" s="51">
        <f>SUM(J9)-2.25</f>
        <v>34.75</v>
      </c>
      <c r="J9" s="60">
        <v>37</v>
      </c>
      <c r="K9" s="51">
        <f>SUM(J9)+2</f>
        <v>39</v>
      </c>
      <c r="L9" s="51">
        <f>SUM(K9)+2</f>
        <v>41</v>
      </c>
      <c r="M9" s="75">
        <f>SUM(L9)+2</f>
        <v>43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643</v>
      </c>
      <c r="E11" s="55"/>
      <c r="F11" s="55"/>
      <c r="G11" s="55"/>
      <c r="H11" s="51">
        <f>SUM(I11)-0.8</f>
        <v>13.299999999999999</v>
      </c>
      <c r="I11" s="51">
        <f>SUM(J11)-0.8</f>
        <v>14.1</v>
      </c>
      <c r="J11" s="39">
        <v>14.9</v>
      </c>
      <c r="K11" s="51">
        <f>SUM(J11)+0.8</f>
        <v>15.700000000000001</v>
      </c>
      <c r="L11" s="51">
        <f t="shared" ref="L11:M11" si="1">SUM(K11)+0.8</f>
        <v>16.5</v>
      </c>
      <c r="M11" s="75">
        <f t="shared" si="1"/>
        <v>17.3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23"/>
      <c r="L12" s="23"/>
      <c r="M12" s="76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16.799999999999997</v>
      </c>
      <c r="I13" s="51">
        <f>SUM(J13)-0.6</f>
        <v>17.399999999999999</v>
      </c>
      <c r="J13" s="39">
        <v>18</v>
      </c>
      <c r="K13" s="32">
        <f>SUM(J13)+0.6</f>
        <v>18.600000000000001</v>
      </c>
      <c r="L13" s="32">
        <f>SUM(K13)+0.6</f>
        <v>19.200000000000003</v>
      </c>
      <c r="M13" s="82">
        <f>SUM(L13)+0.6</f>
        <v>19.800000000000004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5.9</v>
      </c>
      <c r="I15" s="51">
        <f>SUM(J15)-0.3</f>
        <v>6.2</v>
      </c>
      <c r="J15" s="39">
        <v>6.5</v>
      </c>
      <c r="K15" s="32">
        <f>SUM(J15)+0.3</f>
        <v>6.8</v>
      </c>
      <c r="L15" s="32">
        <f>SUM(K15)+0.3</f>
        <v>7.1</v>
      </c>
      <c r="M15" s="82">
        <f>SUM(L15)+0.3</f>
        <v>7.3999999999999995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40.799999999999997</v>
      </c>
      <c r="I17" s="51">
        <f>SUM(J17)-1.6</f>
        <v>42.4</v>
      </c>
      <c r="J17" s="39">
        <v>44</v>
      </c>
      <c r="K17" s="32">
        <f>SUM(J17)+1.6</f>
        <v>45.6</v>
      </c>
      <c r="L17" s="32">
        <f>SUM(K17)+1.6</f>
        <v>47.2</v>
      </c>
      <c r="M17" s="82">
        <f>SUM(L17)+1.6</f>
        <v>48.800000000000004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155</v>
      </c>
      <c r="C19" s="56"/>
      <c r="D19" s="55" t="s">
        <v>5</v>
      </c>
      <c r="E19" s="55"/>
      <c r="F19" s="55"/>
      <c r="G19" s="55"/>
      <c r="H19" s="51">
        <f>SUM(I19)-3.6</f>
        <v>29.799999999999997</v>
      </c>
      <c r="I19" s="51">
        <f>SUM(J19)-3.6</f>
        <v>33.4</v>
      </c>
      <c r="J19" s="39">
        <v>37</v>
      </c>
      <c r="K19" s="32">
        <f>SUM(J19)+3.7</f>
        <v>40.700000000000003</v>
      </c>
      <c r="L19" s="32">
        <f>SUM(K19)+3.7</f>
        <v>44.400000000000006</v>
      </c>
      <c r="M19" s="82">
        <f>SUM(L19)+3.7</f>
        <v>48.100000000000009</v>
      </c>
    </row>
    <row r="20" spans="1:13" s="1" customFormat="1" ht="14.1" customHeight="1">
      <c r="A20" s="40"/>
      <c r="B20" s="52" t="s">
        <v>191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156</v>
      </c>
      <c r="C21" s="56"/>
      <c r="D21" s="55" t="s">
        <v>644</v>
      </c>
      <c r="E21" s="55"/>
      <c r="F21" s="55"/>
      <c r="G21" s="55"/>
      <c r="H21" s="51">
        <f>SUM(I21)-1.1</f>
        <v>10.8</v>
      </c>
      <c r="I21" s="51">
        <f>SUM(J21)-1.1</f>
        <v>11.9</v>
      </c>
      <c r="J21" s="39">
        <v>13</v>
      </c>
      <c r="K21" s="32">
        <f>SUM(J21)+1.2</f>
        <v>14.2</v>
      </c>
      <c r="L21" s="32">
        <f t="shared" ref="L21:M21" si="2">SUM(K21)+1.2</f>
        <v>15.399999999999999</v>
      </c>
      <c r="M21" s="82">
        <f t="shared" si="2"/>
        <v>16.599999999999998</v>
      </c>
    </row>
    <row r="22" spans="1:13" s="1" customFormat="1" ht="14.1" customHeight="1">
      <c r="A22" s="40"/>
      <c r="B22" s="52" t="s">
        <v>192</v>
      </c>
      <c r="C22" s="52"/>
      <c r="D22" s="36" t="s">
        <v>50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6</v>
      </c>
      <c r="C23" s="50"/>
      <c r="D23" s="57" t="s">
        <v>7</v>
      </c>
      <c r="E23" s="58"/>
      <c r="F23" s="58"/>
      <c r="G23" s="59"/>
      <c r="H23" s="51">
        <f>SUM(I23)-1.3</f>
        <v>22.5</v>
      </c>
      <c r="I23" s="51">
        <f>SUM(J23)-1.3</f>
        <v>23.8</v>
      </c>
      <c r="J23" s="39">
        <v>25.1</v>
      </c>
      <c r="K23" s="32">
        <f>SUM(J23)+1.3</f>
        <v>26.400000000000002</v>
      </c>
      <c r="L23" s="32">
        <f t="shared" ref="L23:M23" si="3">SUM(K23)+1.3</f>
        <v>27.700000000000003</v>
      </c>
      <c r="M23" s="82">
        <f t="shared" si="3"/>
        <v>29.000000000000004</v>
      </c>
    </row>
    <row r="24" spans="1:13" s="1" customFormat="1" ht="14.1" customHeight="1">
      <c r="A24" s="40"/>
      <c r="B24" s="52" t="s">
        <v>645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646</v>
      </c>
      <c r="C25" s="50"/>
      <c r="D25" s="55" t="s">
        <v>69</v>
      </c>
      <c r="E25" s="55"/>
      <c r="F25" s="55"/>
      <c r="G25" s="55"/>
      <c r="H25" s="51">
        <f>SUM(I25)-0.7</f>
        <v>16.600000000000001</v>
      </c>
      <c r="I25" s="51">
        <f>SUM(J25)-0.7</f>
        <v>17.3</v>
      </c>
      <c r="J25" s="39">
        <v>18</v>
      </c>
      <c r="K25" s="32">
        <f>SUM(J25)+0.7</f>
        <v>18.7</v>
      </c>
      <c r="L25" s="32">
        <f>SUM(K25)+0.7</f>
        <v>19.399999999999999</v>
      </c>
      <c r="M25" s="82">
        <f>SUM(L25)+0.7</f>
        <v>20.099999999999998</v>
      </c>
    </row>
    <row r="26" spans="1:13" s="1" customFormat="1" ht="14.1" customHeight="1">
      <c r="A26" s="40"/>
      <c r="B26" s="105" t="s">
        <v>647</v>
      </c>
      <c r="C26" s="105"/>
      <c r="D26" s="67" t="s">
        <v>70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s="1" customFormat="1" ht="14.1" customHeight="1">
      <c r="A27" s="40">
        <v>13</v>
      </c>
      <c r="B27" s="49" t="s">
        <v>648</v>
      </c>
      <c r="C27" s="50"/>
      <c r="D27" s="55" t="s">
        <v>69</v>
      </c>
      <c r="E27" s="55"/>
      <c r="F27" s="55"/>
      <c r="G27" s="55"/>
      <c r="H27" s="51">
        <f>SUM(I27)-1.3</f>
        <v>22.2</v>
      </c>
      <c r="I27" s="51">
        <f>SUM(J27)-1.3</f>
        <v>23.5</v>
      </c>
      <c r="J27" s="39">
        <v>24.8</v>
      </c>
      <c r="K27" s="32">
        <f>SUM(J27)+1.3</f>
        <v>26.1</v>
      </c>
      <c r="L27" s="32">
        <f t="shared" ref="L27:M27" si="4">SUM(K27)+1.3</f>
        <v>27.400000000000002</v>
      </c>
      <c r="M27" s="82">
        <f t="shared" si="4"/>
        <v>28.700000000000003</v>
      </c>
    </row>
    <row r="28" spans="1:13" s="1" customFormat="1" ht="14.1" customHeight="1">
      <c r="A28" s="40"/>
      <c r="B28" s="105" t="s">
        <v>649</v>
      </c>
      <c r="C28" s="105"/>
      <c r="D28" s="67" t="s">
        <v>70</v>
      </c>
      <c r="E28" s="68"/>
      <c r="F28" s="68"/>
      <c r="G28" s="69"/>
      <c r="H28" s="47"/>
      <c r="I28" s="47"/>
      <c r="J28" s="60"/>
      <c r="K28" s="51"/>
      <c r="L28" s="51"/>
      <c r="M28" s="75"/>
    </row>
    <row r="29" spans="1:13" s="1" customFormat="1" ht="14.1" customHeight="1">
      <c r="A29" s="40">
        <v>14</v>
      </c>
      <c r="B29" s="49" t="s">
        <v>602</v>
      </c>
      <c r="C29" s="50"/>
      <c r="D29" s="93" t="s">
        <v>83</v>
      </c>
      <c r="E29" s="94"/>
      <c r="F29" s="94"/>
      <c r="G29" s="95"/>
      <c r="H29" s="51">
        <f>SUM(I29)-0.4</f>
        <v>4.1999999999999993</v>
      </c>
      <c r="I29" s="51">
        <f>SUM(J29)-0.4</f>
        <v>4.5999999999999996</v>
      </c>
      <c r="J29" s="39">
        <v>5</v>
      </c>
      <c r="K29" s="32">
        <f>SUM(J29)+0.4</f>
        <v>5.4</v>
      </c>
      <c r="L29" s="32">
        <f t="shared" ref="L29:M29" si="5">SUM(K29)+0.4</f>
        <v>5.8000000000000007</v>
      </c>
      <c r="M29" s="82">
        <f t="shared" si="5"/>
        <v>6.2000000000000011</v>
      </c>
    </row>
    <row r="30" spans="1:13" s="1" customFormat="1" ht="14.1" customHeight="1">
      <c r="A30" s="40"/>
      <c r="B30" s="34" t="s">
        <v>603</v>
      </c>
      <c r="C30" s="35"/>
      <c r="D30" s="36" t="s">
        <v>84</v>
      </c>
      <c r="E30" s="37"/>
      <c r="F30" s="37"/>
      <c r="G30" s="38"/>
      <c r="H30" s="47"/>
      <c r="I30" s="47"/>
      <c r="J30" s="60"/>
      <c r="K30" s="51"/>
      <c r="L30" s="51"/>
      <c r="M30" s="75"/>
    </row>
    <row r="31" spans="1:13" s="1" customFormat="1" ht="14.1" customHeight="1">
      <c r="A31" s="40">
        <v>15</v>
      </c>
      <c r="B31" s="49"/>
      <c r="C31" s="50"/>
      <c r="D31" s="55"/>
      <c r="E31" s="55"/>
      <c r="F31" s="55"/>
      <c r="G31" s="55"/>
      <c r="H31" s="51"/>
      <c r="I31" s="51"/>
      <c r="J31" s="39"/>
      <c r="K31" s="32"/>
      <c r="L31" s="32"/>
      <c r="M31" s="82"/>
    </row>
    <row r="32" spans="1:13" s="1" customFormat="1" ht="14.1" customHeight="1">
      <c r="A32" s="40"/>
      <c r="B32" s="52"/>
      <c r="C32" s="52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s="1" customFormat="1" ht="14.1" customHeight="1">
      <c r="A33" s="40">
        <v>16</v>
      </c>
      <c r="B33" s="56"/>
      <c r="C33" s="56"/>
      <c r="D33" s="55"/>
      <c r="E33" s="55"/>
      <c r="F33" s="55"/>
      <c r="G33" s="55"/>
      <c r="H33" s="51"/>
      <c r="I33" s="51"/>
      <c r="J33" s="60"/>
      <c r="K33" s="51"/>
      <c r="L33" s="51"/>
      <c r="M33" s="75"/>
    </row>
    <row r="34" spans="1:13" s="1" customFormat="1" ht="14.1" customHeight="1" thickBot="1">
      <c r="A34" s="41"/>
      <c r="B34" s="132"/>
      <c r="C34" s="132"/>
      <c r="D34" s="29"/>
      <c r="E34" s="30"/>
      <c r="F34" s="30"/>
      <c r="G34" s="31"/>
      <c r="H34" s="48"/>
      <c r="I34" s="48"/>
      <c r="J34" s="110"/>
      <c r="K34" s="48"/>
      <c r="L34" s="48"/>
      <c r="M34" s="109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24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AF5D-D8CE-42C8-8373-13241B5CC1A6}">
  <sheetPr>
    <tabColor theme="5"/>
    <pageSetUpPr fitToPage="1"/>
  </sheetPr>
  <dimension ref="A1:Q51"/>
  <sheetViews>
    <sheetView zoomScale="110" zoomScaleNormal="110" workbookViewId="0">
      <selection activeCell="Q27" sqref="Q2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50" t="s">
        <v>452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154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/>
      <c r="I3" s="51">
        <f>SUM(J3)-3</f>
        <v>35</v>
      </c>
      <c r="J3" s="114">
        <v>38</v>
      </c>
      <c r="K3" s="168">
        <f>SUM(J3)+2.5</f>
        <v>40.5</v>
      </c>
      <c r="L3" s="168">
        <f>SUM(K3)+2.5</f>
        <v>43</v>
      </c>
      <c r="M3" s="168">
        <f>SUM(L3)+2.5</f>
        <v>45.5</v>
      </c>
      <c r="N3" s="251">
        <f>SUM(M3)+2.5</f>
        <v>48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123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/>
      <c r="I5" s="51">
        <f>SUM(J5)-1.6</f>
        <v>23.4</v>
      </c>
      <c r="J5" s="60">
        <v>25</v>
      </c>
      <c r="K5" s="51">
        <f>SUM(J5)+1.4</f>
        <v>26.4</v>
      </c>
      <c r="L5" s="51">
        <f>SUM(K5)+1.4</f>
        <v>27.799999999999997</v>
      </c>
      <c r="M5" s="51">
        <f>SUM(L5)+1.4</f>
        <v>29.199999999999996</v>
      </c>
      <c r="N5" s="123">
        <f>SUM(M5)+1.4</f>
        <v>30.599999999999994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/>
      <c r="I7" s="51">
        <f>SUM(J7)-2</f>
        <v>30</v>
      </c>
      <c r="J7" s="60">
        <v>32</v>
      </c>
      <c r="K7" s="51">
        <f>SUM(J7)+1.8</f>
        <v>33.799999999999997</v>
      </c>
      <c r="L7" s="51">
        <f>SUM(K7)+1.8</f>
        <v>35.599999999999994</v>
      </c>
      <c r="M7" s="51">
        <f>SUM(L7)+1.8</f>
        <v>37.399999999999991</v>
      </c>
      <c r="N7" s="123">
        <f>SUM(M7)+1.8</f>
        <v>39.199999999999989</v>
      </c>
    </row>
    <row r="8" spans="1:14" s="1" customFormat="1" ht="14.1" customHeight="1">
      <c r="A8" s="40"/>
      <c r="B8" s="52" t="s">
        <v>445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/>
      <c r="I9" s="51">
        <f>SUM(J9)-1.9</f>
        <v>28.1</v>
      </c>
      <c r="J9" s="60">
        <v>30</v>
      </c>
      <c r="K9" s="51">
        <f>SUM(J9)+1.7</f>
        <v>31.7</v>
      </c>
      <c r="L9" s="51">
        <f>SUM(K9)+1.7</f>
        <v>33.4</v>
      </c>
      <c r="M9" s="51">
        <f>SUM(L9)+1.7</f>
        <v>35.1</v>
      </c>
      <c r="N9" s="123">
        <f>SUM(M9)+1.7</f>
        <v>36.800000000000004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/>
      <c r="I11" s="51">
        <f>SUM(J11)-0.8</f>
        <v>13.799999999999999</v>
      </c>
      <c r="J11" s="39">
        <v>14.6</v>
      </c>
      <c r="K11" s="32">
        <f>SUM(J11)+0.9</f>
        <v>15.5</v>
      </c>
      <c r="L11" s="32">
        <f>SUM(K11)+0.8</f>
        <v>16.3</v>
      </c>
      <c r="M11" s="32">
        <f>SUM(L11)+0.9</f>
        <v>17.2</v>
      </c>
      <c r="N11" s="126">
        <f>SUM(M11)+0.9</f>
        <v>18.099999999999998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126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/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32">
        <f>SUM(L13)+0.6</f>
        <v>17.800000000000004</v>
      </c>
      <c r="N13" s="126">
        <f>SUM(M13)+0.6</f>
        <v>18.400000000000006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/>
      <c r="I15" s="51">
        <f>SUM(J15)-0.3</f>
        <v>5.9</v>
      </c>
      <c r="J15" s="39">
        <v>6.2</v>
      </c>
      <c r="K15" s="32">
        <f>SUM(J15)+0.3</f>
        <v>6.5</v>
      </c>
      <c r="L15" s="32">
        <f>SUM(K15)+0.3</f>
        <v>6.8</v>
      </c>
      <c r="M15" s="32">
        <f>SUM(L15)+0.3</f>
        <v>7.1</v>
      </c>
      <c r="N15" s="126">
        <f>SUM(M15)+0.3</f>
        <v>7.3999999999999995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7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/>
      <c r="I17" s="51">
        <f>SUM(J17)-1.6</f>
        <v>38.4</v>
      </c>
      <c r="J17" s="39">
        <v>40</v>
      </c>
      <c r="K17" s="32">
        <f>SUM(J17)+1.6</f>
        <v>41.6</v>
      </c>
      <c r="L17" s="32">
        <f>SUM(K17)+1.6</f>
        <v>43.2</v>
      </c>
      <c r="M17" s="32">
        <f>SUM(L17)+1.6</f>
        <v>44.800000000000004</v>
      </c>
      <c r="N17" s="126">
        <f>SUM(M17)+1.6</f>
        <v>46.400000000000006</v>
      </c>
    </row>
    <row r="18" spans="1:17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7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/>
      <c r="I19" s="51">
        <f>SUM(J19)-3.7</f>
        <v>36.799999999999997</v>
      </c>
      <c r="J19" s="39">
        <v>40.5</v>
      </c>
      <c r="K19" s="32">
        <f>SUM(J19)+3.8</f>
        <v>44.3</v>
      </c>
      <c r="L19" s="32">
        <f>SUM(K19)+3.8</f>
        <v>48.099999999999994</v>
      </c>
      <c r="M19" s="32">
        <f>SUM(L19)+3.8</f>
        <v>51.899999999999991</v>
      </c>
      <c r="N19" s="126">
        <f>SUM(M19)+3.8</f>
        <v>55.699999999999989</v>
      </c>
    </row>
    <row r="20" spans="1:17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126"/>
    </row>
    <row r="21" spans="1:17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/>
      <c r="I21" s="51">
        <f>SUM(J21)-1.5</f>
        <v>23.5</v>
      </c>
      <c r="J21" s="39">
        <v>25</v>
      </c>
      <c r="K21" s="32">
        <f>SUM(J21)+1.5</f>
        <v>26.5</v>
      </c>
      <c r="L21" s="32">
        <f>SUM(K21)+1.5</f>
        <v>28</v>
      </c>
      <c r="M21" s="32">
        <f>SUM(L21)+1.5</f>
        <v>29.5</v>
      </c>
      <c r="N21" s="126">
        <f>SUM(M21)+1.5</f>
        <v>31</v>
      </c>
    </row>
    <row r="22" spans="1:17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126"/>
    </row>
    <row r="23" spans="1:17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/>
      <c r="I23" s="51">
        <f>SUM(J23)-0.6</f>
        <v>15.4</v>
      </c>
      <c r="J23" s="39">
        <v>16</v>
      </c>
      <c r="K23" s="32">
        <f>SUM(J23)+0.6</f>
        <v>16.600000000000001</v>
      </c>
      <c r="L23" s="32">
        <f>SUM(K23)+0.6</f>
        <v>17.200000000000003</v>
      </c>
      <c r="M23" s="32">
        <f>SUM(L23)+0.6</f>
        <v>17.800000000000004</v>
      </c>
      <c r="N23" s="126">
        <f>SUM(M23)+0.6</f>
        <v>18.400000000000006</v>
      </c>
    </row>
    <row r="24" spans="1:17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126"/>
    </row>
    <row r="25" spans="1:17" s="1" customFormat="1" ht="14.1" customHeight="1">
      <c r="A25" s="40">
        <v>12</v>
      </c>
      <c r="B25" s="49" t="s">
        <v>398</v>
      </c>
      <c r="C25" s="50"/>
      <c r="D25" s="93"/>
      <c r="E25" s="94"/>
      <c r="F25" s="94"/>
      <c r="G25" s="95"/>
      <c r="H25" s="51"/>
      <c r="I25" s="51">
        <f>SUM(J25)-0.5</f>
        <v>6.5</v>
      </c>
      <c r="J25" s="39">
        <v>7</v>
      </c>
      <c r="K25" s="32">
        <f>SUM(J25)+0.5</f>
        <v>7.5</v>
      </c>
      <c r="L25" s="32">
        <f>SUM(K25)+0.5</f>
        <v>8</v>
      </c>
      <c r="M25" s="32">
        <f>SUM(L25)+0.5</f>
        <v>8.5</v>
      </c>
      <c r="N25" s="126">
        <f>SUM(M25)+0.5</f>
        <v>9</v>
      </c>
      <c r="Q25" s="1" t="s">
        <v>366</v>
      </c>
    </row>
    <row r="26" spans="1:17" s="1" customFormat="1" ht="14.1" customHeight="1">
      <c r="A26" s="40"/>
      <c r="B26" s="34" t="s">
        <v>399</v>
      </c>
      <c r="C26" s="35"/>
      <c r="D26" s="36"/>
      <c r="E26" s="37"/>
      <c r="F26" s="37"/>
      <c r="G26" s="38"/>
      <c r="H26" s="23"/>
      <c r="I26" s="23"/>
      <c r="J26" s="39"/>
      <c r="K26" s="32"/>
      <c r="L26" s="32"/>
      <c r="M26" s="32"/>
      <c r="N26" s="126"/>
      <c r="Q26" s="1">
        <f>SUM((I25+J25+K25+L25+M25+N25)*2)</f>
        <v>93</v>
      </c>
    </row>
    <row r="27" spans="1:17" s="1" customFormat="1" ht="14.1" customHeight="1">
      <c r="A27" s="40">
        <v>13</v>
      </c>
      <c r="B27" s="49" t="s">
        <v>141</v>
      </c>
      <c r="C27" s="50"/>
      <c r="D27" s="93"/>
      <c r="E27" s="94"/>
      <c r="F27" s="94"/>
      <c r="G27" s="95"/>
      <c r="H27" s="51"/>
      <c r="I27" s="51">
        <f>SUM(J27)-0.4</f>
        <v>4.5999999999999996</v>
      </c>
      <c r="J27" s="39">
        <v>5</v>
      </c>
      <c r="K27" s="32">
        <f>SUM(J27)+0.4</f>
        <v>5.4</v>
      </c>
      <c r="L27" s="32">
        <f>SUM(K27)+0.4</f>
        <v>5.8000000000000007</v>
      </c>
      <c r="M27" s="32">
        <f>SUM(L27)+0.4</f>
        <v>6.2000000000000011</v>
      </c>
      <c r="N27" s="126">
        <f>SUM(M27)+0.4</f>
        <v>6.6000000000000014</v>
      </c>
      <c r="Q27" s="1">
        <f>SUM(Q26/91.44/6*1.08)</f>
        <v>0.18307086614173232</v>
      </c>
    </row>
    <row r="28" spans="1:17" s="1" customFormat="1" ht="14.1" customHeight="1">
      <c r="A28" s="40"/>
      <c r="B28" s="34" t="s">
        <v>140</v>
      </c>
      <c r="C28" s="35"/>
      <c r="D28" s="36" t="s">
        <v>395</v>
      </c>
      <c r="E28" s="37"/>
      <c r="F28" s="37"/>
      <c r="G28" s="38"/>
      <c r="H28" s="23"/>
      <c r="I28" s="23"/>
      <c r="J28" s="39"/>
      <c r="K28" s="32"/>
      <c r="L28" s="32"/>
      <c r="M28" s="32"/>
      <c r="N28" s="126"/>
    </row>
    <row r="29" spans="1:17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32"/>
      <c r="N29" s="126"/>
    </row>
    <row r="30" spans="1:17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32"/>
      <c r="N30" s="126"/>
    </row>
    <row r="31" spans="1:17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32"/>
      <c r="N31" s="126"/>
    </row>
    <row r="32" spans="1:17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32"/>
      <c r="N32" s="126"/>
    </row>
    <row r="33" spans="1:14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32"/>
      <c r="N33" s="126"/>
    </row>
    <row r="34" spans="1:14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32"/>
      <c r="N34" s="126"/>
    </row>
    <row r="35" spans="1:14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32"/>
      <c r="N35" s="126"/>
    </row>
    <row r="36" spans="1:14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24"/>
      <c r="N36" s="252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731F-CA83-483B-BFF2-4A32CADE997B}">
  <sheetPr>
    <tabColor theme="5"/>
    <pageSetUpPr fitToPage="1"/>
  </sheetPr>
  <dimension ref="A1:N79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4" ht="16.5" customHeight="1" thickBot="1">
      <c r="A1" s="150" t="s">
        <v>650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87">
        <f>SUM(I3)-3.5</f>
        <v>36.299999999999997</v>
      </c>
      <c r="I3" s="51">
        <f>SUM(J3)-3.5</f>
        <v>39.799999999999997</v>
      </c>
      <c r="J3" s="60">
        <v>43.3</v>
      </c>
      <c r="K3" s="51">
        <f>SUM(J3)+3</f>
        <v>46.3</v>
      </c>
      <c r="L3" s="51">
        <f t="shared" ref="L3:N3" si="0">SUM(K3)+3</f>
        <v>49.3</v>
      </c>
      <c r="M3" s="51">
        <f t="shared" si="0"/>
        <v>52.3</v>
      </c>
      <c r="N3" s="75">
        <f t="shared" si="0"/>
        <v>55.3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86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87">
        <f>SUM(I5)-1.6</f>
        <v>21.799999999999997</v>
      </c>
      <c r="I5" s="51">
        <f>SUM(J5)-1.6</f>
        <v>23.4</v>
      </c>
      <c r="J5" s="39">
        <v>25</v>
      </c>
      <c r="K5" s="32">
        <f>SUM(J5)+1.4</f>
        <v>26.4</v>
      </c>
      <c r="L5" s="32">
        <f t="shared" ref="L5:N5" si="1">SUM(K5)+1.4</f>
        <v>27.799999999999997</v>
      </c>
      <c r="M5" s="32">
        <f t="shared" si="1"/>
        <v>29.199999999999996</v>
      </c>
      <c r="N5" s="82">
        <f t="shared" si="1"/>
        <v>30.599999999999994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86"/>
      <c r="I6" s="23"/>
      <c r="J6" s="39"/>
      <c r="K6" s="32"/>
      <c r="L6" s="32"/>
      <c r="M6" s="32"/>
      <c r="N6" s="82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87">
        <f>SUM(I7)-2</f>
        <v>27</v>
      </c>
      <c r="I7" s="51">
        <f>SUM(J7)-2</f>
        <v>29</v>
      </c>
      <c r="J7" s="60">
        <v>31</v>
      </c>
      <c r="K7" s="51">
        <f>SUM(J7)+1.8</f>
        <v>32.799999999999997</v>
      </c>
      <c r="L7" s="51">
        <f t="shared" ref="L7:N7" si="2">SUM(K7)+1.8</f>
        <v>34.599999999999994</v>
      </c>
      <c r="M7" s="51">
        <f t="shared" si="2"/>
        <v>36.399999999999991</v>
      </c>
      <c r="N7" s="75">
        <f t="shared" si="2"/>
        <v>38.199999999999989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86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87">
        <f>SUM(I9)-2</f>
        <v>27</v>
      </c>
      <c r="I9" s="51">
        <f>SUM(J9)-2</f>
        <v>29</v>
      </c>
      <c r="J9" s="60">
        <v>31</v>
      </c>
      <c r="K9" s="51">
        <f>SUM(J9)+1.8</f>
        <v>32.799999999999997</v>
      </c>
      <c r="L9" s="51">
        <f t="shared" ref="L9:N9" si="3">SUM(K9)+1.8</f>
        <v>34.599999999999994</v>
      </c>
      <c r="M9" s="51">
        <f t="shared" si="3"/>
        <v>36.399999999999991</v>
      </c>
      <c r="N9" s="75">
        <f t="shared" si="3"/>
        <v>38.199999999999989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86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643</v>
      </c>
      <c r="E11" s="55"/>
      <c r="F11" s="55"/>
      <c r="G11" s="55"/>
      <c r="H11" s="87">
        <f>SUM(I11)-0.9</f>
        <v>11.799999999999999</v>
      </c>
      <c r="I11" s="51">
        <f>SUM(J11)-0.9</f>
        <v>12.7</v>
      </c>
      <c r="J11" s="39">
        <v>13.6</v>
      </c>
      <c r="K11" s="51">
        <f>SUM(J11)+0.9</f>
        <v>14.5</v>
      </c>
      <c r="L11" s="51">
        <f t="shared" ref="L11:M11" si="4">SUM(K11)+0.9</f>
        <v>15.4</v>
      </c>
      <c r="M11" s="51">
        <f t="shared" si="4"/>
        <v>16.3</v>
      </c>
      <c r="N11" s="75">
        <f>SUM(M11)+0.9</f>
        <v>17.2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23"/>
      <c r="J12" s="39"/>
      <c r="K12" s="23"/>
      <c r="L12" s="23"/>
      <c r="M12" s="23"/>
      <c r="N12" s="76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87">
        <f>SUM(I13)-0.6</f>
        <v>12.3</v>
      </c>
      <c r="I13" s="51">
        <f>SUM(J13)-0.6</f>
        <v>12.9</v>
      </c>
      <c r="J13" s="39">
        <v>13.5</v>
      </c>
      <c r="K13" s="32">
        <f>SUM(J13)+0.6</f>
        <v>14.1</v>
      </c>
      <c r="L13" s="32">
        <f>SUM(K13)+0.6</f>
        <v>14.7</v>
      </c>
      <c r="M13" s="32">
        <f>SUM(L13)+0.6</f>
        <v>15.299999999999999</v>
      </c>
      <c r="N13" s="82">
        <f>SUM(M13)+0.6</f>
        <v>15.899999999999999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86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87">
        <f>SUM(I15)-0.3</f>
        <v>5.6000000000000005</v>
      </c>
      <c r="I15" s="51">
        <f>SUM(J15)-0.3</f>
        <v>5.9</v>
      </c>
      <c r="J15" s="39">
        <v>6.2</v>
      </c>
      <c r="K15" s="32">
        <f>SUM(J15)+0.3</f>
        <v>6.5</v>
      </c>
      <c r="L15" s="32">
        <f>SUM(K15)+0.3</f>
        <v>6.8</v>
      </c>
      <c r="M15" s="32">
        <f>SUM(L15)+0.3</f>
        <v>7.1</v>
      </c>
      <c r="N15" s="82">
        <f>SUM(M15)+0.3</f>
        <v>7.3999999999999995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86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87">
        <f>SUM(I17)-1.6</f>
        <v>35.799999999999997</v>
      </c>
      <c r="I17" s="51">
        <f>SUM(J17)-1.6</f>
        <v>37.4</v>
      </c>
      <c r="J17" s="39">
        <v>39</v>
      </c>
      <c r="K17" s="32">
        <f>SUM(J17)+1.6</f>
        <v>40.6</v>
      </c>
      <c r="L17" s="32">
        <f>SUM(K17)+1.6</f>
        <v>42.2</v>
      </c>
      <c r="M17" s="32">
        <f>SUM(L17)+1.6</f>
        <v>43.800000000000004</v>
      </c>
      <c r="N17" s="82">
        <f>SUM(M17)+1.6</f>
        <v>45.400000000000006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86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SUM(I19)-3.7</f>
        <v>32.099999999999994</v>
      </c>
      <c r="I19" s="51">
        <f>SUM(J19)-3.7</f>
        <v>35.799999999999997</v>
      </c>
      <c r="J19" s="39">
        <v>39.5</v>
      </c>
      <c r="K19" s="32">
        <f>SUM(J19)+3.8</f>
        <v>43.3</v>
      </c>
      <c r="L19" s="32">
        <f t="shared" ref="L19:N19" si="5">SUM(K19)+3.8</f>
        <v>47.099999999999994</v>
      </c>
      <c r="M19" s="32">
        <f t="shared" si="5"/>
        <v>50.899999999999991</v>
      </c>
      <c r="N19" s="82">
        <f t="shared" si="5"/>
        <v>54.699999999999989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87">
        <f>SUM(I21)-1.6</f>
        <v>20.799999999999997</v>
      </c>
      <c r="I21" s="51">
        <f>SUM(J21)-1.6</f>
        <v>22.4</v>
      </c>
      <c r="J21" s="39">
        <v>24</v>
      </c>
      <c r="K21" s="32">
        <f>SUM(J21)+1.6</f>
        <v>25.6</v>
      </c>
      <c r="L21" s="32">
        <f t="shared" ref="L21:N21" si="6">SUM(K21)+1.6</f>
        <v>27.200000000000003</v>
      </c>
      <c r="M21" s="32">
        <f t="shared" si="6"/>
        <v>28.800000000000004</v>
      </c>
      <c r="N21" s="82">
        <f t="shared" si="6"/>
        <v>30.400000000000006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86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87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>SUM(K23)+0.7</f>
        <v>17.399999999999999</v>
      </c>
      <c r="M23" s="32">
        <f>SUM(L23)+0.7</f>
        <v>18.099999999999998</v>
      </c>
      <c r="N23" s="82">
        <f>SUM(M23)+0.7</f>
        <v>18.799999999999997</v>
      </c>
    </row>
    <row r="24" spans="1:14" s="1" customFormat="1" ht="14.1" customHeight="1" thickBot="1">
      <c r="A24" s="111"/>
      <c r="B24" s="105" t="s">
        <v>31</v>
      </c>
      <c r="C24" s="105"/>
      <c r="D24" s="67" t="s">
        <v>70</v>
      </c>
      <c r="E24" s="68"/>
      <c r="F24" s="68"/>
      <c r="G24" s="69"/>
      <c r="H24" s="88"/>
      <c r="I24" s="47"/>
      <c r="J24" s="60"/>
      <c r="K24" s="51"/>
      <c r="L24" s="51"/>
      <c r="M24" s="51"/>
      <c r="N24" s="75"/>
    </row>
    <row r="25" spans="1:14" s="1" customFormat="1" ht="14.1" customHeight="1" thickTop="1">
      <c r="A25" s="155">
        <v>12</v>
      </c>
      <c r="B25" s="118" t="s">
        <v>651</v>
      </c>
      <c r="C25" s="119"/>
      <c r="D25" s="156" t="s">
        <v>147</v>
      </c>
      <c r="E25" s="156"/>
      <c r="F25" s="156"/>
      <c r="G25" s="120"/>
      <c r="H25" s="249">
        <f>SUM(I25)-3.5</f>
        <v>34.799999999999997</v>
      </c>
      <c r="I25" s="157">
        <f>SUM(J25)-3.5</f>
        <v>38.299999999999997</v>
      </c>
      <c r="J25" s="204">
        <v>41.8</v>
      </c>
      <c r="K25" s="157">
        <f>SUM(J25)+3</f>
        <v>44.8</v>
      </c>
      <c r="L25" s="157">
        <f t="shared" ref="L25" si="7">SUM(K25)+3</f>
        <v>47.8</v>
      </c>
      <c r="M25" s="157">
        <f t="shared" ref="M25:N25" si="8">SUM(L25)+3</f>
        <v>50.8</v>
      </c>
      <c r="N25" s="203">
        <f t="shared" si="8"/>
        <v>53.8</v>
      </c>
    </row>
    <row r="26" spans="1:14" s="1" customFormat="1" ht="14.1" customHeight="1">
      <c r="A26" s="111"/>
      <c r="B26" s="34" t="s">
        <v>652</v>
      </c>
      <c r="C26" s="35"/>
      <c r="D26" s="36" t="s">
        <v>100</v>
      </c>
      <c r="E26" s="37"/>
      <c r="F26" s="37"/>
      <c r="G26" s="37"/>
      <c r="H26" s="86"/>
      <c r="I26" s="23"/>
      <c r="J26" s="21"/>
      <c r="K26" s="23"/>
      <c r="L26" s="23"/>
      <c r="M26" s="23"/>
      <c r="N26" s="76"/>
    </row>
    <row r="27" spans="1:14" s="1" customFormat="1" ht="13.5" customHeight="1">
      <c r="A27" s="40">
        <v>13</v>
      </c>
      <c r="B27" s="56" t="s">
        <v>653</v>
      </c>
      <c r="C27" s="56"/>
      <c r="D27" s="55" t="s">
        <v>73</v>
      </c>
      <c r="E27" s="55"/>
      <c r="F27" s="55"/>
      <c r="G27" s="55"/>
      <c r="H27" s="87">
        <f>SUM(I27)-2</f>
        <v>27</v>
      </c>
      <c r="I27" s="51">
        <f>SUM(J27)-2</f>
        <v>29</v>
      </c>
      <c r="J27" s="60">
        <v>31</v>
      </c>
      <c r="K27" s="51">
        <f>SUM(J27)+1.8</f>
        <v>32.799999999999997</v>
      </c>
      <c r="L27" s="51">
        <f t="shared" ref="L27:N27" si="9">SUM(K27)+1.8</f>
        <v>34.599999999999994</v>
      </c>
      <c r="M27" s="51">
        <f t="shared" si="9"/>
        <v>36.399999999999991</v>
      </c>
      <c r="N27" s="75">
        <f t="shared" si="9"/>
        <v>38.199999999999989</v>
      </c>
    </row>
    <row r="28" spans="1:14" s="1" customFormat="1" ht="14.1" customHeight="1">
      <c r="A28" s="40"/>
      <c r="B28" s="52" t="s">
        <v>654</v>
      </c>
      <c r="C28" s="52"/>
      <c r="D28" s="36" t="s">
        <v>45</v>
      </c>
      <c r="E28" s="37"/>
      <c r="F28" s="37"/>
      <c r="G28" s="38"/>
      <c r="H28" s="86"/>
      <c r="I28" s="23"/>
      <c r="J28" s="21"/>
      <c r="K28" s="23"/>
      <c r="L28" s="23"/>
      <c r="M28" s="23"/>
      <c r="N28" s="76"/>
    </row>
    <row r="29" spans="1:14" s="1" customFormat="1" ht="14.1" customHeight="1">
      <c r="A29" s="40">
        <v>14</v>
      </c>
      <c r="B29" s="56" t="s">
        <v>655</v>
      </c>
      <c r="C29" s="56"/>
      <c r="D29" s="55" t="s">
        <v>8</v>
      </c>
      <c r="E29" s="55"/>
      <c r="F29" s="55"/>
      <c r="G29" s="55"/>
      <c r="H29" s="87">
        <f>SUM(I29)-2</f>
        <v>27</v>
      </c>
      <c r="I29" s="51">
        <f>SUM(J29)-2</f>
        <v>29</v>
      </c>
      <c r="J29" s="60">
        <v>31</v>
      </c>
      <c r="K29" s="51">
        <f>SUM(J29)+1.8</f>
        <v>32.799999999999997</v>
      </c>
      <c r="L29" s="51">
        <f t="shared" ref="L29:N29" si="10">SUM(K29)+1.8</f>
        <v>34.599999999999994</v>
      </c>
      <c r="M29" s="51">
        <f t="shared" si="10"/>
        <v>36.399999999999991</v>
      </c>
      <c r="N29" s="75">
        <f t="shared" si="10"/>
        <v>38.199999999999989</v>
      </c>
    </row>
    <row r="30" spans="1:14" s="1" customFormat="1" ht="14.1" customHeight="1">
      <c r="A30" s="40"/>
      <c r="B30" s="52" t="s">
        <v>656</v>
      </c>
      <c r="C30" s="52"/>
      <c r="D30" s="36" t="s">
        <v>46</v>
      </c>
      <c r="E30" s="37"/>
      <c r="F30" s="37"/>
      <c r="G30" s="38"/>
      <c r="H30" s="86"/>
      <c r="I30" s="23"/>
      <c r="J30" s="21"/>
      <c r="K30" s="23"/>
      <c r="L30" s="23"/>
      <c r="M30" s="23"/>
      <c r="N30" s="76"/>
    </row>
    <row r="31" spans="1:14" s="1" customFormat="1" ht="14.1" customHeight="1">
      <c r="A31" s="111">
        <v>15</v>
      </c>
      <c r="B31" s="49" t="s">
        <v>141</v>
      </c>
      <c r="C31" s="50"/>
      <c r="D31" s="93"/>
      <c r="E31" s="94"/>
      <c r="F31" s="94"/>
      <c r="G31" s="95"/>
      <c r="H31" s="87">
        <f>SUM(I31)-0.5</f>
        <v>5.7</v>
      </c>
      <c r="I31" s="51">
        <f>SUM(J31)-0.5</f>
        <v>6.2</v>
      </c>
      <c r="J31" s="39">
        <v>6.7</v>
      </c>
      <c r="K31" s="32">
        <f>SUM(J31)+0.4</f>
        <v>7.1000000000000005</v>
      </c>
      <c r="L31" s="32">
        <f t="shared" ref="L31:N31" si="11">SUM(K31)+0.4</f>
        <v>7.5000000000000009</v>
      </c>
      <c r="M31" s="32">
        <f t="shared" si="11"/>
        <v>7.9000000000000012</v>
      </c>
      <c r="N31" s="82">
        <f t="shared" si="11"/>
        <v>8.3000000000000007</v>
      </c>
    </row>
    <row r="32" spans="1:14" s="1" customFormat="1" ht="14.1" customHeight="1">
      <c r="A32" s="66"/>
      <c r="B32" s="34" t="s">
        <v>140</v>
      </c>
      <c r="C32" s="35"/>
      <c r="D32" s="36" t="s">
        <v>587</v>
      </c>
      <c r="E32" s="37"/>
      <c r="F32" s="37"/>
      <c r="G32" s="38"/>
      <c r="H32" s="86"/>
      <c r="I32" s="23"/>
      <c r="J32" s="60"/>
      <c r="K32" s="32"/>
      <c r="L32" s="32"/>
      <c r="M32" s="32"/>
      <c r="N32" s="82"/>
    </row>
    <row r="33" spans="1:14" s="1" customFormat="1" ht="14.1" customHeight="1">
      <c r="A33" s="111">
        <v>16</v>
      </c>
      <c r="B33" s="53" t="s">
        <v>139</v>
      </c>
      <c r="C33" s="54"/>
      <c r="D33" s="44"/>
      <c r="E33" s="45"/>
      <c r="F33" s="45"/>
      <c r="G33" s="46"/>
      <c r="H33" s="87">
        <f>SUM(I33)-0.4</f>
        <v>4.1999999999999993</v>
      </c>
      <c r="I33" s="51">
        <f>SUM(J33)-0.4</f>
        <v>4.5999999999999996</v>
      </c>
      <c r="J33" s="39">
        <v>5</v>
      </c>
      <c r="K33" s="32">
        <f>SUM(J33)+0.3</f>
        <v>5.3</v>
      </c>
      <c r="L33" s="32">
        <f t="shared" ref="L33:N33" si="12">SUM(K33)+0.3</f>
        <v>5.6</v>
      </c>
      <c r="M33" s="32">
        <f t="shared" si="12"/>
        <v>5.8999999999999995</v>
      </c>
      <c r="N33" s="82">
        <f t="shared" si="12"/>
        <v>6.1999999999999993</v>
      </c>
    </row>
    <row r="34" spans="1:14" s="1" customFormat="1" ht="14.1" customHeight="1" thickBot="1">
      <c r="A34" s="74"/>
      <c r="B34" s="27" t="s">
        <v>138</v>
      </c>
      <c r="C34" s="28"/>
      <c r="D34" s="29" t="s">
        <v>657</v>
      </c>
      <c r="E34" s="30"/>
      <c r="F34" s="30"/>
      <c r="G34" s="31"/>
      <c r="H34" s="176"/>
      <c r="I34" s="48"/>
      <c r="J34" s="22"/>
      <c r="K34" s="24"/>
      <c r="L34" s="24"/>
      <c r="M34" s="24"/>
      <c r="N34" s="92"/>
    </row>
    <row r="35" spans="1:14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4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ht="14.1" customHeight="1"/>
    <row r="40" spans="1:14" ht="14.1" customHeight="1"/>
    <row r="41" spans="1:14" ht="14.1" customHeight="1">
      <c r="N41" s="1"/>
    </row>
    <row r="42" spans="1:14" ht="14.1" customHeight="1">
      <c r="N42" s="1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95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24" type="noConversion"/>
  <printOptions horizontalCentered="1"/>
  <pageMargins left="0.7" right="0.7" top="0.75" bottom="0.75" header="0.3" footer="0.3"/>
  <pageSetup paperSize="9" scale="87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CFBB-9F11-4363-9DFE-60CE5BD24349}">
  <sheetPr>
    <tabColor theme="5"/>
    <pageSetUpPr fitToPage="1"/>
  </sheetPr>
  <dimension ref="A1:P51"/>
  <sheetViews>
    <sheetView zoomScale="110" zoomScaleNormal="110" workbookViewId="0">
      <selection activeCell="P8" sqref="P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438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36</v>
      </c>
      <c r="I3" s="51">
        <f>SUM(J3)-3.5</f>
        <v>39.5</v>
      </c>
      <c r="J3" s="114">
        <v>43</v>
      </c>
      <c r="K3" s="168">
        <f>SUM(J3)+3</f>
        <v>46</v>
      </c>
      <c r="L3" s="168">
        <f>SUM(K3)+3</f>
        <v>49</v>
      </c>
      <c r="M3" s="169">
        <f>SUM(L3)+3</f>
        <v>52</v>
      </c>
    </row>
    <row r="4" spans="1:13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SUM(I5)-1.4</f>
        <v>17.400000000000002</v>
      </c>
      <c r="I5" s="51">
        <f>SUM(J5)-1.4</f>
        <v>18.8</v>
      </c>
      <c r="J5" s="60">
        <v>20.2</v>
      </c>
      <c r="K5" s="51">
        <f>SUM(J5)+1.2</f>
        <v>21.4</v>
      </c>
      <c r="L5" s="51">
        <f>SUM(K5)+1.2</f>
        <v>22.599999999999998</v>
      </c>
      <c r="M5" s="75">
        <f>SUM(L5)+1.2</f>
        <v>23.799999999999997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24.5</v>
      </c>
      <c r="I7" s="51">
        <f>SUM(J7)-2</f>
        <v>26.5</v>
      </c>
      <c r="J7" s="60">
        <v>28.5</v>
      </c>
      <c r="K7" s="51">
        <f>SUM(J7)+1.8</f>
        <v>30.3</v>
      </c>
      <c r="L7" s="51">
        <f>SUM(K7)+1.8</f>
        <v>32.1</v>
      </c>
      <c r="M7" s="75">
        <f>SUM(L7)+1.8</f>
        <v>33.9</v>
      </c>
    </row>
    <row r="8" spans="1:13" s="1" customFormat="1" ht="14.1" customHeight="1">
      <c r="A8" s="40"/>
      <c r="B8" s="52" t="s">
        <v>445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24.5</v>
      </c>
      <c r="I9" s="51">
        <f>SUM(J9)-2</f>
        <v>26.5</v>
      </c>
      <c r="J9" s="60">
        <v>28.5</v>
      </c>
      <c r="K9" s="51">
        <f>SUM(J9)+1.8</f>
        <v>30.3</v>
      </c>
      <c r="L9" s="51">
        <f>SUM(K9)+1.8</f>
        <v>32.1</v>
      </c>
      <c r="M9" s="75">
        <f>SUM(L9)+1.8</f>
        <v>33.9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SUM(I11)-0.9</f>
        <v>12.7</v>
      </c>
      <c r="I11" s="51">
        <f>SUM(J11)-0.9</f>
        <v>13.6</v>
      </c>
      <c r="J11" s="39">
        <v>14.5</v>
      </c>
      <c r="K11" s="32">
        <f>SUM(J11)+0.9</f>
        <v>15.4</v>
      </c>
      <c r="L11" s="32">
        <f>SUM(K11)+0.9</f>
        <v>16.3</v>
      </c>
      <c r="M11" s="82">
        <f>SUM(L11)+0.9</f>
        <v>17.2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82">
        <f>SUM(L13)+0.6</f>
        <v>14.999999999999998</v>
      </c>
    </row>
    <row r="14" spans="1:13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4.6000000000000005</v>
      </c>
      <c r="I15" s="51">
        <f>SUM(J15)-0.3</f>
        <v>4.9000000000000004</v>
      </c>
      <c r="J15" s="39">
        <v>5.2</v>
      </c>
      <c r="K15" s="32">
        <f>SUM(J15)+0.3</f>
        <v>5.5</v>
      </c>
      <c r="L15" s="32">
        <f>SUM(K15)+0.3</f>
        <v>5.8</v>
      </c>
      <c r="M15" s="82">
        <f>SUM(L15)+0.3</f>
        <v>6.1</v>
      </c>
    </row>
    <row r="16" spans="1:13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6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31.799999999999997</v>
      </c>
      <c r="I17" s="51">
        <f>SUM(J17)-1.6</f>
        <v>33.4</v>
      </c>
      <c r="J17" s="39">
        <v>35</v>
      </c>
      <c r="K17" s="32">
        <f>SUM(J17)+1.6</f>
        <v>36.6</v>
      </c>
      <c r="L17" s="32">
        <f>SUM(K17)+1.6</f>
        <v>38.200000000000003</v>
      </c>
      <c r="M17" s="82">
        <f>SUM(L17)+1.6</f>
        <v>39.800000000000004</v>
      </c>
    </row>
    <row r="18" spans="1:16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6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SUM(I19)-3.8</f>
        <v>33.900000000000006</v>
      </c>
      <c r="I19" s="51">
        <f>SUM(J19)-3.8</f>
        <v>37.700000000000003</v>
      </c>
      <c r="J19" s="39">
        <v>41.5</v>
      </c>
      <c r="K19" s="32">
        <f>SUM(J19)+3.9</f>
        <v>45.4</v>
      </c>
      <c r="L19" s="32">
        <f>SUM(K19)+3.9</f>
        <v>49.3</v>
      </c>
      <c r="M19" s="82">
        <f>SUM(L19)+3.9</f>
        <v>53.199999999999996</v>
      </c>
    </row>
    <row r="20" spans="1:16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6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20</v>
      </c>
      <c r="I21" s="51">
        <f>SUM(J21)-1.5</f>
        <v>21.5</v>
      </c>
      <c r="J21" s="39">
        <v>23</v>
      </c>
      <c r="K21" s="32">
        <f>SUM(J21)+1.5</f>
        <v>24.5</v>
      </c>
      <c r="L21" s="32">
        <f>SUM(K21)+1.5</f>
        <v>26</v>
      </c>
      <c r="M21" s="82">
        <f>SUM(L21)+1.5</f>
        <v>27.5</v>
      </c>
    </row>
    <row r="22" spans="1:16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6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12</v>
      </c>
      <c r="I23" s="51">
        <f>SUM(J23)-0.6</f>
        <v>12.6</v>
      </c>
      <c r="J23" s="39">
        <v>13.2</v>
      </c>
      <c r="K23" s="32">
        <f>SUM(J23)+0.6</f>
        <v>13.799999999999999</v>
      </c>
      <c r="L23" s="32">
        <f>SUM(K23)+0.6</f>
        <v>14.399999999999999</v>
      </c>
      <c r="M23" s="82">
        <f>SUM(L23)+0.6</f>
        <v>14.999999999999998</v>
      </c>
    </row>
    <row r="24" spans="1:16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6" s="1" customFormat="1" ht="14.1" customHeight="1">
      <c r="A25" s="40">
        <v>12</v>
      </c>
      <c r="B25" s="49" t="s">
        <v>439</v>
      </c>
      <c r="C25" s="50"/>
      <c r="D25" s="93"/>
      <c r="E25" s="94"/>
      <c r="F25" s="94"/>
      <c r="G25" s="95"/>
      <c r="H25" s="51">
        <f>SUM(I25)-1.3</f>
        <v>12.399999999999999</v>
      </c>
      <c r="I25" s="51">
        <f>SUM(J25)-1.3</f>
        <v>13.7</v>
      </c>
      <c r="J25" s="39">
        <v>15</v>
      </c>
      <c r="K25" s="32">
        <f>SUM(J25)+1.4</f>
        <v>16.399999999999999</v>
      </c>
      <c r="L25" s="32">
        <f>SUM(K25)+1.4</f>
        <v>17.799999999999997</v>
      </c>
      <c r="M25" s="82">
        <f>SUM(L25)+1.4</f>
        <v>19.199999999999996</v>
      </c>
      <c r="P25" s="1" t="s">
        <v>366</v>
      </c>
    </row>
    <row r="26" spans="1:16" s="1" customFormat="1" ht="14.1" customHeight="1">
      <c r="A26" s="40"/>
      <c r="B26" s="34" t="s">
        <v>440</v>
      </c>
      <c r="C26" s="35"/>
      <c r="D26" s="36"/>
      <c r="E26" s="37"/>
      <c r="F26" s="37"/>
      <c r="G26" s="38"/>
      <c r="H26" s="23"/>
      <c r="I26" s="23"/>
      <c r="J26" s="39"/>
      <c r="K26" s="32"/>
      <c r="L26" s="32"/>
      <c r="M26" s="82"/>
      <c r="P26" s="1">
        <f>SUM(H27+H27+I27+I27+J27+J27+K27+K27+L27+L27+M27+M27)</f>
        <v>283.20000000000005</v>
      </c>
    </row>
    <row r="27" spans="1:16" s="1" customFormat="1" ht="14.1" customHeight="1">
      <c r="A27" s="40">
        <v>13</v>
      </c>
      <c r="B27" s="49" t="s">
        <v>441</v>
      </c>
      <c r="C27" s="50"/>
      <c r="D27" s="93"/>
      <c r="E27" s="94"/>
      <c r="F27" s="94"/>
      <c r="G27" s="95"/>
      <c r="H27" s="51">
        <f>SUM(I27)-1.2</f>
        <v>20.6</v>
      </c>
      <c r="I27" s="51">
        <f>SUM(J27)-1.2</f>
        <v>21.8</v>
      </c>
      <c r="J27" s="39">
        <v>23</v>
      </c>
      <c r="K27" s="32">
        <f>SUM(J27)+1.2</f>
        <v>24.2</v>
      </c>
      <c r="L27" s="32">
        <f>SUM(K27)+1.2</f>
        <v>25.4</v>
      </c>
      <c r="M27" s="82">
        <f>SUM(L27)+1.2</f>
        <v>26.599999999999998</v>
      </c>
      <c r="P27" s="1">
        <f>SUM(P26/91.44/6*1.08)</f>
        <v>0.55748031496063011</v>
      </c>
    </row>
    <row r="28" spans="1:16" s="1" customFormat="1" ht="14.1" customHeight="1">
      <c r="A28" s="40"/>
      <c r="B28" s="34" t="s">
        <v>442</v>
      </c>
      <c r="C28" s="35"/>
      <c r="D28" s="36"/>
      <c r="E28" s="37"/>
      <c r="F28" s="37"/>
      <c r="G28" s="38"/>
      <c r="H28" s="23"/>
      <c r="I28" s="23"/>
      <c r="J28" s="39"/>
      <c r="K28" s="32"/>
      <c r="L28" s="32"/>
      <c r="M28" s="82"/>
    </row>
    <row r="29" spans="1:16" s="1" customFormat="1" ht="14.1" customHeight="1">
      <c r="A29" s="40">
        <v>14</v>
      </c>
      <c r="B29" s="49" t="s">
        <v>443</v>
      </c>
      <c r="C29" s="50"/>
      <c r="D29" s="93"/>
      <c r="E29" s="94"/>
      <c r="F29" s="94"/>
      <c r="G29" s="95"/>
      <c r="H29" s="51">
        <f>SUM(I29)-0.3</f>
        <v>6.2</v>
      </c>
      <c r="I29" s="51">
        <f>SUM(J29)-0.3</f>
        <v>6.5</v>
      </c>
      <c r="J29" s="39">
        <v>6.8</v>
      </c>
      <c r="K29" s="32">
        <f>SUM(J29)+0.3</f>
        <v>7.1</v>
      </c>
      <c r="L29" s="32">
        <f>SUM(K29)+0.3</f>
        <v>7.3999999999999995</v>
      </c>
      <c r="M29" s="82">
        <f>SUM(L29)+0.3</f>
        <v>7.6999999999999993</v>
      </c>
    </row>
    <row r="30" spans="1:16" s="1" customFormat="1" ht="13.5" customHeight="1">
      <c r="A30" s="40"/>
      <c r="B30" s="34" t="s">
        <v>444</v>
      </c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6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6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B6:C6"/>
    <mergeCell ref="D6:G6"/>
    <mergeCell ref="K9:K10"/>
    <mergeCell ref="L9:L10"/>
    <mergeCell ref="M9:M10"/>
    <mergeCell ref="B4:C4"/>
    <mergeCell ref="D4:G4"/>
    <mergeCell ref="K7:K8"/>
    <mergeCell ref="L7:L8"/>
    <mergeCell ref="M7:M8"/>
    <mergeCell ref="B8:C8"/>
    <mergeCell ref="D8:G8"/>
    <mergeCell ref="J3:J4"/>
    <mergeCell ref="K3:K4"/>
    <mergeCell ref="J5:J6"/>
    <mergeCell ref="K5:K6"/>
    <mergeCell ref="L5:L6"/>
    <mergeCell ref="M5:M6"/>
    <mergeCell ref="L3:L4"/>
    <mergeCell ref="M3:M4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A1:M1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2E4E-7A6D-46E5-BD4D-C49F7690DF17}">
  <sheetPr>
    <tabColor theme="5"/>
    <pageSetUpPr fitToPage="1"/>
  </sheetPr>
  <dimension ref="A1:N51"/>
  <sheetViews>
    <sheetView zoomScale="110" zoomScaleNormal="110" workbookViewId="0">
      <selection activeCell="P18" sqref="P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416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30</v>
      </c>
      <c r="I3" s="51">
        <f>SUM(J3)-3</f>
        <v>33</v>
      </c>
      <c r="J3" s="114">
        <v>36</v>
      </c>
      <c r="K3" s="70">
        <f>SUM(J3)+2.5</f>
        <v>38.5</v>
      </c>
      <c r="L3" s="70">
        <f>SUM(K3)+2.5</f>
        <v>41</v>
      </c>
      <c r="M3" s="84">
        <f>SUM(L3)+2.5</f>
        <v>43.5</v>
      </c>
    </row>
    <row r="4" spans="1:14" s="1" customFormat="1" ht="14.1" customHeight="1">
      <c r="A4" s="40"/>
      <c r="B4" s="52" t="s">
        <v>38</v>
      </c>
      <c r="C4" s="52"/>
      <c r="D4" s="36" t="s">
        <v>339</v>
      </c>
      <c r="E4" s="37"/>
      <c r="F4" s="37"/>
      <c r="G4" s="37"/>
      <c r="H4" s="23"/>
      <c r="I4" s="23"/>
      <c r="J4" s="60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SUM(I5)-1.6</f>
        <v>23.799999999999997</v>
      </c>
      <c r="I5" s="51">
        <f>SUM(J5)-1.6</f>
        <v>25.4</v>
      </c>
      <c r="J5" s="60">
        <v>27</v>
      </c>
      <c r="K5" s="51">
        <f>SUM(J5)+1.6</f>
        <v>28.6</v>
      </c>
      <c r="L5" s="51">
        <f>SUM(K5)+1.6</f>
        <v>30.200000000000003</v>
      </c>
      <c r="M5" s="75">
        <f>SUM(L5)+1.6</f>
        <v>31.800000000000004</v>
      </c>
    </row>
    <row r="6" spans="1:14" s="1" customFormat="1" ht="14.1" customHeight="1">
      <c r="A6" s="40"/>
      <c r="B6" s="52" t="s">
        <v>340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341</v>
      </c>
      <c r="E7" s="55"/>
      <c r="F7" s="55"/>
      <c r="G7" s="55"/>
      <c r="H7" s="51">
        <f>SUM(I7)-2</f>
        <v>30.5</v>
      </c>
      <c r="I7" s="51">
        <f>SUM(J7)-2</f>
        <v>32.5</v>
      </c>
      <c r="J7" s="60">
        <v>34.5</v>
      </c>
      <c r="K7" s="51">
        <f>SUM(J7)+2</f>
        <v>36.5</v>
      </c>
      <c r="L7" s="51">
        <f>SUM(K7)+2</f>
        <v>38.5</v>
      </c>
      <c r="M7" s="75">
        <f>SUM(L7)+2</f>
        <v>40.5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SUM(I9)-1.7</f>
        <v>26.1</v>
      </c>
      <c r="I9" s="51">
        <f>SUM(J9)-1.7</f>
        <v>27.8</v>
      </c>
      <c r="J9" s="60">
        <v>29.5</v>
      </c>
      <c r="K9" s="51">
        <f>SUM(J9)+1.7</f>
        <v>31.2</v>
      </c>
      <c r="L9" s="51">
        <f>SUM(K9)+1.7</f>
        <v>32.9</v>
      </c>
      <c r="M9" s="75">
        <f>SUM(L9)+1.7</f>
        <v>34.6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342</v>
      </c>
      <c r="C11" s="56"/>
      <c r="D11" s="55"/>
      <c r="E11" s="55"/>
      <c r="F11" s="55"/>
      <c r="G11" s="55"/>
      <c r="H11" s="51">
        <f>SUM(I11)-0</f>
        <v>4.5</v>
      </c>
      <c r="I11" s="51">
        <f>SUM(J11)-0</f>
        <v>4.5</v>
      </c>
      <c r="J11" s="60">
        <v>4.5</v>
      </c>
      <c r="K11" s="51">
        <f>SUM(J11)+0.5</f>
        <v>5</v>
      </c>
      <c r="L11" s="51">
        <f>SUM(K11)+0</f>
        <v>5</v>
      </c>
      <c r="M11" s="75">
        <f>SUM(L11)+0</f>
        <v>5</v>
      </c>
    </row>
    <row r="12" spans="1:14" s="1" customFormat="1" ht="14.1" customHeight="1">
      <c r="A12" s="40"/>
      <c r="B12" s="52" t="s">
        <v>343</v>
      </c>
      <c r="C12" s="52"/>
      <c r="D12" s="36"/>
      <c r="E12" s="37"/>
      <c r="F12" s="37"/>
      <c r="G12" s="38"/>
      <c r="H12" s="23"/>
      <c r="I12" s="23"/>
      <c r="J12" s="21"/>
      <c r="K12" s="23"/>
      <c r="L12" s="23"/>
      <c r="M12" s="76"/>
    </row>
    <row r="13" spans="1:14" s="1" customFormat="1" ht="14.1" customHeight="1">
      <c r="A13" s="40">
        <v>6</v>
      </c>
      <c r="B13" s="56" t="s">
        <v>10</v>
      </c>
      <c r="C13" s="56"/>
      <c r="D13" s="55" t="s">
        <v>0</v>
      </c>
      <c r="E13" s="55"/>
      <c r="F13" s="55"/>
      <c r="G13" s="55"/>
      <c r="H13" s="51">
        <f>SUM(I13)-0.8</f>
        <v>12.899999999999999</v>
      </c>
      <c r="I13" s="51">
        <f>SUM(J13)-0.8</f>
        <v>13.7</v>
      </c>
      <c r="J13" s="39">
        <v>14.5</v>
      </c>
      <c r="K13" s="51">
        <f>SUM(J13)+0.8</f>
        <v>15.3</v>
      </c>
      <c r="L13" s="51">
        <f>SUM(K13)+0.8</f>
        <v>16.100000000000001</v>
      </c>
      <c r="M13" s="75">
        <f>SUM(L13)+0.8</f>
        <v>16.900000000000002</v>
      </c>
    </row>
    <row r="14" spans="1:14" s="1" customFormat="1" ht="14.1" customHeight="1">
      <c r="A14" s="40"/>
      <c r="B14" s="52" t="s">
        <v>26</v>
      </c>
      <c r="C14" s="52"/>
      <c r="D14" s="36" t="s">
        <v>47</v>
      </c>
      <c r="E14" s="37"/>
      <c r="F14" s="37"/>
      <c r="G14" s="38"/>
      <c r="H14" s="23"/>
      <c r="I14" s="23"/>
      <c r="J14" s="39"/>
      <c r="K14" s="23"/>
      <c r="L14" s="23"/>
      <c r="M14" s="76"/>
    </row>
    <row r="15" spans="1:14" s="1" customFormat="1" ht="14.1" customHeight="1">
      <c r="A15" s="40">
        <v>7</v>
      </c>
      <c r="B15" s="56" t="s">
        <v>1</v>
      </c>
      <c r="C15" s="56"/>
      <c r="D15" s="55" t="s">
        <v>145</v>
      </c>
      <c r="E15" s="55"/>
      <c r="F15" s="55"/>
      <c r="G15" s="55"/>
      <c r="H15" s="51">
        <f>SUM(I15)-0.6</f>
        <v>16.799999999999997</v>
      </c>
      <c r="I15" s="51">
        <f>SUM(J15)-0.6</f>
        <v>17.399999999999999</v>
      </c>
      <c r="J15" s="39">
        <v>18</v>
      </c>
      <c r="K15" s="51">
        <f>SUM(J15)+0.6</f>
        <v>18.600000000000001</v>
      </c>
      <c r="L15" s="51">
        <f>SUM(K15)+0.6</f>
        <v>19.200000000000003</v>
      </c>
      <c r="M15" s="75">
        <f>SUM(L15)+0.6</f>
        <v>19.800000000000004</v>
      </c>
    </row>
    <row r="16" spans="1:14" s="1" customFormat="1" ht="14.1" customHeight="1">
      <c r="A16" s="40"/>
      <c r="B16" s="52" t="s">
        <v>27</v>
      </c>
      <c r="C16" s="52"/>
      <c r="D16" s="36" t="s">
        <v>48</v>
      </c>
      <c r="E16" s="37"/>
      <c r="F16" s="37"/>
      <c r="G16" s="38"/>
      <c r="H16" s="23"/>
      <c r="I16" s="23"/>
      <c r="J16" s="39"/>
      <c r="K16" s="23"/>
      <c r="L16" s="23"/>
      <c r="M16" s="76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SUM(I17)-0.3</f>
        <v>7.8</v>
      </c>
      <c r="I17" s="51">
        <f>SUM(J17)-0.3</f>
        <v>8.1</v>
      </c>
      <c r="J17" s="39">
        <v>8.4</v>
      </c>
      <c r="K17" s="51">
        <f>SUM(J17)+0.3</f>
        <v>8.7000000000000011</v>
      </c>
      <c r="L17" s="51">
        <f>SUM(K17)+0.3</f>
        <v>9.0000000000000018</v>
      </c>
      <c r="M17" s="75">
        <f>SUM(L17)+0.3</f>
        <v>9.3000000000000025</v>
      </c>
    </row>
    <row r="18" spans="1:13" s="1" customFormat="1" ht="14.1" customHeight="1">
      <c r="A18" s="40"/>
      <c r="B18" s="52" t="s">
        <v>28</v>
      </c>
      <c r="C18" s="52"/>
      <c r="D18" s="36" t="s">
        <v>49</v>
      </c>
      <c r="E18" s="37"/>
      <c r="F18" s="37"/>
      <c r="G18" s="38"/>
      <c r="H18" s="23"/>
      <c r="I18" s="23"/>
      <c r="J18" s="39"/>
      <c r="K18" s="23"/>
      <c r="L18" s="23"/>
      <c r="M18" s="76"/>
    </row>
    <row r="19" spans="1:13" s="1" customFormat="1" ht="14.1" customHeight="1">
      <c r="A19" s="40">
        <v>9</v>
      </c>
      <c r="B19" s="49" t="s">
        <v>344</v>
      </c>
      <c r="C19" s="50"/>
      <c r="D19" s="57"/>
      <c r="E19" s="58"/>
      <c r="F19" s="58"/>
      <c r="G19" s="59"/>
      <c r="H19" s="51">
        <f>SUM(I19)</f>
        <v>2.5</v>
      </c>
      <c r="I19" s="51">
        <f>SUM(J19)</f>
        <v>2.5</v>
      </c>
      <c r="J19" s="39">
        <v>2.5</v>
      </c>
      <c r="K19" s="51">
        <f>SUM(J19)</f>
        <v>2.5</v>
      </c>
      <c r="L19" s="51">
        <f>SUM(K19)</f>
        <v>2.5</v>
      </c>
      <c r="M19" s="75">
        <f>SUM(L19)</f>
        <v>2.5</v>
      </c>
    </row>
    <row r="20" spans="1:13" s="1" customFormat="1" ht="14.1" customHeight="1">
      <c r="A20" s="40"/>
      <c r="B20" s="52" t="s">
        <v>345</v>
      </c>
      <c r="C20" s="52"/>
      <c r="D20" s="36"/>
      <c r="E20" s="37"/>
      <c r="F20" s="37"/>
      <c r="G20" s="38"/>
      <c r="H20" s="23"/>
      <c r="I20" s="23"/>
      <c r="J20" s="39"/>
      <c r="K20" s="23"/>
      <c r="L20" s="23"/>
      <c r="M20" s="76"/>
    </row>
    <row r="21" spans="1:13" s="1" customFormat="1" ht="14.1" customHeight="1">
      <c r="A21" s="40">
        <v>10</v>
      </c>
      <c r="B21" s="49" t="s">
        <v>74</v>
      </c>
      <c r="C21" s="50"/>
      <c r="D21" s="57" t="s">
        <v>75</v>
      </c>
      <c r="E21" s="58"/>
      <c r="F21" s="58"/>
      <c r="G21" s="59"/>
      <c r="H21" s="47"/>
      <c r="I21" s="47"/>
      <c r="J21" s="21"/>
      <c r="K21" s="47"/>
      <c r="L21" s="47"/>
      <c r="M21" s="104"/>
    </row>
    <row r="22" spans="1:13" s="1" customFormat="1" ht="14.1" customHeight="1">
      <c r="A22" s="40"/>
      <c r="B22" s="52" t="s">
        <v>35</v>
      </c>
      <c r="C22" s="52"/>
      <c r="D22" s="36" t="s">
        <v>346</v>
      </c>
      <c r="E22" s="37"/>
      <c r="F22" s="37"/>
      <c r="G22" s="38"/>
      <c r="H22" s="23"/>
      <c r="I22" s="23"/>
      <c r="J22" s="39"/>
      <c r="K22" s="23"/>
      <c r="L22" s="23"/>
      <c r="M22" s="76"/>
    </row>
    <row r="23" spans="1:13" s="1" customFormat="1" ht="14.1" customHeight="1">
      <c r="A23" s="40">
        <v>11</v>
      </c>
      <c r="B23" s="56" t="s">
        <v>4</v>
      </c>
      <c r="C23" s="56"/>
      <c r="D23" s="55" t="s">
        <v>5</v>
      </c>
      <c r="E23" s="55"/>
      <c r="F23" s="55"/>
      <c r="G23" s="55"/>
      <c r="H23" s="51"/>
      <c r="I23" s="51"/>
      <c r="J23" s="60"/>
      <c r="K23" s="51"/>
      <c r="L23" s="51"/>
      <c r="M23" s="75"/>
    </row>
    <row r="24" spans="1:13" s="1" customFormat="1" ht="14.1" customHeight="1">
      <c r="A24" s="40"/>
      <c r="B24" s="52" t="s">
        <v>347</v>
      </c>
      <c r="C24" s="52"/>
      <c r="D24" s="36" t="s">
        <v>50</v>
      </c>
      <c r="E24" s="37"/>
      <c r="F24" s="37"/>
      <c r="G24" s="38"/>
      <c r="H24" s="23"/>
      <c r="I24" s="23"/>
      <c r="J24" s="21"/>
      <c r="K24" s="23"/>
      <c r="L24" s="23"/>
      <c r="M24" s="76"/>
    </row>
    <row r="25" spans="1:13" s="1" customFormat="1" ht="14.1" customHeight="1">
      <c r="A25" s="40">
        <v>12</v>
      </c>
      <c r="B25" s="56" t="s">
        <v>6</v>
      </c>
      <c r="C25" s="56"/>
      <c r="D25" s="57" t="s">
        <v>7</v>
      </c>
      <c r="E25" s="58"/>
      <c r="F25" s="58"/>
      <c r="G25" s="59"/>
      <c r="H25" s="51"/>
      <c r="I25" s="51"/>
      <c r="J25" s="60"/>
      <c r="K25" s="51"/>
      <c r="L25" s="51"/>
      <c r="M25" s="75"/>
    </row>
    <row r="26" spans="1:13" s="1" customFormat="1" ht="14.1" customHeight="1">
      <c r="A26" s="40"/>
      <c r="B26" s="52" t="s">
        <v>30</v>
      </c>
      <c r="C26" s="52"/>
      <c r="D26" s="36" t="s">
        <v>67</v>
      </c>
      <c r="E26" s="37"/>
      <c r="F26" s="37"/>
      <c r="G26" s="38"/>
      <c r="H26" s="23"/>
      <c r="I26" s="23"/>
      <c r="J26" s="21"/>
      <c r="K26" s="23"/>
      <c r="L26" s="23"/>
      <c r="M26" s="76"/>
    </row>
    <row r="27" spans="1:13" s="1" customFormat="1" ht="14.1" customHeight="1">
      <c r="A27" s="40">
        <v>13</v>
      </c>
      <c r="B27" s="49" t="s">
        <v>99</v>
      </c>
      <c r="C27" s="50"/>
      <c r="D27" s="55" t="s">
        <v>69</v>
      </c>
      <c r="E27" s="55"/>
      <c r="F27" s="55"/>
      <c r="G27" s="55"/>
      <c r="H27" s="51"/>
      <c r="I27" s="51"/>
      <c r="J27" s="60"/>
      <c r="K27" s="51"/>
      <c r="L27" s="51"/>
      <c r="M27" s="75"/>
    </row>
    <row r="28" spans="1:13" s="1" customFormat="1" ht="14.1" customHeight="1">
      <c r="A28" s="111"/>
      <c r="B28" s="105" t="s">
        <v>31</v>
      </c>
      <c r="C28" s="105"/>
      <c r="D28" s="67" t="s">
        <v>70</v>
      </c>
      <c r="E28" s="68"/>
      <c r="F28" s="68"/>
      <c r="G28" s="69"/>
      <c r="H28" s="23"/>
      <c r="I28" s="23"/>
      <c r="J28" s="21"/>
      <c r="K28" s="23"/>
      <c r="L28" s="23"/>
      <c r="M28" s="76"/>
    </row>
    <row r="29" spans="1:13" s="1" customFormat="1" ht="14.1" customHeight="1">
      <c r="A29" s="40">
        <v>14</v>
      </c>
      <c r="B29" s="49" t="s">
        <v>348</v>
      </c>
      <c r="C29" s="50"/>
      <c r="D29" s="57"/>
      <c r="E29" s="58"/>
      <c r="F29" s="58"/>
      <c r="G29" s="59"/>
      <c r="H29" s="51"/>
      <c r="I29" s="51"/>
      <c r="J29" s="60"/>
      <c r="K29" s="51"/>
      <c r="L29" s="51"/>
      <c r="M29" s="75"/>
    </row>
    <row r="30" spans="1:13" s="1" customFormat="1" ht="14.1" customHeight="1">
      <c r="A30" s="111"/>
      <c r="B30" s="34" t="s">
        <v>349</v>
      </c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ht="13.5" customHeight="1">
      <c r="A31" s="40">
        <v>15</v>
      </c>
      <c r="B31" s="49" t="s">
        <v>141</v>
      </c>
      <c r="C31" s="50"/>
      <c r="D31" s="55"/>
      <c r="E31" s="55"/>
      <c r="F31" s="55"/>
      <c r="G31" s="55"/>
      <c r="H31" s="51"/>
      <c r="I31" s="51"/>
      <c r="J31" s="60">
        <v>2.2999999999999998</v>
      </c>
      <c r="K31" s="51"/>
      <c r="L31" s="51"/>
      <c r="M31" s="75"/>
    </row>
    <row r="32" spans="1:13" ht="14.1" customHeight="1">
      <c r="A32" s="40"/>
      <c r="B32" s="34" t="s">
        <v>140</v>
      </c>
      <c r="C32" s="35"/>
      <c r="D32" s="36"/>
      <c r="E32" s="37"/>
      <c r="F32" s="37"/>
      <c r="G32" s="38"/>
      <c r="H32" s="23"/>
      <c r="I32" s="23"/>
      <c r="J32" s="21"/>
      <c r="K32" s="23"/>
      <c r="L32" s="23"/>
      <c r="M32" s="76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111"/>
      <c r="B34" s="34"/>
      <c r="C34" s="35"/>
      <c r="D34" s="36"/>
      <c r="E34" s="37"/>
      <c r="F34" s="37"/>
      <c r="G34" s="38"/>
      <c r="H34" s="47"/>
      <c r="I34" s="47"/>
      <c r="J34" s="60"/>
      <c r="K34" s="51"/>
      <c r="L34" s="51"/>
      <c r="M34" s="75"/>
    </row>
    <row r="35" spans="1:13" ht="14.1" customHeight="1">
      <c r="A35" s="40">
        <v>17</v>
      </c>
      <c r="B35" s="49"/>
      <c r="C35" s="50"/>
      <c r="D35" s="93"/>
      <c r="E35" s="94"/>
      <c r="F35" s="94"/>
      <c r="G35" s="95"/>
      <c r="H35" s="51"/>
      <c r="I35" s="51"/>
      <c r="J35" s="39"/>
      <c r="K35" s="32"/>
      <c r="L35" s="32"/>
      <c r="M35" s="82"/>
    </row>
    <row r="36" spans="1:13" ht="14.1" customHeight="1">
      <c r="A36" s="40"/>
      <c r="B36" s="34"/>
      <c r="C36" s="35"/>
      <c r="D36" s="36"/>
      <c r="E36" s="37"/>
      <c r="F36" s="37"/>
      <c r="G36" s="38"/>
      <c r="H36" s="23"/>
      <c r="I36" s="23"/>
      <c r="J36" s="39"/>
      <c r="K36" s="32"/>
      <c r="L36" s="32"/>
      <c r="M36" s="82"/>
    </row>
    <row r="37" spans="1:13" ht="14.1" customHeight="1">
      <c r="A37" s="66">
        <v>18</v>
      </c>
      <c r="B37" s="105"/>
      <c r="C37" s="105"/>
      <c r="D37" s="99"/>
      <c r="E37" s="99"/>
      <c r="F37" s="99"/>
      <c r="G37" s="99"/>
      <c r="H37" s="47"/>
      <c r="I37" s="47"/>
      <c r="J37" s="100"/>
      <c r="K37" s="47"/>
      <c r="L37" s="47"/>
      <c r="M37" s="104"/>
    </row>
    <row r="38" spans="1:13" ht="14.1" customHeight="1" thickBot="1">
      <c r="A38" s="41"/>
      <c r="B38" s="132"/>
      <c r="C38" s="132"/>
      <c r="D38" s="29"/>
      <c r="E38" s="30"/>
      <c r="F38" s="30"/>
      <c r="G38" s="31"/>
      <c r="H38" s="48"/>
      <c r="I38" s="48"/>
      <c r="J38" s="110"/>
      <c r="K38" s="48"/>
      <c r="L38" s="48"/>
      <c r="M38" s="109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H5:H6"/>
    <mergeCell ref="I5:I6"/>
    <mergeCell ref="J5:J6"/>
    <mergeCell ref="I7:I8"/>
    <mergeCell ref="J7:J8"/>
    <mergeCell ref="B6:C6"/>
    <mergeCell ref="D6:G6"/>
    <mergeCell ref="L3:L4"/>
    <mergeCell ref="B7:C7"/>
    <mergeCell ref="D7:G7"/>
    <mergeCell ref="H7:H8"/>
    <mergeCell ref="M3:M4"/>
    <mergeCell ref="B4:C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4:G4"/>
    <mergeCell ref="A5:A6"/>
    <mergeCell ref="B5:C5"/>
    <mergeCell ref="D5:G5"/>
    <mergeCell ref="K5:K6"/>
    <mergeCell ref="L5:L6"/>
    <mergeCell ref="M5:M6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B30:C30"/>
    <mergeCell ref="D30:G30"/>
    <mergeCell ref="A29:A30"/>
    <mergeCell ref="B29:C29"/>
    <mergeCell ref="D29:G29"/>
    <mergeCell ref="H29:H30"/>
    <mergeCell ref="I29:I30"/>
    <mergeCell ref="J29:J30"/>
    <mergeCell ref="B28:C28"/>
    <mergeCell ref="D28:G28"/>
    <mergeCell ref="A27:A28"/>
    <mergeCell ref="B27:C27"/>
    <mergeCell ref="D27:G27"/>
    <mergeCell ref="H27:H28"/>
    <mergeCell ref="I27:I28"/>
    <mergeCell ref="J27:J28"/>
    <mergeCell ref="H33:H34"/>
    <mergeCell ref="I33:I34"/>
    <mergeCell ref="J33:J34"/>
    <mergeCell ref="B32:C32"/>
    <mergeCell ref="D32:G32"/>
    <mergeCell ref="A31:A32"/>
    <mergeCell ref="B31:C31"/>
    <mergeCell ref="D31:G31"/>
    <mergeCell ref="H31:H32"/>
    <mergeCell ref="I31:I32"/>
    <mergeCell ref="J31:J32"/>
    <mergeCell ref="B38:C38"/>
    <mergeCell ref="D38:G38"/>
    <mergeCell ref="K33:K34"/>
    <mergeCell ref="L33:L34"/>
    <mergeCell ref="M33:M34"/>
    <mergeCell ref="B34:C34"/>
    <mergeCell ref="D34:G34"/>
    <mergeCell ref="A37:A38"/>
    <mergeCell ref="B37:C37"/>
    <mergeCell ref="D37:G37"/>
    <mergeCell ref="H37:H38"/>
    <mergeCell ref="I37:I38"/>
    <mergeCell ref="J37:J38"/>
    <mergeCell ref="B36:C36"/>
    <mergeCell ref="D36:G36"/>
    <mergeCell ref="A35:A36"/>
    <mergeCell ref="B35:C35"/>
    <mergeCell ref="D35:G35"/>
    <mergeCell ref="H35:H36"/>
    <mergeCell ref="I35:I36"/>
    <mergeCell ref="J35:J36"/>
    <mergeCell ref="A33:A34"/>
    <mergeCell ref="B33:C33"/>
    <mergeCell ref="D33:G33"/>
    <mergeCell ref="K29:K30"/>
    <mergeCell ref="L29:L30"/>
    <mergeCell ref="M29:M30"/>
    <mergeCell ref="K27:K28"/>
    <mergeCell ref="L27:L28"/>
    <mergeCell ref="M27:M28"/>
    <mergeCell ref="K25:K26"/>
    <mergeCell ref="L25:L26"/>
    <mergeCell ref="K37:K38"/>
    <mergeCell ref="L37:L38"/>
    <mergeCell ref="M37:M38"/>
    <mergeCell ref="M25:M26"/>
    <mergeCell ref="K35:K36"/>
    <mergeCell ref="L35:L36"/>
    <mergeCell ref="M35:M36"/>
    <mergeCell ref="K31:K32"/>
    <mergeCell ref="L31:L32"/>
    <mergeCell ref="M31:M32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1271-894B-4589-91C8-7BB98077640C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658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36.1</v>
      </c>
      <c r="I3" s="51">
        <f>SUM(J3)-3.5</f>
        <v>39.6</v>
      </c>
      <c r="J3" s="60">
        <v>43.1</v>
      </c>
      <c r="K3" s="51">
        <f>SUM(J3)+3</f>
        <v>46.1</v>
      </c>
      <c r="L3" s="51">
        <f>SUM(K3)+3</f>
        <v>49.1</v>
      </c>
      <c r="M3" s="84">
        <f>SUM(L3)+3</f>
        <v>52.1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24.1</v>
      </c>
      <c r="I5" s="51">
        <f>SUM(J5)-2</f>
        <v>26.1</v>
      </c>
      <c r="J5" s="60">
        <v>28.1</v>
      </c>
      <c r="K5" s="51">
        <f>SUM(J5)+1.8</f>
        <v>29.900000000000002</v>
      </c>
      <c r="L5" s="51">
        <f t="shared" ref="L5:M5" si="0">SUM(K5)+1.8</f>
        <v>31.700000000000003</v>
      </c>
      <c r="M5" s="75">
        <f t="shared" si="0"/>
        <v>33.5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28.5</v>
      </c>
      <c r="I7" s="51">
        <f>SUM(J7)-2.25</f>
        <v>30.75</v>
      </c>
      <c r="J7" s="60">
        <v>33</v>
      </c>
      <c r="K7" s="51">
        <f>SUM(J7)+2</f>
        <v>35</v>
      </c>
      <c r="L7" s="51">
        <f>SUM(K7)+2</f>
        <v>37</v>
      </c>
      <c r="M7" s="75">
        <f>SUM(L7)+2</f>
        <v>39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28.5</v>
      </c>
      <c r="I9" s="51">
        <f>SUM(J9)-2.25</f>
        <v>30.75</v>
      </c>
      <c r="J9" s="60">
        <v>33</v>
      </c>
      <c r="K9" s="51">
        <f>SUM(J9)+2</f>
        <v>35</v>
      </c>
      <c r="L9" s="51">
        <f>SUM(K9)+2</f>
        <v>37</v>
      </c>
      <c r="M9" s="75">
        <f>SUM(L9)+2</f>
        <v>39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12.799999999999999</v>
      </c>
      <c r="I11" s="51">
        <f>SUM(J11)-0.8</f>
        <v>13.6</v>
      </c>
      <c r="J11" s="39">
        <v>14.4</v>
      </c>
      <c r="K11" s="32">
        <f>SUM(J11)+0.8</f>
        <v>15.200000000000001</v>
      </c>
      <c r="L11" s="32">
        <f>SUM(K11)+0.8</f>
        <v>16</v>
      </c>
      <c r="M11" s="82">
        <f>SUM(L11)+0.8</f>
        <v>16.8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10.8</v>
      </c>
      <c r="I13" s="51">
        <f>SUM(J13)-0.6</f>
        <v>11.4</v>
      </c>
      <c r="J13" s="39">
        <v>12</v>
      </c>
      <c r="K13" s="32">
        <f>SUM(J13)+0.6</f>
        <v>12.6</v>
      </c>
      <c r="L13" s="32">
        <f>SUM(K13)+0.6</f>
        <v>13.2</v>
      </c>
      <c r="M13" s="82">
        <f>SUM(L13)+0.6</f>
        <v>13.799999999999999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5.6000000000000005</v>
      </c>
      <c r="I15" s="51">
        <f>SUM(J15)-0.3</f>
        <v>5.9</v>
      </c>
      <c r="J15" s="39">
        <v>6.2</v>
      </c>
      <c r="K15" s="32">
        <f>SUM(J15)+0.3</f>
        <v>6.5</v>
      </c>
      <c r="L15" s="32">
        <f>SUM(K15)+0.3</f>
        <v>6.8</v>
      </c>
      <c r="M15" s="82">
        <f>SUM(L15)+0.3</f>
        <v>7.1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32.799999999999997</v>
      </c>
      <c r="I17" s="51">
        <f>SUM(J17)-1.6</f>
        <v>34.4</v>
      </c>
      <c r="J17" s="39">
        <v>36</v>
      </c>
      <c r="K17" s="32">
        <f>SUM(J17)+1.6</f>
        <v>37.6</v>
      </c>
      <c r="L17" s="32">
        <f>SUM(K17)+1.6</f>
        <v>39.200000000000003</v>
      </c>
      <c r="M17" s="82">
        <f>SUM(L17)+1.6</f>
        <v>40.800000000000004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SUM(I19)-3.5</f>
        <v>32</v>
      </c>
      <c r="I19" s="51">
        <f>SUM(J19)-3.5</f>
        <v>35.5</v>
      </c>
      <c r="J19" s="60">
        <v>39</v>
      </c>
      <c r="K19" s="51">
        <f>SUM(J19)+3.6</f>
        <v>42.6</v>
      </c>
      <c r="L19" s="51">
        <f t="shared" ref="L19:M19" si="1">SUM(K19)+3.6</f>
        <v>46.2</v>
      </c>
      <c r="M19" s="75">
        <f t="shared" si="1"/>
        <v>49.800000000000004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SUM(I21)-1.3</f>
        <v>19.799999999999997</v>
      </c>
      <c r="I21" s="51">
        <f>SUM(J21)-1.3</f>
        <v>21.099999999999998</v>
      </c>
      <c r="J21" s="39">
        <v>22.4</v>
      </c>
      <c r="K21" s="32">
        <f>SUM(J21)+1.3</f>
        <v>23.7</v>
      </c>
      <c r="L21" s="32">
        <f t="shared" ref="L21:M21" si="2">SUM(K21)+1.3</f>
        <v>25</v>
      </c>
      <c r="M21" s="82">
        <f t="shared" si="2"/>
        <v>26.3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>SUM(K23)+0.7</f>
        <v>19.399999999999999</v>
      </c>
      <c r="M23" s="82">
        <f>SUM(L23)+0.7</f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148</v>
      </c>
      <c r="C25" s="50"/>
      <c r="D25" s="93"/>
      <c r="E25" s="94"/>
      <c r="F25" s="94"/>
      <c r="G25" s="95"/>
      <c r="H25" s="51">
        <f>SUM(I25)</f>
        <v>10.5</v>
      </c>
      <c r="I25" s="51">
        <f>SUM(J25)</f>
        <v>10.5</v>
      </c>
      <c r="J25" s="39">
        <v>10.5</v>
      </c>
      <c r="K25" s="32">
        <f>SUM(J25)+0.2</f>
        <v>10.7</v>
      </c>
      <c r="L25" s="32">
        <f>SUM(K25)+0.2</f>
        <v>10.899999999999999</v>
      </c>
      <c r="M25" s="82">
        <f>SUM(L25)+0.2</f>
        <v>11.099999999999998</v>
      </c>
    </row>
    <row r="26" spans="1:13" s="1" customFormat="1" ht="14.1" customHeight="1">
      <c r="A26" s="111"/>
      <c r="B26" s="34" t="s">
        <v>149</v>
      </c>
      <c r="C26" s="35"/>
      <c r="D26" s="36" t="s">
        <v>188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ht="14.1" customHeight="1">
      <c r="A27" s="40">
        <v>13</v>
      </c>
      <c r="B27" s="271"/>
      <c r="C27" s="136"/>
      <c r="D27" s="272"/>
      <c r="E27" s="273"/>
      <c r="F27" s="273"/>
      <c r="G27" s="274"/>
      <c r="H27" s="87"/>
      <c r="I27" s="87"/>
      <c r="J27" s="256"/>
      <c r="K27" s="255"/>
      <c r="L27" s="255"/>
      <c r="M27" s="33"/>
    </row>
    <row r="28" spans="1:13" ht="14.1" customHeight="1" thickBot="1">
      <c r="A28" s="41"/>
      <c r="B28" s="260"/>
      <c r="C28" s="261"/>
      <c r="D28" s="262"/>
      <c r="E28" s="263"/>
      <c r="F28" s="263"/>
      <c r="G28" s="264"/>
      <c r="H28" s="176"/>
      <c r="I28" s="176"/>
      <c r="J28" s="258"/>
      <c r="K28" s="259"/>
      <c r="L28" s="259"/>
      <c r="M28" s="26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7766-6FFA-4491-93F9-6E07026701DB}">
  <sheetPr>
    <tabColor theme="5"/>
    <pageSetUpPr fitToPage="1"/>
  </sheetPr>
  <dimension ref="A1:N51"/>
  <sheetViews>
    <sheetView zoomScale="110" zoomScaleNormal="110" workbookViewId="0">
      <selection activeCell="I7" sqref="I7:I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448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36</v>
      </c>
      <c r="I3" s="51">
        <f>SUM(J3)-3.5</f>
        <v>39.5</v>
      </c>
      <c r="J3" s="114">
        <v>43</v>
      </c>
      <c r="K3" s="168">
        <f>SUM(J3)+3</f>
        <v>46</v>
      </c>
      <c r="L3" s="168">
        <f>SUM(K3)+3</f>
        <v>49</v>
      </c>
      <c r="M3" s="169">
        <f>SUM(L3)+3</f>
        <v>52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75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34</v>
      </c>
      <c r="I5" s="51">
        <f>SUM(J5)-2</f>
        <v>36</v>
      </c>
      <c r="J5" s="60">
        <v>38</v>
      </c>
      <c r="K5" s="51">
        <f>SUM(J5)+1.8</f>
        <v>39.799999999999997</v>
      </c>
      <c r="L5" s="51">
        <f>SUM(K5)+1.8</f>
        <v>41.599999999999994</v>
      </c>
      <c r="M5" s="75">
        <f>SUM(L5)+1.8</f>
        <v>43.399999999999991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37.5</v>
      </c>
      <c r="I7" s="51">
        <f>SUM(J7)-2.25</f>
        <v>39.75</v>
      </c>
      <c r="J7" s="60">
        <v>42</v>
      </c>
      <c r="K7" s="51">
        <f>SUM(J7)+2</f>
        <v>44</v>
      </c>
      <c r="L7" s="51">
        <f>SUM(K7)+2</f>
        <v>46</v>
      </c>
      <c r="M7" s="75">
        <f>SUM(L7)+2</f>
        <v>48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29.4</v>
      </c>
      <c r="I9" s="51">
        <f>SUM(J9)-1.8</f>
        <v>31.2</v>
      </c>
      <c r="J9" s="60">
        <v>33</v>
      </c>
      <c r="K9" s="51">
        <f>SUM(J9)+1.6</f>
        <v>34.6</v>
      </c>
      <c r="L9" s="51">
        <f>SUM(K9)+1.6</f>
        <v>36.200000000000003</v>
      </c>
      <c r="M9" s="75">
        <f>SUM(L9)+1.6</f>
        <v>37.800000000000004</v>
      </c>
      <c r="N9" s="1" t="s">
        <v>173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14.5</v>
      </c>
      <c r="I11" s="51">
        <f>SUM(J11)-0.8</f>
        <v>15.3</v>
      </c>
      <c r="J11" s="39">
        <v>16.100000000000001</v>
      </c>
      <c r="K11" s="32">
        <f>SUM(J11)+0.8</f>
        <v>16.900000000000002</v>
      </c>
      <c r="L11" s="32">
        <f>SUM(K11)+0.8</f>
        <v>17.700000000000003</v>
      </c>
      <c r="M11" s="82">
        <f>SUM(L11)+0.8</f>
        <v>18.500000000000004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14.8</v>
      </c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82">
        <f>SUM(L13)+0.6</f>
        <v>17.800000000000004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6.6000000000000005</v>
      </c>
      <c r="I15" s="51">
        <f>SUM(J15)-0.3</f>
        <v>6.9</v>
      </c>
      <c r="J15" s="39">
        <v>7.2</v>
      </c>
      <c r="K15" s="32">
        <f>SUM(J15)+0.3</f>
        <v>7.5</v>
      </c>
      <c r="L15" s="32">
        <f>SUM(K15)+0.3</f>
        <v>7.8</v>
      </c>
      <c r="M15" s="82">
        <f>SUM(L15)+0.3</f>
        <v>8.1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40.799999999999997</v>
      </c>
      <c r="I17" s="51">
        <f>SUM(J17)-1.6</f>
        <v>42.4</v>
      </c>
      <c r="J17" s="39">
        <v>44</v>
      </c>
      <c r="K17" s="32">
        <f>SUM(J17)+1.6</f>
        <v>45.6</v>
      </c>
      <c r="L17" s="32">
        <f>SUM(K17)+1.6</f>
        <v>47.2</v>
      </c>
      <c r="M17" s="82">
        <f>SUM(L17)+1.6</f>
        <v>48.800000000000004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SUM(I19)-3.5</f>
        <v>28</v>
      </c>
      <c r="I19" s="51">
        <f>SUM(J19)-3.5</f>
        <v>31.5</v>
      </c>
      <c r="J19" s="39">
        <v>35</v>
      </c>
      <c r="K19" s="32">
        <f>SUM(J19)+3.6</f>
        <v>38.6</v>
      </c>
      <c r="L19" s="32">
        <f>SUM(K19)+3.6</f>
        <v>42.2</v>
      </c>
      <c r="M19" s="82">
        <f>SUM(L19)+3.6</f>
        <v>45.800000000000004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27</v>
      </c>
      <c r="I21" s="51">
        <f>SUM(J21)-1.5</f>
        <v>28.5</v>
      </c>
      <c r="J21" s="39">
        <v>30</v>
      </c>
      <c r="K21" s="32">
        <f>SUM(J21)+1.5</f>
        <v>31.5</v>
      </c>
      <c r="L21" s="32">
        <f>SUM(K21)+1.5</f>
        <v>33</v>
      </c>
      <c r="M21" s="82">
        <f>SUM(L21)+1.5</f>
        <v>34.5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82">
        <f>SUM(L23)+0.6</f>
        <v>17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SUM(I25)-0.3</f>
        <v>3.9000000000000004</v>
      </c>
      <c r="I25" s="51">
        <f>SUM(J25)-0.3</f>
        <v>4.2</v>
      </c>
      <c r="J25" s="39">
        <v>4.5</v>
      </c>
      <c r="K25" s="32">
        <f>SUM(J25)+0.3</f>
        <v>4.8</v>
      </c>
      <c r="L25" s="32">
        <f>SUM(K25)+0.3</f>
        <v>5.0999999999999996</v>
      </c>
      <c r="M25" s="82">
        <f>SUM(L25)+0.3</f>
        <v>5.3999999999999995</v>
      </c>
    </row>
    <row r="26" spans="1:13" s="1" customFormat="1" ht="14.1" customHeight="1">
      <c r="A26" s="40"/>
      <c r="B26" s="34" t="s">
        <v>140</v>
      </c>
      <c r="C26" s="35"/>
      <c r="D26" s="36" t="s">
        <v>395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s="1" customFormat="1" ht="14.1" customHeight="1">
      <c r="A28" s="40"/>
      <c r="B28" s="34"/>
      <c r="C28" s="35"/>
      <c r="D28" s="36"/>
      <c r="E28" s="37"/>
      <c r="F28" s="37"/>
      <c r="G28" s="38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82"/>
    </row>
    <row r="30" spans="1:13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82"/>
    </row>
    <row r="31" spans="1:13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3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82"/>
    </row>
    <row r="34" spans="1:13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82"/>
    </row>
    <row r="35" spans="1:13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82"/>
    </row>
    <row r="36" spans="1:13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92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906E-B340-4762-AB1F-9468C71FF229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659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40</v>
      </c>
      <c r="I3" s="51">
        <f>SUM(J3)-3.5</f>
        <v>43.5</v>
      </c>
      <c r="J3" s="60">
        <v>47</v>
      </c>
      <c r="K3" s="51">
        <f>SUM(J3)+3</f>
        <v>50</v>
      </c>
      <c r="L3" s="51">
        <f t="shared" ref="L3:M3" si="0">SUM(K3)+3</f>
        <v>53</v>
      </c>
      <c r="M3" s="75">
        <f t="shared" si="0"/>
        <v>56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37.999999999999993</v>
      </c>
      <c r="I5" s="51">
        <f>SUM(J5)-2.2</f>
        <v>40.199999999999996</v>
      </c>
      <c r="J5" s="60">
        <v>42.4</v>
      </c>
      <c r="K5" s="51">
        <f>SUM(J5)+2</f>
        <v>44.4</v>
      </c>
      <c r="L5" s="51">
        <f t="shared" ref="L5:M5" si="1">SUM(K5)+2</f>
        <v>46.4</v>
      </c>
      <c r="M5" s="75">
        <f t="shared" si="1"/>
        <v>48.4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38.5</v>
      </c>
      <c r="I7" s="51">
        <f>SUM(J7)-2.25</f>
        <v>40.75</v>
      </c>
      <c r="J7" s="60">
        <v>43</v>
      </c>
      <c r="K7" s="51">
        <f>SUM(J7)+2</f>
        <v>45</v>
      </c>
      <c r="L7" s="51">
        <f>SUM(K7)+2</f>
        <v>47</v>
      </c>
      <c r="M7" s="75">
        <f>SUM(L7)+2</f>
        <v>49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38.5</v>
      </c>
      <c r="I9" s="51">
        <f>SUM(J9)-2.25</f>
        <v>40.75</v>
      </c>
      <c r="J9" s="60">
        <v>43</v>
      </c>
      <c r="K9" s="51">
        <f>SUM(J9)+2</f>
        <v>45</v>
      </c>
      <c r="L9" s="51">
        <f t="shared" ref="L9:M9" si="2">SUM(K9)+2</f>
        <v>47</v>
      </c>
      <c r="M9" s="75">
        <f t="shared" si="2"/>
        <v>49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13.399999999999999</v>
      </c>
      <c r="I11" s="51">
        <f>SUM(J11)-0.8</f>
        <v>14.2</v>
      </c>
      <c r="J11" s="39">
        <v>15</v>
      </c>
      <c r="K11" s="32">
        <f>SUM(J11)+0.8</f>
        <v>15.8</v>
      </c>
      <c r="L11" s="32">
        <f>SUM(K11)+0.8</f>
        <v>16.600000000000001</v>
      </c>
      <c r="M11" s="82">
        <f>SUM(L11)+0.8</f>
        <v>17.400000000000002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14.100000000000001</v>
      </c>
      <c r="I13" s="51">
        <f>SUM(J13)-0.6</f>
        <v>14.700000000000001</v>
      </c>
      <c r="J13" s="39">
        <v>15.3</v>
      </c>
      <c r="K13" s="32">
        <f>SUM(J13)+0.6</f>
        <v>15.9</v>
      </c>
      <c r="L13" s="32">
        <f>SUM(K13)+0.6</f>
        <v>16.5</v>
      </c>
      <c r="M13" s="82">
        <f>SUM(L13)+0.6</f>
        <v>17.100000000000001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6.2</v>
      </c>
      <c r="I15" s="51">
        <f>SUM(J15)-0.3</f>
        <v>6.5</v>
      </c>
      <c r="J15" s="39">
        <v>6.8</v>
      </c>
      <c r="K15" s="32">
        <f>SUM(J15)+0.3</f>
        <v>7.1</v>
      </c>
      <c r="L15" s="32">
        <f>SUM(K15)+0.3</f>
        <v>7.3999999999999995</v>
      </c>
      <c r="M15" s="82">
        <f>SUM(L15)+0.3</f>
        <v>7.6999999999999993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37.4</v>
      </c>
      <c r="I17" s="51">
        <f>SUM(J17)-1.6</f>
        <v>39</v>
      </c>
      <c r="J17" s="39">
        <v>40.6</v>
      </c>
      <c r="K17" s="32">
        <f>SUM(J17)+1.6</f>
        <v>42.2</v>
      </c>
      <c r="L17" s="32">
        <f>SUM(K17)+1.6</f>
        <v>43.800000000000004</v>
      </c>
      <c r="M17" s="82">
        <f>SUM(L17)+1.6</f>
        <v>45.400000000000006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25.300000000000004</v>
      </c>
      <c r="I19" s="51">
        <f>SUM(J19)-3.4</f>
        <v>28.700000000000003</v>
      </c>
      <c r="J19" s="60">
        <v>32.1</v>
      </c>
      <c r="K19" s="51">
        <f>SUM(J19)+3.5</f>
        <v>35.6</v>
      </c>
      <c r="L19" s="51">
        <f t="shared" ref="L19:M19" si="3">SUM(K19)+3.5</f>
        <v>39.1</v>
      </c>
      <c r="M19" s="75">
        <f t="shared" si="3"/>
        <v>42.6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25</v>
      </c>
      <c r="I21" s="51">
        <f>SUM(J21)-1.5</f>
        <v>26.5</v>
      </c>
      <c r="J21" s="39">
        <v>28</v>
      </c>
      <c r="K21" s="32">
        <f>SUM(J21)+1.5</f>
        <v>29.5</v>
      </c>
      <c r="L21" s="32">
        <f t="shared" ref="L21:M21" si="4">SUM(K21)+1.5</f>
        <v>31</v>
      </c>
      <c r="M21" s="82">
        <f t="shared" si="4"/>
        <v>32.5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 t="shared" ref="L23:M23" si="5">SUM(K23)+0.7</f>
        <v>19.399999999999999</v>
      </c>
      <c r="M23" s="82">
        <f t="shared" si="5"/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SUM(I25)-0.2</f>
        <v>3.5999999999999996</v>
      </c>
      <c r="I25" s="51">
        <f>SUM(J25)-0.2</f>
        <v>3.8</v>
      </c>
      <c r="J25" s="39">
        <v>4</v>
      </c>
      <c r="K25" s="32">
        <f>SUM(J25)+0.2</f>
        <v>4.2</v>
      </c>
      <c r="L25" s="32">
        <f t="shared" ref="L25:M25" si="6">SUM(K25)+0.2</f>
        <v>4.4000000000000004</v>
      </c>
      <c r="M25" s="82">
        <f t="shared" si="6"/>
        <v>4.6000000000000005</v>
      </c>
    </row>
    <row r="26" spans="1:13" s="1" customFormat="1" ht="14.1" customHeight="1">
      <c r="A26" s="111"/>
      <c r="B26" s="34" t="s">
        <v>140</v>
      </c>
      <c r="C26" s="35"/>
      <c r="D26" s="67" t="s">
        <v>598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4C8E-83F7-4BF3-8CCE-110D1CBFF07E}">
  <sheetPr>
    <tabColor theme="5"/>
    <pageSetUpPr fitToPage="1"/>
  </sheetPr>
  <dimension ref="A1:N51"/>
  <sheetViews>
    <sheetView zoomScale="110" zoomScaleNormal="110" workbookViewId="0">
      <selection activeCell="J13" sqref="J13:J1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50" t="s">
        <v>453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2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154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147</v>
      </c>
      <c r="E3" s="102"/>
      <c r="F3" s="102"/>
      <c r="G3" s="103"/>
      <c r="H3" s="51">
        <f>SUM(I3)-3.5</f>
        <v>38</v>
      </c>
      <c r="I3" s="51">
        <f>SUM(J3)-3.5</f>
        <v>41.5</v>
      </c>
      <c r="J3" s="114">
        <v>45</v>
      </c>
      <c r="K3" s="168">
        <f>SUM(J3)+3</f>
        <v>48</v>
      </c>
      <c r="L3" s="168">
        <f>SUM(K3)+3</f>
        <v>51</v>
      </c>
      <c r="M3" s="168">
        <f>SUM(L3)+3</f>
        <v>54</v>
      </c>
      <c r="N3" s="251">
        <f>SUM(M3)+3</f>
        <v>57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51"/>
      <c r="N4" s="123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26.4</v>
      </c>
      <c r="I5" s="51">
        <f>SUM(J5)-1.8</f>
        <v>28.2</v>
      </c>
      <c r="J5" s="60">
        <v>30</v>
      </c>
      <c r="K5" s="51">
        <f>SUM(J5)+1.6</f>
        <v>31.6</v>
      </c>
      <c r="L5" s="51">
        <f>SUM(K5)+1.6</f>
        <v>33.200000000000003</v>
      </c>
      <c r="M5" s="51">
        <f>SUM(L5)+1.6</f>
        <v>34.800000000000004</v>
      </c>
      <c r="N5" s="123">
        <f>SUM(M5)+1.6</f>
        <v>36.400000000000006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125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33</v>
      </c>
      <c r="I7" s="51">
        <f>SUM(J7)-2.25</f>
        <v>35.25</v>
      </c>
      <c r="J7" s="60">
        <v>37.5</v>
      </c>
      <c r="K7" s="51">
        <f>SUM(J7)+2</f>
        <v>39.5</v>
      </c>
      <c r="L7" s="51">
        <f>SUM(K7)+2</f>
        <v>41.5</v>
      </c>
      <c r="M7" s="51">
        <f>SUM(L7)+2</f>
        <v>43.5</v>
      </c>
      <c r="N7" s="123">
        <f>SUM(M7)+2</f>
        <v>45.5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1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33</v>
      </c>
      <c r="I9" s="51">
        <f>SUM(J9)-2.25</f>
        <v>35.25</v>
      </c>
      <c r="J9" s="60">
        <v>37.5</v>
      </c>
      <c r="K9" s="51">
        <f>SUM(J9)+2</f>
        <v>39.5</v>
      </c>
      <c r="L9" s="51">
        <f>SUM(K9)+2</f>
        <v>41.5</v>
      </c>
      <c r="M9" s="51">
        <f>SUM(L9)+2</f>
        <v>43.5</v>
      </c>
      <c r="N9" s="123">
        <f>SUM(M9)+2</f>
        <v>45.5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125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13.499999999999998</v>
      </c>
      <c r="I11" s="51">
        <f>SUM(J11)-0.8</f>
        <v>14.299999999999999</v>
      </c>
      <c r="J11" s="39">
        <v>15.1</v>
      </c>
      <c r="K11" s="32">
        <f>SUM(J11)+0.9</f>
        <v>16</v>
      </c>
      <c r="L11" s="32">
        <f>SUM(K11)+0.8</f>
        <v>16.8</v>
      </c>
      <c r="M11" s="32">
        <f>SUM(L11)+0.9</f>
        <v>17.7</v>
      </c>
      <c r="N11" s="126">
        <f>SUM(M11)+0.9</f>
        <v>18.599999999999998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126"/>
    </row>
    <row r="13" spans="1:14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15.6</v>
      </c>
      <c r="I13" s="51">
        <f>SUM(J13)-0.6</f>
        <v>16.2</v>
      </c>
      <c r="J13" s="39">
        <v>16.8</v>
      </c>
      <c r="K13" s="32">
        <f>SUM(J13)+0.6</f>
        <v>17.400000000000002</v>
      </c>
      <c r="L13" s="32">
        <f>SUM(K13)+0.6</f>
        <v>18.000000000000004</v>
      </c>
      <c r="M13" s="32">
        <f>SUM(L13)+0.6</f>
        <v>18.600000000000005</v>
      </c>
      <c r="N13" s="126">
        <f>SUM(M13)+0.6</f>
        <v>19.200000000000006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12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32">
        <f>SUM(L15)+0.3</f>
        <v>7.3</v>
      </c>
      <c r="N15" s="126">
        <f>SUM(M15)+0.3</f>
        <v>7.6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12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32">
        <f>SUM(L17)+1.6</f>
        <v>46.800000000000004</v>
      </c>
      <c r="N17" s="126">
        <f>SUM(M17)+1.6</f>
        <v>48.400000000000006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12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30.799999999999997</v>
      </c>
      <c r="I19" s="51">
        <f>SUM(J19)-3.6</f>
        <v>34.4</v>
      </c>
      <c r="J19" s="39">
        <v>38</v>
      </c>
      <c r="K19" s="32">
        <f>SUM(J19)+3.7</f>
        <v>41.7</v>
      </c>
      <c r="L19" s="32">
        <f>SUM(K19)+3.7</f>
        <v>45.400000000000006</v>
      </c>
      <c r="M19" s="32">
        <f>SUM(L19)+3.7</f>
        <v>49.100000000000009</v>
      </c>
      <c r="N19" s="126">
        <f>SUM(M19)+3.7</f>
        <v>52.800000000000011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12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23.4</v>
      </c>
      <c r="I21" s="51">
        <f>SUM(J21)-1.5</f>
        <v>24.9</v>
      </c>
      <c r="J21" s="39">
        <v>26.4</v>
      </c>
      <c r="K21" s="32">
        <f>SUM(J21)+1.5</f>
        <v>27.9</v>
      </c>
      <c r="L21" s="32">
        <f>SUM(K21)+1.5</f>
        <v>29.4</v>
      </c>
      <c r="M21" s="32">
        <f>SUM(L21)+1.5</f>
        <v>30.9</v>
      </c>
      <c r="N21" s="126">
        <f>SUM(M21)+1.5</f>
        <v>32.4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126"/>
    </row>
    <row r="23" spans="1:14" s="1" customFormat="1" ht="14.1" customHeight="1">
      <c r="A23" s="40">
        <v>11</v>
      </c>
      <c r="B23" s="49" t="s">
        <v>68</v>
      </c>
      <c r="C23" s="50"/>
      <c r="D23" s="55" t="s">
        <v>69</v>
      </c>
      <c r="E23" s="55"/>
      <c r="F23" s="55"/>
      <c r="G23" s="55"/>
      <c r="H23" s="51">
        <f>SUM(I23)-0.6</f>
        <v>16.799999999999997</v>
      </c>
      <c r="I23" s="51">
        <f>SUM(J23)-0.6</f>
        <v>17.399999999999999</v>
      </c>
      <c r="J23" s="39">
        <v>18</v>
      </c>
      <c r="K23" s="32">
        <f>SUM(J23)+0.6</f>
        <v>18.600000000000001</v>
      </c>
      <c r="L23" s="32">
        <f>SUM(K23)+0.6</f>
        <v>19.200000000000003</v>
      </c>
      <c r="M23" s="32">
        <f>SUM(L23)+0.6</f>
        <v>19.800000000000004</v>
      </c>
      <c r="N23" s="126">
        <f>SUM(M23)+0.6</f>
        <v>20.400000000000006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126"/>
    </row>
    <row r="25" spans="1:14" s="1" customFormat="1" ht="14.1" customHeight="1">
      <c r="A25" s="40">
        <v>12</v>
      </c>
      <c r="B25" s="49" t="s">
        <v>141</v>
      </c>
      <c r="C25" s="50"/>
      <c r="D25" s="93"/>
      <c r="E25" s="94"/>
      <c r="F25" s="94"/>
      <c r="G25" s="95"/>
      <c r="H25" s="51">
        <f>SUM(I25)-0.3</f>
        <v>3.4000000000000004</v>
      </c>
      <c r="I25" s="51">
        <f>SUM(J25)-0.3</f>
        <v>3.7</v>
      </c>
      <c r="J25" s="39">
        <v>4</v>
      </c>
      <c r="K25" s="32">
        <f>SUM(J25)+0.3</f>
        <v>4.3</v>
      </c>
      <c r="L25" s="32">
        <f>SUM(K25)+0.3</f>
        <v>4.5999999999999996</v>
      </c>
      <c r="M25" s="32">
        <f>SUM(L25)+0.3</f>
        <v>4.8999999999999995</v>
      </c>
      <c r="N25" s="126">
        <f>SUM(M25)+0.3</f>
        <v>5.1999999999999993</v>
      </c>
    </row>
    <row r="26" spans="1:14" s="1" customFormat="1" ht="14.1" customHeight="1">
      <c r="A26" s="40"/>
      <c r="B26" s="34" t="s">
        <v>140</v>
      </c>
      <c r="C26" s="35"/>
      <c r="D26" s="36" t="s">
        <v>395</v>
      </c>
      <c r="E26" s="37"/>
      <c r="F26" s="37"/>
      <c r="G26" s="38"/>
      <c r="H26" s="23"/>
      <c r="I26" s="23"/>
      <c r="J26" s="39"/>
      <c r="K26" s="32"/>
      <c r="L26" s="32"/>
      <c r="M26" s="32"/>
      <c r="N26" s="126"/>
    </row>
    <row r="27" spans="1:14" s="1" customFormat="1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126"/>
    </row>
    <row r="28" spans="1:14" s="1" customFormat="1" ht="14.1" customHeight="1">
      <c r="A28" s="40"/>
      <c r="B28" s="34"/>
      <c r="C28" s="35"/>
      <c r="D28" s="36"/>
      <c r="E28" s="37"/>
      <c r="F28" s="37"/>
      <c r="G28" s="38"/>
      <c r="H28" s="23"/>
      <c r="I28" s="23"/>
      <c r="J28" s="39"/>
      <c r="K28" s="32"/>
      <c r="L28" s="32"/>
      <c r="M28" s="32"/>
      <c r="N28" s="126"/>
    </row>
    <row r="29" spans="1:14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32"/>
      <c r="N29" s="126"/>
    </row>
    <row r="30" spans="1:14" s="1" customFormat="1" ht="13.5" customHeight="1">
      <c r="A30" s="40"/>
      <c r="B30" s="34"/>
      <c r="C30" s="35"/>
      <c r="D30" s="36"/>
      <c r="E30" s="37"/>
      <c r="F30" s="37"/>
      <c r="G30" s="38"/>
      <c r="H30" s="23"/>
      <c r="I30" s="23"/>
      <c r="J30" s="39"/>
      <c r="K30" s="32"/>
      <c r="L30" s="32"/>
      <c r="M30" s="32"/>
      <c r="N30" s="126"/>
    </row>
    <row r="31" spans="1:14" ht="13.5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32"/>
      <c r="N31" s="126"/>
    </row>
    <row r="32" spans="1:14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32"/>
      <c r="N32" s="126"/>
    </row>
    <row r="33" spans="1:14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51"/>
      <c r="J33" s="39"/>
      <c r="K33" s="32"/>
      <c r="L33" s="32"/>
      <c r="M33" s="32"/>
      <c r="N33" s="126"/>
    </row>
    <row r="34" spans="1:14" ht="14.1" customHeight="1">
      <c r="A34" s="40"/>
      <c r="B34" s="34"/>
      <c r="C34" s="35"/>
      <c r="D34" s="36"/>
      <c r="E34" s="37"/>
      <c r="F34" s="37"/>
      <c r="G34" s="38"/>
      <c r="H34" s="23"/>
      <c r="I34" s="23"/>
      <c r="J34" s="60"/>
      <c r="K34" s="32"/>
      <c r="L34" s="32"/>
      <c r="M34" s="32"/>
      <c r="N34" s="126"/>
    </row>
    <row r="35" spans="1:14" ht="14.1" customHeight="1">
      <c r="A35" s="40">
        <v>17</v>
      </c>
      <c r="B35" s="53"/>
      <c r="C35" s="54"/>
      <c r="D35" s="44"/>
      <c r="E35" s="45"/>
      <c r="F35" s="45"/>
      <c r="G35" s="46"/>
      <c r="H35" s="51"/>
      <c r="I35" s="51"/>
      <c r="J35" s="39"/>
      <c r="K35" s="32"/>
      <c r="L35" s="32"/>
      <c r="M35" s="32"/>
      <c r="N35" s="126"/>
    </row>
    <row r="36" spans="1:14" ht="14.1" customHeight="1" thickBot="1">
      <c r="A36" s="41"/>
      <c r="B36" s="27"/>
      <c r="C36" s="28"/>
      <c r="D36" s="29"/>
      <c r="E36" s="30"/>
      <c r="F36" s="30"/>
      <c r="G36" s="31"/>
      <c r="H36" s="48"/>
      <c r="I36" s="48"/>
      <c r="J36" s="22"/>
      <c r="K36" s="24"/>
      <c r="L36" s="24"/>
      <c r="M36" s="24"/>
      <c r="N36" s="252"/>
    </row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7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8993-82FB-4CC8-BE3A-B61AAB9BAC21}">
  <sheetPr>
    <tabColor theme="5"/>
    <pageSetUpPr fitToPage="1"/>
  </sheetPr>
  <dimension ref="A1:N51"/>
  <sheetViews>
    <sheetView zoomScale="110" zoomScaleNormal="110" workbookViewId="0">
      <selection activeCell="H3" sqref="H3:H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32.5</v>
      </c>
      <c r="I3" s="51">
        <f>SUM(J3)-3</f>
        <v>35.5</v>
      </c>
      <c r="J3" s="60">
        <v>38.5</v>
      </c>
      <c r="K3" s="51">
        <f>SUM(J3)+2.5</f>
        <v>41</v>
      </c>
      <c r="L3" s="51">
        <f t="shared" ref="L3:M3" si="0">SUM(K3)+2.5</f>
        <v>43.5</v>
      </c>
      <c r="M3" s="75">
        <f t="shared" si="0"/>
        <v>46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 t="shared" ref="L5:M5" si="1">SUM(K5)+1.6</f>
        <v>28.200000000000003</v>
      </c>
      <c r="M5" s="75">
        <f t="shared" si="1"/>
        <v>29.800000000000004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26</v>
      </c>
      <c r="I7" s="51">
        <f>SUM(J7)-2</f>
        <v>28</v>
      </c>
      <c r="J7" s="60">
        <v>30</v>
      </c>
      <c r="K7" s="51">
        <f>SUM(J7)+1.8</f>
        <v>31.8</v>
      </c>
      <c r="L7" s="51">
        <f t="shared" ref="L7:M7" si="2">SUM(K7)+1.8</f>
        <v>33.6</v>
      </c>
      <c r="M7" s="75">
        <f t="shared" si="2"/>
        <v>35.4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26</v>
      </c>
      <c r="I9" s="51">
        <f>SUM(J9)-2</f>
        <v>28</v>
      </c>
      <c r="J9" s="60">
        <v>30</v>
      </c>
      <c r="K9" s="51">
        <f>SUM(J9)+1.8</f>
        <v>31.8</v>
      </c>
      <c r="L9" s="51">
        <f t="shared" ref="L9:M9" si="3">SUM(K9)+1.8</f>
        <v>33.6</v>
      </c>
      <c r="M9" s="75">
        <f t="shared" si="3"/>
        <v>35.4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11.999999999999998</v>
      </c>
      <c r="I11" s="51">
        <f>SUM(J11)-0.8</f>
        <v>12.799999999999999</v>
      </c>
      <c r="J11" s="39">
        <v>13.6</v>
      </c>
      <c r="K11" s="32">
        <f>SUM(J11)+0.8</f>
        <v>14.4</v>
      </c>
      <c r="L11" s="32">
        <f>SUM(K11)+0.8</f>
        <v>15.200000000000001</v>
      </c>
      <c r="M11" s="82">
        <f>SUM(L11)+0.8</f>
        <v>16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14.600000000000001</v>
      </c>
      <c r="I13" s="51">
        <f>SUM(J13)-0.6</f>
        <v>15.200000000000001</v>
      </c>
      <c r="J13" s="39">
        <v>15.8</v>
      </c>
      <c r="K13" s="32">
        <f>SUM(J13)+0.6</f>
        <v>16.400000000000002</v>
      </c>
      <c r="L13" s="32">
        <f>SUM(K13)+0.6</f>
        <v>17.000000000000004</v>
      </c>
      <c r="M13" s="82">
        <f>SUM(L13)+0.6</f>
        <v>17.600000000000005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5.9</v>
      </c>
      <c r="I15" s="51">
        <f>SUM(J15)-0.3</f>
        <v>6.2</v>
      </c>
      <c r="J15" s="39">
        <v>6.5</v>
      </c>
      <c r="K15" s="32">
        <f>SUM(J15)+0.3</f>
        <v>6.8</v>
      </c>
      <c r="L15" s="32">
        <f>SUM(K15)+0.3</f>
        <v>7.1</v>
      </c>
      <c r="M15" s="82">
        <f>SUM(L15)+0.3</f>
        <v>7.3999999999999995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34.799999999999997</v>
      </c>
      <c r="I17" s="51">
        <f>SUM(J17)-1.6</f>
        <v>36.4</v>
      </c>
      <c r="J17" s="39">
        <v>38</v>
      </c>
      <c r="K17" s="32">
        <f>SUM(J17)+1.6</f>
        <v>39.6</v>
      </c>
      <c r="L17" s="32">
        <f>SUM(K17)+1.6</f>
        <v>41.2</v>
      </c>
      <c r="M17" s="82">
        <f>SUM(L17)+1.6</f>
        <v>42.800000000000004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33.4</v>
      </c>
      <c r="I19" s="51">
        <f>SUM(J19)-3.6</f>
        <v>37</v>
      </c>
      <c r="J19" s="60">
        <v>40.6</v>
      </c>
      <c r="K19" s="51">
        <f>SUM(J19)+3.7</f>
        <v>44.300000000000004</v>
      </c>
      <c r="L19" s="51">
        <f t="shared" ref="L19:M19" si="4">SUM(K19)+3.7</f>
        <v>48.000000000000007</v>
      </c>
      <c r="M19" s="75">
        <f t="shared" si="4"/>
        <v>51.70000000000001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20.200000000000003</v>
      </c>
      <c r="I21" s="51">
        <f>SUM(J21)-1.4</f>
        <v>21.6</v>
      </c>
      <c r="J21" s="39">
        <v>23</v>
      </c>
      <c r="K21" s="32">
        <f>SUM(J21)+1.4</f>
        <v>24.4</v>
      </c>
      <c r="L21" s="32">
        <f t="shared" ref="L21:M21" si="5">SUM(K21)+1.4</f>
        <v>25.799999999999997</v>
      </c>
      <c r="M21" s="82">
        <f t="shared" si="5"/>
        <v>27.199999999999996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 t="shared" ref="L23:M23" si="6">SUM(K23)+0.7</f>
        <v>17.399999999999999</v>
      </c>
      <c r="M23" s="82">
        <f t="shared" si="6"/>
        <v>18.099999999999998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SUM(I25)-0.4</f>
        <v>3.6999999999999997</v>
      </c>
      <c r="I25" s="51">
        <f>SUM(J25)-0.4</f>
        <v>4.0999999999999996</v>
      </c>
      <c r="J25" s="39">
        <v>4.5</v>
      </c>
      <c r="K25" s="32">
        <f>SUM(J25)+0.4</f>
        <v>4.9000000000000004</v>
      </c>
      <c r="L25" s="32">
        <f t="shared" ref="L25:M25" si="7">SUM(K25)+0.4</f>
        <v>5.3000000000000007</v>
      </c>
      <c r="M25" s="82">
        <f t="shared" si="7"/>
        <v>5.7000000000000011</v>
      </c>
    </row>
    <row r="26" spans="1:13" s="1" customFormat="1" ht="14.1" customHeight="1">
      <c r="A26" s="111"/>
      <c r="B26" s="34" t="s">
        <v>140</v>
      </c>
      <c r="C26" s="35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EC5A-FD8C-4CB0-8D6D-5A438CDEC3B3}">
  <sheetPr>
    <tabColor theme="5"/>
    <pageSetUpPr fitToPage="1"/>
  </sheetPr>
  <dimension ref="A1:M51"/>
  <sheetViews>
    <sheetView zoomScale="110" zoomScaleNormal="110" workbookViewId="0">
      <selection activeCell="P26" sqref="P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701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</row>
    <row r="3" spans="1:13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38</v>
      </c>
      <c r="I3" s="51">
        <f>SUM(J3)-3.5</f>
        <v>41.5</v>
      </c>
      <c r="J3" s="60">
        <v>45</v>
      </c>
      <c r="K3" s="51">
        <f>SUM(J3)+3</f>
        <v>48</v>
      </c>
      <c r="L3" s="51">
        <f>SUM(K3)+3</f>
        <v>51</v>
      </c>
      <c r="M3" s="84">
        <f>SUM(L3)+3</f>
        <v>54</v>
      </c>
    </row>
    <row r="4" spans="1:13" s="1" customFormat="1" ht="14.1" customHeight="1">
      <c r="A4" s="66"/>
      <c r="B4" s="52" t="s">
        <v>38</v>
      </c>
      <c r="C4" s="52"/>
      <c r="D4" s="36" t="s">
        <v>601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45</v>
      </c>
      <c r="I5" s="51">
        <f>SUM(J5)-4.5</f>
        <v>49.5</v>
      </c>
      <c r="J5" s="39">
        <v>54</v>
      </c>
      <c r="K5" s="32">
        <f>SUM(J5)+4.5</f>
        <v>58.5</v>
      </c>
      <c r="L5" s="32">
        <f>SUM(K5)+4.5</f>
        <v>63</v>
      </c>
      <c r="M5" s="82">
        <f>SUM(L5)+4.5</f>
        <v>67.5</v>
      </c>
    </row>
    <row r="6" spans="1:13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32"/>
      <c r="M6" s="82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37.5</v>
      </c>
      <c r="I7" s="51">
        <f>SUM(J7)-2.25</f>
        <v>39.75</v>
      </c>
      <c r="J7" s="60">
        <v>42</v>
      </c>
      <c r="K7" s="51">
        <f>SUM(J7)+2</f>
        <v>44</v>
      </c>
      <c r="L7" s="51">
        <f>SUM(K7)+2</f>
        <v>46</v>
      </c>
      <c r="M7" s="75">
        <f>SUM(L7)+2</f>
        <v>48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28.4</v>
      </c>
      <c r="I9" s="51">
        <f>SUM(J9)-1.8</f>
        <v>30.2</v>
      </c>
      <c r="J9" s="60">
        <v>32</v>
      </c>
      <c r="K9" s="51">
        <f>SUM(J9)+1.6</f>
        <v>33.6</v>
      </c>
      <c r="L9" s="51">
        <f>SUM(K9)+1.6</f>
        <v>35.200000000000003</v>
      </c>
      <c r="M9" s="75">
        <f>SUM(L9)+1.6</f>
        <v>36.800000000000004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-1.6</v>
      </c>
      <c r="I11" s="87">
        <f>SUM(J11)-0.8</f>
        <v>-0.8</v>
      </c>
      <c r="J11" s="256"/>
      <c r="K11" s="255">
        <f>SUM(J11)+0.8</f>
        <v>0.8</v>
      </c>
      <c r="L11" s="255">
        <f>SUM(K11)+0.8</f>
        <v>1.6</v>
      </c>
      <c r="M11" s="33">
        <f>SUM(L11)+0.8</f>
        <v>2.4000000000000004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86"/>
      <c r="J12" s="256"/>
      <c r="K12" s="255"/>
      <c r="L12" s="255"/>
      <c r="M12" s="33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15.6</v>
      </c>
      <c r="I13" s="51">
        <f>SUM(J13)-0.6</f>
        <v>16.2</v>
      </c>
      <c r="J13" s="39">
        <v>16.8</v>
      </c>
      <c r="K13" s="32">
        <f>SUM(J13)+0.6</f>
        <v>17.400000000000002</v>
      </c>
      <c r="L13" s="32">
        <f>SUM(K13)+0.6</f>
        <v>18.000000000000004</v>
      </c>
      <c r="M13" s="82">
        <f>SUM(L13)+0.6</f>
        <v>18.600000000000005</v>
      </c>
    </row>
    <row r="14" spans="1:13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82">
        <f>SUM(L15)+0.3</f>
        <v>7.3</v>
      </c>
    </row>
    <row r="16" spans="1:13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82">
        <f>SUM(L17)+1.6</f>
        <v>46.800000000000004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SUM(I19)-3.5</f>
        <v>-7</v>
      </c>
      <c r="I19" s="87">
        <f>SUM(J19)-3.5</f>
        <v>-3.5</v>
      </c>
      <c r="J19" s="142"/>
      <c r="K19" s="87">
        <f>SUM(J19)+3.6</f>
        <v>3.6</v>
      </c>
      <c r="L19" s="87">
        <f t="shared" ref="L19:M19" si="0">SUM(K19)+3.6</f>
        <v>7.2</v>
      </c>
      <c r="M19" s="61">
        <f t="shared" si="0"/>
        <v>10.8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86"/>
      <c r="J20" s="143"/>
      <c r="K20" s="86"/>
      <c r="L20" s="86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30.099999999999994</v>
      </c>
      <c r="I21" s="51">
        <f>SUM(J21)-1.6</f>
        <v>31.699999999999996</v>
      </c>
      <c r="J21" s="39">
        <v>33.299999999999997</v>
      </c>
      <c r="K21" s="32">
        <f>SUM(J21)+1.7</f>
        <v>35</v>
      </c>
      <c r="L21" s="32">
        <f>SUM(K21)+1.7</f>
        <v>36.700000000000003</v>
      </c>
      <c r="M21" s="82">
        <f>SUM(L21)+1.7</f>
        <v>38.400000000000006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>SUM(K23)+0.6</f>
        <v>16.399999999999999</v>
      </c>
      <c r="M23" s="82">
        <f>SUM(L23)+0.6</f>
        <v>17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4.4000000000000004</v>
      </c>
      <c r="I25" s="51">
        <f>SUM(J25)-0.3</f>
        <v>4.7</v>
      </c>
      <c r="J25" s="39">
        <v>5</v>
      </c>
      <c r="K25" s="32">
        <f>SUM(J25)+0.3</f>
        <v>5.3</v>
      </c>
      <c r="L25" s="32">
        <f t="shared" ref="L25:M25" si="1">SUM(K25)+0.3</f>
        <v>5.6</v>
      </c>
      <c r="M25" s="82">
        <f t="shared" si="1"/>
        <v>5.8999999999999995</v>
      </c>
    </row>
    <row r="26" spans="1:13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56"/>
      <c r="C27" s="56"/>
      <c r="D27" s="55"/>
      <c r="E27" s="55"/>
      <c r="F27" s="55"/>
      <c r="G27" s="5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132"/>
      <c r="C28" s="132"/>
      <c r="D28" s="179"/>
      <c r="E28" s="253"/>
      <c r="F28" s="253"/>
      <c r="G28" s="254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2C62-A0AF-4D4D-93BA-69DF71CD0DD0}">
  <sheetPr>
    <tabColor theme="5"/>
    <pageSetUpPr fitToPage="1"/>
  </sheetPr>
  <dimension ref="A1:N51"/>
  <sheetViews>
    <sheetView zoomScale="110" zoomScaleNormal="110" workbookViewId="0">
      <selection sqref="A1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721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</v>
      </c>
      <c r="I3" s="51">
        <f>SUM(J3)-3.5</f>
        <v>39.5</v>
      </c>
      <c r="J3" s="60">
        <v>43</v>
      </c>
      <c r="K3" s="51">
        <f>SUM(J3)+3</f>
        <v>46</v>
      </c>
      <c r="L3" s="51">
        <f>SUM(K3)+3</f>
        <v>49</v>
      </c>
      <c r="M3" s="84">
        <f>SUM(L3)+3</f>
        <v>52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39.599999999999994</v>
      </c>
      <c r="I5" s="51">
        <f>SUM(J5)-2.2</f>
        <v>41.8</v>
      </c>
      <c r="J5" s="60">
        <v>44</v>
      </c>
      <c r="K5" s="51">
        <f>SUM(J5)+2</f>
        <v>46</v>
      </c>
      <c r="L5" s="51">
        <f t="shared" ref="L5:M5" si="0">SUM(K5)+2</f>
        <v>48</v>
      </c>
      <c r="M5" s="75">
        <f t="shared" si="0"/>
        <v>50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41.5</v>
      </c>
      <c r="I7" s="51">
        <f>SUM(J7)-2.25</f>
        <v>43.75</v>
      </c>
      <c r="J7" s="60">
        <v>46</v>
      </c>
      <c r="K7" s="51">
        <f>SUM(J7)+2</f>
        <v>48</v>
      </c>
      <c r="L7" s="51">
        <f>SUM(K7)+2</f>
        <v>50</v>
      </c>
      <c r="M7" s="75">
        <f>SUM(L7)+2</f>
        <v>52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32.400000000000006</v>
      </c>
      <c r="I9" s="51">
        <f>SUM(J9)-1.8</f>
        <v>34.200000000000003</v>
      </c>
      <c r="J9" s="60">
        <v>36</v>
      </c>
      <c r="K9" s="51">
        <f>SUM(J9)+1.6</f>
        <v>37.6</v>
      </c>
      <c r="L9" s="51">
        <f t="shared" ref="L9:M9" si="1">SUM(K9)+1.6</f>
        <v>39.200000000000003</v>
      </c>
      <c r="M9" s="75">
        <f t="shared" si="1"/>
        <v>40.800000000000004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16.399999999999999</v>
      </c>
      <c r="I11" s="51">
        <f>SUM(J11)-0.8</f>
        <v>17.2</v>
      </c>
      <c r="J11" s="39">
        <v>18</v>
      </c>
      <c r="K11" s="32">
        <f>SUM(J11)+0.8</f>
        <v>18.8</v>
      </c>
      <c r="L11" s="32">
        <f>SUM(K11)+0.8</f>
        <v>19.600000000000001</v>
      </c>
      <c r="M11" s="82">
        <f>SUM(L11)+0.8</f>
        <v>20.400000000000002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14.8</v>
      </c>
      <c r="I13" s="51">
        <f>SUM(J13)-0.6</f>
        <v>15.4</v>
      </c>
      <c r="J13" s="39">
        <v>16</v>
      </c>
      <c r="K13" s="32">
        <f>SUM(J13)+0.6</f>
        <v>16.600000000000001</v>
      </c>
      <c r="L13" s="32">
        <f>SUM(K13)+0.6</f>
        <v>17.200000000000003</v>
      </c>
      <c r="M13" s="82">
        <f>SUM(L13)+0.6</f>
        <v>17.800000000000004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6.6000000000000005</v>
      </c>
      <c r="I15" s="51">
        <f>SUM(J15)-0.3</f>
        <v>6.9</v>
      </c>
      <c r="J15" s="39">
        <v>7.2</v>
      </c>
      <c r="K15" s="32">
        <f>SUM(J15)+0.3</f>
        <v>7.5</v>
      </c>
      <c r="L15" s="32">
        <f>SUM(K15)+0.3</f>
        <v>7.8</v>
      </c>
      <c r="M15" s="82">
        <f>SUM(L15)+0.3</f>
        <v>8.1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82">
        <f>SUM(L17)+1.6</f>
        <v>46.800000000000004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25.200000000000003</v>
      </c>
      <c r="I19" s="51">
        <f>SUM(J19)-3.4</f>
        <v>28.6</v>
      </c>
      <c r="J19" s="60">
        <v>32</v>
      </c>
      <c r="K19" s="51">
        <f>SUM(J19)+3.5</f>
        <v>35.5</v>
      </c>
      <c r="L19" s="51">
        <f t="shared" ref="L19:M19" si="2">SUM(K19)+3.5</f>
        <v>39</v>
      </c>
      <c r="M19" s="75">
        <f t="shared" si="2"/>
        <v>42.5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32.199999999999996</v>
      </c>
      <c r="I21" s="51">
        <f>SUM(J21)-1.6</f>
        <v>33.799999999999997</v>
      </c>
      <c r="J21" s="39">
        <v>35.4</v>
      </c>
      <c r="K21" s="32">
        <f>SUM(J21)+1.6</f>
        <v>37</v>
      </c>
      <c r="L21" s="32">
        <f t="shared" ref="L21:M21" si="3">SUM(K21)+1.6</f>
        <v>38.6</v>
      </c>
      <c r="M21" s="82">
        <f t="shared" si="3"/>
        <v>40.200000000000003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 t="shared" ref="L23:M23" si="4">SUM(K23)+0.6</f>
        <v>16.399999999999999</v>
      </c>
      <c r="M23" s="82">
        <f t="shared" si="4"/>
        <v>17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SUM(I25)-0.2</f>
        <v>3.5999999999999996</v>
      </c>
      <c r="I25" s="51">
        <f>SUM(J25)-0.2</f>
        <v>3.8</v>
      </c>
      <c r="J25" s="39">
        <v>4</v>
      </c>
      <c r="K25" s="32">
        <f>SUM(J25)+0.2</f>
        <v>4.2</v>
      </c>
      <c r="L25" s="32">
        <f t="shared" ref="L25:M25" si="5">SUM(K25)+0.2</f>
        <v>4.4000000000000004</v>
      </c>
      <c r="M25" s="82">
        <f t="shared" si="5"/>
        <v>4.6000000000000005</v>
      </c>
    </row>
    <row r="26" spans="1:13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D083-B258-4F49-91CE-955BDC556AD9}">
  <sheetPr>
    <tabColor theme="5"/>
    <pageSetUpPr fitToPage="1"/>
  </sheetPr>
  <dimension ref="A1:M51"/>
  <sheetViews>
    <sheetView zoomScale="110" zoomScaleNormal="110" workbookViewId="0">
      <selection activeCell="M3" sqref="M3:M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8" t="s">
        <v>63</v>
      </c>
      <c r="J2" s="8" t="s">
        <v>64</v>
      </c>
      <c r="K2" s="5" t="s">
        <v>65</v>
      </c>
      <c r="L2" s="8" t="s">
        <v>66</v>
      </c>
      <c r="M2" s="8" t="s">
        <v>135</v>
      </c>
    </row>
    <row r="3" spans="1:13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SUM(I3)-2.5</f>
        <v>34</v>
      </c>
      <c r="I3" s="51">
        <f>SUM(J3)-3.5</f>
        <v>36.5</v>
      </c>
      <c r="J3" s="51">
        <f>SUM(K3)-3.5</f>
        <v>40</v>
      </c>
      <c r="K3" s="60">
        <v>43.5</v>
      </c>
      <c r="L3" s="51">
        <f>SUM(K3)+3</f>
        <v>46.5</v>
      </c>
      <c r="M3" s="61">
        <f>SUM(L3)+3</f>
        <v>49.5</v>
      </c>
    </row>
    <row r="4" spans="1:13" s="1" customFormat="1" ht="14.1" customHeight="1">
      <c r="A4" s="66"/>
      <c r="B4" s="52" t="s">
        <v>38</v>
      </c>
      <c r="C4" s="52"/>
      <c r="D4" s="36" t="s">
        <v>626</v>
      </c>
      <c r="E4" s="37"/>
      <c r="F4" s="37"/>
      <c r="G4" s="37"/>
      <c r="H4" s="23"/>
      <c r="I4" s="23"/>
      <c r="J4" s="23"/>
      <c r="K4" s="21"/>
      <c r="L4" s="23"/>
      <c r="M4" s="25"/>
    </row>
    <row r="5" spans="1:13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40</v>
      </c>
      <c r="I5" s="51">
        <f>SUM(J5)-4.5</f>
        <v>44.5</v>
      </c>
      <c r="J5" s="51">
        <f>SUM(K5)-4.5</f>
        <v>49</v>
      </c>
      <c r="K5" s="39">
        <v>53.5</v>
      </c>
      <c r="L5" s="32">
        <f>SUM(K5)+4.5</f>
        <v>58</v>
      </c>
      <c r="M5" s="33">
        <f>SUM(L5)+4.5</f>
        <v>62.5</v>
      </c>
    </row>
    <row r="6" spans="1:13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23"/>
      <c r="K6" s="39"/>
      <c r="L6" s="32"/>
      <c r="M6" s="33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25</v>
      </c>
      <c r="I7" s="51">
        <f>SUM(J7)-2</f>
        <v>27</v>
      </c>
      <c r="J7" s="51">
        <f>SUM(K7)-2</f>
        <v>29</v>
      </c>
      <c r="K7" s="60">
        <v>31</v>
      </c>
      <c r="L7" s="51">
        <f>SUM(K7)+1.8</f>
        <v>32.799999999999997</v>
      </c>
      <c r="M7" s="61">
        <f t="shared" ref="M7" si="0">SUM(L7)+1.8</f>
        <v>34.599999999999994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3"/>
      <c r="K8" s="21"/>
      <c r="L8" s="23"/>
      <c r="M8" s="25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25</v>
      </c>
      <c r="I9" s="51">
        <f>SUM(J9)-2</f>
        <v>27</v>
      </c>
      <c r="J9" s="51">
        <f>SUM(K9)-2</f>
        <v>29</v>
      </c>
      <c r="K9" s="60">
        <v>31</v>
      </c>
      <c r="L9" s="51">
        <f>SUM(K9)+1.8</f>
        <v>32.799999999999997</v>
      </c>
      <c r="M9" s="61">
        <f t="shared" ref="M9" si="1">SUM(L9)+1.8</f>
        <v>34.599999999999994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3"/>
      <c r="K10" s="21"/>
      <c r="L10" s="23"/>
      <c r="M10" s="25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-2.4000000000000004</v>
      </c>
      <c r="I11" s="87">
        <f>SUM(J11)-0.8</f>
        <v>-1.6</v>
      </c>
      <c r="J11" s="87">
        <f>SUM(K11)-0.8</f>
        <v>-0.8</v>
      </c>
      <c r="K11" s="256"/>
      <c r="L11" s="255">
        <f>SUM(K11)+0.8</f>
        <v>0.8</v>
      </c>
      <c r="M11" s="33">
        <f>SUM(L11)+0.8</f>
        <v>1.6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86"/>
      <c r="J12" s="86"/>
      <c r="K12" s="256"/>
      <c r="L12" s="255"/>
      <c r="M12" s="33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</f>
        <v>12.100000000000001</v>
      </c>
      <c r="I13" s="51">
        <f>SUM(J13)-0.6</f>
        <v>12.100000000000001</v>
      </c>
      <c r="J13" s="51">
        <f>SUM(K13)-0.6</f>
        <v>12.700000000000001</v>
      </c>
      <c r="K13" s="39">
        <v>13.3</v>
      </c>
      <c r="L13" s="32">
        <f>SUM(K13)+0.6</f>
        <v>13.9</v>
      </c>
      <c r="M13" s="33">
        <f>SUM(L13)+0.6</f>
        <v>14.5</v>
      </c>
    </row>
    <row r="14" spans="1:13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23"/>
      <c r="K14" s="39"/>
      <c r="L14" s="32"/>
      <c r="M14" s="33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</f>
        <v>4.2</v>
      </c>
      <c r="I15" s="51">
        <f>SUM(J15)-0.3</f>
        <v>4.2</v>
      </c>
      <c r="J15" s="51">
        <f>SUM(K15)-0.3</f>
        <v>4.5</v>
      </c>
      <c r="K15" s="39">
        <v>4.8</v>
      </c>
      <c r="L15" s="32">
        <f>SUM(K15)+0.3</f>
        <v>5.0999999999999996</v>
      </c>
      <c r="M15" s="33">
        <f>SUM(L15)+0.3</f>
        <v>5.3999999999999995</v>
      </c>
    </row>
    <row r="16" spans="1:13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23"/>
      <c r="K16" s="39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</f>
        <v>33.799999999999997</v>
      </c>
      <c r="I17" s="51">
        <f>SUM(J17)-1.6</f>
        <v>33.799999999999997</v>
      </c>
      <c r="J17" s="51">
        <f>SUM(K17)-1.6</f>
        <v>35.4</v>
      </c>
      <c r="K17" s="39">
        <v>37</v>
      </c>
      <c r="L17" s="32">
        <f>SUM(K17)+1.6</f>
        <v>38.6</v>
      </c>
      <c r="M17" s="33">
        <f>SUM(L17)+1.6</f>
        <v>40.200000000000003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23"/>
      <c r="K18" s="39"/>
      <c r="L18" s="32"/>
      <c r="M18" s="33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SUM(I19)-3.5</f>
        <v>-10.5</v>
      </c>
      <c r="I19" s="87">
        <f>SUM(J19)-3.5</f>
        <v>-7</v>
      </c>
      <c r="J19" s="87">
        <f>SUM(K19)-3.5</f>
        <v>-3.5</v>
      </c>
      <c r="K19" s="142"/>
      <c r="L19" s="87">
        <f>SUM(K19)+3.6</f>
        <v>3.6</v>
      </c>
      <c r="M19" s="61">
        <f t="shared" ref="M19" si="2">SUM(L19)+3.6</f>
        <v>7.2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86"/>
      <c r="J20" s="86"/>
      <c r="K20" s="143"/>
      <c r="L20" s="86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17.899999999999999</v>
      </c>
      <c r="I21" s="51">
        <f>SUM(J21)-1.5</f>
        <v>19.399999999999999</v>
      </c>
      <c r="J21" s="51">
        <f>SUM(K21)-1.5</f>
        <v>20.9</v>
      </c>
      <c r="K21" s="39">
        <v>22.4</v>
      </c>
      <c r="L21" s="32">
        <f>SUM(K21)+1.6</f>
        <v>24</v>
      </c>
      <c r="M21" s="33">
        <f t="shared" ref="M21" si="3">SUM(L21)+1.6</f>
        <v>25.6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23"/>
      <c r="K22" s="39"/>
      <c r="L22" s="32"/>
      <c r="M22" s="33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15.700000000000003</v>
      </c>
      <c r="I23" s="51">
        <f>SUM(J23)-0.7</f>
        <v>16.400000000000002</v>
      </c>
      <c r="J23" s="51">
        <f>SUM(K23)-0.7</f>
        <v>17.100000000000001</v>
      </c>
      <c r="K23" s="39">
        <v>17.8</v>
      </c>
      <c r="L23" s="32">
        <f>SUM(K23)+0.7</f>
        <v>18.5</v>
      </c>
      <c r="M23" s="33">
        <f t="shared" ref="M23" si="4">SUM(L23)+0.7</f>
        <v>19.2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23"/>
      <c r="K24" s="39"/>
      <c r="L24" s="32"/>
      <c r="M24" s="33"/>
    </row>
    <row r="25" spans="1:13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</f>
        <v>2.9000000000000004</v>
      </c>
      <c r="I25" s="51">
        <f>SUM(J25)-0.3</f>
        <v>2.9000000000000004</v>
      </c>
      <c r="J25" s="51">
        <f>SUM(K25)-0.3</f>
        <v>3.2</v>
      </c>
      <c r="K25" s="39">
        <v>3.5</v>
      </c>
      <c r="L25" s="32">
        <f>SUM(K25)+0.3</f>
        <v>3.8</v>
      </c>
      <c r="M25" s="33">
        <f t="shared" ref="M25" si="5">SUM(L25)+0.3</f>
        <v>4.0999999999999996</v>
      </c>
    </row>
    <row r="26" spans="1:13" s="1" customFormat="1" ht="14.1" customHeight="1">
      <c r="A26" s="40"/>
      <c r="B26" s="34" t="s">
        <v>140</v>
      </c>
      <c r="C26" s="35"/>
      <c r="D26" s="36" t="s">
        <v>84</v>
      </c>
      <c r="E26" s="37"/>
      <c r="F26" s="37"/>
      <c r="G26" s="38"/>
      <c r="H26" s="47"/>
      <c r="I26" s="47"/>
      <c r="J26" s="47"/>
      <c r="K26" s="60"/>
      <c r="L26" s="51"/>
      <c r="M26" s="61"/>
    </row>
    <row r="27" spans="1:13" ht="14.1" customHeight="1">
      <c r="A27" s="40">
        <v>13</v>
      </c>
      <c r="B27" s="56"/>
      <c r="C27" s="56"/>
      <c r="D27" s="55"/>
      <c r="E27" s="55"/>
      <c r="F27" s="55"/>
      <c r="G27" s="55"/>
      <c r="H27" s="51"/>
      <c r="I27" s="51"/>
      <c r="J27" s="275"/>
      <c r="K27" s="39"/>
      <c r="L27" s="32"/>
      <c r="M27" s="33"/>
    </row>
    <row r="28" spans="1:13" ht="14.1" customHeight="1" thickBot="1">
      <c r="A28" s="41"/>
      <c r="B28" s="132"/>
      <c r="C28" s="132"/>
      <c r="D28" s="179"/>
      <c r="E28" s="253"/>
      <c r="F28" s="253"/>
      <c r="G28" s="254"/>
      <c r="H28" s="48"/>
      <c r="I28" s="48"/>
      <c r="J28" s="276"/>
      <c r="K28" s="22"/>
      <c r="L28" s="24"/>
      <c r="M28" s="26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J27:J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I25:I26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5132-D273-4411-AAF8-DAD0DF2A7C15}">
  <sheetPr>
    <tabColor theme="5"/>
    <pageSetUpPr fitToPage="1"/>
  </sheetPr>
  <dimension ref="A1:N51"/>
  <sheetViews>
    <sheetView zoomScale="110" zoomScaleNormal="110" workbookViewId="0">
      <selection activeCell="D19" sqref="D19:G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760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</v>
      </c>
      <c r="I3" s="51">
        <f>SUM(J3)-3.5</f>
        <v>39.5</v>
      </c>
      <c r="J3" s="60">
        <v>43</v>
      </c>
      <c r="K3" s="51">
        <f>SUM(J3)+3</f>
        <v>46</v>
      </c>
      <c r="L3" s="51">
        <f t="shared" ref="L3:N3" si="0">SUM(K3)+3</f>
        <v>49</v>
      </c>
      <c r="M3" s="51">
        <f t="shared" si="0"/>
        <v>52</v>
      </c>
      <c r="N3" s="75">
        <f t="shared" si="0"/>
        <v>55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25.4</v>
      </c>
      <c r="I5" s="51">
        <f>SUM(J5)-1.8</f>
        <v>27.2</v>
      </c>
      <c r="J5" s="60">
        <v>29</v>
      </c>
      <c r="K5" s="51">
        <f>SUM(J5)+1.6</f>
        <v>30.6</v>
      </c>
      <c r="L5" s="51">
        <f t="shared" ref="L5:N5" si="1">SUM(K5)+1.6</f>
        <v>32.200000000000003</v>
      </c>
      <c r="M5" s="51">
        <f t="shared" si="1"/>
        <v>33.800000000000004</v>
      </c>
      <c r="N5" s="75">
        <f t="shared" si="1"/>
        <v>35.400000000000006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32.5</v>
      </c>
      <c r="I7" s="51">
        <f>SUM(J7)-2.25</f>
        <v>34.75</v>
      </c>
      <c r="J7" s="60">
        <v>37</v>
      </c>
      <c r="K7" s="51">
        <f>SUM(J7)+2</f>
        <v>39</v>
      </c>
      <c r="L7" s="51">
        <f>SUM(K7)+2</f>
        <v>41</v>
      </c>
      <c r="M7" s="51">
        <f>SUM(L7)+2</f>
        <v>43</v>
      </c>
      <c r="N7" s="75">
        <f>SUM(M7)+2</f>
        <v>45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32.5</v>
      </c>
      <c r="I9" s="51">
        <f>SUM(J9)-2.25</f>
        <v>34.75</v>
      </c>
      <c r="J9" s="60">
        <v>37</v>
      </c>
      <c r="K9" s="51">
        <f>SUM(J9)+2</f>
        <v>39</v>
      </c>
      <c r="L9" s="51">
        <f>SUM(K9)+2</f>
        <v>41</v>
      </c>
      <c r="M9" s="51">
        <f>SUM(L9)+2</f>
        <v>43</v>
      </c>
      <c r="N9" s="75">
        <f>SUM(M9)+2</f>
        <v>45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13.499999999999998</v>
      </c>
      <c r="I11" s="51">
        <f>SUM(J11)-0.8</f>
        <v>14.299999999999999</v>
      </c>
      <c r="J11" s="39">
        <v>15.1</v>
      </c>
      <c r="K11" s="32">
        <f>SUM(J11)+0.8</f>
        <v>15.9</v>
      </c>
      <c r="L11" s="32">
        <f>SUM(K11)+0.8</f>
        <v>16.7</v>
      </c>
      <c r="M11" s="32">
        <f>SUM(L11)+0.8</f>
        <v>17.5</v>
      </c>
      <c r="N11" s="82">
        <f>SUM(M11)+0.8</f>
        <v>18.3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16.099999999999998</v>
      </c>
      <c r="I13" s="51">
        <f>SUM(J13)-0.6</f>
        <v>16.7</v>
      </c>
      <c r="J13" s="39">
        <v>17.3</v>
      </c>
      <c r="K13" s="32">
        <f>SUM(J13)+0.6</f>
        <v>17.900000000000002</v>
      </c>
      <c r="L13" s="32">
        <f>SUM(K13)+0.6</f>
        <v>18.500000000000004</v>
      </c>
      <c r="M13" s="32">
        <f>SUM(L13)+0.6</f>
        <v>19.100000000000005</v>
      </c>
      <c r="N13" s="82">
        <f>SUM(M13)+0.6</f>
        <v>19.700000000000006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6.4</v>
      </c>
      <c r="I15" s="51">
        <f>SUM(J15)-0.3</f>
        <v>6.7</v>
      </c>
      <c r="J15" s="39">
        <v>7</v>
      </c>
      <c r="K15" s="32">
        <f>SUM(J15)+0.3</f>
        <v>7.3</v>
      </c>
      <c r="L15" s="32">
        <f>SUM(K15)+0.3</f>
        <v>7.6</v>
      </c>
      <c r="M15" s="32">
        <f>SUM(L15)+0.3</f>
        <v>7.8999999999999995</v>
      </c>
      <c r="N15" s="82">
        <f>SUM(M15)+0.3</f>
        <v>8.1999999999999993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40.799999999999997</v>
      </c>
      <c r="I17" s="51">
        <f>SUM(J17)-1.6</f>
        <v>42.4</v>
      </c>
      <c r="J17" s="39">
        <v>44</v>
      </c>
      <c r="K17" s="32">
        <f>SUM(J17)+1.6</f>
        <v>45.6</v>
      </c>
      <c r="L17" s="32">
        <f>SUM(K17)+1.6</f>
        <v>47.2</v>
      </c>
      <c r="M17" s="32">
        <f>SUM(L17)+1.6</f>
        <v>48.800000000000004</v>
      </c>
      <c r="N17" s="82">
        <f>SUM(M17)+1.6</f>
        <v>50.400000000000006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31.299999999999997</v>
      </c>
      <c r="I19" s="51">
        <f>SUM(J19)-3.6</f>
        <v>34.9</v>
      </c>
      <c r="J19" s="60">
        <v>38.5</v>
      </c>
      <c r="K19" s="51">
        <f>SUM(J19)+3.7</f>
        <v>42.2</v>
      </c>
      <c r="L19" s="51">
        <f t="shared" ref="L19:N19" si="2">SUM(K19)+3.7</f>
        <v>45.900000000000006</v>
      </c>
      <c r="M19" s="51">
        <f t="shared" si="2"/>
        <v>49.600000000000009</v>
      </c>
      <c r="N19" s="75">
        <f t="shared" si="2"/>
        <v>53.300000000000011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23.6</v>
      </c>
      <c r="I21" s="51">
        <f>SUM(J21)-1.4</f>
        <v>25</v>
      </c>
      <c r="J21" s="39">
        <v>26.4</v>
      </c>
      <c r="K21" s="32">
        <f>SUM(J21)+1.4</f>
        <v>27.799999999999997</v>
      </c>
      <c r="L21" s="32">
        <f t="shared" ref="L21:N21" si="3">SUM(K21)+1.4</f>
        <v>29.199999999999996</v>
      </c>
      <c r="M21" s="32">
        <f t="shared" si="3"/>
        <v>30.599999999999994</v>
      </c>
      <c r="N21" s="82">
        <f t="shared" si="3"/>
        <v>31.999999999999993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 t="shared" ref="L23:N23" si="4">SUM(K23)+0.7</f>
        <v>19.399999999999999</v>
      </c>
      <c r="M23" s="32">
        <f t="shared" si="4"/>
        <v>20.099999999999998</v>
      </c>
      <c r="N23" s="82">
        <f t="shared" si="4"/>
        <v>20.799999999999997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SUM(I25)-0.3</f>
        <v>3.4000000000000004</v>
      </c>
      <c r="I25" s="51">
        <f>SUM(J25)-0.3</f>
        <v>3.7</v>
      </c>
      <c r="J25" s="39">
        <v>4</v>
      </c>
      <c r="K25" s="32">
        <f>SUM(J25)+0.3</f>
        <v>4.3</v>
      </c>
      <c r="L25" s="32">
        <f t="shared" ref="L25:N25" si="5">SUM(K25)+0.3</f>
        <v>4.5999999999999996</v>
      </c>
      <c r="M25" s="32">
        <f t="shared" si="5"/>
        <v>4.8999999999999995</v>
      </c>
      <c r="N25" s="82">
        <f t="shared" si="5"/>
        <v>5.1999999999999993</v>
      </c>
    </row>
    <row r="26" spans="1:14" s="1" customFormat="1" ht="14.1" customHeight="1">
      <c r="A26" s="40"/>
      <c r="B26" s="34" t="s">
        <v>140</v>
      </c>
      <c r="C26" s="35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0B19-EB5A-44F3-BFD8-E2FAD4A5AE3E}">
  <sheetPr>
    <tabColor theme="5"/>
    <pageSetUpPr fitToPage="1"/>
  </sheetPr>
  <dimension ref="A1:M50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62" t="s">
        <v>723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66">
        <v>1</v>
      </c>
      <c r="B3" s="53" t="s">
        <v>103</v>
      </c>
      <c r="C3" s="54"/>
      <c r="D3" s="67" t="s">
        <v>102</v>
      </c>
      <c r="E3" s="68"/>
      <c r="F3" s="68"/>
      <c r="G3" s="69"/>
      <c r="H3" s="51">
        <f>SUM(I3)-3.4</f>
        <v>34.300000000000004</v>
      </c>
      <c r="I3" s="51">
        <f>SUM(J3)-3.4</f>
        <v>37.700000000000003</v>
      </c>
      <c r="J3" s="114">
        <v>41.1</v>
      </c>
      <c r="K3" s="168">
        <f>SUM(J3)+2.9</f>
        <v>44</v>
      </c>
      <c r="L3" s="168">
        <f>SUM(K3)+2.9</f>
        <v>46.9</v>
      </c>
      <c r="M3" s="169">
        <f>SUM(L3)+2.9</f>
        <v>49.8</v>
      </c>
    </row>
    <row r="4" spans="1:13" s="1" customFormat="1" ht="14.1" customHeight="1">
      <c r="A4" s="40"/>
      <c r="B4" s="52" t="s">
        <v>34</v>
      </c>
      <c r="C4" s="52"/>
      <c r="D4" s="36" t="s">
        <v>101</v>
      </c>
      <c r="E4" s="37"/>
      <c r="F4" s="37"/>
      <c r="G4" s="37"/>
      <c r="H4" s="23"/>
      <c r="I4" s="23"/>
      <c r="J4" s="60"/>
      <c r="K4" s="51"/>
      <c r="L4" s="51"/>
      <c r="M4" s="75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36.699999999999996</v>
      </c>
      <c r="I5" s="51">
        <f>SUM(J5)-2.2</f>
        <v>38.9</v>
      </c>
      <c r="J5" s="60">
        <v>41.1</v>
      </c>
      <c r="K5" s="51">
        <f>SUM(J5)+2</f>
        <v>43.1</v>
      </c>
      <c r="L5" s="51">
        <f t="shared" ref="L5:M5" si="0">SUM(K5)+2</f>
        <v>45.1</v>
      </c>
      <c r="M5" s="75">
        <f t="shared" si="0"/>
        <v>47.1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38.5</v>
      </c>
      <c r="I7" s="51">
        <f>SUM(J7)-2.25</f>
        <v>40.75</v>
      </c>
      <c r="J7" s="60">
        <v>43</v>
      </c>
      <c r="K7" s="51">
        <f>SUM(J7)+2</f>
        <v>45</v>
      </c>
      <c r="L7" s="51">
        <f>SUM(K7)+2</f>
        <v>47</v>
      </c>
      <c r="M7" s="75">
        <f>SUM(L7)+2</f>
        <v>49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30.400000000000002</v>
      </c>
      <c r="I9" s="51">
        <f>SUM(J9)-1.8</f>
        <v>32.200000000000003</v>
      </c>
      <c r="J9" s="60">
        <v>34</v>
      </c>
      <c r="K9" s="51">
        <f>SUM(J9)+1.6</f>
        <v>35.6</v>
      </c>
      <c r="L9" s="51">
        <f t="shared" ref="L9:M9" si="1">SUM(K9)+1.6</f>
        <v>37.200000000000003</v>
      </c>
      <c r="M9" s="75">
        <f t="shared" si="1"/>
        <v>38.800000000000004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15</v>
      </c>
      <c r="I11" s="51">
        <f>SUM(J11)-0.8</f>
        <v>15.8</v>
      </c>
      <c r="J11" s="39">
        <v>16.600000000000001</v>
      </c>
      <c r="K11" s="32">
        <f>SUM(J11)+0.8</f>
        <v>17.400000000000002</v>
      </c>
      <c r="L11" s="32">
        <f>SUM(K11)+0.8</f>
        <v>18.200000000000003</v>
      </c>
      <c r="M11" s="82">
        <f>SUM(L11)+0.8</f>
        <v>19.000000000000004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3" s="1" customFormat="1" ht="14.1" customHeight="1">
      <c r="A13" s="40">
        <v>6</v>
      </c>
      <c r="B13" s="56" t="s">
        <v>1</v>
      </c>
      <c r="C13" s="56"/>
      <c r="D13" s="55" t="s">
        <v>145</v>
      </c>
      <c r="E13" s="55"/>
      <c r="F13" s="55"/>
      <c r="G13" s="55"/>
      <c r="H13" s="51">
        <f>SUM(I13)-0.6</f>
        <v>12</v>
      </c>
      <c r="I13" s="51">
        <f>SUM(J13)-0.6</f>
        <v>12.6</v>
      </c>
      <c r="J13" s="39">
        <v>13.2</v>
      </c>
      <c r="K13" s="32">
        <f>SUM(J13)+0.6</f>
        <v>13.799999999999999</v>
      </c>
      <c r="L13" s="32">
        <f>SUM(K13)+0.6</f>
        <v>14.399999999999999</v>
      </c>
      <c r="M13" s="82">
        <f>SUM(L13)+0.6</f>
        <v>14.999999999999998</v>
      </c>
    </row>
    <row r="14" spans="1:13" s="1" customFormat="1" ht="14.1" customHeight="1">
      <c r="A14" s="40"/>
      <c r="B14" s="52" t="s">
        <v>27</v>
      </c>
      <c r="C14" s="52"/>
      <c r="D14" s="36" t="s">
        <v>161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6.1000000000000005</v>
      </c>
      <c r="I15" s="51">
        <f>SUM(J15)-0.3</f>
        <v>6.4</v>
      </c>
      <c r="J15" s="39">
        <v>6.7</v>
      </c>
      <c r="K15" s="32">
        <f>SUM(J15)+0.3</f>
        <v>7</v>
      </c>
      <c r="L15" s="32">
        <f>SUM(K15)+0.3</f>
        <v>7.3</v>
      </c>
      <c r="M15" s="82">
        <f>SUM(L15)+0.3</f>
        <v>7.6</v>
      </c>
    </row>
    <row r="16" spans="1:13" s="1" customFormat="1" ht="14.1" customHeight="1">
      <c r="A16" s="40"/>
      <c r="B16" s="52" t="s">
        <v>28</v>
      </c>
      <c r="C16" s="52"/>
      <c r="D16" s="36" t="s">
        <v>168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32.199999999999996</v>
      </c>
      <c r="I17" s="51">
        <f>SUM(J17)-1.6</f>
        <v>33.799999999999997</v>
      </c>
      <c r="J17" s="39">
        <v>35.4</v>
      </c>
      <c r="K17" s="32">
        <f>SUM(J17)+1.6</f>
        <v>37</v>
      </c>
      <c r="L17" s="32">
        <f>SUM(K17)+1.6</f>
        <v>38.6</v>
      </c>
      <c r="M17" s="82">
        <f>SUM(L17)+1.6</f>
        <v>40.200000000000003</v>
      </c>
    </row>
    <row r="18" spans="1:13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49" t="s">
        <v>610</v>
      </c>
      <c r="C19" s="50"/>
      <c r="D19" s="57"/>
      <c r="E19" s="58"/>
      <c r="F19" s="58"/>
      <c r="G19" s="59"/>
      <c r="H19" s="51">
        <f>SUM(I19)-0.2</f>
        <v>5.3999999999999995</v>
      </c>
      <c r="I19" s="51">
        <f>SUM(J19)-0.2</f>
        <v>5.6</v>
      </c>
      <c r="J19" s="39">
        <v>5.8</v>
      </c>
      <c r="K19" s="32">
        <f>SUM(J19)+0.2</f>
        <v>6</v>
      </c>
      <c r="L19" s="32">
        <f>SUM(K19)+0.2</f>
        <v>6.2</v>
      </c>
      <c r="M19" s="82">
        <f>SUM(L19)+0.2</f>
        <v>6.4</v>
      </c>
    </row>
    <row r="20" spans="1:13" s="1" customFormat="1" ht="14.1" customHeight="1">
      <c r="A20" s="40"/>
      <c r="B20" s="52" t="s">
        <v>611</v>
      </c>
      <c r="C20" s="52"/>
      <c r="D20" s="36" t="s">
        <v>724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>
        <f>SUM(I21)-3.4</f>
        <v>25.900000000000006</v>
      </c>
      <c r="I21" s="51">
        <f>SUM(J21)-3.4</f>
        <v>29.300000000000004</v>
      </c>
      <c r="J21" s="39">
        <v>32.700000000000003</v>
      </c>
      <c r="K21" s="32">
        <f>SUM(J21)+3.5</f>
        <v>36.200000000000003</v>
      </c>
      <c r="L21" s="32">
        <f t="shared" ref="L21:M21" si="2">SUM(K21)+3.5</f>
        <v>39.700000000000003</v>
      </c>
      <c r="M21" s="82">
        <f t="shared" si="2"/>
        <v>43.2</v>
      </c>
    </row>
    <row r="22" spans="1:13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>
        <f>SUM(I23)-1.6</f>
        <v>30.799999999999997</v>
      </c>
      <c r="I23" s="51">
        <f>SUM(J23)-1.6</f>
        <v>32.4</v>
      </c>
      <c r="J23" s="39">
        <v>34</v>
      </c>
      <c r="K23" s="32">
        <f>SUM(J23)+1.6</f>
        <v>35.6</v>
      </c>
      <c r="L23" s="32">
        <f t="shared" ref="L23:M23" si="3">SUM(K23)+1.6</f>
        <v>37.200000000000003</v>
      </c>
      <c r="M23" s="82">
        <f t="shared" si="3"/>
        <v>38.800000000000004</v>
      </c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68</v>
      </c>
      <c r="C25" s="50"/>
      <c r="D25" s="55" t="s">
        <v>69</v>
      </c>
      <c r="E25" s="55"/>
      <c r="F25" s="55"/>
      <c r="G25" s="55"/>
      <c r="H25" s="51">
        <f>SUM(I25)-0.6</f>
        <v>14</v>
      </c>
      <c r="I25" s="51">
        <f>SUM(J25)-0.6</f>
        <v>14.6</v>
      </c>
      <c r="J25" s="39">
        <v>15.2</v>
      </c>
      <c r="K25" s="32">
        <f>SUM(J25)+0.6</f>
        <v>15.799999999999999</v>
      </c>
      <c r="L25" s="32">
        <f t="shared" ref="L25:M25" si="4">SUM(K25)+0.6</f>
        <v>16.399999999999999</v>
      </c>
      <c r="M25" s="82">
        <f t="shared" si="4"/>
        <v>17</v>
      </c>
    </row>
    <row r="26" spans="1:13" s="1" customFormat="1" ht="14.1" customHeight="1">
      <c r="A26" s="40"/>
      <c r="B26" s="52" t="s">
        <v>31</v>
      </c>
      <c r="C26" s="52"/>
      <c r="D26" s="36" t="s">
        <v>70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s="1" customFormat="1" ht="14.1" customHeight="1">
      <c r="A27" s="40">
        <v>13</v>
      </c>
      <c r="B27" s="49" t="s">
        <v>148</v>
      </c>
      <c r="C27" s="50"/>
      <c r="D27" s="93"/>
      <c r="E27" s="94"/>
      <c r="F27" s="94"/>
      <c r="G27" s="95"/>
      <c r="H27" s="51">
        <f>SUM(I27)</f>
        <v>11.5</v>
      </c>
      <c r="I27" s="51">
        <f>SUM(J27)</f>
        <v>11.5</v>
      </c>
      <c r="J27" s="39">
        <v>11.5</v>
      </c>
      <c r="K27" s="32">
        <f>SUM(J27)+0.2</f>
        <v>11.7</v>
      </c>
      <c r="L27" s="32">
        <f>SUM(K27)+0.2</f>
        <v>11.899999999999999</v>
      </c>
      <c r="M27" s="82">
        <f>SUM(L27)+0.2</f>
        <v>12.099999999999998</v>
      </c>
    </row>
    <row r="28" spans="1:13" s="1" customFormat="1" ht="14.1" customHeight="1">
      <c r="A28" s="40"/>
      <c r="B28" s="34" t="s">
        <v>149</v>
      </c>
      <c r="C28" s="35"/>
      <c r="D28" s="36"/>
      <c r="E28" s="37"/>
      <c r="F28" s="37"/>
      <c r="G28" s="38"/>
      <c r="H28" s="23"/>
      <c r="I28" s="23"/>
      <c r="J28" s="39"/>
      <c r="K28" s="32"/>
      <c r="L28" s="32"/>
      <c r="M28" s="82"/>
    </row>
    <row r="29" spans="1:13" s="1" customFormat="1" ht="14.1" customHeight="1">
      <c r="A29" s="40">
        <v>14</v>
      </c>
      <c r="B29" s="49" t="s">
        <v>141</v>
      </c>
      <c r="C29" s="50"/>
      <c r="D29" s="93"/>
      <c r="E29" s="94"/>
      <c r="F29" s="94"/>
      <c r="G29" s="95"/>
      <c r="H29" s="51">
        <f>SUM(I29)-0.3</f>
        <v>5.9</v>
      </c>
      <c r="I29" s="51">
        <f>SUM(J29)-0.3</f>
        <v>6.2</v>
      </c>
      <c r="J29" s="39">
        <v>6.5</v>
      </c>
      <c r="K29" s="32">
        <f>SUM(J29)+0.3</f>
        <v>6.8</v>
      </c>
      <c r="L29" s="32">
        <f t="shared" ref="L29:M29" si="5">SUM(K29)+0.3</f>
        <v>7.1</v>
      </c>
      <c r="M29" s="82">
        <f t="shared" si="5"/>
        <v>7.3999999999999995</v>
      </c>
    </row>
    <row r="30" spans="1:13" s="1" customFormat="1" ht="14.1" customHeight="1">
      <c r="A30" s="40"/>
      <c r="B30" s="34" t="s">
        <v>140</v>
      </c>
      <c r="C30" s="35"/>
      <c r="D30" s="36" t="s">
        <v>725</v>
      </c>
      <c r="E30" s="37"/>
      <c r="F30" s="37"/>
      <c r="G30" s="38"/>
      <c r="H30" s="23"/>
      <c r="I30" s="23"/>
      <c r="J30" s="39"/>
      <c r="K30" s="32"/>
      <c r="L30" s="32"/>
      <c r="M30" s="82"/>
    </row>
    <row r="31" spans="1:13" s="1" customFormat="1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82"/>
    </row>
    <row r="32" spans="1:13" s="1" customFormat="1" ht="14.1" customHeight="1">
      <c r="A32" s="40"/>
      <c r="B32" s="34"/>
      <c r="C32" s="35"/>
      <c r="D32" s="36"/>
      <c r="E32" s="37"/>
      <c r="F32" s="37"/>
      <c r="G32" s="38"/>
      <c r="H32" s="23"/>
      <c r="I32" s="23"/>
      <c r="J32" s="39"/>
      <c r="K32" s="32"/>
      <c r="L32" s="32"/>
      <c r="M32" s="82"/>
    </row>
    <row r="33" spans="1:13" s="1" customFormat="1" ht="14.1" customHeight="1">
      <c r="A33" s="66">
        <v>16</v>
      </c>
      <c r="B33" s="53"/>
      <c r="C33" s="54"/>
      <c r="D33" s="44"/>
      <c r="E33" s="45"/>
      <c r="F33" s="45"/>
      <c r="G33" s="46"/>
      <c r="H33" s="47"/>
      <c r="I33" s="47"/>
      <c r="J33" s="21"/>
      <c r="K33" s="23"/>
      <c r="L33" s="23"/>
      <c r="M33" s="76"/>
    </row>
    <row r="34" spans="1:13" s="1" customFormat="1" ht="13.5" customHeight="1" thickBot="1">
      <c r="A34" s="41"/>
      <c r="B34" s="27"/>
      <c r="C34" s="28"/>
      <c r="D34" s="29"/>
      <c r="E34" s="30"/>
      <c r="F34" s="30"/>
      <c r="G34" s="31"/>
      <c r="H34" s="48"/>
      <c r="I34" s="48"/>
      <c r="J34" s="22"/>
      <c r="K34" s="24"/>
      <c r="L34" s="24"/>
      <c r="M34" s="92"/>
    </row>
    <row r="35" spans="1:13" s="1" customFormat="1" ht="14.1" customHeight="1"/>
    <row r="36" spans="1:13" s="1" customFormat="1" ht="14.1" customHeight="1"/>
    <row r="37" spans="1:13" s="1" customFormat="1" ht="14.1" customHeight="1"/>
    <row r="38" spans="1:13" s="1" customFormat="1" ht="14.1" customHeight="1"/>
    <row r="39" spans="1:13" s="1" customFormat="1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>
      <c r="B44" s="19"/>
      <c r="C44" s="19"/>
      <c r="D44" s="19"/>
      <c r="E44" s="19"/>
      <c r="F44" s="19"/>
      <c r="G44" s="19"/>
    </row>
    <row r="45" spans="1:13" ht="14.1" customHeight="1">
      <c r="B45" s="19"/>
      <c r="C45" s="19"/>
      <c r="D45" s="19"/>
      <c r="E45" s="19"/>
      <c r="F45" s="19"/>
      <c r="G45" s="19"/>
    </row>
    <row r="46" spans="1:13" ht="14.1" customHeight="1">
      <c r="B46" s="19"/>
      <c r="C46" s="19"/>
      <c r="D46" s="19"/>
      <c r="E46" s="19"/>
      <c r="F46" s="19"/>
      <c r="G46" s="19"/>
    </row>
    <row r="47" spans="1:13" ht="14.1" customHeight="1"/>
    <row r="48" spans="1:13" ht="14.1" customHeight="1"/>
    <row r="49" ht="14.1" customHeight="1"/>
    <row r="50" ht="14.1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DBE5-FE27-4F3F-8742-824B707A5126}">
  <sheetPr>
    <tabColor theme="5"/>
    <pageSetUpPr fitToPage="1"/>
  </sheetPr>
  <dimension ref="A1:N51"/>
  <sheetViews>
    <sheetView zoomScale="110" zoomScaleNormal="110" workbookViewId="0">
      <selection activeCell="K7" sqref="K7:K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726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35.5</v>
      </c>
      <c r="I3" s="51">
        <f>SUM(J3)-3.5</f>
        <v>39</v>
      </c>
      <c r="J3" s="60">
        <v>42.5</v>
      </c>
      <c r="K3" s="51">
        <f>SUM(J3)+3</f>
        <v>45.5</v>
      </c>
      <c r="L3" s="51">
        <f>SUM(K3)+3</f>
        <v>48.5</v>
      </c>
      <c r="M3" s="51">
        <f t="shared" ref="M3:N3" si="0">SUM(L3)+3</f>
        <v>51.5</v>
      </c>
      <c r="N3" s="75">
        <f t="shared" si="0"/>
        <v>54.5</v>
      </c>
    </row>
    <row r="4" spans="1:14" s="1" customFormat="1" ht="14.1" customHeight="1">
      <c r="A4" s="66"/>
      <c r="B4" s="52" t="s">
        <v>38</v>
      </c>
      <c r="C4" s="52"/>
      <c r="D4" s="36" t="s">
        <v>626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36.099999999999994</v>
      </c>
      <c r="I5" s="51">
        <f>SUM(J5)-2.2</f>
        <v>38.299999999999997</v>
      </c>
      <c r="J5" s="60">
        <v>40.5</v>
      </c>
      <c r="K5" s="51">
        <f>SUM(J5)+2</f>
        <v>42.5</v>
      </c>
      <c r="L5" s="51">
        <f>SUM(K5)+2</f>
        <v>44.5</v>
      </c>
      <c r="M5" s="51">
        <f t="shared" ref="M5:N5" si="1">SUM(L5)+2</f>
        <v>46.5</v>
      </c>
      <c r="N5" s="75">
        <f t="shared" si="1"/>
        <v>48.5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36.5</v>
      </c>
      <c r="I7" s="51">
        <f>SUM(J7)-2.25</f>
        <v>38.75</v>
      </c>
      <c r="J7" s="60">
        <v>41</v>
      </c>
      <c r="K7" s="51">
        <f>SUM(J7)+2</f>
        <v>43</v>
      </c>
      <c r="L7" s="51">
        <f>SUM(K7)+2</f>
        <v>45</v>
      </c>
      <c r="M7" s="51">
        <f t="shared" ref="M7:N7" si="2">SUM(L7)+2</f>
        <v>47</v>
      </c>
      <c r="N7" s="75">
        <f t="shared" si="2"/>
        <v>49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29.9</v>
      </c>
      <c r="I9" s="51">
        <f>SUM(J9)-1.8</f>
        <v>31.7</v>
      </c>
      <c r="J9" s="60">
        <v>33.5</v>
      </c>
      <c r="K9" s="51">
        <f>SUM(J9)+1.6</f>
        <v>35.1</v>
      </c>
      <c r="L9" s="51">
        <f t="shared" ref="L9:N9" si="3">SUM(K9)+1.6</f>
        <v>36.700000000000003</v>
      </c>
      <c r="M9" s="51">
        <f t="shared" si="3"/>
        <v>38.300000000000004</v>
      </c>
      <c r="N9" s="75">
        <f t="shared" si="3"/>
        <v>39.900000000000006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14.399999999999999</v>
      </c>
      <c r="I11" s="51">
        <f>SUM(J11)-0.8</f>
        <v>15.2</v>
      </c>
      <c r="J11" s="39">
        <v>16</v>
      </c>
      <c r="K11" s="32">
        <f>SUM(J11)+0.8</f>
        <v>16.8</v>
      </c>
      <c r="L11" s="32">
        <f t="shared" ref="L11:N11" si="4">SUM(K11)+0.8</f>
        <v>17.600000000000001</v>
      </c>
      <c r="M11" s="32">
        <f t="shared" si="4"/>
        <v>18.400000000000002</v>
      </c>
      <c r="N11" s="82">
        <f t="shared" si="4"/>
        <v>19.200000000000003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14.600000000000001</v>
      </c>
      <c r="I13" s="51">
        <f>SUM(J13)-0.6</f>
        <v>15.200000000000001</v>
      </c>
      <c r="J13" s="39">
        <v>15.8</v>
      </c>
      <c r="K13" s="32">
        <f>SUM(J13)+0.6</f>
        <v>16.400000000000002</v>
      </c>
      <c r="L13" s="32">
        <f>SUM(K13)+0.6</f>
        <v>17.000000000000004</v>
      </c>
      <c r="M13" s="32">
        <f t="shared" ref="M13:N13" si="5">SUM(L13)+0.6</f>
        <v>17.600000000000005</v>
      </c>
      <c r="N13" s="82">
        <f t="shared" si="5"/>
        <v>18.200000000000006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6.6000000000000005</v>
      </c>
      <c r="I15" s="51">
        <f>SUM(J15)-0.3</f>
        <v>6.9</v>
      </c>
      <c r="J15" s="39">
        <v>7.2</v>
      </c>
      <c r="K15" s="32">
        <f>SUM(J15)+0.3</f>
        <v>7.5</v>
      </c>
      <c r="L15" s="32">
        <f>SUM(K15)+0.3</f>
        <v>7.8</v>
      </c>
      <c r="M15" s="32">
        <f t="shared" ref="M15:N15" si="6">SUM(L15)+0.3</f>
        <v>8.1</v>
      </c>
      <c r="N15" s="82">
        <f t="shared" si="6"/>
        <v>8.4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37.799999999999997</v>
      </c>
      <c r="I17" s="51">
        <f>SUM(J17)-1.6</f>
        <v>39.4</v>
      </c>
      <c r="J17" s="39">
        <v>41</v>
      </c>
      <c r="K17" s="32">
        <f>SUM(J17)+1.6</f>
        <v>42.6</v>
      </c>
      <c r="L17" s="32">
        <f>SUM(K17)+1.6</f>
        <v>44.2</v>
      </c>
      <c r="M17" s="32">
        <f t="shared" ref="M17:N17" si="7">SUM(L17)+1.6</f>
        <v>45.800000000000004</v>
      </c>
      <c r="N17" s="82">
        <f t="shared" si="7"/>
        <v>47.400000000000006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27.200000000000003</v>
      </c>
      <c r="I19" s="51">
        <f>SUM(J19)-3.4</f>
        <v>30.6</v>
      </c>
      <c r="J19" s="39">
        <v>34</v>
      </c>
      <c r="K19" s="32">
        <f>SUM(J19)+3.5</f>
        <v>37.5</v>
      </c>
      <c r="L19" s="32">
        <f>SUM(K19)+3.5</f>
        <v>41</v>
      </c>
      <c r="M19" s="32">
        <f t="shared" ref="M19:N19" si="8">SUM(L19)+3.5</f>
        <v>44.5</v>
      </c>
      <c r="N19" s="82">
        <f t="shared" si="8"/>
        <v>48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2"/>
      <c r="N20" s="82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28</v>
      </c>
      <c r="I21" s="51">
        <f>SUM(J21)-1.5</f>
        <v>29.5</v>
      </c>
      <c r="J21" s="39">
        <v>31</v>
      </c>
      <c r="K21" s="32">
        <f>SUM(J21)+1.5</f>
        <v>32.5</v>
      </c>
      <c r="L21" s="32">
        <f t="shared" ref="L21:N21" si="9">SUM(K21)+1.5</f>
        <v>34</v>
      </c>
      <c r="M21" s="32">
        <f t="shared" si="9"/>
        <v>35.5</v>
      </c>
      <c r="N21" s="82">
        <f t="shared" si="9"/>
        <v>37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39">
        <v>15.2</v>
      </c>
      <c r="K23" s="32">
        <f>SUM(J23)+0.6</f>
        <v>15.799999999999999</v>
      </c>
      <c r="L23" s="32">
        <f t="shared" ref="L23:N23" si="10">SUM(K23)+0.6</f>
        <v>16.399999999999999</v>
      </c>
      <c r="M23" s="32">
        <f t="shared" si="10"/>
        <v>17</v>
      </c>
      <c r="N23" s="82">
        <f t="shared" si="10"/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3.9000000000000004</v>
      </c>
      <c r="I25" s="51">
        <f>SUM(J25)-0.3</f>
        <v>4.2</v>
      </c>
      <c r="J25" s="39">
        <v>4.5</v>
      </c>
      <c r="K25" s="32">
        <f>SUM(J25)+0.3</f>
        <v>4.8</v>
      </c>
      <c r="L25" s="32">
        <f>SUM(K25)+0.3</f>
        <v>5.0999999999999996</v>
      </c>
      <c r="M25" s="32">
        <f t="shared" ref="M25:N25" si="11">SUM(L25)+0.3</f>
        <v>5.3999999999999995</v>
      </c>
      <c r="N25" s="82">
        <f t="shared" si="11"/>
        <v>5.6999999999999993</v>
      </c>
    </row>
    <row r="26" spans="1:14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56"/>
      <c r="C27" s="56"/>
      <c r="D27" s="55"/>
      <c r="E27" s="55"/>
      <c r="F27" s="55"/>
      <c r="G27" s="5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132"/>
      <c r="C28" s="132"/>
      <c r="D28" s="179"/>
      <c r="E28" s="253"/>
      <c r="F28" s="253"/>
      <c r="G28" s="254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FAD4-ADCF-4BEB-886A-C56C056B537D}">
  <sheetPr>
    <tabColor theme="5"/>
    <pageSetUpPr fitToPage="1"/>
  </sheetPr>
  <dimension ref="A1:M51"/>
  <sheetViews>
    <sheetView zoomScale="110" zoomScaleNormal="110" workbookViewId="0">
      <selection activeCell="J3" sqref="J3:J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3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32</v>
      </c>
      <c r="I3" s="51">
        <f>SUM(J3)-3</f>
        <v>35</v>
      </c>
      <c r="J3" s="60">
        <v>38</v>
      </c>
      <c r="K3" s="51">
        <f>SUM(J3)+2.5</f>
        <v>40.5</v>
      </c>
      <c r="L3" s="51">
        <f t="shared" ref="L3:M3" si="0">SUM(K3)+2.5</f>
        <v>43</v>
      </c>
      <c r="M3" s="75">
        <f t="shared" si="0"/>
        <v>45.5</v>
      </c>
    </row>
    <row r="4" spans="1:13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SUM(I5)-1.2</f>
        <v>17.8</v>
      </c>
      <c r="I5" s="51">
        <f>SUM(J5)-1.2</f>
        <v>19</v>
      </c>
      <c r="J5" s="60">
        <v>20.2</v>
      </c>
      <c r="K5" s="51">
        <f>SUM(J5)+1</f>
        <v>21.2</v>
      </c>
      <c r="L5" s="51">
        <f>SUM(K5)+1</f>
        <v>22.2</v>
      </c>
      <c r="M5" s="75">
        <f>SUM(L5)+1</f>
        <v>23.2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25</v>
      </c>
      <c r="I7" s="51">
        <f>SUM(J7)-2</f>
        <v>27</v>
      </c>
      <c r="J7" s="60">
        <v>29</v>
      </c>
      <c r="K7" s="51">
        <f>SUM(J7)+1.8</f>
        <v>30.8</v>
      </c>
      <c r="L7" s="51">
        <f t="shared" ref="L7" si="1">SUM(K7)+1.8</f>
        <v>32.6</v>
      </c>
      <c r="M7" s="75">
        <f t="shared" ref="M7" si="2">SUM(L7)+1.8</f>
        <v>34.4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25</v>
      </c>
      <c r="I9" s="51">
        <f>SUM(J9)-2</f>
        <v>27</v>
      </c>
      <c r="J9" s="60">
        <v>29</v>
      </c>
      <c r="K9" s="51">
        <f>SUM(J9)+1.8</f>
        <v>30.8</v>
      </c>
      <c r="L9" s="51">
        <f t="shared" ref="L9:M9" si="3">SUM(K9)+1.8</f>
        <v>32.6</v>
      </c>
      <c r="M9" s="75">
        <f t="shared" si="3"/>
        <v>34.4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SUM(I11)-1</f>
        <v>12.1</v>
      </c>
      <c r="I11" s="51">
        <f>SUM(J11)-1</f>
        <v>13.1</v>
      </c>
      <c r="J11" s="39">
        <v>14.1</v>
      </c>
      <c r="K11" s="32">
        <f>SUM(J11)+1</f>
        <v>15.1</v>
      </c>
      <c r="L11" s="32">
        <f>SUM(K11)+1</f>
        <v>16.100000000000001</v>
      </c>
      <c r="M11" s="82">
        <f>SUM(L11)+1</f>
        <v>17.100000000000001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SUM(I13)-1.2</f>
        <v>13.200000000000001</v>
      </c>
      <c r="I13" s="51">
        <f>SUM(J13)-1.2</f>
        <v>14.4</v>
      </c>
      <c r="J13" s="39">
        <v>15.6</v>
      </c>
      <c r="K13" s="32">
        <f>SUM(J13)+1</f>
        <v>16.600000000000001</v>
      </c>
      <c r="L13" s="32">
        <f>SUM(K13)+1</f>
        <v>17.600000000000001</v>
      </c>
      <c r="M13" s="82">
        <f>SUM(L13)+1</f>
        <v>18.600000000000001</v>
      </c>
    </row>
    <row r="14" spans="1:13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3" s="1" customFormat="1" ht="14.1" customHeight="1">
      <c r="A15" s="40">
        <v>7</v>
      </c>
      <c r="B15" s="56" t="s">
        <v>742</v>
      </c>
      <c r="C15" s="56"/>
      <c r="D15" s="55" t="s">
        <v>744</v>
      </c>
      <c r="E15" s="55"/>
      <c r="F15" s="55"/>
      <c r="G15" s="55"/>
      <c r="H15" s="51">
        <f>SUM(I15)-0.3</f>
        <v>5</v>
      </c>
      <c r="I15" s="51">
        <f>SUM(J15)-0.3</f>
        <v>5.3</v>
      </c>
      <c r="J15" s="39">
        <v>5.6</v>
      </c>
      <c r="K15" s="32">
        <f>SUM(J15)+0.3</f>
        <v>5.8999999999999995</v>
      </c>
      <c r="L15" s="32">
        <f>SUM(K15)+0.3</f>
        <v>6.1999999999999993</v>
      </c>
      <c r="M15" s="82">
        <f>SUM(L15)+0.3</f>
        <v>6.4999999999999991</v>
      </c>
    </row>
    <row r="16" spans="1:13" s="1" customFormat="1" ht="14.1" customHeight="1">
      <c r="A16" s="40"/>
      <c r="B16" s="52" t="s">
        <v>743</v>
      </c>
      <c r="C16" s="52"/>
      <c r="D16" s="36" t="s">
        <v>745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56" t="s">
        <v>2</v>
      </c>
      <c r="C17" s="56"/>
      <c r="D17" s="55" t="s">
        <v>3</v>
      </c>
      <c r="E17" s="55"/>
      <c r="F17" s="55"/>
      <c r="G17" s="55"/>
      <c r="H17" s="51">
        <f>SUM(I17)-0.4</f>
        <v>6.1999999999999993</v>
      </c>
      <c r="I17" s="51">
        <f>SUM(J17)-0.4</f>
        <v>6.6</v>
      </c>
      <c r="J17" s="39">
        <v>7</v>
      </c>
      <c r="K17" s="32">
        <f>SUM(J17)+0.4</f>
        <v>7.4</v>
      </c>
      <c r="L17" s="32">
        <f>SUM(K17)+0.4</f>
        <v>7.8000000000000007</v>
      </c>
      <c r="M17" s="82">
        <f>SUM(L17)+0.4</f>
        <v>8.2000000000000011</v>
      </c>
    </row>
    <row r="18" spans="1:13" s="1" customFormat="1" ht="14.1" customHeight="1">
      <c r="A18" s="40"/>
      <c r="B18" s="52" t="s">
        <v>28</v>
      </c>
      <c r="C18" s="52"/>
      <c r="D18" s="36" t="s">
        <v>121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49" t="s">
        <v>74</v>
      </c>
      <c r="C19" s="50"/>
      <c r="D19" s="57" t="s">
        <v>75</v>
      </c>
      <c r="E19" s="58"/>
      <c r="F19" s="58"/>
      <c r="G19" s="59"/>
      <c r="H19" s="51"/>
      <c r="I19" s="51"/>
      <c r="J19" s="39"/>
      <c r="K19" s="32"/>
      <c r="L19" s="32"/>
      <c r="M19" s="82"/>
    </row>
    <row r="20" spans="1:13" s="1" customFormat="1" ht="14.1" customHeight="1">
      <c r="A20" s="40"/>
      <c r="B20" s="52" t="s">
        <v>35</v>
      </c>
      <c r="C20" s="52"/>
      <c r="D20" s="36" t="s">
        <v>122</v>
      </c>
      <c r="E20" s="37"/>
      <c r="F20" s="37"/>
      <c r="G20" s="38"/>
      <c r="H20" s="23"/>
      <c r="I20" s="23"/>
      <c r="J20" s="39"/>
      <c r="K20" s="32"/>
      <c r="L20" s="32"/>
      <c r="M20" s="82"/>
    </row>
    <row r="21" spans="1:13" s="1" customFormat="1" ht="14.1" customHeight="1">
      <c r="A21" s="40">
        <v>10</v>
      </c>
      <c r="B21" s="56" t="s">
        <v>4</v>
      </c>
      <c r="C21" s="56"/>
      <c r="D21" s="55" t="s">
        <v>5</v>
      </c>
      <c r="E21" s="55"/>
      <c r="F21" s="55"/>
      <c r="G21" s="55"/>
      <c r="H21" s="51"/>
      <c r="I21" s="51"/>
      <c r="J21" s="60"/>
      <c r="K21" s="51"/>
      <c r="L21" s="51"/>
      <c r="M21" s="75"/>
    </row>
    <row r="22" spans="1:13" s="1" customFormat="1" ht="14.1" customHeight="1">
      <c r="A22" s="40"/>
      <c r="B22" s="52" t="s">
        <v>29</v>
      </c>
      <c r="C22" s="52"/>
      <c r="D22" s="36" t="s">
        <v>50</v>
      </c>
      <c r="E22" s="37"/>
      <c r="F22" s="37"/>
      <c r="G22" s="38"/>
      <c r="H22" s="23"/>
      <c r="I22" s="23"/>
      <c r="J22" s="21"/>
      <c r="K22" s="23"/>
      <c r="L22" s="23"/>
      <c r="M22" s="76"/>
    </row>
    <row r="23" spans="1:13" s="1" customFormat="1" ht="14.1" customHeight="1">
      <c r="A23" s="40">
        <v>11</v>
      </c>
      <c r="B23" s="56" t="s">
        <v>6</v>
      </c>
      <c r="C23" s="56"/>
      <c r="D23" s="57" t="s">
        <v>7</v>
      </c>
      <c r="E23" s="58"/>
      <c r="F23" s="58"/>
      <c r="G23" s="59"/>
      <c r="H23" s="51"/>
      <c r="I23" s="51"/>
      <c r="J23" s="39"/>
      <c r="K23" s="32"/>
      <c r="L23" s="32"/>
      <c r="M23" s="82"/>
    </row>
    <row r="24" spans="1:13" s="1" customFormat="1" ht="14.1" customHeight="1">
      <c r="A24" s="40"/>
      <c r="B24" s="52" t="s">
        <v>30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99</v>
      </c>
      <c r="C25" s="50"/>
      <c r="D25" s="55" t="s">
        <v>69</v>
      </c>
      <c r="E25" s="55"/>
      <c r="F25" s="55"/>
      <c r="G25" s="55"/>
      <c r="H25" s="51"/>
      <c r="I25" s="51"/>
      <c r="J25" s="39"/>
      <c r="K25" s="32"/>
      <c r="L25" s="32"/>
      <c r="M25" s="82"/>
    </row>
    <row r="26" spans="1:13" s="1" customFormat="1" ht="14.1" customHeight="1">
      <c r="A26" s="40"/>
      <c r="B26" s="52" t="s">
        <v>31</v>
      </c>
      <c r="C26" s="52"/>
      <c r="D26" s="36" t="s">
        <v>70</v>
      </c>
      <c r="E26" s="37"/>
      <c r="F26" s="37"/>
      <c r="G26" s="38"/>
      <c r="H26" s="23"/>
      <c r="I26" s="23"/>
      <c r="J26" s="39"/>
      <c r="K26" s="32"/>
      <c r="L26" s="32"/>
      <c r="M26" s="82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>
      <c r="A28" s="111"/>
      <c r="B28" s="34"/>
      <c r="C28" s="35"/>
      <c r="D28" s="67"/>
      <c r="E28" s="68"/>
      <c r="F28" s="68"/>
      <c r="G28" s="69"/>
      <c r="H28" s="47"/>
      <c r="I28" s="47"/>
      <c r="J28" s="60"/>
      <c r="K28" s="51"/>
      <c r="L28" s="51"/>
      <c r="M28" s="75"/>
    </row>
    <row r="29" spans="1:13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39"/>
      <c r="K29" s="32"/>
      <c r="L29" s="32"/>
      <c r="M29" s="82"/>
    </row>
    <row r="30" spans="1:13" ht="14.1" customHeight="1" thickBot="1">
      <c r="A30" s="41"/>
      <c r="B30" s="27"/>
      <c r="C30" s="28"/>
      <c r="D30" s="29"/>
      <c r="E30" s="30"/>
      <c r="F30" s="30"/>
      <c r="G30" s="31"/>
      <c r="H30" s="48"/>
      <c r="I30" s="48"/>
      <c r="J30" s="22"/>
      <c r="K30" s="24"/>
      <c r="L30" s="24"/>
      <c r="M30" s="92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0006-8E30-4032-8447-DA76C4342490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764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SUM(I3)-2.5</f>
        <v>31</v>
      </c>
      <c r="I3" s="51">
        <f>SUM(J3)-2.5</f>
        <v>33.5</v>
      </c>
      <c r="J3" s="60">
        <v>36</v>
      </c>
      <c r="K3" s="51">
        <f>SUM(J3)+2.5</f>
        <v>38.5</v>
      </c>
      <c r="L3" s="51">
        <f t="shared" ref="L3:M3" si="0">SUM(K3)+2.5</f>
        <v>41</v>
      </c>
      <c r="M3" s="51">
        <f t="shared" si="0"/>
        <v>43.5</v>
      </c>
      <c r="N3" s="75">
        <f t="shared" ref="N3" si="1">SUM(M3)+2.5</f>
        <v>46</v>
      </c>
    </row>
    <row r="4" spans="1:14" s="1" customFormat="1" ht="14.1" customHeight="1">
      <c r="A4" s="66"/>
      <c r="B4" s="52" t="s">
        <v>38</v>
      </c>
      <c r="C4" s="52"/>
      <c r="D4" s="36" t="s">
        <v>765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39</v>
      </c>
      <c r="I5" s="51">
        <f>SUM(J5)-2</f>
        <v>41</v>
      </c>
      <c r="J5" s="60">
        <v>43</v>
      </c>
      <c r="K5" s="51">
        <f>SUM(J5)+1.8</f>
        <v>44.8</v>
      </c>
      <c r="L5" s="51">
        <f t="shared" ref="L5:N5" si="2">SUM(K5)+1.8</f>
        <v>46.599999999999994</v>
      </c>
      <c r="M5" s="51">
        <f t="shared" si="2"/>
        <v>48.399999999999991</v>
      </c>
      <c r="N5" s="75">
        <f t="shared" si="2"/>
        <v>50.199999999999989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38</v>
      </c>
      <c r="I7" s="51">
        <f>SUM(J7)-2</f>
        <v>40</v>
      </c>
      <c r="J7" s="60">
        <v>42</v>
      </c>
      <c r="K7" s="51">
        <f>SUM(J7)+1.8</f>
        <v>43.8</v>
      </c>
      <c r="L7" s="51">
        <f t="shared" ref="L7:N7" si="3">SUM(K7)+1.8</f>
        <v>45.599999999999994</v>
      </c>
      <c r="M7" s="51">
        <f t="shared" si="3"/>
        <v>47.399999999999991</v>
      </c>
      <c r="N7" s="75">
        <f t="shared" si="3"/>
        <v>49.199999999999989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SUM(I9)-1.9</f>
        <v>36.200000000000003</v>
      </c>
      <c r="I9" s="51">
        <f>SUM(J9)-1.9</f>
        <v>38.1</v>
      </c>
      <c r="J9" s="60">
        <v>40</v>
      </c>
      <c r="K9" s="51">
        <f>SUM(J9)+1.7</f>
        <v>41.7</v>
      </c>
      <c r="L9" s="51">
        <f t="shared" ref="L9:N9" si="4">SUM(K9)+1.7</f>
        <v>43.400000000000006</v>
      </c>
      <c r="M9" s="51">
        <f t="shared" si="4"/>
        <v>45.100000000000009</v>
      </c>
      <c r="N9" s="75">
        <f t="shared" si="4"/>
        <v>46.800000000000011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13.399999999999999</v>
      </c>
      <c r="I11" s="51">
        <f>SUM(J11)-0.8</f>
        <v>14.2</v>
      </c>
      <c r="J11" s="39">
        <v>15</v>
      </c>
      <c r="K11" s="32">
        <f>SUM(J11)+0.8</f>
        <v>15.8</v>
      </c>
      <c r="L11" s="32">
        <f>SUM(K11)+0.8</f>
        <v>16.600000000000001</v>
      </c>
      <c r="M11" s="32">
        <f>SUM(L11)+0.8</f>
        <v>17.400000000000002</v>
      </c>
      <c r="N11" s="82">
        <f>SUM(M11)+0.8</f>
        <v>18.200000000000003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2">
        <f>SUM(L13)+0.6</f>
        <v>18.800000000000004</v>
      </c>
      <c r="N13" s="82">
        <f>SUM(M13)+0.6</f>
        <v>19.400000000000006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5.7</v>
      </c>
      <c r="I15" s="51">
        <f>SUM(J15)-0.3</f>
        <v>6</v>
      </c>
      <c r="J15" s="39">
        <v>6.3</v>
      </c>
      <c r="K15" s="32">
        <f>SUM(J15)+0.3</f>
        <v>6.6</v>
      </c>
      <c r="L15" s="32">
        <f>SUM(K15)+0.3</f>
        <v>6.8999999999999995</v>
      </c>
      <c r="M15" s="32">
        <f>SUM(L15)+0.3</f>
        <v>7.1999999999999993</v>
      </c>
      <c r="N15" s="82">
        <f>SUM(M15)+0.3</f>
        <v>7.4999999999999991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36.799999999999997</v>
      </c>
      <c r="I17" s="51">
        <f>SUM(J17)-1.6</f>
        <v>38.4</v>
      </c>
      <c r="J17" s="39">
        <v>40</v>
      </c>
      <c r="K17" s="32">
        <f>SUM(J17)+1.6</f>
        <v>41.6</v>
      </c>
      <c r="L17" s="32">
        <f>SUM(K17)+1.6</f>
        <v>43.2</v>
      </c>
      <c r="M17" s="32">
        <f>SUM(L17)+1.6</f>
        <v>44.800000000000004</v>
      </c>
      <c r="N17" s="82">
        <f>SUM(M17)+1.6</f>
        <v>46.400000000000006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SUM(I19)-3.5</f>
        <v>25</v>
      </c>
      <c r="I19" s="51">
        <f>SUM(J19)-3.5</f>
        <v>28.5</v>
      </c>
      <c r="J19" s="60">
        <v>32</v>
      </c>
      <c r="K19" s="51">
        <f>SUM(J19)+3.6</f>
        <v>35.6</v>
      </c>
      <c r="L19" s="51">
        <f t="shared" ref="L19:N19" si="5">SUM(K19)+3.6</f>
        <v>39.200000000000003</v>
      </c>
      <c r="M19" s="51">
        <f t="shared" si="5"/>
        <v>42.800000000000004</v>
      </c>
      <c r="N19" s="75">
        <f t="shared" si="5"/>
        <v>46.400000000000006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26.199999999999996</v>
      </c>
      <c r="I21" s="51">
        <f>SUM(J21)-1.6</f>
        <v>27.799999999999997</v>
      </c>
      <c r="J21" s="39">
        <v>29.4</v>
      </c>
      <c r="K21" s="32">
        <f>SUM(J21)+1.6</f>
        <v>31</v>
      </c>
      <c r="L21" s="32">
        <f t="shared" ref="L21:N21" si="6">SUM(K21)+1.6</f>
        <v>32.6</v>
      </c>
      <c r="M21" s="32">
        <f t="shared" si="6"/>
        <v>34.200000000000003</v>
      </c>
      <c r="N21" s="82">
        <f t="shared" si="6"/>
        <v>35.800000000000004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16.799999999999997</v>
      </c>
      <c r="I23" s="51">
        <f>SUM(J23)-0.6</f>
        <v>17.399999999999999</v>
      </c>
      <c r="J23" s="39">
        <v>18</v>
      </c>
      <c r="K23" s="32">
        <f>SUM(J23)+0.6</f>
        <v>18.600000000000001</v>
      </c>
      <c r="L23" s="32">
        <f t="shared" ref="L23:N23" si="7">SUM(K23)+0.6</f>
        <v>19.200000000000003</v>
      </c>
      <c r="M23" s="32">
        <f t="shared" si="7"/>
        <v>19.800000000000004</v>
      </c>
      <c r="N23" s="82">
        <f t="shared" si="7"/>
        <v>20.400000000000006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SUM(I25)-0.2</f>
        <v>3.5999999999999996</v>
      </c>
      <c r="I25" s="51">
        <f>SUM(J25)-0.2</f>
        <v>3.8</v>
      </c>
      <c r="J25" s="39">
        <v>4</v>
      </c>
      <c r="K25" s="32">
        <f>SUM(J25)+0.2</f>
        <v>4.2</v>
      </c>
      <c r="L25" s="32">
        <f t="shared" ref="L25:N25" si="8">SUM(K25)+0.2</f>
        <v>4.4000000000000004</v>
      </c>
      <c r="M25" s="32">
        <f t="shared" si="8"/>
        <v>4.6000000000000005</v>
      </c>
      <c r="N25" s="82">
        <f t="shared" si="8"/>
        <v>4.8000000000000007</v>
      </c>
    </row>
    <row r="26" spans="1:14" s="1" customFormat="1" ht="14.1" customHeight="1">
      <c r="A26" s="111"/>
      <c r="B26" s="34" t="s">
        <v>140</v>
      </c>
      <c r="C26" s="35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265E-5129-493D-9B2B-AB1CE53529C4}">
  <sheetPr>
    <tabColor theme="5"/>
    <pageSetUpPr fitToPage="1"/>
  </sheetPr>
  <dimension ref="A1:P52"/>
  <sheetViews>
    <sheetView zoomScale="110" zoomScaleNormal="110" workbookViewId="0">
      <selection sqref="A1:M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62" t="s">
        <v>774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6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775</v>
      </c>
      <c r="I2" s="8" t="s">
        <v>624</v>
      </c>
      <c r="J2" s="5" t="s">
        <v>63</v>
      </c>
      <c r="K2" s="8" t="s">
        <v>64</v>
      </c>
      <c r="L2" s="8" t="s">
        <v>65</v>
      </c>
      <c r="M2" s="8" t="s">
        <v>66</v>
      </c>
    </row>
    <row r="3" spans="1:16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SUM(I3)-2.5</f>
        <v>33</v>
      </c>
      <c r="I3" s="51">
        <f>SUM(J3)-2.5</f>
        <v>35.5</v>
      </c>
      <c r="J3" s="71">
        <v>38</v>
      </c>
      <c r="K3" s="70">
        <f>SUM(J3)+3.4</f>
        <v>41.4</v>
      </c>
      <c r="L3" s="70">
        <f>SUM(K3)+3.4</f>
        <v>44.8</v>
      </c>
      <c r="M3" s="72">
        <f>SUM(L3)+2.9</f>
        <v>47.699999999999996</v>
      </c>
    </row>
    <row r="4" spans="1:16" s="1" customFormat="1" ht="14.1" customHeight="1">
      <c r="A4" s="40"/>
      <c r="B4" s="52" t="s">
        <v>776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5"/>
    </row>
    <row r="5" spans="1:16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</f>
        <v>21.3</v>
      </c>
      <c r="I5" s="51">
        <f>SUM(J5)-1</f>
        <v>22.3</v>
      </c>
      <c r="J5" s="60">
        <v>23.3</v>
      </c>
      <c r="K5" s="51">
        <f>SUM(J5)+1.6</f>
        <v>24.900000000000002</v>
      </c>
      <c r="L5" s="51">
        <f>SUM(K5)+1.6</f>
        <v>26.500000000000004</v>
      </c>
      <c r="M5" s="61">
        <f>SUM(L5)+1.4</f>
        <v>27.900000000000002</v>
      </c>
    </row>
    <row r="6" spans="1:16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5"/>
      <c r="P6" s="10" t="s">
        <v>366</v>
      </c>
    </row>
    <row r="7" spans="1:16" s="1" customFormat="1" ht="14.1" customHeight="1">
      <c r="A7" s="40">
        <v>3</v>
      </c>
      <c r="B7" s="56" t="s">
        <v>777</v>
      </c>
      <c r="C7" s="56"/>
      <c r="D7" s="55" t="s">
        <v>73</v>
      </c>
      <c r="E7" s="55"/>
      <c r="F7" s="55"/>
      <c r="G7" s="55"/>
      <c r="H7" s="51">
        <f>SUM(I7)-3</f>
        <v>58</v>
      </c>
      <c r="I7" s="51">
        <f>SUM(J7)-3</f>
        <v>61</v>
      </c>
      <c r="J7" s="60">
        <v>64</v>
      </c>
      <c r="K7" s="51">
        <f>SUM(J7)+4</f>
        <v>68</v>
      </c>
      <c r="L7" s="51">
        <f t="shared" ref="L7:M7" si="0">SUM(K7)+4</f>
        <v>72</v>
      </c>
      <c r="M7" s="61">
        <f t="shared" si="0"/>
        <v>76</v>
      </c>
      <c r="P7" s="10">
        <f>SUM(H7+I7+J7+K7+L7)/91.44/5*1.08</f>
        <v>0.76299212598425203</v>
      </c>
    </row>
    <row r="8" spans="1:16" s="1" customFormat="1" ht="14.1" customHeight="1">
      <c r="A8" s="40"/>
      <c r="B8" s="52" t="s">
        <v>778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  <c r="P8" s="10" t="s">
        <v>784</v>
      </c>
    </row>
    <row r="9" spans="1:16" s="1" customFormat="1" ht="14.1" customHeight="1">
      <c r="A9" s="40">
        <v>4</v>
      </c>
      <c r="B9" s="56" t="s">
        <v>10</v>
      </c>
      <c r="C9" s="56"/>
      <c r="D9" s="55" t="s">
        <v>0</v>
      </c>
      <c r="E9" s="55"/>
      <c r="F9" s="55"/>
      <c r="G9" s="55"/>
      <c r="H9" s="87"/>
      <c r="I9" s="87"/>
      <c r="J9" s="256"/>
      <c r="K9" s="255"/>
      <c r="L9" s="255"/>
      <c r="M9" s="33"/>
      <c r="P9" s="10">
        <f>SUM(H21+H21+I21+I21+J21+J21+K21+K21+L21+L21)/5/91.44*1.08</f>
        <v>0.42519685039370086</v>
      </c>
    </row>
    <row r="10" spans="1:16" s="1" customFormat="1" ht="14.1" customHeight="1">
      <c r="A10" s="40"/>
      <c r="B10" s="52" t="s">
        <v>26</v>
      </c>
      <c r="C10" s="52"/>
      <c r="D10" s="36" t="s">
        <v>47</v>
      </c>
      <c r="E10" s="37"/>
      <c r="F10" s="37"/>
      <c r="G10" s="38"/>
      <c r="H10" s="86"/>
      <c r="I10" s="86"/>
      <c r="J10" s="256"/>
      <c r="K10" s="255"/>
      <c r="L10" s="255"/>
      <c r="M10" s="33"/>
    </row>
    <row r="11" spans="1:16" s="1" customFormat="1" ht="14.1" customHeight="1">
      <c r="A11" s="40">
        <v>5</v>
      </c>
      <c r="B11" s="56" t="s">
        <v>1</v>
      </c>
      <c r="C11" s="56"/>
      <c r="D11" s="55" t="s">
        <v>547</v>
      </c>
      <c r="E11" s="55"/>
      <c r="F11" s="55"/>
      <c r="G11" s="55"/>
      <c r="H11" s="51">
        <f>SUM(I11)</f>
        <v>11.9</v>
      </c>
      <c r="I11" s="51">
        <f>SUM(J11)</f>
        <v>11.9</v>
      </c>
      <c r="J11" s="60">
        <v>11.9</v>
      </c>
      <c r="K11" s="51">
        <f>SUM(J11)+0.6</f>
        <v>12.5</v>
      </c>
      <c r="L11" s="51">
        <f>SUM(K11)+0.6</f>
        <v>13.1</v>
      </c>
      <c r="M11" s="61">
        <f>SUM(L11)+0.6</f>
        <v>13.7</v>
      </c>
    </row>
    <row r="12" spans="1:16" s="1" customFormat="1" ht="14.1" customHeight="1">
      <c r="A12" s="40"/>
      <c r="B12" s="52" t="s">
        <v>27</v>
      </c>
      <c r="C12" s="52"/>
      <c r="D12" s="36" t="s">
        <v>48</v>
      </c>
      <c r="E12" s="37"/>
      <c r="F12" s="37"/>
      <c r="G12" s="38"/>
      <c r="H12" s="23"/>
      <c r="I12" s="23"/>
      <c r="J12" s="21"/>
      <c r="K12" s="23"/>
      <c r="L12" s="23"/>
      <c r="M12" s="25"/>
    </row>
    <row r="13" spans="1:16" s="1" customFormat="1" ht="14.1" customHeight="1">
      <c r="A13" s="40">
        <v>6</v>
      </c>
      <c r="B13" s="56" t="s">
        <v>2</v>
      </c>
      <c r="C13" s="56"/>
      <c r="D13" s="55" t="s">
        <v>3</v>
      </c>
      <c r="E13" s="55"/>
      <c r="F13" s="55"/>
      <c r="G13" s="55"/>
      <c r="H13" s="51">
        <f>SUM(I13)</f>
        <v>6.4</v>
      </c>
      <c r="I13" s="51">
        <f>SUM(J13)</f>
        <v>6.4</v>
      </c>
      <c r="J13" s="60">
        <v>6.4</v>
      </c>
      <c r="K13" s="51">
        <f>SUM(J13)+0.3</f>
        <v>6.7</v>
      </c>
      <c r="L13" s="51">
        <f>SUM(K13)+0.3</f>
        <v>7</v>
      </c>
      <c r="M13" s="61">
        <f>SUM(L13)+0.3</f>
        <v>7.3</v>
      </c>
    </row>
    <row r="14" spans="1:16" s="1" customFormat="1" ht="14.1" customHeight="1">
      <c r="A14" s="40"/>
      <c r="B14" s="52" t="s">
        <v>28</v>
      </c>
      <c r="C14" s="52"/>
      <c r="D14" s="36" t="s">
        <v>49</v>
      </c>
      <c r="E14" s="37"/>
      <c r="F14" s="37"/>
      <c r="G14" s="38"/>
      <c r="H14" s="23"/>
      <c r="I14" s="23"/>
      <c r="J14" s="21"/>
      <c r="K14" s="23"/>
      <c r="L14" s="23"/>
      <c r="M14" s="25"/>
    </row>
    <row r="15" spans="1:16" s="1" customFormat="1" ht="14.1" customHeight="1">
      <c r="A15" s="40">
        <v>7</v>
      </c>
      <c r="B15" s="49" t="s">
        <v>74</v>
      </c>
      <c r="C15" s="50"/>
      <c r="D15" s="57" t="s">
        <v>75</v>
      </c>
      <c r="E15" s="58"/>
      <c r="F15" s="58"/>
      <c r="G15" s="59"/>
      <c r="H15" s="51">
        <f>SUM(I15)</f>
        <v>33.6</v>
      </c>
      <c r="I15" s="51">
        <f>SUM(J15)</f>
        <v>33.6</v>
      </c>
      <c r="J15" s="60">
        <v>33.6</v>
      </c>
      <c r="K15" s="51">
        <f>SUM(J15)+1.6</f>
        <v>35.200000000000003</v>
      </c>
      <c r="L15" s="51">
        <f>SUM(K15)+1.6</f>
        <v>36.800000000000004</v>
      </c>
      <c r="M15" s="61">
        <f>SUM(L15)+1.6</f>
        <v>38.400000000000006</v>
      </c>
    </row>
    <row r="16" spans="1:16" s="1" customFormat="1" ht="14.1" customHeight="1">
      <c r="A16" s="40"/>
      <c r="B16" s="52" t="s">
        <v>35</v>
      </c>
      <c r="C16" s="52"/>
      <c r="D16" s="36" t="s">
        <v>85</v>
      </c>
      <c r="E16" s="37"/>
      <c r="F16" s="37"/>
      <c r="G16" s="38"/>
      <c r="H16" s="23"/>
      <c r="I16" s="23"/>
      <c r="J16" s="21"/>
      <c r="K16" s="23"/>
      <c r="L16" s="23"/>
      <c r="M16" s="25"/>
    </row>
    <row r="17" spans="1:13" s="1" customFormat="1" ht="14.1" customHeight="1">
      <c r="A17" s="40">
        <v>8</v>
      </c>
      <c r="B17" s="56" t="s">
        <v>4</v>
      </c>
      <c r="C17" s="56"/>
      <c r="D17" s="55" t="s">
        <v>5</v>
      </c>
      <c r="E17" s="55"/>
      <c r="F17" s="55"/>
      <c r="G17" s="55"/>
      <c r="H17" s="51">
        <f>SUM(I17)-2.5</f>
        <v>28.6</v>
      </c>
      <c r="I17" s="51">
        <f>SUM(J17)-2.5</f>
        <v>31.1</v>
      </c>
      <c r="J17" s="60">
        <v>33.6</v>
      </c>
      <c r="K17" s="51">
        <f>SUM(J17)+3.7</f>
        <v>37.300000000000004</v>
      </c>
      <c r="L17" s="51">
        <f t="shared" ref="L17" si="1">SUM(K17)+3.7</f>
        <v>41.000000000000007</v>
      </c>
      <c r="M17" s="61">
        <f>SUM(L17)+3.8</f>
        <v>44.800000000000004</v>
      </c>
    </row>
    <row r="18" spans="1:13" s="1" customFormat="1" ht="14.1" customHeight="1">
      <c r="A18" s="40"/>
      <c r="B18" s="52" t="s">
        <v>730</v>
      </c>
      <c r="C18" s="52"/>
      <c r="D18" s="36" t="s">
        <v>50</v>
      </c>
      <c r="E18" s="37"/>
      <c r="F18" s="37"/>
      <c r="G18" s="38"/>
      <c r="H18" s="23"/>
      <c r="I18" s="23"/>
      <c r="J18" s="21"/>
      <c r="K18" s="23"/>
      <c r="L18" s="23"/>
      <c r="M18" s="25"/>
    </row>
    <row r="19" spans="1:13" s="1" customFormat="1" ht="14.1" customHeight="1">
      <c r="A19" s="40">
        <v>9</v>
      </c>
      <c r="B19" s="56" t="s">
        <v>6</v>
      </c>
      <c r="C19" s="56"/>
      <c r="D19" s="57" t="s">
        <v>7</v>
      </c>
      <c r="E19" s="58"/>
      <c r="F19" s="58"/>
      <c r="G19" s="59"/>
      <c r="H19" s="87">
        <f>SUM(I19)-1.5</f>
        <v>-3</v>
      </c>
      <c r="I19" s="87">
        <f>SUM(J19)-1.5</f>
        <v>-1.5</v>
      </c>
      <c r="J19" s="256"/>
      <c r="K19" s="87">
        <f>SUM(J19)+1.5</f>
        <v>1.5</v>
      </c>
      <c r="L19" s="87">
        <f>SUM(K19)+1.5</f>
        <v>3</v>
      </c>
      <c r="M19" s="61">
        <f>SUM(L19)+1.6</f>
        <v>4.5999999999999996</v>
      </c>
    </row>
    <row r="20" spans="1:13" s="1" customFormat="1" ht="14.1" customHeight="1">
      <c r="A20" s="40"/>
      <c r="B20" s="52" t="s">
        <v>30</v>
      </c>
      <c r="C20" s="52"/>
      <c r="D20" s="36" t="s">
        <v>779</v>
      </c>
      <c r="E20" s="37"/>
      <c r="F20" s="37"/>
      <c r="G20" s="38"/>
      <c r="H20" s="86"/>
      <c r="I20" s="86"/>
      <c r="J20" s="256"/>
      <c r="K20" s="86"/>
      <c r="L20" s="86"/>
      <c r="M20" s="25"/>
    </row>
    <row r="21" spans="1:13" s="1" customFormat="1" ht="14.1" customHeight="1">
      <c r="A21" s="40">
        <v>10</v>
      </c>
      <c r="B21" s="49" t="s">
        <v>780</v>
      </c>
      <c r="C21" s="50"/>
      <c r="D21" s="55"/>
      <c r="E21" s="55"/>
      <c r="F21" s="55"/>
      <c r="G21" s="55"/>
      <c r="H21" s="51">
        <f>SUM(I21)-0.6</f>
        <v>16.799999999999997</v>
      </c>
      <c r="I21" s="51">
        <f>SUM(J21)-0.6</f>
        <v>17.399999999999999</v>
      </c>
      <c r="J21" s="60">
        <v>18</v>
      </c>
      <c r="K21" s="51">
        <f>SUM(J21)+0.6</f>
        <v>18.600000000000001</v>
      </c>
      <c r="L21" s="51">
        <f>SUM(K21)+0.6</f>
        <v>19.200000000000003</v>
      </c>
      <c r="M21" s="61">
        <f>SUM(L21)+0.6</f>
        <v>19.800000000000004</v>
      </c>
    </row>
    <row r="22" spans="1:13" s="1" customFormat="1" ht="14.1" customHeight="1">
      <c r="A22" s="40"/>
      <c r="B22" s="52" t="s">
        <v>781</v>
      </c>
      <c r="C22" s="52"/>
      <c r="D22" s="36" t="s">
        <v>673</v>
      </c>
      <c r="E22" s="37"/>
      <c r="F22" s="37"/>
      <c r="G22" s="38"/>
      <c r="H22" s="23"/>
      <c r="I22" s="23"/>
      <c r="J22" s="21"/>
      <c r="K22" s="23"/>
      <c r="L22" s="23"/>
      <c r="M22" s="25"/>
    </row>
    <row r="23" spans="1:13" s="1" customFormat="1" ht="14.1" customHeight="1">
      <c r="A23" s="40">
        <v>11</v>
      </c>
      <c r="B23" s="49" t="s">
        <v>183</v>
      </c>
      <c r="C23" s="50"/>
      <c r="D23" s="93"/>
      <c r="E23" s="94"/>
      <c r="F23" s="94"/>
      <c r="G23" s="95"/>
      <c r="H23" s="51">
        <f>SUM(I23)-1.1</f>
        <v>12</v>
      </c>
      <c r="I23" s="51">
        <f>SUM(J23)-1.1</f>
        <v>13.1</v>
      </c>
      <c r="J23" s="60">
        <v>14.2</v>
      </c>
      <c r="K23" s="51">
        <f>SUM(J23)+0.8</f>
        <v>15</v>
      </c>
      <c r="L23" s="51">
        <f t="shared" ref="L23:M23" si="2">SUM(K23)+0.8</f>
        <v>15.8</v>
      </c>
      <c r="M23" s="61">
        <f t="shared" si="2"/>
        <v>16.600000000000001</v>
      </c>
    </row>
    <row r="24" spans="1:13" s="1" customFormat="1" ht="14.1" customHeight="1">
      <c r="A24" s="40"/>
      <c r="B24" s="34" t="s">
        <v>184</v>
      </c>
      <c r="C24" s="35"/>
      <c r="D24" s="36" t="s">
        <v>782</v>
      </c>
      <c r="E24" s="37"/>
      <c r="F24" s="37"/>
      <c r="G24" s="38"/>
      <c r="H24" s="23"/>
      <c r="I24" s="23"/>
      <c r="J24" s="21"/>
      <c r="K24" s="23"/>
      <c r="L24" s="23"/>
      <c r="M24" s="25"/>
    </row>
    <row r="25" spans="1:13" s="1" customFormat="1" ht="14.1" customHeight="1">
      <c r="A25" s="40">
        <v>12</v>
      </c>
      <c r="B25" s="53" t="s">
        <v>186</v>
      </c>
      <c r="C25" s="54"/>
      <c r="D25" s="93"/>
      <c r="E25" s="94"/>
      <c r="F25" s="94"/>
      <c r="G25" s="95"/>
      <c r="H25" s="51">
        <f>SUM(I25)-1</f>
        <v>15</v>
      </c>
      <c r="I25" s="51">
        <f>SUM(J25)-1</f>
        <v>16</v>
      </c>
      <c r="J25" s="60">
        <v>17</v>
      </c>
      <c r="K25" s="51">
        <f>SUM(J25)+0.9</f>
        <v>17.899999999999999</v>
      </c>
      <c r="L25" s="51">
        <f t="shared" ref="L25:M25" si="3">SUM(K25)+0.9</f>
        <v>18.799999999999997</v>
      </c>
      <c r="M25" s="61">
        <f t="shared" si="3"/>
        <v>19.699999999999996</v>
      </c>
    </row>
    <row r="26" spans="1:13" s="1" customFormat="1" ht="14.1" customHeight="1">
      <c r="A26" s="40"/>
      <c r="B26" s="34" t="s">
        <v>187</v>
      </c>
      <c r="C26" s="35"/>
      <c r="D26" s="36" t="s">
        <v>783</v>
      </c>
      <c r="E26" s="37"/>
      <c r="F26" s="37"/>
      <c r="G26" s="38"/>
      <c r="H26" s="23"/>
      <c r="I26" s="23"/>
      <c r="J26" s="21"/>
      <c r="K26" s="23"/>
      <c r="L26" s="23"/>
      <c r="M26" s="25"/>
    </row>
    <row r="27" spans="1:13" s="1" customFormat="1" ht="14.1" customHeight="1">
      <c r="A27" s="40">
        <v>13</v>
      </c>
      <c r="B27" s="53" t="s">
        <v>388</v>
      </c>
      <c r="C27" s="54"/>
      <c r="D27" s="99"/>
      <c r="E27" s="99"/>
      <c r="F27" s="99"/>
      <c r="G27" s="99"/>
      <c r="H27" s="51">
        <f>SUM(I27)-1.5</f>
        <v>18</v>
      </c>
      <c r="I27" s="51">
        <f>SUM(J27)-1.5</f>
        <v>19.5</v>
      </c>
      <c r="J27" s="60">
        <v>21</v>
      </c>
      <c r="K27" s="51">
        <f>SUM(J27)+2.5</f>
        <v>23.5</v>
      </c>
      <c r="L27" s="51">
        <f>SUM(K27)+2.5</f>
        <v>26</v>
      </c>
      <c r="M27" s="61">
        <f>SUM(L27)+2</f>
        <v>28</v>
      </c>
    </row>
    <row r="28" spans="1:13" s="1" customFormat="1" ht="14.1" customHeight="1">
      <c r="A28" s="40"/>
      <c r="B28" s="34" t="s">
        <v>389</v>
      </c>
      <c r="C28" s="35"/>
      <c r="D28" s="36" t="s">
        <v>286</v>
      </c>
      <c r="E28" s="37"/>
      <c r="F28" s="37"/>
      <c r="G28" s="38"/>
      <c r="H28" s="23"/>
      <c r="I28" s="23"/>
      <c r="J28" s="21"/>
      <c r="K28" s="23"/>
      <c r="L28" s="23"/>
      <c r="M28" s="25"/>
    </row>
    <row r="29" spans="1:13" s="1" customFormat="1" ht="14.1" customHeight="1">
      <c r="A29" s="40">
        <v>14</v>
      </c>
      <c r="B29" s="49"/>
      <c r="C29" s="50"/>
      <c r="D29" s="93"/>
      <c r="E29" s="94"/>
      <c r="F29" s="94"/>
      <c r="G29" s="95"/>
      <c r="H29" s="51"/>
      <c r="I29" s="51"/>
      <c r="J29" s="60"/>
      <c r="K29" s="51"/>
      <c r="L29" s="51"/>
      <c r="M29" s="75"/>
    </row>
    <row r="30" spans="1:13" s="1" customFormat="1" ht="14.1" customHeight="1">
      <c r="A30" s="40"/>
      <c r="B30" s="34"/>
      <c r="C30" s="35"/>
      <c r="D30" s="36"/>
      <c r="E30" s="37"/>
      <c r="F30" s="37"/>
      <c r="G30" s="38"/>
      <c r="H30" s="23"/>
      <c r="I30" s="23"/>
      <c r="J30" s="21"/>
      <c r="K30" s="23"/>
      <c r="L30" s="23"/>
      <c r="M30" s="76"/>
    </row>
    <row r="31" spans="1:13" s="1" customFormat="1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51"/>
      <c r="J31" s="39"/>
      <c r="K31" s="32"/>
      <c r="L31" s="32"/>
      <c r="M31" s="75"/>
    </row>
    <row r="32" spans="1:13" s="1" customFormat="1" ht="14.1" customHeight="1">
      <c r="A32" s="40"/>
      <c r="B32" s="34"/>
      <c r="C32" s="35"/>
      <c r="D32" s="36"/>
      <c r="E32" s="37"/>
      <c r="F32" s="37"/>
      <c r="G32" s="38"/>
      <c r="H32" s="47"/>
      <c r="I32" s="47"/>
      <c r="J32" s="39"/>
      <c r="K32" s="51"/>
      <c r="L32" s="51"/>
      <c r="M32" s="76"/>
    </row>
    <row r="33" spans="1:14" s="1" customFormat="1" ht="14.1" customHeight="1">
      <c r="A33" s="40">
        <v>16</v>
      </c>
      <c r="B33" s="53"/>
      <c r="C33" s="54"/>
      <c r="D33" s="93"/>
      <c r="E33" s="94"/>
      <c r="F33" s="94"/>
      <c r="G33" s="95"/>
      <c r="H33" s="51"/>
      <c r="I33" s="51"/>
      <c r="J33" s="39"/>
      <c r="K33" s="32"/>
      <c r="L33" s="32"/>
      <c r="M33" s="75"/>
    </row>
    <row r="34" spans="1:14" s="1" customFormat="1" ht="14.1" customHeight="1">
      <c r="A34" s="40"/>
      <c r="B34" s="53"/>
      <c r="C34" s="54"/>
      <c r="D34" s="67"/>
      <c r="E34" s="68"/>
      <c r="F34" s="68"/>
      <c r="G34" s="69"/>
      <c r="H34" s="47"/>
      <c r="I34" s="47"/>
      <c r="J34" s="39"/>
      <c r="K34" s="51"/>
      <c r="L34" s="51"/>
      <c r="M34" s="76"/>
    </row>
    <row r="35" spans="1:14" s="1" customFormat="1" ht="14.1" customHeight="1">
      <c r="A35" s="40">
        <v>17</v>
      </c>
      <c r="B35" s="56"/>
      <c r="C35" s="56"/>
      <c r="D35" s="55"/>
      <c r="E35" s="55"/>
      <c r="F35" s="55"/>
      <c r="G35" s="55"/>
      <c r="H35" s="51"/>
      <c r="I35" s="51"/>
      <c r="J35" s="60"/>
      <c r="K35" s="51"/>
      <c r="L35" s="51"/>
      <c r="M35" s="75"/>
    </row>
    <row r="36" spans="1:14" s="1" customFormat="1" ht="14.1" customHeight="1" thickBot="1">
      <c r="A36" s="41"/>
      <c r="B36" s="132"/>
      <c r="C36" s="132"/>
      <c r="D36" s="29"/>
      <c r="E36" s="30"/>
      <c r="F36" s="30"/>
      <c r="G36" s="31"/>
      <c r="H36" s="48"/>
      <c r="I36" s="48"/>
      <c r="J36" s="110"/>
      <c r="K36" s="48"/>
      <c r="L36" s="48"/>
      <c r="M36" s="109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CABC-F50D-4376-97FF-C67EF68A3017}">
  <sheetPr>
    <tabColor theme="5"/>
    <pageSetUpPr fitToPage="1"/>
  </sheetPr>
  <dimension ref="A1:N52"/>
  <sheetViews>
    <sheetView zoomScale="110" zoomScaleNormal="110" workbookViewId="0">
      <selection activeCell="H2" sqref="H2:H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727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5" t="s">
        <v>63</v>
      </c>
      <c r="J2" s="8" t="s">
        <v>64</v>
      </c>
      <c r="K2" s="8" t="s">
        <v>65</v>
      </c>
      <c r="L2" s="8" t="s">
        <v>66</v>
      </c>
      <c r="M2" s="8" t="s">
        <v>703</v>
      </c>
    </row>
    <row r="3" spans="1:13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34.5</v>
      </c>
      <c r="I3" s="71">
        <v>38</v>
      </c>
      <c r="J3" s="70">
        <f>SUM(I3)+3.5</f>
        <v>41.5</v>
      </c>
      <c r="K3" s="70">
        <f>SUM(J3)+3.5</f>
        <v>45</v>
      </c>
      <c r="L3" s="70">
        <f>SUM(K3)+3</f>
        <v>48</v>
      </c>
      <c r="M3" s="72">
        <f>SUM(L3)+3</f>
        <v>51</v>
      </c>
    </row>
    <row r="4" spans="1:13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1"/>
      <c r="J4" s="23"/>
      <c r="K4" s="23"/>
      <c r="L4" s="23"/>
      <c r="M4" s="25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22.2</v>
      </c>
      <c r="I5" s="60">
        <v>24</v>
      </c>
      <c r="J5" s="51">
        <f>SUM(I5)+1.8</f>
        <v>25.8</v>
      </c>
      <c r="K5" s="51">
        <f>SUM(J5)+1.8</f>
        <v>27.6</v>
      </c>
      <c r="L5" s="51">
        <f>SUM(K5)+1.6</f>
        <v>29.200000000000003</v>
      </c>
      <c r="M5" s="61">
        <f>SUM(L5)+2</f>
        <v>31.200000000000003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1"/>
      <c r="J6" s="23"/>
      <c r="K6" s="23"/>
      <c r="L6" s="23"/>
      <c r="M6" s="25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25</v>
      </c>
      <c r="I7" s="60">
        <v>27</v>
      </c>
      <c r="J7" s="51">
        <f>SUM(I7)+2</f>
        <v>29</v>
      </c>
      <c r="K7" s="51">
        <f t="shared" ref="K7" si="0">SUM(J7)+2</f>
        <v>31</v>
      </c>
      <c r="L7" s="51">
        <f>SUM(K7)+1.8</f>
        <v>32.799999999999997</v>
      </c>
      <c r="M7" s="61">
        <f>SUM(L7)+2</f>
        <v>34.799999999999997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1"/>
      <c r="J8" s="23"/>
      <c r="K8" s="23"/>
      <c r="L8" s="23"/>
      <c r="M8" s="25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25</v>
      </c>
      <c r="I9" s="60">
        <v>27</v>
      </c>
      <c r="J9" s="51">
        <f>SUM(I9)+2</f>
        <v>29</v>
      </c>
      <c r="K9" s="51">
        <f t="shared" ref="K9" si="1">SUM(J9)+2</f>
        <v>31</v>
      </c>
      <c r="L9" s="51">
        <f>SUM(K9)+1.8</f>
        <v>32.799999999999997</v>
      </c>
      <c r="M9" s="61">
        <f>SUM(L9)+1.7</f>
        <v>34.5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1"/>
      <c r="J10" s="23"/>
      <c r="K10" s="23"/>
      <c r="L10" s="23"/>
      <c r="M10" s="25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12.399999999999999</v>
      </c>
      <c r="I11" s="60">
        <v>13.2</v>
      </c>
      <c r="J11" s="51">
        <f>SUM(I11)+0.8</f>
        <v>14</v>
      </c>
      <c r="K11" s="51">
        <f t="shared" ref="K11:M11" si="2">SUM(J11)+0.8</f>
        <v>14.8</v>
      </c>
      <c r="L11" s="51">
        <f t="shared" si="2"/>
        <v>15.600000000000001</v>
      </c>
      <c r="M11" s="61">
        <f t="shared" si="2"/>
        <v>16.400000000000002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1"/>
      <c r="J12" s="23"/>
      <c r="K12" s="23"/>
      <c r="L12" s="23"/>
      <c r="M12" s="25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</f>
        <v>12.3</v>
      </c>
      <c r="I13" s="60">
        <v>12.3</v>
      </c>
      <c r="J13" s="51">
        <f>SUM(I13)+0.6</f>
        <v>12.9</v>
      </c>
      <c r="K13" s="51">
        <f>SUM(J13)+0.6</f>
        <v>13.5</v>
      </c>
      <c r="L13" s="51">
        <f>SUM(K13)+0.6</f>
        <v>14.1</v>
      </c>
      <c r="M13" s="61">
        <f>SUM(L13)+0.6</f>
        <v>14.7</v>
      </c>
    </row>
    <row r="14" spans="1:13" s="1" customFormat="1" ht="14.1" customHeight="1">
      <c r="A14" s="40"/>
      <c r="B14" s="52" t="s">
        <v>27</v>
      </c>
      <c r="C14" s="52"/>
      <c r="D14" s="36" t="s">
        <v>728</v>
      </c>
      <c r="E14" s="37"/>
      <c r="F14" s="37"/>
      <c r="G14" s="38"/>
      <c r="H14" s="23"/>
      <c r="I14" s="21"/>
      <c r="J14" s="23"/>
      <c r="K14" s="23"/>
      <c r="L14" s="23"/>
      <c r="M14" s="25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</f>
        <v>5.3</v>
      </c>
      <c r="I15" s="60">
        <v>5.3</v>
      </c>
      <c r="J15" s="51">
        <f>SUM(I15)+0.3</f>
        <v>5.6</v>
      </c>
      <c r="K15" s="51">
        <f>SUM(J15)+0.3</f>
        <v>5.8999999999999995</v>
      </c>
      <c r="L15" s="51">
        <f>SUM(K15)+0.3</f>
        <v>6.1999999999999993</v>
      </c>
      <c r="M15" s="61">
        <f>SUM(L15)+0.3</f>
        <v>6.4999999999999991</v>
      </c>
    </row>
    <row r="16" spans="1:13" s="1" customFormat="1" ht="14.1" customHeight="1">
      <c r="A16" s="40"/>
      <c r="B16" s="52" t="s">
        <v>28</v>
      </c>
      <c r="C16" s="52"/>
      <c r="D16" s="36" t="s">
        <v>358</v>
      </c>
      <c r="E16" s="37"/>
      <c r="F16" s="37"/>
      <c r="G16" s="38"/>
      <c r="H16" s="23"/>
      <c r="I16" s="21"/>
      <c r="J16" s="23"/>
      <c r="K16" s="23"/>
      <c r="L16" s="23"/>
      <c r="M16" s="25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</f>
        <v>34.6</v>
      </c>
      <c r="I17" s="60">
        <v>34.6</v>
      </c>
      <c r="J17" s="51">
        <f>SUM(I17)+1.6</f>
        <v>36.200000000000003</v>
      </c>
      <c r="K17" s="51">
        <f>SUM(J17)+1.6</f>
        <v>37.800000000000004</v>
      </c>
      <c r="L17" s="51">
        <f>SUM(K17)+1.6</f>
        <v>39.400000000000006</v>
      </c>
      <c r="M17" s="61">
        <f>SUM(L17)+1.6</f>
        <v>41.000000000000007</v>
      </c>
    </row>
    <row r="18" spans="1:13" s="1" customFormat="1" ht="14.1" customHeight="1">
      <c r="A18" s="40"/>
      <c r="B18" s="52" t="s">
        <v>35</v>
      </c>
      <c r="C18" s="52"/>
      <c r="D18" s="36" t="s">
        <v>729</v>
      </c>
      <c r="E18" s="37"/>
      <c r="F18" s="37"/>
      <c r="G18" s="38"/>
      <c r="H18" s="23"/>
      <c r="I18" s="21"/>
      <c r="J18" s="23"/>
      <c r="K18" s="23"/>
      <c r="L18" s="23"/>
      <c r="M18" s="25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28.699999999999996</v>
      </c>
      <c r="I19" s="60">
        <v>32.299999999999997</v>
      </c>
      <c r="J19" s="51">
        <f>SUM(I19)+3.6</f>
        <v>35.9</v>
      </c>
      <c r="K19" s="51">
        <f>SUM(J19)+3.6</f>
        <v>39.5</v>
      </c>
      <c r="L19" s="51">
        <f>SUM(K19)+3.7</f>
        <v>43.2</v>
      </c>
      <c r="M19" s="61">
        <f>SUM(L19)+3.5</f>
        <v>46.7</v>
      </c>
    </row>
    <row r="20" spans="1:13" s="1" customFormat="1" ht="14.1" customHeight="1">
      <c r="A20" s="40"/>
      <c r="B20" s="52" t="s">
        <v>730</v>
      </c>
      <c r="C20" s="52"/>
      <c r="D20" s="36" t="s">
        <v>50</v>
      </c>
      <c r="E20" s="37"/>
      <c r="F20" s="37"/>
      <c r="G20" s="38"/>
      <c r="H20" s="23"/>
      <c r="I20" s="21"/>
      <c r="J20" s="23"/>
      <c r="K20" s="23"/>
      <c r="L20" s="23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SUM(I21)-1.1</f>
        <v>17.599999999999998</v>
      </c>
      <c r="I21" s="39">
        <v>18.7</v>
      </c>
      <c r="J21" s="51">
        <f>SUM(I21)+1.1</f>
        <v>19.8</v>
      </c>
      <c r="K21" s="51">
        <f t="shared" ref="K21:L21" si="3">SUM(J21)+1.1</f>
        <v>20.900000000000002</v>
      </c>
      <c r="L21" s="51">
        <f t="shared" si="3"/>
        <v>22.000000000000004</v>
      </c>
      <c r="M21" s="61">
        <f t="shared" ref="M21" si="4">SUM(L21)+1.5</f>
        <v>23.500000000000004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39"/>
      <c r="J22" s="23"/>
      <c r="K22" s="23"/>
      <c r="L22" s="23"/>
      <c r="M22" s="25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13.3</v>
      </c>
      <c r="I23" s="60">
        <v>14</v>
      </c>
      <c r="J23" s="51">
        <f>SUM(I23)+0.7</f>
        <v>14.7</v>
      </c>
      <c r="K23" s="51">
        <f t="shared" ref="K23:L23" si="5">SUM(J23)+0.7</f>
        <v>15.399999999999999</v>
      </c>
      <c r="L23" s="51">
        <f t="shared" si="5"/>
        <v>16.099999999999998</v>
      </c>
      <c r="M23" s="61">
        <f>SUM(L23)+0.6</f>
        <v>16.7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1"/>
      <c r="J24" s="23"/>
      <c r="K24" s="23"/>
      <c r="L24" s="23"/>
      <c r="M24" s="25"/>
    </row>
    <row r="25" spans="1:13" s="1" customFormat="1" ht="14.1" customHeight="1">
      <c r="A25" s="40">
        <v>12</v>
      </c>
      <c r="B25" s="49" t="s">
        <v>141</v>
      </c>
      <c r="C25" s="50"/>
      <c r="D25" s="93" t="s">
        <v>731</v>
      </c>
      <c r="E25" s="94"/>
      <c r="F25" s="94"/>
      <c r="G25" s="95"/>
      <c r="H25" s="51">
        <f>SUM(I25)</f>
        <v>1</v>
      </c>
      <c r="I25" s="60">
        <v>1</v>
      </c>
      <c r="J25" s="51">
        <f>SUM(I25)</f>
        <v>1</v>
      </c>
      <c r="K25" s="51">
        <f t="shared" ref="K25:L25" si="6">SUM(J25)</f>
        <v>1</v>
      </c>
      <c r="L25" s="51">
        <f t="shared" si="6"/>
        <v>1</v>
      </c>
      <c r="M25" s="61">
        <f t="shared" ref="M25" si="7">SUM(L25)+0.3</f>
        <v>1.3</v>
      </c>
    </row>
    <row r="26" spans="1:13" s="1" customFormat="1" ht="14.1" customHeight="1">
      <c r="A26" s="40"/>
      <c r="B26" s="34" t="s">
        <v>140</v>
      </c>
      <c r="C26" s="35"/>
      <c r="D26" s="36" t="s">
        <v>732</v>
      </c>
      <c r="E26" s="37"/>
      <c r="F26" s="37"/>
      <c r="G26" s="38"/>
      <c r="H26" s="23"/>
      <c r="I26" s="21"/>
      <c r="J26" s="23"/>
      <c r="K26" s="23"/>
      <c r="L26" s="23"/>
      <c r="M26" s="25"/>
    </row>
    <row r="27" spans="1:13" s="1" customFormat="1" ht="14.1" customHeight="1">
      <c r="A27" s="40">
        <v>13</v>
      </c>
      <c r="B27" s="53"/>
      <c r="C27" s="54"/>
      <c r="D27" s="93"/>
      <c r="E27" s="94"/>
      <c r="F27" s="94"/>
      <c r="G27" s="95"/>
      <c r="H27" s="51"/>
      <c r="I27" s="60"/>
      <c r="J27" s="51"/>
      <c r="K27" s="51"/>
      <c r="L27" s="51"/>
      <c r="M27" s="61">
        <f t="shared" ref="M27" si="8">SUM(L27)+0.2</f>
        <v>0.2</v>
      </c>
    </row>
    <row r="28" spans="1:13" s="1" customFormat="1" ht="14.1" customHeight="1">
      <c r="A28" s="111"/>
      <c r="B28" s="34"/>
      <c r="C28" s="35"/>
      <c r="D28" s="36"/>
      <c r="E28" s="37"/>
      <c r="F28" s="37"/>
      <c r="G28" s="38"/>
      <c r="H28" s="23"/>
      <c r="I28" s="21"/>
      <c r="J28" s="23"/>
      <c r="K28" s="23"/>
      <c r="L28" s="23"/>
      <c r="M28" s="225"/>
    </row>
    <row r="29" spans="1:13" s="1" customFormat="1" ht="14.1" customHeight="1">
      <c r="A29" s="40">
        <v>14</v>
      </c>
      <c r="B29" s="53"/>
      <c r="C29" s="54"/>
      <c r="D29" s="99"/>
      <c r="E29" s="99"/>
      <c r="F29" s="99"/>
      <c r="G29" s="99"/>
      <c r="H29" s="51"/>
      <c r="I29" s="21"/>
      <c r="J29" s="51"/>
      <c r="K29" s="51"/>
      <c r="L29" s="51"/>
      <c r="M29" s="75"/>
    </row>
    <row r="30" spans="1:13" s="1" customFormat="1" ht="14.1" customHeight="1">
      <c r="A30" s="40"/>
      <c r="B30" s="34"/>
      <c r="C30" s="35"/>
      <c r="D30" s="36"/>
      <c r="E30" s="37"/>
      <c r="F30" s="37"/>
      <c r="G30" s="38"/>
      <c r="H30" s="23"/>
      <c r="I30" s="39"/>
      <c r="J30" s="23"/>
      <c r="K30" s="23"/>
      <c r="L30" s="23"/>
      <c r="M30" s="76"/>
    </row>
    <row r="31" spans="1:13" s="1" customFormat="1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39"/>
      <c r="J31" s="51"/>
      <c r="K31" s="51"/>
      <c r="L31" s="51"/>
      <c r="M31" s="75"/>
    </row>
    <row r="32" spans="1:13" s="1" customFormat="1" ht="14.1" customHeight="1">
      <c r="A32" s="40"/>
      <c r="B32" s="34"/>
      <c r="C32" s="35"/>
      <c r="D32" s="36"/>
      <c r="E32" s="37"/>
      <c r="F32" s="37"/>
      <c r="G32" s="38"/>
      <c r="H32" s="23"/>
      <c r="I32" s="39"/>
      <c r="J32" s="23"/>
      <c r="K32" s="23"/>
      <c r="L32" s="23"/>
      <c r="M32" s="76"/>
    </row>
    <row r="33" spans="1:14" s="1" customFormat="1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39"/>
      <c r="J33" s="32"/>
      <c r="K33" s="32"/>
      <c r="L33" s="51"/>
      <c r="M33" s="75"/>
    </row>
    <row r="34" spans="1:14" s="1" customFormat="1" ht="14.1" customHeight="1">
      <c r="A34" s="111"/>
      <c r="B34" s="34"/>
      <c r="C34" s="35"/>
      <c r="D34" s="36"/>
      <c r="E34" s="37"/>
      <c r="F34" s="37"/>
      <c r="G34" s="38"/>
      <c r="H34" s="47"/>
      <c r="I34" s="39"/>
      <c r="J34" s="51"/>
      <c r="K34" s="51"/>
      <c r="L34" s="23"/>
      <c r="M34" s="76"/>
    </row>
    <row r="35" spans="1:14" s="1" customFormat="1" ht="14.1" customHeight="1">
      <c r="A35" s="40">
        <v>17</v>
      </c>
      <c r="B35" s="53"/>
      <c r="C35" s="54"/>
      <c r="D35" s="93"/>
      <c r="E35" s="94"/>
      <c r="F35" s="94"/>
      <c r="G35" s="95"/>
      <c r="H35" s="51"/>
      <c r="I35" s="39"/>
      <c r="J35" s="32"/>
      <c r="K35" s="32"/>
      <c r="L35" s="51"/>
      <c r="M35" s="75"/>
    </row>
    <row r="36" spans="1:14" s="1" customFormat="1" ht="14.1" customHeight="1">
      <c r="A36" s="111"/>
      <c r="B36" s="53"/>
      <c r="C36" s="54"/>
      <c r="D36" s="67"/>
      <c r="E36" s="68"/>
      <c r="F36" s="68"/>
      <c r="G36" s="69"/>
      <c r="H36" s="47"/>
      <c r="I36" s="39"/>
      <c r="J36" s="51"/>
      <c r="K36" s="51"/>
      <c r="L36" s="23"/>
      <c r="M36" s="76"/>
    </row>
    <row r="37" spans="1:14" s="1" customFormat="1" ht="14.1" customHeight="1">
      <c r="A37" s="40">
        <v>18</v>
      </c>
      <c r="B37" s="56"/>
      <c r="C37" s="56"/>
      <c r="D37" s="55"/>
      <c r="E37" s="55"/>
      <c r="F37" s="55"/>
      <c r="G37" s="55"/>
      <c r="H37" s="51"/>
      <c r="I37" s="60"/>
      <c r="J37" s="51"/>
      <c r="K37" s="51"/>
      <c r="L37" s="51"/>
      <c r="M37" s="75"/>
    </row>
    <row r="38" spans="1:14" s="1" customFormat="1" ht="14.1" customHeight="1" thickBot="1">
      <c r="A38" s="41"/>
      <c r="B38" s="132"/>
      <c r="C38" s="132"/>
      <c r="D38" s="29"/>
      <c r="E38" s="30"/>
      <c r="F38" s="30"/>
      <c r="G38" s="31"/>
      <c r="H38" s="48"/>
      <c r="I38" s="110"/>
      <c r="J38" s="48"/>
      <c r="K38" s="48"/>
      <c r="L38" s="48"/>
      <c r="M38" s="109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86A0-F38D-4E5D-B2FA-B9FB494F2D83}">
  <sheetPr>
    <tabColor theme="5"/>
    <pageSetUpPr fitToPage="1"/>
  </sheetPr>
  <dimension ref="A1:N52"/>
  <sheetViews>
    <sheetView zoomScale="110" zoomScaleNormal="110" workbookViewId="0">
      <selection activeCell="P14" sqref="P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733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5" t="s">
        <v>63</v>
      </c>
      <c r="J2" s="8" t="s">
        <v>64</v>
      </c>
      <c r="K2" s="8" t="s">
        <v>65</v>
      </c>
      <c r="L2" s="8" t="s">
        <v>66</v>
      </c>
      <c r="M2" s="8" t="s">
        <v>703</v>
      </c>
    </row>
    <row r="3" spans="1:13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36.5</v>
      </c>
      <c r="I3" s="71">
        <v>40</v>
      </c>
      <c r="J3" s="70">
        <f>SUM(I3)+3.5</f>
        <v>43.5</v>
      </c>
      <c r="K3" s="70">
        <f>SUM(J3)+3.5</f>
        <v>47</v>
      </c>
      <c r="L3" s="70">
        <f>SUM(K3)+3</f>
        <v>50</v>
      </c>
      <c r="M3" s="72">
        <f>SUM(L3)+3</f>
        <v>53</v>
      </c>
    </row>
    <row r="4" spans="1:13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1"/>
      <c r="J4" s="23"/>
      <c r="K4" s="23"/>
      <c r="L4" s="23"/>
      <c r="M4" s="25"/>
    </row>
    <row r="5" spans="1:13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</f>
        <v>35</v>
      </c>
      <c r="I5" s="60">
        <v>37</v>
      </c>
      <c r="J5" s="51">
        <f>SUM(I5)+2</f>
        <v>39</v>
      </c>
      <c r="K5" s="51">
        <f>SUM(J5)+2</f>
        <v>41</v>
      </c>
      <c r="L5" s="51">
        <f>SUM(K5)+1.8</f>
        <v>42.8</v>
      </c>
      <c r="M5" s="61">
        <f>SUM(L5)+2</f>
        <v>44.8</v>
      </c>
    </row>
    <row r="6" spans="1:13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1"/>
      <c r="J6" s="23"/>
      <c r="K6" s="23"/>
      <c r="L6" s="23"/>
      <c r="M6" s="25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37.75</v>
      </c>
      <c r="I7" s="60">
        <v>40</v>
      </c>
      <c r="J7" s="51">
        <f>SUM(I7)+2.25</f>
        <v>42.25</v>
      </c>
      <c r="K7" s="51">
        <f>SUM(J7)+2.25</f>
        <v>44.5</v>
      </c>
      <c r="L7" s="51">
        <f>SUM(K7)+2</f>
        <v>46.5</v>
      </c>
      <c r="M7" s="61">
        <f>SUM(L7)+2</f>
        <v>48.5</v>
      </c>
    </row>
    <row r="8" spans="1:13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1"/>
      <c r="J8" s="23"/>
      <c r="K8" s="23"/>
      <c r="L8" s="23"/>
      <c r="M8" s="25"/>
    </row>
    <row r="9" spans="1:13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SUM(I9)-1.8</f>
        <v>30.2</v>
      </c>
      <c r="I9" s="60">
        <v>32</v>
      </c>
      <c r="J9" s="51">
        <f>SUM(I9)+1.8</f>
        <v>33.799999999999997</v>
      </c>
      <c r="K9" s="51">
        <f>SUM(J9)+1.8</f>
        <v>35.599999999999994</v>
      </c>
      <c r="L9" s="51">
        <f>SUM(K9)+1.6</f>
        <v>37.199999999999996</v>
      </c>
      <c r="M9" s="61">
        <f>SUM(L9)+1.7</f>
        <v>38.9</v>
      </c>
    </row>
    <row r="10" spans="1:13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1"/>
      <c r="J10" s="23"/>
      <c r="K10" s="23"/>
      <c r="L10" s="23"/>
      <c r="M10" s="25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13.7</v>
      </c>
      <c r="I11" s="60">
        <v>14.5</v>
      </c>
      <c r="J11" s="51">
        <f>SUM(I11)+0.8</f>
        <v>15.3</v>
      </c>
      <c r="K11" s="51">
        <f t="shared" ref="K11:M11" si="0">SUM(J11)+0.8</f>
        <v>16.100000000000001</v>
      </c>
      <c r="L11" s="51">
        <f t="shared" si="0"/>
        <v>16.900000000000002</v>
      </c>
      <c r="M11" s="61">
        <f t="shared" si="0"/>
        <v>17.700000000000003</v>
      </c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1"/>
      <c r="J12" s="23"/>
      <c r="K12" s="23"/>
      <c r="L12" s="23"/>
      <c r="M12" s="25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</f>
        <v>14.6</v>
      </c>
      <c r="I13" s="60">
        <v>14.6</v>
      </c>
      <c r="J13" s="51">
        <f>SUM(I13)+0.6</f>
        <v>15.2</v>
      </c>
      <c r="K13" s="51">
        <f>SUM(J13)+0.6</f>
        <v>15.799999999999999</v>
      </c>
      <c r="L13" s="51">
        <f>SUM(K13)+0.6</f>
        <v>16.399999999999999</v>
      </c>
      <c r="M13" s="61">
        <f>SUM(L13)+0.6</f>
        <v>17</v>
      </c>
    </row>
    <row r="14" spans="1:13" s="1" customFormat="1" ht="14.1" customHeight="1">
      <c r="A14" s="40"/>
      <c r="B14" s="52" t="s">
        <v>27</v>
      </c>
      <c r="C14" s="52"/>
      <c r="D14" s="36" t="s">
        <v>728</v>
      </c>
      <c r="E14" s="37"/>
      <c r="F14" s="37"/>
      <c r="G14" s="38"/>
      <c r="H14" s="23"/>
      <c r="I14" s="21"/>
      <c r="J14" s="23"/>
      <c r="K14" s="23"/>
      <c r="L14" s="23"/>
      <c r="M14" s="25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</f>
        <v>6.5</v>
      </c>
      <c r="I15" s="60">
        <v>6.5</v>
      </c>
      <c r="J15" s="51">
        <f>SUM(I15)+0.3</f>
        <v>6.8</v>
      </c>
      <c r="K15" s="51">
        <f>SUM(J15)+0.3</f>
        <v>7.1</v>
      </c>
      <c r="L15" s="51">
        <f>SUM(K15)+0.3</f>
        <v>7.3999999999999995</v>
      </c>
      <c r="M15" s="61">
        <f>SUM(L15)+0.3</f>
        <v>7.6999999999999993</v>
      </c>
    </row>
    <row r="16" spans="1:13" s="1" customFormat="1" ht="14.1" customHeight="1">
      <c r="A16" s="40"/>
      <c r="B16" s="52" t="s">
        <v>28</v>
      </c>
      <c r="C16" s="52"/>
      <c r="D16" s="36" t="s">
        <v>358</v>
      </c>
      <c r="E16" s="37"/>
      <c r="F16" s="37"/>
      <c r="G16" s="38"/>
      <c r="H16" s="23"/>
      <c r="I16" s="21"/>
      <c r="J16" s="23"/>
      <c r="K16" s="23"/>
      <c r="L16" s="23"/>
      <c r="M16" s="25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</f>
        <v>37</v>
      </c>
      <c r="I17" s="60">
        <v>37</v>
      </c>
      <c r="J17" s="51">
        <f>SUM(I17)+1.6</f>
        <v>38.6</v>
      </c>
      <c r="K17" s="51">
        <f>SUM(J17)+1.6</f>
        <v>40.200000000000003</v>
      </c>
      <c r="L17" s="51">
        <f>SUM(K17)+1.6</f>
        <v>41.800000000000004</v>
      </c>
      <c r="M17" s="61">
        <f>SUM(L17)+1.6</f>
        <v>43.400000000000006</v>
      </c>
    </row>
    <row r="18" spans="1:13" s="1" customFormat="1" ht="14.1" customHeight="1">
      <c r="A18" s="40"/>
      <c r="B18" s="52" t="s">
        <v>35</v>
      </c>
      <c r="C18" s="52"/>
      <c r="D18" s="36" t="s">
        <v>729</v>
      </c>
      <c r="E18" s="37"/>
      <c r="F18" s="37"/>
      <c r="G18" s="38"/>
      <c r="H18" s="23"/>
      <c r="I18" s="21"/>
      <c r="J18" s="23"/>
      <c r="K18" s="23"/>
      <c r="L18" s="23"/>
      <c r="M18" s="25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SUM(I19)-3.5</f>
        <v>23</v>
      </c>
      <c r="I19" s="60">
        <v>26.5</v>
      </c>
      <c r="J19" s="51">
        <f>SUM(I19)+3.5</f>
        <v>30</v>
      </c>
      <c r="K19" s="51">
        <f>SUM(J19)+3.5</f>
        <v>33.5</v>
      </c>
      <c r="L19" s="51">
        <f>SUM(K19)+3.6</f>
        <v>37.1</v>
      </c>
      <c r="M19" s="61">
        <f>SUM(L19)+3.5</f>
        <v>40.6</v>
      </c>
    </row>
    <row r="20" spans="1:13" s="1" customFormat="1" ht="14.1" customHeight="1">
      <c r="A20" s="40"/>
      <c r="B20" s="52" t="s">
        <v>730</v>
      </c>
      <c r="C20" s="52"/>
      <c r="D20" s="36" t="s">
        <v>50</v>
      </c>
      <c r="E20" s="37"/>
      <c r="F20" s="37"/>
      <c r="G20" s="38"/>
      <c r="H20" s="23"/>
      <c r="I20" s="21"/>
      <c r="J20" s="23"/>
      <c r="K20" s="23"/>
      <c r="L20" s="23"/>
      <c r="M20" s="25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26.799999999999997</v>
      </c>
      <c r="I21" s="39">
        <v>28.4</v>
      </c>
      <c r="J21" s="51">
        <f>SUM(I21)+1.6</f>
        <v>30</v>
      </c>
      <c r="K21" s="51">
        <f t="shared" ref="K21:L21" si="1">SUM(J21)+1.6</f>
        <v>31.6</v>
      </c>
      <c r="L21" s="51">
        <f t="shared" si="1"/>
        <v>33.200000000000003</v>
      </c>
      <c r="M21" s="61">
        <f t="shared" ref="M21" si="2">SUM(L21)+1.5</f>
        <v>34.700000000000003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39"/>
      <c r="J22" s="23"/>
      <c r="K22" s="23"/>
      <c r="L22" s="23"/>
      <c r="M22" s="25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11.4</v>
      </c>
      <c r="I23" s="60">
        <v>12</v>
      </c>
      <c r="J23" s="51">
        <f>SUM(I23)+0.6</f>
        <v>12.6</v>
      </c>
      <c r="K23" s="51">
        <f>SUM(J23)+0.6</f>
        <v>13.2</v>
      </c>
      <c r="L23" s="51">
        <f>SUM(K23)+0.6</f>
        <v>13.799999999999999</v>
      </c>
      <c r="M23" s="61">
        <f>SUM(L23)+0.6</f>
        <v>14.399999999999999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1"/>
      <c r="J24" s="23"/>
      <c r="K24" s="23"/>
      <c r="L24" s="23"/>
      <c r="M24" s="25"/>
    </row>
    <row r="25" spans="1:13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</f>
        <v>5.5</v>
      </c>
      <c r="I25" s="60">
        <v>5.5</v>
      </c>
      <c r="J25" s="51">
        <f>SUM(I25)+0.3</f>
        <v>5.8</v>
      </c>
      <c r="K25" s="51">
        <f t="shared" ref="K25:M25" si="3">SUM(J25)+0.3</f>
        <v>6.1</v>
      </c>
      <c r="L25" s="51">
        <f t="shared" si="3"/>
        <v>6.3999999999999995</v>
      </c>
      <c r="M25" s="61">
        <f t="shared" si="3"/>
        <v>6.6999999999999993</v>
      </c>
    </row>
    <row r="26" spans="1:13" s="1" customFormat="1" ht="14.1" customHeight="1">
      <c r="A26" s="40"/>
      <c r="B26" s="34" t="s">
        <v>140</v>
      </c>
      <c r="C26" s="35"/>
      <c r="D26" s="36" t="s">
        <v>734</v>
      </c>
      <c r="E26" s="37"/>
      <c r="F26" s="37"/>
      <c r="G26" s="38"/>
      <c r="H26" s="23"/>
      <c r="I26" s="21"/>
      <c r="J26" s="23"/>
      <c r="K26" s="23"/>
      <c r="L26" s="23"/>
      <c r="M26" s="25"/>
    </row>
    <row r="27" spans="1:13" s="1" customFormat="1" ht="14.1" customHeight="1">
      <c r="A27" s="40">
        <v>13</v>
      </c>
      <c r="B27" s="53" t="s">
        <v>139</v>
      </c>
      <c r="C27" s="54"/>
      <c r="D27" s="93" t="s">
        <v>731</v>
      </c>
      <c r="E27" s="94"/>
      <c r="F27" s="94"/>
      <c r="G27" s="95"/>
      <c r="H27" s="51">
        <f>SUM(I27)</f>
        <v>2.5</v>
      </c>
      <c r="I27" s="60">
        <v>2.5</v>
      </c>
      <c r="J27" s="51">
        <f>SUM(I27)</f>
        <v>2.5</v>
      </c>
      <c r="K27" s="51">
        <f t="shared" ref="K27:L27" si="4">SUM(J27)</f>
        <v>2.5</v>
      </c>
      <c r="L27" s="51">
        <f t="shared" si="4"/>
        <v>2.5</v>
      </c>
      <c r="M27" s="61">
        <f t="shared" ref="M27" si="5">SUM(L27)+0.2</f>
        <v>2.7</v>
      </c>
    </row>
    <row r="28" spans="1:13" s="1" customFormat="1" ht="14.1" customHeight="1">
      <c r="A28" s="111"/>
      <c r="B28" s="34" t="s">
        <v>138</v>
      </c>
      <c r="C28" s="35"/>
      <c r="D28" s="36" t="s">
        <v>732</v>
      </c>
      <c r="E28" s="37"/>
      <c r="F28" s="37"/>
      <c r="G28" s="38"/>
      <c r="H28" s="23"/>
      <c r="I28" s="21"/>
      <c r="J28" s="23"/>
      <c r="K28" s="23"/>
      <c r="L28" s="23"/>
      <c r="M28" s="225"/>
    </row>
    <row r="29" spans="1:13" s="1" customFormat="1" ht="14.1" customHeight="1">
      <c r="A29" s="40">
        <v>14</v>
      </c>
      <c r="B29" s="53"/>
      <c r="C29" s="54"/>
      <c r="D29" s="99"/>
      <c r="E29" s="99"/>
      <c r="F29" s="99"/>
      <c r="G29" s="99"/>
      <c r="H29" s="51"/>
      <c r="I29" s="21"/>
      <c r="J29" s="51"/>
      <c r="K29" s="51"/>
      <c r="L29" s="51"/>
      <c r="M29" s="75"/>
    </row>
    <row r="30" spans="1:13" s="1" customFormat="1" ht="14.1" customHeight="1">
      <c r="A30" s="40"/>
      <c r="B30" s="34"/>
      <c r="C30" s="35"/>
      <c r="D30" s="36"/>
      <c r="E30" s="37"/>
      <c r="F30" s="37"/>
      <c r="G30" s="38"/>
      <c r="H30" s="23"/>
      <c r="I30" s="39"/>
      <c r="J30" s="23"/>
      <c r="K30" s="23"/>
      <c r="L30" s="23"/>
      <c r="M30" s="76"/>
    </row>
    <row r="31" spans="1:13" s="1" customFormat="1" ht="14.1" customHeight="1">
      <c r="A31" s="40">
        <v>15</v>
      </c>
      <c r="B31" s="49"/>
      <c r="C31" s="50"/>
      <c r="D31" s="93"/>
      <c r="E31" s="94"/>
      <c r="F31" s="94"/>
      <c r="G31" s="95"/>
      <c r="H31" s="51"/>
      <c r="I31" s="39"/>
      <c r="J31" s="51"/>
      <c r="K31" s="51"/>
      <c r="L31" s="51"/>
      <c r="M31" s="75"/>
    </row>
    <row r="32" spans="1:13" s="1" customFormat="1" ht="14.1" customHeight="1">
      <c r="A32" s="40"/>
      <c r="B32" s="34"/>
      <c r="C32" s="35"/>
      <c r="D32" s="36"/>
      <c r="E32" s="37"/>
      <c r="F32" s="37"/>
      <c r="G32" s="38"/>
      <c r="H32" s="23"/>
      <c r="I32" s="39"/>
      <c r="J32" s="23"/>
      <c r="K32" s="23"/>
      <c r="L32" s="23"/>
      <c r="M32" s="76"/>
    </row>
    <row r="33" spans="1:14" s="1" customFormat="1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39"/>
      <c r="J33" s="32"/>
      <c r="K33" s="32"/>
      <c r="L33" s="51"/>
      <c r="M33" s="75"/>
    </row>
    <row r="34" spans="1:14" s="1" customFormat="1" ht="14.1" customHeight="1">
      <c r="A34" s="111"/>
      <c r="B34" s="34"/>
      <c r="C34" s="35"/>
      <c r="D34" s="36"/>
      <c r="E34" s="37"/>
      <c r="F34" s="37"/>
      <c r="G34" s="38"/>
      <c r="H34" s="47"/>
      <c r="I34" s="39"/>
      <c r="J34" s="51"/>
      <c r="K34" s="51"/>
      <c r="L34" s="23"/>
      <c r="M34" s="76"/>
    </row>
    <row r="35" spans="1:14" s="1" customFormat="1" ht="14.1" customHeight="1">
      <c r="A35" s="40">
        <v>17</v>
      </c>
      <c r="B35" s="53"/>
      <c r="C35" s="54"/>
      <c r="D35" s="93"/>
      <c r="E35" s="94"/>
      <c r="F35" s="94"/>
      <c r="G35" s="95"/>
      <c r="H35" s="51"/>
      <c r="I35" s="39"/>
      <c r="J35" s="32"/>
      <c r="K35" s="32"/>
      <c r="L35" s="51"/>
      <c r="M35" s="75"/>
    </row>
    <row r="36" spans="1:14" s="1" customFormat="1" ht="14.1" customHeight="1">
      <c r="A36" s="111"/>
      <c r="B36" s="53"/>
      <c r="C36" s="54"/>
      <c r="D36" s="67"/>
      <c r="E36" s="68"/>
      <c r="F36" s="68"/>
      <c r="G36" s="69"/>
      <c r="H36" s="47"/>
      <c r="I36" s="39"/>
      <c r="J36" s="51"/>
      <c r="K36" s="51"/>
      <c r="L36" s="23"/>
      <c r="M36" s="76"/>
    </row>
    <row r="37" spans="1:14" s="1" customFormat="1" ht="14.1" customHeight="1">
      <c r="A37" s="40">
        <v>18</v>
      </c>
      <c r="B37" s="56"/>
      <c r="C37" s="56"/>
      <c r="D37" s="55"/>
      <c r="E37" s="55"/>
      <c r="F37" s="55"/>
      <c r="G37" s="55"/>
      <c r="H37" s="51"/>
      <c r="I37" s="60"/>
      <c r="J37" s="51"/>
      <c r="K37" s="51"/>
      <c r="L37" s="51"/>
      <c r="M37" s="75"/>
    </row>
    <row r="38" spans="1:14" s="1" customFormat="1" ht="14.1" customHeight="1" thickBot="1">
      <c r="A38" s="41"/>
      <c r="B38" s="132"/>
      <c r="C38" s="132"/>
      <c r="D38" s="29"/>
      <c r="E38" s="30"/>
      <c r="F38" s="30"/>
      <c r="G38" s="31"/>
      <c r="H38" s="48"/>
      <c r="I38" s="110"/>
      <c r="J38" s="48"/>
      <c r="K38" s="48"/>
      <c r="L38" s="48"/>
      <c r="M38" s="109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2B0C-640A-4763-A6E2-D410366C2946}">
  <sheetPr>
    <tabColor theme="5"/>
    <pageSetUpPr fitToPage="1"/>
  </sheetPr>
  <dimension ref="A1:P52"/>
  <sheetViews>
    <sheetView zoomScale="110" zoomScaleNormal="110" workbookViewId="0">
      <selection sqref="A1:M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62" t="s">
        <v>735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</row>
    <row r="2" spans="1:13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624</v>
      </c>
      <c r="I2" s="5" t="s">
        <v>63</v>
      </c>
      <c r="J2" s="8" t="s">
        <v>64</v>
      </c>
      <c r="K2" s="8" t="s">
        <v>65</v>
      </c>
      <c r="L2" s="8" t="s">
        <v>66</v>
      </c>
      <c r="M2" s="8" t="s">
        <v>703</v>
      </c>
    </row>
    <row r="3" spans="1:13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36.5</v>
      </c>
      <c r="I3" s="71">
        <v>40</v>
      </c>
      <c r="J3" s="70">
        <f>SUM(I3)+3.5</f>
        <v>43.5</v>
      </c>
      <c r="K3" s="70">
        <f>SUM(J3)+3.5</f>
        <v>47</v>
      </c>
      <c r="L3" s="70">
        <f>SUM(K3)+3</f>
        <v>50</v>
      </c>
      <c r="M3" s="84">
        <f>SUM(L3)+3</f>
        <v>53</v>
      </c>
    </row>
    <row r="4" spans="1:13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1"/>
      <c r="J4" s="23"/>
      <c r="K4" s="23"/>
      <c r="L4" s="23"/>
      <c r="M4" s="76"/>
    </row>
    <row r="5" spans="1:13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40.5</v>
      </c>
      <c r="I5" s="60">
        <v>45</v>
      </c>
      <c r="J5" s="51">
        <f>SUM(I5)+4.5</f>
        <v>49.5</v>
      </c>
      <c r="K5" s="51">
        <f>SUM(J5)+4.5</f>
        <v>54</v>
      </c>
      <c r="L5" s="51">
        <f>SUM(K5)+4.5</f>
        <v>58.5</v>
      </c>
      <c r="M5" s="75">
        <f>SUM(L5)+4.5</f>
        <v>63</v>
      </c>
    </row>
    <row r="6" spans="1:13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1"/>
      <c r="J6" s="23"/>
      <c r="K6" s="23"/>
      <c r="L6" s="23"/>
      <c r="M6" s="76"/>
    </row>
    <row r="7" spans="1:13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SUM(I7)-2.9</f>
        <v>35.4</v>
      </c>
      <c r="I7" s="60">
        <v>38.299999999999997</v>
      </c>
      <c r="J7" s="51">
        <f>SUM(I7)+2.9</f>
        <v>41.199999999999996</v>
      </c>
      <c r="K7" s="51">
        <f>SUM(J7)+2.9</f>
        <v>44.099999999999994</v>
      </c>
      <c r="L7" s="51">
        <f>SUM(K7)+2.6</f>
        <v>46.699999999999996</v>
      </c>
      <c r="M7" s="75">
        <f>SUM(L7)+2.6</f>
        <v>49.3</v>
      </c>
    </row>
    <row r="8" spans="1:13" s="1" customFormat="1" ht="14.1" customHeight="1">
      <c r="A8" s="40"/>
      <c r="B8" s="52" t="s">
        <v>42</v>
      </c>
      <c r="C8" s="52"/>
      <c r="D8" s="36" t="s">
        <v>689</v>
      </c>
      <c r="E8" s="37"/>
      <c r="F8" s="37"/>
      <c r="G8" s="38"/>
      <c r="H8" s="23"/>
      <c r="I8" s="21"/>
      <c r="J8" s="23"/>
      <c r="K8" s="23"/>
      <c r="L8" s="23"/>
      <c r="M8" s="76"/>
    </row>
    <row r="9" spans="1:13" s="1" customFormat="1" ht="14.1" customHeight="1">
      <c r="A9" s="40">
        <v>4</v>
      </c>
      <c r="B9" s="56" t="s">
        <v>422</v>
      </c>
      <c r="C9" s="56"/>
      <c r="D9" s="55" t="s">
        <v>8</v>
      </c>
      <c r="E9" s="55"/>
      <c r="F9" s="55"/>
      <c r="G9" s="55"/>
      <c r="H9" s="51">
        <f>SUM(I9)-2.9</f>
        <v>36.4</v>
      </c>
      <c r="I9" s="60">
        <v>39.299999999999997</v>
      </c>
      <c r="J9" s="51">
        <f>SUM(I9)+3</f>
        <v>42.3</v>
      </c>
      <c r="K9" s="51">
        <f>SUM(J9)+3</f>
        <v>45.3</v>
      </c>
      <c r="L9" s="51">
        <f>SUM(K9)+2.7</f>
        <v>48</v>
      </c>
      <c r="M9" s="75">
        <f>SUM(L9)+2.7</f>
        <v>50.7</v>
      </c>
    </row>
    <row r="10" spans="1:13" s="1" customFormat="1" ht="14.1" customHeight="1">
      <c r="A10" s="40"/>
      <c r="B10" s="52" t="s">
        <v>423</v>
      </c>
      <c r="C10" s="52"/>
      <c r="D10" s="36" t="s">
        <v>46</v>
      </c>
      <c r="E10" s="37"/>
      <c r="F10" s="37"/>
      <c r="G10" s="38"/>
      <c r="H10" s="23"/>
      <c r="I10" s="21"/>
      <c r="J10" s="23"/>
      <c r="K10" s="23"/>
      <c r="L10" s="23"/>
      <c r="M10" s="76"/>
    </row>
    <row r="11" spans="1:13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/>
      <c r="I11" s="60"/>
      <c r="J11" s="51"/>
      <c r="K11" s="51"/>
      <c r="L11" s="51"/>
      <c r="M11" s="75"/>
    </row>
    <row r="12" spans="1:13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1"/>
      <c r="J12" s="23"/>
      <c r="K12" s="23"/>
      <c r="L12" s="23"/>
      <c r="M12" s="76"/>
    </row>
    <row r="13" spans="1:13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</f>
        <v>12.8</v>
      </c>
      <c r="I13" s="60">
        <v>12.8</v>
      </c>
      <c r="J13" s="51">
        <f>SUM(I13)+0.6</f>
        <v>13.4</v>
      </c>
      <c r="K13" s="51">
        <f>SUM(J13)+0.6</f>
        <v>14</v>
      </c>
      <c r="L13" s="51">
        <f>SUM(K13)+0.6</f>
        <v>14.6</v>
      </c>
      <c r="M13" s="75">
        <f>SUM(L13)+0.6</f>
        <v>15.2</v>
      </c>
    </row>
    <row r="14" spans="1:13" s="1" customFormat="1" ht="14.1" customHeight="1">
      <c r="A14" s="40"/>
      <c r="B14" s="52" t="s">
        <v>27</v>
      </c>
      <c r="C14" s="52"/>
      <c r="D14" s="36" t="s">
        <v>48</v>
      </c>
      <c r="E14" s="37"/>
      <c r="F14" s="37"/>
      <c r="G14" s="38"/>
      <c r="H14" s="23"/>
      <c r="I14" s="21"/>
      <c r="J14" s="23"/>
      <c r="K14" s="23"/>
      <c r="L14" s="23"/>
      <c r="M14" s="76"/>
    </row>
    <row r="15" spans="1:13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</f>
        <v>7.3</v>
      </c>
      <c r="I15" s="60">
        <v>7.3</v>
      </c>
      <c r="J15" s="51">
        <f>SUM(I15)+0.3</f>
        <v>7.6</v>
      </c>
      <c r="K15" s="51">
        <f>SUM(J15)+0.3</f>
        <v>7.8999999999999995</v>
      </c>
      <c r="L15" s="51">
        <f>SUM(K15)+0.3</f>
        <v>8.1999999999999993</v>
      </c>
      <c r="M15" s="75">
        <f>SUM(L15)+0.3</f>
        <v>8.5</v>
      </c>
    </row>
    <row r="16" spans="1:13" s="1" customFormat="1" ht="14.1" customHeight="1">
      <c r="A16" s="40"/>
      <c r="B16" s="52" t="s">
        <v>28</v>
      </c>
      <c r="C16" s="52"/>
      <c r="D16" s="36" t="s">
        <v>49</v>
      </c>
      <c r="E16" s="37"/>
      <c r="F16" s="37"/>
      <c r="G16" s="38"/>
      <c r="H16" s="23"/>
      <c r="I16" s="21"/>
      <c r="J16" s="23"/>
      <c r="K16" s="23"/>
      <c r="L16" s="23"/>
      <c r="M16" s="76"/>
    </row>
    <row r="17" spans="1:16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</f>
        <v>36.200000000000003</v>
      </c>
      <c r="I17" s="60">
        <v>36.200000000000003</v>
      </c>
      <c r="J17" s="51">
        <f>SUM(I17)+1.6</f>
        <v>37.800000000000004</v>
      </c>
      <c r="K17" s="51">
        <f>SUM(J17)+1.6</f>
        <v>39.400000000000006</v>
      </c>
      <c r="L17" s="51">
        <f>SUM(K17)+1.6</f>
        <v>41.000000000000007</v>
      </c>
      <c r="M17" s="75">
        <f>SUM(L17)+1.6</f>
        <v>42.600000000000009</v>
      </c>
    </row>
    <row r="18" spans="1:16" s="1" customFormat="1" ht="14.1" customHeight="1">
      <c r="A18" s="40"/>
      <c r="B18" s="52" t="s">
        <v>35</v>
      </c>
      <c r="C18" s="52"/>
      <c r="D18" s="36" t="s">
        <v>85</v>
      </c>
      <c r="E18" s="37"/>
      <c r="F18" s="37"/>
      <c r="G18" s="38"/>
      <c r="H18" s="23"/>
      <c r="I18" s="21"/>
      <c r="J18" s="23"/>
      <c r="K18" s="23"/>
      <c r="L18" s="23"/>
      <c r="M18" s="76"/>
    </row>
    <row r="19" spans="1:16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/>
      <c r="I19" s="60"/>
      <c r="J19" s="51"/>
      <c r="K19" s="51"/>
      <c r="L19" s="51"/>
      <c r="M19" s="75"/>
    </row>
    <row r="20" spans="1:16" s="1" customFormat="1" ht="14.1" customHeight="1">
      <c r="A20" s="40"/>
      <c r="B20" s="52" t="s">
        <v>730</v>
      </c>
      <c r="C20" s="52"/>
      <c r="D20" s="36" t="s">
        <v>50</v>
      </c>
      <c r="E20" s="37"/>
      <c r="F20" s="37"/>
      <c r="G20" s="38"/>
      <c r="H20" s="23"/>
      <c r="I20" s="21"/>
      <c r="J20" s="23"/>
      <c r="K20" s="23"/>
      <c r="L20" s="23"/>
      <c r="M20" s="76"/>
    </row>
    <row r="21" spans="1:16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27.9</v>
      </c>
      <c r="I21" s="39">
        <v>29.4</v>
      </c>
      <c r="J21" s="51">
        <f>SUM(I21)+1.5</f>
        <v>30.9</v>
      </c>
      <c r="K21" s="51">
        <f>SUM(J21)+1.5</f>
        <v>32.4</v>
      </c>
      <c r="L21" s="51">
        <f>SUM(K21)+1.6</f>
        <v>34</v>
      </c>
      <c r="M21" s="75">
        <f>SUM(L21)+1.6</f>
        <v>35.6</v>
      </c>
    </row>
    <row r="22" spans="1:16" s="1" customFormat="1" ht="14.1" customHeight="1">
      <c r="A22" s="40"/>
      <c r="B22" s="52" t="s">
        <v>30</v>
      </c>
      <c r="C22" s="52"/>
      <c r="D22" s="36" t="s">
        <v>736</v>
      </c>
      <c r="E22" s="37"/>
      <c r="F22" s="37"/>
      <c r="G22" s="38"/>
      <c r="H22" s="23"/>
      <c r="I22" s="39"/>
      <c r="J22" s="23"/>
      <c r="K22" s="23"/>
      <c r="L22" s="23"/>
      <c r="M22" s="76"/>
    </row>
    <row r="23" spans="1:16" s="1" customFormat="1" ht="14.1" customHeight="1">
      <c r="A23" s="40">
        <v>11</v>
      </c>
      <c r="B23" s="49" t="s">
        <v>737</v>
      </c>
      <c r="C23" s="50"/>
      <c r="D23" s="55"/>
      <c r="E23" s="55"/>
      <c r="F23" s="55"/>
      <c r="G23" s="55"/>
      <c r="H23" s="51">
        <f>SUM(I23)-0.6</f>
        <v>14.4</v>
      </c>
      <c r="I23" s="60">
        <v>15</v>
      </c>
      <c r="J23" s="51">
        <f>SUM(I23)+0.6</f>
        <v>15.6</v>
      </c>
      <c r="K23" s="51">
        <f>SUM(J23)+0.6</f>
        <v>16.2</v>
      </c>
      <c r="L23" s="51">
        <f>SUM(K23)+0.6</f>
        <v>16.8</v>
      </c>
      <c r="M23" s="75">
        <f>SUM(L23)+0.6</f>
        <v>17.400000000000002</v>
      </c>
      <c r="P23" s="1" t="s">
        <v>366</v>
      </c>
    </row>
    <row r="24" spans="1:16" s="1" customFormat="1" ht="14.1" customHeight="1">
      <c r="A24" s="40"/>
      <c r="B24" s="52" t="s">
        <v>738</v>
      </c>
      <c r="C24" s="52"/>
      <c r="D24" s="36"/>
      <c r="E24" s="37"/>
      <c r="F24" s="37"/>
      <c r="G24" s="38"/>
      <c r="H24" s="23"/>
      <c r="I24" s="21"/>
      <c r="J24" s="23"/>
      <c r="K24" s="23"/>
      <c r="L24" s="23"/>
      <c r="M24" s="76"/>
      <c r="P24" s="1">
        <f>SUM((H23+I23+J23+K23+L23+M23)*2)</f>
        <v>190.8</v>
      </c>
    </row>
    <row r="25" spans="1:16" s="1" customFormat="1" ht="14.1" customHeight="1">
      <c r="A25" s="40">
        <v>12</v>
      </c>
      <c r="B25" s="49" t="s">
        <v>183</v>
      </c>
      <c r="C25" s="50"/>
      <c r="D25" s="93"/>
      <c r="E25" s="94"/>
      <c r="F25" s="94"/>
      <c r="G25" s="95"/>
      <c r="H25" s="51">
        <f>SUM(I25)</f>
        <v>5</v>
      </c>
      <c r="I25" s="60">
        <v>5</v>
      </c>
      <c r="J25" s="51">
        <f>SUM(I25)+0.5</f>
        <v>5.5</v>
      </c>
      <c r="K25" s="51">
        <f>SUM(J25)+0.5</f>
        <v>6</v>
      </c>
      <c r="L25" s="51">
        <f>SUM(K25)+0.5</f>
        <v>6.5</v>
      </c>
      <c r="M25" s="75">
        <f>SUM(L25)+0.5</f>
        <v>7</v>
      </c>
      <c r="P25" s="1">
        <f>SUM(P24/91.44/6*1.08)</f>
        <v>0.37559055118110241</v>
      </c>
    </row>
    <row r="26" spans="1:16" s="1" customFormat="1" ht="14.1" customHeight="1">
      <c r="A26" s="40"/>
      <c r="B26" s="34" t="s">
        <v>184</v>
      </c>
      <c r="C26" s="35"/>
      <c r="D26" s="36"/>
      <c r="E26" s="37"/>
      <c r="F26" s="37"/>
      <c r="G26" s="38"/>
      <c r="H26" s="23"/>
      <c r="I26" s="21"/>
      <c r="J26" s="23"/>
      <c r="K26" s="23"/>
      <c r="L26" s="23"/>
      <c r="M26" s="76"/>
    </row>
    <row r="27" spans="1:16" s="1" customFormat="1" ht="14.1" customHeight="1">
      <c r="A27" s="40">
        <v>13</v>
      </c>
      <c r="B27" s="53" t="s">
        <v>186</v>
      </c>
      <c r="C27" s="54"/>
      <c r="D27" s="93"/>
      <c r="E27" s="94"/>
      <c r="F27" s="94"/>
      <c r="G27" s="95"/>
      <c r="H27" s="51">
        <f>SUM(I27)</f>
        <v>9.1999999999999993</v>
      </c>
      <c r="I27" s="60">
        <v>9.1999999999999993</v>
      </c>
      <c r="J27" s="51">
        <f>SUM(I27)+0.6</f>
        <v>9.7999999999999989</v>
      </c>
      <c r="K27" s="51">
        <f>SUM(J27)+0.6</f>
        <v>10.399999999999999</v>
      </c>
      <c r="L27" s="51">
        <f>SUM(K27)+0.6</f>
        <v>10.999999999999998</v>
      </c>
      <c r="M27" s="75">
        <f>SUM(L27)+0.6</f>
        <v>11.599999999999998</v>
      </c>
    </row>
    <row r="28" spans="1:16" s="1" customFormat="1" ht="14.1" customHeight="1">
      <c r="A28" s="111"/>
      <c r="B28" s="34" t="s">
        <v>187</v>
      </c>
      <c r="C28" s="35"/>
      <c r="D28" s="36"/>
      <c r="E28" s="37"/>
      <c r="F28" s="37"/>
      <c r="G28" s="38"/>
      <c r="H28" s="23"/>
      <c r="I28" s="21"/>
      <c r="J28" s="23"/>
      <c r="K28" s="23"/>
      <c r="L28" s="23"/>
      <c r="M28" s="76"/>
    </row>
    <row r="29" spans="1:16" s="1" customFormat="1" ht="14.1" customHeight="1">
      <c r="A29" s="40">
        <v>14</v>
      </c>
      <c r="B29" s="53" t="s">
        <v>388</v>
      </c>
      <c r="C29" s="54"/>
      <c r="D29" s="99"/>
      <c r="E29" s="99"/>
      <c r="F29" s="99"/>
      <c r="G29" s="99"/>
      <c r="H29" s="51">
        <f>SUM(I29)-2.5</f>
        <v>15.100000000000001</v>
      </c>
      <c r="I29" s="60">
        <v>17.600000000000001</v>
      </c>
      <c r="J29" s="51">
        <f>SUM(I29)+1.5</f>
        <v>19.100000000000001</v>
      </c>
      <c r="K29" s="51">
        <f>SUM(J29)+1.5</f>
        <v>20.6</v>
      </c>
      <c r="L29" s="51">
        <f>SUM(K29)+1</f>
        <v>21.6</v>
      </c>
      <c r="M29" s="75">
        <f>SUM(L29)+1</f>
        <v>22.6</v>
      </c>
    </row>
    <row r="30" spans="1:16" s="1" customFormat="1" ht="14.1" customHeight="1">
      <c r="A30" s="40"/>
      <c r="B30" s="34" t="s">
        <v>389</v>
      </c>
      <c r="C30" s="35"/>
      <c r="D30" s="36"/>
      <c r="E30" s="37"/>
      <c r="F30" s="37"/>
      <c r="G30" s="38"/>
      <c r="H30" s="23"/>
      <c r="I30" s="21"/>
      <c r="J30" s="23"/>
      <c r="K30" s="23"/>
      <c r="L30" s="23"/>
      <c r="M30" s="76"/>
    </row>
    <row r="31" spans="1:16" s="1" customFormat="1" ht="14.1" customHeight="1">
      <c r="A31" s="40">
        <v>15</v>
      </c>
      <c r="B31" s="49" t="s">
        <v>739</v>
      </c>
      <c r="C31" s="50"/>
      <c r="D31" s="93"/>
      <c r="E31" s="94"/>
      <c r="F31" s="94"/>
      <c r="G31" s="95"/>
      <c r="H31" s="51">
        <f>SUM(I31)</f>
        <v>8</v>
      </c>
      <c r="I31" s="60">
        <v>8</v>
      </c>
      <c r="J31" s="51">
        <f>SUM(I31)+0.2</f>
        <v>8.1999999999999993</v>
      </c>
      <c r="K31" s="51">
        <f>SUM(J31)+0.2</f>
        <v>8.3999999999999986</v>
      </c>
      <c r="L31" s="51">
        <f>SUM(K31)+0.2</f>
        <v>8.5999999999999979</v>
      </c>
      <c r="M31" s="75">
        <f>SUM(L31)+0.2</f>
        <v>8.7999999999999972</v>
      </c>
    </row>
    <row r="32" spans="1:16" s="1" customFormat="1" ht="14.1" customHeight="1">
      <c r="A32" s="40"/>
      <c r="B32" s="34" t="s">
        <v>740</v>
      </c>
      <c r="C32" s="35"/>
      <c r="D32" s="36"/>
      <c r="E32" s="37"/>
      <c r="F32" s="37"/>
      <c r="G32" s="38"/>
      <c r="H32" s="23"/>
      <c r="I32" s="21"/>
      <c r="J32" s="23"/>
      <c r="K32" s="23"/>
      <c r="L32" s="23"/>
      <c r="M32" s="76"/>
    </row>
    <row r="33" spans="1:14" s="1" customFormat="1" ht="14.1" customHeight="1">
      <c r="A33" s="40">
        <v>16</v>
      </c>
      <c r="B33" s="49"/>
      <c r="C33" s="50"/>
      <c r="D33" s="93"/>
      <c r="E33" s="94"/>
      <c r="F33" s="94"/>
      <c r="G33" s="95"/>
      <c r="H33" s="51"/>
      <c r="I33" s="39"/>
      <c r="J33" s="32"/>
      <c r="K33" s="32"/>
      <c r="L33" s="51"/>
      <c r="M33" s="75"/>
    </row>
    <row r="34" spans="1:14" s="1" customFormat="1" ht="14.1" customHeight="1">
      <c r="A34" s="111"/>
      <c r="B34" s="34"/>
      <c r="C34" s="35"/>
      <c r="D34" s="36"/>
      <c r="E34" s="37"/>
      <c r="F34" s="37"/>
      <c r="G34" s="38"/>
      <c r="H34" s="47"/>
      <c r="I34" s="39"/>
      <c r="J34" s="51"/>
      <c r="K34" s="51"/>
      <c r="L34" s="23"/>
      <c r="M34" s="76"/>
    </row>
    <row r="35" spans="1:14" s="1" customFormat="1" ht="14.1" customHeight="1">
      <c r="A35" s="40">
        <v>17</v>
      </c>
      <c r="B35" s="53"/>
      <c r="C35" s="54"/>
      <c r="D35" s="93"/>
      <c r="E35" s="94"/>
      <c r="F35" s="94"/>
      <c r="G35" s="95"/>
      <c r="H35" s="51"/>
      <c r="I35" s="39"/>
      <c r="J35" s="32"/>
      <c r="K35" s="32"/>
      <c r="L35" s="51"/>
      <c r="M35" s="75"/>
    </row>
    <row r="36" spans="1:14" s="1" customFormat="1" ht="14.1" customHeight="1">
      <c r="A36" s="111"/>
      <c r="B36" s="53"/>
      <c r="C36" s="54"/>
      <c r="D36" s="67"/>
      <c r="E36" s="68"/>
      <c r="F36" s="68"/>
      <c r="G36" s="69"/>
      <c r="H36" s="47"/>
      <c r="I36" s="39"/>
      <c r="J36" s="51"/>
      <c r="K36" s="51"/>
      <c r="L36" s="23"/>
      <c r="M36" s="76"/>
    </row>
    <row r="37" spans="1:14" s="1" customFormat="1" ht="14.1" customHeight="1">
      <c r="A37" s="40">
        <v>18</v>
      </c>
      <c r="B37" s="56"/>
      <c r="C37" s="56"/>
      <c r="D37" s="55"/>
      <c r="E37" s="55"/>
      <c r="F37" s="55"/>
      <c r="G37" s="55"/>
      <c r="H37" s="51"/>
      <c r="I37" s="60"/>
      <c r="J37" s="51"/>
      <c r="K37" s="51"/>
      <c r="L37" s="51"/>
      <c r="M37" s="75"/>
    </row>
    <row r="38" spans="1:14" s="1" customFormat="1" ht="14.1" customHeight="1" thickBot="1">
      <c r="A38" s="41"/>
      <c r="B38" s="132"/>
      <c r="C38" s="132"/>
      <c r="D38" s="29"/>
      <c r="E38" s="30"/>
      <c r="F38" s="30"/>
      <c r="G38" s="31"/>
      <c r="H38" s="48"/>
      <c r="I38" s="110"/>
      <c r="J38" s="48"/>
      <c r="K38" s="48"/>
      <c r="L38" s="48"/>
      <c r="M38" s="109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8BE3-28AC-47A8-83AA-E377B9E3943C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855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39</v>
      </c>
      <c r="I3" s="51">
        <f>SUM(J3)-3.5</f>
        <v>42.5</v>
      </c>
      <c r="J3" s="60">
        <v>46</v>
      </c>
      <c r="K3" s="51">
        <f>SUM(J3)+3</f>
        <v>49</v>
      </c>
      <c r="L3" s="51">
        <f t="shared" ref="L3:N3" si="0">SUM(K3)+3</f>
        <v>52</v>
      </c>
      <c r="M3" s="51">
        <f t="shared" si="0"/>
        <v>55</v>
      </c>
      <c r="N3" s="75">
        <f t="shared" si="0"/>
        <v>58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37.499999999999993</v>
      </c>
      <c r="I5" s="51">
        <f>SUM(J5)-2.2</f>
        <v>39.699999999999996</v>
      </c>
      <c r="J5" s="60">
        <v>41.9</v>
      </c>
      <c r="K5" s="51">
        <f>SUM(J5)+2</f>
        <v>43.9</v>
      </c>
      <c r="L5" s="51">
        <f t="shared" ref="L5:M5" si="1">SUM(K5)+2</f>
        <v>45.9</v>
      </c>
      <c r="M5" s="51">
        <f t="shared" si="1"/>
        <v>47.9</v>
      </c>
      <c r="N5" s="75">
        <f t="shared" ref="N5" si="2">SUM(M5)+2</f>
        <v>49.9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39</v>
      </c>
      <c r="I7" s="51">
        <f>SUM(J7)-2.25</f>
        <v>41.25</v>
      </c>
      <c r="J7" s="60">
        <v>43.5</v>
      </c>
      <c r="K7" s="51">
        <f>SUM(J7)+2</f>
        <v>45.5</v>
      </c>
      <c r="L7" s="51">
        <f>SUM(K7)+2</f>
        <v>47.5</v>
      </c>
      <c r="M7" s="51">
        <f>SUM(L7)+2</f>
        <v>49.5</v>
      </c>
      <c r="N7" s="75">
        <f>SUM(M7)+2</f>
        <v>51.5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</f>
        <v>38.099999999999994</v>
      </c>
      <c r="I9" s="51">
        <f>SUM(J9)-2.2</f>
        <v>40.299999999999997</v>
      </c>
      <c r="J9" s="60">
        <v>42.5</v>
      </c>
      <c r="K9" s="51">
        <f>SUM(J9)+2</f>
        <v>44.5</v>
      </c>
      <c r="L9" s="51">
        <f t="shared" ref="L9" si="3">SUM(K9)+2</f>
        <v>46.5</v>
      </c>
      <c r="M9" s="51">
        <f t="shared" ref="M9:N9" si="4">SUM(L9)+2</f>
        <v>48.5</v>
      </c>
      <c r="N9" s="75">
        <f t="shared" si="4"/>
        <v>50.5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15.5</v>
      </c>
      <c r="I11" s="51">
        <f>SUM(J11)-0.8</f>
        <v>16.3</v>
      </c>
      <c r="J11" s="39">
        <v>17.100000000000001</v>
      </c>
      <c r="K11" s="32">
        <f>SUM(J11)+0.8</f>
        <v>17.900000000000002</v>
      </c>
      <c r="L11" s="32">
        <f>SUM(K11)+0.8</f>
        <v>18.700000000000003</v>
      </c>
      <c r="M11" s="32">
        <f>SUM(L11)+0.8</f>
        <v>19.500000000000004</v>
      </c>
      <c r="N11" s="82">
        <f>SUM(M11)+0.8</f>
        <v>20.300000000000004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2">
        <f>SUM(L13)+0.6</f>
        <v>18.800000000000004</v>
      </c>
      <c r="N13" s="82">
        <f>SUM(M13)+0.6</f>
        <v>19.400000000000006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6.3000000000000007</v>
      </c>
      <c r="I15" s="51">
        <f>SUM(J15)-0.3</f>
        <v>6.6000000000000005</v>
      </c>
      <c r="J15" s="39">
        <v>6.9</v>
      </c>
      <c r="K15" s="32">
        <f>SUM(J15)+0.3</f>
        <v>7.2</v>
      </c>
      <c r="L15" s="32">
        <f>SUM(K15)+0.3</f>
        <v>7.5</v>
      </c>
      <c r="M15" s="32">
        <f>SUM(L15)+0.3</f>
        <v>7.8</v>
      </c>
      <c r="N15" s="82">
        <f>SUM(M15)+0.3</f>
        <v>8.1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39.799999999999997</v>
      </c>
      <c r="I17" s="51">
        <f>SUM(J17)-1.6</f>
        <v>41.4</v>
      </c>
      <c r="J17" s="39">
        <v>43</v>
      </c>
      <c r="K17" s="32">
        <f>SUM(J17)+1.6</f>
        <v>44.6</v>
      </c>
      <c r="L17" s="32">
        <f>SUM(K17)+1.6</f>
        <v>46.2</v>
      </c>
      <c r="M17" s="32">
        <f>SUM(L17)+1.6</f>
        <v>47.800000000000004</v>
      </c>
      <c r="N17" s="82">
        <f>SUM(M17)+1.6</f>
        <v>49.400000000000006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26.700000000000003</v>
      </c>
      <c r="I19" s="51">
        <f>SUM(J19)-3.4</f>
        <v>30.1</v>
      </c>
      <c r="J19" s="60">
        <v>33.5</v>
      </c>
      <c r="K19" s="51">
        <f>SUM(J19)+3.5</f>
        <v>37</v>
      </c>
      <c r="L19" s="51">
        <f t="shared" ref="L19:N19" si="5">SUM(K19)+3.5</f>
        <v>40.5</v>
      </c>
      <c r="M19" s="51">
        <f t="shared" si="5"/>
        <v>44</v>
      </c>
      <c r="N19" s="75">
        <f t="shared" si="5"/>
        <v>47.5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30.199999999999996</v>
      </c>
      <c r="I21" s="51">
        <f>SUM(J21)-1.6</f>
        <v>31.799999999999997</v>
      </c>
      <c r="J21" s="39">
        <v>33.4</v>
      </c>
      <c r="K21" s="32">
        <f>SUM(J21)+1.6</f>
        <v>35</v>
      </c>
      <c r="L21" s="32">
        <f t="shared" ref="L21:N21" si="6">SUM(K21)+1.6</f>
        <v>36.6</v>
      </c>
      <c r="M21" s="32">
        <f t="shared" si="6"/>
        <v>38.200000000000003</v>
      </c>
      <c r="N21" s="82">
        <f t="shared" si="6"/>
        <v>39.800000000000004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13</v>
      </c>
      <c r="I23" s="51">
        <f>SUM(J23)-0.6</f>
        <v>13.6</v>
      </c>
      <c r="J23" s="39">
        <v>14.2</v>
      </c>
      <c r="K23" s="32">
        <f>SUM(J23)+0.6</f>
        <v>14.799999999999999</v>
      </c>
      <c r="L23" s="32">
        <f t="shared" ref="L23:N23" si="7">SUM(K23)+0.6</f>
        <v>15.399999999999999</v>
      </c>
      <c r="M23" s="32">
        <f t="shared" si="7"/>
        <v>15.999999999999998</v>
      </c>
      <c r="N23" s="82">
        <f t="shared" si="7"/>
        <v>16.599999999999998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SUM(I25)-0.3</f>
        <v>5</v>
      </c>
      <c r="I25" s="51">
        <f>SUM(J25)-0.3</f>
        <v>5.3</v>
      </c>
      <c r="J25" s="39">
        <v>5.6</v>
      </c>
      <c r="K25" s="32">
        <f>SUM(J25)+0.3</f>
        <v>5.8999999999999995</v>
      </c>
      <c r="L25" s="32">
        <f t="shared" ref="L25:N25" si="8">SUM(K25)+0.3</f>
        <v>6.1999999999999993</v>
      </c>
      <c r="M25" s="32">
        <f t="shared" si="8"/>
        <v>6.4999999999999991</v>
      </c>
      <c r="N25" s="82">
        <f t="shared" si="8"/>
        <v>6.7999999999999989</v>
      </c>
    </row>
    <row r="26" spans="1:14" s="1" customFormat="1" ht="14.1" customHeight="1">
      <c r="A26" s="111"/>
      <c r="B26" s="34" t="s">
        <v>140</v>
      </c>
      <c r="C26" s="35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1A43-698E-4C86-BBDD-B5047CA4294D}">
  <sheetPr>
    <tabColor theme="5"/>
    <pageSetUpPr fitToPage="1"/>
  </sheetPr>
  <dimension ref="A1:N79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4" ht="16.5" customHeight="1" thickBot="1">
      <c r="A1" s="62" t="s">
        <v>856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4"/>
    </row>
    <row r="2" spans="1:14" ht="16.5" customHeight="1" thickBot="1">
      <c r="A2" s="2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66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37</v>
      </c>
      <c r="I3" s="51">
        <f>SUM(J3)-3.5</f>
        <v>40.5</v>
      </c>
      <c r="J3" s="114">
        <v>44</v>
      </c>
      <c r="K3" s="168">
        <f>SUM(J3)+3</f>
        <v>47</v>
      </c>
      <c r="L3" s="168">
        <f t="shared" ref="L3:M3" si="0">SUM(K3)+3</f>
        <v>50</v>
      </c>
      <c r="M3" s="257">
        <f t="shared" si="0"/>
        <v>53</v>
      </c>
    </row>
    <row r="4" spans="1:14" s="1" customFormat="1" ht="14.1" customHeight="1">
      <c r="A4" s="40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60"/>
      <c r="K4" s="51"/>
      <c r="L4" s="51"/>
      <c r="M4" s="61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26.4</v>
      </c>
      <c r="I5" s="51">
        <f>SUM(J5)-1.8</f>
        <v>28.2</v>
      </c>
      <c r="J5" s="39">
        <v>30</v>
      </c>
      <c r="K5" s="32">
        <f>SUM(J5)+1.6</f>
        <v>31.6</v>
      </c>
      <c r="L5" s="32">
        <f>SUM(K5)+1.6</f>
        <v>33.200000000000003</v>
      </c>
      <c r="M5" s="33">
        <f>SUM(L5)+1.6</f>
        <v>34.800000000000004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39"/>
      <c r="K6" s="32"/>
      <c r="L6" s="32"/>
      <c r="M6" s="33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32.5</v>
      </c>
      <c r="I7" s="51">
        <f>SUM(J7)-2.25</f>
        <v>34.75</v>
      </c>
      <c r="J7" s="60">
        <v>37</v>
      </c>
      <c r="K7" s="51">
        <f>SUM(J7)+2</f>
        <v>39</v>
      </c>
      <c r="L7" s="51">
        <f>SUM(K7)+2</f>
        <v>41</v>
      </c>
      <c r="M7" s="61">
        <f>SUM(L7)+2</f>
        <v>43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5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32.5</v>
      </c>
      <c r="I9" s="51">
        <f>SUM(J9)-2.25</f>
        <v>34.75</v>
      </c>
      <c r="J9" s="60">
        <v>37</v>
      </c>
      <c r="K9" s="51">
        <f>SUM(J9)+2</f>
        <v>39</v>
      </c>
      <c r="L9" s="51">
        <f>SUM(K9)+2</f>
        <v>41</v>
      </c>
      <c r="M9" s="61">
        <f>SUM(L9)+2</f>
        <v>43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5"/>
    </row>
    <row r="11" spans="1:14" s="1" customFormat="1" ht="14.1" customHeight="1">
      <c r="A11" s="40">
        <v>5</v>
      </c>
      <c r="B11" s="56" t="s">
        <v>10</v>
      </c>
      <c r="C11" s="56"/>
      <c r="D11" s="55" t="s">
        <v>643</v>
      </c>
      <c r="E11" s="55"/>
      <c r="F11" s="55"/>
      <c r="G11" s="55"/>
      <c r="H11" s="51">
        <f>SUM(I11)-0.8</f>
        <v>13.299999999999999</v>
      </c>
      <c r="I11" s="51">
        <f>SUM(J11)-0.8</f>
        <v>14.1</v>
      </c>
      <c r="J11" s="39">
        <v>14.9</v>
      </c>
      <c r="K11" s="51">
        <f>SUM(J11)+0.8</f>
        <v>15.700000000000001</v>
      </c>
      <c r="L11" s="51">
        <f t="shared" ref="L11:M11" si="1">SUM(K11)+0.8</f>
        <v>16.5</v>
      </c>
      <c r="M11" s="61">
        <f t="shared" si="1"/>
        <v>17.3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23"/>
      <c r="L12" s="23"/>
      <c r="M12" s="25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3">
        <f>SUM(L13)+0.6</f>
        <v>18.800000000000004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3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33">
        <f>SUM(L15)+0.3</f>
        <v>7.3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3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33">
        <f>SUM(L17)+1.6</f>
        <v>46.800000000000004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3"/>
    </row>
    <row r="19" spans="1:13" s="1" customFormat="1" ht="14.1" customHeight="1">
      <c r="A19" s="40">
        <v>9</v>
      </c>
      <c r="B19" s="56" t="s">
        <v>155</v>
      </c>
      <c r="C19" s="56"/>
      <c r="D19" s="55" t="s">
        <v>5</v>
      </c>
      <c r="E19" s="55"/>
      <c r="F19" s="55"/>
      <c r="G19" s="55"/>
      <c r="H19" s="51">
        <f>SUM(I19)-3.6</f>
        <v>29.799999999999997</v>
      </c>
      <c r="I19" s="51">
        <f>SUM(J19)-3.6</f>
        <v>33.4</v>
      </c>
      <c r="J19" s="39">
        <v>37</v>
      </c>
      <c r="K19" s="32">
        <f>SUM(J19)+3.7</f>
        <v>40.700000000000003</v>
      </c>
      <c r="L19" s="32">
        <f>SUM(K19)+3.7</f>
        <v>44.400000000000006</v>
      </c>
      <c r="M19" s="33">
        <f>SUM(L19)+3.7</f>
        <v>48.100000000000009</v>
      </c>
    </row>
    <row r="20" spans="1:13" s="1" customFormat="1" ht="14.1" customHeight="1">
      <c r="A20" s="40"/>
      <c r="B20" s="52" t="s">
        <v>191</v>
      </c>
      <c r="C20" s="52"/>
      <c r="D20" s="36" t="s">
        <v>50</v>
      </c>
      <c r="E20" s="37"/>
      <c r="F20" s="37"/>
      <c r="G20" s="38"/>
      <c r="H20" s="23"/>
      <c r="I20" s="23"/>
      <c r="J20" s="39"/>
      <c r="K20" s="32"/>
      <c r="L20" s="32"/>
      <c r="M20" s="33"/>
    </row>
    <row r="21" spans="1:13" s="1" customFormat="1" ht="14.1" customHeight="1">
      <c r="A21" s="40">
        <v>10</v>
      </c>
      <c r="B21" s="56" t="s">
        <v>156</v>
      </c>
      <c r="C21" s="56"/>
      <c r="D21" s="55" t="s">
        <v>644</v>
      </c>
      <c r="E21" s="55"/>
      <c r="F21" s="55"/>
      <c r="G21" s="55"/>
      <c r="H21" s="51">
        <f>SUM(I21)-1.1</f>
        <v>10.8</v>
      </c>
      <c r="I21" s="51">
        <f>SUM(J21)-1.1</f>
        <v>11.9</v>
      </c>
      <c r="J21" s="39">
        <v>13</v>
      </c>
      <c r="K21" s="32">
        <f>SUM(J21)+1.2</f>
        <v>14.2</v>
      </c>
      <c r="L21" s="32">
        <f t="shared" ref="L21:M21" si="2">SUM(K21)+1.2</f>
        <v>15.399999999999999</v>
      </c>
      <c r="M21" s="33">
        <f t="shared" si="2"/>
        <v>16.599999999999998</v>
      </c>
    </row>
    <row r="22" spans="1:13" s="1" customFormat="1" ht="14.1" customHeight="1">
      <c r="A22" s="40"/>
      <c r="B22" s="52" t="s">
        <v>192</v>
      </c>
      <c r="C22" s="52"/>
      <c r="D22" s="36" t="s">
        <v>50</v>
      </c>
      <c r="E22" s="37"/>
      <c r="F22" s="37"/>
      <c r="G22" s="38"/>
      <c r="H22" s="23"/>
      <c r="I22" s="23"/>
      <c r="J22" s="39"/>
      <c r="K22" s="32"/>
      <c r="L22" s="32"/>
      <c r="M22" s="33"/>
    </row>
    <row r="23" spans="1:13" s="1" customFormat="1" ht="14.1" customHeight="1">
      <c r="A23" s="40">
        <v>11</v>
      </c>
      <c r="B23" s="49" t="s">
        <v>6</v>
      </c>
      <c r="C23" s="50"/>
      <c r="D23" s="57" t="s">
        <v>7</v>
      </c>
      <c r="E23" s="58"/>
      <c r="F23" s="58"/>
      <c r="G23" s="59"/>
      <c r="H23" s="51">
        <f>SUM(I23)-1.3</f>
        <v>22.5</v>
      </c>
      <c r="I23" s="51">
        <f>SUM(J23)-1.3</f>
        <v>23.8</v>
      </c>
      <c r="J23" s="39">
        <v>25.1</v>
      </c>
      <c r="K23" s="32">
        <f>SUM(J23)+1.3</f>
        <v>26.400000000000002</v>
      </c>
      <c r="L23" s="32">
        <f t="shared" ref="L23:M23" si="3">SUM(K23)+1.3</f>
        <v>27.700000000000003</v>
      </c>
      <c r="M23" s="33">
        <f t="shared" si="3"/>
        <v>29.000000000000004</v>
      </c>
    </row>
    <row r="24" spans="1:13" s="1" customFormat="1" ht="14.1" customHeight="1">
      <c r="A24" s="40"/>
      <c r="B24" s="52" t="s">
        <v>645</v>
      </c>
      <c r="C24" s="52"/>
      <c r="D24" s="36" t="s">
        <v>67</v>
      </c>
      <c r="E24" s="37"/>
      <c r="F24" s="37"/>
      <c r="G24" s="38"/>
      <c r="H24" s="23"/>
      <c r="I24" s="23"/>
      <c r="J24" s="39"/>
      <c r="K24" s="32"/>
      <c r="L24" s="32"/>
      <c r="M24" s="33"/>
    </row>
    <row r="25" spans="1:13" s="1" customFormat="1" ht="14.1" customHeight="1">
      <c r="A25" s="40">
        <v>12</v>
      </c>
      <c r="B25" s="49" t="s">
        <v>646</v>
      </c>
      <c r="C25" s="50"/>
      <c r="D25" s="55" t="s">
        <v>69</v>
      </c>
      <c r="E25" s="55"/>
      <c r="F25" s="55"/>
      <c r="G25" s="55"/>
      <c r="H25" s="51">
        <f>SUM(I25)-0.7</f>
        <v>16.600000000000001</v>
      </c>
      <c r="I25" s="51">
        <f>SUM(J25)-0.7</f>
        <v>17.3</v>
      </c>
      <c r="J25" s="39">
        <v>18</v>
      </c>
      <c r="K25" s="32">
        <f>SUM(J25)+0.7</f>
        <v>18.7</v>
      </c>
      <c r="L25" s="32">
        <f>SUM(K25)+0.7</f>
        <v>19.399999999999999</v>
      </c>
      <c r="M25" s="33">
        <f>SUM(L25)+0.7</f>
        <v>20.099999999999998</v>
      </c>
    </row>
    <row r="26" spans="1:13" s="1" customFormat="1" ht="14.1" customHeight="1">
      <c r="A26" s="40"/>
      <c r="B26" s="105" t="s">
        <v>647</v>
      </c>
      <c r="C26" s="105"/>
      <c r="D26" s="67" t="s">
        <v>70</v>
      </c>
      <c r="E26" s="68"/>
      <c r="F26" s="68"/>
      <c r="G26" s="69"/>
      <c r="H26" s="47"/>
      <c r="I26" s="47"/>
      <c r="J26" s="60"/>
      <c r="K26" s="51"/>
      <c r="L26" s="51"/>
      <c r="M26" s="61"/>
    </row>
    <row r="27" spans="1:13" s="1" customFormat="1" ht="14.1" customHeight="1">
      <c r="A27" s="40">
        <v>13</v>
      </c>
      <c r="B27" s="49" t="s">
        <v>648</v>
      </c>
      <c r="C27" s="50"/>
      <c r="D27" s="55" t="s">
        <v>69</v>
      </c>
      <c r="E27" s="55"/>
      <c r="F27" s="55"/>
      <c r="G27" s="55"/>
      <c r="H27" s="51">
        <f>SUM(I27)-1.3</f>
        <v>22.2</v>
      </c>
      <c r="I27" s="51">
        <f>SUM(J27)-1.3</f>
        <v>23.5</v>
      </c>
      <c r="J27" s="39">
        <v>24.8</v>
      </c>
      <c r="K27" s="32">
        <f>SUM(J27)+1.3</f>
        <v>26.1</v>
      </c>
      <c r="L27" s="32">
        <f t="shared" ref="L27:M27" si="4">SUM(K27)+1.3</f>
        <v>27.400000000000002</v>
      </c>
      <c r="M27" s="33">
        <f t="shared" si="4"/>
        <v>28.700000000000003</v>
      </c>
    </row>
    <row r="28" spans="1:13" s="1" customFormat="1" ht="14.1" customHeight="1">
      <c r="A28" s="40"/>
      <c r="B28" s="105" t="s">
        <v>649</v>
      </c>
      <c r="C28" s="105"/>
      <c r="D28" s="67" t="s">
        <v>70</v>
      </c>
      <c r="E28" s="68"/>
      <c r="F28" s="68"/>
      <c r="G28" s="69"/>
      <c r="H28" s="47"/>
      <c r="I28" s="47"/>
      <c r="J28" s="60"/>
      <c r="K28" s="51"/>
      <c r="L28" s="51"/>
      <c r="M28" s="61"/>
    </row>
    <row r="29" spans="1:13" s="1" customFormat="1" ht="14.1" customHeight="1">
      <c r="A29" s="40">
        <v>14</v>
      </c>
      <c r="B29" s="49" t="s">
        <v>602</v>
      </c>
      <c r="C29" s="50"/>
      <c r="D29" s="93" t="s">
        <v>83</v>
      </c>
      <c r="E29" s="94"/>
      <c r="F29" s="94"/>
      <c r="G29" s="95"/>
      <c r="H29" s="51">
        <f>SUM(I29)-0.3</f>
        <v>3.9000000000000004</v>
      </c>
      <c r="I29" s="51">
        <f>SUM(J29)-0.3</f>
        <v>4.2</v>
      </c>
      <c r="J29" s="39">
        <v>4.5</v>
      </c>
      <c r="K29" s="32">
        <f>SUM(J29)+0.3</f>
        <v>4.8</v>
      </c>
      <c r="L29" s="32">
        <f t="shared" ref="L29:M29" si="5">SUM(K29)+0.3</f>
        <v>5.0999999999999996</v>
      </c>
      <c r="M29" s="33">
        <f t="shared" si="5"/>
        <v>5.3999999999999995</v>
      </c>
    </row>
    <row r="30" spans="1:13" s="1" customFormat="1" ht="14.1" customHeight="1">
      <c r="A30" s="40"/>
      <c r="B30" s="34" t="s">
        <v>603</v>
      </c>
      <c r="C30" s="35"/>
      <c r="D30" s="36" t="s">
        <v>84</v>
      </c>
      <c r="E30" s="37"/>
      <c r="F30" s="37"/>
      <c r="G30" s="38"/>
      <c r="H30" s="47"/>
      <c r="I30" s="47"/>
      <c r="J30" s="60"/>
      <c r="K30" s="51"/>
      <c r="L30" s="51"/>
      <c r="M30" s="61"/>
    </row>
    <row r="31" spans="1:13" s="1" customFormat="1" ht="14.1" customHeight="1">
      <c r="A31" s="40">
        <v>15</v>
      </c>
      <c r="B31" s="49"/>
      <c r="C31" s="50"/>
      <c r="D31" s="55"/>
      <c r="E31" s="55"/>
      <c r="F31" s="55"/>
      <c r="G31" s="55"/>
      <c r="H31" s="51"/>
      <c r="I31" s="51"/>
      <c r="J31" s="39"/>
      <c r="K31" s="32"/>
      <c r="L31" s="32"/>
      <c r="M31" s="33"/>
    </row>
    <row r="32" spans="1:13" s="1" customFormat="1" ht="14.1" customHeight="1">
      <c r="A32" s="40"/>
      <c r="B32" s="52"/>
      <c r="C32" s="52"/>
      <c r="D32" s="36"/>
      <c r="E32" s="37"/>
      <c r="F32" s="37"/>
      <c r="G32" s="38"/>
      <c r="H32" s="23"/>
      <c r="I32" s="23"/>
      <c r="J32" s="39"/>
      <c r="K32" s="32"/>
      <c r="L32" s="32"/>
      <c r="M32" s="33"/>
    </row>
    <row r="33" spans="1:13" s="1" customFormat="1" ht="14.1" customHeight="1">
      <c r="A33" s="40">
        <v>16</v>
      </c>
      <c r="B33" s="56"/>
      <c r="C33" s="56"/>
      <c r="D33" s="55"/>
      <c r="E33" s="55"/>
      <c r="F33" s="55"/>
      <c r="G33" s="55"/>
      <c r="H33" s="51"/>
      <c r="I33" s="51"/>
      <c r="J33" s="60"/>
      <c r="K33" s="51"/>
      <c r="L33" s="51"/>
      <c r="M33" s="61"/>
    </row>
    <row r="34" spans="1:13" s="1" customFormat="1" ht="14.1" customHeight="1" thickBot="1">
      <c r="A34" s="41"/>
      <c r="B34" s="132"/>
      <c r="C34" s="132"/>
      <c r="D34" s="29"/>
      <c r="E34" s="30"/>
      <c r="F34" s="30"/>
      <c r="G34" s="31"/>
      <c r="H34" s="48"/>
      <c r="I34" s="48"/>
      <c r="J34" s="110"/>
      <c r="K34" s="48"/>
      <c r="L34" s="48"/>
      <c r="M34" s="224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24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E862-2F9B-430A-B577-DC85ADCDCD0E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39.9</v>
      </c>
      <c r="I3" s="70">
        <f>SUM(J3)-3.5</f>
        <v>43.4</v>
      </c>
      <c r="J3" s="71">
        <v>46.9</v>
      </c>
      <c r="K3" s="70">
        <f>SUM(J3)+3</f>
        <v>49.9</v>
      </c>
      <c r="L3" s="70">
        <f>SUM(K3)+3</f>
        <v>52.9</v>
      </c>
      <c r="M3" s="277">
        <f>SUM(L3)+3</f>
        <v>55.9</v>
      </c>
      <c r="N3" s="84">
        <f>SUM(M3)+3</f>
        <v>58.9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7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40.799999999999997</v>
      </c>
      <c r="I5" s="51">
        <f>SUM(J5)-2.2</f>
        <v>43</v>
      </c>
      <c r="J5" s="60">
        <v>45.2</v>
      </c>
      <c r="K5" s="51">
        <f>SUM(J5)+2</f>
        <v>47.2</v>
      </c>
      <c r="L5" s="51">
        <f>SUM(K5)+2</f>
        <v>49.2</v>
      </c>
      <c r="M5" s="221">
        <f>SUM(L5)+2</f>
        <v>51.2</v>
      </c>
      <c r="N5" s="75">
        <f>SUM(M5)+2</f>
        <v>53.2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7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42.5</v>
      </c>
      <c r="I7" s="51">
        <f>SUM(J7)-2.25</f>
        <v>44.75</v>
      </c>
      <c r="J7" s="60">
        <v>47</v>
      </c>
      <c r="K7" s="51">
        <f>SUM(J7)+2</f>
        <v>49</v>
      </c>
      <c r="L7" s="51">
        <f>SUM(K7)+2</f>
        <v>51</v>
      </c>
      <c r="M7" s="221">
        <f>SUM(L7)+2</f>
        <v>53</v>
      </c>
      <c r="N7" s="75">
        <f>SUM(M7)+2</f>
        <v>55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7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SUM(I9)-1.7</f>
        <v>31.599999999999998</v>
      </c>
      <c r="I9" s="51">
        <f>SUM(J9)-1.7</f>
        <v>33.299999999999997</v>
      </c>
      <c r="J9" s="60">
        <v>35</v>
      </c>
      <c r="K9" s="51">
        <f>SUM(J9)+1.5</f>
        <v>36.5</v>
      </c>
      <c r="L9" s="51">
        <f>SUM(K9)+1.5</f>
        <v>38</v>
      </c>
      <c r="M9" s="221">
        <f>SUM(L9)+1.5</f>
        <v>39.5</v>
      </c>
      <c r="N9" s="75">
        <f>SUM(M9)+1.5</f>
        <v>41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7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16.899999999999999</v>
      </c>
      <c r="I11" s="51">
        <f>SUM(J11)-0.8</f>
        <v>17.7</v>
      </c>
      <c r="J11" s="60">
        <v>18.5</v>
      </c>
      <c r="K11" s="51">
        <f>SUM(J11)+0.8</f>
        <v>19.3</v>
      </c>
      <c r="L11" s="51">
        <f>SUM(K11)+0.8</f>
        <v>20.100000000000001</v>
      </c>
      <c r="M11" s="221">
        <f>SUM(L11)+0.8</f>
        <v>20.900000000000002</v>
      </c>
      <c r="N11" s="75">
        <f>SUM(M11)+0.8</f>
        <v>21.700000000000003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21"/>
      <c r="K12" s="23"/>
      <c r="L12" s="23"/>
      <c r="M12" s="77"/>
      <c r="N12" s="76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15.3</v>
      </c>
      <c r="I13" s="51">
        <f>SUM(J13)-0.6</f>
        <v>15.9</v>
      </c>
      <c r="J13" s="60">
        <v>16.5</v>
      </c>
      <c r="K13" s="51">
        <f>SUM(J13)+0.6</f>
        <v>17.100000000000001</v>
      </c>
      <c r="L13" s="51">
        <f>SUM(K13)+0.6</f>
        <v>17.700000000000003</v>
      </c>
      <c r="M13" s="221">
        <f>SUM(L13)+0.6</f>
        <v>18.300000000000004</v>
      </c>
      <c r="N13" s="75">
        <f>SUM(M13)+0.6</f>
        <v>18.900000000000006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21"/>
      <c r="K14" s="23"/>
      <c r="L14" s="23"/>
      <c r="M14" s="77"/>
      <c r="N14" s="7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6.8000000000000007</v>
      </c>
      <c r="I15" s="51">
        <f>SUM(J15)-0.3</f>
        <v>7.1000000000000005</v>
      </c>
      <c r="J15" s="60">
        <v>7.4</v>
      </c>
      <c r="K15" s="51">
        <f>SUM(J15)+0.3</f>
        <v>7.7</v>
      </c>
      <c r="L15" s="51">
        <f>SUM(K15)+0.3</f>
        <v>8</v>
      </c>
      <c r="M15" s="221">
        <f>SUM(L15)+0.3</f>
        <v>8.3000000000000007</v>
      </c>
      <c r="N15" s="75">
        <f>SUM(M15)+0.3</f>
        <v>8.6000000000000014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21"/>
      <c r="K16" s="23"/>
      <c r="L16" s="23"/>
      <c r="M16" s="77"/>
      <c r="N16" s="7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39.299999999999997</v>
      </c>
      <c r="I17" s="51">
        <f>SUM(J17)-1.6</f>
        <v>40.9</v>
      </c>
      <c r="J17" s="60">
        <v>42.5</v>
      </c>
      <c r="K17" s="51">
        <f>SUM(J17)+1.6</f>
        <v>44.1</v>
      </c>
      <c r="L17" s="51">
        <f>SUM(K17)+1.6</f>
        <v>45.7</v>
      </c>
      <c r="M17" s="221">
        <f>SUM(L17)+1.6</f>
        <v>47.300000000000004</v>
      </c>
      <c r="N17" s="75">
        <f>SUM(M17)+1.6</f>
        <v>48.900000000000006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21"/>
      <c r="K18" s="23"/>
      <c r="L18" s="23"/>
      <c r="M18" s="77"/>
      <c r="N18" s="7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24.700000000000003</v>
      </c>
      <c r="I19" s="51">
        <f>SUM(J19)-3.4</f>
        <v>28.1</v>
      </c>
      <c r="J19" s="60">
        <v>31.5</v>
      </c>
      <c r="K19" s="51">
        <f>SUM(J19)+3.5</f>
        <v>35</v>
      </c>
      <c r="L19" s="51">
        <f>SUM(K19)+3.5</f>
        <v>38.5</v>
      </c>
      <c r="M19" s="221">
        <f>SUM(L19)+3.5</f>
        <v>42</v>
      </c>
      <c r="N19" s="75">
        <f>SUM(M19)+3.5</f>
        <v>45.5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7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32.700000000000003</v>
      </c>
      <c r="I21" s="51">
        <f>SUM(J21)-1.5</f>
        <v>34.200000000000003</v>
      </c>
      <c r="J21" s="60">
        <v>35.700000000000003</v>
      </c>
      <c r="K21" s="51">
        <f>SUM(J21)+1.5</f>
        <v>37.200000000000003</v>
      </c>
      <c r="L21" s="51">
        <f>SUM(K21)+1.5</f>
        <v>38.700000000000003</v>
      </c>
      <c r="M21" s="221">
        <f>SUM(L21)+1.5</f>
        <v>40.200000000000003</v>
      </c>
      <c r="N21" s="75">
        <f>SUM(M21)+1.5</f>
        <v>41.7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21"/>
      <c r="K22" s="23"/>
      <c r="L22" s="23"/>
      <c r="M22" s="77"/>
      <c r="N22" s="76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60">
        <v>15.2</v>
      </c>
      <c r="K23" s="51">
        <f>SUM(J23)+0.6</f>
        <v>15.799999999999999</v>
      </c>
      <c r="L23" s="51">
        <f>SUM(K23)+0.6</f>
        <v>16.399999999999999</v>
      </c>
      <c r="M23" s="221">
        <f>SUM(L23)+0.6</f>
        <v>17</v>
      </c>
      <c r="N23" s="75">
        <f>SUM(M23)+0.6</f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21"/>
      <c r="K24" s="23"/>
      <c r="L24" s="23"/>
      <c r="M24" s="77"/>
      <c r="N24" s="76"/>
    </row>
    <row r="25" spans="1:14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SUM(I25)-0.2</f>
        <v>4.3999999999999995</v>
      </c>
      <c r="I25" s="51">
        <f>SUM(J25)-0.2</f>
        <v>4.5999999999999996</v>
      </c>
      <c r="J25" s="60">
        <v>4.8</v>
      </c>
      <c r="K25" s="51">
        <f>SUM(J25)+0.2</f>
        <v>5</v>
      </c>
      <c r="L25" s="51">
        <f t="shared" ref="L25:N25" si="0">SUM(K25)+0.2</f>
        <v>5.2</v>
      </c>
      <c r="M25" s="51">
        <f t="shared" si="0"/>
        <v>5.4</v>
      </c>
      <c r="N25" s="75">
        <f t="shared" si="0"/>
        <v>5.6000000000000005</v>
      </c>
    </row>
    <row r="26" spans="1:14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23"/>
      <c r="I26" s="23"/>
      <c r="J26" s="21"/>
      <c r="K26" s="23"/>
      <c r="L26" s="23"/>
      <c r="M26" s="23"/>
      <c r="N26" s="76"/>
    </row>
    <row r="27" spans="1:14" ht="14.1" customHeight="1">
      <c r="A27" s="40">
        <v>13</v>
      </c>
      <c r="B27" s="49" t="s">
        <v>139</v>
      </c>
      <c r="C27" s="50"/>
      <c r="D27" s="93" t="s">
        <v>628</v>
      </c>
      <c r="E27" s="94"/>
      <c r="F27" s="94"/>
      <c r="G27" s="95"/>
      <c r="H27" s="51">
        <f>SUM(I27)-0.2</f>
        <v>1.5</v>
      </c>
      <c r="I27" s="51">
        <f>SUM(J27)-0.2</f>
        <v>1.7</v>
      </c>
      <c r="J27" s="60">
        <v>1.9</v>
      </c>
      <c r="K27" s="51">
        <f>SUM(J27)+0.2</f>
        <v>2.1</v>
      </c>
      <c r="L27" s="51">
        <f t="shared" ref="L27:N27" si="1">SUM(K27)+0.2</f>
        <v>2.3000000000000003</v>
      </c>
      <c r="M27" s="51">
        <f t="shared" si="1"/>
        <v>2.5000000000000004</v>
      </c>
      <c r="N27" s="75">
        <f t="shared" si="1"/>
        <v>2.7000000000000006</v>
      </c>
    </row>
    <row r="28" spans="1:14" ht="14.1" customHeight="1" thickBot="1">
      <c r="A28" s="41"/>
      <c r="B28" s="27" t="s">
        <v>138</v>
      </c>
      <c r="C28" s="28"/>
      <c r="D28" s="29" t="s">
        <v>629</v>
      </c>
      <c r="E28" s="30"/>
      <c r="F28" s="30"/>
      <c r="G28" s="31"/>
      <c r="H28" s="48"/>
      <c r="I28" s="48"/>
      <c r="J28" s="110"/>
      <c r="K28" s="48"/>
      <c r="L28" s="48"/>
      <c r="M28" s="48"/>
      <c r="N28" s="109"/>
    </row>
    <row r="29" spans="1:14" ht="14.1" customHeight="1">
      <c r="H29" s="47"/>
    </row>
    <row r="30" spans="1:14" ht="14.1" customHeight="1" thickBot="1">
      <c r="H30" s="48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0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H29:H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65D7-C307-42FD-891A-7ABF8B36823E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858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39.9</v>
      </c>
      <c r="I3" s="70">
        <f>SUM(J3)-3.5</f>
        <v>43.4</v>
      </c>
      <c r="J3" s="71">
        <v>46.9</v>
      </c>
      <c r="K3" s="70">
        <f>SUM(J3)+3</f>
        <v>49.9</v>
      </c>
      <c r="L3" s="70">
        <f>SUM(K3)+3</f>
        <v>52.9</v>
      </c>
      <c r="M3" s="277">
        <f>SUM(L3)+3</f>
        <v>55.9</v>
      </c>
      <c r="N3" s="84">
        <f>SUM(M3)+3</f>
        <v>58.9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7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40.799999999999997</v>
      </c>
      <c r="I5" s="51">
        <f>SUM(J5)-2.2</f>
        <v>43</v>
      </c>
      <c r="J5" s="60">
        <v>45.2</v>
      </c>
      <c r="K5" s="51">
        <f>SUM(J5)+2</f>
        <v>47.2</v>
      </c>
      <c r="L5" s="51">
        <f>SUM(K5)+2</f>
        <v>49.2</v>
      </c>
      <c r="M5" s="221">
        <f>SUM(L5)+2</f>
        <v>51.2</v>
      </c>
      <c r="N5" s="75">
        <f>SUM(M5)+2</f>
        <v>53.2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7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42.5</v>
      </c>
      <c r="I7" s="51">
        <f>SUM(J7)-2.25</f>
        <v>44.75</v>
      </c>
      <c r="J7" s="60">
        <v>47</v>
      </c>
      <c r="K7" s="51">
        <f>SUM(J7)+2</f>
        <v>49</v>
      </c>
      <c r="L7" s="51">
        <f>SUM(K7)+2</f>
        <v>51</v>
      </c>
      <c r="M7" s="221">
        <f>SUM(L7)+2</f>
        <v>53</v>
      </c>
      <c r="N7" s="75">
        <f>SUM(M7)+2</f>
        <v>55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7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SUM(I9)-1.7</f>
        <v>31.599999999999998</v>
      </c>
      <c r="I9" s="51">
        <f>SUM(J9)-1.7</f>
        <v>33.299999999999997</v>
      </c>
      <c r="J9" s="60">
        <v>35</v>
      </c>
      <c r="K9" s="51">
        <f>SUM(J9)+1.5</f>
        <v>36.5</v>
      </c>
      <c r="L9" s="51">
        <f>SUM(K9)+1.5</f>
        <v>38</v>
      </c>
      <c r="M9" s="221">
        <f>SUM(L9)+1.5</f>
        <v>39.5</v>
      </c>
      <c r="N9" s="75">
        <f>SUM(M9)+1.5</f>
        <v>41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7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16.899999999999999</v>
      </c>
      <c r="I11" s="51">
        <f>SUM(J11)-0.8</f>
        <v>17.7</v>
      </c>
      <c r="J11" s="60">
        <v>18.5</v>
      </c>
      <c r="K11" s="51">
        <f>SUM(J11)+0.8</f>
        <v>19.3</v>
      </c>
      <c r="L11" s="51">
        <f>SUM(K11)+0.8</f>
        <v>20.100000000000001</v>
      </c>
      <c r="M11" s="221">
        <f>SUM(L11)+0.8</f>
        <v>20.900000000000002</v>
      </c>
      <c r="N11" s="75">
        <f>SUM(M11)+0.8</f>
        <v>21.700000000000003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21"/>
      <c r="K12" s="23"/>
      <c r="L12" s="23"/>
      <c r="M12" s="77"/>
      <c r="N12" s="76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60">
        <v>17</v>
      </c>
      <c r="K13" s="51">
        <f>SUM(J13)+0.6</f>
        <v>17.600000000000001</v>
      </c>
      <c r="L13" s="51">
        <f>SUM(K13)+0.6</f>
        <v>18.200000000000003</v>
      </c>
      <c r="M13" s="221">
        <f>SUM(L13)+0.6</f>
        <v>18.800000000000004</v>
      </c>
      <c r="N13" s="75">
        <f>SUM(M13)+0.6</f>
        <v>19.400000000000006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21"/>
      <c r="K14" s="23"/>
      <c r="L14" s="23"/>
      <c r="M14" s="77"/>
      <c r="N14" s="76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7.4</v>
      </c>
      <c r="I15" s="51">
        <f>SUM(J15)-0.3</f>
        <v>7.7</v>
      </c>
      <c r="J15" s="60">
        <v>8</v>
      </c>
      <c r="K15" s="51">
        <f>SUM(J15)+0.3</f>
        <v>8.3000000000000007</v>
      </c>
      <c r="L15" s="51">
        <f>SUM(K15)+0.3</f>
        <v>8.6000000000000014</v>
      </c>
      <c r="M15" s="221">
        <f>SUM(L15)+0.3</f>
        <v>8.9000000000000021</v>
      </c>
      <c r="N15" s="75">
        <f>SUM(M15)+0.3</f>
        <v>9.2000000000000028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21"/>
      <c r="K16" s="23"/>
      <c r="L16" s="23"/>
      <c r="M16" s="77"/>
      <c r="N16" s="76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41.8</v>
      </c>
      <c r="I17" s="51">
        <f>SUM(J17)-1.6</f>
        <v>43.4</v>
      </c>
      <c r="J17" s="60">
        <v>45</v>
      </c>
      <c r="K17" s="51">
        <f>SUM(J17)+1.6</f>
        <v>46.6</v>
      </c>
      <c r="L17" s="51">
        <f>SUM(K17)+1.6</f>
        <v>48.2</v>
      </c>
      <c r="M17" s="221">
        <f>SUM(L17)+1.6</f>
        <v>49.800000000000004</v>
      </c>
      <c r="N17" s="75">
        <f>SUM(M17)+1.6</f>
        <v>51.400000000000006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21"/>
      <c r="K18" s="23"/>
      <c r="L18" s="23"/>
      <c r="M18" s="77"/>
      <c r="N18" s="76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24.700000000000003</v>
      </c>
      <c r="I19" s="51">
        <f>SUM(J19)-3.4</f>
        <v>28.1</v>
      </c>
      <c r="J19" s="60">
        <v>31.5</v>
      </c>
      <c r="K19" s="51">
        <f>SUM(J19)+3.5</f>
        <v>35</v>
      </c>
      <c r="L19" s="51">
        <f>SUM(K19)+3.5</f>
        <v>38.5</v>
      </c>
      <c r="M19" s="221">
        <f>SUM(L19)+3.5</f>
        <v>42</v>
      </c>
      <c r="N19" s="75">
        <f>SUM(M19)+3.5</f>
        <v>45.5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7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32.700000000000003</v>
      </c>
      <c r="I21" s="51">
        <f>SUM(J21)-1.5</f>
        <v>34.200000000000003</v>
      </c>
      <c r="J21" s="60">
        <v>35.700000000000003</v>
      </c>
      <c r="K21" s="51">
        <f>SUM(J21)+1.5</f>
        <v>37.200000000000003</v>
      </c>
      <c r="L21" s="51">
        <f>SUM(K21)+1.5</f>
        <v>38.700000000000003</v>
      </c>
      <c r="M21" s="221">
        <f>SUM(L21)+1.5</f>
        <v>40.200000000000003</v>
      </c>
      <c r="N21" s="75">
        <f>SUM(M21)+1.5</f>
        <v>41.7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21"/>
      <c r="K22" s="23"/>
      <c r="L22" s="23"/>
      <c r="M22" s="77"/>
      <c r="N22" s="76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14</v>
      </c>
      <c r="I23" s="51">
        <f>SUM(J23)-0.6</f>
        <v>14.6</v>
      </c>
      <c r="J23" s="60">
        <v>15.2</v>
      </c>
      <c r="K23" s="51">
        <f>SUM(J23)+0.6</f>
        <v>15.799999999999999</v>
      </c>
      <c r="L23" s="51">
        <f>SUM(K23)+0.6</f>
        <v>16.399999999999999</v>
      </c>
      <c r="M23" s="221">
        <f>SUM(L23)+0.6</f>
        <v>17</v>
      </c>
      <c r="N23" s="75">
        <f>SUM(M23)+0.6</f>
        <v>17.600000000000001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21"/>
      <c r="K24" s="23"/>
      <c r="L24" s="23"/>
      <c r="M24" s="77"/>
      <c r="N24" s="76"/>
    </row>
    <row r="25" spans="1:14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SUM(I25)-0.2</f>
        <v>3.5999999999999996</v>
      </c>
      <c r="I25" s="51">
        <f>SUM(J25)-0.2</f>
        <v>3.8</v>
      </c>
      <c r="J25" s="60">
        <v>4</v>
      </c>
      <c r="K25" s="51">
        <f>SUM(J25)+0.2</f>
        <v>4.2</v>
      </c>
      <c r="L25" s="51">
        <f t="shared" ref="L25:N25" si="0">SUM(K25)+0.2</f>
        <v>4.4000000000000004</v>
      </c>
      <c r="M25" s="51">
        <f t="shared" si="0"/>
        <v>4.6000000000000005</v>
      </c>
      <c r="N25" s="75">
        <f t="shared" si="0"/>
        <v>4.8000000000000007</v>
      </c>
    </row>
    <row r="26" spans="1:14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23"/>
      <c r="I26" s="23"/>
      <c r="J26" s="21"/>
      <c r="K26" s="23"/>
      <c r="L26" s="23"/>
      <c r="M26" s="23"/>
      <c r="N26" s="76"/>
    </row>
    <row r="27" spans="1:14" ht="14.1" customHeight="1">
      <c r="A27" s="40">
        <v>13</v>
      </c>
      <c r="B27" s="49" t="s">
        <v>139</v>
      </c>
      <c r="C27" s="50"/>
      <c r="D27" s="93" t="s">
        <v>628</v>
      </c>
      <c r="E27" s="94"/>
      <c r="F27" s="94"/>
      <c r="G27" s="95"/>
      <c r="H27" s="51">
        <f>SUM(I27)-0.2</f>
        <v>1.5</v>
      </c>
      <c r="I27" s="51">
        <f>SUM(J27)-0.2</f>
        <v>1.7</v>
      </c>
      <c r="J27" s="60">
        <v>1.9</v>
      </c>
      <c r="K27" s="51">
        <f>SUM(J27)+0.2</f>
        <v>2.1</v>
      </c>
      <c r="L27" s="51">
        <f t="shared" ref="L27:N27" si="1">SUM(K27)+0.2</f>
        <v>2.3000000000000003</v>
      </c>
      <c r="M27" s="51">
        <f t="shared" si="1"/>
        <v>2.5000000000000004</v>
      </c>
      <c r="N27" s="75">
        <f t="shared" si="1"/>
        <v>2.7000000000000006</v>
      </c>
    </row>
    <row r="28" spans="1:14" ht="14.1" customHeight="1" thickBot="1">
      <c r="A28" s="41"/>
      <c r="B28" s="27" t="s">
        <v>138</v>
      </c>
      <c r="C28" s="28"/>
      <c r="D28" s="29" t="s">
        <v>629</v>
      </c>
      <c r="E28" s="30"/>
      <c r="F28" s="30"/>
      <c r="G28" s="31"/>
      <c r="H28" s="48"/>
      <c r="I28" s="48"/>
      <c r="J28" s="110"/>
      <c r="K28" s="48"/>
      <c r="L28" s="48"/>
      <c r="M28" s="48"/>
      <c r="N28" s="109"/>
    </row>
    <row r="29" spans="1:14" ht="14.1" customHeight="1">
      <c r="H29" s="47"/>
    </row>
    <row r="30" spans="1:14" ht="14.1" customHeight="1" thickBot="1">
      <c r="H30" s="48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0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H29:H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AC57-09E3-4622-8605-3B23ECDCD180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30</v>
      </c>
      <c r="I3" s="51">
        <f>SUM(J3)-3</f>
        <v>33</v>
      </c>
      <c r="J3" s="60">
        <v>36</v>
      </c>
      <c r="K3" s="51">
        <f>SUM(J3)+2.5</f>
        <v>38.5</v>
      </c>
      <c r="L3" s="51">
        <f t="shared" ref="L3:M3" si="0">SUM(K3)+2.5</f>
        <v>41</v>
      </c>
      <c r="M3" s="75">
        <f t="shared" si="0"/>
        <v>43.5</v>
      </c>
    </row>
    <row r="4" spans="1:14" s="1" customFormat="1" ht="14.1" customHeight="1">
      <c r="A4" s="66"/>
      <c r="B4" s="52" t="s">
        <v>38</v>
      </c>
      <c r="C4" s="52"/>
      <c r="D4" s="36" t="s">
        <v>860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 t="shared" ref="L5:M5" si="1">SUM(K5)+1.6</f>
        <v>28.200000000000003</v>
      </c>
      <c r="M5" s="75">
        <f t="shared" si="1"/>
        <v>29.800000000000004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26</v>
      </c>
      <c r="I7" s="51">
        <f>SUM(J7)-2</f>
        <v>28</v>
      </c>
      <c r="J7" s="60">
        <v>30</v>
      </c>
      <c r="K7" s="51">
        <f>SUM(J7)+1.8</f>
        <v>31.8</v>
      </c>
      <c r="L7" s="51">
        <f t="shared" ref="L7:M7" si="2">SUM(K7)+1.8</f>
        <v>33.6</v>
      </c>
      <c r="M7" s="75">
        <f t="shared" si="2"/>
        <v>35.4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26</v>
      </c>
      <c r="I9" s="51">
        <f>SUM(J9)-2</f>
        <v>28</v>
      </c>
      <c r="J9" s="60">
        <v>30</v>
      </c>
      <c r="K9" s="51">
        <f>SUM(J9)+1.8</f>
        <v>31.8</v>
      </c>
      <c r="L9" s="51">
        <f t="shared" ref="L9:M9" si="3">SUM(K9)+1.8</f>
        <v>33.6</v>
      </c>
      <c r="M9" s="75">
        <f t="shared" si="3"/>
        <v>35.4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11.999999999999998</v>
      </c>
      <c r="I11" s="51">
        <f>SUM(J11)-0.8</f>
        <v>12.799999999999999</v>
      </c>
      <c r="J11" s="39">
        <v>13.6</v>
      </c>
      <c r="K11" s="32">
        <f>SUM(J11)+0.8</f>
        <v>14.4</v>
      </c>
      <c r="L11" s="32">
        <f>SUM(K11)+0.8</f>
        <v>15.200000000000001</v>
      </c>
      <c r="M11" s="82">
        <f>SUM(L11)+0.8</f>
        <v>16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13.3</v>
      </c>
      <c r="I13" s="51">
        <f>SUM(J13)-0.6</f>
        <v>13.9</v>
      </c>
      <c r="J13" s="39">
        <v>14.5</v>
      </c>
      <c r="K13" s="32">
        <f>SUM(J13)+0.6</f>
        <v>15.1</v>
      </c>
      <c r="L13" s="32">
        <f>SUM(K13)+0.6</f>
        <v>15.7</v>
      </c>
      <c r="M13" s="82">
        <f>SUM(L13)+0.6</f>
        <v>16.3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5.4</v>
      </c>
      <c r="I15" s="51">
        <f>SUM(J15)-0.3</f>
        <v>5.7</v>
      </c>
      <c r="J15" s="39">
        <v>6</v>
      </c>
      <c r="K15" s="32">
        <f>SUM(J15)+0.3</f>
        <v>6.3</v>
      </c>
      <c r="L15" s="32">
        <f>SUM(K15)+0.3</f>
        <v>6.6</v>
      </c>
      <c r="M15" s="82">
        <f>SUM(L15)+0.3</f>
        <v>6.8999999999999995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35.799999999999997</v>
      </c>
      <c r="I17" s="51">
        <f>SUM(J17)-1.6</f>
        <v>37.4</v>
      </c>
      <c r="J17" s="39">
        <v>39</v>
      </c>
      <c r="K17" s="32">
        <f>SUM(J17)+1.6</f>
        <v>40.6</v>
      </c>
      <c r="L17" s="32">
        <f>SUM(K17)+1.6</f>
        <v>42.2</v>
      </c>
      <c r="M17" s="82">
        <f>SUM(L17)+1.6</f>
        <v>43.800000000000004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33.299999999999997</v>
      </c>
      <c r="I19" s="51">
        <f>SUM(J19)-3.6</f>
        <v>36.9</v>
      </c>
      <c r="J19" s="60">
        <v>40.5</v>
      </c>
      <c r="K19" s="51">
        <f>SUM(J19)+3.7</f>
        <v>44.2</v>
      </c>
      <c r="L19" s="51">
        <f t="shared" ref="L19:M19" si="4">SUM(K19)+3.7</f>
        <v>47.900000000000006</v>
      </c>
      <c r="M19" s="75">
        <f t="shared" si="4"/>
        <v>51.600000000000009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19.800000000000004</v>
      </c>
      <c r="I21" s="51">
        <f>SUM(J21)-1.4</f>
        <v>21.200000000000003</v>
      </c>
      <c r="J21" s="39">
        <v>22.6</v>
      </c>
      <c r="K21" s="32">
        <f>SUM(J21)+1.4</f>
        <v>24</v>
      </c>
      <c r="L21" s="32">
        <f t="shared" ref="L21:M21" si="5">SUM(K21)+1.4</f>
        <v>25.4</v>
      </c>
      <c r="M21" s="82">
        <f t="shared" si="5"/>
        <v>26.799999999999997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 t="shared" ref="L23:M23" si="6">SUM(K23)+0.7</f>
        <v>17.399999999999999</v>
      </c>
      <c r="M23" s="82">
        <f t="shared" si="6"/>
        <v>18.099999999999998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SUM(I25)-0.4</f>
        <v>4.1999999999999993</v>
      </c>
      <c r="I25" s="51">
        <f>SUM(J25)-0.4</f>
        <v>4.5999999999999996</v>
      </c>
      <c r="J25" s="39">
        <v>5</v>
      </c>
      <c r="K25" s="32">
        <f>SUM(J25)+0.4</f>
        <v>5.4</v>
      </c>
      <c r="L25" s="32">
        <f t="shared" ref="L25:M25" si="7">SUM(K25)+0.4</f>
        <v>5.8000000000000007</v>
      </c>
      <c r="M25" s="82">
        <f t="shared" si="7"/>
        <v>6.2000000000000011</v>
      </c>
    </row>
    <row r="26" spans="1:13" s="1" customFormat="1" ht="14.1" customHeight="1">
      <c r="A26" s="111"/>
      <c r="B26" s="34" t="s">
        <v>140</v>
      </c>
      <c r="C26" s="35"/>
      <c r="D26" s="67" t="s">
        <v>861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3B96-D5C8-4943-AA47-FFDC63AF67E4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862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600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34</v>
      </c>
      <c r="I3" s="51">
        <f>SUM(J3)-3</f>
        <v>37</v>
      </c>
      <c r="J3" s="60">
        <v>40</v>
      </c>
      <c r="K3" s="51">
        <f>SUM(J3)+2.5</f>
        <v>42.5</v>
      </c>
      <c r="L3" s="51">
        <f t="shared" ref="L3:N3" si="0">SUM(K3)+2.5</f>
        <v>45</v>
      </c>
      <c r="M3" s="51">
        <f t="shared" si="0"/>
        <v>47.5</v>
      </c>
      <c r="N3" s="75">
        <f t="shared" si="0"/>
        <v>50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42" t="s">
        <v>316</v>
      </c>
      <c r="C5" s="43"/>
      <c r="D5" s="67" t="s">
        <v>317</v>
      </c>
      <c r="E5" s="68"/>
      <c r="F5" s="68"/>
      <c r="G5" s="69"/>
      <c r="H5" s="51">
        <f>SUM(I5)-4.5</f>
        <v>44</v>
      </c>
      <c r="I5" s="51">
        <f>SUM(J5)-4.5</f>
        <v>48.5</v>
      </c>
      <c r="J5" s="39">
        <v>53</v>
      </c>
      <c r="K5" s="32">
        <f>SUM(J5)+4.5</f>
        <v>57.5</v>
      </c>
      <c r="L5" s="32">
        <f>SUM(K5)+4.5</f>
        <v>62</v>
      </c>
      <c r="M5" s="32">
        <f>SUM(L5)+4.5</f>
        <v>66.5</v>
      </c>
      <c r="N5" s="82">
        <f>SUM(M5)+4.5</f>
        <v>71</v>
      </c>
    </row>
    <row r="6" spans="1:14" s="1" customFormat="1" ht="14.1" customHeight="1">
      <c r="A6" s="40"/>
      <c r="B6" s="34" t="s">
        <v>318</v>
      </c>
      <c r="C6" s="35"/>
      <c r="D6" s="36" t="s">
        <v>319</v>
      </c>
      <c r="E6" s="37"/>
      <c r="F6" s="37"/>
      <c r="G6" s="38"/>
      <c r="H6" s="23"/>
      <c r="I6" s="23"/>
      <c r="J6" s="39"/>
      <c r="K6" s="32"/>
      <c r="L6" s="32"/>
      <c r="M6" s="32"/>
      <c r="N6" s="82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28</v>
      </c>
      <c r="I7" s="51">
        <f>SUM(J7)-2</f>
        <v>30</v>
      </c>
      <c r="J7" s="60">
        <v>32</v>
      </c>
      <c r="K7" s="51">
        <f>SUM(J7)+1.8</f>
        <v>33.799999999999997</v>
      </c>
      <c r="L7" s="51">
        <f t="shared" ref="L7:N7" si="1">SUM(K7)+1.8</f>
        <v>35.599999999999994</v>
      </c>
      <c r="M7" s="51">
        <f t="shared" si="1"/>
        <v>37.399999999999991</v>
      </c>
      <c r="N7" s="75">
        <f t="shared" si="1"/>
        <v>39.199999999999989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28</v>
      </c>
      <c r="I9" s="51">
        <f>SUM(J9)-2</f>
        <v>30</v>
      </c>
      <c r="J9" s="60">
        <v>32</v>
      </c>
      <c r="K9" s="51">
        <f>SUM(J9)+1.8</f>
        <v>33.799999999999997</v>
      </c>
      <c r="L9" s="51">
        <f t="shared" ref="L9:N9" si="2">SUM(K9)+1.8</f>
        <v>35.599999999999994</v>
      </c>
      <c r="M9" s="51">
        <f t="shared" si="2"/>
        <v>37.399999999999991</v>
      </c>
      <c r="N9" s="75">
        <f t="shared" si="2"/>
        <v>39.199999999999989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87">
        <f>SUM(I11)-0.8</f>
        <v>-1.6</v>
      </c>
      <c r="I11" s="87">
        <f>SUM(J11)-0.8</f>
        <v>-0.8</v>
      </c>
      <c r="J11" s="256"/>
      <c r="K11" s="255">
        <f>SUM(J11)+0.8</f>
        <v>0.8</v>
      </c>
      <c r="L11" s="255">
        <f>SUM(K11)+0.8</f>
        <v>1.6</v>
      </c>
      <c r="M11" s="255">
        <f>SUM(L11)+0.8</f>
        <v>2.4000000000000004</v>
      </c>
      <c r="N11" s="33">
        <f>SUM(M11)+0.8</f>
        <v>3.2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86"/>
      <c r="I12" s="86"/>
      <c r="J12" s="256"/>
      <c r="K12" s="255"/>
      <c r="L12" s="255"/>
      <c r="M12" s="255"/>
      <c r="N12" s="33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15.3</v>
      </c>
      <c r="I13" s="51">
        <f>SUM(J13)-0.6</f>
        <v>15.9</v>
      </c>
      <c r="J13" s="39">
        <v>16.5</v>
      </c>
      <c r="K13" s="32">
        <f>SUM(J13)+0.6</f>
        <v>17.100000000000001</v>
      </c>
      <c r="L13" s="32">
        <f>SUM(K13)+0.6</f>
        <v>17.700000000000003</v>
      </c>
      <c r="M13" s="32">
        <f>SUM(L13)+0.6</f>
        <v>18.300000000000004</v>
      </c>
      <c r="N13" s="82">
        <f>SUM(M13)+0.6</f>
        <v>18.900000000000006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5.5</v>
      </c>
      <c r="I15" s="51">
        <f>SUM(J15)-0.3</f>
        <v>5.8</v>
      </c>
      <c r="J15" s="39">
        <v>6.1</v>
      </c>
      <c r="K15" s="32">
        <f>SUM(J15)+0.3</f>
        <v>6.3999999999999995</v>
      </c>
      <c r="L15" s="32">
        <f>SUM(K15)+0.3</f>
        <v>6.6999999999999993</v>
      </c>
      <c r="M15" s="32">
        <f>SUM(L15)+0.3</f>
        <v>6.9999999999999991</v>
      </c>
      <c r="N15" s="82">
        <f>SUM(M15)+0.3</f>
        <v>7.2999999999999989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37.799999999999997</v>
      </c>
      <c r="I17" s="51">
        <f>SUM(J17)-1.6</f>
        <v>39.4</v>
      </c>
      <c r="J17" s="39">
        <v>41</v>
      </c>
      <c r="K17" s="32">
        <f>SUM(J17)+1.6</f>
        <v>42.6</v>
      </c>
      <c r="L17" s="32">
        <f>SUM(K17)+1.6</f>
        <v>44.2</v>
      </c>
      <c r="M17" s="32">
        <f>SUM(L17)+1.6</f>
        <v>45.800000000000004</v>
      </c>
      <c r="N17" s="82">
        <f>SUM(M17)+1.6</f>
        <v>47.400000000000006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87">
        <f>SUM(I19)-3.5</f>
        <v>-7</v>
      </c>
      <c r="I19" s="87">
        <f>SUM(J19)-3.5</f>
        <v>-3.5</v>
      </c>
      <c r="J19" s="142"/>
      <c r="K19" s="87">
        <f>SUM(J19)+3.6</f>
        <v>3.6</v>
      </c>
      <c r="L19" s="87">
        <f t="shared" ref="L19:N19" si="3">SUM(K19)+3.6</f>
        <v>7.2</v>
      </c>
      <c r="M19" s="87">
        <f t="shared" si="3"/>
        <v>10.8</v>
      </c>
      <c r="N19" s="61">
        <f t="shared" si="3"/>
        <v>14.4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86"/>
      <c r="I20" s="86"/>
      <c r="J20" s="143"/>
      <c r="K20" s="86"/>
      <c r="L20" s="86"/>
      <c r="M20" s="86"/>
      <c r="N20" s="25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SUM(I21)-1.5</f>
        <v>22.1</v>
      </c>
      <c r="I21" s="51">
        <f>SUM(J21)-1.5</f>
        <v>23.6</v>
      </c>
      <c r="J21" s="39">
        <v>25.1</v>
      </c>
      <c r="K21" s="32">
        <f>SUM(J21)+1.6</f>
        <v>26.700000000000003</v>
      </c>
      <c r="L21" s="32">
        <f t="shared" ref="L21:N21" si="4">SUM(K21)+1.6</f>
        <v>28.300000000000004</v>
      </c>
      <c r="M21" s="32">
        <f t="shared" si="4"/>
        <v>29.900000000000006</v>
      </c>
      <c r="N21" s="82">
        <f t="shared" si="4"/>
        <v>31.500000000000007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 t="shared" ref="L23:N23" si="5">SUM(K23)+0.7</f>
        <v>19.399999999999999</v>
      </c>
      <c r="M23" s="32">
        <f t="shared" si="5"/>
        <v>20.099999999999998</v>
      </c>
      <c r="N23" s="82">
        <f t="shared" si="5"/>
        <v>20.799999999999997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SUM(I25)-0.2</f>
        <v>1.6</v>
      </c>
      <c r="I25" s="51">
        <f>SUM(J25)-0.2</f>
        <v>1.8</v>
      </c>
      <c r="J25" s="39">
        <v>2</v>
      </c>
      <c r="K25" s="32">
        <f>SUM(J25)+0.2</f>
        <v>2.2000000000000002</v>
      </c>
      <c r="L25" s="32">
        <f t="shared" ref="L25:N25" si="6">SUM(K25)+0.2</f>
        <v>2.4000000000000004</v>
      </c>
      <c r="M25" s="32">
        <f t="shared" si="6"/>
        <v>2.6000000000000005</v>
      </c>
      <c r="N25" s="82">
        <f t="shared" si="6"/>
        <v>2.8000000000000007</v>
      </c>
    </row>
    <row r="26" spans="1:14" s="1" customFormat="1" ht="14.1" customHeight="1">
      <c r="A26" s="40"/>
      <c r="B26" s="34" t="s">
        <v>603</v>
      </c>
      <c r="C26" s="35"/>
      <c r="D26" s="36" t="s">
        <v>84</v>
      </c>
      <c r="E26" s="37"/>
      <c r="F26" s="37"/>
      <c r="G26" s="38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56"/>
      <c r="C27" s="56"/>
      <c r="D27" s="55"/>
      <c r="E27" s="55"/>
      <c r="F27" s="55"/>
      <c r="G27" s="5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132"/>
      <c r="C28" s="132"/>
      <c r="D28" s="179"/>
      <c r="E28" s="253"/>
      <c r="F28" s="253"/>
      <c r="G28" s="254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39E8-39C4-4722-A85E-915F3BC84920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863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</f>
        <v>30</v>
      </c>
      <c r="I3" s="51">
        <f>SUM(J3)-3</f>
        <v>33</v>
      </c>
      <c r="J3" s="60">
        <v>36</v>
      </c>
      <c r="K3" s="51">
        <f>SUM(J3)+2.5</f>
        <v>38.5</v>
      </c>
      <c r="L3" s="51">
        <f>SUM(K3)+2.5</f>
        <v>41</v>
      </c>
      <c r="M3" s="70">
        <f>SUM(L3)+2.5</f>
        <v>43.5</v>
      </c>
      <c r="N3" s="84">
        <f>SUM(M3)+2.5</f>
        <v>46</v>
      </c>
    </row>
    <row r="4" spans="1:14" s="1" customFormat="1" ht="14.1" customHeight="1">
      <c r="A4" s="66"/>
      <c r="B4" s="52" t="s">
        <v>38</v>
      </c>
      <c r="C4" s="52"/>
      <c r="D4" s="36" t="s">
        <v>860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21.4</v>
      </c>
      <c r="I5" s="51">
        <f>SUM(J5)-1.8</f>
        <v>23.2</v>
      </c>
      <c r="J5" s="60">
        <v>25</v>
      </c>
      <c r="K5" s="51">
        <f>SUM(J5)+1.6</f>
        <v>26.6</v>
      </c>
      <c r="L5" s="51">
        <f>SUM(K5)+1.6</f>
        <v>28.200000000000003</v>
      </c>
      <c r="M5" s="51">
        <f>SUM(L5)+1.6</f>
        <v>29.800000000000004</v>
      </c>
      <c r="N5" s="75">
        <f>SUM(M5)+1.6</f>
        <v>31.400000000000006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</f>
        <v>26</v>
      </c>
      <c r="I7" s="51">
        <f>SUM(J7)-2</f>
        <v>28</v>
      </c>
      <c r="J7" s="60">
        <v>30</v>
      </c>
      <c r="K7" s="51">
        <f>SUM(J7)+1.8</f>
        <v>31.8</v>
      </c>
      <c r="L7" s="51">
        <f>SUM(K7)+1.8</f>
        <v>33.6</v>
      </c>
      <c r="M7" s="51">
        <f>SUM(L7)+1.8</f>
        <v>35.4</v>
      </c>
      <c r="N7" s="75">
        <f>SUM(M7)+1.8</f>
        <v>37.199999999999996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</f>
        <v>26</v>
      </c>
      <c r="I9" s="51">
        <f>SUM(J9)-2</f>
        <v>28</v>
      </c>
      <c r="J9" s="60">
        <v>30</v>
      </c>
      <c r="K9" s="51">
        <f>SUM(J9)+1.8</f>
        <v>31.8</v>
      </c>
      <c r="L9" s="51">
        <f>SUM(K9)+1.8</f>
        <v>33.6</v>
      </c>
      <c r="M9" s="51">
        <f>SUM(L9)+1.8</f>
        <v>35.4</v>
      </c>
      <c r="N9" s="75">
        <f>SUM(M9)+1.8</f>
        <v>37.199999999999996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11.999999999999998</v>
      </c>
      <c r="I11" s="51">
        <f>SUM(J11)-0.8</f>
        <v>12.799999999999999</v>
      </c>
      <c r="J11" s="39">
        <v>13.6</v>
      </c>
      <c r="K11" s="32">
        <f>SUM(J11)+0.8</f>
        <v>14.4</v>
      </c>
      <c r="L11" s="32">
        <f>SUM(K11)+0.8</f>
        <v>15.200000000000001</v>
      </c>
      <c r="M11" s="32">
        <f>SUM(L11)+0.8</f>
        <v>16</v>
      </c>
      <c r="N11" s="82">
        <f>SUM(M11)+0.8</f>
        <v>16.8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13.3</v>
      </c>
      <c r="I13" s="51">
        <f>SUM(J13)-0.6</f>
        <v>13.9</v>
      </c>
      <c r="J13" s="39">
        <v>14.5</v>
      </c>
      <c r="K13" s="32">
        <f>SUM(J13)+0.6</f>
        <v>15.1</v>
      </c>
      <c r="L13" s="32">
        <f>SUM(K13)+0.6</f>
        <v>15.7</v>
      </c>
      <c r="M13" s="32">
        <f>SUM(L13)+0.6</f>
        <v>16.3</v>
      </c>
      <c r="N13" s="82">
        <f>SUM(M13)+0.6</f>
        <v>16.900000000000002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5.4</v>
      </c>
      <c r="I15" s="51">
        <f>SUM(J15)-0.3</f>
        <v>5.7</v>
      </c>
      <c r="J15" s="39">
        <v>6</v>
      </c>
      <c r="K15" s="32">
        <f>SUM(J15)+0.3</f>
        <v>6.3</v>
      </c>
      <c r="L15" s="32">
        <f>SUM(K15)+0.3</f>
        <v>6.6</v>
      </c>
      <c r="M15" s="32">
        <f>SUM(L15)+0.3</f>
        <v>6.8999999999999995</v>
      </c>
      <c r="N15" s="82">
        <f>SUM(M15)+0.3</f>
        <v>7.1999999999999993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35.799999999999997</v>
      </c>
      <c r="I17" s="51">
        <f>SUM(J17)-1.6</f>
        <v>37.4</v>
      </c>
      <c r="J17" s="39">
        <v>39</v>
      </c>
      <c r="K17" s="32">
        <f>SUM(J17)+1.6</f>
        <v>40.6</v>
      </c>
      <c r="L17" s="32">
        <f>SUM(K17)+1.6</f>
        <v>42.2</v>
      </c>
      <c r="M17" s="32">
        <f>SUM(L17)+1.6</f>
        <v>43.800000000000004</v>
      </c>
      <c r="N17" s="82">
        <f>SUM(M17)+1.6</f>
        <v>45.400000000000006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33.299999999999997</v>
      </c>
      <c r="I19" s="51">
        <f>SUM(J19)-3.6</f>
        <v>36.9</v>
      </c>
      <c r="J19" s="60">
        <v>40.5</v>
      </c>
      <c r="K19" s="51">
        <f>SUM(J19)+3.7</f>
        <v>44.2</v>
      </c>
      <c r="L19" s="51">
        <f>SUM(K19)+3.7</f>
        <v>47.900000000000006</v>
      </c>
      <c r="M19" s="51">
        <f>SUM(L19)+3.7</f>
        <v>51.600000000000009</v>
      </c>
      <c r="N19" s="75">
        <f>SUM(M19)+3.7</f>
        <v>55.300000000000011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19.800000000000004</v>
      </c>
      <c r="I21" s="51">
        <f>SUM(J21)-1.4</f>
        <v>21.200000000000003</v>
      </c>
      <c r="J21" s="39">
        <v>22.6</v>
      </c>
      <c r="K21" s="32">
        <f>SUM(J21)+1.4</f>
        <v>24</v>
      </c>
      <c r="L21" s="32">
        <f>SUM(K21)+1.4</f>
        <v>25.4</v>
      </c>
      <c r="M21" s="32">
        <f>SUM(L21)+1.4</f>
        <v>26.799999999999997</v>
      </c>
      <c r="N21" s="82">
        <f>SUM(M21)+1.4</f>
        <v>28.199999999999996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14.600000000000001</v>
      </c>
      <c r="I23" s="51">
        <f>SUM(J23)-0.7</f>
        <v>15.3</v>
      </c>
      <c r="J23" s="39">
        <v>16</v>
      </c>
      <c r="K23" s="32">
        <f>SUM(J23)+0.7</f>
        <v>16.7</v>
      </c>
      <c r="L23" s="32">
        <f>SUM(K23)+0.7</f>
        <v>17.399999999999999</v>
      </c>
      <c r="M23" s="32">
        <f>SUM(L23)+0.7</f>
        <v>18.099999999999998</v>
      </c>
      <c r="N23" s="82">
        <f>SUM(M23)+0.7</f>
        <v>18.799999999999997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SUM(I25)-0.3</f>
        <v>3.9000000000000004</v>
      </c>
      <c r="I25" s="51">
        <f>SUM(J25)-0.3</f>
        <v>4.2</v>
      </c>
      <c r="J25" s="39">
        <v>4.5</v>
      </c>
      <c r="K25" s="32">
        <f>SUM(J25)+0.3</f>
        <v>4.8</v>
      </c>
      <c r="L25" s="32">
        <f>SUM(K25)+0.3</f>
        <v>5.0999999999999996</v>
      </c>
      <c r="M25" s="32">
        <f>SUM(L25)+0.3</f>
        <v>5.3999999999999995</v>
      </c>
      <c r="N25" s="82">
        <f>SUM(M25)+0.3</f>
        <v>5.6999999999999993</v>
      </c>
    </row>
    <row r="26" spans="1:14" s="1" customFormat="1" ht="14.1" customHeight="1">
      <c r="A26" s="111"/>
      <c r="B26" s="34" t="s">
        <v>140</v>
      </c>
      <c r="C26" s="35"/>
      <c r="D26" s="67" t="s">
        <v>861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customFormat="1" ht="14.1" customHeight="1"/>
    <row r="34" customFormat="1" ht="14.1" customHeight="1"/>
    <row r="35" customFormat="1" ht="14.1" customHeight="1"/>
    <row r="36" customFormat="1" ht="14.1" customHeight="1"/>
    <row r="37" customFormat="1" ht="14.1" customHeight="1"/>
    <row r="38" customFormat="1" ht="14.1" customHeight="1"/>
    <row r="39" customFormat="1" ht="14.1" customHeight="1"/>
    <row r="40" customFormat="1" ht="14.1" customHeight="1"/>
    <row r="41" customFormat="1" ht="14.1" customHeight="1"/>
    <row r="42" customFormat="1" ht="14.1" customHeight="1"/>
    <row r="43" customFormat="1" ht="14.1" customHeight="1"/>
    <row r="44" customFormat="1" ht="14.1" customHeight="1"/>
    <row r="45" customFormat="1" ht="14.1" customHeight="1"/>
    <row r="46" customFormat="1" ht="14.1" customHeight="1"/>
    <row r="47" customFormat="1" ht="14.1" customHeight="1"/>
    <row r="48" customFormat="1" ht="14.1" customHeight="1"/>
    <row r="49" customFormat="1" ht="14.1" customHeight="1"/>
    <row r="50" customFormat="1" ht="14.1" customHeight="1"/>
    <row r="51" customFormat="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E089-B2A5-4425-911D-F112DD889692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864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38</v>
      </c>
      <c r="I3" s="51">
        <f>SUM(J3)-3.5</f>
        <v>41.5</v>
      </c>
      <c r="J3" s="60">
        <v>45</v>
      </c>
      <c r="K3" s="51">
        <f>SUM(J3)+3</f>
        <v>48</v>
      </c>
      <c r="L3" s="51">
        <f>SUM(K3)+3</f>
        <v>51</v>
      </c>
      <c r="M3" s="84">
        <f>SUM(L3)+3</f>
        <v>54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28.4</v>
      </c>
      <c r="I5" s="51">
        <f>SUM(J5)-1.8</f>
        <v>30.2</v>
      </c>
      <c r="J5" s="60">
        <v>32</v>
      </c>
      <c r="K5" s="51">
        <f>SUM(J5)+1.6</f>
        <v>33.6</v>
      </c>
      <c r="L5" s="51">
        <f t="shared" ref="L5:M5" si="0">SUM(K5)+1.6</f>
        <v>35.200000000000003</v>
      </c>
      <c r="M5" s="75">
        <f t="shared" si="0"/>
        <v>36.800000000000004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33.5</v>
      </c>
      <c r="I7" s="51">
        <f>SUM(J7)-2.25</f>
        <v>35.75</v>
      </c>
      <c r="J7" s="60">
        <v>38</v>
      </c>
      <c r="K7" s="51">
        <f>SUM(J7)+2</f>
        <v>40</v>
      </c>
      <c r="L7" s="51">
        <f>SUM(K7)+2</f>
        <v>42</v>
      </c>
      <c r="M7" s="75">
        <f>SUM(L7)+2</f>
        <v>44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33.5</v>
      </c>
      <c r="I9" s="51">
        <f>SUM(J9)-2.25</f>
        <v>35.75</v>
      </c>
      <c r="J9" s="60">
        <v>38</v>
      </c>
      <c r="K9" s="51">
        <f>SUM(J9)+2</f>
        <v>40</v>
      </c>
      <c r="L9" s="51">
        <f>SUM(K9)+2</f>
        <v>42</v>
      </c>
      <c r="M9" s="75">
        <f>SUM(L9)+2</f>
        <v>44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12.999999999999998</v>
      </c>
      <c r="I11" s="51">
        <f>SUM(J11)-0.8</f>
        <v>13.799999999999999</v>
      </c>
      <c r="J11" s="39">
        <v>14.6</v>
      </c>
      <c r="K11" s="32">
        <f>SUM(J11)+0.8</f>
        <v>15.4</v>
      </c>
      <c r="L11" s="32">
        <f>SUM(K11)+0.8</f>
        <v>16.2</v>
      </c>
      <c r="M11" s="82">
        <f>SUM(L11)+0.8</f>
        <v>17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</v>
      </c>
      <c r="I13" s="51">
        <f>SUM(J13)-0.6</f>
        <v>15.6</v>
      </c>
      <c r="J13" s="39">
        <v>16.2</v>
      </c>
      <c r="K13" s="32">
        <f>SUM(J13)+0.6</f>
        <v>16.8</v>
      </c>
      <c r="L13" s="32">
        <f>SUM(K13)+0.6</f>
        <v>17.400000000000002</v>
      </c>
      <c r="M13" s="82">
        <f>SUM(L13)+0.6</f>
        <v>18.000000000000004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5.8000000000000007</v>
      </c>
      <c r="I15" s="51">
        <f>SUM(J15)-0.3</f>
        <v>6.1000000000000005</v>
      </c>
      <c r="J15" s="39">
        <v>6.4</v>
      </c>
      <c r="K15" s="32">
        <f>SUM(J15)+0.3</f>
        <v>6.7</v>
      </c>
      <c r="L15" s="32">
        <f>SUM(K15)+0.3</f>
        <v>7</v>
      </c>
      <c r="M15" s="82">
        <f>SUM(L15)+0.3</f>
        <v>7.3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35.799999999999997</v>
      </c>
      <c r="I17" s="51">
        <f>SUM(J17)-1.6</f>
        <v>37.4</v>
      </c>
      <c r="J17" s="39">
        <v>39</v>
      </c>
      <c r="K17" s="32">
        <f>SUM(J17)+1.6</f>
        <v>40.6</v>
      </c>
      <c r="L17" s="32">
        <f>SUM(K17)+1.6</f>
        <v>42.2</v>
      </c>
      <c r="M17" s="82">
        <f>SUM(L17)+1.6</f>
        <v>43.800000000000004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29.799999999999997</v>
      </c>
      <c r="I19" s="51">
        <f>SUM(J19)-3.6</f>
        <v>33.4</v>
      </c>
      <c r="J19" s="60">
        <v>37</v>
      </c>
      <c r="K19" s="51">
        <f>SUM(J19)+3.7</f>
        <v>40.700000000000003</v>
      </c>
      <c r="L19" s="51">
        <f t="shared" ref="L19:M19" si="1">SUM(K19)+3.7</f>
        <v>44.400000000000006</v>
      </c>
      <c r="M19" s="75">
        <f t="shared" si="1"/>
        <v>48.100000000000009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22.6</v>
      </c>
      <c r="I21" s="51">
        <f>SUM(J21)-1.4</f>
        <v>24</v>
      </c>
      <c r="J21" s="39">
        <v>25.4</v>
      </c>
      <c r="K21" s="32">
        <f>SUM(J21)+1.4</f>
        <v>26.799999999999997</v>
      </c>
      <c r="L21" s="32">
        <f t="shared" ref="L21:M21" si="2">SUM(K21)+1.4</f>
        <v>28.199999999999996</v>
      </c>
      <c r="M21" s="82">
        <f t="shared" si="2"/>
        <v>29.599999999999994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>SUM(K23)+0.7</f>
        <v>19.399999999999999</v>
      </c>
      <c r="M23" s="82">
        <f>SUM(L23)+0.7</f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4.2</v>
      </c>
      <c r="I25" s="51">
        <f>SUM(J25)-0.3</f>
        <v>4.5</v>
      </c>
      <c r="J25" s="39">
        <v>4.8</v>
      </c>
      <c r="K25" s="32">
        <f>SUM(J25)+0.3</f>
        <v>5.0999999999999996</v>
      </c>
      <c r="L25" s="32">
        <f t="shared" ref="L25:M25" si="3">SUM(K25)+0.3</f>
        <v>5.3999999999999995</v>
      </c>
      <c r="M25" s="82">
        <f t="shared" si="3"/>
        <v>5.6999999999999993</v>
      </c>
    </row>
    <row r="26" spans="1:13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102-990B-43EF-9198-44CCB2CBC8C6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865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9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8" t="s">
        <v>136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38</v>
      </c>
      <c r="I3" s="51">
        <f>SUM(J3)-3.5</f>
        <v>41.5</v>
      </c>
      <c r="J3" s="60">
        <v>45</v>
      </c>
      <c r="K3" s="51">
        <f>SUM(J3)+3</f>
        <v>48</v>
      </c>
      <c r="L3" s="51">
        <f>SUM(K3)+3</f>
        <v>51</v>
      </c>
      <c r="M3" s="84">
        <f>SUM(L3)+3</f>
        <v>54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SUM(I5)-1.8</f>
        <v>28.4</v>
      </c>
      <c r="I5" s="51">
        <f>SUM(J5)-1.8</f>
        <v>30.2</v>
      </c>
      <c r="J5" s="60">
        <v>32</v>
      </c>
      <c r="K5" s="51">
        <f>SUM(J5)+1.6</f>
        <v>33.6</v>
      </c>
      <c r="L5" s="51">
        <f t="shared" ref="L5:M5" si="0">SUM(K5)+1.6</f>
        <v>35.200000000000003</v>
      </c>
      <c r="M5" s="75">
        <f t="shared" si="0"/>
        <v>36.800000000000004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33.5</v>
      </c>
      <c r="I7" s="51">
        <f>SUM(J7)-2.25</f>
        <v>35.75</v>
      </c>
      <c r="J7" s="60">
        <v>38</v>
      </c>
      <c r="K7" s="51">
        <f>SUM(J7)+2</f>
        <v>40</v>
      </c>
      <c r="L7" s="51">
        <f>SUM(K7)+2</f>
        <v>42</v>
      </c>
      <c r="M7" s="75">
        <f>SUM(L7)+2</f>
        <v>44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SUM(I9)-2.25</f>
        <v>33.5</v>
      </c>
      <c r="I9" s="51">
        <f>SUM(J9)-2.25</f>
        <v>35.75</v>
      </c>
      <c r="J9" s="60">
        <v>38</v>
      </c>
      <c r="K9" s="51">
        <f>SUM(J9)+2</f>
        <v>40</v>
      </c>
      <c r="L9" s="51">
        <f>SUM(K9)+2</f>
        <v>42</v>
      </c>
      <c r="M9" s="75">
        <f>SUM(L9)+2</f>
        <v>44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12.999999999999998</v>
      </c>
      <c r="I11" s="51">
        <f>SUM(J11)-0.8</f>
        <v>13.799999999999999</v>
      </c>
      <c r="J11" s="39">
        <v>14.6</v>
      </c>
      <c r="K11" s="32">
        <f>SUM(J11)+0.8</f>
        <v>15.4</v>
      </c>
      <c r="L11" s="32">
        <f>SUM(K11)+0.8</f>
        <v>16.2</v>
      </c>
      <c r="M11" s="82">
        <f>SUM(L11)+0.8</f>
        <v>17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15.3</v>
      </c>
      <c r="I13" s="51">
        <f>SUM(J13)-0.6</f>
        <v>15.9</v>
      </c>
      <c r="J13" s="39">
        <v>16.5</v>
      </c>
      <c r="K13" s="32">
        <f>SUM(J13)+0.6</f>
        <v>17.100000000000001</v>
      </c>
      <c r="L13" s="32">
        <f>SUM(K13)+0.6</f>
        <v>17.700000000000003</v>
      </c>
      <c r="M13" s="82">
        <f>SUM(L13)+0.6</f>
        <v>18.300000000000004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6.2</v>
      </c>
      <c r="I15" s="51">
        <f>SUM(J15)-0.3</f>
        <v>6.5</v>
      </c>
      <c r="J15" s="39">
        <v>6.8</v>
      </c>
      <c r="K15" s="32">
        <f>SUM(J15)+0.3</f>
        <v>7.1</v>
      </c>
      <c r="L15" s="32">
        <f>SUM(K15)+0.3</f>
        <v>7.3999999999999995</v>
      </c>
      <c r="M15" s="82">
        <f>SUM(L15)+0.3</f>
        <v>7.6999999999999993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82"/>
    </row>
    <row r="17" spans="1:13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38.799999999999997</v>
      </c>
      <c r="I17" s="51">
        <f>SUM(J17)-1.6</f>
        <v>40.4</v>
      </c>
      <c r="J17" s="39">
        <v>42</v>
      </c>
      <c r="K17" s="32">
        <f>SUM(J17)+1.6</f>
        <v>43.6</v>
      </c>
      <c r="L17" s="32">
        <f>SUM(K17)+1.6</f>
        <v>45.2</v>
      </c>
      <c r="M17" s="82">
        <f>SUM(L17)+1.6</f>
        <v>46.800000000000004</v>
      </c>
    </row>
    <row r="18" spans="1:13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82"/>
    </row>
    <row r="19" spans="1:13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SUM(I19)-3.6</f>
        <v>29.799999999999997</v>
      </c>
      <c r="I19" s="51">
        <f>SUM(J19)-3.6</f>
        <v>33.4</v>
      </c>
      <c r="J19" s="60">
        <v>37</v>
      </c>
      <c r="K19" s="51">
        <f>SUM(J19)+3.7</f>
        <v>40.700000000000003</v>
      </c>
      <c r="L19" s="51">
        <f t="shared" ref="L19:M19" si="1">SUM(K19)+3.7</f>
        <v>44.400000000000006</v>
      </c>
      <c r="M19" s="75">
        <f t="shared" si="1"/>
        <v>48.100000000000009</v>
      </c>
    </row>
    <row r="20" spans="1:13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76"/>
    </row>
    <row r="21" spans="1:13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SUM(I21)-1.4</f>
        <v>22.6</v>
      </c>
      <c r="I21" s="51">
        <f>SUM(J21)-1.4</f>
        <v>24</v>
      </c>
      <c r="J21" s="39">
        <v>25.4</v>
      </c>
      <c r="K21" s="32">
        <f>SUM(J21)+1.4</f>
        <v>26.799999999999997</v>
      </c>
      <c r="L21" s="32">
        <f t="shared" ref="L21:M21" si="2">SUM(K21)+1.4</f>
        <v>28.199999999999996</v>
      </c>
      <c r="M21" s="82">
        <f t="shared" si="2"/>
        <v>29.599999999999994</v>
      </c>
    </row>
    <row r="22" spans="1:13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82"/>
    </row>
    <row r="23" spans="1:13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SUM(I23)-0.7</f>
        <v>16.600000000000001</v>
      </c>
      <c r="I23" s="51">
        <f>SUM(J23)-0.7</f>
        <v>17.3</v>
      </c>
      <c r="J23" s="39">
        <v>18</v>
      </c>
      <c r="K23" s="32">
        <f>SUM(J23)+0.7</f>
        <v>18.7</v>
      </c>
      <c r="L23" s="32">
        <f>SUM(K23)+0.7</f>
        <v>19.399999999999999</v>
      </c>
      <c r="M23" s="82">
        <f>SUM(L23)+0.7</f>
        <v>20.099999999999998</v>
      </c>
    </row>
    <row r="24" spans="1:13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82"/>
    </row>
    <row r="25" spans="1:13" s="1" customFormat="1" ht="14.1" customHeight="1">
      <c r="A25" s="40">
        <v>12</v>
      </c>
      <c r="B25" s="49" t="s">
        <v>602</v>
      </c>
      <c r="C25" s="50"/>
      <c r="D25" s="93" t="s">
        <v>83</v>
      </c>
      <c r="E25" s="94"/>
      <c r="F25" s="94"/>
      <c r="G25" s="95"/>
      <c r="H25" s="51">
        <f>SUM(I25)-0.3</f>
        <v>3.6000000000000005</v>
      </c>
      <c r="I25" s="51">
        <f>SUM(J25)-0.3</f>
        <v>3.9000000000000004</v>
      </c>
      <c r="J25" s="39">
        <v>4.2</v>
      </c>
      <c r="K25" s="32">
        <f>SUM(J25)+0.3</f>
        <v>4.5</v>
      </c>
      <c r="L25" s="32">
        <f t="shared" ref="L25:M25" si="3">SUM(K25)+0.3</f>
        <v>4.8</v>
      </c>
      <c r="M25" s="82">
        <f t="shared" si="3"/>
        <v>5.0999999999999996</v>
      </c>
    </row>
    <row r="26" spans="1:13" s="1" customFormat="1" ht="14.1" customHeight="1">
      <c r="A26" s="111"/>
      <c r="B26" s="53" t="s">
        <v>603</v>
      </c>
      <c r="C26" s="54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75"/>
    </row>
    <row r="27" spans="1:13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82"/>
    </row>
    <row r="28" spans="1:13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92"/>
    </row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2924-5A05-4886-833E-864EAD128973}">
  <sheetPr>
    <tabColor theme="5"/>
    <pageSetUpPr fitToPage="1"/>
  </sheetPr>
  <dimension ref="A1:N51"/>
  <sheetViews>
    <sheetView zoomScale="110" zoomScaleNormal="110" workbookViewId="0">
      <selection sqref="A1:N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62" t="s">
        <v>866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6.5" customHeight="1" thickBot="1">
      <c r="A2" s="4" t="s">
        <v>60</v>
      </c>
      <c r="B2" s="65" t="s">
        <v>61</v>
      </c>
      <c r="C2" s="65"/>
      <c r="D2" s="65" t="s">
        <v>62</v>
      </c>
      <c r="E2" s="65"/>
      <c r="F2" s="65"/>
      <c r="G2" s="65"/>
      <c r="H2" s="8" t="s">
        <v>63</v>
      </c>
      <c r="I2" s="8" t="s">
        <v>64</v>
      </c>
      <c r="J2" s="5" t="s">
        <v>65</v>
      </c>
      <c r="K2" s="8" t="s">
        <v>66</v>
      </c>
      <c r="L2" s="8" t="s">
        <v>135</v>
      </c>
      <c r="M2" s="16" t="s">
        <v>136</v>
      </c>
      <c r="N2" s="8" t="s">
        <v>239</v>
      </c>
    </row>
    <row r="3" spans="1:14" s="1" customFormat="1" ht="14.1" customHeight="1">
      <c r="A3" s="83">
        <v>1</v>
      </c>
      <c r="B3" s="101" t="s">
        <v>41</v>
      </c>
      <c r="C3" s="101"/>
      <c r="D3" s="102" t="s">
        <v>338</v>
      </c>
      <c r="E3" s="102"/>
      <c r="F3" s="102"/>
      <c r="G3" s="103"/>
      <c r="H3" s="51">
        <f>SUM(I3)-3.5</f>
        <v>39</v>
      </c>
      <c r="I3" s="51">
        <f>SUM(J3)-3.5</f>
        <v>42.5</v>
      </c>
      <c r="J3" s="60">
        <v>46</v>
      </c>
      <c r="K3" s="51">
        <f>SUM(J3)+3</f>
        <v>49</v>
      </c>
      <c r="L3" s="51">
        <f t="shared" ref="L3:N3" si="0">SUM(K3)+3</f>
        <v>52</v>
      </c>
      <c r="M3" s="51">
        <f t="shared" si="0"/>
        <v>55</v>
      </c>
      <c r="N3" s="75">
        <f t="shared" si="0"/>
        <v>58</v>
      </c>
    </row>
    <row r="4" spans="1:14" s="1" customFormat="1" ht="14.1" customHeight="1">
      <c r="A4" s="66"/>
      <c r="B4" s="52" t="s">
        <v>38</v>
      </c>
      <c r="C4" s="52"/>
      <c r="D4" s="36" t="s">
        <v>100</v>
      </c>
      <c r="E4" s="37"/>
      <c r="F4" s="37"/>
      <c r="G4" s="37"/>
      <c r="H4" s="23"/>
      <c r="I4" s="23"/>
      <c r="J4" s="21"/>
      <c r="K4" s="23"/>
      <c r="L4" s="23"/>
      <c r="M4" s="23"/>
      <c r="N4" s="76"/>
    </row>
    <row r="5" spans="1:14" s="1" customFormat="1" ht="14.1" customHeight="1">
      <c r="A5" s="40">
        <v>2</v>
      </c>
      <c r="B5" s="56" t="s">
        <v>39</v>
      </c>
      <c r="C5" s="56"/>
      <c r="D5" s="55" t="s">
        <v>40</v>
      </c>
      <c r="E5" s="55"/>
      <c r="F5" s="55"/>
      <c r="G5" s="55"/>
      <c r="H5" s="51">
        <f>SUM(I5)-2.2</f>
        <v>37.499999999999993</v>
      </c>
      <c r="I5" s="51">
        <f>SUM(J5)-2.2</f>
        <v>39.699999999999996</v>
      </c>
      <c r="J5" s="60">
        <v>41.9</v>
      </c>
      <c r="K5" s="51">
        <f>SUM(J5)+2</f>
        <v>43.9</v>
      </c>
      <c r="L5" s="51">
        <f t="shared" ref="L5:M5" si="1">SUM(K5)+2</f>
        <v>45.9</v>
      </c>
      <c r="M5" s="51">
        <f t="shared" si="1"/>
        <v>47.9</v>
      </c>
      <c r="N5" s="75">
        <f t="shared" ref="N5" si="2">SUM(M5)+2</f>
        <v>49.9</v>
      </c>
    </row>
    <row r="6" spans="1:14" s="1" customFormat="1" ht="14.1" customHeight="1">
      <c r="A6" s="40"/>
      <c r="B6" s="52" t="s">
        <v>24</v>
      </c>
      <c r="C6" s="52"/>
      <c r="D6" s="36" t="s">
        <v>44</v>
      </c>
      <c r="E6" s="37"/>
      <c r="F6" s="37"/>
      <c r="G6" s="38"/>
      <c r="H6" s="23"/>
      <c r="I6" s="23"/>
      <c r="J6" s="21"/>
      <c r="K6" s="23"/>
      <c r="L6" s="23"/>
      <c r="M6" s="23"/>
      <c r="N6" s="76"/>
    </row>
    <row r="7" spans="1:14" s="1" customFormat="1" ht="14.1" customHeight="1">
      <c r="A7" s="40">
        <v>3</v>
      </c>
      <c r="B7" s="56" t="s">
        <v>37</v>
      </c>
      <c r="C7" s="56"/>
      <c r="D7" s="55" t="s">
        <v>73</v>
      </c>
      <c r="E7" s="55"/>
      <c r="F7" s="55"/>
      <c r="G7" s="55"/>
      <c r="H7" s="51">
        <f>SUM(I7)-2.25</f>
        <v>39</v>
      </c>
      <c r="I7" s="51">
        <f>SUM(J7)-2.25</f>
        <v>41.25</v>
      </c>
      <c r="J7" s="60">
        <v>43.5</v>
      </c>
      <c r="K7" s="51">
        <f>SUM(J7)+2</f>
        <v>45.5</v>
      </c>
      <c r="L7" s="51">
        <f>SUM(K7)+2</f>
        <v>47.5</v>
      </c>
      <c r="M7" s="51">
        <f>SUM(L7)+2</f>
        <v>49.5</v>
      </c>
      <c r="N7" s="75">
        <f>SUM(M7)+2</f>
        <v>51.5</v>
      </c>
    </row>
    <row r="8" spans="1:14" s="1" customFormat="1" ht="14.1" customHeight="1">
      <c r="A8" s="40"/>
      <c r="B8" s="52" t="s">
        <v>42</v>
      </c>
      <c r="C8" s="52"/>
      <c r="D8" s="36" t="s">
        <v>45</v>
      </c>
      <c r="E8" s="37"/>
      <c r="F8" s="37"/>
      <c r="G8" s="38"/>
      <c r="H8" s="23"/>
      <c r="I8" s="23"/>
      <c r="J8" s="21"/>
      <c r="K8" s="23"/>
      <c r="L8" s="23"/>
      <c r="M8" s="23"/>
      <c r="N8" s="76"/>
    </row>
    <row r="9" spans="1:14" s="1" customFormat="1" ht="14.1" customHeight="1">
      <c r="A9" s="40">
        <v>4</v>
      </c>
      <c r="B9" s="56" t="s">
        <v>43</v>
      </c>
      <c r="C9" s="56"/>
      <c r="D9" s="55" t="s">
        <v>8</v>
      </c>
      <c r="E9" s="55"/>
      <c r="F9" s="55"/>
      <c r="G9" s="55"/>
      <c r="H9" s="51">
        <f>SUM(I9)-2.2</f>
        <v>38.099999999999994</v>
      </c>
      <c r="I9" s="51">
        <f>SUM(J9)-2.2</f>
        <v>40.299999999999997</v>
      </c>
      <c r="J9" s="60">
        <v>42.5</v>
      </c>
      <c r="K9" s="51">
        <f>SUM(J9)+2</f>
        <v>44.5</v>
      </c>
      <c r="L9" s="51">
        <f t="shared" ref="L9" si="3">SUM(K9)+2</f>
        <v>46.5</v>
      </c>
      <c r="M9" s="51">
        <f t="shared" ref="M9:N9" si="4">SUM(L9)+2</f>
        <v>48.5</v>
      </c>
      <c r="N9" s="75">
        <f t="shared" si="4"/>
        <v>50.5</v>
      </c>
    </row>
    <row r="10" spans="1:14" s="1" customFormat="1" ht="14.1" customHeight="1">
      <c r="A10" s="40"/>
      <c r="B10" s="52" t="s">
        <v>25</v>
      </c>
      <c r="C10" s="52"/>
      <c r="D10" s="36" t="s">
        <v>46</v>
      </c>
      <c r="E10" s="37"/>
      <c r="F10" s="37"/>
      <c r="G10" s="38"/>
      <c r="H10" s="23"/>
      <c r="I10" s="23"/>
      <c r="J10" s="21"/>
      <c r="K10" s="23"/>
      <c r="L10" s="23"/>
      <c r="M10" s="23"/>
      <c r="N10" s="76"/>
    </row>
    <row r="11" spans="1:14" s="1" customFormat="1" ht="14.1" customHeight="1">
      <c r="A11" s="40">
        <v>5</v>
      </c>
      <c r="B11" s="56" t="s">
        <v>10</v>
      </c>
      <c r="C11" s="56"/>
      <c r="D11" s="55" t="s">
        <v>0</v>
      </c>
      <c r="E11" s="55"/>
      <c r="F11" s="55"/>
      <c r="G11" s="55"/>
      <c r="H11" s="51">
        <f>SUM(I11)-0.8</f>
        <v>15.5</v>
      </c>
      <c r="I11" s="51">
        <f>SUM(J11)-0.8</f>
        <v>16.3</v>
      </c>
      <c r="J11" s="39">
        <v>17.100000000000001</v>
      </c>
      <c r="K11" s="32">
        <f>SUM(J11)+0.8</f>
        <v>17.900000000000002</v>
      </c>
      <c r="L11" s="32">
        <f>SUM(K11)+0.8</f>
        <v>18.700000000000003</v>
      </c>
      <c r="M11" s="32">
        <f>SUM(L11)+0.8</f>
        <v>19.500000000000004</v>
      </c>
      <c r="N11" s="82">
        <f>SUM(M11)+0.8</f>
        <v>20.300000000000004</v>
      </c>
    </row>
    <row r="12" spans="1:14" s="1" customFormat="1" ht="14.1" customHeight="1">
      <c r="A12" s="40"/>
      <c r="B12" s="52" t="s">
        <v>26</v>
      </c>
      <c r="C12" s="52"/>
      <c r="D12" s="36" t="s">
        <v>47</v>
      </c>
      <c r="E12" s="37"/>
      <c r="F12" s="37"/>
      <c r="G12" s="38"/>
      <c r="H12" s="23"/>
      <c r="I12" s="23"/>
      <c r="J12" s="39"/>
      <c r="K12" s="32"/>
      <c r="L12" s="32"/>
      <c r="M12" s="32"/>
      <c r="N12" s="82"/>
    </row>
    <row r="13" spans="1:14" s="1" customFormat="1" ht="14.1" customHeight="1">
      <c r="A13" s="40">
        <v>6</v>
      </c>
      <c r="B13" s="56" t="s">
        <v>1</v>
      </c>
      <c r="C13" s="56"/>
      <c r="D13" s="55" t="s">
        <v>547</v>
      </c>
      <c r="E13" s="55"/>
      <c r="F13" s="55"/>
      <c r="G13" s="55"/>
      <c r="H13" s="51">
        <f>SUM(I13)-0.6</f>
        <v>15.799999999999999</v>
      </c>
      <c r="I13" s="51">
        <f>SUM(J13)-0.6</f>
        <v>16.399999999999999</v>
      </c>
      <c r="J13" s="39">
        <v>17</v>
      </c>
      <c r="K13" s="32">
        <f>SUM(J13)+0.6</f>
        <v>17.600000000000001</v>
      </c>
      <c r="L13" s="32">
        <f>SUM(K13)+0.6</f>
        <v>18.200000000000003</v>
      </c>
      <c r="M13" s="32">
        <f>SUM(L13)+0.6</f>
        <v>18.800000000000004</v>
      </c>
      <c r="N13" s="82">
        <f>SUM(M13)+0.6</f>
        <v>19.400000000000006</v>
      </c>
    </row>
    <row r="14" spans="1:14" s="1" customFormat="1" ht="14.1" customHeight="1">
      <c r="A14" s="40"/>
      <c r="B14" s="52" t="s">
        <v>27</v>
      </c>
      <c r="C14" s="52"/>
      <c r="D14" s="36" t="s">
        <v>120</v>
      </c>
      <c r="E14" s="37"/>
      <c r="F14" s="37"/>
      <c r="G14" s="38"/>
      <c r="H14" s="23"/>
      <c r="I14" s="23"/>
      <c r="J14" s="39"/>
      <c r="K14" s="32"/>
      <c r="L14" s="32"/>
      <c r="M14" s="32"/>
      <c r="N14" s="82"/>
    </row>
    <row r="15" spans="1:14" s="1" customFormat="1" ht="14.1" customHeight="1">
      <c r="A15" s="40">
        <v>7</v>
      </c>
      <c r="B15" s="56" t="s">
        <v>2</v>
      </c>
      <c r="C15" s="56"/>
      <c r="D15" s="55" t="s">
        <v>3</v>
      </c>
      <c r="E15" s="55"/>
      <c r="F15" s="55"/>
      <c r="G15" s="55"/>
      <c r="H15" s="51">
        <f>SUM(I15)-0.3</f>
        <v>6.3000000000000007</v>
      </c>
      <c r="I15" s="51">
        <f>SUM(J15)-0.3</f>
        <v>6.6000000000000005</v>
      </c>
      <c r="J15" s="39">
        <v>6.9</v>
      </c>
      <c r="K15" s="32">
        <f>SUM(J15)+0.3</f>
        <v>7.2</v>
      </c>
      <c r="L15" s="32">
        <f>SUM(K15)+0.3</f>
        <v>7.5</v>
      </c>
      <c r="M15" s="32">
        <f>SUM(L15)+0.3</f>
        <v>7.8</v>
      </c>
      <c r="N15" s="82">
        <f>SUM(M15)+0.3</f>
        <v>8.1</v>
      </c>
    </row>
    <row r="16" spans="1:14" s="1" customFormat="1" ht="14.1" customHeight="1">
      <c r="A16" s="40"/>
      <c r="B16" s="52" t="s">
        <v>28</v>
      </c>
      <c r="C16" s="52"/>
      <c r="D16" s="36" t="s">
        <v>121</v>
      </c>
      <c r="E16" s="37"/>
      <c r="F16" s="37"/>
      <c r="G16" s="38"/>
      <c r="H16" s="23"/>
      <c r="I16" s="23"/>
      <c r="J16" s="39"/>
      <c r="K16" s="32"/>
      <c r="L16" s="32"/>
      <c r="M16" s="32"/>
      <c r="N16" s="82"/>
    </row>
    <row r="17" spans="1:14" s="1" customFormat="1" ht="14.1" customHeight="1">
      <c r="A17" s="40">
        <v>8</v>
      </c>
      <c r="B17" s="49" t="s">
        <v>74</v>
      </c>
      <c r="C17" s="50"/>
      <c r="D17" s="57" t="s">
        <v>75</v>
      </c>
      <c r="E17" s="58"/>
      <c r="F17" s="58"/>
      <c r="G17" s="59"/>
      <c r="H17" s="51">
        <f>SUM(I17)-1.6</f>
        <v>39.799999999999997</v>
      </c>
      <c r="I17" s="51">
        <f>SUM(J17)-1.6</f>
        <v>41.4</v>
      </c>
      <c r="J17" s="39">
        <v>43</v>
      </c>
      <c r="K17" s="32">
        <f>SUM(J17)+1.6</f>
        <v>44.6</v>
      </c>
      <c r="L17" s="32">
        <f>SUM(K17)+1.6</f>
        <v>46.2</v>
      </c>
      <c r="M17" s="32">
        <f>SUM(L17)+1.6</f>
        <v>47.800000000000004</v>
      </c>
      <c r="N17" s="82">
        <f>SUM(M17)+1.6</f>
        <v>49.400000000000006</v>
      </c>
    </row>
    <row r="18" spans="1:14" s="1" customFormat="1" ht="14.1" customHeight="1">
      <c r="A18" s="40"/>
      <c r="B18" s="52" t="s">
        <v>35</v>
      </c>
      <c r="C18" s="52"/>
      <c r="D18" s="36" t="s">
        <v>122</v>
      </c>
      <c r="E18" s="37"/>
      <c r="F18" s="37"/>
      <c r="G18" s="38"/>
      <c r="H18" s="23"/>
      <c r="I18" s="23"/>
      <c r="J18" s="39"/>
      <c r="K18" s="32"/>
      <c r="L18" s="32"/>
      <c r="M18" s="32"/>
      <c r="N18" s="82"/>
    </row>
    <row r="19" spans="1:14" s="1" customFormat="1" ht="14.1" customHeight="1">
      <c r="A19" s="40">
        <v>9</v>
      </c>
      <c r="B19" s="56" t="s">
        <v>4</v>
      </c>
      <c r="C19" s="56"/>
      <c r="D19" s="55" t="s">
        <v>5</v>
      </c>
      <c r="E19" s="55"/>
      <c r="F19" s="55"/>
      <c r="G19" s="55"/>
      <c r="H19" s="51">
        <f>SUM(I19)-3.4</f>
        <v>26.700000000000003</v>
      </c>
      <c r="I19" s="51">
        <f>SUM(J19)-3.4</f>
        <v>30.1</v>
      </c>
      <c r="J19" s="60">
        <v>33.5</v>
      </c>
      <c r="K19" s="51">
        <f>SUM(J19)+3.5</f>
        <v>37</v>
      </c>
      <c r="L19" s="51">
        <f t="shared" ref="L19:N19" si="5">SUM(K19)+3.5</f>
        <v>40.5</v>
      </c>
      <c r="M19" s="51">
        <f t="shared" si="5"/>
        <v>44</v>
      </c>
      <c r="N19" s="75">
        <f t="shared" si="5"/>
        <v>47.5</v>
      </c>
    </row>
    <row r="20" spans="1:14" s="1" customFormat="1" ht="14.1" customHeight="1">
      <c r="A20" s="40"/>
      <c r="B20" s="52" t="s">
        <v>29</v>
      </c>
      <c r="C20" s="52"/>
      <c r="D20" s="36" t="s">
        <v>50</v>
      </c>
      <c r="E20" s="37"/>
      <c r="F20" s="37"/>
      <c r="G20" s="38"/>
      <c r="H20" s="23"/>
      <c r="I20" s="23"/>
      <c r="J20" s="21"/>
      <c r="K20" s="23"/>
      <c r="L20" s="23"/>
      <c r="M20" s="23"/>
      <c r="N20" s="76"/>
    </row>
    <row r="21" spans="1:14" s="1" customFormat="1" ht="14.1" customHeight="1">
      <c r="A21" s="40">
        <v>10</v>
      </c>
      <c r="B21" s="56" t="s">
        <v>6</v>
      </c>
      <c r="C21" s="56"/>
      <c r="D21" s="57" t="s">
        <v>7</v>
      </c>
      <c r="E21" s="58"/>
      <c r="F21" s="58"/>
      <c r="G21" s="59"/>
      <c r="H21" s="51">
        <f>SUM(I21)-1.6</f>
        <v>30.199999999999996</v>
      </c>
      <c r="I21" s="51">
        <f>SUM(J21)-1.6</f>
        <v>31.799999999999997</v>
      </c>
      <c r="J21" s="39">
        <v>33.4</v>
      </c>
      <c r="K21" s="32">
        <f>SUM(J21)+1.6</f>
        <v>35</v>
      </c>
      <c r="L21" s="32">
        <f t="shared" ref="L21:N21" si="6">SUM(K21)+1.6</f>
        <v>36.6</v>
      </c>
      <c r="M21" s="32">
        <f t="shared" si="6"/>
        <v>38.200000000000003</v>
      </c>
      <c r="N21" s="82">
        <f t="shared" si="6"/>
        <v>39.800000000000004</v>
      </c>
    </row>
    <row r="22" spans="1:14" s="1" customFormat="1" ht="14.1" customHeight="1">
      <c r="A22" s="40"/>
      <c r="B22" s="52" t="s">
        <v>30</v>
      </c>
      <c r="C22" s="52"/>
      <c r="D22" s="36" t="s">
        <v>67</v>
      </c>
      <c r="E22" s="37"/>
      <c r="F22" s="37"/>
      <c r="G22" s="38"/>
      <c r="H22" s="23"/>
      <c r="I22" s="23"/>
      <c r="J22" s="39"/>
      <c r="K22" s="32"/>
      <c r="L22" s="32"/>
      <c r="M22" s="32"/>
      <c r="N22" s="82"/>
    </row>
    <row r="23" spans="1:14" s="1" customFormat="1" ht="14.1" customHeight="1">
      <c r="A23" s="40">
        <v>11</v>
      </c>
      <c r="B23" s="49" t="s">
        <v>99</v>
      </c>
      <c r="C23" s="50"/>
      <c r="D23" s="55" t="s">
        <v>69</v>
      </c>
      <c r="E23" s="55"/>
      <c r="F23" s="55"/>
      <c r="G23" s="55"/>
      <c r="H23" s="51">
        <f>SUM(I23)-0.6</f>
        <v>13</v>
      </c>
      <c r="I23" s="51">
        <f>SUM(J23)-0.6</f>
        <v>13.6</v>
      </c>
      <c r="J23" s="39">
        <v>14.2</v>
      </c>
      <c r="K23" s="32">
        <f>SUM(J23)+0.6</f>
        <v>14.799999999999999</v>
      </c>
      <c r="L23" s="32">
        <f t="shared" ref="L23:N23" si="7">SUM(K23)+0.6</f>
        <v>15.399999999999999</v>
      </c>
      <c r="M23" s="32">
        <f t="shared" si="7"/>
        <v>15.999999999999998</v>
      </c>
      <c r="N23" s="82">
        <f t="shared" si="7"/>
        <v>16.599999999999998</v>
      </c>
    </row>
    <row r="24" spans="1:14" s="1" customFormat="1" ht="14.1" customHeight="1">
      <c r="A24" s="40"/>
      <c r="B24" s="52" t="s">
        <v>31</v>
      </c>
      <c r="C24" s="52"/>
      <c r="D24" s="36" t="s">
        <v>70</v>
      </c>
      <c r="E24" s="37"/>
      <c r="F24" s="37"/>
      <c r="G24" s="38"/>
      <c r="H24" s="23"/>
      <c r="I24" s="23"/>
      <c r="J24" s="39"/>
      <c r="K24" s="32"/>
      <c r="L24" s="32"/>
      <c r="M24" s="32"/>
      <c r="N24" s="82"/>
    </row>
    <row r="25" spans="1:14" s="1" customFormat="1" ht="14.1" customHeight="1">
      <c r="A25" s="40">
        <v>12</v>
      </c>
      <c r="B25" s="49" t="s">
        <v>141</v>
      </c>
      <c r="C25" s="50"/>
      <c r="D25" s="93" t="s">
        <v>83</v>
      </c>
      <c r="E25" s="94"/>
      <c r="F25" s="94"/>
      <c r="G25" s="95"/>
      <c r="H25" s="51">
        <f>SUM(I25)-0.3</f>
        <v>5</v>
      </c>
      <c r="I25" s="51">
        <f>SUM(J25)-0.3</f>
        <v>5.3</v>
      </c>
      <c r="J25" s="39">
        <v>5.6</v>
      </c>
      <c r="K25" s="32">
        <f>SUM(J25)+0.3</f>
        <v>5.8999999999999995</v>
      </c>
      <c r="L25" s="32">
        <f t="shared" ref="L25:N25" si="8">SUM(K25)+0.3</f>
        <v>6.1999999999999993</v>
      </c>
      <c r="M25" s="32">
        <f t="shared" si="8"/>
        <v>6.4999999999999991</v>
      </c>
      <c r="N25" s="82">
        <f t="shared" si="8"/>
        <v>6.7999999999999989</v>
      </c>
    </row>
    <row r="26" spans="1:14" s="1" customFormat="1" ht="14.1" customHeight="1">
      <c r="A26" s="111"/>
      <c r="B26" s="34" t="s">
        <v>140</v>
      </c>
      <c r="C26" s="35"/>
      <c r="D26" s="67" t="s">
        <v>84</v>
      </c>
      <c r="E26" s="68"/>
      <c r="F26" s="68"/>
      <c r="G26" s="69"/>
      <c r="H26" s="47"/>
      <c r="I26" s="47"/>
      <c r="J26" s="60"/>
      <c r="K26" s="51"/>
      <c r="L26" s="51"/>
      <c r="M26" s="51"/>
      <c r="N26" s="75"/>
    </row>
    <row r="27" spans="1:14" ht="14.1" customHeight="1">
      <c r="A27" s="40">
        <v>13</v>
      </c>
      <c r="B27" s="49"/>
      <c r="C27" s="50"/>
      <c r="D27" s="93"/>
      <c r="E27" s="94"/>
      <c r="F27" s="94"/>
      <c r="G27" s="95"/>
      <c r="H27" s="51"/>
      <c r="I27" s="51"/>
      <c r="J27" s="39"/>
      <c r="K27" s="32"/>
      <c r="L27" s="32"/>
      <c r="M27" s="32"/>
      <c r="N27" s="82"/>
    </row>
    <row r="28" spans="1:14" ht="14.1" customHeight="1" thickBot="1">
      <c r="A28" s="41"/>
      <c r="B28" s="27"/>
      <c r="C28" s="28"/>
      <c r="D28" s="29"/>
      <c r="E28" s="30"/>
      <c r="F28" s="30"/>
      <c r="G28" s="31"/>
      <c r="H28" s="48"/>
      <c r="I28" s="48"/>
      <c r="J28" s="22"/>
      <c r="K28" s="24"/>
      <c r="L28" s="24"/>
      <c r="M28" s="24"/>
      <c r="N28" s="92"/>
    </row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2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132</vt:i4>
      </vt:variant>
      <vt:variant>
        <vt:lpstr>이름 지정된 범위</vt:lpstr>
      </vt:variant>
      <vt:variant>
        <vt:i4>132</vt:i4>
      </vt:variant>
    </vt:vector>
  </HeadingPairs>
  <TitlesOfParts>
    <vt:vector size="264" baseType="lpstr">
      <vt:lpstr>OP01</vt:lpstr>
      <vt:lpstr>OP02</vt:lpstr>
      <vt:lpstr>OP03</vt:lpstr>
      <vt:lpstr>OP04</vt:lpstr>
      <vt:lpstr>OP05</vt:lpstr>
      <vt:lpstr>OP06</vt:lpstr>
      <vt:lpstr>OP07</vt:lpstr>
      <vt:lpstr>OP08</vt:lpstr>
      <vt:lpstr>OP09</vt:lpstr>
      <vt:lpstr>OP10</vt:lpstr>
      <vt:lpstr>OP11</vt:lpstr>
      <vt:lpstr>OP12(니트)</vt:lpstr>
      <vt:lpstr>OP13</vt:lpstr>
      <vt:lpstr>OU01</vt:lpstr>
      <vt:lpstr>OU02</vt:lpstr>
      <vt:lpstr>OU03</vt:lpstr>
      <vt:lpstr>OU04</vt:lpstr>
      <vt:lpstr>OU05</vt:lpstr>
      <vt:lpstr>OU06</vt:lpstr>
      <vt:lpstr>OU07</vt:lpstr>
      <vt:lpstr>OU08</vt:lpstr>
      <vt:lpstr>OU09(니트) </vt:lpstr>
      <vt:lpstr>OU10(니트) </vt:lpstr>
      <vt:lpstr>OU11(니트)</vt:lpstr>
      <vt:lpstr>OU12</vt:lpstr>
      <vt:lpstr>OU13</vt:lpstr>
      <vt:lpstr>OU14(완사입) </vt:lpstr>
      <vt:lpstr>OU15</vt:lpstr>
      <vt:lpstr>OU16</vt:lpstr>
      <vt:lpstr>OU17</vt:lpstr>
      <vt:lpstr>OU19(니트)</vt:lpstr>
      <vt:lpstr>OU61</vt:lpstr>
      <vt:lpstr>PT01</vt:lpstr>
      <vt:lpstr>PT02</vt:lpstr>
      <vt:lpstr>PT03</vt:lpstr>
      <vt:lpstr>PT04</vt:lpstr>
      <vt:lpstr>PT05</vt:lpstr>
      <vt:lpstr>PT06</vt:lpstr>
      <vt:lpstr>PT07</vt:lpstr>
      <vt:lpstr>PT08</vt:lpstr>
      <vt:lpstr>PT09(완사입)</vt:lpstr>
      <vt:lpstr>PT10(완사입)</vt:lpstr>
      <vt:lpstr>PT11</vt:lpstr>
      <vt:lpstr>PT12</vt:lpstr>
      <vt:lpstr>PT13(완사입)</vt:lpstr>
      <vt:lpstr>PT14</vt:lpstr>
      <vt:lpstr>PT15</vt:lpstr>
      <vt:lpstr>PT16(완사입)</vt:lpstr>
      <vt:lpstr>PT17(완사입)</vt:lpstr>
      <vt:lpstr>PT18(완사입)</vt:lpstr>
      <vt:lpstr>PT19(완사입)</vt:lpstr>
      <vt:lpstr>PT20(완사입)</vt:lpstr>
      <vt:lpstr>PT21</vt:lpstr>
      <vt:lpstr>PT22(완사입)</vt:lpstr>
      <vt:lpstr>PT23</vt:lpstr>
      <vt:lpstr>PT24(완사입)</vt:lpstr>
      <vt:lpstr>PT25</vt:lpstr>
      <vt:lpstr>PT26</vt:lpstr>
      <vt:lpstr>PT27</vt:lpstr>
      <vt:lpstr>PT61</vt:lpstr>
      <vt:lpstr>PT62</vt:lpstr>
      <vt:lpstr>PT63(완사입)</vt:lpstr>
      <vt:lpstr>PT64(완사입)</vt:lpstr>
      <vt:lpstr>SK01</vt:lpstr>
      <vt:lpstr>SK02</vt:lpstr>
      <vt:lpstr>SK03</vt:lpstr>
      <vt:lpstr>SK04</vt:lpstr>
      <vt:lpstr>SK05</vt:lpstr>
      <vt:lpstr>SK06</vt:lpstr>
      <vt:lpstr>SK07(완사입)</vt:lpstr>
      <vt:lpstr>SK08</vt:lpstr>
      <vt:lpstr>SK09(완사입)</vt:lpstr>
      <vt:lpstr>SK10</vt:lpstr>
      <vt:lpstr>SK11(니트)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TO11</vt:lpstr>
      <vt:lpstr>TO12</vt:lpstr>
      <vt:lpstr>TO13</vt:lpstr>
      <vt:lpstr>TO14</vt:lpstr>
      <vt:lpstr>TO15</vt:lpstr>
      <vt:lpstr>TO16</vt:lpstr>
      <vt:lpstr>TO17</vt:lpstr>
      <vt:lpstr>TO18</vt:lpstr>
      <vt:lpstr>TO19</vt:lpstr>
      <vt:lpstr>TO20</vt:lpstr>
      <vt:lpstr>TO21</vt:lpstr>
      <vt:lpstr>TO22</vt:lpstr>
      <vt:lpstr>TO23</vt:lpstr>
      <vt:lpstr>TO24</vt:lpstr>
      <vt:lpstr>TO25</vt:lpstr>
      <vt:lpstr>TO26</vt:lpstr>
      <vt:lpstr>TO27</vt:lpstr>
      <vt:lpstr>TO28</vt:lpstr>
      <vt:lpstr>TO29</vt:lpstr>
      <vt:lpstr>TO30</vt:lpstr>
      <vt:lpstr>TO31(니트)</vt:lpstr>
      <vt:lpstr>TO32</vt:lpstr>
      <vt:lpstr>TO33</vt:lpstr>
      <vt:lpstr>TO34</vt:lpstr>
      <vt:lpstr>TO35</vt:lpstr>
      <vt:lpstr>TO36</vt:lpstr>
      <vt:lpstr>TO37</vt:lpstr>
      <vt:lpstr>TO39</vt:lpstr>
      <vt:lpstr>TO40</vt:lpstr>
      <vt:lpstr>TO41</vt:lpstr>
      <vt:lpstr>TO42</vt:lpstr>
      <vt:lpstr>TO43</vt:lpstr>
      <vt:lpstr>TO44</vt:lpstr>
      <vt:lpstr>TO46</vt:lpstr>
      <vt:lpstr>TO61</vt:lpstr>
      <vt:lpstr>TO62</vt:lpstr>
      <vt:lpstr>TO63</vt:lpstr>
      <vt:lpstr>TO64</vt:lpstr>
      <vt:lpstr>TO80(산리오)</vt:lpstr>
      <vt:lpstr>TO81(산리오)</vt:lpstr>
      <vt:lpstr>TO82(산리오)</vt:lpstr>
      <vt:lpstr>TO83(산리오)</vt:lpstr>
      <vt:lpstr>TO84(산리오)</vt:lpstr>
      <vt:lpstr>TO85(산리오)</vt:lpstr>
      <vt:lpstr>TO86(산리오)</vt:lpstr>
      <vt:lpstr>TO87(산리오)</vt:lpstr>
      <vt:lpstr>TO88(산리오)</vt:lpstr>
      <vt:lpstr>TO89(산리오)</vt:lpstr>
      <vt:lpstr>'OP01'!Print_Area</vt:lpstr>
      <vt:lpstr>'OP02'!Print_Area</vt:lpstr>
      <vt:lpstr>'OP03'!Print_Area</vt:lpstr>
      <vt:lpstr>'OP04'!Print_Area</vt:lpstr>
      <vt:lpstr>'OP05'!Print_Area</vt:lpstr>
      <vt:lpstr>'OP06'!Print_Area</vt:lpstr>
      <vt:lpstr>'OP07'!Print_Area</vt:lpstr>
      <vt:lpstr>'OP08'!Print_Area</vt:lpstr>
      <vt:lpstr>'OP09'!Print_Area</vt:lpstr>
      <vt:lpstr>'OP10'!Print_Area</vt:lpstr>
      <vt:lpstr>'OP11'!Print_Area</vt:lpstr>
      <vt:lpstr>'OP12(니트)'!Print_Area</vt:lpstr>
      <vt:lpstr>'OP13'!Print_Area</vt:lpstr>
      <vt:lpstr>'OU01'!Print_Area</vt:lpstr>
      <vt:lpstr>'OU02'!Print_Area</vt:lpstr>
      <vt:lpstr>'OU03'!Print_Area</vt:lpstr>
      <vt:lpstr>'OU04'!Print_Area</vt:lpstr>
      <vt:lpstr>'OU05'!Print_Area</vt:lpstr>
      <vt:lpstr>'OU06'!Print_Area</vt:lpstr>
      <vt:lpstr>'OU07'!Print_Area</vt:lpstr>
      <vt:lpstr>'OU08'!Print_Area</vt:lpstr>
      <vt:lpstr>'OU09(니트) '!Print_Area</vt:lpstr>
      <vt:lpstr>'OU10(니트) '!Print_Area</vt:lpstr>
      <vt:lpstr>'OU11(니트)'!Print_Area</vt:lpstr>
      <vt:lpstr>'OU12'!Print_Area</vt:lpstr>
      <vt:lpstr>'OU13'!Print_Area</vt:lpstr>
      <vt:lpstr>'OU14(완사입) '!Print_Area</vt:lpstr>
      <vt:lpstr>'OU15'!Print_Area</vt:lpstr>
      <vt:lpstr>'OU16'!Print_Area</vt:lpstr>
      <vt:lpstr>'OU17'!Print_Area</vt:lpstr>
      <vt:lpstr>'OU19(니트)'!Print_Area</vt:lpstr>
      <vt:lpstr>'OU61'!Print_Area</vt:lpstr>
      <vt:lpstr>'PT01'!Print_Area</vt:lpstr>
      <vt:lpstr>'PT02'!Print_Area</vt:lpstr>
      <vt:lpstr>'PT03'!Print_Area</vt:lpstr>
      <vt:lpstr>'PT04'!Print_Area</vt:lpstr>
      <vt:lpstr>'PT05'!Print_Area</vt:lpstr>
      <vt:lpstr>'PT06'!Print_Area</vt:lpstr>
      <vt:lpstr>'PT07'!Print_Area</vt:lpstr>
      <vt:lpstr>'PT08'!Print_Area</vt:lpstr>
      <vt:lpstr>'PT09(완사입)'!Print_Area</vt:lpstr>
      <vt:lpstr>'PT10(완사입)'!Print_Area</vt:lpstr>
      <vt:lpstr>'PT11'!Print_Area</vt:lpstr>
      <vt:lpstr>'PT12'!Print_Area</vt:lpstr>
      <vt:lpstr>'PT13(완사입)'!Print_Area</vt:lpstr>
      <vt:lpstr>'PT14'!Print_Area</vt:lpstr>
      <vt:lpstr>'PT15'!Print_Area</vt:lpstr>
      <vt:lpstr>'PT16(완사입)'!Print_Area</vt:lpstr>
      <vt:lpstr>'PT17(완사입)'!Print_Area</vt:lpstr>
      <vt:lpstr>'PT18(완사입)'!Print_Area</vt:lpstr>
      <vt:lpstr>'PT19(완사입)'!Print_Area</vt:lpstr>
      <vt:lpstr>'PT20(완사입)'!Print_Area</vt:lpstr>
      <vt:lpstr>'PT21'!Print_Area</vt:lpstr>
      <vt:lpstr>'PT22(완사입)'!Print_Area</vt:lpstr>
      <vt:lpstr>'PT23'!Print_Area</vt:lpstr>
      <vt:lpstr>'PT24(완사입)'!Print_Area</vt:lpstr>
      <vt:lpstr>'PT25'!Print_Area</vt:lpstr>
      <vt:lpstr>'PT26'!Print_Area</vt:lpstr>
      <vt:lpstr>'PT27'!Print_Area</vt:lpstr>
      <vt:lpstr>'PT61'!Print_Area</vt:lpstr>
      <vt:lpstr>'PT62'!Print_Area</vt:lpstr>
      <vt:lpstr>'PT63(완사입)'!Print_Area</vt:lpstr>
      <vt:lpstr>'PT64(완사입)'!Print_Area</vt:lpstr>
      <vt:lpstr>'SK01'!Print_Area</vt:lpstr>
      <vt:lpstr>'SK02'!Print_Area</vt:lpstr>
      <vt:lpstr>'SK03'!Print_Area</vt:lpstr>
      <vt:lpstr>'SK04'!Print_Area</vt:lpstr>
      <vt:lpstr>'SK05'!Print_Area</vt:lpstr>
      <vt:lpstr>'SK06'!Print_Area</vt:lpstr>
      <vt:lpstr>'SK07(완사입)'!Print_Area</vt:lpstr>
      <vt:lpstr>'SK08'!Print_Area</vt:lpstr>
      <vt:lpstr>'SK09(완사입)'!Print_Area</vt:lpstr>
      <vt:lpstr>'SK10'!Print_Area</vt:lpstr>
      <vt:lpstr>'SK11(니트)'!Print_Area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  <vt:lpstr>'TO11'!Print_Area</vt:lpstr>
      <vt:lpstr>'TO12'!Print_Area</vt:lpstr>
      <vt:lpstr>'TO13'!Print_Area</vt:lpstr>
      <vt:lpstr>'TO14'!Print_Area</vt:lpstr>
      <vt:lpstr>'TO15'!Print_Area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  <vt:lpstr>'TO22'!Print_Area</vt:lpstr>
      <vt:lpstr>'TO23'!Print_Area</vt:lpstr>
      <vt:lpstr>'TO24'!Print_Area</vt:lpstr>
      <vt:lpstr>'TO25'!Print_Area</vt:lpstr>
      <vt:lpstr>'TO26'!Print_Area</vt:lpstr>
      <vt:lpstr>'TO27'!Print_Area</vt:lpstr>
      <vt:lpstr>'TO28'!Print_Area</vt:lpstr>
      <vt:lpstr>'TO29'!Print_Area</vt:lpstr>
      <vt:lpstr>'TO30'!Print_Area</vt:lpstr>
      <vt:lpstr>'TO31(니트)'!Print_Area</vt:lpstr>
      <vt:lpstr>'TO32'!Print_Area</vt:lpstr>
      <vt:lpstr>'TO33'!Print_Area</vt:lpstr>
      <vt:lpstr>'TO34'!Print_Area</vt:lpstr>
      <vt:lpstr>'TO35'!Print_Area</vt:lpstr>
      <vt:lpstr>'TO36'!Print_Area</vt:lpstr>
      <vt:lpstr>'TO37'!Print_Area</vt:lpstr>
      <vt:lpstr>'TO39'!Print_Area</vt:lpstr>
      <vt:lpstr>'TO40'!Print_Area</vt:lpstr>
      <vt:lpstr>'TO41'!Print_Area</vt:lpstr>
      <vt:lpstr>'TO42'!Print_Area</vt:lpstr>
      <vt:lpstr>'TO43'!Print_Area</vt:lpstr>
      <vt:lpstr>'TO44'!Print_Area</vt:lpstr>
      <vt:lpstr>'TO46'!Print_Area</vt:lpstr>
      <vt:lpstr>'TO61'!Print_Area</vt:lpstr>
      <vt:lpstr>'TO62'!Print_Area</vt:lpstr>
      <vt:lpstr>'TO63'!Print_Area</vt:lpstr>
      <vt:lpstr>'TO64'!Print_Area</vt:lpstr>
      <vt:lpstr>'TO80(산리오)'!Print_Area</vt:lpstr>
      <vt:lpstr>'TO81(산리오)'!Print_Area</vt:lpstr>
      <vt:lpstr>'TO82(산리오)'!Print_Area</vt:lpstr>
      <vt:lpstr>'TO83(산리오)'!Print_Area</vt:lpstr>
      <vt:lpstr>'TO84(산리오)'!Print_Area</vt:lpstr>
      <vt:lpstr>'TO85(산리오)'!Print_Area</vt:lpstr>
      <vt:lpstr>'TO86(산리오)'!Print_Area</vt:lpstr>
      <vt:lpstr>'TO87(산리오)'!Print_Area</vt:lpstr>
      <vt:lpstr>'TO88(산리오)'!Print_Area</vt:lpstr>
      <vt:lpstr>'TO89(산리오)'!Print_Area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2026-10-16T07:05:12Z</cp:lastPrinted>
  <dcterms:created xsi:type="dcterms:W3CDTF">2018-05-14T06:17:18Z</dcterms:created>
  <dcterms:modified xsi:type="dcterms:W3CDTF">2026-10-16T07:05:14Z</dcterms:modified>
</cp:coreProperties>
</file>