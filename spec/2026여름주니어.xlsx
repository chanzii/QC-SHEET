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본공장풀패턴\2026\2026여름풀패턴\2026여름사이즈스펙\"/>
    </mc:Choice>
  </mc:AlternateContent>
  <xr:revisionPtr revIDLastSave="0" documentId="13_ncr:1_{5E0D82D1-C777-412D-8D3A-AC7EA18BA49B}" xr6:coauthVersionLast="47" xr6:coauthVersionMax="47" xr10:uidLastSave="{00000000-0000-0000-0000-000000000000}"/>
  <bookViews>
    <workbookView xWindow="28680" yWindow="-120" windowWidth="29040" windowHeight="15720" tabRatio="776" activeTab="23" xr2:uid="{8CBF5B39-75BD-471D-91E2-7C891D2285D6}"/>
  </bookViews>
  <sheets>
    <sheet name="PT01(완사입)" sheetId="993" r:id="rId1"/>
    <sheet name="PT02(완사입)" sheetId="1001" r:id="rId2"/>
    <sheet name="PT03(완사입)" sheetId="1000" r:id="rId3"/>
    <sheet name="PT04" sheetId="1013" r:id="rId4"/>
    <sheet name="PT05(완사입)" sheetId="1007" r:id="rId5"/>
    <sheet name="PT07" sheetId="1020" r:id="rId6"/>
    <sheet name="PT06(완사입)" sheetId="1008" r:id="rId7"/>
    <sheet name="PT09" sheetId="1015" r:id="rId8"/>
    <sheet name="PT10" sheetId="1017" r:id="rId9"/>
    <sheet name="PT11(완사입)" sheetId="1006" r:id="rId10"/>
    <sheet name="SK01" sheetId="1018" r:id="rId11"/>
    <sheet name="SK02" sheetId="1005" r:id="rId12"/>
    <sheet name="TO01" sheetId="984" r:id="rId13"/>
    <sheet name="TO02" sheetId="990" r:id="rId14"/>
    <sheet name="TO03" sheetId="986" r:id="rId15"/>
    <sheet name="TO04" sheetId="988" r:id="rId16"/>
    <sheet name="TO05" sheetId="991" r:id="rId17"/>
    <sheet name="TO06" sheetId="987" r:id="rId18"/>
    <sheet name="TO07" sheetId="989" r:id="rId19"/>
    <sheet name="TO08" sheetId="997" r:id="rId20"/>
    <sheet name="TO09" sheetId="996" r:id="rId21"/>
    <sheet name="TO10" sheetId="995" r:id="rId22"/>
    <sheet name="TO11" sheetId="992" r:id="rId23"/>
    <sheet name="TO12" sheetId="999" r:id="rId24"/>
    <sheet name="TO13" sheetId="1011" r:id="rId25"/>
    <sheet name="TO14" sheetId="1003" r:id="rId26"/>
    <sheet name="TO15" sheetId="998" r:id="rId27"/>
    <sheet name="TO16" sheetId="1002" r:id="rId28"/>
    <sheet name="TO17" sheetId="1004" r:id="rId29"/>
    <sheet name="TO18" sheetId="1010" r:id="rId30"/>
    <sheet name="TO19" sheetId="1009" r:id="rId31"/>
    <sheet name="TO20" sheetId="1016" r:id="rId32"/>
    <sheet name="TO21" sheetId="1014" r:id="rId33"/>
    <sheet name="OU01" sheetId="985" r:id="rId34"/>
    <sheet name="OU02(니트)" sheetId="994" r:id="rId35"/>
    <sheet name="OU05" sheetId="1019" r:id="rId36"/>
  </sheets>
  <definedNames>
    <definedName name="_xlnm.Print_Area" localSheetId="33">'OU01'!$A$1:$M$46</definedName>
    <definedName name="_xlnm.Print_Area" localSheetId="34">'OU02(니트)'!$A$1:$M$34</definedName>
    <definedName name="_xlnm.Print_Area" localSheetId="35">'OU05'!$A$1:$M$40</definedName>
    <definedName name="_xlnm.Print_Area" localSheetId="0">'PT01(완사입)'!$A$1:$M$44</definedName>
    <definedName name="_xlnm.Print_Area" localSheetId="1">'PT02(완사입)'!$A$1:$M$44</definedName>
    <definedName name="_xlnm.Print_Area" localSheetId="2">'PT03(완사입)'!$A$1:$M$52</definedName>
    <definedName name="_xlnm.Print_Area" localSheetId="3">'PT04'!$A$1:$M$46</definedName>
    <definedName name="_xlnm.Print_Area" localSheetId="4">'PT05(완사입)'!$A$1:$M$48</definedName>
    <definedName name="_xlnm.Print_Area" localSheetId="6">'PT06(완사입)'!$A$1:$M$44</definedName>
    <definedName name="_xlnm.Print_Area" localSheetId="5">'PT07'!$A$1:$M$54</definedName>
    <definedName name="_xlnm.Print_Area" localSheetId="7">'PT09'!$A$1:$M$50</definedName>
    <definedName name="_xlnm.Print_Area" localSheetId="8">'PT10'!$A$1:$M$46</definedName>
    <definedName name="_xlnm.Print_Area" localSheetId="9">'PT11(완사입)'!$A$1:$M$48</definedName>
    <definedName name="_xlnm.Print_Area" localSheetId="10">'SK01'!$A$1:$M$39</definedName>
    <definedName name="_xlnm.Print_Area" localSheetId="11">'SK02'!$A$1:$M$39</definedName>
    <definedName name="_xlnm.Print_Area" localSheetId="12">'TO01'!$A$1:$M$30</definedName>
    <definedName name="_xlnm.Print_Area" localSheetId="13">'TO02'!$A$1:$M$30</definedName>
    <definedName name="_xlnm.Print_Area" localSheetId="14">'TO03'!$A$1:$M$32</definedName>
    <definedName name="_xlnm.Print_Area" localSheetId="15">'TO04'!$A$1:$M$32</definedName>
    <definedName name="_xlnm.Print_Area" localSheetId="16">'TO05'!$A$1:$M$42</definedName>
    <definedName name="_xlnm.Print_Area" localSheetId="17">'TO06'!$A$1:$M$30</definedName>
    <definedName name="_xlnm.Print_Area" localSheetId="18">'TO07'!$A$1:$M$36</definedName>
    <definedName name="_xlnm.Print_Area" localSheetId="19">'TO08'!$A$1:$M$42</definedName>
    <definedName name="_xlnm.Print_Area" localSheetId="20">'TO09'!$A$1:$M$32</definedName>
    <definedName name="_xlnm.Print_Area" localSheetId="21">'TO10'!$A$1:$M$30</definedName>
    <definedName name="_xlnm.Print_Area" localSheetId="22">'TO11'!$A$1:$M$30</definedName>
    <definedName name="_xlnm.Print_Area" localSheetId="23">'TO12'!$A$1:$M$30</definedName>
    <definedName name="_xlnm.Print_Area" localSheetId="24">'TO13'!$A$1:$M$30</definedName>
    <definedName name="_xlnm.Print_Area" localSheetId="25">'TO14'!$A$1:$M$30</definedName>
    <definedName name="_xlnm.Print_Area" localSheetId="26">'TO15'!$A$1:$M$30</definedName>
    <definedName name="_xlnm.Print_Area" localSheetId="27">'TO16'!$A$1:$M$30</definedName>
    <definedName name="_xlnm.Print_Area" localSheetId="28">'TO17'!$A$1:$M$44</definedName>
    <definedName name="_xlnm.Print_Area" localSheetId="29">'TO18'!$A$1:$M$30</definedName>
    <definedName name="_xlnm.Print_Area" localSheetId="30">'TO19'!$A$1:$M$32</definedName>
    <definedName name="_xlnm.Print_Area" localSheetId="31">'TO20'!$A$1:$M$38</definedName>
    <definedName name="_xlnm.Print_Area" localSheetId="32">'TO21'!$A$1:$M$38</definedName>
  </definedNames>
  <calcPr calcId="191029"/>
</workbook>
</file>

<file path=xl/calcChain.xml><?xml version="1.0" encoding="utf-8"?>
<calcChain xmlns="http://schemas.openxmlformats.org/spreadsheetml/2006/main">
  <c r="J23" i="1020" l="1"/>
  <c r="I23" i="1020"/>
  <c r="I25" i="1020" l="1"/>
  <c r="I21" i="1020"/>
  <c r="J21" i="1020" s="1"/>
  <c r="I53" i="1020"/>
  <c r="J53" i="1020" s="1"/>
  <c r="I51" i="1020"/>
  <c r="J51" i="1020" s="1"/>
  <c r="I49" i="1020"/>
  <c r="J49" i="1020" s="1"/>
  <c r="I47" i="1020"/>
  <c r="J47" i="1020" s="1"/>
  <c r="I45" i="1020"/>
  <c r="J45" i="1020" s="1"/>
  <c r="I43" i="1020"/>
  <c r="J43" i="1020" s="1"/>
  <c r="I41" i="1020"/>
  <c r="J41" i="1020" s="1"/>
  <c r="I39" i="1020"/>
  <c r="J39" i="1020" s="1"/>
  <c r="I31" i="1020"/>
  <c r="J31" i="1020" s="1"/>
  <c r="I29" i="1020"/>
  <c r="J29" i="1020" s="1"/>
  <c r="I19" i="1020" l="1"/>
  <c r="J19" i="1020" s="1"/>
  <c r="I37" i="1020"/>
  <c r="J37" i="1020" s="1"/>
  <c r="I27" i="1020"/>
  <c r="J27" i="1020" s="1"/>
  <c r="J25" i="1020"/>
  <c r="I15" i="1020"/>
  <c r="J15" i="1020" s="1"/>
  <c r="I13" i="1020"/>
  <c r="J13" i="1020" s="1"/>
  <c r="I11" i="1020"/>
  <c r="J11" i="1020" s="1"/>
  <c r="I3" i="1020"/>
  <c r="J3" i="1020" s="1"/>
  <c r="I33" i="1019"/>
  <c r="J33" i="1019" s="1"/>
  <c r="I31" i="1019"/>
  <c r="J31" i="1019" s="1"/>
  <c r="I29" i="1019"/>
  <c r="J29" i="1019" s="1"/>
  <c r="I21" i="1019" l="1"/>
  <c r="J21" i="1019" s="1"/>
  <c r="I5" i="1019"/>
  <c r="J5" i="1019" s="1"/>
  <c r="I27" i="1019"/>
  <c r="J27" i="1019" s="1"/>
  <c r="I25" i="1019"/>
  <c r="J25" i="1019" s="1"/>
  <c r="I23" i="1019"/>
  <c r="J23" i="1019" s="1"/>
  <c r="I19" i="1019"/>
  <c r="J19" i="1019" s="1"/>
  <c r="I17" i="1019"/>
  <c r="J17" i="1019" s="1"/>
  <c r="I15" i="1019"/>
  <c r="J15" i="1019" s="1"/>
  <c r="I13" i="1019"/>
  <c r="J13" i="1019" s="1"/>
  <c r="I11" i="1019"/>
  <c r="J11" i="1019" s="1"/>
  <c r="I9" i="1019"/>
  <c r="J9" i="1019" s="1"/>
  <c r="I7" i="1019"/>
  <c r="J7" i="1019" s="1"/>
  <c r="I3" i="1019"/>
  <c r="J3" i="1019" s="1"/>
  <c r="I26" i="1018"/>
  <c r="J26" i="1018"/>
  <c r="I30" i="1018"/>
  <c r="J30" i="1018" s="1"/>
  <c r="I28" i="1018"/>
  <c r="J28" i="1018" s="1"/>
  <c r="I24" i="1018"/>
  <c r="J24" i="1018" s="1"/>
  <c r="I22" i="1018"/>
  <c r="J22" i="1018" s="1"/>
  <c r="I20" i="1018"/>
  <c r="J20" i="1018" s="1"/>
  <c r="I13" i="1018"/>
  <c r="J13" i="1018" s="1"/>
  <c r="I11" i="1018"/>
  <c r="J11" i="1018" s="1"/>
  <c r="I3" i="1018"/>
  <c r="J3" i="1018" s="1"/>
  <c r="I45" i="1017"/>
  <c r="J45" i="1017" s="1"/>
  <c r="I43" i="1017"/>
  <c r="J43" i="1017" s="1"/>
  <c r="I41" i="1017" l="1"/>
  <c r="J41" i="1017" s="1"/>
  <c r="I39" i="1017"/>
  <c r="J39" i="1017" s="1"/>
  <c r="I37" i="1017"/>
  <c r="J37" i="1017" s="1"/>
  <c r="I35" i="1017"/>
  <c r="J35" i="1017" s="1"/>
  <c r="I9" i="1017" l="1"/>
  <c r="J9" i="1017" s="1"/>
  <c r="I7" i="1017" l="1"/>
  <c r="J7" i="1017" s="1"/>
  <c r="I5" i="1017"/>
  <c r="J5" i="1017" s="1"/>
  <c r="I11" i="1015"/>
  <c r="J11" i="1015"/>
  <c r="I25" i="1017"/>
  <c r="J25" i="1017" s="1"/>
  <c r="I23" i="1017"/>
  <c r="J23" i="1017" s="1"/>
  <c r="I21" i="1017"/>
  <c r="J21" i="1017" s="1"/>
  <c r="I19" i="1017"/>
  <c r="J19" i="1017" s="1"/>
  <c r="I15" i="1017"/>
  <c r="J15" i="1017" s="1"/>
  <c r="I13" i="1017"/>
  <c r="J13" i="1017" s="1"/>
  <c r="I3" i="1017"/>
  <c r="J3" i="1017" s="1"/>
  <c r="I27" i="1016"/>
  <c r="J27" i="1016" s="1"/>
  <c r="I37" i="1016"/>
  <c r="J37" i="1016" s="1"/>
  <c r="I35" i="1016"/>
  <c r="J35" i="1016" s="1"/>
  <c r="I33" i="1016"/>
  <c r="J33" i="1016" s="1"/>
  <c r="I31" i="1016"/>
  <c r="J31" i="1016" s="1"/>
  <c r="I29" i="1016"/>
  <c r="J29" i="1016" s="1"/>
  <c r="I25" i="1016"/>
  <c r="J25" i="1016" s="1"/>
  <c r="I23" i="1016"/>
  <c r="J23" i="1016" s="1"/>
  <c r="I19" i="1016"/>
  <c r="J19" i="1016" s="1"/>
  <c r="I17" i="1016"/>
  <c r="J17" i="1016" s="1"/>
  <c r="I15" i="1016"/>
  <c r="J15" i="1016" s="1"/>
  <c r="I13" i="1016"/>
  <c r="J13" i="1016" s="1"/>
  <c r="I11" i="1016"/>
  <c r="J11" i="1016" s="1"/>
  <c r="I9" i="1016"/>
  <c r="J9" i="1016" s="1"/>
  <c r="I7" i="1016"/>
  <c r="J7" i="1016" s="1"/>
  <c r="I5" i="1016"/>
  <c r="J5" i="1016" s="1"/>
  <c r="I3" i="1016"/>
  <c r="J3" i="1016" s="1"/>
  <c r="I49" i="1015"/>
  <c r="J49" i="1015" s="1"/>
  <c r="I47" i="1015"/>
  <c r="J47" i="1015" s="1"/>
  <c r="I45" i="1015"/>
  <c r="J45" i="1015" s="1"/>
  <c r="I43" i="1015"/>
  <c r="J43" i="1015" s="1"/>
  <c r="I41" i="1015"/>
  <c r="J41" i="1015" s="1"/>
  <c r="I39" i="1015"/>
  <c r="J39" i="1015" s="1"/>
  <c r="I37" i="1015"/>
  <c r="J37" i="1015" s="1"/>
  <c r="I27" i="1015"/>
  <c r="J27" i="1015" s="1"/>
  <c r="J25" i="1015"/>
  <c r="I25" i="1015"/>
  <c r="J23" i="1015"/>
  <c r="I23" i="1015"/>
  <c r="I21" i="1015"/>
  <c r="J21" i="1015" s="1"/>
  <c r="I19" i="1015"/>
  <c r="J19" i="1015" s="1"/>
  <c r="I15" i="1015"/>
  <c r="J15" i="1015" s="1"/>
  <c r="I13" i="1015"/>
  <c r="J13" i="1015" s="1"/>
  <c r="I3" i="1015"/>
  <c r="J3" i="1015" s="1"/>
  <c r="I37" i="1014"/>
  <c r="J37" i="1014" s="1"/>
  <c r="J35" i="1014"/>
  <c r="I35" i="1014"/>
  <c r="I33" i="1014"/>
  <c r="J33" i="1014" s="1"/>
  <c r="I31" i="1014"/>
  <c r="J31" i="1014" s="1"/>
  <c r="I29" i="1014"/>
  <c r="J29" i="1014" s="1"/>
  <c r="I27" i="1014"/>
  <c r="J27" i="1014" s="1"/>
  <c r="I25" i="1014"/>
  <c r="J25" i="1014" s="1"/>
  <c r="I23" i="1014"/>
  <c r="J23" i="1014" s="1"/>
  <c r="I19" i="1014"/>
  <c r="J19" i="1014" s="1"/>
  <c r="J17" i="1014"/>
  <c r="I17" i="1014"/>
  <c r="I15" i="1014"/>
  <c r="J15" i="1014" s="1"/>
  <c r="I13" i="1014"/>
  <c r="J13" i="1014" s="1"/>
  <c r="I11" i="1014"/>
  <c r="J11" i="1014" s="1"/>
  <c r="I9" i="1014"/>
  <c r="J9" i="1014" s="1"/>
  <c r="I7" i="1014"/>
  <c r="J7" i="1014" s="1"/>
  <c r="I5" i="1014"/>
  <c r="J5" i="1014" s="1"/>
  <c r="I3" i="1014"/>
  <c r="J3" i="1014" s="1"/>
  <c r="J27" i="1013" l="1"/>
  <c r="J43" i="1013"/>
  <c r="I43" i="1013"/>
  <c r="I41" i="1013"/>
  <c r="J41" i="1013" s="1"/>
  <c r="I39" i="1013"/>
  <c r="J39" i="1013" s="1"/>
  <c r="J37" i="1013"/>
  <c r="I37" i="1013"/>
  <c r="I35" i="1013"/>
  <c r="J35" i="1013" s="1"/>
  <c r="J29" i="1013"/>
  <c r="I29" i="1013"/>
  <c r="I27" i="1013"/>
  <c r="I25" i="1013"/>
  <c r="J25" i="1013" s="1"/>
  <c r="I23" i="1013"/>
  <c r="J23" i="1013" s="1"/>
  <c r="J21" i="1013"/>
  <c r="I21" i="1013"/>
  <c r="J19" i="1013"/>
  <c r="I19" i="1013"/>
  <c r="I15" i="1013"/>
  <c r="J15" i="1013" s="1"/>
  <c r="I13" i="1013"/>
  <c r="J13" i="1013" s="1"/>
  <c r="I11" i="1013"/>
  <c r="J11" i="1013" s="1"/>
  <c r="I3" i="1013"/>
  <c r="J3" i="1013" s="1"/>
  <c r="J25" i="1011" l="1"/>
  <c r="I25" i="1011"/>
  <c r="J23" i="1011"/>
  <c r="I23" i="1011"/>
  <c r="J17" i="1011"/>
  <c r="I17" i="1011"/>
  <c r="I15" i="1011"/>
  <c r="J15" i="1011" s="1"/>
  <c r="I13" i="1011"/>
  <c r="J13" i="1011" s="1"/>
  <c r="J9" i="1011"/>
  <c r="I9" i="1011"/>
  <c r="J7" i="1011"/>
  <c r="I7" i="1011"/>
  <c r="I5" i="1011"/>
  <c r="J5" i="1011" s="1"/>
  <c r="I3" i="1011"/>
  <c r="J3" i="1011" s="1"/>
  <c r="J25" i="1010"/>
  <c r="I25" i="1010"/>
  <c r="J27" i="1010"/>
  <c r="I27" i="1010"/>
  <c r="I23" i="1010"/>
  <c r="J23" i="1010" s="1"/>
  <c r="I19" i="1010"/>
  <c r="J19" i="1010" s="1"/>
  <c r="I5" i="1010"/>
  <c r="J5" i="1010" s="1"/>
  <c r="I7" i="1010"/>
  <c r="J7" i="1010" s="1"/>
  <c r="I17" i="1010"/>
  <c r="J17" i="1010" s="1"/>
  <c r="I15" i="1010"/>
  <c r="J15" i="1010" s="1"/>
  <c r="I13" i="1010"/>
  <c r="J13" i="1010" s="1"/>
  <c r="I11" i="1010"/>
  <c r="J11" i="1010" s="1"/>
  <c r="I9" i="1010"/>
  <c r="J9" i="1010" s="1"/>
  <c r="I3" i="1010"/>
  <c r="J3" i="1010" s="1"/>
  <c r="J29" i="1009"/>
  <c r="I29" i="1009"/>
  <c r="J27" i="1009"/>
  <c r="I27" i="1009"/>
  <c r="I25" i="1009"/>
  <c r="J25" i="1009" s="1"/>
  <c r="I23" i="1009"/>
  <c r="J23" i="1009" s="1"/>
  <c r="I19" i="1009"/>
  <c r="J19" i="1009" s="1"/>
  <c r="I9" i="1009"/>
  <c r="J9" i="1009" s="1"/>
  <c r="I5" i="1009"/>
  <c r="J5" i="1009" s="1"/>
  <c r="I17" i="1009"/>
  <c r="J17" i="1009" s="1"/>
  <c r="I15" i="1009"/>
  <c r="J15" i="1009" s="1"/>
  <c r="I13" i="1009"/>
  <c r="J13" i="1009" s="1"/>
  <c r="I11" i="1009"/>
  <c r="J11" i="1009" s="1"/>
  <c r="I7" i="1009"/>
  <c r="J7" i="1009" s="1"/>
  <c r="I3" i="1009"/>
  <c r="J3" i="1009" s="1"/>
  <c r="I39" i="1008"/>
  <c r="J39" i="1008" s="1"/>
  <c r="J37" i="1008"/>
  <c r="I37" i="1008"/>
  <c r="I43" i="1008"/>
  <c r="J43" i="1008" s="1"/>
  <c r="I41" i="1008"/>
  <c r="J41" i="1008" s="1"/>
  <c r="I27" i="1008"/>
  <c r="J27" i="1008" s="1"/>
  <c r="I25" i="1008"/>
  <c r="J25" i="1008" s="1"/>
  <c r="I23" i="1008"/>
  <c r="J23" i="1008" s="1"/>
  <c r="I21" i="1008"/>
  <c r="J21" i="1008" s="1"/>
  <c r="I17" i="1008"/>
  <c r="J17" i="1008" s="1"/>
  <c r="J15" i="1008"/>
  <c r="I15" i="1008"/>
  <c r="I13" i="1008"/>
  <c r="J13" i="1008" s="1"/>
  <c r="I11" i="1008"/>
  <c r="J11" i="1008" s="1"/>
  <c r="I9" i="1008"/>
  <c r="J9" i="1008" s="1"/>
  <c r="I7" i="1008"/>
  <c r="J7" i="1008" s="1"/>
  <c r="I5" i="1008"/>
  <c r="J5" i="1008" s="1"/>
  <c r="I3" i="1008"/>
  <c r="J3" i="1008" s="1"/>
  <c r="I43" i="1007"/>
  <c r="J43" i="1007" s="1"/>
  <c r="J41" i="1007"/>
  <c r="I41" i="1007"/>
  <c r="I39" i="1007"/>
  <c r="J39" i="1007" s="1"/>
  <c r="I37" i="1007"/>
  <c r="J37" i="1007" s="1"/>
  <c r="I27" i="1007"/>
  <c r="J27" i="1007" s="1"/>
  <c r="I25" i="1007"/>
  <c r="J25" i="1007" s="1"/>
  <c r="I23" i="1007"/>
  <c r="J23" i="1007" s="1"/>
  <c r="I21" i="1007"/>
  <c r="J21" i="1007" s="1"/>
  <c r="I17" i="1007"/>
  <c r="J17" i="1007" s="1"/>
  <c r="I15" i="1007"/>
  <c r="J15" i="1007" s="1"/>
  <c r="I13" i="1007"/>
  <c r="J13" i="1007" s="1"/>
  <c r="I11" i="1007"/>
  <c r="J11" i="1007" s="1"/>
  <c r="I9" i="1007"/>
  <c r="J9" i="1007" s="1"/>
  <c r="I7" i="1007"/>
  <c r="J7" i="1007" s="1"/>
  <c r="I5" i="1007"/>
  <c r="J5" i="1007" s="1"/>
  <c r="I3" i="1007"/>
  <c r="J3" i="1007" s="1"/>
  <c r="I43" i="1006"/>
  <c r="J43" i="1006" s="1"/>
  <c r="I41" i="1006"/>
  <c r="J41" i="1006" s="1"/>
  <c r="I39" i="1006"/>
  <c r="J39" i="1006" s="1"/>
  <c r="I37" i="1006"/>
  <c r="J37" i="1006" s="1"/>
  <c r="I21" i="1006"/>
  <c r="J21" i="1006" s="1"/>
  <c r="I9" i="1006"/>
  <c r="J9" i="1006" s="1"/>
  <c r="I7" i="1006"/>
  <c r="J7" i="1006" s="1"/>
  <c r="I5" i="1006"/>
  <c r="J5" i="1006" s="1"/>
  <c r="I27" i="1006"/>
  <c r="J27" i="1006" s="1"/>
  <c r="I25" i="1006"/>
  <c r="J25" i="1006" s="1"/>
  <c r="I23" i="1006"/>
  <c r="J23" i="1006" s="1"/>
  <c r="I17" i="1006"/>
  <c r="J17" i="1006" s="1"/>
  <c r="I15" i="1006"/>
  <c r="J15" i="1006" s="1"/>
  <c r="I13" i="1006"/>
  <c r="J13" i="1006" s="1"/>
  <c r="I11" i="1006"/>
  <c r="J11" i="1006" s="1"/>
  <c r="I3" i="1006"/>
  <c r="J3" i="1006" s="1"/>
  <c r="I30" i="1005"/>
  <c r="J30" i="1005" s="1"/>
  <c r="I28" i="1005"/>
  <c r="J28" i="1005" s="1"/>
  <c r="I26" i="1005"/>
  <c r="J26" i="1005" s="1"/>
  <c r="I24" i="1005"/>
  <c r="J24" i="1005" s="1"/>
  <c r="I22" i="1005"/>
  <c r="J22" i="1005" s="1"/>
  <c r="I20" i="1005"/>
  <c r="J20" i="1005" s="1"/>
  <c r="I13" i="1005"/>
  <c r="J13" i="1005" s="1"/>
  <c r="I11" i="1005"/>
  <c r="J11" i="1005" s="1"/>
  <c r="I9" i="1005"/>
  <c r="J9" i="1005" s="1"/>
  <c r="J7" i="1005"/>
  <c r="I7" i="1005"/>
  <c r="I5" i="1005"/>
  <c r="J5" i="1005" s="1"/>
  <c r="I3" i="1005"/>
  <c r="J3" i="1005" s="1"/>
  <c r="J7" i="1004"/>
  <c r="I7" i="1004"/>
  <c r="I43" i="1004"/>
  <c r="J43" i="1004" s="1"/>
  <c r="I39" i="1004"/>
  <c r="J39" i="1004" s="1"/>
  <c r="I33" i="1004"/>
  <c r="J33" i="1004" s="1"/>
  <c r="I31" i="1004"/>
  <c r="J31" i="1004" s="1"/>
  <c r="I11" i="1004"/>
  <c r="J11" i="1004" s="1"/>
  <c r="I9" i="1004"/>
  <c r="J9" i="1004" s="1"/>
  <c r="I5" i="1004" l="1"/>
  <c r="J5" i="1004" s="1"/>
  <c r="I3" i="1004"/>
  <c r="J3" i="1004" s="1"/>
  <c r="I37" i="1004" l="1"/>
  <c r="J37" i="1004" s="1"/>
  <c r="I35" i="1004"/>
  <c r="J35" i="1004" s="1"/>
  <c r="I15" i="1004"/>
  <c r="J15" i="1004" s="1"/>
  <c r="I13" i="1004"/>
  <c r="J13" i="1004" s="1"/>
  <c r="I23" i="1003"/>
  <c r="J23" i="1003" s="1"/>
  <c r="I19" i="1003"/>
  <c r="J19" i="1003" s="1"/>
  <c r="I5" i="1003"/>
  <c r="J5" i="1003" s="1"/>
  <c r="I25" i="1003"/>
  <c r="J25" i="1003" s="1"/>
  <c r="I17" i="1003"/>
  <c r="J17" i="1003" s="1"/>
  <c r="I15" i="1003"/>
  <c r="J15" i="1003" s="1"/>
  <c r="I13" i="1003"/>
  <c r="J13" i="1003" s="1"/>
  <c r="I11" i="1003"/>
  <c r="J11" i="1003" s="1"/>
  <c r="I9" i="1003"/>
  <c r="J9" i="1003" s="1"/>
  <c r="I7" i="1003"/>
  <c r="J7" i="1003" s="1"/>
  <c r="I3" i="1003"/>
  <c r="J3" i="1003" s="1"/>
  <c r="I25" i="1002"/>
  <c r="J25" i="1002" s="1"/>
  <c r="I19" i="1002"/>
  <c r="J19" i="1002" s="1"/>
  <c r="I5" i="1002"/>
  <c r="J5" i="1002" s="1"/>
  <c r="I23" i="1002"/>
  <c r="J23" i="1002" s="1"/>
  <c r="I17" i="1002"/>
  <c r="J17" i="1002" s="1"/>
  <c r="I15" i="1002"/>
  <c r="J15" i="1002" s="1"/>
  <c r="I13" i="1002"/>
  <c r="J13" i="1002" s="1"/>
  <c r="I11" i="1002"/>
  <c r="J11" i="1002" s="1"/>
  <c r="I9" i="1002"/>
  <c r="J9" i="1002" s="1"/>
  <c r="I7" i="1002"/>
  <c r="J7" i="1002" s="1"/>
  <c r="I3" i="1002"/>
  <c r="J3" i="1002" s="1"/>
  <c r="I23" i="1001"/>
  <c r="J23" i="1001" s="1"/>
  <c r="J21" i="1001"/>
  <c r="I21" i="1001"/>
  <c r="I43" i="1001"/>
  <c r="J43" i="1001" s="1"/>
  <c r="I41" i="1001"/>
  <c r="J41" i="1001" s="1"/>
  <c r="I39" i="1001"/>
  <c r="J39" i="1001" s="1"/>
  <c r="I37" i="1001"/>
  <c r="J37" i="1001" s="1"/>
  <c r="I27" i="1001"/>
  <c r="J27" i="1001" s="1"/>
  <c r="I25" i="1001"/>
  <c r="J25" i="1001" s="1"/>
  <c r="J17" i="1001"/>
  <c r="I17" i="1001"/>
  <c r="I15" i="1001"/>
  <c r="J15" i="1001" s="1"/>
  <c r="I13" i="1001"/>
  <c r="J13" i="1001" s="1"/>
  <c r="I11" i="1001"/>
  <c r="J11" i="1001" s="1"/>
  <c r="I9" i="1001"/>
  <c r="J9" i="1001" s="1"/>
  <c r="I7" i="1001"/>
  <c r="J7" i="1001" s="1"/>
  <c r="I5" i="1001"/>
  <c r="J5" i="1001" s="1"/>
  <c r="I3" i="1001"/>
  <c r="J3" i="1001" s="1"/>
  <c r="I47" i="1000"/>
  <c r="J47" i="1000" s="1"/>
  <c r="I45" i="1000"/>
  <c r="J45" i="1000" s="1"/>
  <c r="J43" i="1000"/>
  <c r="I43" i="1000"/>
  <c r="J41" i="1000"/>
  <c r="I41" i="1000"/>
  <c r="I51" i="1000"/>
  <c r="J51" i="1000" s="1"/>
  <c r="I49" i="1000"/>
  <c r="J49" i="1000" s="1"/>
  <c r="J39" i="1000"/>
  <c r="I39" i="1000"/>
  <c r="J37" i="1000"/>
  <c r="I37" i="1000"/>
  <c r="J27" i="1000"/>
  <c r="J23" i="1000"/>
  <c r="I23" i="1000"/>
  <c r="J21" i="1000"/>
  <c r="I21" i="1000"/>
  <c r="I27" i="1000"/>
  <c r="I25" i="1000"/>
  <c r="J25" i="1000" s="1"/>
  <c r="I17" i="1000"/>
  <c r="J17" i="1000" s="1"/>
  <c r="I15" i="1000"/>
  <c r="J15" i="1000" s="1"/>
  <c r="I13" i="1000"/>
  <c r="J13" i="1000" s="1"/>
  <c r="I11" i="1000"/>
  <c r="J11" i="1000" s="1"/>
  <c r="I3" i="1000"/>
  <c r="J3" i="1000" s="1"/>
  <c r="J27" i="999"/>
  <c r="I27" i="999"/>
  <c r="I19" i="999"/>
  <c r="J19" i="999" s="1"/>
  <c r="I13" i="999"/>
  <c r="J13" i="999"/>
  <c r="J5" i="999"/>
  <c r="I5" i="999"/>
  <c r="I25" i="999"/>
  <c r="J25" i="999" s="1"/>
  <c r="J17" i="999"/>
  <c r="I17" i="999"/>
  <c r="I23" i="999"/>
  <c r="J23" i="999" s="1"/>
  <c r="I15" i="999"/>
  <c r="J15" i="999" s="1"/>
  <c r="I11" i="999"/>
  <c r="J11" i="999" s="1"/>
  <c r="I9" i="999"/>
  <c r="J9" i="999" s="1"/>
  <c r="I7" i="999"/>
  <c r="J7" i="999" s="1"/>
  <c r="I3" i="999"/>
  <c r="J3" i="999" s="1"/>
  <c r="J5" i="998"/>
  <c r="I25" i="998"/>
  <c r="J25" i="998" s="1"/>
  <c r="I19" i="998"/>
  <c r="J19" i="998" s="1"/>
  <c r="I5" i="998"/>
  <c r="I23" i="998"/>
  <c r="J23" i="998" s="1"/>
  <c r="I17" i="998"/>
  <c r="J17" i="998" s="1"/>
  <c r="I15" i="998"/>
  <c r="J15" i="998" s="1"/>
  <c r="I13" i="998"/>
  <c r="J13" i="998" s="1"/>
  <c r="I11" i="998"/>
  <c r="J11" i="998" s="1"/>
  <c r="I9" i="998"/>
  <c r="J9" i="998" s="1"/>
  <c r="I7" i="998"/>
  <c r="J7" i="998" s="1"/>
  <c r="I3" i="998"/>
  <c r="J3" i="998" s="1"/>
  <c r="I17" i="997"/>
  <c r="J17" i="997" s="1"/>
  <c r="I29" i="997"/>
  <c r="J29" i="997" s="1"/>
  <c r="I27" i="997"/>
  <c r="J27" i="997" s="1"/>
  <c r="I39" i="997"/>
  <c r="J39" i="997" s="1"/>
  <c r="I37" i="997"/>
  <c r="J37" i="997" s="1"/>
  <c r="I33" i="997"/>
  <c r="J33" i="997" s="1"/>
  <c r="I25" i="997"/>
  <c r="J25" i="997" s="1"/>
  <c r="I5" i="997"/>
  <c r="J5" i="997" s="1"/>
  <c r="I41" i="997"/>
  <c r="J41" i="997" s="1"/>
  <c r="I35" i="997"/>
  <c r="J35" i="997" s="1"/>
  <c r="I31" i="997"/>
  <c r="J31" i="997" s="1"/>
  <c r="I15" i="997"/>
  <c r="J15" i="997" s="1"/>
  <c r="I13" i="997"/>
  <c r="J13" i="997" s="1"/>
  <c r="I11" i="997"/>
  <c r="J11" i="997" s="1"/>
  <c r="I9" i="997"/>
  <c r="J9" i="997" s="1"/>
  <c r="I7" i="997"/>
  <c r="J7" i="997" s="1"/>
  <c r="I3" i="997"/>
  <c r="J3" i="997" s="1"/>
  <c r="J27" i="996"/>
  <c r="I27" i="996"/>
  <c r="I25" i="996"/>
  <c r="J25" i="996" s="1"/>
  <c r="I29" i="996"/>
  <c r="J29" i="996" s="1"/>
  <c r="I23" i="996"/>
  <c r="J23" i="996" s="1"/>
  <c r="I19" i="996"/>
  <c r="J19" i="996" s="1"/>
  <c r="I17" i="996"/>
  <c r="J17" i="996" s="1"/>
  <c r="I9" i="996" l="1"/>
  <c r="J9" i="996" s="1"/>
  <c r="I7" i="996"/>
  <c r="J7" i="996" s="1"/>
  <c r="I5" i="996"/>
  <c r="J5" i="996" s="1"/>
  <c r="I3" i="996"/>
  <c r="J3" i="996" s="1"/>
  <c r="I15" i="996"/>
  <c r="J15" i="996" s="1"/>
  <c r="I13" i="996"/>
  <c r="J13" i="996" s="1"/>
  <c r="I11" i="996"/>
  <c r="J11" i="996" s="1"/>
  <c r="J23" i="995"/>
  <c r="I23" i="995"/>
  <c r="I13" i="995"/>
  <c r="J13" i="995" s="1"/>
  <c r="I19" i="995"/>
  <c r="J19" i="995" s="1"/>
  <c r="I17" i="995"/>
  <c r="J17" i="995" s="1"/>
  <c r="I15" i="995"/>
  <c r="J15" i="995" s="1"/>
  <c r="I11" i="995"/>
  <c r="J11" i="995" s="1"/>
  <c r="I9" i="995"/>
  <c r="J9" i="995" s="1"/>
  <c r="I7" i="995"/>
  <c r="J7" i="995" s="1"/>
  <c r="I5" i="995"/>
  <c r="J5" i="995" s="1"/>
  <c r="I3" i="995"/>
  <c r="J3" i="995" s="1"/>
  <c r="J21" i="994"/>
  <c r="I21" i="994"/>
  <c r="I5" i="994"/>
  <c r="J5" i="994" s="1"/>
  <c r="J9" i="994"/>
  <c r="I9" i="994"/>
  <c r="J7" i="994"/>
  <c r="I7" i="994"/>
  <c r="I29" i="994"/>
  <c r="J29" i="994" s="1"/>
  <c r="J27" i="994"/>
  <c r="I27" i="994"/>
  <c r="J23" i="994"/>
  <c r="I23" i="994"/>
  <c r="J25" i="994"/>
  <c r="I25" i="994"/>
  <c r="I17" i="994"/>
  <c r="J17" i="994" s="1"/>
  <c r="I15" i="994"/>
  <c r="J15" i="994" s="1"/>
  <c r="I13" i="994"/>
  <c r="J13" i="994" s="1"/>
  <c r="I3" i="994"/>
  <c r="J3" i="994" s="1"/>
  <c r="I21" i="993"/>
  <c r="J21" i="993" s="1"/>
  <c r="I39" i="993"/>
  <c r="J39" i="993" s="1"/>
  <c r="J37" i="993"/>
  <c r="I37" i="993"/>
  <c r="I23" i="993"/>
  <c r="J23" i="993" s="1"/>
  <c r="I43" i="993"/>
  <c r="J43" i="993" s="1"/>
  <c r="I41" i="993"/>
  <c r="J41" i="993" s="1"/>
  <c r="I27" i="993"/>
  <c r="J27" i="993" s="1"/>
  <c r="I25" i="993"/>
  <c r="J25" i="993" s="1"/>
  <c r="I17" i="993"/>
  <c r="J17" i="993" s="1"/>
  <c r="I15" i="993"/>
  <c r="J15" i="993" s="1"/>
  <c r="I13" i="993"/>
  <c r="J13" i="993" s="1"/>
  <c r="I11" i="993"/>
  <c r="J11" i="993" s="1"/>
  <c r="I9" i="993"/>
  <c r="J9" i="993" s="1"/>
  <c r="I7" i="993"/>
  <c r="J7" i="993" s="1"/>
  <c r="I5" i="993"/>
  <c r="J5" i="993" s="1"/>
  <c r="I3" i="993"/>
  <c r="J3" i="993" s="1"/>
  <c r="I25" i="992" l="1"/>
  <c r="J25" i="992"/>
  <c r="J19" i="992"/>
  <c r="I19" i="992"/>
  <c r="J5" i="992"/>
  <c r="I5" i="992"/>
  <c r="I23" i="992"/>
  <c r="J23" i="992" s="1"/>
  <c r="I17" i="992"/>
  <c r="J17" i="992" s="1"/>
  <c r="I15" i="992"/>
  <c r="J15" i="992" s="1"/>
  <c r="I13" i="992"/>
  <c r="J13" i="992" s="1"/>
  <c r="I11" i="992"/>
  <c r="J11" i="992" s="1"/>
  <c r="I9" i="992"/>
  <c r="J9" i="992" s="1"/>
  <c r="I7" i="992"/>
  <c r="J7" i="992" s="1"/>
  <c r="I3" i="992"/>
  <c r="J3" i="992" s="1"/>
  <c r="I5" i="991"/>
  <c r="J5" i="991" s="1"/>
  <c r="I13" i="991"/>
  <c r="J13" i="991" s="1"/>
  <c r="I9" i="991" l="1"/>
  <c r="J9" i="991" s="1"/>
  <c r="I7" i="991"/>
  <c r="J7" i="991" s="1"/>
  <c r="I3" i="991"/>
  <c r="J3" i="991" s="1"/>
  <c r="I37" i="991" l="1"/>
  <c r="J37" i="991" s="1"/>
  <c r="I35" i="991"/>
  <c r="J35" i="991" s="1"/>
  <c r="I33" i="991"/>
  <c r="J33" i="991" s="1"/>
  <c r="I31" i="991"/>
  <c r="J31" i="991" s="1"/>
  <c r="I29" i="991"/>
  <c r="J29" i="991" s="1"/>
  <c r="I25" i="991"/>
  <c r="J25" i="991" s="1"/>
  <c r="I23" i="991"/>
  <c r="J23" i="991" s="1"/>
  <c r="I21" i="991"/>
  <c r="J21" i="991" s="1"/>
  <c r="I19" i="991"/>
  <c r="J19" i="991" s="1"/>
  <c r="I17" i="991"/>
  <c r="J17" i="991" s="1"/>
  <c r="I15" i="991"/>
  <c r="J15" i="991" s="1"/>
  <c r="I11" i="991"/>
  <c r="J11" i="991" s="1"/>
  <c r="I25" i="990"/>
  <c r="J25" i="990" s="1"/>
  <c r="I23" i="990"/>
  <c r="J23" i="990" s="1"/>
  <c r="I19" i="990"/>
  <c r="J19" i="990" s="1"/>
  <c r="I17" i="990"/>
  <c r="J17" i="990" s="1"/>
  <c r="I15" i="990"/>
  <c r="J15" i="990" s="1"/>
  <c r="I13" i="990"/>
  <c r="J13" i="990" s="1"/>
  <c r="I11" i="990"/>
  <c r="J11" i="990" s="1"/>
  <c r="I9" i="990"/>
  <c r="J9" i="990" s="1"/>
  <c r="I7" i="990"/>
  <c r="J7" i="990" s="1"/>
  <c r="I5" i="990"/>
  <c r="J5" i="990" s="1"/>
  <c r="I3" i="990"/>
  <c r="J3" i="990" s="1"/>
  <c r="J31" i="989"/>
  <c r="I31" i="989"/>
  <c r="I29" i="989"/>
  <c r="J29" i="989" s="1"/>
  <c r="I27" i="989"/>
  <c r="J27" i="989" s="1"/>
  <c r="I25" i="989"/>
  <c r="J25" i="989" s="1"/>
  <c r="I23" i="989"/>
  <c r="J23" i="989" s="1"/>
  <c r="I19" i="989"/>
  <c r="J19" i="989" s="1"/>
  <c r="I5" i="989"/>
  <c r="J5" i="989" s="1"/>
  <c r="I17" i="989"/>
  <c r="J17" i="989" s="1"/>
  <c r="I15" i="989"/>
  <c r="J15" i="989" s="1"/>
  <c r="I13" i="989"/>
  <c r="J13" i="989" s="1"/>
  <c r="I11" i="989"/>
  <c r="J11" i="989" s="1"/>
  <c r="I9" i="989"/>
  <c r="J9" i="989" s="1"/>
  <c r="I7" i="989"/>
  <c r="J7" i="989" s="1"/>
  <c r="I3" i="989"/>
  <c r="J3" i="989" s="1"/>
  <c r="J29" i="988" l="1"/>
  <c r="I29" i="988"/>
  <c r="I27" i="988"/>
  <c r="J27" i="988" s="1"/>
  <c r="I15" i="988"/>
  <c r="J15" i="988" s="1"/>
  <c r="I21" i="988"/>
  <c r="J21" i="988" s="1"/>
  <c r="I5" i="988"/>
  <c r="J5" i="988" s="1"/>
  <c r="I25" i="988" l="1"/>
  <c r="J25" i="988" s="1"/>
  <c r="I17" i="988"/>
  <c r="J17" i="988" s="1"/>
  <c r="I13" i="988"/>
  <c r="J13" i="988" s="1"/>
  <c r="I11" i="988"/>
  <c r="J11" i="988" s="1"/>
  <c r="I9" i="988"/>
  <c r="J9" i="988" s="1"/>
  <c r="I7" i="988"/>
  <c r="J7" i="988" s="1"/>
  <c r="I3" i="988"/>
  <c r="J3" i="988" s="1"/>
  <c r="I25" i="987"/>
  <c r="J25" i="987" s="1"/>
  <c r="I19" i="987"/>
  <c r="J19" i="987" s="1"/>
  <c r="I5" i="987"/>
  <c r="J5" i="987" s="1"/>
  <c r="I9" i="987"/>
  <c r="J9" i="987" s="1"/>
  <c r="I23" i="987"/>
  <c r="J23" i="987" s="1"/>
  <c r="I17" i="987"/>
  <c r="J17" i="987" s="1"/>
  <c r="I15" i="987"/>
  <c r="J15" i="987" s="1"/>
  <c r="I13" i="987"/>
  <c r="J13" i="987" s="1"/>
  <c r="I11" i="987"/>
  <c r="J11" i="987" s="1"/>
  <c r="I7" i="987"/>
  <c r="J7" i="987" s="1"/>
  <c r="I3" i="987"/>
  <c r="J3" i="987" s="1"/>
  <c r="J9" i="986"/>
  <c r="I9" i="986"/>
  <c r="J5" i="986"/>
  <c r="I5" i="986"/>
  <c r="J7" i="986"/>
  <c r="I7" i="986"/>
  <c r="J21" i="986"/>
  <c r="I21" i="986"/>
  <c r="J19" i="986"/>
  <c r="I19" i="986"/>
  <c r="I25" i="986"/>
  <c r="J25" i="986" s="1"/>
  <c r="I27" i="986"/>
  <c r="J27" i="986" s="1"/>
  <c r="I17" i="986"/>
  <c r="J17" i="986" s="1"/>
  <c r="I15" i="986"/>
  <c r="J15" i="986" s="1"/>
  <c r="I13" i="986"/>
  <c r="J13" i="986" s="1"/>
  <c r="I11" i="986"/>
  <c r="J11" i="986" s="1"/>
  <c r="I3" i="986"/>
  <c r="J3" i="986" s="1"/>
  <c r="J21" i="985"/>
  <c r="I21" i="985"/>
  <c r="J5" i="985"/>
  <c r="I5" i="985"/>
  <c r="I35" i="985"/>
  <c r="I33" i="985"/>
  <c r="I25" i="985"/>
  <c r="I23" i="985"/>
  <c r="I19" i="985"/>
  <c r="I17" i="985"/>
  <c r="I15" i="985"/>
  <c r="I13" i="985"/>
  <c r="I11" i="985"/>
  <c r="J11" i="985" s="1"/>
  <c r="I9" i="985"/>
  <c r="I7" i="985"/>
  <c r="I3" i="985"/>
  <c r="J35" i="985"/>
  <c r="J33" i="985"/>
  <c r="J25" i="985"/>
  <c r="J23" i="985"/>
  <c r="I31" i="985"/>
  <c r="J31" i="985" s="1"/>
  <c r="I29" i="985"/>
  <c r="J29" i="985" s="1"/>
  <c r="I27" i="985"/>
  <c r="J27" i="985" s="1"/>
  <c r="J19" i="985" l="1"/>
  <c r="J17" i="985"/>
  <c r="J15" i="985"/>
  <c r="J13" i="985"/>
  <c r="J9" i="985"/>
  <c r="J7" i="985"/>
  <c r="J3" i="985"/>
  <c r="I27" i="984"/>
  <c r="J27" i="984" s="1"/>
  <c r="I25" i="984"/>
  <c r="J25" i="984" s="1"/>
  <c r="J23" i="984"/>
  <c r="I23" i="984"/>
  <c r="J19" i="984"/>
  <c r="I19" i="984"/>
  <c r="I17" i="984"/>
  <c r="I15" i="984"/>
  <c r="I13" i="984"/>
  <c r="I11" i="984"/>
  <c r="I9" i="984"/>
  <c r="I7" i="984"/>
  <c r="I5" i="984"/>
  <c r="I3" i="984"/>
  <c r="J9" i="984" l="1"/>
  <c r="J5" i="984"/>
  <c r="J17" i="984" l="1"/>
  <c r="J15" i="984"/>
  <c r="J13" i="984"/>
  <c r="J11" i="984"/>
  <c r="J7" i="984"/>
  <c r="J3" i="984"/>
</calcChain>
</file>

<file path=xl/sharedStrings.xml><?xml version="1.0" encoding="utf-8"?>
<sst xmlns="http://schemas.openxmlformats.org/spreadsheetml/2006/main" count="2401" uniqueCount="347">
  <si>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</si>
  <si>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</si>
  <si>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</si>
  <si>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</si>
  <si>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</si>
  <si>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</si>
  <si>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</si>
  <si>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</si>
  <si>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</si>
  <si>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</si>
  <si>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</si>
  <si>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</si>
  <si>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</si>
  <si>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</si>
  <si>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</si>
  <si>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</si>
  <si>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</si>
  <si>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</si>
  <si>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</si>
  <si>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</si>
  <si>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</si>
  <si>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</si>
  <si>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</si>
  <si>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</si>
  <si>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</si>
  <si>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</si>
  <si>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</si>
  <si>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</si>
  <si>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</si>
  <si>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</si>
  <si>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</si>
  <si>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</si>
  <si>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</si>
  <si>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</si>
  <si>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</si>
  <si>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</si>
  <si>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</si>
  <si>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</si>
  <si>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</si>
  <si>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</si>
  <si>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</si>
  <si>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</si>
  <si>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</si>
  <si>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HPS TO BOTTOM EDGE</t>
    <phoneticPr fontId="2" type="noConversion"/>
  </si>
  <si>
    <t xml:space="preserve">HIP </t>
  </si>
  <si>
    <t>엉덩이둘레</t>
  </si>
  <si>
    <t xml:space="preserve">TOTAL LENGTH </t>
  </si>
  <si>
    <t>바지기장</t>
  </si>
  <si>
    <t xml:space="preserve">BOTTOM OPENING </t>
  </si>
  <si>
    <t>바지부리</t>
  </si>
  <si>
    <t xml:space="preserve">FRONT RISE </t>
  </si>
  <si>
    <t xml:space="preserve">INCLUDE WAIST BAND TO EDGE </t>
  </si>
  <si>
    <t>앞밑위</t>
  </si>
  <si>
    <t>BACK RISE</t>
  </si>
  <si>
    <t>뒤밑위</t>
  </si>
  <si>
    <t xml:space="preserve">TIGHT </t>
  </si>
  <si>
    <t xml:space="preserve">FROM CROCH  3cm BELOW . WIDE STRIGHT </t>
  </si>
  <si>
    <t>허벅지둘레</t>
  </si>
  <si>
    <t>INSEAM</t>
  </si>
  <si>
    <t xml:space="preserve">CROCH TO EDGE </t>
  </si>
  <si>
    <t>인심길이</t>
  </si>
  <si>
    <t>NECK</t>
    <phoneticPr fontId="2" type="noConversion"/>
  </si>
  <si>
    <t>목둘레</t>
  </si>
  <si>
    <t>FROM FRONT NECK CENTER TO VERTICAL</t>
    <phoneticPr fontId="1" type="noConversion"/>
  </si>
  <si>
    <t xml:space="preserve">앞목중심에서 수직으로 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</si>
  <si>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</si>
  <si>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</si>
  <si>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</si>
  <si>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</si>
  <si>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 xml:space="preserve">ROUND ,@ NECK SEWING  LINE </t>
    <phoneticPr fontId="1" type="noConversion"/>
  </si>
  <si>
    <t>앞지퍼길이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</si>
  <si>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</si>
  <si>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</si>
  <si>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</si>
  <si>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</si>
  <si>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FRONT POCKET VERTICAL </t>
    <phoneticPr fontId="1" type="noConversion"/>
  </si>
  <si>
    <t xml:space="preserve">FRONT POCKET WIDE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</si>
  <si>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</si>
  <si>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</si>
  <si>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</si>
  <si>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</si>
  <si>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</si>
  <si>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</si>
  <si>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</si>
  <si>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</si>
  <si>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</si>
  <si>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와끼선을 기준으로 오비끝에서 바지 밑단 끝까지의 길이</t>
    <phoneticPr fontId="1" type="noConversion"/>
  </si>
  <si>
    <t xml:space="preserve">INCLUDE WAIST BAND TO EDGE </t>
    <phoneticPr fontId="1" type="noConversion"/>
  </si>
  <si>
    <t>앞 댕고 스테치를 기준점으로 하여 양쪽 수평선의 길이</t>
    <phoneticPr fontId="1" type="noConversion"/>
  </si>
  <si>
    <t>오비를 일자 상태로 만든 후 수평으로 잰 길이</t>
    <phoneticPr fontId="1" type="noConversion"/>
  </si>
  <si>
    <t xml:space="preserve">FLAT,FRONT AND BACK WAIST LINE MATCH STRIGHT </t>
    <phoneticPr fontId="1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</si>
  <si>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</si>
  <si>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</si>
  <si>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</si>
  <si>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</si>
  <si>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 xml:space="preserve">FROM SIDE SEAM TO STRIGHT </t>
  </si>
  <si>
    <t xml:space="preserve">FROM EDGE STITCHES </t>
  </si>
  <si>
    <t xml:space="preserve">CIRCLE ROUND </t>
  </si>
  <si>
    <t>BACK WAIST E-BAND</t>
    <phoneticPr fontId="1" type="noConversion"/>
  </si>
  <si>
    <t>WAIST SIZE</t>
    <phoneticPr fontId="1" type="noConversion"/>
  </si>
  <si>
    <t>HIP POINT</t>
    <phoneticPr fontId="1" type="noConversion"/>
  </si>
  <si>
    <t>엉덩이 위치</t>
    <phoneticPr fontId="1" type="noConversion"/>
  </si>
  <si>
    <t>바지 밑단의 둘레길이</t>
    <phoneticPr fontId="2" type="noConversion"/>
  </si>
  <si>
    <t>오비제외</t>
    <phoneticPr fontId="1" type="noConversion"/>
  </si>
  <si>
    <t xml:space="preserve">CUFFS OPENING 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</si>
  <si>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</si>
  <si>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</si>
  <si>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</si>
  <si>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뒤중심</t>
    <phoneticPr fontId="1" type="noConversion"/>
  </si>
  <si>
    <t>카라폭</t>
    <phoneticPr fontId="1" type="noConversion"/>
  </si>
  <si>
    <t>COLLARS WIDTH</t>
    <phoneticPr fontId="1" type="noConversion"/>
  </si>
  <si>
    <t>오비포함 와끼기준</t>
    <phoneticPr fontId="1" type="noConversion"/>
  </si>
  <si>
    <t>ADIJUSTABLE BAND</t>
    <phoneticPr fontId="1" type="noConversion"/>
  </si>
  <si>
    <t>나나밴드</t>
    <phoneticPr fontId="1" type="noConversion"/>
  </si>
  <si>
    <t>COLLAR POINT</t>
    <phoneticPr fontId="2" type="noConversion"/>
  </si>
  <si>
    <t xml:space="preserve">COLLAR WIDTH AT EDGE </t>
  </si>
  <si>
    <t>카라포인트길이</t>
  </si>
  <si>
    <t>앞목쪽 카라 길이</t>
  </si>
  <si>
    <t>BOTTOM E-STRING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</si>
  <si>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</si>
  <si>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앞주머니세로</t>
  </si>
  <si>
    <t>앞주머니가로</t>
  </si>
  <si>
    <t>허리에서 수직으로 (오비포함)</t>
    <phoneticPr fontId="1" type="noConversion"/>
  </si>
  <si>
    <t>뎅고스티치길이</t>
    <phoneticPr fontId="1" type="noConversion"/>
  </si>
  <si>
    <t>J STITCH LENGTH</t>
    <phoneticPr fontId="1" type="noConversion"/>
  </si>
  <si>
    <t>몸판 허리 둘레</t>
    <phoneticPr fontId="1" type="noConversion"/>
  </si>
  <si>
    <t>뒤 허리 고무줄 완성</t>
    <phoneticPr fontId="1" type="noConversion"/>
  </si>
  <si>
    <t>앞허리완성</t>
    <phoneticPr fontId="1" type="noConversion"/>
  </si>
  <si>
    <t>FRONT WAIST</t>
    <phoneticPr fontId="1" type="noConversion"/>
  </si>
  <si>
    <t>허리완성사이즈</t>
    <phoneticPr fontId="1" type="noConversion"/>
  </si>
  <si>
    <t>TOTAL WAIST</t>
    <phoneticPr fontId="1" type="noConversion"/>
  </si>
  <si>
    <t>BASED ON ZIPPER FLY OUT LINE ,STRIGHT</t>
    <phoneticPr fontId="1" type="noConversion"/>
  </si>
  <si>
    <t>밑단엘라스트링 사용길이</t>
    <phoneticPr fontId="5" type="noConversion"/>
  </si>
  <si>
    <t>POINT A</t>
    <phoneticPr fontId="1" type="noConversion"/>
  </si>
  <si>
    <t>POINT B</t>
    <phoneticPr fontId="1" type="noConversion"/>
  </si>
  <si>
    <t xml:space="preserve">SKIRT LENGTH </t>
    <phoneticPr fontId="6" type="noConversion"/>
  </si>
  <si>
    <t>치마기장</t>
    <phoneticPr fontId="6" type="noConversion"/>
  </si>
  <si>
    <t xml:space="preserve">BASED ON ZIPPER FLY OUT LINE ,STRIGHT </t>
  </si>
  <si>
    <t>오비포함, 와끼기준</t>
    <phoneticPr fontId="1" type="noConversion"/>
  </si>
  <si>
    <t xml:space="preserve">오비끝에서 밑으로 </t>
    <phoneticPr fontId="1" type="noConversion"/>
  </si>
  <si>
    <t>LEGGINGS (레깅스)</t>
    <phoneticPr fontId="6" type="noConversion"/>
  </si>
  <si>
    <t>위치 A</t>
    <phoneticPr fontId="1" type="noConversion"/>
  </si>
  <si>
    <t>위치 B</t>
    <phoneticPr fontId="1" type="noConversion"/>
  </si>
  <si>
    <t xml:space="preserve"> </t>
    <phoneticPr fontId="7" type="noConversion"/>
  </si>
  <si>
    <t>FRONT POCKET WIDTH</t>
    <phoneticPr fontId="2" type="noConversion"/>
  </si>
  <si>
    <t>앞주머니너비</t>
    <phoneticPr fontId="1" type="noConversion"/>
  </si>
  <si>
    <t>FRONT POCKET HEIGHT</t>
    <phoneticPr fontId="2" type="noConversion"/>
  </si>
  <si>
    <t>앞주머니높이</t>
    <phoneticPr fontId="1" type="noConversion"/>
  </si>
  <si>
    <t>오비 와끼끝에서 주머니입구 까지의 가로길이</t>
    <phoneticPr fontId="1" type="noConversion"/>
  </si>
  <si>
    <t>오비 와끼끝에서 주머니입구 까지의 세로길이</t>
    <phoneticPr fontId="1" type="noConversion"/>
  </si>
  <si>
    <t>WITHOUT NECK BAND</t>
    <phoneticPr fontId="2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</si>
  <si>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</si>
  <si>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</si>
  <si>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</si>
  <si>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STYLE NO: GYUTO01-K#H08</t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</si>
  <si>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(와끼부분)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</si>
  <si>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(뒤판)</t>
    </r>
    <phoneticPr fontId="1" type="noConversion"/>
  </si>
  <si>
    <t>STYLE NO: GYUOU01-W#G01</t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</si>
  <si>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</si>
  <si>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</si>
  <si>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</si>
  <si>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</si>
  <si>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</si>
  <si>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</si>
  <si>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</si>
  <si>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</si>
  <si>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HOOD STRING</t>
    <phoneticPr fontId="1" type="noConversion"/>
  </si>
  <si>
    <t>후드스트링</t>
    <phoneticPr fontId="1" type="noConversion"/>
  </si>
  <si>
    <t>FRONT ZIPPER LENGTH</t>
    <phoneticPr fontId="1" type="noConversion"/>
  </si>
  <si>
    <t>SLEEVE 15mm BAND</t>
    <phoneticPr fontId="2" type="noConversion"/>
  </si>
  <si>
    <t>소매15mm 고무줄</t>
    <phoneticPr fontId="18" type="noConversion"/>
  </si>
  <si>
    <t>STYLE NO: GYUTO03-K#H10</t>
    <phoneticPr fontId="1" type="noConversion"/>
  </si>
  <si>
    <t>소매기장(입어서우측)</t>
    <phoneticPr fontId="18" type="noConversion"/>
  </si>
  <si>
    <t>소매기장(입어서좌측)</t>
    <phoneticPr fontId="18" type="noConversion"/>
  </si>
  <si>
    <t>RIGHT SLEEVE LENGTH</t>
    <phoneticPr fontId="2" type="noConversion"/>
  </si>
  <si>
    <t>LEFT SLEEVE LENGTH</t>
    <phoneticPr fontId="2" type="noConversion"/>
  </si>
  <si>
    <t>STYLE NO: GYUTO06-K#A06</t>
    <phoneticPr fontId="1" type="noConversion"/>
  </si>
  <si>
    <t>STYLE NO: GYUTO04-K#H11</t>
    <phoneticPr fontId="1" type="noConversion"/>
  </si>
  <si>
    <t>BACK STRAP LENGTH</t>
    <phoneticPr fontId="18" type="noConversion"/>
  </si>
  <si>
    <t>뒤 끈길이</t>
    <phoneticPr fontId="18" type="noConversion"/>
  </si>
  <si>
    <t>끈에서 끈까지 길이</t>
    <phoneticPr fontId="18" type="noConversion"/>
  </si>
  <si>
    <t xml:space="preserve">BACK NECK DROP </t>
    <phoneticPr fontId="2" type="noConversion"/>
  </si>
  <si>
    <r>
      <t xml:space="preserve">옆목점에서 뒤목중심의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</si>
  <si>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뒤목깊이</t>
    <phoneticPr fontId="18" type="noConversion"/>
  </si>
  <si>
    <t>MAKE IMAGE LINE TO CENTER NECK BACK</t>
    <phoneticPr fontId="2" type="noConversion"/>
  </si>
  <si>
    <t>OUTSIDE TOTAL LENGTH</t>
    <phoneticPr fontId="18" type="noConversion"/>
  </si>
  <si>
    <t>앞중심에서 밑단까지</t>
  </si>
  <si>
    <t>SHOULDER STRAP</t>
  </si>
  <si>
    <t>어깨끈길이</t>
  </si>
  <si>
    <t>STYLE NO: GYUTO07-K#A31</t>
    <phoneticPr fontId="1" type="noConversion"/>
  </si>
  <si>
    <t>겉-총장</t>
    <phoneticPr fontId="18" type="noConversion"/>
  </si>
  <si>
    <t>OUTSIDE CHEST (1/2)</t>
    <phoneticPr fontId="18" type="noConversion"/>
  </si>
  <si>
    <t>겉-가슴(상동)</t>
    <phoneticPr fontId="18" type="noConversion"/>
  </si>
  <si>
    <t xml:space="preserve">입어서 왼쪽 </t>
    <phoneticPr fontId="18" type="noConversion"/>
  </si>
  <si>
    <t>STYLE NO: GYUTO02-K#H09</t>
    <phoneticPr fontId="1" type="noConversion"/>
  </si>
  <si>
    <t>STYLE NO: GYUTO05-K#A07</t>
    <phoneticPr fontId="1" type="noConversion"/>
  </si>
  <si>
    <t xml:space="preserve">앞중심에서 수평으로 </t>
    <phoneticPr fontId="1" type="noConversion"/>
  </si>
  <si>
    <t>중심에서 밑단까지</t>
    <phoneticPr fontId="18" type="noConversion"/>
  </si>
  <si>
    <t>YOKE LENGTH(C/F)</t>
    <phoneticPr fontId="2" type="noConversion"/>
  </si>
  <si>
    <t>YOKE LENGTH(C/B)</t>
    <phoneticPr fontId="2" type="noConversion"/>
  </si>
  <si>
    <t>요크 기장(앞목)</t>
    <phoneticPr fontId="2" type="noConversion"/>
  </si>
  <si>
    <t>요크 기장(뒷목)</t>
    <phoneticPr fontId="2" type="noConversion"/>
  </si>
  <si>
    <t>앞목 중심에서 절개선까지</t>
    <phoneticPr fontId="1" type="noConversion"/>
  </si>
  <si>
    <t>뒷목 중심에서 절개선까지</t>
    <phoneticPr fontId="1" type="noConversion"/>
  </si>
  <si>
    <t>FROM CENTER FRONT TO CUT LINE</t>
    <phoneticPr fontId="2" type="noConversion"/>
  </si>
  <si>
    <t>FROM CENTER BACK TO CUT LINE</t>
    <phoneticPr fontId="2" type="noConversion"/>
  </si>
  <si>
    <t>완성사이즈</t>
    <phoneticPr fontId="1" type="noConversion"/>
  </si>
  <si>
    <t>WAIST 2G-BAND</t>
    <phoneticPr fontId="1" type="noConversion"/>
  </si>
  <si>
    <t>허리2골고무줄</t>
    <phoneticPr fontId="1" type="noConversion"/>
  </si>
  <si>
    <t>STYLE NO: GYUTO11-K#R20</t>
    <phoneticPr fontId="1" type="noConversion"/>
  </si>
  <si>
    <t>STYLE NO: GYUPT01-D#R29</t>
    <phoneticPr fontId="1" type="noConversion"/>
  </si>
  <si>
    <t>STYLE NO: GYUOU02-S#Y19</t>
    <phoneticPr fontId="1" type="noConversion"/>
  </si>
  <si>
    <t>BOTTOM RIB WIDTH</t>
    <phoneticPr fontId="2" type="noConversion"/>
  </si>
  <si>
    <t>밑단립 폭</t>
    <phoneticPr fontId="1" type="noConversion"/>
  </si>
  <si>
    <t>목라인(NECK LINE)을 따라 잰 곡선의 둘레길이</t>
    <phoneticPr fontId="1" type="noConversion"/>
  </si>
  <si>
    <t>COLLARS RIB WIDTH</t>
    <phoneticPr fontId="18" type="noConversion"/>
  </si>
  <si>
    <t>카라립 폭</t>
    <phoneticPr fontId="18" type="noConversion"/>
  </si>
  <si>
    <t>FRONT ZIPPER LENGTH</t>
    <phoneticPr fontId="18" type="noConversion"/>
  </si>
  <si>
    <t>앞지퍼길이</t>
    <phoneticPr fontId="18" type="noConversion"/>
  </si>
  <si>
    <t>패턴 -1cm</t>
    <phoneticPr fontId="18" type="noConversion"/>
  </si>
  <si>
    <t>STYLE NO: GYUTO10-K#R19</t>
    <phoneticPr fontId="1" type="noConversion"/>
  </si>
  <si>
    <t>STYLE NO: GYUTO09-W#R18</t>
    <phoneticPr fontId="1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</si>
  <si>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</si>
  <si>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</si>
  <si>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카라 윗둘레</t>
    <phoneticPr fontId="18" type="noConversion"/>
  </si>
  <si>
    <t>앞스트링완성</t>
    <phoneticPr fontId="1" type="noConversion"/>
  </si>
  <si>
    <t>FRONT STRING ACTUAL</t>
    <phoneticPr fontId="1" type="noConversion"/>
  </si>
  <si>
    <t>옆목</t>
    <phoneticPr fontId="18" type="noConversion"/>
  </si>
  <si>
    <t>앞중심</t>
    <phoneticPr fontId="18" type="noConversion"/>
  </si>
  <si>
    <t>STYLE NO: GYUTO08-K#Y16</t>
    <phoneticPr fontId="1" type="noConversion"/>
  </si>
  <si>
    <t>겉-어깨너비</t>
    <phoneticPr fontId="18" type="noConversion"/>
  </si>
  <si>
    <t xml:space="preserve">OUTSIDE ACROSS SHOULDER </t>
    <phoneticPr fontId="2" type="noConversion"/>
  </si>
  <si>
    <t xml:space="preserve">OUTSIDE-ARMHOLE </t>
    <phoneticPr fontId="18" type="noConversion"/>
  </si>
  <si>
    <t>OUTSIDE-BOTTOM SWEEP (1/2)</t>
    <phoneticPr fontId="2" type="noConversion"/>
  </si>
  <si>
    <t>겉-밑단둘레(반품)</t>
    <phoneticPr fontId="18" type="noConversion"/>
  </si>
  <si>
    <t>STYLE NO: GYUTO15-K#Y21</t>
    <phoneticPr fontId="1" type="noConversion"/>
  </si>
  <si>
    <t>STYLE NO: GYUTO12-K#R30</t>
    <phoneticPr fontId="1" type="noConversion"/>
  </si>
  <si>
    <t>NECK STRING LENGTH</t>
    <phoneticPr fontId="2" type="noConversion"/>
  </si>
  <si>
    <t>넥 끈길이</t>
    <phoneticPr fontId="18" type="noConversion"/>
  </si>
  <si>
    <t>목라인에 인접한 랍빠 곡선의 둘레길이</t>
    <phoneticPr fontId="18" type="noConversion"/>
  </si>
  <si>
    <t>STYLE NO: GYUPT03-W#H38</t>
    <phoneticPr fontId="1" type="noConversion"/>
  </si>
  <si>
    <t>SIDE FALT POCKET WIDTH</t>
    <phoneticPr fontId="2" type="noConversion"/>
  </si>
  <si>
    <t>옆후다너비</t>
    <phoneticPr fontId="1" type="noConversion"/>
  </si>
  <si>
    <t>SIDE FALT POCKET HEIGHT</t>
    <phoneticPr fontId="2" type="noConversion"/>
  </si>
  <si>
    <t>옆후다높이</t>
    <phoneticPr fontId="1" type="noConversion"/>
  </si>
  <si>
    <t>SIDE POCKET WIDTH</t>
    <phoneticPr fontId="2" type="noConversion"/>
  </si>
  <si>
    <t>SIDE POCKET HEIGHT</t>
    <phoneticPr fontId="2" type="noConversion"/>
  </si>
  <si>
    <t>옆주머니너비</t>
    <phoneticPr fontId="1" type="noConversion"/>
  </si>
  <si>
    <t>옆주머니높이</t>
    <phoneticPr fontId="1" type="noConversion"/>
  </si>
  <si>
    <t>STYLE NO: GYUPT02-W#Y33</t>
    <phoneticPr fontId="1" type="noConversion"/>
  </si>
  <si>
    <t>STYLE NO: GYUTO16-K#G20</t>
    <phoneticPr fontId="1" type="noConversion"/>
  </si>
  <si>
    <t>STYLE NO: GYUTO14-K#G18</t>
    <phoneticPr fontId="1" type="noConversion"/>
  </si>
  <si>
    <t>STYLE NO: GYUTO17-K#Y31</t>
    <phoneticPr fontId="1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</si>
  <si>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</si>
  <si>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총기장(앞중심)</t>
    <phoneticPr fontId="2" type="noConversion"/>
  </si>
  <si>
    <t>앞중심에서 밑단까지의 직선길이</t>
    <phoneticPr fontId="1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</si>
  <si>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</si>
  <si>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총기장(뒤중심)</t>
    <phoneticPr fontId="2" type="noConversion"/>
  </si>
  <si>
    <t>뒤중심에서 밑단까지의 직선길이</t>
    <phoneticPr fontId="1" type="noConversion"/>
  </si>
  <si>
    <t>어깨끈길이</t>
    <phoneticPr fontId="18" type="noConversion"/>
  </si>
  <si>
    <t>SHOULDER STRAP</t>
    <phoneticPr fontId="2" type="noConversion"/>
  </si>
  <si>
    <t>FRONT NECK UPPER CHEST</t>
    <phoneticPr fontId="2" type="noConversion"/>
  </si>
  <si>
    <t>앞목바대폭</t>
    <phoneticPr fontId="18" type="noConversion"/>
  </si>
  <si>
    <t>BACK NECK UPPER CHEST</t>
    <phoneticPr fontId="2" type="noConversion"/>
  </si>
  <si>
    <t>뒷목바대폭</t>
    <phoneticPr fontId="18" type="noConversion"/>
  </si>
  <si>
    <t>중심에서 양끝점을 수평으로 잰 길이</t>
    <phoneticPr fontId="1" type="noConversion"/>
  </si>
  <si>
    <t>겉-총장(뒤중심)</t>
    <phoneticPr fontId="18" type="noConversion"/>
  </si>
  <si>
    <t>뒤중심에서 밑단까지</t>
    <phoneticPr fontId="18" type="noConversion"/>
  </si>
  <si>
    <t>STYLE NO: GYUSK02-W#H49</t>
    <phoneticPr fontId="1" type="noConversion"/>
  </si>
  <si>
    <t>여유분 = 4cm</t>
    <phoneticPr fontId="18" type="noConversion"/>
  </si>
  <si>
    <t>치마기장(프릴제외)</t>
    <phoneticPr fontId="6" type="noConversion"/>
  </si>
  <si>
    <t>STYLE NO: GYUPT11-W#H50</t>
    <phoneticPr fontId="1" type="noConversion"/>
  </si>
  <si>
    <t>여유=4cm, 앞단추간격16cm</t>
    <phoneticPr fontId="18" type="noConversion"/>
  </si>
  <si>
    <t>STYLE NO: GYUPT05-D#A29</t>
    <phoneticPr fontId="1" type="noConversion"/>
  </si>
  <si>
    <t>여유=4cm, 앞단추간격20cm</t>
    <phoneticPr fontId="18" type="noConversion"/>
  </si>
  <si>
    <t>오비포함 앞뎅고 기준</t>
    <phoneticPr fontId="1" type="noConversion"/>
  </si>
  <si>
    <t>오비포함</t>
    <phoneticPr fontId="1" type="noConversion"/>
  </si>
  <si>
    <t>STYLE NO: GYUPT06-D#A28</t>
    <phoneticPr fontId="1" type="noConversion"/>
  </si>
  <si>
    <t>STYLE NO: GYUTO19-K#G37</t>
    <phoneticPr fontId="1" type="noConversion"/>
  </si>
  <si>
    <t>BACK YOKE LENGTH</t>
    <phoneticPr fontId="1" type="noConversion"/>
  </si>
  <si>
    <t>뒤요크기장</t>
    <phoneticPr fontId="1" type="noConversion"/>
  </si>
  <si>
    <t>뒤중심</t>
    <phoneticPr fontId="18" type="noConversion"/>
  </si>
  <si>
    <t>BACK SLIT LENGTH</t>
    <phoneticPr fontId="1" type="noConversion"/>
  </si>
  <si>
    <t>뒤트임길이</t>
    <phoneticPr fontId="1" type="noConversion"/>
  </si>
  <si>
    <t>STYLE NO: GYUTO18-K#Y32</t>
    <phoneticPr fontId="1" type="noConversion"/>
  </si>
  <si>
    <t>FRONT PLACKET LENGTH</t>
    <phoneticPr fontId="1" type="noConversion"/>
  </si>
  <si>
    <t>앞단작길이</t>
    <phoneticPr fontId="1" type="noConversion"/>
  </si>
  <si>
    <t>STYLE NO: GYUTO13-K#G19</t>
    <phoneticPr fontId="1" type="noConversion"/>
  </si>
  <si>
    <t>STYLE NO: GYUTO21-W#H48</t>
    <phoneticPr fontId="1" type="noConversion"/>
  </si>
  <si>
    <t>FRONT YOKE LENGTH</t>
    <phoneticPr fontId="1" type="noConversion"/>
  </si>
  <si>
    <t>앞요크기장</t>
    <phoneticPr fontId="1" type="noConversion"/>
  </si>
  <si>
    <t>COLLAR WIDTH</t>
    <phoneticPr fontId="2" type="noConversion"/>
  </si>
  <si>
    <t>카라폭</t>
  </si>
  <si>
    <t>밑단에서 수직으로 잰 길이</t>
    <phoneticPr fontId="18" type="noConversion"/>
  </si>
  <si>
    <t>와끼에서 수평으로 잰 길이</t>
    <phoneticPr fontId="18" type="noConversion"/>
  </si>
  <si>
    <t>STYLE NO: GYUPT04-W#H39</t>
    <phoneticPr fontId="1" type="noConversion"/>
  </si>
  <si>
    <t>WAIST STRING LENGTH</t>
    <phoneticPr fontId="1" type="noConversion"/>
  </si>
  <si>
    <t>허리스트링길이</t>
    <phoneticPr fontId="1" type="noConversion"/>
  </si>
  <si>
    <t>노출길이= 18cm</t>
    <phoneticPr fontId="18" type="noConversion"/>
  </si>
  <si>
    <t xml:space="preserve">NECK BAND CENTER HIGHT </t>
    <phoneticPr fontId="2" type="noConversion"/>
  </si>
  <si>
    <t xml:space="preserve">AT CENTER BACK HIGHT </t>
    <phoneticPr fontId="1" type="noConversion"/>
  </si>
  <si>
    <t>고시폭</t>
  </si>
  <si>
    <t>뒷목 중심에서 고시 수직으로 잰 길이</t>
  </si>
  <si>
    <t xml:space="preserve">AT CENTER BACK HIGHT WITHOUT NECK BAND </t>
  </si>
  <si>
    <t>뒷목 중심에서 고시 분량을 빼고 수직으로 잰 길이</t>
  </si>
  <si>
    <t>STYLE NO: GYSPT09-K#Y37</t>
    <phoneticPr fontId="1" type="noConversion"/>
  </si>
  <si>
    <t xml:space="preserve">WAIST CONTRAST LENGTH </t>
    <phoneticPr fontId="18" type="noConversion"/>
  </si>
  <si>
    <t>오비 배색 기장</t>
    <phoneticPr fontId="18" type="noConversion"/>
  </si>
  <si>
    <r>
      <t>와끼선을 기준</t>
    </r>
    <r>
      <rPr>
        <sz val="7.5"/>
        <color rgb="FFFF0000"/>
        <rFont val="맑은 고딕"/>
        <family val="3"/>
        <charset val="129"/>
        <scheme val="minor"/>
      </rPr>
      <t xml:space="preserve"> (보이는 부분)</t>
    </r>
    <phoneticPr fontId="1" type="noConversion"/>
  </si>
  <si>
    <t>WAIST STRING</t>
    <phoneticPr fontId="1" type="noConversion"/>
  </si>
  <si>
    <t>허리스트링</t>
    <phoneticPr fontId="1" type="noConversion"/>
  </si>
  <si>
    <t>노출길이=15cm</t>
    <phoneticPr fontId="1" type="noConversion"/>
  </si>
  <si>
    <t>와끼선을 기준으로 밑단끝점에서 수직으로 잰 길이</t>
    <phoneticPr fontId="18" type="noConversion"/>
  </si>
  <si>
    <t>와끼선을 기준으로 밑단끝점에서 수평으로 잰 길이</t>
    <phoneticPr fontId="18" type="noConversion"/>
  </si>
  <si>
    <t>STYLE NO: GYUTO20-K#R43</t>
    <phoneticPr fontId="1" type="noConversion"/>
  </si>
  <si>
    <t>앞넥 중심에서 수직으로 잰 길이</t>
    <phoneticPr fontId="1" type="noConversion"/>
  </si>
  <si>
    <t xml:space="preserve">앞목중심립에서 랍빠선까지의 수직 길이 </t>
    <phoneticPr fontId="1" type="noConversion"/>
  </si>
  <si>
    <t xml:space="preserve">뒷목중심립에서 랍빠선까지의 수직 길이 </t>
    <phoneticPr fontId="1" type="noConversion"/>
  </si>
  <si>
    <t>뒷목깊이</t>
    <phoneticPr fontId="18" type="noConversion"/>
  </si>
  <si>
    <t>옆목점에서 밑단끝점까지의 수직으로 잰 길이</t>
    <phoneticPr fontId="18" type="noConversion"/>
  </si>
  <si>
    <t>여유=4cm</t>
    <phoneticPr fontId="18" type="noConversion"/>
  </si>
  <si>
    <t>뒷주머니 입구에서 수직으로 잰 길이</t>
    <phoneticPr fontId="18" type="noConversion"/>
  </si>
  <si>
    <t>뒷주머니 사이드에서 수평으로 잰 길이</t>
    <phoneticPr fontId="18" type="noConversion"/>
  </si>
  <si>
    <t>WAIST</t>
    <phoneticPr fontId="1" type="noConversion"/>
  </si>
  <si>
    <t>몸판허리둘레</t>
    <phoneticPr fontId="1" type="noConversion"/>
  </si>
  <si>
    <t>와끼선을 기준으로 오비끝에서 밑단 끝까지의 길이</t>
    <phoneticPr fontId="1" type="noConversion"/>
  </si>
  <si>
    <t>앞 스커트 몸판허리둘레</t>
    <phoneticPr fontId="18" type="noConversion"/>
  </si>
  <si>
    <t>FRONT WRAP LENGTH</t>
    <phoneticPr fontId="18" type="noConversion"/>
  </si>
  <si>
    <t>앞랩 기장</t>
    <phoneticPr fontId="18" type="noConversion"/>
  </si>
  <si>
    <t xml:space="preserve"> STYLE NO: GYSPT10-W#R42</t>
    <phoneticPr fontId="1" type="noConversion"/>
  </si>
  <si>
    <t>STYLE NO: GYUSK01-W#A30</t>
    <phoneticPr fontId="1" type="noConversion"/>
  </si>
  <si>
    <t>STYLE NO: GYUOU05-W#G36</t>
    <phoneticPr fontId="1" type="noConversion"/>
  </si>
  <si>
    <t>POCKET LENGTH</t>
    <phoneticPr fontId="2" type="noConversion"/>
  </si>
  <si>
    <t>주머니입구</t>
    <phoneticPr fontId="1" type="noConversion"/>
  </si>
  <si>
    <t>앞목에서 수직으로</t>
    <phoneticPr fontId="1" type="noConversion"/>
  </si>
  <si>
    <t>앞중심에서</t>
    <phoneticPr fontId="1" type="noConversion"/>
  </si>
  <si>
    <t>YKK</t>
    <phoneticPr fontId="18" type="noConversion"/>
  </si>
  <si>
    <t>SLEEVE 20mm BAND</t>
    <phoneticPr fontId="2" type="noConversion"/>
  </si>
  <si>
    <t>소매20mm 고무줄</t>
    <phoneticPr fontId="18" type="noConversion"/>
  </si>
  <si>
    <t>STYLE NO: GYUPT07-W#G35</t>
    <phoneticPr fontId="1" type="noConversion"/>
  </si>
  <si>
    <t>노출길이= 20cm</t>
    <phoneticPr fontId="18" type="noConversion"/>
  </si>
  <si>
    <r>
      <t>오비 와끼끝에서 주머니입구 까지의 가로길이</t>
    </r>
    <r>
      <rPr>
        <sz val="7.5"/>
        <color rgb="FFFF0000"/>
        <rFont val="맑은 고딕"/>
        <family val="3"/>
        <charset val="129"/>
        <scheme val="minor"/>
      </rPr>
      <t>(파이핑 제외)</t>
    </r>
    <phoneticPr fontId="1" type="noConversion"/>
  </si>
  <si>
    <r>
      <t>오비 와끼끝에서 주머니입구 까지의 세로길이</t>
    </r>
    <r>
      <rPr>
        <sz val="7.5"/>
        <color rgb="FFFF0000"/>
        <rFont val="맑은 고딕"/>
        <family val="3"/>
        <charset val="129"/>
        <scheme val="minor"/>
      </rPr>
      <t>(파이핑 제외)</t>
    </r>
    <phoneticPr fontId="1" type="noConversion"/>
  </si>
  <si>
    <t>뒤주머니 높이</t>
    <phoneticPr fontId="1" type="noConversion"/>
  </si>
  <si>
    <t>바지 밑단</t>
    <phoneticPr fontId="2" type="noConversion"/>
  </si>
  <si>
    <t>BOTTOM STRING LENGTH</t>
  </si>
  <si>
    <t>밑단스트링길이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</si>
</sst>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8" fillId="0" borderId="0">
      <alignment vertical="center"/>
    </xf>
  </cellStyleXfs>
  <cellXfs count="14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2" xfId="0" applyBorder="1">
      <alignment vertical="center"/>
    </xf>
    <xf numFmtId="0" fontId="0" fillId="0" borderId="38" xfId="0" applyBorder="1">
      <alignment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48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49" xfId="0" applyFont="1" applyBorder="1" applyAlignment="1">
      <alignment horizontal="left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9" fillId="2" borderId="51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9" fillId="0" borderId="5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4186A5B5-2690-4287-AADF-7C7F143DDC0B}"/>
    <cellStyle name="표준 2 2" xfId="2" xr:uid="{20EE3114-9134-4E69-8A25-686ED3FDC8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7C2E-5CCE-4905-894F-3EC64E5929F2}">
  <sheetPr>
    <tabColor rgb="FF00B0F0"/>
    <pageSetUpPr fitToPage="1"/>
  </sheetPr>
  <dimension ref="A1:M55"/>
  <sheetViews>
    <sheetView topLeftCell="A13"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30</v>
      </c>
      <c r="I5" s="60">
        <f>SUM(H5)+2.25</f>
        <v>32.25</v>
      </c>
      <c r="J5" s="60">
        <f>SUM(I5)+2.25</f>
        <v>34.5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34</v>
      </c>
      <c r="I7" s="60">
        <f>SUM(H7)+0.25</f>
        <v>34.25</v>
      </c>
      <c r="J7" s="60">
        <f>SUM(I7)+0.25</f>
        <v>34.5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52</v>
      </c>
      <c r="I9" s="60">
        <f>SUM(H9)+1.3</f>
        <v>53.3</v>
      </c>
      <c r="J9" s="60">
        <f>SUM(I9)+1.3</f>
        <v>54.599999999999994</v>
      </c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272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76</v>
      </c>
      <c r="I11" s="60">
        <f>SUM(H11)+4.5</f>
        <v>80.5</v>
      </c>
      <c r="J11" s="60">
        <f>SUM(I11)+4.5</f>
        <v>85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95</v>
      </c>
      <c r="I13" s="13">
        <f>SUM(H13)+5</f>
        <v>100</v>
      </c>
      <c r="J13" s="13">
        <f>SUM(I13)+5</f>
        <v>105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14</v>
      </c>
      <c r="I15" s="13">
        <f>SUM(H15)+0.7</f>
        <v>14.7</v>
      </c>
      <c r="J15" s="13">
        <f>SUM(I15)+0.7</f>
        <v>15.399999999999999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153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14</v>
      </c>
      <c r="I17" s="49">
        <f>SUM(H17)+0.7</f>
        <v>14.7</v>
      </c>
      <c r="J17" s="49">
        <f>SUM(I17)+0.7</f>
        <v>15.399999999999999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60</v>
      </c>
      <c r="I21" s="13">
        <f>SUM(H21)+2</f>
        <v>62</v>
      </c>
      <c r="J21" s="13">
        <f>SUM(I21)+2</f>
        <v>64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61</v>
      </c>
      <c r="I23" s="13">
        <f>SUM(H23)+2.4</f>
        <v>63.4</v>
      </c>
      <c r="J23" s="13">
        <f>SUM(I23)+2.4</f>
        <v>65.8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27.5</v>
      </c>
      <c r="I25" s="13">
        <f>SUM(H25)+1.1</f>
        <v>28.6</v>
      </c>
      <c r="J25" s="13">
        <f>SUM(I25)+1.1</f>
        <v>29.700000000000003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36</v>
      </c>
      <c r="I27" s="13">
        <f>SUM(H27)+1.3</f>
        <v>37.299999999999997</v>
      </c>
      <c r="J27" s="13">
        <f>SUM(I27)+1.3</f>
        <v>38.599999999999994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/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8.5</v>
      </c>
      <c r="I37" s="13">
        <f>SUM(H37)+0.6</f>
        <v>9.1</v>
      </c>
      <c r="J37" s="13">
        <f>SUM(I37)+0.6</f>
        <v>9.6999999999999993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5</v>
      </c>
      <c r="I39" s="13">
        <f>SUM(H39)+0.2</f>
        <v>5.2</v>
      </c>
      <c r="J39" s="13">
        <f>SUM(I39)+0.2</f>
        <v>5.4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30" t="s">
        <v>94</v>
      </c>
      <c r="C41" s="31"/>
      <c r="D41" s="32"/>
      <c r="E41" s="32"/>
      <c r="F41" s="32"/>
      <c r="G41" s="32"/>
      <c r="H41" s="33">
        <v>13.5</v>
      </c>
      <c r="I41" s="13">
        <f>SUM(H41)+0.5</f>
        <v>14</v>
      </c>
      <c r="J41" s="13">
        <f>SUM(I41)+0.5</f>
        <v>14.5</v>
      </c>
      <c r="K41" s="13"/>
      <c r="L41" s="13"/>
      <c r="M41" s="15"/>
    </row>
    <row r="42" spans="1:13" s="2" customFormat="1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28">
        <v>21</v>
      </c>
      <c r="B43" s="30" t="s">
        <v>92</v>
      </c>
      <c r="C43" s="31"/>
      <c r="D43" s="32"/>
      <c r="E43" s="32"/>
      <c r="F43" s="32"/>
      <c r="G43" s="32"/>
      <c r="H43" s="33">
        <v>14.5</v>
      </c>
      <c r="I43" s="13">
        <f>SUM(H43)+0.5</f>
        <v>15</v>
      </c>
      <c r="J43" s="13">
        <f>SUM(I43)+0.5</f>
        <v>15.5</v>
      </c>
      <c r="K43" s="13"/>
      <c r="L43" s="13"/>
      <c r="M43" s="15"/>
    </row>
    <row r="44" spans="1:13" s="2" customFormat="1" ht="14.1" customHeight="1" thickBot="1" x14ac:dyDescent="0.35">
      <c r="A44" s="29"/>
      <c r="B44" s="17" t="s">
        <v>91</v>
      </c>
      <c r="C44" s="17"/>
      <c r="D44" s="18"/>
      <c r="E44" s="19"/>
      <c r="F44" s="19"/>
      <c r="G44" s="20"/>
      <c r="H44" s="34"/>
      <c r="I44" s="14"/>
      <c r="J44" s="14"/>
      <c r="K44" s="14"/>
      <c r="L44" s="14"/>
      <c r="M44" s="16"/>
    </row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2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2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2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2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34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1:M1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1:J42"/>
    <mergeCell ref="J39:J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A90F-7839-4523-954C-EA868BF00A01}">
  <sheetPr>
    <tabColor rgb="FF00B0F0"/>
    <pageSetUpPr fitToPage="1"/>
  </sheetPr>
  <dimension ref="A1:M55"/>
  <sheetViews>
    <sheetView topLeftCell="A19" zoomScale="110" zoomScaleNormal="110" workbookViewId="0">
      <selection activeCell="D10" sqref="D10:G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30</v>
      </c>
      <c r="I5" s="60">
        <f>SUM(H5)+2.25</f>
        <v>32.25</v>
      </c>
      <c r="J5" s="60">
        <f>SUM(I5)+2.25</f>
        <v>34.5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34</v>
      </c>
      <c r="I7" s="60">
        <f>SUM(H7)+0.25</f>
        <v>34.25</v>
      </c>
      <c r="J7" s="60">
        <f>SUM(I7)+0.25</f>
        <v>34.5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52</v>
      </c>
      <c r="I9" s="60">
        <f>SUM(H9)+1.3</f>
        <v>53.3</v>
      </c>
      <c r="J9" s="60">
        <f>SUM(I9)+1.3</f>
        <v>54.599999999999994</v>
      </c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272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74</v>
      </c>
      <c r="I11" s="60">
        <f>SUM(H11)+4.5</f>
        <v>78.5</v>
      </c>
      <c r="J11" s="60">
        <f>SUM(I11)+4.5</f>
        <v>83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92</v>
      </c>
      <c r="I13" s="13">
        <f>SUM(H13)+5</f>
        <v>97</v>
      </c>
      <c r="J13" s="13">
        <f>SUM(I13)+5</f>
        <v>102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14</v>
      </c>
      <c r="I15" s="13">
        <f>SUM(H15)+0.7</f>
        <v>14.7</v>
      </c>
      <c r="J15" s="13">
        <f>SUM(I15)+0.7</f>
        <v>15.399999999999999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153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14</v>
      </c>
      <c r="I17" s="49">
        <f>SUM(H17)+0.7</f>
        <v>14.7</v>
      </c>
      <c r="J17" s="49">
        <f>SUM(I17)+0.7</f>
        <v>15.399999999999999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33</v>
      </c>
      <c r="I21" s="13">
        <f>SUM(H21)+1.5</f>
        <v>34.5</v>
      </c>
      <c r="J21" s="13">
        <f>SUM(I21)+1.5</f>
        <v>36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57</v>
      </c>
      <c r="I23" s="13">
        <f>SUM(H23)+2.8</f>
        <v>59.8</v>
      </c>
      <c r="J23" s="13">
        <f>SUM(I23)+2.8</f>
        <v>62.599999999999994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28.5</v>
      </c>
      <c r="I25" s="13">
        <f>SUM(H25)+1.1</f>
        <v>29.6</v>
      </c>
      <c r="J25" s="13">
        <f>SUM(I25)+1.1</f>
        <v>30.700000000000003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36</v>
      </c>
      <c r="I27" s="13">
        <f>SUM(H27)+1.3</f>
        <v>37.299999999999997</v>
      </c>
      <c r="J27" s="13">
        <f>SUM(I27)+1.3</f>
        <v>38.599999999999994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/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8.5</v>
      </c>
      <c r="I37" s="13">
        <f>SUM(H37)+0.6</f>
        <v>9.1</v>
      </c>
      <c r="J37" s="13">
        <f>SUM(I37)+0.6</f>
        <v>9.6999999999999993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5.8</v>
      </c>
      <c r="I39" s="13">
        <f>SUM(H39)+0.2</f>
        <v>6</v>
      </c>
      <c r="J39" s="13">
        <f>SUM(I39)+0.2</f>
        <v>6.2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30" t="s">
        <v>94</v>
      </c>
      <c r="C41" s="31"/>
      <c r="D41" s="32"/>
      <c r="E41" s="32"/>
      <c r="F41" s="32"/>
      <c r="G41" s="32"/>
      <c r="H41" s="33">
        <v>13.5</v>
      </c>
      <c r="I41" s="13">
        <f>SUM(H41)+0.5</f>
        <v>14</v>
      </c>
      <c r="J41" s="13">
        <f>SUM(I41)+0.5</f>
        <v>14.5</v>
      </c>
      <c r="K41" s="13"/>
      <c r="L41" s="13"/>
      <c r="M41" s="15"/>
    </row>
    <row r="42" spans="1:13" s="2" customFormat="1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28">
        <v>21</v>
      </c>
      <c r="B43" s="30" t="s">
        <v>92</v>
      </c>
      <c r="C43" s="31"/>
      <c r="D43" s="32"/>
      <c r="E43" s="32"/>
      <c r="F43" s="32"/>
      <c r="G43" s="32"/>
      <c r="H43" s="33">
        <v>13.5</v>
      </c>
      <c r="I43" s="13">
        <f>SUM(H43)+0.5</f>
        <v>14</v>
      </c>
      <c r="J43" s="13">
        <f>SUM(I43)+0.5</f>
        <v>14.5</v>
      </c>
      <c r="K43" s="13"/>
      <c r="L43" s="13"/>
      <c r="M43" s="15"/>
    </row>
    <row r="44" spans="1:13" s="2" customFormat="1" ht="14.1" customHeight="1" thickBot="1" x14ac:dyDescent="0.35">
      <c r="A44" s="29"/>
      <c r="B44" s="17" t="s">
        <v>91</v>
      </c>
      <c r="C44" s="17"/>
      <c r="D44" s="18"/>
      <c r="E44" s="19"/>
      <c r="F44" s="19"/>
      <c r="G44" s="20"/>
      <c r="H44" s="34"/>
      <c r="I44" s="14"/>
      <c r="J44" s="14"/>
      <c r="K44" s="14"/>
      <c r="L44" s="14"/>
      <c r="M44" s="16"/>
    </row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2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2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2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2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1110-B952-403E-83DF-84A3E001354A}">
  <sheetPr>
    <tabColor rgb="FF00B0F0"/>
    <pageSetUpPr fitToPage="1"/>
  </sheetPr>
  <dimension ref="A1:M55"/>
  <sheetViews>
    <sheetView topLeftCell="A16" zoomScale="110" zoomScaleNormal="110" workbookViewId="0">
      <selection activeCell="B41" sqref="B41:G4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/>
      <c r="I5" s="60"/>
      <c r="J5" s="60"/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/>
      <c r="I7" s="60"/>
      <c r="J7" s="60"/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/>
      <c r="I9" s="60"/>
      <c r="J9" s="60"/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272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90</v>
      </c>
      <c r="I11" s="60">
        <f>SUM(H11)+4.5</f>
        <v>94.5</v>
      </c>
      <c r="J11" s="60">
        <f>SUM(I11)+4.5</f>
        <v>99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96</v>
      </c>
      <c r="I13" s="13">
        <f>SUM(H13)+5</f>
        <v>101</v>
      </c>
      <c r="J13" s="13">
        <f>SUM(I13)+5</f>
        <v>106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14</v>
      </c>
      <c r="I15" s="13">
        <f>SUM(H15)+0.7</f>
        <v>14.7</v>
      </c>
      <c r="J15" s="13">
        <f>SUM(I15)+0.7</f>
        <v>15.399999999999999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153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14</v>
      </c>
      <c r="I17" s="49">
        <f>SUM(H17)+0.7</f>
        <v>14.7</v>
      </c>
      <c r="J17" s="49">
        <f>SUM(I17)+0.7</f>
        <v>15.399999999999999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66</v>
      </c>
      <c r="I21" s="13">
        <f>SUM(H21)+3</f>
        <v>69</v>
      </c>
      <c r="J21" s="13">
        <f>SUM(I21)+3</f>
        <v>72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56</v>
      </c>
      <c r="I23" s="13">
        <f>SUM(H23)+2.4</f>
        <v>58.4</v>
      </c>
      <c r="J23" s="13">
        <f>SUM(I23)+2.4</f>
        <v>60.8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29</v>
      </c>
      <c r="I25" s="13">
        <f>SUM(H25)+1.1</f>
        <v>30.1</v>
      </c>
      <c r="J25" s="13">
        <f>SUM(I25)+1.1</f>
        <v>31.200000000000003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37.5</v>
      </c>
      <c r="I27" s="13">
        <f>SUM(H27)+1.3</f>
        <v>38.799999999999997</v>
      </c>
      <c r="J27" s="13">
        <f>SUM(I27)+1.3</f>
        <v>40.099999999999994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>
        <v>62</v>
      </c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>
        <v>37</v>
      </c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6</v>
      </c>
      <c r="I37" s="13">
        <f>SUM(H37)+0.2</f>
        <v>6.2</v>
      </c>
      <c r="J37" s="13">
        <f>SUM(I37)+0.2</f>
        <v>6.4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12</v>
      </c>
      <c r="I39" s="13">
        <f>SUM(H39)+0.6</f>
        <v>12.6</v>
      </c>
      <c r="J39" s="13">
        <f>SUM(I39)+0.6</f>
        <v>13.2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30" t="s">
        <v>241</v>
      </c>
      <c r="C41" s="31"/>
      <c r="D41" s="32"/>
      <c r="E41" s="32"/>
      <c r="F41" s="32"/>
      <c r="G41" s="32"/>
      <c r="H41" s="33">
        <v>17</v>
      </c>
      <c r="I41" s="13">
        <f>SUM(H41)+0.6</f>
        <v>17.600000000000001</v>
      </c>
      <c r="J41" s="13">
        <f>SUM(I41)+0.6</f>
        <v>18.200000000000003</v>
      </c>
      <c r="K41" s="13"/>
      <c r="L41" s="13"/>
      <c r="M41" s="15"/>
    </row>
    <row r="42" spans="1:13" s="2" customFormat="1" ht="14.1" customHeight="1" x14ac:dyDescent="0.3">
      <c r="A42" s="35"/>
      <c r="B42" s="23" t="s">
        <v>242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28">
        <v>21</v>
      </c>
      <c r="B43" s="30" t="s">
        <v>243</v>
      </c>
      <c r="C43" s="31"/>
      <c r="D43" s="32"/>
      <c r="E43" s="32"/>
      <c r="F43" s="32"/>
      <c r="G43" s="32"/>
      <c r="H43" s="33">
        <v>5</v>
      </c>
      <c r="I43" s="13">
        <f>SUM(H43)+0.2</f>
        <v>5.2</v>
      </c>
      <c r="J43" s="13">
        <f>SUM(I43)+0.2</f>
        <v>5.4</v>
      </c>
      <c r="K43" s="13"/>
      <c r="L43" s="13"/>
      <c r="M43" s="15"/>
    </row>
    <row r="44" spans="1:13" s="2" customFormat="1" ht="14.1" customHeight="1" x14ac:dyDescent="0.3">
      <c r="A44" s="28"/>
      <c r="B44" s="80" t="s">
        <v>244</v>
      </c>
      <c r="C44" s="80"/>
      <c r="D44" s="56"/>
      <c r="E44" s="57"/>
      <c r="F44" s="57"/>
      <c r="G44" s="58"/>
      <c r="H44" s="36"/>
      <c r="I44" s="21"/>
      <c r="J44" s="21"/>
      <c r="K44" s="60"/>
      <c r="L44" s="60"/>
      <c r="M44" s="61"/>
    </row>
    <row r="45" spans="1:13" s="2" customFormat="1" ht="14.1" customHeight="1" x14ac:dyDescent="0.3">
      <c r="A45" s="79">
        <v>20</v>
      </c>
      <c r="B45" s="30" t="s">
        <v>245</v>
      </c>
      <c r="C45" s="31"/>
      <c r="D45" s="32"/>
      <c r="E45" s="32"/>
      <c r="F45" s="32"/>
      <c r="G45" s="32"/>
      <c r="H45" s="33">
        <v>16.5</v>
      </c>
      <c r="I45" s="13">
        <f>SUM(H45)+0.6</f>
        <v>17.100000000000001</v>
      </c>
      <c r="J45" s="13">
        <f>SUM(I45)+0.6</f>
        <v>17.700000000000003</v>
      </c>
      <c r="K45" s="13"/>
      <c r="L45" s="13"/>
      <c r="M45" s="15"/>
    </row>
    <row r="46" spans="1:13" s="2" customFormat="1" ht="14.1" customHeight="1" x14ac:dyDescent="0.3">
      <c r="A46" s="35"/>
      <c r="B46" s="23" t="s">
        <v>247</v>
      </c>
      <c r="C46" s="24"/>
      <c r="D46" s="25"/>
      <c r="E46" s="26"/>
      <c r="F46" s="26"/>
      <c r="G46" s="27"/>
      <c r="H46" s="36"/>
      <c r="I46" s="21"/>
      <c r="J46" s="21"/>
      <c r="K46" s="21"/>
      <c r="L46" s="21"/>
      <c r="M46" s="22"/>
    </row>
    <row r="47" spans="1:13" s="2" customFormat="1" ht="14.1" customHeight="1" x14ac:dyDescent="0.3">
      <c r="A47" s="28">
        <v>21</v>
      </c>
      <c r="B47" s="30" t="s">
        <v>246</v>
      </c>
      <c r="C47" s="31"/>
      <c r="D47" s="32"/>
      <c r="E47" s="32"/>
      <c r="F47" s="32"/>
      <c r="G47" s="32"/>
      <c r="H47" s="33">
        <v>16</v>
      </c>
      <c r="I47" s="13">
        <f>SUM(H47)+0.6</f>
        <v>16.600000000000001</v>
      </c>
      <c r="J47" s="13">
        <f>SUM(I47)+0.6</f>
        <v>17.200000000000003</v>
      </c>
      <c r="K47" s="13"/>
      <c r="L47" s="13"/>
      <c r="M47" s="15"/>
    </row>
    <row r="48" spans="1:13" s="2" customFormat="1" ht="14.1" customHeight="1" x14ac:dyDescent="0.3">
      <c r="A48" s="35"/>
      <c r="B48" s="46" t="s">
        <v>248</v>
      </c>
      <c r="C48" s="46"/>
      <c r="D48" s="25"/>
      <c r="E48" s="26"/>
      <c r="F48" s="26"/>
      <c r="G48" s="27"/>
      <c r="H48" s="36"/>
      <c r="I48" s="21"/>
      <c r="J48" s="21"/>
      <c r="K48" s="21"/>
      <c r="L48" s="21"/>
      <c r="M48" s="22"/>
    </row>
    <row r="49" spans="1:13" s="2" customFormat="1" ht="14.1" customHeight="1" x14ac:dyDescent="0.3">
      <c r="A49" s="28">
        <v>20</v>
      </c>
      <c r="B49" s="54" t="s">
        <v>94</v>
      </c>
      <c r="C49" s="55"/>
      <c r="D49" s="78"/>
      <c r="E49" s="78"/>
      <c r="F49" s="78"/>
      <c r="G49" s="78"/>
      <c r="H49" s="59">
        <v>12</v>
      </c>
      <c r="I49" s="60">
        <f>SUM(H49)+0.5</f>
        <v>12.5</v>
      </c>
      <c r="J49" s="60">
        <f>SUM(I49)+0.5</f>
        <v>13</v>
      </c>
      <c r="K49" s="60"/>
      <c r="L49" s="60"/>
      <c r="M49" s="61"/>
    </row>
    <row r="50" spans="1:13" s="2" customFormat="1" ht="14.1" customHeight="1" x14ac:dyDescent="0.3">
      <c r="A50" s="35"/>
      <c r="B50" s="23" t="s">
        <v>93</v>
      </c>
      <c r="C50" s="24"/>
      <c r="D50" s="25"/>
      <c r="E50" s="26"/>
      <c r="F50" s="26"/>
      <c r="G50" s="27"/>
      <c r="H50" s="36"/>
      <c r="I50" s="21"/>
      <c r="J50" s="21"/>
      <c r="K50" s="21"/>
      <c r="L50" s="21"/>
      <c r="M50" s="22"/>
    </row>
    <row r="51" spans="1:13" s="2" customFormat="1" ht="14.1" customHeight="1" x14ac:dyDescent="0.3">
      <c r="A51" s="28">
        <v>21</v>
      </c>
      <c r="B51" s="30" t="s">
        <v>92</v>
      </c>
      <c r="C51" s="31"/>
      <c r="D51" s="32"/>
      <c r="E51" s="32"/>
      <c r="F51" s="32"/>
      <c r="G51" s="32"/>
      <c r="H51" s="33">
        <v>12.5</v>
      </c>
      <c r="I51" s="13">
        <f>SUM(H51)+0.5</f>
        <v>13</v>
      </c>
      <c r="J51" s="13">
        <f>SUM(I51)+0.5</f>
        <v>13.5</v>
      </c>
      <c r="K51" s="13"/>
      <c r="L51" s="13"/>
      <c r="M51" s="15"/>
    </row>
    <row r="52" spans="1:13" s="2" customFormat="1" ht="14.1" customHeight="1" thickBot="1" x14ac:dyDescent="0.35">
      <c r="A52" s="29"/>
      <c r="B52" s="17" t="s">
        <v>91</v>
      </c>
      <c r="C52" s="17"/>
      <c r="D52" s="18"/>
      <c r="E52" s="19"/>
      <c r="F52" s="19"/>
      <c r="G52" s="20"/>
      <c r="H52" s="34"/>
      <c r="I52" s="14"/>
      <c r="J52" s="14"/>
      <c r="K52" s="14"/>
      <c r="L52" s="14"/>
      <c r="M52" s="16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7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9D08-8C24-4ACC-8C4F-0F04D3BCBE8A}">
  <sheetPr>
    <tabColor rgb="FF00B0F0"/>
    <pageSetUpPr fitToPage="1"/>
  </sheetPr>
  <dimension ref="A1:M51"/>
  <sheetViews>
    <sheetView topLeftCell="A13" zoomScale="110" zoomScaleNormal="110" workbookViewId="0">
      <selection activeCell="O43" sqref="O4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6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/>
      <c r="I5" s="60"/>
      <c r="J5" s="60"/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/>
      <c r="I7" s="60"/>
      <c r="J7" s="60"/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/>
      <c r="I9" s="60"/>
      <c r="J9" s="60"/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/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93.5</v>
      </c>
      <c r="I11" s="60">
        <f>SUM(H11)+4.5</f>
        <v>98</v>
      </c>
      <c r="J11" s="60">
        <f>SUM(I11)+4.5</f>
        <v>102.5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99</v>
      </c>
      <c r="I13" s="13">
        <f>SUM(H13)+5</f>
        <v>104</v>
      </c>
      <c r="J13" s="13">
        <f>SUM(I13)+5</f>
        <v>109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18.2</v>
      </c>
      <c r="I15" s="13">
        <f>SUM(H15)+0.7</f>
        <v>18.899999999999999</v>
      </c>
      <c r="J15" s="13">
        <f>SUM(I15)+0.7</f>
        <v>19.599999999999998</v>
      </c>
      <c r="K15" s="13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111</v>
      </c>
      <c r="E16" s="52"/>
      <c r="F16" s="52"/>
      <c r="G16" s="53"/>
      <c r="H16" s="36"/>
      <c r="I16" s="21"/>
      <c r="J16" s="21"/>
      <c r="K16" s="21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/>
      <c r="I17" s="49"/>
      <c r="J17" s="49"/>
      <c r="K17" s="13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21"/>
      <c r="L18" s="46"/>
      <c r="M18" s="48"/>
    </row>
    <row r="19" spans="1:13" s="2" customFormat="1" ht="14.1" customHeight="1" x14ac:dyDescent="0.3">
      <c r="A19" s="28">
        <v>9</v>
      </c>
      <c r="B19" s="30" t="s">
        <v>46</v>
      </c>
      <c r="C19" s="31"/>
      <c r="D19" s="42" t="s">
        <v>87</v>
      </c>
      <c r="E19" s="43"/>
      <c r="F19" s="43"/>
      <c r="G19" s="44"/>
      <c r="H19" s="33">
        <v>60</v>
      </c>
      <c r="I19" s="13">
        <f>SUM(H19)+2</f>
        <v>62</v>
      </c>
      <c r="J19" s="13">
        <f>SUM(I19)+2</f>
        <v>64</v>
      </c>
      <c r="K19" s="13"/>
      <c r="L19" s="13"/>
      <c r="M19" s="15"/>
    </row>
    <row r="20" spans="1:13" s="2" customFormat="1" ht="14.1" customHeight="1" x14ac:dyDescent="0.3">
      <c r="A20" s="35"/>
      <c r="B20" s="37" t="s">
        <v>47</v>
      </c>
      <c r="C20" s="38"/>
      <c r="D20" s="39" t="s">
        <v>86</v>
      </c>
      <c r="E20" s="40"/>
      <c r="F20" s="40"/>
      <c r="G20" s="41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48</v>
      </c>
      <c r="C21" s="31"/>
      <c r="D21" s="42" t="s">
        <v>97</v>
      </c>
      <c r="E21" s="43"/>
      <c r="F21" s="43"/>
      <c r="G21" s="44"/>
      <c r="H21" s="33">
        <v>60</v>
      </c>
      <c r="I21" s="13">
        <f>SUM(H21)+2.6</f>
        <v>62.6</v>
      </c>
      <c r="J21" s="13">
        <f>SUM(I21)+2.6</f>
        <v>65.2</v>
      </c>
      <c r="K21" s="13"/>
      <c r="L21" s="13"/>
      <c r="M21" s="15"/>
    </row>
    <row r="22" spans="1:13" s="2" customFormat="1" ht="14.1" customHeight="1" x14ac:dyDescent="0.3">
      <c r="A22" s="35"/>
      <c r="B22" s="37" t="s">
        <v>49</v>
      </c>
      <c r="C22" s="38"/>
      <c r="D22" s="25" t="s">
        <v>102</v>
      </c>
      <c r="E22" s="26"/>
      <c r="F22" s="26"/>
      <c r="G22" s="27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50</v>
      </c>
      <c r="C23" s="31"/>
      <c r="D23" s="42" t="s">
        <v>51</v>
      </c>
      <c r="E23" s="43"/>
      <c r="F23" s="43"/>
      <c r="G23" s="44"/>
      <c r="H23" s="33">
        <v>29.9</v>
      </c>
      <c r="I23" s="13">
        <f>SUM(H23)+1.1</f>
        <v>31</v>
      </c>
      <c r="J23" s="13">
        <f>SUM(I23)+1.1</f>
        <v>32.1</v>
      </c>
      <c r="K23" s="13"/>
      <c r="L23" s="45"/>
      <c r="M23" s="47"/>
    </row>
    <row r="24" spans="1:13" s="2" customFormat="1" ht="14.1" customHeight="1" x14ac:dyDescent="0.3">
      <c r="A24" s="35"/>
      <c r="B24" s="37" t="s">
        <v>52</v>
      </c>
      <c r="C24" s="38"/>
      <c r="D24" s="39" t="s">
        <v>85</v>
      </c>
      <c r="E24" s="40"/>
      <c r="F24" s="40"/>
      <c r="G24" s="41"/>
      <c r="H24" s="36"/>
      <c r="I24" s="21"/>
      <c r="J24" s="21"/>
      <c r="K24" s="21"/>
      <c r="L24" s="46"/>
      <c r="M24" s="48"/>
    </row>
    <row r="25" spans="1:13" s="2" customFormat="1" ht="14.1" customHeight="1" x14ac:dyDescent="0.3">
      <c r="A25" s="28">
        <v>12</v>
      </c>
      <c r="B25" s="30" t="s">
        <v>53</v>
      </c>
      <c r="C25" s="31"/>
      <c r="D25" s="42" t="s">
        <v>51</v>
      </c>
      <c r="E25" s="43"/>
      <c r="F25" s="43"/>
      <c r="G25" s="44"/>
      <c r="H25" s="33">
        <v>39.6</v>
      </c>
      <c r="I25" s="13">
        <f>SUM(H25)+1.3</f>
        <v>40.9</v>
      </c>
      <c r="J25" s="13">
        <f>SUM(I25)+1.3</f>
        <v>42.199999999999996</v>
      </c>
      <c r="K25" s="13"/>
      <c r="L25" s="45"/>
      <c r="M25" s="47"/>
    </row>
    <row r="26" spans="1:13" s="2" customFormat="1" ht="14.1" customHeight="1" x14ac:dyDescent="0.3">
      <c r="A26" s="35"/>
      <c r="B26" s="37" t="s">
        <v>54</v>
      </c>
      <c r="C26" s="38"/>
      <c r="D26" s="39" t="s">
        <v>85</v>
      </c>
      <c r="E26" s="40"/>
      <c r="F26" s="40"/>
      <c r="G26" s="41"/>
      <c r="H26" s="36"/>
      <c r="I26" s="21"/>
      <c r="J26" s="21"/>
      <c r="K26" s="21"/>
      <c r="L26" s="46"/>
      <c r="M26" s="48"/>
    </row>
    <row r="27" spans="1:13" s="2" customFormat="1" ht="14.1" customHeight="1" x14ac:dyDescent="0.3">
      <c r="A27" s="28">
        <v>13</v>
      </c>
      <c r="B27" s="30" t="s">
        <v>55</v>
      </c>
      <c r="C27" s="31"/>
      <c r="D27" s="42" t="s">
        <v>56</v>
      </c>
      <c r="E27" s="43"/>
      <c r="F27" s="43"/>
      <c r="G27" s="44"/>
      <c r="H27" s="33">
        <v>65.400000000000006</v>
      </c>
      <c r="I27" s="13">
        <f>SUM(H27)+3.1</f>
        <v>68.5</v>
      </c>
      <c r="J27" s="13">
        <f>SUM(I27)+3</f>
        <v>71.5</v>
      </c>
      <c r="K27" s="13"/>
      <c r="L27" s="13"/>
      <c r="M27" s="15"/>
    </row>
    <row r="28" spans="1:13" s="2" customFormat="1" ht="14.1" customHeight="1" x14ac:dyDescent="0.3">
      <c r="A28" s="35"/>
      <c r="B28" s="37" t="s">
        <v>57</v>
      </c>
      <c r="C28" s="38"/>
      <c r="D28" s="39" t="s">
        <v>84</v>
      </c>
      <c r="E28" s="40"/>
      <c r="F28" s="40"/>
      <c r="G28" s="41"/>
      <c r="H28" s="36"/>
      <c r="I28" s="21"/>
      <c r="J28" s="21"/>
      <c r="K28" s="21"/>
      <c r="L28" s="21"/>
      <c r="M28" s="22"/>
    </row>
    <row r="29" spans="1:13" s="2" customFormat="1" ht="14.1" customHeight="1" x14ac:dyDescent="0.3">
      <c r="A29" s="28">
        <v>14</v>
      </c>
      <c r="B29" s="30" t="s">
        <v>58</v>
      </c>
      <c r="C29" s="31"/>
      <c r="D29" s="42" t="s">
        <v>59</v>
      </c>
      <c r="E29" s="43"/>
      <c r="F29" s="43"/>
      <c r="G29" s="44"/>
      <c r="H29" s="33">
        <v>32</v>
      </c>
      <c r="I29" s="13">
        <f>SUM(H29)+1</f>
        <v>33</v>
      </c>
      <c r="J29" s="13">
        <f>SUM(I29)+1</f>
        <v>34</v>
      </c>
      <c r="K29" s="13"/>
      <c r="L29" s="13"/>
      <c r="M29" s="15"/>
    </row>
    <row r="30" spans="1:13" s="2" customFormat="1" ht="14.1" customHeight="1" x14ac:dyDescent="0.3">
      <c r="A30" s="35"/>
      <c r="B30" s="37" t="s">
        <v>60</v>
      </c>
      <c r="C30" s="38"/>
      <c r="D30" s="39" t="s">
        <v>83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82</v>
      </c>
      <c r="C31" s="31"/>
      <c r="D31" s="42" t="s">
        <v>80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81</v>
      </c>
      <c r="C32" s="38"/>
      <c r="D32" s="39" t="s">
        <v>80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79</v>
      </c>
      <c r="C33" s="31"/>
      <c r="D33" s="42" t="s">
        <v>78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77</v>
      </c>
      <c r="C34" s="38"/>
      <c r="D34" s="39" t="s">
        <v>122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76</v>
      </c>
      <c r="C35" s="31"/>
      <c r="D35" s="42" t="s">
        <v>96</v>
      </c>
      <c r="E35" s="43"/>
      <c r="F35" s="43"/>
      <c r="G35" s="44"/>
      <c r="H35" s="33">
        <v>6.5</v>
      </c>
      <c r="I35" s="13">
        <f>SUM(H35)+0.2</f>
        <v>6.7</v>
      </c>
      <c r="J35" s="13">
        <f>SUM(I35)+0.2</f>
        <v>6.9</v>
      </c>
      <c r="K35" s="89"/>
      <c r="L35" s="89"/>
      <c r="M35" s="90"/>
    </row>
    <row r="36" spans="1:13" s="2" customFormat="1" ht="14.1" customHeight="1" x14ac:dyDescent="0.3">
      <c r="A36" s="35"/>
      <c r="B36" s="37" t="s">
        <v>121</v>
      </c>
      <c r="C36" s="38"/>
      <c r="D36" s="39" t="s">
        <v>148</v>
      </c>
      <c r="E36" s="40"/>
      <c r="F36" s="40"/>
      <c r="G36" s="41"/>
      <c r="H36" s="36"/>
      <c r="I36" s="21"/>
      <c r="J36" s="21"/>
      <c r="K36" s="89"/>
      <c r="L36" s="89"/>
      <c r="M36" s="90"/>
    </row>
    <row r="37" spans="1:13" ht="14.1" customHeight="1" x14ac:dyDescent="0.3">
      <c r="A37" s="28">
        <v>18</v>
      </c>
      <c r="B37" s="30" t="s">
        <v>75</v>
      </c>
      <c r="C37" s="31"/>
      <c r="D37" s="42" t="s">
        <v>95</v>
      </c>
      <c r="E37" s="43"/>
      <c r="F37" s="43"/>
      <c r="G37" s="44"/>
      <c r="H37" s="33">
        <v>13.1</v>
      </c>
      <c r="I37" s="13">
        <f>SUM(H37)+0.6</f>
        <v>13.7</v>
      </c>
      <c r="J37" s="13">
        <f>SUM(I37)+0.6</f>
        <v>14.299999999999999</v>
      </c>
      <c r="K37" s="13"/>
      <c r="L37" s="13"/>
      <c r="M37" s="15"/>
    </row>
    <row r="38" spans="1:13" ht="14.1" customHeight="1" x14ac:dyDescent="0.3">
      <c r="A38" s="35"/>
      <c r="B38" s="37" t="s">
        <v>120</v>
      </c>
      <c r="C38" s="38"/>
      <c r="D38" s="39" t="s">
        <v>149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ht="14.1" customHeight="1" x14ac:dyDescent="0.3">
      <c r="A39" s="79">
        <v>19</v>
      </c>
      <c r="B39" s="30" t="s">
        <v>94</v>
      </c>
      <c r="C39" s="31"/>
      <c r="D39" s="32"/>
      <c r="E39" s="32"/>
      <c r="F39" s="32"/>
      <c r="G39" s="32"/>
      <c r="H39" s="33">
        <v>14</v>
      </c>
      <c r="I39" s="13">
        <f>SUM(H39)+0.5</f>
        <v>14.5</v>
      </c>
      <c r="J39" s="13">
        <f>SUM(I39)+0.5</f>
        <v>15</v>
      </c>
      <c r="K39" s="13"/>
      <c r="L39" s="13"/>
      <c r="M39" s="15"/>
    </row>
    <row r="40" spans="1:13" ht="14.1" customHeight="1" x14ac:dyDescent="0.3">
      <c r="A40" s="35"/>
      <c r="B40" s="23" t="s">
        <v>93</v>
      </c>
      <c r="C40" s="24"/>
      <c r="D40" s="25"/>
      <c r="E40" s="26"/>
      <c r="F40" s="26"/>
      <c r="G40" s="27"/>
      <c r="H40" s="36"/>
      <c r="I40" s="21"/>
      <c r="J40" s="21"/>
      <c r="K40" s="21"/>
      <c r="L40" s="21"/>
      <c r="M40" s="22"/>
    </row>
    <row r="41" spans="1:13" ht="14.1" customHeight="1" x14ac:dyDescent="0.3">
      <c r="A41" s="79">
        <v>20</v>
      </c>
      <c r="B41" s="30" t="s">
        <v>92</v>
      </c>
      <c r="C41" s="31"/>
      <c r="D41" s="32"/>
      <c r="E41" s="32"/>
      <c r="F41" s="32"/>
      <c r="G41" s="32"/>
      <c r="H41" s="33">
        <v>14</v>
      </c>
      <c r="I41" s="13">
        <f>SUM(H41)+0.5</f>
        <v>14.5</v>
      </c>
      <c r="J41" s="13">
        <f>SUM(I41)+0.5</f>
        <v>15</v>
      </c>
      <c r="K41" s="13"/>
      <c r="L41" s="13"/>
      <c r="M41" s="15"/>
    </row>
    <row r="42" spans="1:13" ht="14.1" customHeight="1" x14ac:dyDescent="0.3">
      <c r="A42" s="35"/>
      <c r="B42" s="46" t="s">
        <v>91</v>
      </c>
      <c r="C42" s="46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79">
        <v>21</v>
      </c>
      <c r="B43" s="54" t="s">
        <v>296</v>
      </c>
      <c r="C43" s="55"/>
      <c r="D43" s="86"/>
      <c r="E43" s="87"/>
      <c r="F43" s="87"/>
      <c r="G43" s="88"/>
      <c r="H43" s="33">
        <v>100</v>
      </c>
      <c r="I43" s="13">
        <f>SUM(H43)+2.5</f>
        <v>102.5</v>
      </c>
      <c r="J43" s="13">
        <f>SUM(I43)+2.5</f>
        <v>105</v>
      </c>
      <c r="K43" s="60"/>
      <c r="L43" s="60"/>
      <c r="M43" s="61"/>
    </row>
    <row r="44" spans="1:13" s="2" customFormat="1" ht="14.1" customHeight="1" x14ac:dyDescent="0.3">
      <c r="A44" s="35"/>
      <c r="B44" s="23" t="s">
        <v>297</v>
      </c>
      <c r="C44" s="24"/>
      <c r="D44" s="25" t="s">
        <v>298</v>
      </c>
      <c r="E44" s="26"/>
      <c r="F44" s="26"/>
      <c r="G44" s="27"/>
      <c r="H44" s="36"/>
      <c r="I44" s="21"/>
      <c r="J44" s="21"/>
      <c r="K44" s="21"/>
      <c r="L44" s="21"/>
      <c r="M44" s="22"/>
    </row>
    <row r="45" spans="1:13" s="2" customFormat="1" ht="14.1" customHeight="1" x14ac:dyDescent="0.3">
      <c r="A45" s="79">
        <v>22</v>
      </c>
      <c r="B45" s="30"/>
      <c r="C45" s="31"/>
      <c r="D45" s="83"/>
      <c r="E45" s="84"/>
      <c r="F45" s="84"/>
      <c r="G45" s="85"/>
      <c r="H45" s="33"/>
      <c r="I45" s="13"/>
      <c r="J45" s="13"/>
      <c r="K45" s="13"/>
      <c r="L45" s="13"/>
      <c r="M45" s="15"/>
    </row>
    <row r="46" spans="1:13" s="2" customFormat="1" ht="14.1" customHeight="1" thickBot="1" x14ac:dyDescent="0.35">
      <c r="A46" s="29"/>
      <c r="B46" s="81"/>
      <c r="C46" s="82"/>
      <c r="D46" s="18"/>
      <c r="E46" s="19"/>
      <c r="F46" s="19"/>
      <c r="G46" s="20"/>
      <c r="H46" s="34"/>
      <c r="I46" s="14"/>
      <c r="J46" s="14"/>
      <c r="K46" s="14"/>
      <c r="L46" s="14"/>
      <c r="M46" s="16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K45:K46"/>
    <mergeCell ref="L45:L46"/>
    <mergeCell ref="M45:M46"/>
    <mergeCell ref="B46:C46"/>
    <mergeCell ref="D46:G46"/>
    <mergeCell ref="A1:M1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DDDA-5679-4123-8452-1D30AEEB2AFE}">
  <sheetPr>
    <tabColor rgb="FF00B0F0"/>
    <pageSetUpPr fitToPage="1"/>
  </sheetPr>
  <dimension ref="A1:M55"/>
  <sheetViews>
    <sheetView zoomScale="110" zoomScaleNormal="110" workbookViewId="0">
      <selection activeCell="J9" sqref="J9:J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30</v>
      </c>
      <c r="I5" s="60">
        <f>SUM(H5)+2.25</f>
        <v>32.25</v>
      </c>
      <c r="J5" s="60">
        <f>SUM(I5)+2.25</f>
        <v>34.5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34</v>
      </c>
      <c r="I7" s="60">
        <f>SUM(H7)+0.25</f>
        <v>34.25</v>
      </c>
      <c r="J7" s="60">
        <f>SUM(I7)+0.25</f>
        <v>34.5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52</v>
      </c>
      <c r="I9" s="60">
        <f>SUM(H9)+1.3</f>
        <v>53.3</v>
      </c>
      <c r="J9" s="60">
        <f>SUM(I9)+1.3</f>
        <v>54.599999999999994</v>
      </c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274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80</v>
      </c>
      <c r="I11" s="60">
        <f>SUM(H11)+4.5</f>
        <v>84.5</v>
      </c>
      <c r="J11" s="60">
        <f>SUM(I11)+4.5</f>
        <v>89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94</v>
      </c>
      <c r="I13" s="13">
        <f>SUM(H13)+5</f>
        <v>99</v>
      </c>
      <c r="J13" s="13">
        <f>SUM(I13)+5</f>
        <v>104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18</v>
      </c>
      <c r="I15" s="13">
        <f>SUM(H15)+0.7</f>
        <v>18.7</v>
      </c>
      <c r="J15" s="13">
        <f>SUM(I15)+0.7</f>
        <v>19.399999999999999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275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18</v>
      </c>
      <c r="I17" s="49">
        <f>SUM(H17)+0.7</f>
        <v>18.7</v>
      </c>
      <c r="J17" s="49">
        <f>SUM(I17)+0.7</f>
        <v>19.399999999999999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276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57</v>
      </c>
      <c r="I21" s="13">
        <f>SUM(H21)+2</f>
        <v>59</v>
      </c>
      <c r="J21" s="13">
        <f>SUM(I21)+2</f>
        <v>61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60</v>
      </c>
      <c r="I23" s="13">
        <f>SUM(H23)+2.4</f>
        <v>62.4</v>
      </c>
      <c r="J23" s="13">
        <f>SUM(I23)+2.4</f>
        <v>64.8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29</v>
      </c>
      <c r="I25" s="13">
        <f>SUM(H25)+1.1</f>
        <v>30.1</v>
      </c>
      <c r="J25" s="13">
        <f>SUM(I25)+1.1</f>
        <v>31.200000000000003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38</v>
      </c>
      <c r="I27" s="13">
        <f>SUM(H27)+1.3</f>
        <v>39.299999999999997</v>
      </c>
      <c r="J27" s="13">
        <f>SUM(I27)+1.3</f>
        <v>40.599999999999994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>
        <v>61</v>
      </c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>
        <v>29</v>
      </c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4</v>
      </c>
      <c r="I37" s="13">
        <f>SUM(H37)+0.6</f>
        <v>4.5999999999999996</v>
      </c>
      <c r="J37" s="13">
        <f>SUM(I37)+0.6</f>
        <v>5.1999999999999993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12</v>
      </c>
      <c r="I39" s="13">
        <f>SUM(H39)+0.2</f>
        <v>12.2</v>
      </c>
      <c r="J39" s="13">
        <f>SUM(I39)+0.2</f>
        <v>12.399999999999999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54" t="s">
        <v>94</v>
      </c>
      <c r="C41" s="55"/>
      <c r="D41" s="78"/>
      <c r="E41" s="78"/>
      <c r="F41" s="78"/>
      <c r="G41" s="78"/>
      <c r="H41" s="59">
        <v>13.5</v>
      </c>
      <c r="I41" s="60">
        <f>SUM(H41)+0.5</f>
        <v>14</v>
      </c>
      <c r="J41" s="60">
        <f>SUM(I41)+0.5</f>
        <v>14.5</v>
      </c>
      <c r="K41" s="13"/>
      <c r="L41" s="13"/>
      <c r="M41" s="15"/>
    </row>
    <row r="42" spans="1:13" s="2" customFormat="1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79">
        <v>21</v>
      </c>
      <c r="B43" s="30" t="s">
        <v>92</v>
      </c>
      <c r="C43" s="31"/>
      <c r="D43" s="32"/>
      <c r="E43" s="32"/>
      <c r="F43" s="32"/>
      <c r="G43" s="32"/>
      <c r="H43" s="33">
        <v>14.5</v>
      </c>
      <c r="I43" s="13">
        <f>SUM(H43)+0.5</f>
        <v>15</v>
      </c>
      <c r="J43" s="13">
        <f>SUM(I43)+0.5</f>
        <v>15.5</v>
      </c>
      <c r="K43" s="13"/>
      <c r="L43" s="13"/>
      <c r="M43" s="15"/>
    </row>
    <row r="44" spans="1:13" s="2" customFormat="1" ht="14.1" customHeight="1" x14ac:dyDescent="0.3">
      <c r="A44" s="35"/>
      <c r="B44" s="46" t="s">
        <v>91</v>
      </c>
      <c r="C44" s="46"/>
      <c r="D44" s="25"/>
      <c r="E44" s="26"/>
      <c r="F44" s="26"/>
      <c r="G44" s="27"/>
      <c r="H44" s="36"/>
      <c r="I44" s="21"/>
      <c r="J44" s="21"/>
      <c r="K44" s="21"/>
      <c r="L44" s="21"/>
      <c r="M44" s="22"/>
    </row>
    <row r="45" spans="1:13" s="2" customFormat="1" ht="14.1" customHeight="1" x14ac:dyDescent="0.3">
      <c r="A45" s="28">
        <v>22</v>
      </c>
      <c r="B45" s="54"/>
      <c r="C45" s="55"/>
      <c r="D45" s="78"/>
      <c r="E45" s="78"/>
      <c r="F45" s="78"/>
      <c r="G45" s="78"/>
      <c r="H45" s="59"/>
      <c r="I45" s="60"/>
      <c r="J45" s="60"/>
      <c r="K45" s="60"/>
      <c r="L45" s="60"/>
      <c r="M45" s="61"/>
    </row>
    <row r="46" spans="1:13" s="2" customFormat="1" ht="14.1" customHeight="1" x14ac:dyDescent="0.3">
      <c r="A46" s="35"/>
      <c r="B46" s="23"/>
      <c r="C46" s="24"/>
      <c r="D46" s="25"/>
      <c r="E46" s="26"/>
      <c r="F46" s="26"/>
      <c r="G46" s="27"/>
      <c r="H46" s="36"/>
      <c r="I46" s="21"/>
      <c r="J46" s="21"/>
      <c r="K46" s="21"/>
      <c r="L46" s="21"/>
      <c r="M46" s="22"/>
    </row>
    <row r="47" spans="1:13" s="2" customFormat="1" ht="14.1" customHeight="1" x14ac:dyDescent="0.3">
      <c r="A47" s="28">
        <v>23</v>
      </c>
      <c r="B47" s="30"/>
      <c r="C47" s="31"/>
      <c r="D47" s="32"/>
      <c r="E47" s="32"/>
      <c r="F47" s="32"/>
      <c r="G47" s="32"/>
      <c r="H47" s="33"/>
      <c r="I47" s="13"/>
      <c r="J47" s="13"/>
      <c r="K47" s="13"/>
      <c r="L47" s="13"/>
      <c r="M47" s="15"/>
    </row>
    <row r="48" spans="1:13" s="2" customFormat="1" ht="14.1" customHeight="1" thickBot="1" x14ac:dyDescent="0.35">
      <c r="A48" s="29"/>
      <c r="B48" s="17"/>
      <c r="C48" s="17"/>
      <c r="D48" s="18"/>
      <c r="E48" s="19"/>
      <c r="F48" s="19"/>
      <c r="G48" s="20"/>
      <c r="H48" s="34"/>
      <c r="I48" s="14"/>
      <c r="J48" s="14"/>
      <c r="K48" s="14"/>
      <c r="L48" s="14"/>
      <c r="M48" s="16"/>
    </row>
    <row r="49" spans="1:13" s="2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2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2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2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EDA8-343F-470F-864F-A8A21635A743}">
  <sheetPr>
    <tabColor rgb="FF00B0F0"/>
    <pageSetUpPr fitToPage="1"/>
  </sheetPr>
  <dimension ref="A1:M54"/>
  <sheetViews>
    <sheetView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339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6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/>
      <c r="I5" s="60"/>
      <c r="J5" s="60"/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/>
      <c r="I7" s="60"/>
      <c r="J7" s="60"/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/>
      <c r="I9" s="60"/>
      <c r="J9" s="60"/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/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102</v>
      </c>
      <c r="I11" s="60">
        <f>SUM(H11)+4.5</f>
        <v>106.5</v>
      </c>
      <c r="J11" s="60">
        <f>SUM(I11)+4.5</f>
        <v>111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105.7</v>
      </c>
      <c r="I13" s="13">
        <f>SUM(H13)+5</f>
        <v>110.7</v>
      </c>
      <c r="J13" s="13">
        <f>SUM(I13)+5</f>
        <v>115.7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18.600000000000001</v>
      </c>
      <c r="I15" s="13">
        <f>SUM(H15)+0.7</f>
        <v>19.3</v>
      </c>
      <c r="J15" s="13">
        <f>SUM(I15)+0.7</f>
        <v>20</v>
      </c>
      <c r="K15" s="13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111</v>
      </c>
      <c r="E16" s="52"/>
      <c r="F16" s="52"/>
      <c r="G16" s="53"/>
      <c r="H16" s="36"/>
      <c r="I16" s="21"/>
      <c r="J16" s="21"/>
      <c r="K16" s="21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/>
      <c r="I17" s="49"/>
      <c r="J17" s="49"/>
      <c r="K17" s="13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21"/>
      <c r="L18" s="46"/>
      <c r="M18" s="48"/>
    </row>
    <row r="19" spans="1:13" s="2" customFormat="1" ht="14.1" customHeight="1" x14ac:dyDescent="0.3">
      <c r="A19" s="28">
        <v>9</v>
      </c>
      <c r="B19" s="30" t="s">
        <v>46</v>
      </c>
      <c r="C19" s="31"/>
      <c r="D19" s="42" t="s">
        <v>87</v>
      </c>
      <c r="E19" s="43"/>
      <c r="F19" s="43"/>
      <c r="G19" s="44"/>
      <c r="H19" s="33">
        <v>93.4</v>
      </c>
      <c r="I19" s="13">
        <f>SUM(H19)+4</f>
        <v>97.4</v>
      </c>
      <c r="J19" s="13">
        <f>SUM(I19)+4</f>
        <v>101.4</v>
      </c>
      <c r="K19" s="13"/>
      <c r="L19" s="13"/>
      <c r="M19" s="15"/>
    </row>
    <row r="20" spans="1:13" s="2" customFormat="1" ht="14.1" customHeight="1" x14ac:dyDescent="0.3">
      <c r="A20" s="35"/>
      <c r="B20" s="37" t="s">
        <v>47</v>
      </c>
      <c r="C20" s="38"/>
      <c r="D20" s="39" t="s">
        <v>86</v>
      </c>
      <c r="E20" s="40"/>
      <c r="F20" s="40"/>
      <c r="G20" s="41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48</v>
      </c>
      <c r="C21" s="31"/>
      <c r="D21" s="42" t="s">
        <v>97</v>
      </c>
      <c r="E21" s="43"/>
      <c r="F21" s="43"/>
      <c r="G21" s="44"/>
      <c r="H21" s="33">
        <v>52</v>
      </c>
      <c r="I21" s="13">
        <f>SUM(H21)+2.2</f>
        <v>54.2</v>
      </c>
      <c r="J21" s="13">
        <f>SUM(I21)+2.2</f>
        <v>56.400000000000006</v>
      </c>
      <c r="K21" s="13"/>
      <c r="L21" s="13"/>
      <c r="M21" s="15"/>
    </row>
    <row r="22" spans="1:13" s="2" customFormat="1" ht="14.1" customHeight="1" x14ac:dyDescent="0.3">
      <c r="A22" s="35"/>
      <c r="B22" s="37" t="s">
        <v>49</v>
      </c>
      <c r="C22" s="38"/>
      <c r="D22" s="25" t="s">
        <v>102</v>
      </c>
      <c r="E22" s="26"/>
      <c r="F22" s="26"/>
      <c r="G22" s="27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345</v>
      </c>
      <c r="C23" s="31"/>
      <c r="D23" s="42"/>
      <c r="E23" s="43"/>
      <c r="F23" s="43"/>
      <c r="G23" s="44"/>
      <c r="H23" s="33">
        <v>64</v>
      </c>
      <c r="I23" s="13">
        <f>SUM(H23)+2.2</f>
        <v>66.2</v>
      </c>
      <c r="J23" s="13">
        <f>SUM(I23)+2.2</f>
        <v>68.400000000000006</v>
      </c>
      <c r="K23" s="13"/>
      <c r="L23" s="13"/>
      <c r="M23" s="15"/>
    </row>
    <row r="24" spans="1:13" s="2" customFormat="1" ht="14.1" customHeight="1" x14ac:dyDescent="0.3">
      <c r="A24" s="35"/>
      <c r="B24" s="23" t="s">
        <v>346</v>
      </c>
      <c r="C24" s="24"/>
      <c r="D24" s="25" t="s">
        <v>344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30.6</v>
      </c>
      <c r="I25" s="13">
        <f>SUM(H25)+1.1</f>
        <v>31.700000000000003</v>
      </c>
      <c r="J25" s="13">
        <f>SUM(I25)+1.1</f>
        <v>32.800000000000004</v>
      </c>
      <c r="K25" s="13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21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40.9</v>
      </c>
      <c r="I27" s="13">
        <f>SUM(H27)+1.3</f>
        <v>42.199999999999996</v>
      </c>
      <c r="J27" s="13">
        <f>SUM(I27)+1.3</f>
        <v>43.499999999999993</v>
      </c>
      <c r="K27" s="13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21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>
        <v>67.5</v>
      </c>
      <c r="I29" s="13">
        <f>SUM(H29)+3</f>
        <v>70.5</v>
      </c>
      <c r="J29" s="13">
        <f>SUM(I29)+3</f>
        <v>73.5</v>
      </c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>
        <v>64.900000000000006</v>
      </c>
      <c r="I31" s="13">
        <f>SUM(H31)+3</f>
        <v>67.900000000000006</v>
      </c>
      <c r="J31" s="13">
        <f>SUM(I31)+3</f>
        <v>70.900000000000006</v>
      </c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6.3</v>
      </c>
      <c r="I37" s="13">
        <f>SUM(H37)+0.2</f>
        <v>6.5</v>
      </c>
      <c r="J37" s="13">
        <f>SUM(I37)+0.2</f>
        <v>6.7</v>
      </c>
      <c r="K37" s="89"/>
      <c r="L37" s="89"/>
      <c r="M37" s="90"/>
    </row>
    <row r="38" spans="1:13" ht="14.1" customHeight="1" x14ac:dyDescent="0.3">
      <c r="A38" s="35"/>
      <c r="B38" s="37" t="s">
        <v>121</v>
      </c>
      <c r="C38" s="38"/>
      <c r="D38" s="39" t="s">
        <v>341</v>
      </c>
      <c r="E38" s="40"/>
      <c r="F38" s="40"/>
      <c r="G38" s="41"/>
      <c r="H38" s="36"/>
      <c r="I38" s="21"/>
      <c r="J38" s="21"/>
      <c r="K38" s="89"/>
      <c r="L38" s="89"/>
      <c r="M38" s="90"/>
    </row>
    <row r="39" spans="1:13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12.7</v>
      </c>
      <c r="I39" s="13">
        <f>SUM(H39)+0.6</f>
        <v>13.299999999999999</v>
      </c>
      <c r="J39" s="13">
        <f>SUM(I39)+0.6</f>
        <v>13.899999999999999</v>
      </c>
      <c r="K39" s="13"/>
      <c r="L39" s="13"/>
      <c r="M39" s="15"/>
    </row>
    <row r="40" spans="1:13" ht="14.1" customHeight="1" x14ac:dyDescent="0.3">
      <c r="A40" s="35"/>
      <c r="B40" s="37" t="s">
        <v>120</v>
      </c>
      <c r="C40" s="38"/>
      <c r="D40" s="39" t="s">
        <v>342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ht="14.1" customHeight="1" x14ac:dyDescent="0.3">
      <c r="A41" s="28">
        <v>20</v>
      </c>
      <c r="B41" s="30" t="s">
        <v>94</v>
      </c>
      <c r="C41" s="31"/>
      <c r="D41" s="32"/>
      <c r="E41" s="32"/>
      <c r="F41" s="32"/>
      <c r="G41" s="32"/>
      <c r="H41" s="33">
        <v>13</v>
      </c>
      <c r="I41" s="13">
        <f>SUM(H41)+0.6</f>
        <v>13.6</v>
      </c>
      <c r="J41" s="13">
        <f>SUM(I41)+0.6</f>
        <v>14.2</v>
      </c>
      <c r="K41" s="13"/>
      <c r="L41" s="13"/>
      <c r="M41" s="15"/>
    </row>
    <row r="42" spans="1:13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28">
        <v>21</v>
      </c>
      <c r="B43" s="30" t="s">
        <v>92</v>
      </c>
      <c r="C43" s="31"/>
      <c r="D43" s="32"/>
      <c r="E43" s="32"/>
      <c r="F43" s="32"/>
      <c r="G43" s="32"/>
      <c r="H43" s="33">
        <v>14</v>
      </c>
      <c r="I43" s="13">
        <f>SUM(H43)+0.6</f>
        <v>14.6</v>
      </c>
      <c r="J43" s="13">
        <f>SUM(I43)+0.6</f>
        <v>15.2</v>
      </c>
      <c r="K43" s="13"/>
      <c r="L43" s="13"/>
      <c r="M43" s="15"/>
    </row>
    <row r="44" spans="1:13" s="2" customFormat="1" ht="14.1" customHeight="1" x14ac:dyDescent="0.3">
      <c r="A44" s="35"/>
      <c r="B44" s="46" t="s">
        <v>343</v>
      </c>
      <c r="C44" s="46"/>
      <c r="D44" s="25"/>
      <c r="E44" s="26"/>
      <c r="F44" s="26"/>
      <c r="G44" s="27"/>
      <c r="H44" s="36"/>
      <c r="I44" s="21"/>
      <c r="J44" s="21"/>
      <c r="K44" s="21"/>
      <c r="L44" s="21"/>
      <c r="M44" s="22"/>
    </row>
    <row r="45" spans="1:13" s="2" customFormat="1" ht="14.1" customHeight="1" x14ac:dyDescent="0.3">
      <c r="A45" s="28">
        <v>22</v>
      </c>
      <c r="B45" s="30" t="s">
        <v>241</v>
      </c>
      <c r="C45" s="31"/>
      <c r="D45" s="32"/>
      <c r="E45" s="32"/>
      <c r="F45" s="32"/>
      <c r="G45" s="32"/>
      <c r="H45" s="33">
        <v>14</v>
      </c>
      <c r="I45" s="13">
        <f>SUM(H45)+0.6</f>
        <v>14.6</v>
      </c>
      <c r="J45" s="13">
        <f>SUM(I45)+0.6</f>
        <v>15.2</v>
      </c>
      <c r="K45" s="13"/>
      <c r="L45" s="13"/>
      <c r="M45" s="15"/>
    </row>
    <row r="46" spans="1:13" s="2" customFormat="1" ht="14.1" customHeight="1" x14ac:dyDescent="0.3">
      <c r="A46" s="35"/>
      <c r="B46" s="23" t="s">
        <v>242</v>
      </c>
      <c r="C46" s="24"/>
      <c r="D46" s="25"/>
      <c r="E46" s="26"/>
      <c r="F46" s="26"/>
      <c r="G46" s="27"/>
      <c r="H46" s="36"/>
      <c r="I46" s="21"/>
      <c r="J46" s="21"/>
      <c r="K46" s="21"/>
      <c r="L46" s="21"/>
      <c r="M46" s="22"/>
    </row>
    <row r="47" spans="1:13" ht="14.1" customHeight="1" x14ac:dyDescent="0.3">
      <c r="A47" s="28">
        <v>23</v>
      </c>
      <c r="B47" s="30" t="s">
        <v>243</v>
      </c>
      <c r="C47" s="31"/>
      <c r="D47" s="32"/>
      <c r="E47" s="32"/>
      <c r="F47" s="32"/>
      <c r="G47" s="32"/>
      <c r="H47" s="33">
        <v>4</v>
      </c>
      <c r="I47" s="13">
        <f>SUM(H47)+0.2</f>
        <v>4.2</v>
      </c>
      <c r="J47" s="13">
        <f>SUM(I47)+0.2</f>
        <v>4.4000000000000004</v>
      </c>
      <c r="K47" s="13"/>
      <c r="L47" s="13"/>
      <c r="M47" s="15"/>
    </row>
    <row r="48" spans="1:13" ht="14.1" customHeight="1" x14ac:dyDescent="0.3">
      <c r="A48" s="35"/>
      <c r="B48" s="80" t="s">
        <v>244</v>
      </c>
      <c r="C48" s="80"/>
      <c r="D48" s="56"/>
      <c r="E48" s="57"/>
      <c r="F48" s="57"/>
      <c r="G48" s="58"/>
      <c r="H48" s="36"/>
      <c r="I48" s="21"/>
      <c r="J48" s="21"/>
      <c r="K48" s="21"/>
      <c r="L48" s="21"/>
      <c r="M48" s="22"/>
    </row>
    <row r="49" spans="1:13" ht="14.1" customHeight="1" x14ac:dyDescent="0.3">
      <c r="A49" s="28">
        <v>24</v>
      </c>
      <c r="B49" s="30" t="s">
        <v>245</v>
      </c>
      <c r="C49" s="31"/>
      <c r="D49" s="32"/>
      <c r="E49" s="32"/>
      <c r="F49" s="32"/>
      <c r="G49" s="32"/>
      <c r="H49" s="33">
        <v>13</v>
      </c>
      <c r="I49" s="13">
        <f>SUM(H49)+0.6</f>
        <v>13.6</v>
      </c>
      <c r="J49" s="13">
        <f>SUM(I49)+0.6</f>
        <v>14.2</v>
      </c>
      <c r="K49" s="13"/>
      <c r="L49" s="13"/>
      <c r="M49" s="15"/>
    </row>
    <row r="50" spans="1:13" ht="14.1" customHeight="1" x14ac:dyDescent="0.3">
      <c r="A50" s="35"/>
      <c r="B50" s="23" t="s">
        <v>247</v>
      </c>
      <c r="C50" s="24"/>
      <c r="D50" s="25"/>
      <c r="E50" s="26"/>
      <c r="F50" s="26"/>
      <c r="G50" s="27"/>
      <c r="H50" s="36"/>
      <c r="I50" s="21"/>
      <c r="J50" s="21"/>
      <c r="K50" s="21"/>
      <c r="L50" s="21"/>
      <c r="M50" s="22"/>
    </row>
    <row r="51" spans="1:13" ht="14.1" customHeight="1" x14ac:dyDescent="0.3">
      <c r="A51" s="28">
        <v>25</v>
      </c>
      <c r="B51" s="30" t="s">
        <v>246</v>
      </c>
      <c r="C51" s="31"/>
      <c r="D51" s="32"/>
      <c r="E51" s="32"/>
      <c r="F51" s="32"/>
      <c r="G51" s="32"/>
      <c r="H51" s="33">
        <v>13</v>
      </c>
      <c r="I51" s="13">
        <f>SUM(H51)+0.6</f>
        <v>13.6</v>
      </c>
      <c r="J51" s="13">
        <f>SUM(I51)+0.6</f>
        <v>14.2</v>
      </c>
      <c r="K51" s="13"/>
      <c r="L51" s="13"/>
      <c r="M51" s="15"/>
    </row>
    <row r="52" spans="1:13" ht="13.5" customHeight="1" x14ac:dyDescent="0.3">
      <c r="A52" s="35"/>
      <c r="B52" s="46" t="s">
        <v>248</v>
      </c>
      <c r="C52" s="46"/>
      <c r="D52" s="25"/>
      <c r="E52" s="26"/>
      <c r="F52" s="26"/>
      <c r="G52" s="27"/>
      <c r="H52" s="36"/>
      <c r="I52" s="21"/>
      <c r="J52" s="21"/>
      <c r="K52" s="21"/>
      <c r="L52" s="21"/>
      <c r="M52" s="22"/>
    </row>
    <row r="53" spans="1:13" ht="13.5" customHeight="1" x14ac:dyDescent="0.3">
      <c r="A53" s="28">
        <v>26</v>
      </c>
      <c r="B53" s="54" t="s">
        <v>296</v>
      </c>
      <c r="C53" s="55"/>
      <c r="D53" s="86"/>
      <c r="E53" s="87"/>
      <c r="F53" s="87"/>
      <c r="G53" s="88"/>
      <c r="H53" s="33">
        <v>104</v>
      </c>
      <c r="I53" s="13">
        <f>SUM(H53)+2.5</f>
        <v>106.5</v>
      </c>
      <c r="J53" s="13">
        <f>SUM(I53)+2.5</f>
        <v>109</v>
      </c>
      <c r="K53" s="60"/>
      <c r="L53" s="60"/>
      <c r="M53" s="61"/>
    </row>
    <row r="54" spans="1:13" ht="13.5" customHeight="1" thickBot="1" x14ac:dyDescent="0.35">
      <c r="A54" s="29"/>
      <c r="B54" s="81" t="s">
        <v>297</v>
      </c>
      <c r="C54" s="82"/>
      <c r="D54" s="18" t="s">
        <v>340</v>
      </c>
      <c r="E54" s="19"/>
      <c r="F54" s="19"/>
      <c r="G54" s="20"/>
      <c r="H54" s="34"/>
      <c r="I54" s="14"/>
      <c r="J54" s="14"/>
      <c r="K54" s="14"/>
      <c r="L54" s="14"/>
      <c r="M54" s="16"/>
    </row>
  </sheetData>
  <mergeCells count="289"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I47:I48"/>
    <mergeCell ref="J47:J48"/>
    <mergeCell ref="K47:K48"/>
    <mergeCell ref="L47:L48"/>
    <mergeCell ref="M47:M48"/>
    <mergeCell ref="B48:C48"/>
    <mergeCell ref="D48:G48"/>
    <mergeCell ref="A53:A54"/>
    <mergeCell ref="B53:C53"/>
    <mergeCell ref="D53:G53"/>
    <mergeCell ref="H53:H54"/>
    <mergeCell ref="I53:I54"/>
    <mergeCell ref="J53:J54"/>
    <mergeCell ref="K53:K54"/>
    <mergeCell ref="L53:L54"/>
    <mergeCell ref="M53:M54"/>
    <mergeCell ref="B54:C54"/>
    <mergeCell ref="D54:G5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51:A52"/>
    <mergeCell ref="B51:C51"/>
    <mergeCell ref="D51:G51"/>
    <mergeCell ref="H51:H52"/>
    <mergeCell ref="I51:I52"/>
    <mergeCell ref="B52:C52"/>
    <mergeCell ref="D52:G52"/>
    <mergeCell ref="K43:K44"/>
    <mergeCell ref="L43:L44"/>
    <mergeCell ref="A49:A50"/>
    <mergeCell ref="A43:A44"/>
    <mergeCell ref="B43:C43"/>
    <mergeCell ref="D43:G43"/>
    <mergeCell ref="H43:H44"/>
    <mergeCell ref="I43:I44"/>
    <mergeCell ref="A45:A46"/>
    <mergeCell ref="B45:C45"/>
    <mergeCell ref="D45:G45"/>
    <mergeCell ref="H45:H46"/>
    <mergeCell ref="I45:I46"/>
    <mergeCell ref="B46:C46"/>
    <mergeCell ref="D46:G46"/>
    <mergeCell ref="A47:A48"/>
    <mergeCell ref="B47:C47"/>
    <mergeCell ref="M43:M44"/>
    <mergeCell ref="B44:C44"/>
    <mergeCell ref="D44:G44"/>
    <mergeCell ref="J43:J44"/>
    <mergeCell ref="J45:J46"/>
    <mergeCell ref="K45:K46"/>
    <mergeCell ref="L45:L46"/>
    <mergeCell ref="M45:M46"/>
    <mergeCell ref="J51:J52"/>
    <mergeCell ref="K51:K52"/>
    <mergeCell ref="L51:L52"/>
    <mergeCell ref="M51:M52"/>
    <mergeCell ref="B49:C49"/>
    <mergeCell ref="D49:G49"/>
    <mergeCell ref="H49:H50"/>
    <mergeCell ref="I49:I50"/>
    <mergeCell ref="J49:J50"/>
    <mergeCell ref="K49:K50"/>
    <mergeCell ref="L49:L50"/>
    <mergeCell ref="M49:M50"/>
    <mergeCell ref="B50:C50"/>
    <mergeCell ref="D50:G50"/>
    <mergeCell ref="D47:G47"/>
    <mergeCell ref="H47:H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C1E3-D60D-43AA-8D8D-3AF8AA19202D}">
  <sheetPr>
    <tabColor rgb="FF00B0F0"/>
    <pageSetUpPr fitToPage="1"/>
  </sheetPr>
  <dimension ref="A1:M55"/>
  <sheetViews>
    <sheetView topLeftCell="A4" zoomScale="110" zoomScaleNormal="110" workbookViewId="0">
      <selection activeCell="J9" sqref="J9:J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30</v>
      </c>
      <c r="I5" s="60">
        <f>SUM(H5)+2.25</f>
        <v>32.25</v>
      </c>
      <c r="J5" s="60">
        <f>SUM(I5)+2.25</f>
        <v>34.5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34</v>
      </c>
      <c r="I7" s="60">
        <f>SUM(H7)+0.25</f>
        <v>34.25</v>
      </c>
      <c r="J7" s="60">
        <f>SUM(I7)+0.25</f>
        <v>34.5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52</v>
      </c>
      <c r="I9" s="60">
        <f>SUM(H9)+1.3</f>
        <v>53.3</v>
      </c>
      <c r="J9" s="60">
        <f>SUM(I9)+1.3</f>
        <v>54.599999999999994</v>
      </c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272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78</v>
      </c>
      <c r="I11" s="60">
        <f>SUM(H11)+4.5</f>
        <v>82.5</v>
      </c>
      <c r="J11" s="60">
        <f>SUM(I11)+4.5</f>
        <v>87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90</v>
      </c>
      <c r="I13" s="13">
        <f>SUM(H13)+5</f>
        <v>95</v>
      </c>
      <c r="J13" s="13">
        <f>SUM(I13)+5</f>
        <v>100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14</v>
      </c>
      <c r="I15" s="13">
        <f>SUM(H15)+0.7</f>
        <v>14.7</v>
      </c>
      <c r="J15" s="13">
        <f>SUM(I15)+0.7</f>
        <v>15.399999999999999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153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14</v>
      </c>
      <c r="I17" s="49">
        <f>SUM(H17)+0.7</f>
        <v>14.7</v>
      </c>
      <c r="J17" s="49">
        <f>SUM(I17)+0.7</f>
        <v>15.399999999999999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33</v>
      </c>
      <c r="I21" s="13">
        <f>SUM(H21)+1.5</f>
        <v>34.5</v>
      </c>
      <c r="J21" s="13">
        <f>SUM(I21)+1.5</f>
        <v>36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56</v>
      </c>
      <c r="I23" s="13">
        <f>SUM(H23)+2.8</f>
        <v>58.8</v>
      </c>
      <c r="J23" s="13">
        <f>SUM(I23)+2.8</f>
        <v>61.599999999999994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28</v>
      </c>
      <c r="I25" s="13">
        <f>SUM(H25)+1.1</f>
        <v>29.1</v>
      </c>
      <c r="J25" s="13">
        <f>SUM(I25)+1.1</f>
        <v>30.200000000000003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35.5</v>
      </c>
      <c r="I27" s="13">
        <f>SUM(H27)+1.3</f>
        <v>36.799999999999997</v>
      </c>
      <c r="J27" s="13">
        <f>SUM(I27)+1.3</f>
        <v>38.099999999999994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/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4.5</v>
      </c>
      <c r="I37" s="13">
        <f>SUM(H37)+0.3</f>
        <v>4.8</v>
      </c>
      <c r="J37" s="13">
        <f>SUM(I37)+0.3</f>
        <v>5.0999999999999996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12</v>
      </c>
      <c r="I39" s="13">
        <f>SUM(H39)+0.6</f>
        <v>12.6</v>
      </c>
      <c r="J39" s="13">
        <f>SUM(I39)+0.6</f>
        <v>13.2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30" t="s">
        <v>94</v>
      </c>
      <c r="C41" s="31"/>
      <c r="D41" s="32"/>
      <c r="E41" s="32"/>
      <c r="F41" s="32"/>
      <c r="G41" s="32"/>
      <c r="H41" s="33">
        <v>12.5</v>
      </c>
      <c r="I41" s="13">
        <f>SUM(H41)+0.5</f>
        <v>13</v>
      </c>
      <c r="J41" s="13">
        <f>SUM(I41)+0.5</f>
        <v>13.5</v>
      </c>
      <c r="K41" s="13"/>
      <c r="L41" s="13"/>
      <c r="M41" s="15"/>
    </row>
    <row r="42" spans="1:13" s="2" customFormat="1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28">
        <v>21</v>
      </c>
      <c r="B43" s="30" t="s">
        <v>92</v>
      </c>
      <c r="C43" s="31"/>
      <c r="D43" s="32"/>
      <c r="E43" s="32"/>
      <c r="F43" s="32"/>
      <c r="G43" s="32"/>
      <c r="H43" s="33">
        <v>13.5</v>
      </c>
      <c r="I43" s="13">
        <f>SUM(H43)+0.5</f>
        <v>14</v>
      </c>
      <c r="J43" s="13">
        <f>SUM(I43)+0.5</f>
        <v>14.5</v>
      </c>
      <c r="K43" s="13"/>
      <c r="L43" s="13"/>
      <c r="M43" s="15"/>
    </row>
    <row r="44" spans="1:13" s="2" customFormat="1" ht="14.1" customHeight="1" thickBot="1" x14ac:dyDescent="0.35">
      <c r="A44" s="29"/>
      <c r="B44" s="17" t="s">
        <v>91</v>
      </c>
      <c r="C44" s="17"/>
      <c r="D44" s="18"/>
      <c r="E44" s="19"/>
      <c r="F44" s="19"/>
      <c r="G44" s="20"/>
      <c r="H44" s="34"/>
      <c r="I44" s="14"/>
      <c r="J44" s="14"/>
      <c r="K44" s="14"/>
      <c r="L44" s="14"/>
      <c r="M44" s="16"/>
    </row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2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2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2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2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C9E3-A159-4AFB-83A0-2A143980E279}">
  <sheetPr>
    <tabColor rgb="FF00B0F0"/>
    <pageSetUpPr fitToPage="1"/>
  </sheetPr>
  <dimension ref="A1:M51"/>
  <sheetViews>
    <sheetView topLeftCell="A16"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305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42"/>
      <c r="E5" s="43"/>
      <c r="F5" s="43"/>
      <c r="G5" s="44"/>
      <c r="H5" s="33"/>
      <c r="I5" s="13"/>
      <c r="J5" s="13"/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42"/>
      <c r="E7" s="43"/>
      <c r="F7" s="43"/>
      <c r="G7" s="44"/>
      <c r="H7" s="33"/>
      <c r="I7" s="13"/>
      <c r="J7" s="13"/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33"/>
      <c r="I9" s="13"/>
      <c r="J9" s="13"/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/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42"/>
      <c r="E11" s="43"/>
      <c r="F11" s="43"/>
      <c r="G11" s="44"/>
      <c r="H11" s="33">
        <v>88.4</v>
      </c>
      <c r="I11" s="13">
        <f>SUM(H11)+4.5</f>
        <v>92.9</v>
      </c>
      <c r="J11" s="13">
        <f>SUM(I11)+4.5</f>
        <v>97.4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97</v>
      </c>
      <c r="I13" s="13">
        <f>SUM(H13)+5</f>
        <v>102</v>
      </c>
      <c r="J13" s="13">
        <f>SUM(I13)+5</f>
        <v>107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18.7</v>
      </c>
      <c r="I15" s="13">
        <f>SUM(H15)+0.7</f>
        <v>19.399999999999999</v>
      </c>
      <c r="J15" s="13">
        <f>SUM(I15)+0.7</f>
        <v>20.099999999999998</v>
      </c>
      <c r="K15" s="13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111</v>
      </c>
      <c r="E16" s="52"/>
      <c r="F16" s="52"/>
      <c r="G16" s="53"/>
      <c r="H16" s="36"/>
      <c r="I16" s="21"/>
      <c r="J16" s="21"/>
      <c r="K16" s="21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/>
      <c r="I17" s="13"/>
      <c r="J17" s="13"/>
      <c r="K17" s="13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21"/>
      <c r="J18" s="21"/>
      <c r="K18" s="21"/>
      <c r="L18" s="46"/>
      <c r="M18" s="48"/>
    </row>
    <row r="19" spans="1:13" s="2" customFormat="1" ht="14.1" customHeight="1" x14ac:dyDescent="0.3">
      <c r="A19" s="91">
        <v>9</v>
      </c>
      <c r="B19" s="30" t="s">
        <v>46</v>
      </c>
      <c r="C19" s="31"/>
      <c r="D19" s="42" t="s">
        <v>87</v>
      </c>
      <c r="E19" s="43"/>
      <c r="F19" s="43"/>
      <c r="G19" s="44"/>
      <c r="H19" s="33">
        <v>36</v>
      </c>
      <c r="I19" s="13">
        <f>SUM(H19)+1.5</f>
        <v>37.5</v>
      </c>
      <c r="J19" s="13">
        <f>SUM(I19)+1.5</f>
        <v>39</v>
      </c>
      <c r="K19" s="13"/>
      <c r="L19" s="13"/>
      <c r="M19" s="15"/>
    </row>
    <row r="20" spans="1:13" s="2" customFormat="1" ht="14.1" customHeight="1" x14ac:dyDescent="0.3">
      <c r="A20" s="92"/>
      <c r="B20" s="37" t="s">
        <v>47</v>
      </c>
      <c r="C20" s="38"/>
      <c r="D20" s="39" t="s">
        <v>86</v>
      </c>
      <c r="E20" s="40"/>
      <c r="F20" s="40"/>
      <c r="G20" s="41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91">
        <v>10</v>
      </c>
      <c r="B21" s="30" t="s">
        <v>306</v>
      </c>
      <c r="C21" s="31"/>
      <c r="D21" s="42"/>
      <c r="E21" s="43"/>
      <c r="F21" s="43"/>
      <c r="G21" s="44"/>
      <c r="H21" s="33">
        <v>2</v>
      </c>
      <c r="I21" s="13">
        <f>SUM(H21)</f>
        <v>2</v>
      </c>
      <c r="J21" s="13">
        <f>SUM(I21)</f>
        <v>2</v>
      </c>
      <c r="K21" s="13"/>
      <c r="L21" s="13"/>
      <c r="M21" s="15"/>
    </row>
    <row r="22" spans="1:13" s="2" customFormat="1" ht="14.1" customHeight="1" x14ac:dyDescent="0.3">
      <c r="A22" s="92"/>
      <c r="B22" s="37" t="s">
        <v>307</v>
      </c>
      <c r="C22" s="38"/>
      <c r="D22" s="39" t="s">
        <v>308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91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59.8</v>
      </c>
      <c r="I23" s="13">
        <f>SUM(H23)+2.6</f>
        <v>62.4</v>
      </c>
      <c r="J23" s="13">
        <f>SUM(I23)+2.6</f>
        <v>65</v>
      </c>
      <c r="K23" s="13"/>
      <c r="L23" s="13"/>
      <c r="M23" s="15"/>
    </row>
    <row r="24" spans="1:13" s="2" customFormat="1" ht="14.1" customHeight="1" x14ac:dyDescent="0.3">
      <c r="A24" s="92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91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28.3</v>
      </c>
      <c r="I25" s="13">
        <f>SUM(H25)+1.1</f>
        <v>29.400000000000002</v>
      </c>
      <c r="J25" s="13">
        <f>SUM(I25)+1.1</f>
        <v>30.500000000000004</v>
      </c>
      <c r="K25" s="13"/>
      <c r="L25" s="45"/>
      <c r="M25" s="47"/>
    </row>
    <row r="26" spans="1:13" s="2" customFormat="1" ht="14.1" customHeight="1" x14ac:dyDescent="0.3">
      <c r="A26" s="92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21"/>
      <c r="L26" s="46"/>
      <c r="M26" s="48"/>
    </row>
    <row r="27" spans="1:13" s="2" customFormat="1" ht="14.1" customHeight="1" x14ac:dyDescent="0.3">
      <c r="A27" s="91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37</v>
      </c>
      <c r="I27" s="13">
        <f>SUM(H27)+1.3</f>
        <v>38.299999999999997</v>
      </c>
      <c r="J27" s="13">
        <f>SUM(I27)+1.3</f>
        <v>39.599999999999994</v>
      </c>
      <c r="K27" s="13"/>
      <c r="L27" s="45"/>
      <c r="M27" s="47"/>
    </row>
    <row r="28" spans="1:13" s="2" customFormat="1" ht="14.1" customHeight="1" x14ac:dyDescent="0.3">
      <c r="A28" s="92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21"/>
      <c r="L28" s="46"/>
      <c r="M28" s="48"/>
    </row>
    <row r="29" spans="1:13" s="2" customFormat="1" ht="14.1" customHeight="1" x14ac:dyDescent="0.3">
      <c r="A29" s="91">
        <v>14</v>
      </c>
      <c r="B29" s="30" t="s">
        <v>55</v>
      </c>
      <c r="C29" s="31"/>
      <c r="D29" s="42" t="s">
        <v>56</v>
      </c>
      <c r="E29" s="43"/>
      <c r="F29" s="43"/>
      <c r="G29" s="44"/>
      <c r="H29" s="33"/>
      <c r="I29" s="13"/>
      <c r="J29" s="13"/>
      <c r="K29" s="13"/>
      <c r="L29" s="13"/>
      <c r="M29" s="15"/>
    </row>
    <row r="30" spans="1:13" s="2" customFormat="1" ht="14.1" customHeight="1" x14ac:dyDescent="0.3">
      <c r="A30" s="92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91">
        <v>15</v>
      </c>
      <c r="B31" s="30" t="s">
        <v>58</v>
      </c>
      <c r="C31" s="31"/>
      <c r="D31" s="42" t="s">
        <v>59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92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91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92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91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92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ht="14.1" customHeight="1" x14ac:dyDescent="0.3">
      <c r="A37" s="91">
        <v>18</v>
      </c>
      <c r="B37" s="30" t="s">
        <v>76</v>
      </c>
      <c r="C37" s="31"/>
      <c r="D37" s="42" t="s">
        <v>96</v>
      </c>
      <c r="E37" s="43"/>
      <c r="F37" s="43"/>
      <c r="G37" s="44"/>
      <c r="H37" s="93">
        <v>6.6</v>
      </c>
      <c r="I37" s="94">
        <f>SUM(H37)+0.2</f>
        <v>6.8</v>
      </c>
      <c r="J37" s="94">
        <f>SUM(I37)+0.2</f>
        <v>7</v>
      </c>
      <c r="K37" s="13"/>
      <c r="L37" s="13"/>
      <c r="M37" s="15"/>
    </row>
    <row r="38" spans="1:13" ht="14.1" customHeight="1" x14ac:dyDescent="0.3">
      <c r="A38" s="92"/>
      <c r="B38" s="37" t="s">
        <v>121</v>
      </c>
      <c r="C38" s="38"/>
      <c r="D38" s="39" t="s">
        <v>148</v>
      </c>
      <c r="E38" s="40"/>
      <c r="F38" s="40"/>
      <c r="G38" s="41"/>
      <c r="H38" s="93"/>
      <c r="I38" s="94"/>
      <c r="J38" s="94"/>
      <c r="K38" s="21"/>
      <c r="L38" s="21"/>
      <c r="M38" s="22"/>
    </row>
    <row r="39" spans="1:13" ht="14.1" customHeight="1" x14ac:dyDescent="0.3">
      <c r="A39" s="91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11.2</v>
      </c>
      <c r="I39" s="13">
        <f>SUM(H39)+0.6</f>
        <v>11.799999999999999</v>
      </c>
      <c r="J39" s="13">
        <f>SUM(I39)+0.6</f>
        <v>12.399999999999999</v>
      </c>
      <c r="K39" s="13"/>
      <c r="L39" s="13"/>
      <c r="M39" s="15"/>
    </row>
    <row r="40" spans="1:13" ht="14.1" customHeight="1" x14ac:dyDescent="0.3">
      <c r="A40" s="92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91">
        <v>20</v>
      </c>
      <c r="B41" s="30" t="s">
        <v>94</v>
      </c>
      <c r="C41" s="31"/>
      <c r="D41" s="32"/>
      <c r="E41" s="32"/>
      <c r="F41" s="32"/>
      <c r="G41" s="32"/>
      <c r="H41" s="33">
        <v>14</v>
      </c>
      <c r="I41" s="13">
        <f>SUM(H41)+0.5</f>
        <v>14.5</v>
      </c>
      <c r="J41" s="13">
        <f>SUM(I41)+0.5</f>
        <v>15</v>
      </c>
      <c r="K41" s="13"/>
      <c r="L41" s="13"/>
      <c r="M41" s="15"/>
    </row>
    <row r="42" spans="1:13" s="2" customFormat="1" ht="14.1" customHeight="1" x14ac:dyDescent="0.3">
      <c r="A42" s="92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91">
        <v>21</v>
      </c>
      <c r="B43" s="30" t="s">
        <v>92</v>
      </c>
      <c r="C43" s="31"/>
      <c r="D43" s="32"/>
      <c r="E43" s="32"/>
      <c r="F43" s="32"/>
      <c r="G43" s="32"/>
      <c r="H43" s="33">
        <v>14.5</v>
      </c>
      <c r="I43" s="13">
        <f>SUM(H43)+0.5</f>
        <v>15</v>
      </c>
      <c r="J43" s="13">
        <f>SUM(I43)+0.5</f>
        <v>15.5</v>
      </c>
      <c r="K43" s="13"/>
      <c r="L43" s="13"/>
      <c r="M43" s="15"/>
    </row>
    <row r="44" spans="1:13" s="2" customFormat="1" ht="14.1" customHeight="1" x14ac:dyDescent="0.3">
      <c r="A44" s="92"/>
      <c r="B44" s="46" t="s">
        <v>91</v>
      </c>
      <c r="C44" s="46"/>
      <c r="D44" s="25"/>
      <c r="E44" s="26"/>
      <c r="F44" s="26"/>
      <c r="G44" s="27"/>
      <c r="H44" s="36"/>
      <c r="I44" s="21"/>
      <c r="J44" s="21"/>
      <c r="K44" s="21"/>
      <c r="L44" s="21"/>
      <c r="M44" s="22"/>
    </row>
    <row r="45" spans="1:13" ht="14.1" customHeight="1" x14ac:dyDescent="0.3">
      <c r="A45" s="91">
        <v>22</v>
      </c>
      <c r="B45" s="54" t="s">
        <v>309</v>
      </c>
      <c r="C45" s="55"/>
      <c r="D45" s="86"/>
      <c r="E45" s="87"/>
      <c r="F45" s="87"/>
      <c r="G45" s="88"/>
      <c r="H45" s="36">
        <v>94</v>
      </c>
      <c r="I45" s="60">
        <f>SUM(H45)+2.5</f>
        <v>96.5</v>
      </c>
      <c r="J45" s="60">
        <f>SUM(I45)+2.5</f>
        <v>99</v>
      </c>
      <c r="K45" s="60"/>
      <c r="L45" s="60"/>
      <c r="M45" s="61"/>
    </row>
    <row r="46" spans="1:13" ht="14.1" customHeight="1" x14ac:dyDescent="0.3">
      <c r="A46" s="92"/>
      <c r="B46" s="54" t="s">
        <v>310</v>
      </c>
      <c r="C46" s="55"/>
      <c r="D46" s="56" t="s">
        <v>311</v>
      </c>
      <c r="E46" s="57"/>
      <c r="F46" s="57"/>
      <c r="G46" s="58"/>
      <c r="H46" s="33"/>
      <c r="I46" s="60"/>
      <c r="J46" s="60"/>
      <c r="K46" s="60"/>
      <c r="L46" s="60"/>
      <c r="M46" s="61"/>
    </row>
    <row r="47" spans="1:13" ht="14.1" customHeight="1" x14ac:dyDescent="0.3">
      <c r="A47" s="91">
        <v>23</v>
      </c>
      <c r="B47" s="30" t="s">
        <v>133</v>
      </c>
      <c r="C47" s="31"/>
      <c r="D47" s="83"/>
      <c r="E47" s="84"/>
      <c r="F47" s="84"/>
      <c r="G47" s="85"/>
      <c r="H47" s="93">
        <v>4</v>
      </c>
      <c r="I47" s="13">
        <f>SUM(H47)+0.3</f>
        <v>4.3</v>
      </c>
      <c r="J47" s="13">
        <f>SUM(I47)+0.3</f>
        <v>4.5999999999999996</v>
      </c>
      <c r="K47" s="13"/>
      <c r="L47" s="13"/>
      <c r="M47" s="15"/>
    </row>
    <row r="48" spans="1:13" ht="14.1" customHeight="1" x14ac:dyDescent="0.3">
      <c r="A48" s="92"/>
      <c r="B48" s="54" t="s">
        <v>141</v>
      </c>
      <c r="C48" s="55"/>
      <c r="D48" s="56" t="s">
        <v>312</v>
      </c>
      <c r="E48" s="57"/>
      <c r="F48" s="57"/>
      <c r="G48" s="58"/>
      <c r="H48" s="33"/>
      <c r="I48" s="60"/>
      <c r="J48" s="60"/>
      <c r="K48" s="60"/>
      <c r="L48" s="60"/>
      <c r="M48" s="61"/>
    </row>
    <row r="49" spans="1:13" ht="14.1" customHeight="1" x14ac:dyDescent="0.3">
      <c r="A49" s="28">
        <v>24</v>
      </c>
      <c r="B49" s="30" t="s">
        <v>134</v>
      </c>
      <c r="C49" s="31"/>
      <c r="D49" s="83"/>
      <c r="E49" s="84"/>
      <c r="F49" s="84"/>
      <c r="G49" s="85"/>
      <c r="H49" s="93">
        <v>3.7</v>
      </c>
      <c r="I49" s="13">
        <f>SUM(H49)+0.25</f>
        <v>3.95</v>
      </c>
      <c r="J49" s="13">
        <f>SUM(I49)+0.25</f>
        <v>4.2</v>
      </c>
      <c r="K49" s="13"/>
      <c r="L49" s="13"/>
      <c r="M49" s="15"/>
    </row>
    <row r="50" spans="1:13" ht="14.1" customHeight="1" thickBot="1" x14ac:dyDescent="0.35">
      <c r="A50" s="29"/>
      <c r="B50" s="81" t="s">
        <v>142</v>
      </c>
      <c r="C50" s="82"/>
      <c r="D50" s="18" t="s">
        <v>313</v>
      </c>
      <c r="E50" s="19"/>
      <c r="F50" s="19"/>
      <c r="G50" s="20"/>
      <c r="H50" s="95"/>
      <c r="I50" s="14"/>
      <c r="J50" s="14"/>
      <c r="K50" s="14"/>
      <c r="L50" s="14"/>
      <c r="M50" s="16"/>
    </row>
    <row r="51" spans="1:13" ht="14.1" customHeight="1" thickBot="1" x14ac:dyDescent="0.3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</row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91A0-37F7-4460-82BE-78BC882D50A8}">
  <sheetPr>
    <tabColor rgb="FF00B0F0"/>
    <pageSetUpPr fitToPage="1"/>
  </sheetPr>
  <dimension ref="A1:M51"/>
  <sheetViews>
    <sheetView topLeftCell="A13" zoomScale="110" zoomScaleNormal="110" workbookViewId="0">
      <selection activeCell="I9" sqref="I9:I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329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32.299999999999997</v>
      </c>
      <c r="I5" s="60">
        <f>SUM(H5)+2.25</f>
        <v>34.549999999999997</v>
      </c>
      <c r="J5" s="60">
        <f>SUM(I5)+2.25</f>
        <v>36.799999999999997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31.7</v>
      </c>
      <c r="I7" s="60">
        <f>SUM(H7)+0.2</f>
        <v>31.9</v>
      </c>
      <c r="J7" s="60">
        <f>SUM(I7)+0.2</f>
        <v>32.1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35.700000000000003</v>
      </c>
      <c r="I9" s="60">
        <f>SUM(H9)+0.2</f>
        <v>35.900000000000006</v>
      </c>
      <c r="J9" s="60">
        <f>SUM(I9)+0.2</f>
        <v>36.100000000000009</v>
      </c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320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/>
      <c r="I11" s="60"/>
      <c r="J11" s="60"/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96.1</v>
      </c>
      <c r="I13" s="13">
        <f>SUM(H13)+5</f>
        <v>101.1</v>
      </c>
      <c r="J13" s="13">
        <f>SUM(I13)+5</f>
        <v>106.1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17.3</v>
      </c>
      <c r="I15" s="13">
        <f>SUM(H15)+0.7</f>
        <v>18</v>
      </c>
      <c r="J15" s="13">
        <f>SUM(I15)+0.7</f>
        <v>18.7</v>
      </c>
      <c r="K15" s="13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111</v>
      </c>
      <c r="E16" s="52"/>
      <c r="F16" s="52"/>
      <c r="G16" s="53"/>
      <c r="H16" s="36"/>
      <c r="I16" s="21"/>
      <c r="J16" s="21"/>
      <c r="K16" s="21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/>
      <c r="I17" s="13"/>
      <c r="J17" s="13"/>
      <c r="K17" s="13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21"/>
      <c r="J18" s="21"/>
      <c r="K18" s="21"/>
      <c r="L18" s="46"/>
      <c r="M18" s="48"/>
    </row>
    <row r="19" spans="1:13" s="2" customFormat="1" ht="14.1" customHeight="1" x14ac:dyDescent="0.3">
      <c r="A19" s="91">
        <v>9</v>
      </c>
      <c r="B19" s="30" t="s">
        <v>46</v>
      </c>
      <c r="C19" s="31"/>
      <c r="D19" s="42" t="s">
        <v>87</v>
      </c>
      <c r="E19" s="43"/>
      <c r="F19" s="43"/>
      <c r="G19" s="44"/>
      <c r="H19" s="33">
        <v>33.4</v>
      </c>
      <c r="I19" s="13">
        <f>SUM(H19)+1.5</f>
        <v>34.9</v>
      </c>
      <c r="J19" s="13">
        <f>SUM(I19)+1.5</f>
        <v>36.4</v>
      </c>
      <c r="K19" s="13"/>
      <c r="L19" s="13"/>
      <c r="M19" s="15"/>
    </row>
    <row r="20" spans="1:13" s="2" customFormat="1" ht="14.1" customHeight="1" x14ac:dyDescent="0.3">
      <c r="A20" s="92"/>
      <c r="B20" s="37" t="s">
        <v>47</v>
      </c>
      <c r="C20" s="38"/>
      <c r="D20" s="39" t="s">
        <v>86</v>
      </c>
      <c r="E20" s="40"/>
      <c r="F20" s="40"/>
      <c r="G20" s="41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91">
        <v>11</v>
      </c>
      <c r="B21" s="30" t="s">
        <v>48</v>
      </c>
      <c r="C21" s="31"/>
      <c r="D21" s="42" t="s">
        <v>97</v>
      </c>
      <c r="E21" s="43"/>
      <c r="F21" s="43"/>
      <c r="G21" s="44"/>
      <c r="H21" s="33">
        <v>61.1</v>
      </c>
      <c r="I21" s="13">
        <f>SUM(H21)+2.6</f>
        <v>63.7</v>
      </c>
      <c r="J21" s="13">
        <f>SUM(I21)+2.6</f>
        <v>66.3</v>
      </c>
      <c r="K21" s="13"/>
      <c r="L21" s="13"/>
      <c r="M21" s="15"/>
    </row>
    <row r="22" spans="1:13" s="2" customFormat="1" ht="14.1" customHeight="1" x14ac:dyDescent="0.3">
      <c r="A22" s="92"/>
      <c r="B22" s="37" t="s">
        <v>49</v>
      </c>
      <c r="C22" s="38"/>
      <c r="D22" s="25" t="s">
        <v>102</v>
      </c>
      <c r="E22" s="26"/>
      <c r="F22" s="26"/>
      <c r="G22" s="27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91">
        <v>12</v>
      </c>
      <c r="B23" s="30" t="s">
        <v>50</v>
      </c>
      <c r="C23" s="31"/>
      <c r="D23" s="42" t="s">
        <v>51</v>
      </c>
      <c r="E23" s="43"/>
      <c r="F23" s="43"/>
      <c r="G23" s="44"/>
      <c r="H23" s="33">
        <v>29.4</v>
      </c>
      <c r="I23" s="13">
        <f>SUM(H23)+1.1</f>
        <v>30.5</v>
      </c>
      <c r="J23" s="13">
        <f>SUM(I23)+1.1</f>
        <v>31.6</v>
      </c>
      <c r="K23" s="13"/>
      <c r="L23" s="45"/>
      <c r="M23" s="47"/>
    </row>
    <row r="24" spans="1:13" s="2" customFormat="1" ht="14.1" customHeight="1" x14ac:dyDescent="0.3">
      <c r="A24" s="92"/>
      <c r="B24" s="37" t="s">
        <v>52</v>
      </c>
      <c r="C24" s="38"/>
      <c r="D24" s="39" t="s">
        <v>85</v>
      </c>
      <c r="E24" s="40"/>
      <c r="F24" s="40"/>
      <c r="G24" s="41"/>
      <c r="H24" s="36"/>
      <c r="I24" s="21"/>
      <c r="J24" s="21"/>
      <c r="K24" s="21"/>
      <c r="L24" s="46"/>
      <c r="M24" s="48"/>
    </row>
    <row r="25" spans="1:13" s="2" customFormat="1" ht="14.1" customHeight="1" x14ac:dyDescent="0.3">
      <c r="A25" s="91">
        <v>13</v>
      </c>
      <c r="B25" s="30" t="s">
        <v>53</v>
      </c>
      <c r="C25" s="31"/>
      <c r="D25" s="42" t="s">
        <v>51</v>
      </c>
      <c r="E25" s="43"/>
      <c r="F25" s="43"/>
      <c r="G25" s="44"/>
      <c r="H25" s="33">
        <v>38.299999999999997</v>
      </c>
      <c r="I25" s="13">
        <f>SUM(H25)+1.3</f>
        <v>39.599999999999994</v>
      </c>
      <c r="J25" s="13">
        <f>SUM(I25)+1.3</f>
        <v>40.899999999999991</v>
      </c>
      <c r="K25" s="13"/>
      <c r="L25" s="45"/>
      <c r="M25" s="47"/>
    </row>
    <row r="26" spans="1:13" s="2" customFormat="1" ht="14.1" customHeight="1" x14ac:dyDescent="0.3">
      <c r="A26" s="92"/>
      <c r="B26" s="37" t="s">
        <v>54</v>
      </c>
      <c r="C26" s="38"/>
      <c r="D26" s="39" t="s">
        <v>85</v>
      </c>
      <c r="E26" s="40"/>
      <c r="F26" s="40"/>
      <c r="G26" s="41"/>
      <c r="H26" s="36"/>
      <c r="I26" s="21"/>
      <c r="J26" s="21"/>
      <c r="K26" s="21"/>
      <c r="L26" s="46"/>
      <c r="M26" s="48"/>
    </row>
    <row r="27" spans="1:13" s="2" customFormat="1" ht="14.1" customHeight="1" x14ac:dyDescent="0.3">
      <c r="A27" s="91">
        <v>14</v>
      </c>
      <c r="B27" s="30" t="s">
        <v>55</v>
      </c>
      <c r="C27" s="31"/>
      <c r="D27" s="42" t="s">
        <v>56</v>
      </c>
      <c r="E27" s="43"/>
      <c r="F27" s="43"/>
      <c r="G27" s="44"/>
      <c r="H27" s="33"/>
      <c r="I27" s="13"/>
      <c r="J27" s="13"/>
      <c r="K27" s="13"/>
      <c r="L27" s="13"/>
      <c r="M27" s="15"/>
    </row>
    <row r="28" spans="1:13" s="2" customFormat="1" ht="14.1" customHeight="1" x14ac:dyDescent="0.3">
      <c r="A28" s="92"/>
      <c r="B28" s="37" t="s">
        <v>57</v>
      </c>
      <c r="C28" s="38"/>
      <c r="D28" s="39" t="s">
        <v>84</v>
      </c>
      <c r="E28" s="40"/>
      <c r="F28" s="40"/>
      <c r="G28" s="41"/>
      <c r="H28" s="36"/>
      <c r="I28" s="21"/>
      <c r="J28" s="21"/>
      <c r="K28" s="21"/>
      <c r="L28" s="21"/>
      <c r="M28" s="22"/>
    </row>
    <row r="29" spans="1:13" s="2" customFormat="1" ht="14.1" customHeight="1" x14ac:dyDescent="0.3">
      <c r="A29" s="91">
        <v>15</v>
      </c>
      <c r="B29" s="30" t="s">
        <v>58</v>
      </c>
      <c r="C29" s="31"/>
      <c r="D29" s="42" t="s">
        <v>59</v>
      </c>
      <c r="E29" s="43"/>
      <c r="F29" s="43"/>
      <c r="G29" s="44"/>
      <c r="H29" s="33"/>
      <c r="I29" s="13"/>
      <c r="J29" s="13"/>
      <c r="K29" s="13"/>
      <c r="L29" s="13"/>
      <c r="M29" s="15"/>
    </row>
    <row r="30" spans="1:13" s="2" customFormat="1" ht="14.1" customHeight="1" x14ac:dyDescent="0.3">
      <c r="A30" s="92"/>
      <c r="B30" s="37" t="s">
        <v>60</v>
      </c>
      <c r="C30" s="38"/>
      <c r="D30" s="39" t="s">
        <v>83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91">
        <v>16</v>
      </c>
      <c r="B31" s="30" t="s">
        <v>82</v>
      </c>
      <c r="C31" s="31"/>
      <c r="D31" s="42" t="s">
        <v>80</v>
      </c>
      <c r="E31" s="43"/>
      <c r="F31" s="43"/>
      <c r="G31" s="44"/>
      <c r="H31" s="33"/>
      <c r="I31" s="13"/>
      <c r="J31" s="13"/>
      <c r="K31" s="13"/>
      <c r="L31" s="13"/>
      <c r="M31" s="15"/>
    </row>
    <row r="32" spans="1:13" s="2" customFormat="1" ht="14.1" customHeight="1" x14ac:dyDescent="0.3">
      <c r="A32" s="92"/>
      <c r="B32" s="37" t="s">
        <v>81</v>
      </c>
      <c r="C32" s="38"/>
      <c r="D32" s="39" t="s">
        <v>80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91">
        <v>17</v>
      </c>
      <c r="B33" s="30" t="s">
        <v>79</v>
      </c>
      <c r="C33" s="31"/>
      <c r="D33" s="42" t="s">
        <v>78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92"/>
      <c r="B34" s="37" t="s">
        <v>77</v>
      </c>
      <c r="C34" s="38"/>
      <c r="D34" s="39" t="s">
        <v>122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91">
        <v>20</v>
      </c>
      <c r="B35" s="30" t="s">
        <v>94</v>
      </c>
      <c r="C35" s="31"/>
      <c r="D35" s="32"/>
      <c r="E35" s="32"/>
      <c r="F35" s="32"/>
      <c r="G35" s="32"/>
      <c r="H35" s="33">
        <v>14</v>
      </c>
      <c r="I35" s="13">
        <f>SUM(H35)+0.5</f>
        <v>14.5</v>
      </c>
      <c r="J35" s="13">
        <f>SUM(I35)+0.5</f>
        <v>15</v>
      </c>
      <c r="K35" s="13"/>
      <c r="L35" s="13"/>
      <c r="M35" s="15"/>
    </row>
    <row r="36" spans="1:13" s="2" customFormat="1" ht="14.1" customHeight="1" x14ac:dyDescent="0.3">
      <c r="A36" s="92"/>
      <c r="B36" s="23" t="s">
        <v>93</v>
      </c>
      <c r="C36" s="24"/>
      <c r="D36" s="25"/>
      <c r="E36" s="26"/>
      <c r="F36" s="26"/>
      <c r="G36" s="27"/>
      <c r="H36" s="36"/>
      <c r="I36" s="21"/>
      <c r="J36" s="21"/>
      <c r="K36" s="21"/>
      <c r="L36" s="21"/>
      <c r="M36" s="22"/>
    </row>
    <row r="37" spans="1:13" ht="14.1" customHeight="1" x14ac:dyDescent="0.3">
      <c r="A37" s="91">
        <v>21</v>
      </c>
      <c r="B37" s="30" t="s">
        <v>92</v>
      </c>
      <c r="C37" s="31"/>
      <c r="D37" s="32"/>
      <c r="E37" s="32"/>
      <c r="F37" s="32"/>
      <c r="G37" s="32"/>
      <c r="H37" s="33">
        <v>14.5</v>
      </c>
      <c r="I37" s="13">
        <f>SUM(H37)+0.5</f>
        <v>15</v>
      </c>
      <c r="J37" s="13">
        <f>SUM(I37)+0.5</f>
        <v>15.5</v>
      </c>
      <c r="K37" s="13"/>
      <c r="L37" s="13"/>
      <c r="M37" s="15"/>
    </row>
    <row r="38" spans="1:13" ht="14.1" customHeight="1" x14ac:dyDescent="0.3">
      <c r="A38" s="92"/>
      <c r="B38" s="46" t="s">
        <v>91</v>
      </c>
      <c r="C38" s="46"/>
      <c r="D38" s="25"/>
      <c r="E38" s="26"/>
      <c r="F38" s="26"/>
      <c r="G38" s="27"/>
      <c r="H38" s="36"/>
      <c r="I38" s="21"/>
      <c r="J38" s="21"/>
      <c r="K38" s="21"/>
      <c r="L38" s="21"/>
      <c r="M38" s="22"/>
    </row>
    <row r="39" spans="1:13" ht="14.1" customHeight="1" x14ac:dyDescent="0.3">
      <c r="A39" s="91">
        <v>23</v>
      </c>
      <c r="B39" s="30" t="s">
        <v>133</v>
      </c>
      <c r="C39" s="31"/>
      <c r="D39" s="83"/>
      <c r="E39" s="84"/>
      <c r="F39" s="84"/>
      <c r="G39" s="85"/>
      <c r="H39" s="93">
        <v>2.5</v>
      </c>
      <c r="I39" s="13">
        <f>SUM(H39)</f>
        <v>2.5</v>
      </c>
      <c r="J39" s="13">
        <f>SUM(I39)</f>
        <v>2.5</v>
      </c>
      <c r="K39" s="13"/>
      <c r="L39" s="13"/>
      <c r="M39" s="15"/>
    </row>
    <row r="40" spans="1:13" ht="14.1" customHeight="1" x14ac:dyDescent="0.3">
      <c r="A40" s="92"/>
      <c r="B40" s="54" t="s">
        <v>141</v>
      </c>
      <c r="C40" s="55"/>
      <c r="D40" s="56" t="s">
        <v>321</v>
      </c>
      <c r="E40" s="57"/>
      <c r="F40" s="57"/>
      <c r="G40" s="58"/>
      <c r="H40" s="33"/>
      <c r="I40" s="60"/>
      <c r="J40" s="60"/>
      <c r="K40" s="60"/>
      <c r="L40" s="60"/>
      <c r="M40" s="61"/>
    </row>
    <row r="41" spans="1:13" s="2" customFormat="1" ht="14.1" customHeight="1" x14ac:dyDescent="0.3">
      <c r="A41" s="28">
        <v>24</v>
      </c>
      <c r="B41" s="30" t="s">
        <v>134</v>
      </c>
      <c r="C41" s="31"/>
      <c r="D41" s="83"/>
      <c r="E41" s="84"/>
      <c r="F41" s="84"/>
      <c r="G41" s="85"/>
      <c r="H41" s="93">
        <v>2</v>
      </c>
      <c r="I41" s="13">
        <f>SUM(H41)+0.1</f>
        <v>2.1</v>
      </c>
      <c r="J41" s="13">
        <f>SUM(I41)+0.1</f>
        <v>2.2000000000000002</v>
      </c>
      <c r="K41" s="13"/>
      <c r="L41" s="13"/>
      <c r="M41" s="15"/>
    </row>
    <row r="42" spans="1:13" s="2" customFormat="1" ht="13.5" customHeight="1" thickBot="1" x14ac:dyDescent="0.35">
      <c r="A42" s="28"/>
      <c r="B42" s="54" t="s">
        <v>142</v>
      </c>
      <c r="C42" s="55"/>
      <c r="D42" s="56" t="s">
        <v>322</v>
      </c>
      <c r="E42" s="57"/>
      <c r="F42" s="57"/>
      <c r="G42" s="58"/>
      <c r="H42" s="33"/>
      <c r="I42" s="60"/>
      <c r="J42" s="60"/>
      <c r="K42" s="60"/>
      <c r="L42" s="60"/>
      <c r="M42" s="61"/>
    </row>
    <row r="43" spans="1:13" s="2" customFormat="1" ht="14.1" customHeight="1" thickTop="1" x14ac:dyDescent="0.3">
      <c r="A43" s="109">
        <v>26</v>
      </c>
      <c r="B43" s="110" t="s">
        <v>323</v>
      </c>
      <c r="C43" s="111"/>
      <c r="D43" s="112"/>
      <c r="E43" s="113"/>
      <c r="F43" s="113"/>
      <c r="G43" s="114"/>
      <c r="H43" s="115">
        <v>32.299999999999997</v>
      </c>
      <c r="I43" s="107">
        <f>SUM(H43)+2.25</f>
        <v>34.549999999999997</v>
      </c>
      <c r="J43" s="107">
        <f>SUM(I43)+2.25</f>
        <v>36.799999999999997</v>
      </c>
      <c r="K43" s="107"/>
      <c r="L43" s="107"/>
      <c r="M43" s="108"/>
    </row>
    <row r="44" spans="1:13" s="2" customFormat="1" ht="14.1" customHeight="1" x14ac:dyDescent="0.3">
      <c r="A44" s="92"/>
      <c r="B44" s="37" t="s">
        <v>324</v>
      </c>
      <c r="C44" s="38"/>
      <c r="D44" s="39" t="s">
        <v>326</v>
      </c>
      <c r="E44" s="40"/>
      <c r="F44" s="40"/>
      <c r="G44" s="41"/>
      <c r="H44" s="36"/>
      <c r="I44" s="21"/>
      <c r="J44" s="21"/>
      <c r="K44" s="21"/>
      <c r="L44" s="21"/>
      <c r="M44" s="22"/>
    </row>
    <row r="45" spans="1:13" ht="14.1" customHeight="1" x14ac:dyDescent="0.3">
      <c r="A45" s="28">
        <v>27</v>
      </c>
      <c r="B45" s="30" t="s">
        <v>327</v>
      </c>
      <c r="C45" s="31"/>
      <c r="D45" s="104" t="s">
        <v>87</v>
      </c>
      <c r="E45" s="105"/>
      <c r="F45" s="105"/>
      <c r="G45" s="106"/>
      <c r="H45" s="59">
        <v>30.2</v>
      </c>
      <c r="I45" s="60">
        <f>SUM(H45)+1.5</f>
        <v>31.7</v>
      </c>
      <c r="J45" s="60">
        <f>SUM(I45)+1.5</f>
        <v>33.200000000000003</v>
      </c>
      <c r="K45" s="60"/>
      <c r="L45" s="60"/>
      <c r="M45" s="61"/>
    </row>
    <row r="46" spans="1:13" ht="14.1" customHeight="1" thickBot="1" x14ac:dyDescent="0.35">
      <c r="A46" s="29"/>
      <c r="B46" s="99" t="s">
        <v>328</v>
      </c>
      <c r="C46" s="100"/>
      <c r="D46" s="101" t="s">
        <v>325</v>
      </c>
      <c r="E46" s="102"/>
      <c r="F46" s="102"/>
      <c r="G46" s="103"/>
      <c r="H46" s="34"/>
      <c r="I46" s="14"/>
      <c r="J46" s="14"/>
      <c r="K46" s="14"/>
      <c r="L46" s="14"/>
      <c r="M46" s="16"/>
    </row>
    <row r="47" spans="1:13" ht="14.1" customHeight="1" x14ac:dyDescent="0.3">
      <c r="A47" s="28"/>
      <c r="B47" s="54"/>
      <c r="C47" s="55"/>
      <c r="D47" s="96"/>
      <c r="E47" s="97"/>
      <c r="F47" s="97"/>
      <c r="G47" s="98"/>
      <c r="H47" s="59"/>
      <c r="I47" s="60"/>
      <c r="J47" s="60"/>
      <c r="K47" s="60"/>
      <c r="L47" s="60"/>
      <c r="M47" s="61"/>
    </row>
    <row r="48" spans="1:13" ht="14.1" customHeight="1" x14ac:dyDescent="0.3">
      <c r="A48" s="35"/>
      <c r="B48" s="37"/>
      <c r="C48" s="38"/>
      <c r="D48" s="62"/>
      <c r="E48" s="63"/>
      <c r="F48" s="63"/>
      <c r="G48" s="64"/>
      <c r="H48" s="36"/>
      <c r="I48" s="21"/>
      <c r="J48" s="21"/>
      <c r="K48" s="21"/>
      <c r="L48" s="21"/>
      <c r="M48" s="22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J21:J22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J43:J44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7:J48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7608-D714-487C-A0D7-C3EE82426FB7}">
  <sheetPr>
    <tabColor rgb="FF00B0F0"/>
    <pageSetUpPr fitToPage="1"/>
  </sheetPr>
  <dimension ref="A1:M55"/>
  <sheetViews>
    <sheetView zoomScale="110" zoomScaleNormal="110" workbookViewId="0">
      <selection activeCell="H9" sqref="H9:H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77">
        <v>64</v>
      </c>
      <c r="I3" s="68">
        <f>SUM(H3)+2.5</f>
        <v>66.5</v>
      </c>
      <c r="J3" s="68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59">
        <v>30</v>
      </c>
      <c r="I5" s="60">
        <f>SUM(H5)+2.25</f>
        <v>32.25</v>
      </c>
      <c r="J5" s="60">
        <f>SUM(I5)+2.25</f>
        <v>34.5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59">
        <v>34</v>
      </c>
      <c r="I7" s="60">
        <f>SUM(H7)+0.25</f>
        <v>34.25</v>
      </c>
      <c r="J7" s="60">
        <f>SUM(I7)+0.25</f>
        <v>34.5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59">
        <v>52</v>
      </c>
      <c r="I9" s="60">
        <f>SUM(H9)+1.3</f>
        <v>53.3</v>
      </c>
      <c r="J9" s="60">
        <f>SUM(I9)+1.3</f>
        <v>54.599999999999994</v>
      </c>
      <c r="K9" s="13"/>
      <c r="L9" s="13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272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59">
        <v>76</v>
      </c>
      <c r="I11" s="60">
        <f>SUM(H11)+4.5</f>
        <v>80.5</v>
      </c>
      <c r="J11" s="60">
        <f>SUM(I11)+4.5</f>
        <v>85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44</v>
      </c>
      <c r="C13" s="31"/>
      <c r="D13" s="42" t="s">
        <v>131</v>
      </c>
      <c r="E13" s="43"/>
      <c r="F13" s="43"/>
      <c r="G13" s="44"/>
      <c r="H13" s="33">
        <v>93</v>
      </c>
      <c r="I13" s="13">
        <f>SUM(H13)+5</f>
        <v>98</v>
      </c>
      <c r="J13" s="13">
        <f>SUM(I13)+5</f>
        <v>103</v>
      </c>
      <c r="K13" s="13"/>
      <c r="L13" s="13"/>
      <c r="M13" s="15"/>
    </row>
    <row r="14" spans="1:13" s="2" customFormat="1" ht="14.1" customHeight="1" x14ac:dyDescent="0.3">
      <c r="A14" s="35"/>
      <c r="B14" s="37" t="s">
        <v>45</v>
      </c>
      <c r="C14" s="38"/>
      <c r="D14" s="39" t="s">
        <v>88</v>
      </c>
      <c r="E14" s="40"/>
      <c r="F14" s="40"/>
      <c r="G14" s="41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28">
        <v>7</v>
      </c>
      <c r="B15" s="30" t="s">
        <v>100</v>
      </c>
      <c r="C15" s="31"/>
      <c r="D15" s="42"/>
      <c r="E15" s="43"/>
      <c r="F15" s="43"/>
      <c r="G15" s="44"/>
      <c r="H15" s="33">
        <v>14</v>
      </c>
      <c r="I15" s="13">
        <f>SUM(H15)+0.7</f>
        <v>14.7</v>
      </c>
      <c r="J15" s="13">
        <f>SUM(I15)+0.7</f>
        <v>15.399999999999999</v>
      </c>
      <c r="K15" s="45"/>
      <c r="L15" s="45"/>
      <c r="M15" s="47"/>
    </row>
    <row r="16" spans="1:13" s="2" customFormat="1" ht="14.1" customHeight="1" x14ac:dyDescent="0.3">
      <c r="A16" s="35"/>
      <c r="B16" s="37" t="s">
        <v>101</v>
      </c>
      <c r="C16" s="38"/>
      <c r="D16" s="51" t="s">
        <v>153</v>
      </c>
      <c r="E16" s="52"/>
      <c r="F16" s="52"/>
      <c r="G16" s="53"/>
      <c r="H16" s="36"/>
      <c r="I16" s="21"/>
      <c r="J16" s="21"/>
      <c r="K16" s="46"/>
      <c r="L16" s="46"/>
      <c r="M16" s="48"/>
    </row>
    <row r="17" spans="1:13" s="2" customFormat="1" ht="14.1" customHeight="1" x14ac:dyDescent="0.3">
      <c r="A17" s="28">
        <v>8</v>
      </c>
      <c r="B17" s="30" t="s">
        <v>124</v>
      </c>
      <c r="C17" s="31"/>
      <c r="D17" s="42"/>
      <c r="E17" s="43"/>
      <c r="F17" s="43"/>
      <c r="G17" s="44"/>
      <c r="H17" s="33">
        <v>14</v>
      </c>
      <c r="I17" s="49">
        <f>SUM(H17)+0.7</f>
        <v>14.7</v>
      </c>
      <c r="J17" s="49">
        <f>SUM(I17)+0.7</f>
        <v>15.399999999999999</v>
      </c>
      <c r="K17" s="45"/>
      <c r="L17" s="45"/>
      <c r="M17" s="47"/>
    </row>
    <row r="18" spans="1:13" s="2" customFormat="1" ht="14.1" customHeight="1" x14ac:dyDescent="0.3">
      <c r="A18" s="35"/>
      <c r="B18" s="37" t="s">
        <v>123</v>
      </c>
      <c r="C18" s="38"/>
      <c r="D18" s="51" t="s">
        <v>103</v>
      </c>
      <c r="E18" s="52"/>
      <c r="F18" s="52"/>
      <c r="G18" s="53"/>
      <c r="H18" s="36"/>
      <c r="I18" s="50"/>
      <c r="J18" s="50"/>
      <c r="K18" s="46"/>
      <c r="L18" s="46"/>
      <c r="M18" s="48"/>
    </row>
    <row r="19" spans="1:13" s="2" customFormat="1" ht="14.1" customHeight="1" x14ac:dyDescent="0.3">
      <c r="A19" s="28">
        <v>9</v>
      </c>
      <c r="B19" s="30" t="s">
        <v>152</v>
      </c>
      <c r="C19" s="31"/>
      <c r="D19" s="42"/>
      <c r="E19" s="43"/>
      <c r="F19" s="43"/>
      <c r="G19" s="44"/>
      <c r="H19" s="33">
        <v>3.5</v>
      </c>
      <c r="I19" s="49">
        <v>3.5</v>
      </c>
      <c r="J19" s="49">
        <v>3.5</v>
      </c>
      <c r="K19" s="13"/>
      <c r="L19" s="13"/>
      <c r="M19" s="15"/>
    </row>
    <row r="20" spans="1:13" s="2" customFormat="1" ht="14.1" customHeight="1" x14ac:dyDescent="0.3">
      <c r="A20" s="35"/>
      <c r="B20" s="37" t="s">
        <v>151</v>
      </c>
      <c r="C20" s="38"/>
      <c r="D20" s="51"/>
      <c r="E20" s="52"/>
      <c r="F20" s="52"/>
      <c r="G20" s="53"/>
      <c r="H20" s="36"/>
      <c r="I20" s="50"/>
      <c r="J20" s="50"/>
      <c r="K20" s="21"/>
      <c r="L20" s="21"/>
      <c r="M20" s="22"/>
    </row>
    <row r="21" spans="1:13" s="2" customFormat="1" ht="14.1" customHeight="1" x14ac:dyDescent="0.3">
      <c r="A21" s="28">
        <v>10</v>
      </c>
      <c r="B21" s="30" t="s">
        <v>46</v>
      </c>
      <c r="C21" s="31"/>
      <c r="D21" s="42" t="s">
        <v>87</v>
      </c>
      <c r="E21" s="43"/>
      <c r="F21" s="43"/>
      <c r="G21" s="44"/>
      <c r="H21" s="33">
        <v>57</v>
      </c>
      <c r="I21" s="13">
        <f>SUM(H21)+2</f>
        <v>59</v>
      </c>
      <c r="J21" s="13">
        <f>SUM(I21)+2</f>
        <v>61</v>
      </c>
      <c r="K21" s="13"/>
      <c r="L21" s="13"/>
      <c r="M21" s="15"/>
    </row>
    <row r="22" spans="1:13" s="2" customFormat="1" ht="14.1" customHeight="1" x14ac:dyDescent="0.3">
      <c r="A22" s="35"/>
      <c r="B22" s="37" t="s">
        <v>47</v>
      </c>
      <c r="C22" s="38"/>
      <c r="D22" s="39" t="s">
        <v>86</v>
      </c>
      <c r="E22" s="40"/>
      <c r="F22" s="40"/>
      <c r="G22" s="41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28">
        <v>11</v>
      </c>
      <c r="B23" s="30" t="s">
        <v>48</v>
      </c>
      <c r="C23" s="31"/>
      <c r="D23" s="42" t="s">
        <v>97</v>
      </c>
      <c r="E23" s="43"/>
      <c r="F23" s="43"/>
      <c r="G23" s="44"/>
      <c r="H23" s="33">
        <v>56</v>
      </c>
      <c r="I23" s="13">
        <f>SUM(H23)+2.4</f>
        <v>58.4</v>
      </c>
      <c r="J23" s="13">
        <f>SUM(I23)+2.4</f>
        <v>60.8</v>
      </c>
      <c r="K23" s="13"/>
      <c r="L23" s="13"/>
      <c r="M23" s="15"/>
    </row>
    <row r="24" spans="1:13" s="2" customFormat="1" ht="14.1" customHeight="1" x14ac:dyDescent="0.3">
      <c r="A24" s="35"/>
      <c r="B24" s="37" t="s">
        <v>49</v>
      </c>
      <c r="C24" s="38"/>
      <c r="D24" s="25" t="s">
        <v>102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28">
        <v>12</v>
      </c>
      <c r="B25" s="30" t="s">
        <v>50</v>
      </c>
      <c r="C25" s="31"/>
      <c r="D25" s="42" t="s">
        <v>51</v>
      </c>
      <c r="E25" s="43"/>
      <c r="F25" s="43"/>
      <c r="G25" s="44"/>
      <c r="H25" s="33">
        <v>29</v>
      </c>
      <c r="I25" s="13">
        <f>SUM(H25)+1.1</f>
        <v>30.1</v>
      </c>
      <c r="J25" s="13">
        <f>SUM(I25)+1.1</f>
        <v>31.200000000000003</v>
      </c>
      <c r="K25" s="45"/>
      <c r="L25" s="45"/>
      <c r="M25" s="47"/>
    </row>
    <row r="26" spans="1:13" s="2" customFormat="1" ht="14.1" customHeight="1" x14ac:dyDescent="0.3">
      <c r="A26" s="35"/>
      <c r="B26" s="37" t="s">
        <v>52</v>
      </c>
      <c r="C26" s="38"/>
      <c r="D26" s="39" t="s">
        <v>85</v>
      </c>
      <c r="E26" s="40"/>
      <c r="F26" s="40"/>
      <c r="G26" s="41"/>
      <c r="H26" s="36"/>
      <c r="I26" s="21"/>
      <c r="J26" s="21"/>
      <c r="K26" s="46"/>
      <c r="L26" s="46"/>
      <c r="M26" s="48"/>
    </row>
    <row r="27" spans="1:13" s="2" customFormat="1" ht="14.1" customHeight="1" x14ac:dyDescent="0.3">
      <c r="A27" s="28">
        <v>13</v>
      </c>
      <c r="B27" s="30" t="s">
        <v>53</v>
      </c>
      <c r="C27" s="31"/>
      <c r="D27" s="42" t="s">
        <v>51</v>
      </c>
      <c r="E27" s="43"/>
      <c r="F27" s="43"/>
      <c r="G27" s="44"/>
      <c r="H27" s="33">
        <v>38</v>
      </c>
      <c r="I27" s="13">
        <f>SUM(H27)+1.3</f>
        <v>39.299999999999997</v>
      </c>
      <c r="J27" s="13">
        <f>SUM(I27)+1.3</f>
        <v>40.599999999999994</v>
      </c>
      <c r="K27" s="45"/>
      <c r="L27" s="45"/>
      <c r="M27" s="47"/>
    </row>
    <row r="28" spans="1:13" s="2" customFormat="1" ht="14.1" customHeight="1" x14ac:dyDescent="0.3">
      <c r="A28" s="35"/>
      <c r="B28" s="37" t="s">
        <v>54</v>
      </c>
      <c r="C28" s="38"/>
      <c r="D28" s="39" t="s">
        <v>85</v>
      </c>
      <c r="E28" s="40"/>
      <c r="F28" s="40"/>
      <c r="G28" s="41"/>
      <c r="H28" s="36"/>
      <c r="I28" s="21"/>
      <c r="J28" s="21"/>
      <c r="K28" s="46"/>
      <c r="L28" s="46"/>
      <c r="M28" s="48"/>
    </row>
    <row r="29" spans="1:13" s="2" customFormat="1" ht="14.1" customHeight="1" x14ac:dyDescent="0.3">
      <c r="A29" s="28">
        <v>14</v>
      </c>
      <c r="B29" s="30" t="s">
        <v>55</v>
      </c>
      <c r="C29" s="31"/>
      <c r="D29" s="42" t="s">
        <v>56</v>
      </c>
      <c r="E29" s="43"/>
      <c r="F29" s="43"/>
      <c r="G29" s="44"/>
      <c r="H29" s="33">
        <v>60</v>
      </c>
      <c r="I29" s="13"/>
      <c r="J29" s="13"/>
      <c r="K29" s="13"/>
      <c r="L29" s="13"/>
      <c r="M29" s="15"/>
    </row>
    <row r="30" spans="1:13" s="2" customFormat="1" ht="14.1" customHeight="1" x14ac:dyDescent="0.3">
      <c r="A30" s="35"/>
      <c r="B30" s="37" t="s">
        <v>57</v>
      </c>
      <c r="C30" s="38"/>
      <c r="D30" s="39" t="s">
        <v>84</v>
      </c>
      <c r="E30" s="40"/>
      <c r="F30" s="40"/>
      <c r="G30" s="41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28">
        <v>15</v>
      </c>
      <c r="B31" s="30" t="s">
        <v>58</v>
      </c>
      <c r="C31" s="31"/>
      <c r="D31" s="42" t="s">
        <v>59</v>
      </c>
      <c r="E31" s="43"/>
      <c r="F31" s="43"/>
      <c r="G31" s="44"/>
      <c r="H31" s="33">
        <v>29.5</v>
      </c>
      <c r="I31" s="13"/>
      <c r="J31" s="13"/>
      <c r="K31" s="13"/>
      <c r="L31" s="13"/>
      <c r="M31" s="15"/>
    </row>
    <row r="32" spans="1:13" s="2" customFormat="1" ht="14.1" customHeight="1" x14ac:dyDescent="0.3">
      <c r="A32" s="35"/>
      <c r="B32" s="37" t="s">
        <v>60</v>
      </c>
      <c r="C32" s="38"/>
      <c r="D32" s="39" t="s">
        <v>83</v>
      </c>
      <c r="E32" s="40"/>
      <c r="F32" s="40"/>
      <c r="G32" s="41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28">
        <v>16</v>
      </c>
      <c r="B33" s="30" t="s">
        <v>82</v>
      </c>
      <c r="C33" s="31"/>
      <c r="D33" s="42" t="s">
        <v>80</v>
      </c>
      <c r="E33" s="43"/>
      <c r="F33" s="43"/>
      <c r="G33" s="44"/>
      <c r="H33" s="33"/>
      <c r="I33" s="13"/>
      <c r="J33" s="13"/>
      <c r="K33" s="13"/>
      <c r="L33" s="13"/>
      <c r="M33" s="15"/>
    </row>
    <row r="34" spans="1:13" s="2" customFormat="1" ht="14.1" customHeight="1" x14ac:dyDescent="0.3">
      <c r="A34" s="35"/>
      <c r="B34" s="37" t="s">
        <v>81</v>
      </c>
      <c r="C34" s="38"/>
      <c r="D34" s="39" t="s">
        <v>80</v>
      </c>
      <c r="E34" s="40"/>
      <c r="F34" s="40"/>
      <c r="G34" s="41"/>
      <c r="H34" s="36"/>
      <c r="I34" s="21"/>
      <c r="J34" s="21"/>
      <c r="K34" s="21"/>
      <c r="L34" s="21"/>
      <c r="M34" s="22"/>
    </row>
    <row r="35" spans="1:13" s="2" customFormat="1" ht="14.1" customHeight="1" x14ac:dyDescent="0.3">
      <c r="A35" s="28">
        <v>17</v>
      </c>
      <c r="B35" s="30" t="s">
        <v>79</v>
      </c>
      <c r="C35" s="31"/>
      <c r="D35" s="42" t="s">
        <v>78</v>
      </c>
      <c r="E35" s="43"/>
      <c r="F35" s="43"/>
      <c r="G35" s="44"/>
      <c r="H35" s="33"/>
      <c r="I35" s="13"/>
      <c r="J35" s="13"/>
      <c r="K35" s="13"/>
      <c r="L35" s="13"/>
      <c r="M35" s="15"/>
    </row>
    <row r="36" spans="1:13" s="2" customFormat="1" ht="14.1" customHeight="1" x14ac:dyDescent="0.3">
      <c r="A36" s="35"/>
      <c r="B36" s="37" t="s">
        <v>77</v>
      </c>
      <c r="C36" s="38"/>
      <c r="D36" s="39" t="s">
        <v>122</v>
      </c>
      <c r="E36" s="40"/>
      <c r="F36" s="40"/>
      <c r="G36" s="41"/>
      <c r="H36" s="36"/>
      <c r="I36" s="21"/>
      <c r="J36" s="21"/>
      <c r="K36" s="21"/>
      <c r="L36" s="21"/>
      <c r="M36" s="22"/>
    </row>
    <row r="37" spans="1:13" s="2" customFormat="1" ht="14.1" customHeight="1" x14ac:dyDescent="0.3">
      <c r="A37" s="28">
        <v>18</v>
      </c>
      <c r="B37" s="30" t="s">
        <v>76</v>
      </c>
      <c r="C37" s="31"/>
      <c r="D37" s="42" t="s">
        <v>96</v>
      </c>
      <c r="E37" s="43"/>
      <c r="F37" s="43"/>
      <c r="G37" s="44"/>
      <c r="H37" s="33">
        <v>9</v>
      </c>
      <c r="I37" s="13">
        <f>SUM(H37)+0.6</f>
        <v>9.6</v>
      </c>
      <c r="J37" s="13">
        <f>SUM(I37)+0.6</f>
        <v>10.199999999999999</v>
      </c>
      <c r="K37" s="13"/>
      <c r="L37" s="13"/>
      <c r="M37" s="15"/>
    </row>
    <row r="38" spans="1:13" s="2" customFormat="1" ht="14.1" customHeight="1" x14ac:dyDescent="0.3">
      <c r="A38" s="35"/>
      <c r="B38" s="37" t="s">
        <v>121</v>
      </c>
      <c r="C38" s="38"/>
      <c r="D38" s="39" t="s">
        <v>148</v>
      </c>
      <c r="E38" s="40"/>
      <c r="F38" s="40"/>
      <c r="G38" s="41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28">
        <v>19</v>
      </c>
      <c r="B39" s="30" t="s">
        <v>75</v>
      </c>
      <c r="C39" s="31"/>
      <c r="D39" s="42" t="s">
        <v>95</v>
      </c>
      <c r="E39" s="43"/>
      <c r="F39" s="43"/>
      <c r="G39" s="44"/>
      <c r="H39" s="33">
        <v>6</v>
      </c>
      <c r="I39" s="13">
        <f>SUM(H39)+0.2</f>
        <v>6.2</v>
      </c>
      <c r="J39" s="13">
        <f>SUM(I39)+0.2</f>
        <v>6.4</v>
      </c>
      <c r="K39" s="13"/>
      <c r="L39" s="13"/>
      <c r="M39" s="15"/>
    </row>
    <row r="40" spans="1:13" s="2" customFormat="1" ht="14.1" customHeight="1" x14ac:dyDescent="0.3">
      <c r="A40" s="35"/>
      <c r="B40" s="37" t="s">
        <v>120</v>
      </c>
      <c r="C40" s="38"/>
      <c r="D40" s="39" t="s">
        <v>149</v>
      </c>
      <c r="E40" s="40"/>
      <c r="F40" s="40"/>
      <c r="G40" s="41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28">
        <v>20</v>
      </c>
      <c r="B41" s="54" t="s">
        <v>94</v>
      </c>
      <c r="C41" s="55"/>
      <c r="D41" s="78"/>
      <c r="E41" s="78"/>
      <c r="F41" s="78"/>
      <c r="G41" s="78"/>
      <c r="H41" s="59">
        <v>13.5</v>
      </c>
      <c r="I41" s="60">
        <f>SUM(H41)+0.5</f>
        <v>14</v>
      </c>
      <c r="J41" s="60">
        <f>SUM(I41)+0.5</f>
        <v>14.5</v>
      </c>
      <c r="K41" s="13"/>
      <c r="L41" s="13"/>
      <c r="M41" s="15"/>
    </row>
    <row r="42" spans="1:13" s="2" customFormat="1" ht="14.1" customHeight="1" x14ac:dyDescent="0.3">
      <c r="A42" s="35"/>
      <c r="B42" s="23" t="s">
        <v>93</v>
      </c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79">
        <v>21</v>
      </c>
      <c r="B43" s="30" t="s">
        <v>92</v>
      </c>
      <c r="C43" s="31"/>
      <c r="D43" s="32"/>
      <c r="E43" s="32"/>
      <c r="F43" s="32"/>
      <c r="G43" s="32"/>
      <c r="H43" s="33">
        <v>13.5</v>
      </c>
      <c r="I43" s="13">
        <f>SUM(H43)+0.5</f>
        <v>14</v>
      </c>
      <c r="J43" s="13">
        <f>SUM(I43)+0.5</f>
        <v>14.5</v>
      </c>
      <c r="K43" s="13"/>
      <c r="L43" s="13"/>
      <c r="M43" s="15"/>
    </row>
    <row r="44" spans="1:13" s="2" customFormat="1" ht="14.1" customHeight="1" x14ac:dyDescent="0.3">
      <c r="A44" s="35"/>
      <c r="B44" s="46" t="s">
        <v>91</v>
      </c>
      <c r="C44" s="46"/>
      <c r="D44" s="25"/>
      <c r="E44" s="26"/>
      <c r="F44" s="26"/>
      <c r="G44" s="27"/>
      <c r="H44" s="36"/>
      <c r="I44" s="21"/>
      <c r="J44" s="21"/>
      <c r="K44" s="21"/>
      <c r="L44" s="21"/>
      <c r="M44" s="22"/>
    </row>
    <row r="45" spans="1:13" s="2" customFormat="1" ht="14.1" customHeight="1" x14ac:dyDescent="0.3">
      <c r="A45" s="28">
        <v>22</v>
      </c>
      <c r="B45" s="54"/>
      <c r="C45" s="55"/>
      <c r="D45" s="78"/>
      <c r="E45" s="78"/>
      <c r="F45" s="78"/>
      <c r="G45" s="78"/>
      <c r="H45" s="59"/>
      <c r="I45" s="60"/>
      <c r="J45" s="60"/>
      <c r="K45" s="60"/>
      <c r="L45" s="60"/>
      <c r="M45" s="61"/>
    </row>
    <row r="46" spans="1:13" s="2" customFormat="1" ht="14.1" customHeight="1" x14ac:dyDescent="0.3">
      <c r="A46" s="35"/>
      <c r="B46" s="23"/>
      <c r="C46" s="24"/>
      <c r="D46" s="25"/>
      <c r="E46" s="26"/>
      <c r="F46" s="26"/>
      <c r="G46" s="27"/>
      <c r="H46" s="36"/>
      <c r="I46" s="21"/>
      <c r="J46" s="21"/>
      <c r="K46" s="21"/>
      <c r="L46" s="21"/>
      <c r="M46" s="22"/>
    </row>
    <row r="47" spans="1:13" s="2" customFormat="1" ht="14.1" customHeight="1" x14ac:dyDescent="0.3">
      <c r="A47" s="28">
        <v>23</v>
      </c>
      <c r="B47" s="30"/>
      <c r="C47" s="31"/>
      <c r="D47" s="32"/>
      <c r="E47" s="32"/>
      <c r="F47" s="32"/>
      <c r="G47" s="32"/>
      <c r="H47" s="33"/>
      <c r="I47" s="13"/>
      <c r="J47" s="13"/>
      <c r="K47" s="13"/>
      <c r="L47" s="13"/>
      <c r="M47" s="15"/>
    </row>
    <row r="48" spans="1:13" s="2" customFormat="1" ht="14.1" customHeight="1" thickBot="1" x14ac:dyDescent="0.35">
      <c r="A48" s="29"/>
      <c r="B48" s="17"/>
      <c r="C48" s="17"/>
      <c r="D48" s="18"/>
      <c r="E48" s="19"/>
      <c r="F48" s="19"/>
      <c r="G48" s="20"/>
      <c r="H48" s="34"/>
      <c r="I48" s="14"/>
      <c r="J48" s="14"/>
      <c r="K48" s="14"/>
      <c r="L48" s="14"/>
      <c r="M48" s="16"/>
    </row>
    <row r="49" spans="1:13" s="2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2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2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2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4.1" customHeight="1" x14ac:dyDescent="0.3"/>
    <row r="54" spans="1:13" ht="14.1" customHeight="1" x14ac:dyDescent="0.3"/>
    <row r="55" spans="1:13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7:J48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C1F7-6559-4396-9A8C-7D5436D96C35}">
  <sheetPr>
    <tabColor rgb="FF00B0F0"/>
    <pageSetUpPr fitToPage="1"/>
  </sheetPr>
  <dimension ref="A1:M55"/>
  <sheetViews>
    <sheetView zoomScale="110" zoomScaleNormal="110" workbookViewId="0">
      <selection sqref="A1:M3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330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116">
        <v>62</v>
      </c>
      <c r="I3" s="117">
        <f>SUM(H3)+2.5</f>
        <v>64.5</v>
      </c>
      <c r="J3" s="117">
        <f>SUM(I3)+2.5</f>
        <v>67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33"/>
      <c r="I5" s="13"/>
      <c r="J5" s="13"/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33"/>
      <c r="I7" s="13"/>
      <c r="J7" s="13"/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33"/>
      <c r="I9" s="13"/>
      <c r="J9" s="13"/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/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93">
        <v>91</v>
      </c>
      <c r="I11" s="89">
        <f>SUM(H11)+4.5</f>
        <v>95.5</v>
      </c>
      <c r="J11" s="89">
        <f>SUM(I11)+4.5</f>
        <v>100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93"/>
      <c r="I12" s="89"/>
      <c r="J12" s="89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135</v>
      </c>
      <c r="C13" s="31"/>
      <c r="D13" s="42" t="s">
        <v>87</v>
      </c>
      <c r="E13" s="43"/>
      <c r="F13" s="43"/>
      <c r="G13" s="44"/>
      <c r="H13" s="93">
        <v>36.9</v>
      </c>
      <c r="I13" s="89">
        <f>SUM(H13)+1.5</f>
        <v>38.4</v>
      </c>
      <c r="J13" s="89">
        <f>SUM(I13)+1.5</f>
        <v>39.9</v>
      </c>
      <c r="K13" s="13"/>
      <c r="L13" s="13"/>
      <c r="M13" s="15"/>
    </row>
    <row r="14" spans="1:13" s="2" customFormat="1" ht="14.1" customHeight="1" x14ac:dyDescent="0.3">
      <c r="A14" s="35"/>
      <c r="B14" s="37" t="s">
        <v>136</v>
      </c>
      <c r="C14" s="38"/>
      <c r="D14" s="39" t="s">
        <v>86</v>
      </c>
      <c r="E14" s="40"/>
      <c r="F14" s="40"/>
      <c r="G14" s="41"/>
      <c r="H14" s="93"/>
      <c r="I14" s="89"/>
      <c r="J14" s="89"/>
      <c r="K14" s="21"/>
      <c r="L14" s="21"/>
      <c r="M14" s="22"/>
    </row>
    <row r="15" spans="1:13" s="2" customFormat="1" ht="14.1" customHeight="1" x14ac:dyDescent="0.3">
      <c r="A15" s="28">
        <v>7</v>
      </c>
      <c r="B15" s="30"/>
      <c r="C15" s="31"/>
      <c r="D15" s="42"/>
      <c r="E15" s="43"/>
      <c r="F15" s="43"/>
      <c r="G15" s="44"/>
      <c r="H15" s="93"/>
      <c r="I15" s="89"/>
      <c r="J15" s="89"/>
      <c r="K15" s="13"/>
      <c r="L15" s="13"/>
      <c r="M15" s="15"/>
    </row>
    <row r="16" spans="1:13" s="2" customFormat="1" ht="14.1" customHeight="1" x14ac:dyDescent="0.3">
      <c r="A16" s="28"/>
      <c r="B16" s="54"/>
      <c r="C16" s="55"/>
      <c r="D16" s="56"/>
      <c r="E16" s="57"/>
      <c r="F16" s="57"/>
      <c r="G16" s="58"/>
      <c r="H16" s="33"/>
      <c r="I16" s="13"/>
      <c r="J16" s="13"/>
      <c r="K16" s="60"/>
      <c r="L16" s="60"/>
      <c r="M16" s="61"/>
    </row>
    <row r="17" spans="1:13" s="2" customFormat="1" ht="14.1" customHeight="1" x14ac:dyDescent="0.3">
      <c r="A17" s="79">
        <v>8</v>
      </c>
      <c r="B17" s="30"/>
      <c r="C17" s="31"/>
      <c r="D17" s="42"/>
      <c r="E17" s="43"/>
      <c r="F17" s="43"/>
      <c r="G17" s="44"/>
      <c r="H17" s="93"/>
      <c r="I17" s="89"/>
      <c r="J17" s="89"/>
      <c r="K17" s="13"/>
      <c r="L17" s="13"/>
      <c r="M17" s="15"/>
    </row>
    <row r="18" spans="1:13" s="2" customFormat="1" ht="14.1" customHeight="1" thickBot="1" x14ac:dyDescent="0.35">
      <c r="A18" s="29"/>
      <c r="B18" s="81"/>
      <c r="C18" s="82"/>
      <c r="D18" s="18"/>
      <c r="E18" s="19"/>
      <c r="F18" s="19"/>
      <c r="G18" s="20"/>
      <c r="H18" s="95"/>
      <c r="I18" s="121"/>
      <c r="J18" s="121"/>
      <c r="K18" s="14"/>
      <c r="L18" s="14"/>
      <c r="M18" s="16"/>
    </row>
    <row r="19" spans="1:13" s="2" customFormat="1" ht="14.1" customHeight="1" thickBot="1" x14ac:dyDescent="0.35">
      <c r="A19" s="118" t="s">
        <v>140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</row>
    <row r="20" spans="1:13" s="2" customFormat="1" ht="14.1" customHeight="1" x14ac:dyDescent="0.3">
      <c r="A20" s="71">
        <v>9</v>
      </c>
      <c r="B20" s="72" t="s">
        <v>44</v>
      </c>
      <c r="C20" s="73"/>
      <c r="D20" s="74" t="s">
        <v>137</v>
      </c>
      <c r="E20" s="75"/>
      <c r="F20" s="75"/>
      <c r="G20" s="76"/>
      <c r="H20" s="116">
        <v>75.2</v>
      </c>
      <c r="I20" s="117">
        <f>SUM(H20)+4</f>
        <v>79.2</v>
      </c>
      <c r="J20" s="117">
        <f>SUM(I20)+4</f>
        <v>83.2</v>
      </c>
      <c r="K20" s="68"/>
      <c r="L20" s="122"/>
      <c r="M20" s="123"/>
    </row>
    <row r="21" spans="1:13" s="2" customFormat="1" ht="14.1" customHeight="1" x14ac:dyDescent="0.3">
      <c r="A21" s="35"/>
      <c r="B21" s="37" t="s">
        <v>45</v>
      </c>
      <c r="C21" s="38"/>
      <c r="D21" s="39" t="s">
        <v>88</v>
      </c>
      <c r="E21" s="40"/>
      <c r="F21" s="40"/>
      <c r="G21" s="41"/>
      <c r="H21" s="33"/>
      <c r="I21" s="13"/>
      <c r="J21" s="13"/>
      <c r="K21" s="21"/>
      <c r="L21" s="46"/>
      <c r="M21" s="48"/>
    </row>
    <row r="22" spans="1:13" s="2" customFormat="1" ht="14.1" customHeight="1" x14ac:dyDescent="0.3">
      <c r="A22" s="28">
        <v>10</v>
      </c>
      <c r="B22" s="30" t="s">
        <v>100</v>
      </c>
      <c r="C22" s="31"/>
      <c r="D22" s="42"/>
      <c r="E22" s="43"/>
      <c r="F22" s="43"/>
      <c r="G22" s="44"/>
      <c r="H22" s="93">
        <v>15.8</v>
      </c>
      <c r="I22" s="89">
        <f>SUM(H22)+0.7</f>
        <v>16.5</v>
      </c>
      <c r="J22" s="89">
        <f>SUM(I22)+0.7</f>
        <v>17.2</v>
      </c>
      <c r="K22" s="13"/>
      <c r="L22" s="45"/>
      <c r="M22" s="47"/>
    </row>
    <row r="23" spans="1:13" s="2" customFormat="1" ht="14.1" customHeight="1" x14ac:dyDescent="0.3">
      <c r="A23" s="35"/>
      <c r="B23" s="37" t="s">
        <v>101</v>
      </c>
      <c r="C23" s="38"/>
      <c r="D23" s="51" t="s">
        <v>138</v>
      </c>
      <c r="E23" s="52"/>
      <c r="F23" s="52"/>
      <c r="G23" s="53"/>
      <c r="H23" s="93"/>
      <c r="I23" s="89"/>
      <c r="J23" s="89"/>
      <c r="K23" s="21"/>
      <c r="L23" s="46"/>
      <c r="M23" s="48"/>
    </row>
    <row r="24" spans="1:13" s="2" customFormat="1" ht="14.1" customHeight="1" x14ac:dyDescent="0.3">
      <c r="A24" s="28">
        <v>11</v>
      </c>
      <c r="B24" s="30" t="s">
        <v>46</v>
      </c>
      <c r="C24" s="31"/>
      <c r="D24" s="42" t="s">
        <v>87</v>
      </c>
      <c r="E24" s="43"/>
      <c r="F24" s="43"/>
      <c r="G24" s="44"/>
      <c r="H24" s="93">
        <v>34</v>
      </c>
      <c r="I24" s="89">
        <f>SUM(H24)+1.5</f>
        <v>35.5</v>
      </c>
      <c r="J24" s="89">
        <f>SUM(I24)+1.5</f>
        <v>37</v>
      </c>
      <c r="K24" s="13"/>
      <c r="L24" s="13"/>
      <c r="M24" s="15"/>
    </row>
    <row r="25" spans="1:13" s="2" customFormat="1" ht="14.1" customHeight="1" x14ac:dyDescent="0.3">
      <c r="A25" s="35"/>
      <c r="B25" s="37" t="s">
        <v>47</v>
      </c>
      <c r="C25" s="38"/>
      <c r="D25" s="39" t="s">
        <v>86</v>
      </c>
      <c r="E25" s="40"/>
      <c r="F25" s="40"/>
      <c r="G25" s="41"/>
      <c r="H25" s="93"/>
      <c r="I25" s="89"/>
      <c r="J25" s="89"/>
      <c r="K25" s="21"/>
      <c r="L25" s="21"/>
      <c r="M25" s="22"/>
    </row>
    <row r="26" spans="1:13" s="2" customFormat="1" ht="14.1" customHeight="1" x14ac:dyDescent="0.3">
      <c r="A26" s="28">
        <v>12</v>
      </c>
      <c r="B26" s="30" t="s">
        <v>48</v>
      </c>
      <c r="C26" s="31"/>
      <c r="D26" s="42" t="s">
        <v>97</v>
      </c>
      <c r="E26" s="43"/>
      <c r="F26" s="43"/>
      <c r="G26" s="44"/>
      <c r="H26" s="93">
        <v>40</v>
      </c>
      <c r="I26" s="89">
        <f>SUM(H26)+2.2</f>
        <v>42.2</v>
      </c>
      <c r="J26" s="13">
        <f>SUM(I26)+2.2</f>
        <v>44.400000000000006</v>
      </c>
      <c r="K26" s="13"/>
      <c r="L26" s="13"/>
      <c r="M26" s="15"/>
    </row>
    <row r="27" spans="1:13" s="2" customFormat="1" ht="14.1" customHeight="1" x14ac:dyDescent="0.3">
      <c r="A27" s="35"/>
      <c r="B27" s="37" t="s">
        <v>49</v>
      </c>
      <c r="C27" s="38"/>
      <c r="D27" s="25" t="s">
        <v>102</v>
      </c>
      <c r="E27" s="26"/>
      <c r="F27" s="26"/>
      <c r="G27" s="27"/>
      <c r="H27" s="93"/>
      <c r="I27" s="89"/>
      <c r="J27" s="21"/>
      <c r="K27" s="21"/>
      <c r="L27" s="21"/>
      <c r="M27" s="22"/>
    </row>
    <row r="28" spans="1:13" s="2" customFormat="1" ht="14.1" customHeight="1" x14ac:dyDescent="0.3">
      <c r="A28" s="28">
        <v>13</v>
      </c>
      <c r="B28" s="30" t="s">
        <v>50</v>
      </c>
      <c r="C28" s="31"/>
      <c r="D28" s="42" t="s">
        <v>51</v>
      </c>
      <c r="E28" s="43"/>
      <c r="F28" s="43"/>
      <c r="G28" s="44"/>
      <c r="H28" s="93">
        <v>25.4</v>
      </c>
      <c r="I28" s="89">
        <f>SUM(H28)+1.1</f>
        <v>26.5</v>
      </c>
      <c r="J28" s="89">
        <f>SUM(I28)+1.1</f>
        <v>27.6</v>
      </c>
      <c r="K28" s="13"/>
      <c r="L28" s="13"/>
      <c r="M28" s="15"/>
    </row>
    <row r="29" spans="1:13" s="2" customFormat="1" ht="14.1" customHeight="1" x14ac:dyDescent="0.3">
      <c r="A29" s="35"/>
      <c r="B29" s="37" t="s">
        <v>52</v>
      </c>
      <c r="C29" s="38"/>
      <c r="D29" s="39" t="s">
        <v>85</v>
      </c>
      <c r="E29" s="40"/>
      <c r="F29" s="40"/>
      <c r="G29" s="41"/>
      <c r="H29" s="93"/>
      <c r="I29" s="89"/>
      <c r="J29" s="89"/>
      <c r="K29" s="21"/>
      <c r="L29" s="21"/>
      <c r="M29" s="22"/>
    </row>
    <row r="30" spans="1:13" s="2" customFormat="1" ht="14.1" customHeight="1" x14ac:dyDescent="0.3">
      <c r="A30" s="28">
        <v>14</v>
      </c>
      <c r="B30" s="30" t="s">
        <v>53</v>
      </c>
      <c r="C30" s="31"/>
      <c r="D30" s="42" t="s">
        <v>51</v>
      </c>
      <c r="E30" s="43"/>
      <c r="F30" s="43"/>
      <c r="G30" s="44"/>
      <c r="H30" s="93">
        <v>28.8</v>
      </c>
      <c r="I30" s="89">
        <f>SUM(H30)+1.3</f>
        <v>30.1</v>
      </c>
      <c r="J30" s="89">
        <f>SUM(I30)+1.3</f>
        <v>31.400000000000002</v>
      </c>
      <c r="K30" s="13"/>
      <c r="L30" s="45"/>
      <c r="M30" s="47"/>
    </row>
    <row r="31" spans="1:13" s="2" customFormat="1" ht="14.1" customHeight="1" x14ac:dyDescent="0.3">
      <c r="A31" s="35"/>
      <c r="B31" s="37" t="s">
        <v>54</v>
      </c>
      <c r="C31" s="38"/>
      <c r="D31" s="39" t="s">
        <v>85</v>
      </c>
      <c r="E31" s="40"/>
      <c r="F31" s="40"/>
      <c r="G31" s="41"/>
      <c r="H31" s="93"/>
      <c r="I31" s="89"/>
      <c r="J31" s="89"/>
      <c r="K31" s="21"/>
      <c r="L31" s="46"/>
      <c r="M31" s="48"/>
    </row>
    <row r="32" spans="1:13" s="2" customFormat="1" ht="14.1" customHeight="1" x14ac:dyDescent="0.3">
      <c r="A32" s="28">
        <v>15</v>
      </c>
      <c r="B32" s="30" t="s">
        <v>55</v>
      </c>
      <c r="C32" s="31"/>
      <c r="D32" s="42" t="s">
        <v>56</v>
      </c>
      <c r="E32" s="43"/>
      <c r="F32" s="43"/>
      <c r="G32" s="44"/>
      <c r="H32" s="93"/>
      <c r="I32" s="89"/>
      <c r="J32" s="89"/>
      <c r="K32" s="13"/>
      <c r="L32" s="13"/>
      <c r="M32" s="15"/>
    </row>
    <row r="33" spans="1:13" s="2" customFormat="1" ht="14.1" customHeight="1" x14ac:dyDescent="0.3">
      <c r="A33" s="35"/>
      <c r="B33" s="37" t="s">
        <v>57</v>
      </c>
      <c r="C33" s="38"/>
      <c r="D33" s="39" t="s">
        <v>84</v>
      </c>
      <c r="E33" s="40"/>
      <c r="F33" s="40"/>
      <c r="G33" s="41"/>
      <c r="H33" s="93"/>
      <c r="I33" s="89"/>
      <c r="J33" s="89"/>
      <c r="K33" s="21"/>
      <c r="L33" s="21"/>
      <c r="M33" s="22"/>
    </row>
    <row r="34" spans="1:13" s="2" customFormat="1" ht="14.1" customHeight="1" x14ac:dyDescent="0.3">
      <c r="A34" s="28">
        <v>16</v>
      </c>
      <c r="B34" s="30" t="s">
        <v>58</v>
      </c>
      <c r="C34" s="31"/>
      <c r="D34" s="42" t="s">
        <v>59</v>
      </c>
      <c r="E34" s="43"/>
      <c r="F34" s="43"/>
      <c r="G34" s="44"/>
      <c r="H34" s="93"/>
      <c r="I34" s="89"/>
      <c r="J34" s="89"/>
      <c r="K34" s="13"/>
      <c r="L34" s="13"/>
      <c r="M34" s="15"/>
    </row>
    <row r="35" spans="1:13" s="2" customFormat="1" ht="14.1" customHeight="1" x14ac:dyDescent="0.3">
      <c r="A35" s="35"/>
      <c r="B35" s="37" t="s">
        <v>60</v>
      </c>
      <c r="C35" s="38"/>
      <c r="D35" s="39" t="s">
        <v>83</v>
      </c>
      <c r="E35" s="40"/>
      <c r="F35" s="40"/>
      <c r="G35" s="41"/>
      <c r="H35" s="93"/>
      <c r="I35" s="89"/>
      <c r="J35" s="89"/>
      <c r="K35" s="21"/>
      <c r="L35" s="21"/>
      <c r="M35" s="22"/>
    </row>
    <row r="36" spans="1:13" s="2" customFormat="1" ht="14.1" customHeight="1" x14ac:dyDescent="0.3">
      <c r="A36" s="28">
        <v>17</v>
      </c>
      <c r="B36" s="30" t="s">
        <v>82</v>
      </c>
      <c r="C36" s="31"/>
      <c r="D36" s="42" t="s">
        <v>80</v>
      </c>
      <c r="E36" s="43"/>
      <c r="F36" s="43"/>
      <c r="G36" s="44"/>
      <c r="H36" s="93"/>
      <c r="I36" s="89"/>
      <c r="J36" s="89"/>
      <c r="K36" s="13"/>
      <c r="L36" s="13"/>
      <c r="M36" s="15"/>
    </row>
    <row r="37" spans="1:13" s="2" customFormat="1" ht="14.1" customHeight="1" x14ac:dyDescent="0.3">
      <c r="A37" s="35"/>
      <c r="B37" s="37" t="s">
        <v>81</v>
      </c>
      <c r="C37" s="38"/>
      <c r="D37" s="39" t="s">
        <v>80</v>
      </c>
      <c r="E37" s="40"/>
      <c r="F37" s="40"/>
      <c r="G37" s="41"/>
      <c r="H37" s="93"/>
      <c r="I37" s="89"/>
      <c r="J37" s="89"/>
      <c r="K37" s="21"/>
      <c r="L37" s="21"/>
      <c r="M37" s="22"/>
    </row>
    <row r="38" spans="1:13" s="2" customFormat="1" ht="14.1" customHeight="1" x14ac:dyDescent="0.3">
      <c r="A38" s="79">
        <v>18</v>
      </c>
      <c r="B38" s="30" t="s">
        <v>79</v>
      </c>
      <c r="C38" s="31"/>
      <c r="D38" s="42" t="s">
        <v>78</v>
      </c>
      <c r="E38" s="43"/>
      <c r="F38" s="43"/>
      <c r="G38" s="44"/>
      <c r="H38" s="93"/>
      <c r="I38" s="89"/>
      <c r="J38" s="89"/>
      <c r="K38" s="13"/>
      <c r="L38" s="13"/>
      <c r="M38" s="15"/>
    </row>
    <row r="39" spans="1:13" s="2" customFormat="1" ht="14.1" customHeight="1" thickBot="1" x14ac:dyDescent="0.35">
      <c r="A39" s="29"/>
      <c r="B39" s="99" t="s">
        <v>77</v>
      </c>
      <c r="C39" s="100"/>
      <c r="D39" s="124" t="s">
        <v>139</v>
      </c>
      <c r="E39" s="125"/>
      <c r="F39" s="125"/>
      <c r="G39" s="126"/>
      <c r="H39" s="95"/>
      <c r="I39" s="121"/>
      <c r="J39" s="121"/>
      <c r="K39" s="14"/>
      <c r="L39" s="14"/>
      <c r="M39" s="16"/>
    </row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</sheetData>
  <mergeCells count="202">
    <mergeCell ref="J38:J39"/>
    <mergeCell ref="K38:K39"/>
    <mergeCell ref="L38:L39"/>
    <mergeCell ref="M38:M39"/>
    <mergeCell ref="B39:C39"/>
    <mergeCell ref="D39:G39"/>
    <mergeCell ref="K36:K37"/>
    <mergeCell ref="L36:L37"/>
    <mergeCell ref="M36:M37"/>
    <mergeCell ref="B37:C37"/>
    <mergeCell ref="D37:G37"/>
    <mergeCell ref="J36:J37"/>
    <mergeCell ref="A38:A39"/>
    <mergeCell ref="B38:C38"/>
    <mergeCell ref="D38:G38"/>
    <mergeCell ref="H38:H39"/>
    <mergeCell ref="I38:I39"/>
    <mergeCell ref="A36:A37"/>
    <mergeCell ref="B36:C36"/>
    <mergeCell ref="D36:G36"/>
    <mergeCell ref="H36:H37"/>
    <mergeCell ref="I36:I37"/>
    <mergeCell ref="J34:J35"/>
    <mergeCell ref="K34:K35"/>
    <mergeCell ref="L34:L35"/>
    <mergeCell ref="M34:M35"/>
    <mergeCell ref="B35:C35"/>
    <mergeCell ref="D35:G35"/>
    <mergeCell ref="K32:K33"/>
    <mergeCell ref="L32:L33"/>
    <mergeCell ref="M32:M33"/>
    <mergeCell ref="B33:C33"/>
    <mergeCell ref="D33:G33"/>
    <mergeCell ref="J32:J33"/>
    <mergeCell ref="A34:A35"/>
    <mergeCell ref="B34:C34"/>
    <mergeCell ref="D34:G34"/>
    <mergeCell ref="H34:H35"/>
    <mergeCell ref="I34:I35"/>
    <mergeCell ref="A32:A33"/>
    <mergeCell ref="B32:C32"/>
    <mergeCell ref="D32:G32"/>
    <mergeCell ref="H32:H33"/>
    <mergeCell ref="I32:I33"/>
    <mergeCell ref="J30:J31"/>
    <mergeCell ref="K30:K31"/>
    <mergeCell ref="L30:L31"/>
    <mergeCell ref="M30:M31"/>
    <mergeCell ref="B31:C31"/>
    <mergeCell ref="D31:G31"/>
    <mergeCell ref="K28:K29"/>
    <mergeCell ref="L28:L29"/>
    <mergeCell ref="M28:M29"/>
    <mergeCell ref="B29:C29"/>
    <mergeCell ref="D29:G29"/>
    <mergeCell ref="J28:J29"/>
    <mergeCell ref="A30:A31"/>
    <mergeCell ref="B30:C30"/>
    <mergeCell ref="D30:G30"/>
    <mergeCell ref="H30:H31"/>
    <mergeCell ref="I30:I31"/>
    <mergeCell ref="A28:A29"/>
    <mergeCell ref="B28:C28"/>
    <mergeCell ref="D28:G28"/>
    <mergeCell ref="H28:H29"/>
    <mergeCell ref="I28:I29"/>
    <mergeCell ref="J26:J27"/>
    <mergeCell ref="K26:K27"/>
    <mergeCell ref="L26:L27"/>
    <mergeCell ref="M26:M27"/>
    <mergeCell ref="B27:C27"/>
    <mergeCell ref="D27:G27"/>
    <mergeCell ref="K24:K25"/>
    <mergeCell ref="L24:L25"/>
    <mergeCell ref="M24:M25"/>
    <mergeCell ref="B25:C25"/>
    <mergeCell ref="D25:G25"/>
    <mergeCell ref="J24:J25"/>
    <mergeCell ref="A26:A27"/>
    <mergeCell ref="B26:C26"/>
    <mergeCell ref="D26:G26"/>
    <mergeCell ref="H26:H27"/>
    <mergeCell ref="I26:I27"/>
    <mergeCell ref="A24:A25"/>
    <mergeCell ref="B24:C24"/>
    <mergeCell ref="D24:G24"/>
    <mergeCell ref="H24:H25"/>
    <mergeCell ref="I24:I25"/>
    <mergeCell ref="J22:J23"/>
    <mergeCell ref="K22:K23"/>
    <mergeCell ref="L22:L23"/>
    <mergeCell ref="M22:M23"/>
    <mergeCell ref="B23:C23"/>
    <mergeCell ref="D23:G23"/>
    <mergeCell ref="K20:K21"/>
    <mergeCell ref="L20:L21"/>
    <mergeCell ref="M20:M21"/>
    <mergeCell ref="B21:C21"/>
    <mergeCell ref="D21:G21"/>
    <mergeCell ref="J20:J21"/>
    <mergeCell ref="A22:A23"/>
    <mergeCell ref="B22:C22"/>
    <mergeCell ref="D22:G22"/>
    <mergeCell ref="H22:H23"/>
    <mergeCell ref="I22:I23"/>
    <mergeCell ref="A20:A21"/>
    <mergeCell ref="B20:C20"/>
    <mergeCell ref="D20:G20"/>
    <mergeCell ref="H20:H21"/>
    <mergeCell ref="I20:I21"/>
    <mergeCell ref="K17:K18"/>
    <mergeCell ref="L17:L18"/>
    <mergeCell ref="M17:M18"/>
    <mergeCell ref="B18:C18"/>
    <mergeCell ref="D18:G18"/>
    <mergeCell ref="A19:M19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D6EF-B66D-47CC-BEEC-21F966EF9145}">
  <sheetPr>
    <tabColor rgb="FF00B0F0"/>
    <pageSetUpPr fitToPage="1"/>
  </sheetPr>
  <dimension ref="A1:M55"/>
  <sheetViews>
    <sheetView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71">
        <v>1</v>
      </c>
      <c r="B3" s="72" t="s">
        <v>130</v>
      </c>
      <c r="C3" s="73"/>
      <c r="D3" s="74" t="s">
        <v>90</v>
      </c>
      <c r="E3" s="75"/>
      <c r="F3" s="75"/>
      <c r="G3" s="76"/>
      <c r="H3" s="116">
        <v>64</v>
      </c>
      <c r="I3" s="117">
        <f>SUM(H3)+2.5</f>
        <v>66.5</v>
      </c>
      <c r="J3" s="117">
        <f>SUM(I3)+2.5</f>
        <v>69</v>
      </c>
      <c r="K3" s="68"/>
      <c r="L3" s="68"/>
      <c r="M3" s="69"/>
    </row>
    <row r="4" spans="1:13" s="2" customFormat="1" ht="14.1" customHeight="1" x14ac:dyDescent="0.3">
      <c r="A4" s="35"/>
      <c r="B4" s="37" t="s">
        <v>129</v>
      </c>
      <c r="C4" s="38"/>
      <c r="D4" s="39" t="s">
        <v>89</v>
      </c>
      <c r="E4" s="40"/>
      <c r="F4" s="40"/>
      <c r="G4" s="41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28">
        <v>2</v>
      </c>
      <c r="B5" s="54" t="s">
        <v>128</v>
      </c>
      <c r="C5" s="55"/>
      <c r="D5" s="56"/>
      <c r="E5" s="57"/>
      <c r="F5" s="57"/>
      <c r="G5" s="58"/>
      <c r="H5" s="33">
        <v>24</v>
      </c>
      <c r="I5" s="13">
        <f>SUM(H5)+1</f>
        <v>25</v>
      </c>
      <c r="J5" s="13">
        <f>SUM(I5)+1</f>
        <v>26</v>
      </c>
      <c r="K5" s="60"/>
      <c r="L5" s="60"/>
      <c r="M5" s="61"/>
    </row>
    <row r="6" spans="1:13" s="2" customFormat="1" ht="14.1" customHeight="1" x14ac:dyDescent="0.3">
      <c r="A6" s="35"/>
      <c r="B6" s="37" t="s">
        <v>127</v>
      </c>
      <c r="C6" s="38"/>
      <c r="D6" s="39"/>
      <c r="E6" s="40"/>
      <c r="F6" s="40"/>
      <c r="G6" s="41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28">
        <v>3</v>
      </c>
      <c r="B7" s="54" t="s">
        <v>98</v>
      </c>
      <c r="C7" s="55"/>
      <c r="D7" s="56"/>
      <c r="E7" s="57"/>
      <c r="F7" s="57"/>
      <c r="G7" s="58"/>
      <c r="H7" s="33">
        <v>40</v>
      </c>
      <c r="I7" s="13">
        <f>SUM(H7)+1.5</f>
        <v>41.5</v>
      </c>
      <c r="J7" s="13">
        <f>SUM(I7)+1.5</f>
        <v>43</v>
      </c>
      <c r="K7" s="60"/>
      <c r="L7" s="60"/>
      <c r="M7" s="61"/>
    </row>
    <row r="8" spans="1:13" s="2" customFormat="1" ht="14.1" customHeight="1" x14ac:dyDescent="0.3">
      <c r="A8" s="35"/>
      <c r="B8" s="37" t="s">
        <v>126</v>
      </c>
      <c r="C8" s="38"/>
      <c r="D8" s="39"/>
      <c r="E8" s="40"/>
      <c r="F8" s="40"/>
      <c r="G8" s="41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28">
        <v>4</v>
      </c>
      <c r="B9" s="30" t="s">
        <v>112</v>
      </c>
      <c r="C9" s="31"/>
      <c r="D9" s="65"/>
      <c r="E9" s="66"/>
      <c r="F9" s="66"/>
      <c r="G9" s="67"/>
      <c r="H9" s="33">
        <v>46</v>
      </c>
      <c r="I9" s="13">
        <f>SUM(H9)+1.5</f>
        <v>47.5</v>
      </c>
      <c r="J9" s="13">
        <f>SUM(I9)+1.5</f>
        <v>49</v>
      </c>
      <c r="K9" s="60"/>
      <c r="L9" s="60"/>
      <c r="M9" s="61"/>
    </row>
    <row r="10" spans="1:13" s="2" customFormat="1" ht="14.1" customHeight="1" x14ac:dyDescent="0.3">
      <c r="A10" s="35"/>
      <c r="B10" s="37" t="s">
        <v>113</v>
      </c>
      <c r="C10" s="38"/>
      <c r="D10" s="62" t="s">
        <v>269</v>
      </c>
      <c r="E10" s="63"/>
      <c r="F10" s="63"/>
      <c r="G10" s="64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28">
        <v>5</v>
      </c>
      <c r="B11" s="30" t="s">
        <v>99</v>
      </c>
      <c r="C11" s="31"/>
      <c r="D11" s="56"/>
      <c r="E11" s="57"/>
      <c r="F11" s="57"/>
      <c r="G11" s="58"/>
      <c r="H11" s="93">
        <v>96</v>
      </c>
      <c r="I11" s="89">
        <f>SUM(H11)+4.5</f>
        <v>100.5</v>
      </c>
      <c r="J11" s="89">
        <f>SUM(I11)+4.5</f>
        <v>105</v>
      </c>
      <c r="K11" s="60"/>
      <c r="L11" s="60"/>
      <c r="M11" s="61"/>
    </row>
    <row r="12" spans="1:13" s="2" customFormat="1" ht="14.1" customHeight="1" x14ac:dyDescent="0.3">
      <c r="A12" s="35"/>
      <c r="B12" s="37" t="s">
        <v>125</v>
      </c>
      <c r="C12" s="38"/>
      <c r="D12" s="39"/>
      <c r="E12" s="40"/>
      <c r="F12" s="40"/>
      <c r="G12" s="41"/>
      <c r="H12" s="93"/>
      <c r="I12" s="89"/>
      <c r="J12" s="89"/>
      <c r="K12" s="21"/>
      <c r="L12" s="21"/>
      <c r="M12" s="22"/>
    </row>
    <row r="13" spans="1:13" s="2" customFormat="1" ht="14.1" customHeight="1" x14ac:dyDescent="0.3">
      <c r="A13" s="28">
        <v>6</v>
      </c>
      <c r="B13" s="30" t="s">
        <v>135</v>
      </c>
      <c r="C13" s="31"/>
      <c r="D13" s="42" t="s">
        <v>87</v>
      </c>
      <c r="E13" s="43"/>
      <c r="F13" s="43"/>
      <c r="G13" s="44"/>
      <c r="H13" s="93">
        <v>36.799999999999997</v>
      </c>
      <c r="I13" s="89">
        <f>SUM(H13)+1.5</f>
        <v>38.299999999999997</v>
      </c>
      <c r="J13" s="89">
        <f>SUM(I13)+1.5</f>
        <v>39.799999999999997</v>
      </c>
      <c r="K13" s="13"/>
      <c r="L13" s="13"/>
      <c r="M13" s="15"/>
    </row>
    <row r="14" spans="1:13" s="2" customFormat="1" ht="14.1" customHeight="1" x14ac:dyDescent="0.3">
      <c r="A14" s="35"/>
      <c r="B14" s="37" t="s">
        <v>270</v>
      </c>
      <c r="C14" s="38"/>
      <c r="D14" s="39" t="s">
        <v>86</v>
      </c>
      <c r="E14" s="40"/>
      <c r="F14" s="40"/>
      <c r="G14" s="41"/>
      <c r="H14" s="93"/>
      <c r="I14" s="89"/>
      <c r="J14" s="89"/>
      <c r="K14" s="21"/>
      <c r="L14" s="21"/>
      <c r="M14" s="22"/>
    </row>
    <row r="15" spans="1:13" s="2" customFormat="1" ht="14.1" customHeight="1" x14ac:dyDescent="0.3">
      <c r="A15" s="28">
        <v>7</v>
      </c>
      <c r="B15" s="30"/>
      <c r="C15" s="31"/>
      <c r="D15" s="42"/>
      <c r="E15" s="43"/>
      <c r="F15" s="43"/>
      <c r="G15" s="44"/>
      <c r="H15" s="93"/>
      <c r="I15" s="89"/>
      <c r="J15" s="89"/>
      <c r="K15" s="13"/>
      <c r="L15" s="13"/>
      <c r="M15" s="15"/>
    </row>
    <row r="16" spans="1:13" s="2" customFormat="1" ht="14.1" customHeight="1" x14ac:dyDescent="0.3">
      <c r="A16" s="28"/>
      <c r="B16" s="54"/>
      <c r="C16" s="55"/>
      <c r="D16" s="56"/>
      <c r="E16" s="57"/>
      <c r="F16" s="57"/>
      <c r="G16" s="58"/>
      <c r="H16" s="33"/>
      <c r="I16" s="13"/>
      <c r="J16" s="13"/>
      <c r="K16" s="60"/>
      <c r="L16" s="60"/>
      <c r="M16" s="61"/>
    </row>
    <row r="17" spans="1:13" s="2" customFormat="1" ht="14.1" customHeight="1" x14ac:dyDescent="0.3">
      <c r="A17" s="79">
        <v>8</v>
      </c>
      <c r="B17" s="30"/>
      <c r="C17" s="31"/>
      <c r="D17" s="42"/>
      <c r="E17" s="43"/>
      <c r="F17" s="43"/>
      <c r="G17" s="44"/>
      <c r="H17" s="93"/>
      <c r="I17" s="89"/>
      <c r="J17" s="89"/>
      <c r="K17" s="13"/>
      <c r="L17" s="13"/>
      <c r="M17" s="15"/>
    </row>
    <row r="18" spans="1:13" s="2" customFormat="1" ht="14.1" customHeight="1" thickBot="1" x14ac:dyDescent="0.35">
      <c r="A18" s="29"/>
      <c r="B18" s="81"/>
      <c r="C18" s="82"/>
      <c r="D18" s="18"/>
      <c r="E18" s="19"/>
      <c r="F18" s="19"/>
      <c r="G18" s="20"/>
      <c r="H18" s="95"/>
      <c r="I18" s="121"/>
      <c r="J18" s="121"/>
      <c r="K18" s="14"/>
      <c r="L18" s="14"/>
      <c r="M18" s="16"/>
    </row>
    <row r="19" spans="1:13" s="2" customFormat="1" ht="14.1" customHeight="1" thickBot="1" x14ac:dyDescent="0.35">
      <c r="A19" s="118" t="s">
        <v>140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</row>
    <row r="20" spans="1:13" s="2" customFormat="1" ht="14.1" customHeight="1" x14ac:dyDescent="0.3">
      <c r="A20" s="71">
        <v>9</v>
      </c>
      <c r="B20" s="72" t="s">
        <v>44</v>
      </c>
      <c r="C20" s="73"/>
      <c r="D20" s="74" t="s">
        <v>137</v>
      </c>
      <c r="E20" s="75"/>
      <c r="F20" s="75"/>
      <c r="G20" s="76"/>
      <c r="H20" s="116">
        <v>75.3</v>
      </c>
      <c r="I20" s="117">
        <f>SUM(H20)+4</f>
        <v>79.3</v>
      </c>
      <c r="J20" s="117">
        <f>SUM(I20)+4</f>
        <v>83.3</v>
      </c>
      <c r="K20" s="68"/>
      <c r="L20" s="122"/>
      <c r="M20" s="123"/>
    </row>
    <row r="21" spans="1:13" s="2" customFormat="1" ht="14.1" customHeight="1" x14ac:dyDescent="0.3">
      <c r="A21" s="35"/>
      <c r="B21" s="37" t="s">
        <v>45</v>
      </c>
      <c r="C21" s="38"/>
      <c r="D21" s="39" t="s">
        <v>88</v>
      </c>
      <c r="E21" s="40"/>
      <c r="F21" s="40"/>
      <c r="G21" s="41"/>
      <c r="H21" s="33"/>
      <c r="I21" s="13"/>
      <c r="J21" s="13"/>
      <c r="K21" s="21"/>
      <c r="L21" s="46"/>
      <c r="M21" s="48"/>
    </row>
    <row r="22" spans="1:13" s="2" customFormat="1" ht="14.1" customHeight="1" x14ac:dyDescent="0.3">
      <c r="A22" s="28">
        <v>10</v>
      </c>
      <c r="B22" s="30" t="s">
        <v>100</v>
      </c>
      <c r="C22" s="31"/>
      <c r="D22" s="42"/>
      <c r="E22" s="43"/>
      <c r="F22" s="43"/>
      <c r="G22" s="44"/>
      <c r="H22" s="93">
        <v>17.899999999999999</v>
      </c>
      <c r="I22" s="89">
        <f>SUM(H22)+0.7</f>
        <v>18.599999999999998</v>
      </c>
      <c r="J22" s="89">
        <f>SUM(I22)+0.7</f>
        <v>19.299999999999997</v>
      </c>
      <c r="K22" s="13"/>
      <c r="L22" s="45"/>
      <c r="M22" s="47"/>
    </row>
    <row r="23" spans="1:13" s="2" customFormat="1" ht="14.1" customHeight="1" x14ac:dyDescent="0.3">
      <c r="A23" s="35"/>
      <c r="B23" s="37" t="s">
        <v>101</v>
      </c>
      <c r="C23" s="38"/>
      <c r="D23" s="51" t="s">
        <v>138</v>
      </c>
      <c r="E23" s="52"/>
      <c r="F23" s="52"/>
      <c r="G23" s="53"/>
      <c r="H23" s="93"/>
      <c r="I23" s="89"/>
      <c r="J23" s="89"/>
      <c r="K23" s="21"/>
      <c r="L23" s="46"/>
      <c r="M23" s="48"/>
    </row>
    <row r="24" spans="1:13" s="2" customFormat="1" ht="14.1" customHeight="1" x14ac:dyDescent="0.3">
      <c r="A24" s="28">
        <v>11</v>
      </c>
      <c r="B24" s="30" t="s">
        <v>46</v>
      </c>
      <c r="C24" s="31"/>
      <c r="D24" s="42" t="s">
        <v>87</v>
      </c>
      <c r="E24" s="43"/>
      <c r="F24" s="43"/>
      <c r="G24" s="44"/>
      <c r="H24" s="93">
        <v>33.5</v>
      </c>
      <c r="I24" s="89">
        <f>SUM(H24)+1.5</f>
        <v>35</v>
      </c>
      <c r="J24" s="89">
        <f>SUM(I24)+1.5</f>
        <v>36.5</v>
      </c>
      <c r="K24" s="13"/>
      <c r="L24" s="13"/>
      <c r="M24" s="15"/>
    </row>
    <row r="25" spans="1:13" s="2" customFormat="1" ht="14.1" customHeight="1" x14ac:dyDescent="0.3">
      <c r="A25" s="35"/>
      <c r="B25" s="37" t="s">
        <v>47</v>
      </c>
      <c r="C25" s="38"/>
      <c r="D25" s="39" t="s">
        <v>86</v>
      </c>
      <c r="E25" s="40"/>
      <c r="F25" s="40"/>
      <c r="G25" s="41"/>
      <c r="H25" s="93"/>
      <c r="I25" s="89"/>
      <c r="J25" s="89"/>
      <c r="K25" s="21"/>
      <c r="L25" s="21"/>
      <c r="M25" s="22"/>
    </row>
    <row r="26" spans="1:13" s="2" customFormat="1" ht="14.1" customHeight="1" x14ac:dyDescent="0.3">
      <c r="A26" s="28">
        <v>12</v>
      </c>
      <c r="B26" s="30" t="s">
        <v>48</v>
      </c>
      <c r="C26" s="31"/>
      <c r="D26" s="42" t="s">
        <v>97</v>
      </c>
      <c r="E26" s="43"/>
      <c r="F26" s="43"/>
      <c r="G26" s="44"/>
      <c r="H26" s="93">
        <v>40</v>
      </c>
      <c r="I26" s="89">
        <f>SUM(H26)+2.2</f>
        <v>42.2</v>
      </c>
      <c r="J26" s="89">
        <f>SUM(I26)+2.2</f>
        <v>44.400000000000006</v>
      </c>
      <c r="K26" s="13"/>
      <c r="L26" s="13"/>
      <c r="M26" s="15"/>
    </row>
    <row r="27" spans="1:13" s="2" customFormat="1" ht="14.1" customHeight="1" x14ac:dyDescent="0.3">
      <c r="A27" s="35"/>
      <c r="B27" s="37" t="s">
        <v>49</v>
      </c>
      <c r="C27" s="38"/>
      <c r="D27" s="25" t="s">
        <v>102</v>
      </c>
      <c r="E27" s="26"/>
      <c r="F27" s="26"/>
      <c r="G27" s="27"/>
      <c r="H27" s="93"/>
      <c r="I27" s="89"/>
      <c r="J27" s="89"/>
      <c r="K27" s="21"/>
      <c r="L27" s="21"/>
      <c r="M27" s="22"/>
    </row>
    <row r="28" spans="1:13" s="2" customFormat="1" ht="14.1" customHeight="1" x14ac:dyDescent="0.3">
      <c r="A28" s="28">
        <v>13</v>
      </c>
      <c r="B28" s="30" t="s">
        <v>50</v>
      </c>
      <c r="C28" s="31"/>
      <c r="D28" s="42" t="s">
        <v>51</v>
      </c>
      <c r="E28" s="43"/>
      <c r="F28" s="43"/>
      <c r="G28" s="44"/>
      <c r="H28" s="93">
        <v>27.5</v>
      </c>
      <c r="I28" s="89">
        <f>SUM(H28)+1.1</f>
        <v>28.6</v>
      </c>
      <c r="J28" s="89">
        <f>SUM(I28)+1.1</f>
        <v>29.700000000000003</v>
      </c>
      <c r="K28" s="13"/>
      <c r="L28" s="13"/>
      <c r="M28" s="15"/>
    </row>
    <row r="29" spans="1:13" s="2" customFormat="1" ht="14.1" customHeight="1" x14ac:dyDescent="0.3">
      <c r="A29" s="35"/>
      <c r="B29" s="37" t="s">
        <v>52</v>
      </c>
      <c r="C29" s="38"/>
      <c r="D29" s="39" t="s">
        <v>85</v>
      </c>
      <c r="E29" s="40"/>
      <c r="F29" s="40"/>
      <c r="G29" s="41"/>
      <c r="H29" s="93"/>
      <c r="I29" s="89"/>
      <c r="J29" s="89"/>
      <c r="K29" s="21"/>
      <c r="L29" s="21"/>
      <c r="M29" s="22"/>
    </row>
    <row r="30" spans="1:13" s="2" customFormat="1" ht="14.1" customHeight="1" x14ac:dyDescent="0.3">
      <c r="A30" s="28">
        <v>14</v>
      </c>
      <c r="B30" s="30" t="s">
        <v>53</v>
      </c>
      <c r="C30" s="31"/>
      <c r="D30" s="42" t="s">
        <v>51</v>
      </c>
      <c r="E30" s="43"/>
      <c r="F30" s="43"/>
      <c r="G30" s="44"/>
      <c r="H30" s="93">
        <v>30.8</v>
      </c>
      <c r="I30" s="89">
        <f>SUM(H30)+1.3</f>
        <v>32.1</v>
      </c>
      <c r="J30" s="89">
        <f>SUM(I30)+1.3</f>
        <v>33.4</v>
      </c>
      <c r="K30" s="13"/>
      <c r="L30" s="45"/>
      <c r="M30" s="47"/>
    </row>
    <row r="31" spans="1:13" s="2" customFormat="1" ht="14.1" customHeight="1" x14ac:dyDescent="0.3">
      <c r="A31" s="35"/>
      <c r="B31" s="37" t="s">
        <v>54</v>
      </c>
      <c r="C31" s="38"/>
      <c r="D31" s="39" t="s">
        <v>85</v>
      </c>
      <c r="E31" s="40"/>
      <c r="F31" s="40"/>
      <c r="G31" s="41"/>
      <c r="H31" s="93"/>
      <c r="I31" s="89"/>
      <c r="J31" s="89"/>
      <c r="K31" s="21"/>
      <c r="L31" s="46"/>
      <c r="M31" s="48"/>
    </row>
    <row r="32" spans="1:13" s="2" customFormat="1" ht="14.1" customHeight="1" x14ac:dyDescent="0.3">
      <c r="A32" s="28">
        <v>15</v>
      </c>
      <c r="B32" s="30" t="s">
        <v>55</v>
      </c>
      <c r="C32" s="31"/>
      <c r="D32" s="42" t="s">
        <v>56</v>
      </c>
      <c r="E32" s="43"/>
      <c r="F32" s="43"/>
      <c r="G32" s="44"/>
      <c r="H32" s="93"/>
      <c r="I32" s="89"/>
      <c r="J32" s="89"/>
      <c r="K32" s="13"/>
      <c r="L32" s="13"/>
      <c r="M32" s="15"/>
    </row>
    <row r="33" spans="1:13" s="2" customFormat="1" ht="14.1" customHeight="1" x14ac:dyDescent="0.3">
      <c r="A33" s="35"/>
      <c r="B33" s="37" t="s">
        <v>57</v>
      </c>
      <c r="C33" s="38"/>
      <c r="D33" s="39" t="s">
        <v>84</v>
      </c>
      <c r="E33" s="40"/>
      <c r="F33" s="40"/>
      <c r="G33" s="41"/>
      <c r="H33" s="93"/>
      <c r="I33" s="89"/>
      <c r="J33" s="89"/>
      <c r="K33" s="21"/>
      <c r="L33" s="21"/>
      <c r="M33" s="22"/>
    </row>
    <row r="34" spans="1:13" s="2" customFormat="1" ht="14.1" customHeight="1" x14ac:dyDescent="0.3">
      <c r="A34" s="28">
        <v>16</v>
      </c>
      <c r="B34" s="30" t="s">
        <v>58</v>
      </c>
      <c r="C34" s="31"/>
      <c r="D34" s="42" t="s">
        <v>59</v>
      </c>
      <c r="E34" s="43"/>
      <c r="F34" s="43"/>
      <c r="G34" s="44"/>
      <c r="H34" s="93"/>
      <c r="I34" s="89"/>
      <c r="J34" s="89"/>
      <c r="K34" s="13"/>
      <c r="L34" s="13"/>
      <c r="M34" s="15"/>
    </row>
    <row r="35" spans="1:13" s="2" customFormat="1" ht="14.1" customHeight="1" x14ac:dyDescent="0.3">
      <c r="A35" s="35"/>
      <c r="B35" s="37" t="s">
        <v>60</v>
      </c>
      <c r="C35" s="38"/>
      <c r="D35" s="39" t="s">
        <v>83</v>
      </c>
      <c r="E35" s="40"/>
      <c r="F35" s="40"/>
      <c r="G35" s="41"/>
      <c r="H35" s="93"/>
      <c r="I35" s="89"/>
      <c r="J35" s="89"/>
      <c r="K35" s="21"/>
      <c r="L35" s="21"/>
      <c r="M35" s="22"/>
    </row>
    <row r="36" spans="1:13" s="2" customFormat="1" ht="14.1" customHeight="1" x14ac:dyDescent="0.3">
      <c r="A36" s="28">
        <v>17</v>
      </c>
      <c r="B36" s="30" t="s">
        <v>82</v>
      </c>
      <c r="C36" s="31"/>
      <c r="D36" s="42" t="s">
        <v>80</v>
      </c>
      <c r="E36" s="43"/>
      <c r="F36" s="43"/>
      <c r="G36" s="44"/>
      <c r="H36" s="93"/>
      <c r="I36" s="89"/>
      <c r="J36" s="89"/>
      <c r="K36" s="13"/>
      <c r="L36" s="13"/>
      <c r="M36" s="15"/>
    </row>
    <row r="37" spans="1:13" s="2" customFormat="1" ht="14.1" customHeight="1" x14ac:dyDescent="0.3">
      <c r="A37" s="35"/>
      <c r="B37" s="37" t="s">
        <v>81</v>
      </c>
      <c r="C37" s="38"/>
      <c r="D37" s="39" t="s">
        <v>80</v>
      </c>
      <c r="E37" s="40"/>
      <c r="F37" s="40"/>
      <c r="G37" s="41"/>
      <c r="H37" s="93"/>
      <c r="I37" s="89"/>
      <c r="J37" s="89"/>
      <c r="K37" s="21"/>
      <c r="L37" s="21"/>
      <c r="M37" s="22"/>
    </row>
    <row r="38" spans="1:13" s="2" customFormat="1" ht="14.1" customHeight="1" x14ac:dyDescent="0.3">
      <c r="A38" s="79">
        <v>18</v>
      </c>
      <c r="B38" s="30" t="s">
        <v>79</v>
      </c>
      <c r="C38" s="31"/>
      <c r="D38" s="42" t="s">
        <v>78</v>
      </c>
      <c r="E38" s="43"/>
      <c r="F38" s="43"/>
      <c r="G38" s="44"/>
      <c r="H38" s="93"/>
      <c r="I38" s="89"/>
      <c r="J38" s="89"/>
      <c r="K38" s="13"/>
      <c r="L38" s="13"/>
      <c r="M38" s="15"/>
    </row>
    <row r="39" spans="1:13" s="2" customFormat="1" ht="14.1" customHeight="1" thickBot="1" x14ac:dyDescent="0.35">
      <c r="A39" s="29"/>
      <c r="B39" s="99" t="s">
        <v>77</v>
      </c>
      <c r="C39" s="100"/>
      <c r="D39" s="124" t="s">
        <v>139</v>
      </c>
      <c r="E39" s="125"/>
      <c r="F39" s="125"/>
      <c r="G39" s="126"/>
      <c r="H39" s="95"/>
      <c r="I39" s="121"/>
      <c r="J39" s="121"/>
      <c r="K39" s="14"/>
      <c r="L39" s="14"/>
      <c r="M39" s="16"/>
    </row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</sheetData>
  <mergeCells count="202">
    <mergeCell ref="A1:M1"/>
    <mergeCell ref="J38:J39"/>
    <mergeCell ref="K38:K39"/>
    <mergeCell ref="L38:L39"/>
    <mergeCell ref="M38:M39"/>
    <mergeCell ref="B39:C39"/>
    <mergeCell ref="D39:G39"/>
    <mergeCell ref="K36:K37"/>
    <mergeCell ref="L36:L37"/>
    <mergeCell ref="M36:M37"/>
    <mergeCell ref="B37:C37"/>
    <mergeCell ref="D37:G37"/>
    <mergeCell ref="A38:A39"/>
    <mergeCell ref="B38:C38"/>
    <mergeCell ref="D38:G38"/>
    <mergeCell ref="H38:H39"/>
    <mergeCell ref="I38:I39"/>
    <mergeCell ref="A36:A37"/>
    <mergeCell ref="B36:C36"/>
    <mergeCell ref="D36:G36"/>
    <mergeCell ref="H36:H37"/>
    <mergeCell ref="I36:I37"/>
    <mergeCell ref="J36:J37"/>
    <mergeCell ref="J34:J35"/>
    <mergeCell ref="K34:K35"/>
    <mergeCell ref="L34:L35"/>
    <mergeCell ref="M34:M35"/>
    <mergeCell ref="B35:C35"/>
    <mergeCell ref="D35:G35"/>
    <mergeCell ref="K32:K33"/>
    <mergeCell ref="L32:L33"/>
    <mergeCell ref="M32:M33"/>
    <mergeCell ref="B33:C33"/>
    <mergeCell ref="D33:G33"/>
    <mergeCell ref="J32:J33"/>
    <mergeCell ref="A34:A35"/>
    <mergeCell ref="B34:C34"/>
    <mergeCell ref="D34:G34"/>
    <mergeCell ref="H34:H35"/>
    <mergeCell ref="I34:I35"/>
    <mergeCell ref="A32:A33"/>
    <mergeCell ref="B32:C32"/>
    <mergeCell ref="D32:G32"/>
    <mergeCell ref="H32:H33"/>
    <mergeCell ref="I32:I33"/>
    <mergeCell ref="J30:J31"/>
    <mergeCell ref="K30:K31"/>
    <mergeCell ref="L30:L31"/>
    <mergeCell ref="M30:M31"/>
    <mergeCell ref="B31:C31"/>
    <mergeCell ref="D31:G31"/>
    <mergeCell ref="K28:K29"/>
    <mergeCell ref="L28:L29"/>
    <mergeCell ref="M28:M29"/>
    <mergeCell ref="B29:C29"/>
    <mergeCell ref="D29:G29"/>
    <mergeCell ref="J28:J29"/>
    <mergeCell ref="A30:A31"/>
    <mergeCell ref="B30:C30"/>
    <mergeCell ref="D30:G30"/>
    <mergeCell ref="H30:H31"/>
    <mergeCell ref="I30:I31"/>
    <mergeCell ref="A28:A29"/>
    <mergeCell ref="B28:C28"/>
    <mergeCell ref="D28:G28"/>
    <mergeCell ref="H28:H29"/>
    <mergeCell ref="I28:I29"/>
    <mergeCell ref="J26:J27"/>
    <mergeCell ref="K26:K27"/>
    <mergeCell ref="L26:L27"/>
    <mergeCell ref="M26:M27"/>
    <mergeCell ref="B27:C27"/>
    <mergeCell ref="D27:G27"/>
    <mergeCell ref="K24:K25"/>
    <mergeCell ref="L24:L25"/>
    <mergeCell ref="M24:M25"/>
    <mergeCell ref="B25:C25"/>
    <mergeCell ref="D25:G25"/>
    <mergeCell ref="J24:J25"/>
    <mergeCell ref="A26:A27"/>
    <mergeCell ref="B26:C26"/>
    <mergeCell ref="D26:G26"/>
    <mergeCell ref="H26:H27"/>
    <mergeCell ref="I26:I27"/>
    <mergeCell ref="A24:A25"/>
    <mergeCell ref="B24:C24"/>
    <mergeCell ref="D24:G24"/>
    <mergeCell ref="H24:H25"/>
    <mergeCell ref="I24:I25"/>
    <mergeCell ref="J22:J23"/>
    <mergeCell ref="K22:K23"/>
    <mergeCell ref="L22:L23"/>
    <mergeCell ref="M22:M23"/>
    <mergeCell ref="B23:C23"/>
    <mergeCell ref="D23:G23"/>
    <mergeCell ref="K20:K21"/>
    <mergeCell ref="L20:L21"/>
    <mergeCell ref="M20:M21"/>
    <mergeCell ref="B21:C21"/>
    <mergeCell ref="D21:G21"/>
    <mergeCell ref="J20:J21"/>
    <mergeCell ref="A22:A23"/>
    <mergeCell ref="B22:C22"/>
    <mergeCell ref="D22:G22"/>
    <mergeCell ref="H22:H23"/>
    <mergeCell ref="I22:I23"/>
    <mergeCell ref="A20:A21"/>
    <mergeCell ref="B20:C20"/>
    <mergeCell ref="D20:G20"/>
    <mergeCell ref="H20:H21"/>
    <mergeCell ref="I20:I21"/>
    <mergeCell ref="K17:K18"/>
    <mergeCell ref="L17:L18"/>
    <mergeCell ref="M17:M18"/>
    <mergeCell ref="B18:C18"/>
    <mergeCell ref="D18:G18"/>
    <mergeCell ref="A19:M19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0217-2033-48FF-9E42-2FFAB9D76AA5}">
  <sheetPr>
    <tabColor rgb="FF00B0F0"/>
  </sheetPr>
  <dimension ref="A1:M50"/>
  <sheetViews>
    <sheetView zoomScale="110" zoomScaleNormal="110" zoomScalePageLayoutView="110" workbookViewId="0">
      <selection activeCell="I19" sqref="I19:I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154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43.5</v>
      </c>
      <c r="I3" s="117">
        <f>SUM(H3)+3</f>
        <v>46.5</v>
      </c>
      <c r="J3" s="117">
        <f>SUM(I3)+3</f>
        <v>49.5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155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42</v>
      </c>
      <c r="I5" s="13">
        <f>SUM(H5)+2.6</f>
        <v>44.6</v>
      </c>
      <c r="J5" s="13">
        <f>SUM(I5)+2.6</f>
        <v>47.2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48</v>
      </c>
      <c r="I7" s="13">
        <f>SUM(H7)+3</f>
        <v>51</v>
      </c>
      <c r="J7" s="13">
        <f>SUM(I7)+3</f>
        <v>54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44.7</v>
      </c>
      <c r="I9" s="13">
        <f>SUM(H9)+2.8</f>
        <v>47.5</v>
      </c>
      <c r="J9" s="13">
        <f>SUM(I9)+2.8</f>
        <v>50.3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156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19.5</v>
      </c>
      <c r="I11" s="89">
        <f>SUM(H11)+1</f>
        <v>20.5</v>
      </c>
      <c r="J11" s="89">
        <f>SUM(I11)+1</f>
        <v>21.5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19</v>
      </c>
      <c r="I13" s="89">
        <f>SUM(H13)+0.6</f>
        <v>19.600000000000001</v>
      </c>
      <c r="J13" s="89">
        <f>SUM(I13)+0.6</f>
        <v>20.200000000000003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7.4</v>
      </c>
      <c r="I15" s="89">
        <f>SUM(H15)+0.3</f>
        <v>7.7</v>
      </c>
      <c r="J15" s="89">
        <f>SUM(I15)+0.3</f>
        <v>8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48</v>
      </c>
      <c r="I17" s="89">
        <f>SUM(H17)+1.6</f>
        <v>49.6</v>
      </c>
      <c r="J17" s="89">
        <f>SUM(I17)+1.6</f>
        <v>51.2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18.5</v>
      </c>
      <c r="I19" s="89">
        <f>SUM(H19)+1.2</f>
        <v>19.7</v>
      </c>
      <c r="J19" s="89">
        <f>SUM(I19)+1.2</f>
        <v>20.9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34</v>
      </c>
      <c r="I23" s="89">
        <f>SUM(H23)+1.7</f>
        <v>35.700000000000003</v>
      </c>
      <c r="J23" s="89">
        <f>SUM(I23)+1.7</f>
        <v>37.400000000000006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13</v>
      </c>
      <c r="I25" s="89">
        <f>SUM(H25)+0.6</f>
        <v>13.6</v>
      </c>
      <c r="J25" s="89">
        <f>SUM(I25)+0.6</f>
        <v>14.2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134</v>
      </c>
      <c r="C27" s="31"/>
      <c r="D27" s="83"/>
      <c r="E27" s="84"/>
      <c r="F27" s="84"/>
      <c r="G27" s="85"/>
      <c r="H27" s="93">
        <v>6.7</v>
      </c>
      <c r="I27" s="89">
        <f>SUM(H27)+0.6</f>
        <v>7.3</v>
      </c>
      <c r="J27" s="89">
        <f>SUM(I27)+0.6</f>
        <v>7.8999999999999995</v>
      </c>
      <c r="K27" s="13"/>
      <c r="L27" s="13"/>
      <c r="M27" s="15"/>
    </row>
    <row r="28" spans="1:13" s="2" customFormat="1" ht="14.1" customHeight="1" x14ac:dyDescent="0.3">
      <c r="A28" s="128"/>
      <c r="B28" s="23" t="s">
        <v>142</v>
      </c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5324-AFAB-48FB-B2CD-73F567D45144}">
  <sheetPr>
    <tabColor rgb="FF00B0F0"/>
  </sheetPr>
  <dimension ref="A1:M50"/>
  <sheetViews>
    <sheetView zoomScale="110" zoomScaleNormal="110" zoomScalePageLayoutView="110" workbookViewId="0">
      <selection activeCell="I15" sqref="I15:I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44.1</v>
      </c>
      <c r="I3" s="117">
        <f>SUM(H3)+3</f>
        <v>47.1</v>
      </c>
      <c r="J3" s="117">
        <f>SUM(I3)+3</f>
        <v>50.1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32</v>
      </c>
      <c r="I5" s="13">
        <f>SUM(H5)+2.4</f>
        <v>34.4</v>
      </c>
      <c r="J5" s="13">
        <f>SUM(I5)+2.4</f>
        <v>36.799999999999997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43</v>
      </c>
      <c r="I7" s="13">
        <f>SUM(H7)+3</f>
        <v>46</v>
      </c>
      <c r="J7" s="13">
        <f>SUM(I7)+3</f>
        <v>49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42</v>
      </c>
      <c r="I9" s="13">
        <f>SUM(H9)+3</f>
        <v>45</v>
      </c>
      <c r="J9" s="13">
        <f>SUM(I9)+3</f>
        <v>48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19.7</v>
      </c>
      <c r="I11" s="89">
        <f>SUM(H11)+1</f>
        <v>20.7</v>
      </c>
      <c r="J11" s="89">
        <f>SUM(I11)+1</f>
        <v>21.7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16.7</v>
      </c>
      <c r="I13" s="89">
        <f>SUM(H13)+0.6</f>
        <v>17.3</v>
      </c>
      <c r="J13" s="89">
        <f>SUM(I13)+0.6</f>
        <v>17.900000000000002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8.1999999999999993</v>
      </c>
      <c r="I15" s="89">
        <f>SUM(H15)+0.3</f>
        <v>8.5</v>
      </c>
      <c r="J15" s="89">
        <f>SUM(I15)+0.3</f>
        <v>8.8000000000000007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46</v>
      </c>
      <c r="I17" s="89">
        <f>SUM(H17)+1.6</f>
        <v>47.6</v>
      </c>
      <c r="J17" s="89">
        <f>SUM(I17)+1.6</f>
        <v>49.2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16</v>
      </c>
      <c r="I19" s="89">
        <f>SUM(H19)+1.3</f>
        <v>17.3</v>
      </c>
      <c r="J19" s="89">
        <f>SUM(I19)+1.3</f>
        <v>18.600000000000001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34</v>
      </c>
      <c r="I23" s="89">
        <f>SUM(H23)+1.7</f>
        <v>35.700000000000003</v>
      </c>
      <c r="J23" s="89">
        <f>SUM(I23)+1.7</f>
        <v>37.400000000000006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4</v>
      </c>
      <c r="I25" s="89">
        <f>SUM(H25)+0.2</f>
        <v>4.2</v>
      </c>
      <c r="J25" s="89">
        <f>SUM(I25)+0.2</f>
        <v>4.4000000000000004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0F50-F4F1-4040-BE00-2578326760FA}">
  <sheetPr>
    <tabColor rgb="FF00B0F0"/>
  </sheetPr>
  <dimension ref="A1:M52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171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46</v>
      </c>
      <c r="I3" s="117">
        <f>SUM(H3)+3</f>
        <v>49</v>
      </c>
      <c r="J3" s="117">
        <f>SUM(I3)+3</f>
        <v>52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36.799999999999997</v>
      </c>
      <c r="I5" s="13">
        <f>SUM(H5)+2.6</f>
        <v>39.4</v>
      </c>
      <c r="J5" s="13">
        <f>SUM(I5)+2.6</f>
        <v>42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43</v>
      </c>
      <c r="I7" s="13">
        <f>SUM(H7)+3</f>
        <v>46</v>
      </c>
      <c r="J7" s="13">
        <f>SUM(I7)+3</f>
        <v>49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43</v>
      </c>
      <c r="I9" s="13">
        <f>SUM(H9)+3</f>
        <v>46</v>
      </c>
      <c r="J9" s="13">
        <f>SUM(I9)+3</f>
        <v>49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</v>
      </c>
      <c r="I11" s="89">
        <f>SUM(H11)+1</f>
        <v>20</v>
      </c>
      <c r="J11" s="89">
        <f>SUM(I11)+1</f>
        <v>21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18.2</v>
      </c>
      <c r="I13" s="89">
        <f>SUM(H13)+0.6</f>
        <v>18.8</v>
      </c>
      <c r="J13" s="89">
        <f>SUM(I13)+0.6</f>
        <v>19.400000000000002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9</v>
      </c>
      <c r="I15" s="89">
        <f>SUM(H15)+0.3</f>
        <v>9.3000000000000007</v>
      </c>
      <c r="J15" s="89">
        <f>SUM(I15)+0.3</f>
        <v>9.6000000000000014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50</v>
      </c>
      <c r="I17" s="89">
        <f>SUM(H17)+1.6</f>
        <v>51.6</v>
      </c>
      <c r="J17" s="89">
        <f>SUM(I17)+1.6</f>
        <v>53.2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174</v>
      </c>
      <c r="C19" s="45"/>
      <c r="D19" s="32" t="s">
        <v>5</v>
      </c>
      <c r="E19" s="32"/>
      <c r="F19" s="32"/>
      <c r="G19" s="32"/>
      <c r="H19" s="93">
        <v>16</v>
      </c>
      <c r="I19" s="89">
        <f>SUM(H19)+0.8</f>
        <v>16.8</v>
      </c>
      <c r="J19" s="89">
        <f>SUM(I19)+0.8</f>
        <v>17.600000000000001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172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175</v>
      </c>
      <c r="C21" s="45"/>
      <c r="D21" s="32" t="s">
        <v>5</v>
      </c>
      <c r="E21" s="32"/>
      <c r="F21" s="32"/>
      <c r="G21" s="32"/>
      <c r="H21" s="93">
        <v>15</v>
      </c>
      <c r="I21" s="89">
        <f>SUM(H21)+0.75</f>
        <v>15.75</v>
      </c>
      <c r="J21" s="89">
        <f>SUM(I21)+0.75</f>
        <v>16.5</v>
      </c>
      <c r="K21" s="89"/>
      <c r="L21" s="89"/>
      <c r="M21" s="131"/>
    </row>
    <row r="22" spans="1:13" s="2" customFormat="1" ht="14.1" customHeight="1" x14ac:dyDescent="0.3">
      <c r="A22" s="128"/>
      <c r="B22" s="46" t="s">
        <v>173</v>
      </c>
      <c r="C22" s="46"/>
      <c r="D22" s="25" t="s">
        <v>32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45" t="s">
        <v>6</v>
      </c>
      <c r="C23" s="45"/>
      <c r="D23" s="42" t="s">
        <v>7</v>
      </c>
      <c r="E23" s="43"/>
      <c r="F23" s="43"/>
      <c r="G23" s="44"/>
      <c r="H23" s="93"/>
      <c r="I23" s="89"/>
      <c r="J23" s="89"/>
      <c r="K23" s="89"/>
      <c r="L23" s="89"/>
      <c r="M23" s="131"/>
    </row>
    <row r="24" spans="1:13" s="2" customFormat="1" ht="14.1" customHeight="1" x14ac:dyDescent="0.3">
      <c r="A24" s="128"/>
      <c r="B24" s="46" t="s">
        <v>17</v>
      </c>
      <c r="C24" s="46"/>
      <c r="D24" s="25" t="s">
        <v>39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104</v>
      </c>
      <c r="C25" s="31"/>
      <c r="D25" s="32" t="s">
        <v>40</v>
      </c>
      <c r="E25" s="32"/>
      <c r="F25" s="32"/>
      <c r="G25" s="32"/>
      <c r="H25" s="93">
        <v>32.4</v>
      </c>
      <c r="I25" s="89">
        <f>SUM(H25)+1.6</f>
        <v>34</v>
      </c>
      <c r="J25" s="89">
        <f>SUM(I25)+1.6</f>
        <v>35.6</v>
      </c>
      <c r="K25" s="89"/>
      <c r="L25" s="89"/>
      <c r="M25" s="131"/>
    </row>
    <row r="26" spans="1:13" s="2" customFormat="1" ht="14.1" customHeight="1" x14ac:dyDescent="0.3">
      <c r="A26" s="128"/>
      <c r="B26" s="46" t="s">
        <v>18</v>
      </c>
      <c r="C26" s="46"/>
      <c r="D26" s="25" t="s">
        <v>41</v>
      </c>
      <c r="E26" s="26"/>
      <c r="F26" s="26"/>
      <c r="G26" s="27"/>
      <c r="H26" s="93"/>
      <c r="I26" s="89"/>
      <c r="J26" s="89"/>
      <c r="K26" s="89"/>
      <c r="L26" s="89"/>
      <c r="M26" s="131"/>
    </row>
    <row r="27" spans="1:13" s="2" customFormat="1" ht="14.1" customHeight="1" x14ac:dyDescent="0.3">
      <c r="A27" s="128">
        <v>13</v>
      </c>
      <c r="B27" s="30" t="s">
        <v>133</v>
      </c>
      <c r="C27" s="31"/>
      <c r="D27" s="83"/>
      <c r="E27" s="84"/>
      <c r="F27" s="84"/>
      <c r="G27" s="85"/>
      <c r="H27" s="93">
        <v>5.5</v>
      </c>
      <c r="I27" s="89">
        <f>SUM(H27)+0.3</f>
        <v>5.8</v>
      </c>
      <c r="J27" s="89">
        <f>SUM(I27)+0.3</f>
        <v>6.1</v>
      </c>
      <c r="K27" s="13"/>
      <c r="L27" s="13"/>
      <c r="M27" s="15"/>
    </row>
    <row r="28" spans="1:13" s="2" customFormat="1" ht="14.1" customHeight="1" x14ac:dyDescent="0.3">
      <c r="A28" s="128"/>
      <c r="B28" s="54" t="s">
        <v>141</v>
      </c>
      <c r="C28" s="55"/>
      <c r="D28" s="56"/>
      <c r="E28" s="57"/>
      <c r="F28" s="57"/>
      <c r="G28" s="58"/>
      <c r="H28" s="33"/>
      <c r="I28" s="13"/>
      <c r="J28" s="13"/>
      <c r="K28" s="60"/>
      <c r="L28" s="60"/>
      <c r="M28" s="61"/>
    </row>
    <row r="29" spans="1:13" s="2" customFormat="1" ht="14.1" customHeight="1" x14ac:dyDescent="0.3">
      <c r="A29" s="128">
        <v>14</v>
      </c>
      <c r="B29" s="30"/>
      <c r="C29" s="31"/>
      <c r="D29" s="83"/>
      <c r="E29" s="84"/>
      <c r="F29" s="84"/>
      <c r="G29" s="85"/>
      <c r="H29" s="93"/>
      <c r="I29" s="89"/>
      <c r="J29" s="89"/>
      <c r="K29" s="13"/>
      <c r="L29" s="13"/>
      <c r="M29" s="15"/>
    </row>
    <row r="30" spans="1:13" s="2" customFormat="1" ht="14.1" customHeight="1" x14ac:dyDescent="0.3">
      <c r="A30" s="128"/>
      <c r="B30" s="23"/>
      <c r="C30" s="24"/>
      <c r="D30" s="25"/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92">
        <v>15</v>
      </c>
      <c r="B31" s="54"/>
      <c r="C31" s="55"/>
      <c r="D31" s="86"/>
      <c r="E31" s="87"/>
      <c r="F31" s="87"/>
      <c r="G31" s="88"/>
      <c r="H31" s="36"/>
      <c r="I31" s="21"/>
      <c r="J31" s="21"/>
      <c r="K31" s="60"/>
      <c r="L31" s="60"/>
      <c r="M31" s="61"/>
    </row>
    <row r="32" spans="1:13" s="2" customFormat="1" ht="14.1" customHeight="1" thickBot="1" x14ac:dyDescent="0.35">
      <c r="A32" s="127"/>
      <c r="B32" s="81"/>
      <c r="C32" s="82"/>
      <c r="D32" s="18"/>
      <c r="E32" s="19"/>
      <c r="F32" s="19"/>
      <c r="G32" s="20"/>
      <c r="H32" s="95"/>
      <c r="I32" s="121"/>
      <c r="J32" s="121"/>
      <c r="K32" s="14"/>
      <c r="L32" s="14"/>
      <c r="M32" s="16"/>
    </row>
    <row r="33" spans="1:13" s="2" customFormat="1" ht="14.1" customHeight="1" x14ac:dyDescent="0.3"/>
    <row r="34" spans="1:13" s="2" customFormat="1" ht="14.1" customHeight="1" x14ac:dyDescent="0.3"/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B32:C32"/>
    <mergeCell ref="D32:G32"/>
    <mergeCell ref="J31:J32"/>
    <mergeCell ref="J29:J30"/>
    <mergeCell ref="K29:K30"/>
    <mergeCell ref="L29:L30"/>
    <mergeCell ref="M29:M30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J27:J28"/>
    <mergeCell ref="J25:J26"/>
    <mergeCell ref="K25:K26"/>
    <mergeCell ref="L25:L26"/>
    <mergeCell ref="M25:M26"/>
    <mergeCell ref="K31:K32"/>
    <mergeCell ref="L31:L32"/>
    <mergeCell ref="M31:M32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B56E-E02B-4837-827A-C84AF4768B2C}">
  <sheetPr>
    <tabColor rgb="FF00B0F0"/>
  </sheetPr>
  <dimension ref="A1:M52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177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44.6</v>
      </c>
      <c r="I3" s="117">
        <f>SUM(H3)+3</f>
        <v>47.6</v>
      </c>
      <c r="J3" s="117">
        <f>SUM(I3)+3</f>
        <v>50.6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35.200000000000003</v>
      </c>
      <c r="I5" s="13">
        <f>SUM(H5)+2.8</f>
        <v>38</v>
      </c>
      <c r="J5" s="13">
        <f>SUM(I5)+2.8</f>
        <v>40.799999999999997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39</v>
      </c>
      <c r="I7" s="13">
        <f>SUM(H7)+3</f>
        <v>42</v>
      </c>
      <c r="J7" s="13">
        <f>SUM(I7)+3</f>
        <v>45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39</v>
      </c>
      <c r="I9" s="13">
        <f>SUM(H9)+3</f>
        <v>42</v>
      </c>
      <c r="J9" s="13">
        <f>SUM(I9)+3</f>
        <v>45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17</v>
      </c>
      <c r="I11" s="89">
        <f>SUM(H11)+1</f>
        <v>18</v>
      </c>
      <c r="J11" s="89">
        <f>SUM(I11)+1</f>
        <v>19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18</v>
      </c>
      <c r="I13" s="89">
        <f>SUM(H13)+0.6</f>
        <v>18.600000000000001</v>
      </c>
      <c r="J13" s="89">
        <f>SUM(I13)+0.6</f>
        <v>19.200000000000003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7.6</v>
      </c>
      <c r="I15" s="89">
        <f>SUM(H15)+0.3</f>
        <v>7.8999999999999995</v>
      </c>
      <c r="J15" s="89">
        <f>SUM(I15)+0.3</f>
        <v>8.1999999999999993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7</v>
      </c>
      <c r="B17" s="45" t="s">
        <v>181</v>
      </c>
      <c r="C17" s="45"/>
      <c r="D17" s="32" t="s">
        <v>184</v>
      </c>
      <c r="E17" s="32"/>
      <c r="F17" s="32"/>
      <c r="G17" s="32"/>
      <c r="H17" s="93">
        <v>8.6</v>
      </c>
      <c r="I17" s="89">
        <f>SUM(H17)+0.3</f>
        <v>8.9</v>
      </c>
      <c r="J17" s="89">
        <f>SUM(I17)+0.3</f>
        <v>9.2000000000000011</v>
      </c>
      <c r="K17" s="89"/>
      <c r="L17" s="89"/>
      <c r="M17" s="131"/>
    </row>
    <row r="18" spans="1:13" s="2" customFormat="1" ht="14.1" customHeight="1" x14ac:dyDescent="0.3">
      <c r="A18" s="128"/>
      <c r="B18" s="46" t="s">
        <v>183</v>
      </c>
      <c r="C18" s="46"/>
      <c r="D18" s="25" t="s">
        <v>182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8</v>
      </c>
      <c r="B19" s="30" t="s">
        <v>61</v>
      </c>
      <c r="C19" s="31"/>
      <c r="D19" s="42" t="s">
        <v>69</v>
      </c>
      <c r="E19" s="43"/>
      <c r="F19" s="43"/>
      <c r="G19" s="44"/>
      <c r="H19" s="93"/>
      <c r="I19" s="89"/>
      <c r="J19" s="89"/>
      <c r="K19" s="89"/>
      <c r="L19" s="89"/>
      <c r="M19" s="131"/>
    </row>
    <row r="20" spans="1:13" s="2" customFormat="1" ht="14.1" customHeight="1" x14ac:dyDescent="0.3">
      <c r="A20" s="128"/>
      <c r="B20" s="46" t="s">
        <v>62</v>
      </c>
      <c r="C20" s="46"/>
      <c r="D20" s="25" t="s">
        <v>105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9</v>
      </c>
      <c r="B21" s="45" t="s">
        <v>4</v>
      </c>
      <c r="C21" s="45"/>
      <c r="D21" s="32" t="s">
        <v>5</v>
      </c>
      <c r="E21" s="32"/>
      <c r="F21" s="32"/>
      <c r="G21" s="32"/>
      <c r="H21" s="93">
        <v>14</v>
      </c>
      <c r="I21" s="89">
        <f>SUM(H21)+1.1</f>
        <v>15.1</v>
      </c>
      <c r="J21" s="89">
        <f>SUM(I21)+1.1</f>
        <v>16.2</v>
      </c>
      <c r="K21" s="89"/>
      <c r="L21" s="89"/>
      <c r="M21" s="131"/>
    </row>
    <row r="22" spans="1:13" s="2" customFormat="1" ht="14.1" customHeight="1" x14ac:dyDescent="0.3">
      <c r="A22" s="128"/>
      <c r="B22" s="46" t="s">
        <v>16</v>
      </c>
      <c r="C22" s="46"/>
      <c r="D22" s="25" t="s">
        <v>32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10</v>
      </c>
      <c r="B23" s="45" t="s">
        <v>6</v>
      </c>
      <c r="C23" s="45"/>
      <c r="D23" s="42" t="s">
        <v>7</v>
      </c>
      <c r="E23" s="43"/>
      <c r="F23" s="43"/>
      <c r="G23" s="44"/>
      <c r="H23" s="93"/>
      <c r="I23" s="89"/>
      <c r="J23" s="89"/>
      <c r="K23" s="89"/>
      <c r="L23" s="89"/>
      <c r="M23" s="131"/>
    </row>
    <row r="24" spans="1:13" s="2" customFormat="1" ht="14.1" customHeight="1" x14ac:dyDescent="0.3">
      <c r="A24" s="128"/>
      <c r="B24" s="46" t="s">
        <v>17</v>
      </c>
      <c r="C24" s="46"/>
      <c r="D24" s="25" t="s">
        <v>39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11</v>
      </c>
      <c r="B25" s="30" t="s">
        <v>104</v>
      </c>
      <c r="C25" s="31"/>
      <c r="D25" s="32" t="s">
        <v>40</v>
      </c>
      <c r="E25" s="32"/>
      <c r="F25" s="32"/>
      <c r="G25" s="32"/>
      <c r="H25" s="93">
        <v>29</v>
      </c>
      <c r="I25" s="89">
        <f>SUM(H25)+1.7</f>
        <v>30.7</v>
      </c>
      <c r="J25" s="89">
        <f>SUM(I25)+1.7</f>
        <v>32.4</v>
      </c>
      <c r="K25" s="89"/>
      <c r="L25" s="89"/>
      <c r="M25" s="131"/>
    </row>
    <row r="26" spans="1:13" s="2" customFormat="1" ht="14.1" customHeight="1" x14ac:dyDescent="0.3">
      <c r="A26" s="128"/>
      <c r="B26" s="46" t="s">
        <v>18</v>
      </c>
      <c r="C26" s="46"/>
      <c r="D26" s="25" t="s">
        <v>41</v>
      </c>
      <c r="E26" s="26"/>
      <c r="F26" s="26"/>
      <c r="G26" s="27"/>
      <c r="H26" s="93"/>
      <c r="I26" s="89"/>
      <c r="J26" s="89"/>
      <c r="K26" s="89"/>
      <c r="L26" s="89"/>
      <c r="M26" s="131"/>
    </row>
    <row r="27" spans="1:13" s="2" customFormat="1" ht="14.1" customHeight="1" x14ac:dyDescent="0.3">
      <c r="A27" s="128">
        <v>12</v>
      </c>
      <c r="B27" s="30" t="s">
        <v>178</v>
      </c>
      <c r="C27" s="31"/>
      <c r="D27" s="83"/>
      <c r="E27" s="84"/>
      <c r="F27" s="84"/>
      <c r="G27" s="85"/>
      <c r="H27" s="93">
        <v>18.7</v>
      </c>
      <c r="I27" s="89">
        <f>SUM(H27)+0.5</f>
        <v>19.2</v>
      </c>
      <c r="J27" s="89">
        <f>SUM(I27)+0.5</f>
        <v>19.7</v>
      </c>
      <c r="K27" s="13"/>
      <c r="L27" s="13"/>
      <c r="M27" s="15"/>
    </row>
    <row r="28" spans="1:13" s="2" customFormat="1" ht="14.1" customHeight="1" x14ac:dyDescent="0.3">
      <c r="A28" s="91"/>
      <c r="B28" s="23" t="s">
        <v>179</v>
      </c>
      <c r="C28" s="24"/>
      <c r="D28" s="25" t="s">
        <v>180</v>
      </c>
      <c r="E28" s="26"/>
      <c r="F28" s="26"/>
      <c r="G28" s="27"/>
      <c r="H28" s="33"/>
      <c r="I28" s="13"/>
      <c r="J28" s="13"/>
      <c r="K28" s="60"/>
      <c r="L28" s="60"/>
      <c r="M28" s="61"/>
    </row>
    <row r="29" spans="1:13" s="2" customFormat="1" ht="14.1" customHeight="1" x14ac:dyDescent="0.3">
      <c r="A29" s="91">
        <v>13</v>
      </c>
      <c r="B29" s="30" t="s">
        <v>133</v>
      </c>
      <c r="C29" s="31"/>
      <c r="D29" s="83"/>
      <c r="E29" s="84"/>
      <c r="F29" s="84"/>
      <c r="G29" s="85"/>
      <c r="H29" s="33">
        <v>4</v>
      </c>
      <c r="I29" s="89">
        <f>SUM(H29)+0.2</f>
        <v>4.2</v>
      </c>
      <c r="J29" s="89">
        <f>SUM(I29)+0.2</f>
        <v>4.4000000000000004</v>
      </c>
      <c r="K29" s="13"/>
      <c r="L29" s="13"/>
      <c r="M29" s="15"/>
    </row>
    <row r="30" spans="1:13" s="2" customFormat="1" ht="14.1" customHeight="1" x14ac:dyDescent="0.3">
      <c r="A30" s="92"/>
      <c r="B30" s="23" t="s">
        <v>141</v>
      </c>
      <c r="C30" s="24"/>
      <c r="D30" s="25"/>
      <c r="E30" s="26"/>
      <c r="F30" s="26"/>
      <c r="G30" s="27"/>
      <c r="H30" s="36"/>
      <c r="I30" s="89"/>
      <c r="J30" s="89"/>
      <c r="K30" s="21"/>
      <c r="L30" s="21"/>
      <c r="M30" s="22"/>
    </row>
    <row r="31" spans="1:13" s="2" customFormat="1" ht="14.1" customHeight="1" x14ac:dyDescent="0.3">
      <c r="A31" s="92">
        <v>14</v>
      </c>
      <c r="B31" s="54"/>
      <c r="C31" s="55"/>
      <c r="D31" s="86"/>
      <c r="E31" s="87"/>
      <c r="F31" s="87"/>
      <c r="G31" s="88"/>
      <c r="H31" s="36"/>
      <c r="I31" s="21"/>
      <c r="J31" s="21"/>
      <c r="K31" s="60"/>
      <c r="L31" s="60"/>
      <c r="M31" s="61"/>
    </row>
    <row r="32" spans="1:13" s="2" customFormat="1" ht="14.1" customHeight="1" thickBot="1" x14ac:dyDescent="0.35">
      <c r="A32" s="127"/>
      <c r="B32" s="81"/>
      <c r="C32" s="82"/>
      <c r="D32" s="18"/>
      <c r="E32" s="19"/>
      <c r="F32" s="19"/>
      <c r="G32" s="20"/>
      <c r="H32" s="95"/>
      <c r="I32" s="121"/>
      <c r="J32" s="121"/>
      <c r="K32" s="14"/>
      <c r="L32" s="14"/>
      <c r="M32" s="16"/>
    </row>
    <row r="33" spans="1:13" s="2" customFormat="1" ht="14.1" customHeight="1" x14ac:dyDescent="0.3"/>
    <row r="34" spans="1:13" s="2" customFormat="1" ht="14.1" customHeight="1" x14ac:dyDescent="0.3"/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A15:A16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B32:C32"/>
    <mergeCell ref="D32:G32"/>
    <mergeCell ref="J31:J32"/>
    <mergeCell ref="J29:J30"/>
    <mergeCell ref="K29:K30"/>
    <mergeCell ref="L29:L30"/>
    <mergeCell ref="M29:M30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J27:J28"/>
    <mergeCell ref="J25:J26"/>
    <mergeCell ref="K25:K26"/>
    <mergeCell ref="L25:L26"/>
    <mergeCell ref="M25:M26"/>
    <mergeCell ref="K31:K32"/>
    <mergeCell ref="L31:L32"/>
    <mergeCell ref="M31:M32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415D-B2B4-4E1D-B76A-8002AF7181C2}">
  <sheetPr>
    <tabColor rgb="FF00B0F0"/>
  </sheetPr>
  <dimension ref="A1:M54"/>
  <sheetViews>
    <sheetView topLeftCell="A7"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195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49</v>
      </c>
      <c r="I3" s="117">
        <f>SUM(H3)+3</f>
        <v>52</v>
      </c>
      <c r="J3" s="117">
        <f>SUM(I3)+3</f>
        <v>55</v>
      </c>
      <c r="K3" s="68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7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31</v>
      </c>
      <c r="I5" s="13">
        <f>SUM(H5)+2.6</f>
        <v>33.6</v>
      </c>
      <c r="J5" s="13">
        <f>SUM(I5)+2.6</f>
        <v>36.200000000000003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80" t="s">
        <v>198</v>
      </c>
      <c r="C7" s="80"/>
      <c r="D7" s="56" t="s">
        <v>204</v>
      </c>
      <c r="E7" s="57"/>
      <c r="F7" s="57"/>
      <c r="G7" s="58"/>
      <c r="H7" s="36">
        <v>5.5</v>
      </c>
      <c r="I7" s="21">
        <f>SUM(H7)+0.4</f>
        <v>5.9</v>
      </c>
      <c r="J7" s="21">
        <f>SUM(I7)+0.4</f>
        <v>6.3000000000000007</v>
      </c>
      <c r="K7" s="60"/>
      <c r="L7" s="60"/>
      <c r="M7" s="61"/>
    </row>
    <row r="8" spans="1:13" s="2" customFormat="1" ht="14.1" customHeight="1" x14ac:dyDescent="0.3">
      <c r="A8" s="128"/>
      <c r="B8" s="46" t="s">
        <v>200</v>
      </c>
      <c r="C8" s="46"/>
      <c r="D8" s="25" t="s">
        <v>202</v>
      </c>
      <c r="E8" s="26"/>
      <c r="F8" s="26"/>
      <c r="G8" s="27"/>
      <c r="H8" s="93"/>
      <c r="I8" s="89"/>
      <c r="J8" s="89"/>
      <c r="K8" s="21"/>
      <c r="L8" s="21"/>
      <c r="M8" s="22"/>
    </row>
    <row r="9" spans="1:13" s="2" customFormat="1" ht="14.1" customHeight="1" x14ac:dyDescent="0.3">
      <c r="A9" s="128">
        <v>4</v>
      </c>
      <c r="B9" s="80" t="s">
        <v>199</v>
      </c>
      <c r="C9" s="80"/>
      <c r="D9" s="56" t="s">
        <v>205</v>
      </c>
      <c r="E9" s="57"/>
      <c r="F9" s="57"/>
      <c r="G9" s="58"/>
      <c r="H9" s="36">
        <v>10.9</v>
      </c>
      <c r="I9" s="21">
        <f>SUM(H9)+0.6</f>
        <v>11.5</v>
      </c>
      <c r="J9" s="21">
        <f>SUM(I9)+0.6</f>
        <v>12.1</v>
      </c>
      <c r="K9" s="60"/>
      <c r="L9" s="60"/>
      <c r="M9" s="61"/>
    </row>
    <row r="10" spans="1:13" s="2" customFormat="1" ht="14.1" customHeight="1" x14ac:dyDescent="0.3">
      <c r="A10" s="128"/>
      <c r="B10" s="46" t="s">
        <v>201</v>
      </c>
      <c r="C10" s="46"/>
      <c r="D10" s="25" t="s">
        <v>203</v>
      </c>
      <c r="E10" s="26"/>
      <c r="F10" s="26"/>
      <c r="G10" s="27"/>
      <c r="H10" s="93"/>
      <c r="I10" s="89"/>
      <c r="J10" s="89"/>
      <c r="K10" s="21"/>
      <c r="L10" s="21"/>
      <c r="M10" s="22"/>
    </row>
    <row r="11" spans="1:13" s="2" customFormat="1" ht="14.1" customHeight="1" x14ac:dyDescent="0.3">
      <c r="A11" s="128">
        <v>5</v>
      </c>
      <c r="B11" s="45" t="s">
        <v>19</v>
      </c>
      <c r="C11" s="45"/>
      <c r="D11" s="32" t="s">
        <v>10</v>
      </c>
      <c r="E11" s="32"/>
      <c r="F11" s="32"/>
      <c r="G11" s="32"/>
      <c r="H11" s="33">
        <v>37</v>
      </c>
      <c r="I11" s="13">
        <f>SUM(H11)+3</f>
        <v>40</v>
      </c>
      <c r="J11" s="13">
        <f>SUM(I11)+3</f>
        <v>43</v>
      </c>
      <c r="K11" s="89"/>
      <c r="L11" s="89"/>
      <c r="M11" s="131"/>
    </row>
    <row r="12" spans="1:13" s="2" customFormat="1" ht="14.1" customHeight="1" x14ac:dyDescent="0.3">
      <c r="A12" s="128"/>
      <c r="B12" s="46" t="s">
        <v>24</v>
      </c>
      <c r="C12" s="46"/>
      <c r="D12" s="25" t="s">
        <v>27</v>
      </c>
      <c r="E12" s="26"/>
      <c r="F12" s="26"/>
      <c r="G12" s="27"/>
      <c r="H12" s="36"/>
      <c r="I12" s="21"/>
      <c r="J12" s="21"/>
      <c r="K12" s="89"/>
      <c r="L12" s="89"/>
      <c r="M12" s="131"/>
    </row>
    <row r="13" spans="1:13" s="2" customFormat="1" ht="14.1" customHeight="1" x14ac:dyDescent="0.3">
      <c r="A13" s="128">
        <v>6</v>
      </c>
      <c r="B13" s="30" t="s">
        <v>207</v>
      </c>
      <c r="C13" s="31"/>
      <c r="D13" s="32"/>
      <c r="E13" s="32"/>
      <c r="F13" s="32"/>
      <c r="G13" s="32"/>
      <c r="H13" s="33">
        <v>8</v>
      </c>
      <c r="I13" s="13">
        <f>SUM(H13)+0.7</f>
        <v>8.6999999999999993</v>
      </c>
      <c r="J13" s="13">
        <f>SUM(I13)+0.7</f>
        <v>9.3999999999999986</v>
      </c>
      <c r="K13" s="89"/>
      <c r="L13" s="89"/>
      <c r="M13" s="131"/>
    </row>
    <row r="14" spans="1:13" s="2" customFormat="1" ht="14.1" customHeight="1" x14ac:dyDescent="0.3">
      <c r="A14" s="128"/>
      <c r="B14" s="54" t="s">
        <v>208</v>
      </c>
      <c r="C14" s="55"/>
      <c r="D14" s="25" t="s">
        <v>206</v>
      </c>
      <c r="E14" s="26"/>
      <c r="F14" s="26"/>
      <c r="G14" s="27"/>
      <c r="H14" s="36"/>
      <c r="I14" s="21"/>
      <c r="J14" s="21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25</v>
      </c>
      <c r="C15" s="45"/>
      <c r="D15" s="32" t="s">
        <v>8</v>
      </c>
      <c r="E15" s="32"/>
      <c r="F15" s="32"/>
      <c r="G15" s="32"/>
      <c r="H15" s="33">
        <v>37</v>
      </c>
      <c r="I15" s="13">
        <f>SUM(H15)+3</f>
        <v>40</v>
      </c>
      <c r="J15" s="13">
        <f>SUM(I15)+3</f>
        <v>43</v>
      </c>
      <c r="K15" s="89"/>
      <c r="L15" s="89"/>
      <c r="M15" s="131"/>
    </row>
    <row r="16" spans="1:13" s="2" customFormat="1" ht="14.1" customHeight="1" x14ac:dyDescent="0.3">
      <c r="A16" s="128"/>
      <c r="B16" s="46" t="s">
        <v>12</v>
      </c>
      <c r="C16" s="46"/>
      <c r="D16" s="25" t="s">
        <v>28</v>
      </c>
      <c r="E16" s="26"/>
      <c r="F16" s="26"/>
      <c r="G16" s="27"/>
      <c r="H16" s="36"/>
      <c r="I16" s="21"/>
      <c r="J16" s="21"/>
      <c r="K16" s="89"/>
      <c r="L16" s="89"/>
      <c r="M16" s="131"/>
    </row>
    <row r="17" spans="1:13" s="2" customFormat="1" ht="14.1" customHeight="1" x14ac:dyDescent="0.3">
      <c r="A17" s="128">
        <v>8</v>
      </c>
      <c r="B17" s="45" t="s">
        <v>9</v>
      </c>
      <c r="C17" s="45"/>
      <c r="D17" s="32" t="s">
        <v>0</v>
      </c>
      <c r="E17" s="32"/>
      <c r="F17" s="32"/>
      <c r="G17" s="32"/>
      <c r="H17" s="93">
        <v>17.3</v>
      </c>
      <c r="I17" s="89">
        <f>SUM(H17)+1</f>
        <v>18.3</v>
      </c>
      <c r="J17" s="89">
        <f>SUM(I17)+1</f>
        <v>19.3</v>
      </c>
      <c r="K17" s="89"/>
      <c r="L17" s="89"/>
      <c r="M17" s="131"/>
    </row>
    <row r="18" spans="1:13" s="2" customFormat="1" ht="14.1" customHeight="1" x14ac:dyDescent="0.3">
      <c r="A18" s="128"/>
      <c r="B18" s="46" t="s">
        <v>13</v>
      </c>
      <c r="C18" s="46"/>
      <c r="D18" s="25" t="s">
        <v>29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1</v>
      </c>
      <c r="C19" s="45"/>
      <c r="D19" s="32" t="s">
        <v>150</v>
      </c>
      <c r="E19" s="32"/>
      <c r="F19" s="32"/>
      <c r="G19" s="32"/>
      <c r="H19" s="93">
        <v>18</v>
      </c>
      <c r="I19" s="89">
        <f>SUM(H19)+0.6</f>
        <v>18.600000000000001</v>
      </c>
      <c r="J19" s="89">
        <f>SUM(I19)+0.6</f>
        <v>19.200000000000003</v>
      </c>
      <c r="K19" s="89"/>
      <c r="L19" s="89"/>
      <c r="M19" s="131"/>
    </row>
    <row r="20" spans="1:13" s="2" customFormat="1" ht="14.1" customHeight="1" x14ac:dyDescent="0.3">
      <c r="A20" s="128"/>
      <c r="B20" s="46" t="s">
        <v>14</v>
      </c>
      <c r="C20" s="46"/>
      <c r="D20" s="25" t="s">
        <v>107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2</v>
      </c>
      <c r="C21" s="45"/>
      <c r="D21" s="32" t="s">
        <v>3</v>
      </c>
      <c r="E21" s="32"/>
      <c r="F21" s="32"/>
      <c r="G21" s="32"/>
      <c r="H21" s="93">
        <v>8.3000000000000007</v>
      </c>
      <c r="I21" s="89">
        <f>SUM(H21)+0.3</f>
        <v>8.6000000000000014</v>
      </c>
      <c r="J21" s="89">
        <f>SUM(I21)+0.3</f>
        <v>8.9000000000000021</v>
      </c>
      <c r="K21" s="89"/>
      <c r="L21" s="89"/>
      <c r="M21" s="131"/>
    </row>
    <row r="22" spans="1:13" s="2" customFormat="1" ht="14.1" customHeight="1" x14ac:dyDescent="0.3">
      <c r="A22" s="128"/>
      <c r="B22" s="46" t="s">
        <v>15</v>
      </c>
      <c r="C22" s="46"/>
      <c r="D22" s="25" t="s">
        <v>106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61</v>
      </c>
      <c r="C23" s="31"/>
      <c r="D23" s="42" t="s">
        <v>69</v>
      </c>
      <c r="E23" s="43"/>
      <c r="F23" s="43"/>
      <c r="G23" s="44"/>
      <c r="H23" s="93">
        <v>47</v>
      </c>
      <c r="I23" s="89">
        <f>SUM(H23)+1.6</f>
        <v>48.6</v>
      </c>
      <c r="J23" s="89">
        <f>SUM(I23)+1.6</f>
        <v>50.2</v>
      </c>
      <c r="K23" s="89"/>
      <c r="L23" s="89"/>
      <c r="M23" s="131"/>
    </row>
    <row r="24" spans="1:13" s="2" customFormat="1" ht="14.1" customHeight="1" x14ac:dyDescent="0.3">
      <c r="A24" s="128"/>
      <c r="B24" s="46" t="s">
        <v>62</v>
      </c>
      <c r="C24" s="46"/>
      <c r="D24" s="25" t="s">
        <v>105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45" t="s">
        <v>4</v>
      </c>
      <c r="C25" s="45"/>
      <c r="D25" s="32" t="s">
        <v>5</v>
      </c>
      <c r="E25" s="32"/>
      <c r="F25" s="32"/>
      <c r="G25" s="32"/>
      <c r="H25" s="93">
        <v>16.5</v>
      </c>
      <c r="I25" s="89">
        <f>SUM(H25)+1.2</f>
        <v>17.7</v>
      </c>
      <c r="J25" s="89">
        <f>SUM(I25)+1.2</f>
        <v>18.899999999999999</v>
      </c>
      <c r="K25" s="89"/>
      <c r="L25" s="89"/>
      <c r="M25" s="131"/>
    </row>
    <row r="26" spans="1:13" s="2" customFormat="1" ht="14.1" customHeight="1" x14ac:dyDescent="0.3">
      <c r="A26" s="128"/>
      <c r="B26" s="46" t="s">
        <v>16</v>
      </c>
      <c r="C26" s="46"/>
      <c r="D26" s="25" t="s">
        <v>32</v>
      </c>
      <c r="E26" s="26"/>
      <c r="F26" s="26"/>
      <c r="G26" s="27"/>
      <c r="H26" s="93"/>
      <c r="I26" s="89"/>
      <c r="J26" s="89"/>
      <c r="K26" s="89"/>
      <c r="L26" s="89"/>
      <c r="M26" s="131"/>
    </row>
    <row r="27" spans="1:13" s="2" customFormat="1" ht="14.1" customHeight="1" x14ac:dyDescent="0.3">
      <c r="A27" s="128">
        <v>13</v>
      </c>
      <c r="B27" s="45" t="s">
        <v>6</v>
      </c>
      <c r="C27" s="45"/>
      <c r="D27" s="42" t="s">
        <v>7</v>
      </c>
      <c r="E27" s="43"/>
      <c r="F27" s="43"/>
      <c r="G27" s="44"/>
      <c r="H27" s="93"/>
      <c r="I27" s="89"/>
      <c r="J27" s="89"/>
      <c r="K27" s="89"/>
      <c r="L27" s="89"/>
      <c r="M27" s="131"/>
    </row>
    <row r="28" spans="1:13" s="2" customFormat="1" ht="14.1" customHeight="1" x14ac:dyDescent="0.3">
      <c r="A28" s="128"/>
      <c r="B28" s="46" t="s">
        <v>17</v>
      </c>
      <c r="C28" s="46"/>
      <c r="D28" s="25" t="s">
        <v>39</v>
      </c>
      <c r="E28" s="26"/>
      <c r="F28" s="26"/>
      <c r="G28" s="27"/>
      <c r="H28" s="93"/>
      <c r="I28" s="89"/>
      <c r="J28" s="89"/>
      <c r="K28" s="89"/>
      <c r="L28" s="89"/>
      <c r="M28" s="131"/>
    </row>
    <row r="29" spans="1:13" s="2" customFormat="1" ht="14.1" customHeight="1" x14ac:dyDescent="0.3">
      <c r="A29" s="128">
        <v>14</v>
      </c>
      <c r="B29" s="30" t="s">
        <v>104</v>
      </c>
      <c r="C29" s="31"/>
      <c r="D29" s="32" t="s">
        <v>40</v>
      </c>
      <c r="E29" s="32"/>
      <c r="F29" s="32"/>
      <c r="G29" s="32"/>
      <c r="H29" s="93">
        <v>26.8</v>
      </c>
      <c r="I29" s="89">
        <f>SUM(H29)+1.5</f>
        <v>28.3</v>
      </c>
      <c r="J29" s="89">
        <f>SUM(I29)+1.5</f>
        <v>29.8</v>
      </c>
      <c r="K29" s="89"/>
      <c r="L29" s="89"/>
      <c r="M29" s="131"/>
    </row>
    <row r="30" spans="1:13" s="2" customFormat="1" ht="14.1" customHeight="1" x14ac:dyDescent="0.3">
      <c r="A30" s="128"/>
      <c r="B30" s="46" t="s">
        <v>18</v>
      </c>
      <c r="C30" s="46"/>
      <c r="D30" s="25" t="s">
        <v>41</v>
      </c>
      <c r="E30" s="26"/>
      <c r="F30" s="26"/>
      <c r="G30" s="27"/>
      <c r="H30" s="93"/>
      <c r="I30" s="89"/>
      <c r="J30" s="89"/>
      <c r="K30" s="89"/>
      <c r="L30" s="89"/>
      <c r="M30" s="131"/>
    </row>
    <row r="31" spans="1:13" s="2" customFormat="1" ht="14.1" customHeight="1" x14ac:dyDescent="0.3">
      <c r="A31" s="128">
        <v>15</v>
      </c>
      <c r="B31" s="30" t="s">
        <v>133</v>
      </c>
      <c r="C31" s="31"/>
      <c r="D31" s="83" t="s">
        <v>63</v>
      </c>
      <c r="E31" s="84"/>
      <c r="F31" s="84"/>
      <c r="G31" s="85"/>
      <c r="H31" s="93">
        <v>13</v>
      </c>
      <c r="I31" s="89">
        <f>SUM(H31)+0.7</f>
        <v>13.7</v>
      </c>
      <c r="J31" s="89">
        <f>SUM(I31)+0.7</f>
        <v>14.399999999999999</v>
      </c>
      <c r="K31" s="13"/>
      <c r="L31" s="13"/>
      <c r="M31" s="15"/>
    </row>
    <row r="32" spans="1:13" s="2" customFormat="1" ht="14.1" customHeight="1" x14ac:dyDescent="0.3">
      <c r="A32" s="128"/>
      <c r="B32" s="54" t="s">
        <v>141</v>
      </c>
      <c r="C32" s="55"/>
      <c r="D32" s="56" t="s">
        <v>64</v>
      </c>
      <c r="E32" s="57"/>
      <c r="F32" s="57"/>
      <c r="G32" s="58"/>
      <c r="H32" s="33"/>
      <c r="I32" s="13"/>
      <c r="J32" s="13"/>
      <c r="K32" s="60"/>
      <c r="L32" s="60"/>
      <c r="M32" s="61"/>
    </row>
    <row r="33" spans="1:13" s="2" customFormat="1" ht="14.1" customHeight="1" x14ac:dyDescent="0.3">
      <c r="A33" s="128">
        <v>16</v>
      </c>
      <c r="B33" s="30" t="s">
        <v>134</v>
      </c>
      <c r="C33" s="31"/>
      <c r="D33" s="83" t="s">
        <v>63</v>
      </c>
      <c r="E33" s="84"/>
      <c r="F33" s="84"/>
      <c r="G33" s="85"/>
      <c r="H33" s="93">
        <v>5.4</v>
      </c>
      <c r="I33" s="89">
        <f>SUM(H33)+0.6</f>
        <v>6</v>
      </c>
      <c r="J33" s="89">
        <f>SUM(I33)+0.6</f>
        <v>6.6</v>
      </c>
      <c r="K33" s="13"/>
      <c r="L33" s="13"/>
      <c r="M33" s="15"/>
    </row>
    <row r="34" spans="1:13" s="2" customFormat="1" ht="14.1" customHeight="1" thickBot="1" x14ac:dyDescent="0.35">
      <c r="A34" s="128"/>
      <c r="B34" s="54" t="s">
        <v>142</v>
      </c>
      <c r="C34" s="55"/>
      <c r="D34" s="56" t="s">
        <v>196</v>
      </c>
      <c r="E34" s="57"/>
      <c r="F34" s="57"/>
      <c r="G34" s="58"/>
      <c r="H34" s="33"/>
      <c r="I34" s="13"/>
      <c r="J34" s="13"/>
      <c r="K34" s="60"/>
      <c r="L34" s="60"/>
      <c r="M34" s="61"/>
    </row>
    <row r="35" spans="1:13" s="2" customFormat="1" ht="14.1" customHeight="1" thickTop="1" x14ac:dyDescent="0.3">
      <c r="A35" s="133">
        <v>17</v>
      </c>
      <c r="B35" s="110" t="s">
        <v>185</v>
      </c>
      <c r="C35" s="111"/>
      <c r="D35" s="134"/>
      <c r="E35" s="135"/>
      <c r="F35" s="135"/>
      <c r="G35" s="136"/>
      <c r="H35" s="137">
        <v>30.5</v>
      </c>
      <c r="I35" s="132">
        <f>SUM(H35)+2.3</f>
        <v>32.799999999999997</v>
      </c>
      <c r="J35" s="132">
        <f>SUM(I35)+2.3</f>
        <v>35.099999999999994</v>
      </c>
      <c r="K35" s="107"/>
      <c r="L35" s="107"/>
      <c r="M35" s="108"/>
    </row>
    <row r="36" spans="1:13" s="2" customFormat="1" ht="14.1" customHeight="1" x14ac:dyDescent="0.3">
      <c r="A36" s="91"/>
      <c r="B36" s="23" t="s">
        <v>190</v>
      </c>
      <c r="C36" s="24"/>
      <c r="D36" s="56" t="s">
        <v>197</v>
      </c>
      <c r="E36" s="57"/>
      <c r="F36" s="57"/>
      <c r="G36" s="58"/>
      <c r="H36" s="33"/>
      <c r="I36" s="13"/>
      <c r="J36" s="13"/>
      <c r="K36" s="60"/>
      <c r="L36" s="60"/>
      <c r="M36" s="61"/>
    </row>
    <row r="37" spans="1:13" ht="14.1" customHeight="1" x14ac:dyDescent="0.3">
      <c r="A37" s="128">
        <v>18</v>
      </c>
      <c r="B37" s="30" t="s">
        <v>191</v>
      </c>
      <c r="C37" s="31"/>
      <c r="D37" s="83"/>
      <c r="E37" s="84"/>
      <c r="F37" s="84"/>
      <c r="G37" s="85"/>
      <c r="H37" s="93">
        <v>37</v>
      </c>
      <c r="I37" s="89">
        <f>SUM(H37)+3</f>
        <v>40</v>
      </c>
      <c r="J37" s="89">
        <f>SUM(I37)+3</f>
        <v>43</v>
      </c>
      <c r="K37" s="13"/>
      <c r="L37" s="13"/>
      <c r="M37" s="15"/>
    </row>
    <row r="38" spans="1:13" ht="14.1" customHeight="1" x14ac:dyDescent="0.3">
      <c r="A38" s="91"/>
      <c r="B38" s="23" t="s">
        <v>192</v>
      </c>
      <c r="C38" s="24"/>
      <c r="D38" s="25"/>
      <c r="E38" s="26"/>
      <c r="F38" s="26"/>
      <c r="G38" s="27"/>
      <c r="H38" s="93"/>
      <c r="I38" s="89"/>
      <c r="J38" s="89"/>
      <c r="K38" s="21"/>
      <c r="L38" s="21"/>
      <c r="M38" s="22"/>
    </row>
    <row r="39" spans="1:13" ht="14.1" customHeight="1" x14ac:dyDescent="0.3">
      <c r="A39" s="128">
        <v>19</v>
      </c>
      <c r="B39" s="30"/>
      <c r="C39" s="31"/>
      <c r="D39" s="42"/>
      <c r="E39" s="43"/>
      <c r="F39" s="43"/>
      <c r="G39" s="44"/>
      <c r="H39" s="93"/>
      <c r="I39" s="89"/>
      <c r="J39" s="89"/>
      <c r="K39" s="13"/>
      <c r="L39" s="13"/>
      <c r="M39" s="15"/>
    </row>
    <row r="40" spans="1:13" ht="14.1" customHeight="1" x14ac:dyDescent="0.3">
      <c r="A40" s="91"/>
      <c r="B40" s="23"/>
      <c r="C40" s="24"/>
      <c r="D40" s="25"/>
      <c r="E40" s="26"/>
      <c r="F40" s="26"/>
      <c r="G40" s="27"/>
      <c r="H40" s="93"/>
      <c r="I40" s="89"/>
      <c r="J40" s="89"/>
      <c r="K40" s="21"/>
      <c r="L40" s="21"/>
      <c r="M40" s="22"/>
    </row>
    <row r="41" spans="1:13" ht="14.1" customHeight="1" x14ac:dyDescent="0.3">
      <c r="A41" s="128">
        <v>20</v>
      </c>
      <c r="B41" s="45"/>
      <c r="C41" s="45"/>
      <c r="D41" s="32"/>
      <c r="E41" s="32"/>
      <c r="F41" s="32"/>
      <c r="G41" s="32"/>
      <c r="H41" s="36"/>
      <c r="I41" s="89"/>
      <c r="J41" s="89"/>
      <c r="K41" s="60"/>
      <c r="L41" s="60"/>
      <c r="M41" s="61"/>
    </row>
    <row r="42" spans="1:13" ht="14.1" customHeight="1" thickBot="1" x14ac:dyDescent="0.35">
      <c r="A42" s="127"/>
      <c r="B42" s="17"/>
      <c r="C42" s="17"/>
      <c r="D42" s="18"/>
      <c r="E42" s="19"/>
      <c r="F42" s="19"/>
      <c r="G42" s="20"/>
      <c r="H42" s="95"/>
      <c r="I42" s="121"/>
      <c r="J42" s="121"/>
      <c r="K42" s="14"/>
      <c r="L42" s="14"/>
      <c r="M42" s="16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</sheetData>
  <mergeCells count="223">
    <mergeCell ref="A1:M1"/>
    <mergeCell ref="B2:C2"/>
    <mergeCell ref="D2:G2"/>
    <mergeCell ref="A9:A10"/>
    <mergeCell ref="B9:C9"/>
    <mergeCell ref="D9:G9"/>
    <mergeCell ref="H9:H10"/>
    <mergeCell ref="I9:I10"/>
    <mergeCell ref="J9:J10"/>
    <mergeCell ref="K9:K10"/>
    <mergeCell ref="K3:K4"/>
    <mergeCell ref="L3:L4"/>
    <mergeCell ref="M3:M4"/>
    <mergeCell ref="B4:C4"/>
    <mergeCell ref="D4:G4"/>
    <mergeCell ref="A7:A8"/>
    <mergeCell ref="B7:C7"/>
    <mergeCell ref="D7:G7"/>
    <mergeCell ref="H7:H8"/>
    <mergeCell ref="I7:I8"/>
    <mergeCell ref="A3:A4"/>
    <mergeCell ref="B3:C3"/>
    <mergeCell ref="D3:G3"/>
    <mergeCell ref="H3:H4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J39:J40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A37:A38"/>
    <mergeCell ref="B37:C37"/>
    <mergeCell ref="D37:G37"/>
    <mergeCell ref="H37:H38"/>
    <mergeCell ref="I37:I38"/>
    <mergeCell ref="A31:A32"/>
    <mergeCell ref="B31:C31"/>
    <mergeCell ref="D31:G31"/>
    <mergeCell ref="H31:H32"/>
    <mergeCell ref="I31:I32"/>
    <mergeCell ref="A33:A34"/>
    <mergeCell ref="B36:C36"/>
    <mergeCell ref="D36:G36"/>
    <mergeCell ref="B34:C34"/>
    <mergeCell ref="D34:G34"/>
    <mergeCell ref="A35:A36"/>
    <mergeCell ref="B35:C35"/>
    <mergeCell ref="D35:G35"/>
    <mergeCell ref="H35:H36"/>
    <mergeCell ref="I35:I36"/>
    <mergeCell ref="B33:C33"/>
    <mergeCell ref="D33:G33"/>
    <mergeCell ref="H33:H34"/>
    <mergeCell ref="I33:I34"/>
    <mergeCell ref="J37:J38"/>
    <mergeCell ref="K37:K38"/>
    <mergeCell ref="L37:L38"/>
    <mergeCell ref="M37:M38"/>
    <mergeCell ref="B38:C38"/>
    <mergeCell ref="D38:G38"/>
    <mergeCell ref="K31:K32"/>
    <mergeCell ref="L31:L32"/>
    <mergeCell ref="M31:M32"/>
    <mergeCell ref="B32:C32"/>
    <mergeCell ref="D32:G32"/>
    <mergeCell ref="J31:J32"/>
    <mergeCell ref="J35:J36"/>
    <mergeCell ref="K35:K36"/>
    <mergeCell ref="L35:L36"/>
    <mergeCell ref="M35:M36"/>
    <mergeCell ref="K33:K34"/>
    <mergeCell ref="L33:L34"/>
    <mergeCell ref="M33:M34"/>
    <mergeCell ref="J33:J34"/>
    <mergeCell ref="I3:I4"/>
    <mergeCell ref="J3:J4"/>
    <mergeCell ref="A5:A6"/>
    <mergeCell ref="B5:C5"/>
    <mergeCell ref="D5:G5"/>
    <mergeCell ref="H5:H6"/>
    <mergeCell ref="I5:I6"/>
    <mergeCell ref="A13:A14"/>
    <mergeCell ref="B13:C13"/>
    <mergeCell ref="D13:G13"/>
    <mergeCell ref="H13:H14"/>
    <mergeCell ref="I13:I14"/>
    <mergeCell ref="B8:C8"/>
    <mergeCell ref="D8:G8"/>
    <mergeCell ref="B12:C12"/>
    <mergeCell ref="D12:G12"/>
    <mergeCell ref="A11:A12"/>
    <mergeCell ref="B11:C11"/>
    <mergeCell ref="D11:G11"/>
    <mergeCell ref="H11:H12"/>
    <mergeCell ref="I11:I12"/>
    <mergeCell ref="B10:C10"/>
    <mergeCell ref="D10:G10"/>
    <mergeCell ref="J5:J6"/>
    <mergeCell ref="K5:K6"/>
    <mergeCell ref="L5:L6"/>
    <mergeCell ref="M5:M6"/>
    <mergeCell ref="B6:C6"/>
    <mergeCell ref="D6:G6"/>
    <mergeCell ref="K13:K14"/>
    <mergeCell ref="L13:L14"/>
    <mergeCell ref="M13:M14"/>
    <mergeCell ref="B14:C14"/>
    <mergeCell ref="D14:G14"/>
    <mergeCell ref="J13:J14"/>
    <mergeCell ref="J7:J8"/>
    <mergeCell ref="K7:K8"/>
    <mergeCell ref="L7:L8"/>
    <mergeCell ref="M7:M8"/>
    <mergeCell ref="J11:J12"/>
    <mergeCell ref="K11:K12"/>
    <mergeCell ref="L11:L12"/>
    <mergeCell ref="M11:M12"/>
    <mergeCell ref="L9:L10"/>
    <mergeCell ref="M9:M10"/>
  </mergeCells>
  <phoneticPr fontId="18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87DF-35B4-4776-8F8C-D1EAB830651C}">
  <sheetPr>
    <tabColor rgb="FF00B0F0"/>
  </sheetPr>
  <dimension ref="A1:M50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48</v>
      </c>
      <c r="I3" s="117">
        <f>SUM(H3)+3</f>
        <v>51</v>
      </c>
      <c r="J3" s="117">
        <f>SUM(I3)+3</f>
        <v>54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33</v>
      </c>
      <c r="I5" s="13">
        <f>SUM(H5)+2.4</f>
        <v>35.4</v>
      </c>
      <c r="J5" s="13">
        <f>SUM(I5)+2.4</f>
        <v>37.799999999999997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41</v>
      </c>
      <c r="I7" s="13">
        <f>SUM(H7)+3</f>
        <v>44</v>
      </c>
      <c r="J7" s="13">
        <f>SUM(I7)+3</f>
        <v>47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41</v>
      </c>
      <c r="I9" s="13">
        <f>SUM(H9)+3</f>
        <v>44</v>
      </c>
      <c r="J9" s="13">
        <f>SUM(I9)+3</f>
        <v>47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17.8</v>
      </c>
      <c r="I11" s="89">
        <f>SUM(H11)+1</f>
        <v>18.8</v>
      </c>
      <c r="J11" s="89">
        <f>SUM(I11)+1</f>
        <v>19.8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17</v>
      </c>
      <c r="I13" s="89">
        <f>SUM(H13)+0.6</f>
        <v>17.600000000000001</v>
      </c>
      <c r="J13" s="89">
        <f>SUM(I13)+0.6</f>
        <v>18.200000000000003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8.3000000000000007</v>
      </c>
      <c r="I15" s="89">
        <f>SUM(H15)+0.3</f>
        <v>8.6000000000000014</v>
      </c>
      <c r="J15" s="89">
        <f>SUM(I15)+0.3</f>
        <v>8.9000000000000021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48</v>
      </c>
      <c r="I17" s="89">
        <f>SUM(H17)+1.6</f>
        <v>49.6</v>
      </c>
      <c r="J17" s="89">
        <f>SUM(I17)+1.6</f>
        <v>51.2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13</v>
      </c>
      <c r="I19" s="89">
        <f>SUM(H19)+1.3</f>
        <v>14.3</v>
      </c>
      <c r="J19" s="89">
        <f>SUM(I19)+1.3</f>
        <v>15.600000000000001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31.1</v>
      </c>
      <c r="I23" s="89">
        <f>SUM(H23)+1.7</f>
        <v>32.800000000000004</v>
      </c>
      <c r="J23" s="89">
        <f>SUM(I23)+1.7</f>
        <v>34.500000000000007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7</v>
      </c>
      <c r="I25" s="89">
        <f>SUM(H25)+0.4</f>
        <v>7.4</v>
      </c>
      <c r="J25" s="89">
        <f>SUM(I25)+0.4</f>
        <v>7.8000000000000007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D307-7866-4389-BADF-275081780312}">
  <sheetPr>
    <tabColor rgb="FF00B0F0"/>
  </sheetPr>
  <dimension ref="A1:M48"/>
  <sheetViews>
    <sheetView zoomScale="110" zoomScaleNormal="110" zoomScalePageLayoutView="110" workbookViewId="0">
      <selection activeCell="H21" sqref="H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189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48.5</v>
      </c>
      <c r="I3" s="117">
        <f>SUM(H3)+3</f>
        <v>51.5</v>
      </c>
      <c r="J3" s="117">
        <f>SUM(I3)+3</f>
        <v>54.5</v>
      </c>
      <c r="K3" s="68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33</v>
      </c>
      <c r="I5" s="13">
        <f>SUM(H5)+2.6</f>
        <v>35.6</v>
      </c>
      <c r="J5" s="13">
        <f>SUM(I5)+2.6</f>
        <v>38.200000000000003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39</v>
      </c>
      <c r="I7" s="13">
        <f>SUM(H7)+3</f>
        <v>42</v>
      </c>
      <c r="J7" s="13">
        <f>SUM(I7)+3</f>
        <v>45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39</v>
      </c>
      <c r="I9" s="13">
        <f>SUM(H9)+3</f>
        <v>42</v>
      </c>
      <c r="J9" s="13">
        <f>SUM(I9)+3</f>
        <v>45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</v>
      </c>
      <c r="I11" s="89">
        <f>SUM(H11)+1</f>
        <v>19</v>
      </c>
      <c r="J11" s="89">
        <f>SUM(I11)+1</f>
        <v>20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32" t="s">
        <v>150</v>
      </c>
      <c r="E13" s="32"/>
      <c r="F13" s="32"/>
      <c r="G13" s="32"/>
      <c r="H13" s="93">
        <v>17</v>
      </c>
      <c r="I13" s="89">
        <f>SUM(H13)+0.6</f>
        <v>17.600000000000001</v>
      </c>
      <c r="J13" s="89">
        <f>SUM(I13)+0.6</f>
        <v>18.200000000000003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6.8</v>
      </c>
      <c r="I15" s="89">
        <f>SUM(H15)+0.3</f>
        <v>7.1</v>
      </c>
      <c r="J15" s="89">
        <f>SUM(I15)+0.3</f>
        <v>7.3999999999999995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48</v>
      </c>
      <c r="I17" s="89">
        <f>SUM(H17)+1.6</f>
        <v>49.6</v>
      </c>
      <c r="J17" s="89">
        <f>SUM(I17)+1.6</f>
        <v>51.2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16</v>
      </c>
      <c r="I19" s="89">
        <f>SUM(H19)+1.2</f>
        <v>17.2</v>
      </c>
      <c r="J19" s="89">
        <f>SUM(I19)+1.2</f>
        <v>18.399999999999999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28</v>
      </c>
      <c r="I23" s="89">
        <f>SUM(H23)+1.5</f>
        <v>29.5</v>
      </c>
      <c r="J23" s="89">
        <f>SUM(I23)+1.5</f>
        <v>31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 t="s">
        <v>63</v>
      </c>
      <c r="E25" s="84"/>
      <c r="F25" s="84"/>
      <c r="G25" s="85"/>
      <c r="H25" s="93">
        <v>2.5</v>
      </c>
      <c r="I25" s="89">
        <f>SUM(H25)+0.1</f>
        <v>2.6</v>
      </c>
      <c r="J25" s="89">
        <f>SUM(I25)+0.1</f>
        <v>2.7</v>
      </c>
      <c r="K25" s="13"/>
      <c r="L25" s="13"/>
      <c r="M25" s="15"/>
    </row>
    <row r="26" spans="1:13" s="2" customFormat="1" ht="14.1" customHeight="1" thickBot="1" x14ac:dyDescent="0.35">
      <c r="A26" s="91"/>
      <c r="B26" s="54" t="s">
        <v>141</v>
      </c>
      <c r="C26" s="55"/>
      <c r="D26" s="56" t="s">
        <v>64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thickTop="1" x14ac:dyDescent="0.3">
      <c r="A27" s="133">
        <v>13</v>
      </c>
      <c r="B27" s="110" t="s">
        <v>185</v>
      </c>
      <c r="C27" s="111"/>
      <c r="D27" s="134"/>
      <c r="E27" s="135"/>
      <c r="F27" s="135"/>
      <c r="G27" s="136"/>
      <c r="H27" s="137">
        <v>25.7</v>
      </c>
      <c r="I27" s="132">
        <f>SUM(H27)+1.7</f>
        <v>27.4</v>
      </c>
      <c r="J27" s="132">
        <f>SUM(I27)+1.7</f>
        <v>29.099999999999998</v>
      </c>
      <c r="K27" s="107"/>
      <c r="L27" s="107"/>
      <c r="M27" s="108"/>
    </row>
    <row r="28" spans="1:13" s="2" customFormat="1" ht="14.1" customHeight="1" x14ac:dyDescent="0.3">
      <c r="A28" s="91"/>
      <c r="B28" s="23" t="s">
        <v>190</v>
      </c>
      <c r="C28" s="24"/>
      <c r="D28" s="56" t="s">
        <v>186</v>
      </c>
      <c r="E28" s="57"/>
      <c r="F28" s="57"/>
      <c r="G28" s="58"/>
      <c r="H28" s="33"/>
      <c r="I28" s="13"/>
      <c r="J28" s="13"/>
      <c r="K28" s="60"/>
      <c r="L28" s="60"/>
      <c r="M28" s="61"/>
    </row>
    <row r="29" spans="1:13" s="2" customFormat="1" ht="14.1" customHeight="1" x14ac:dyDescent="0.3">
      <c r="A29" s="128">
        <v>14</v>
      </c>
      <c r="B29" s="54" t="s">
        <v>191</v>
      </c>
      <c r="C29" s="55"/>
      <c r="D29" s="83"/>
      <c r="E29" s="84"/>
      <c r="F29" s="84"/>
      <c r="G29" s="85"/>
      <c r="H29" s="93">
        <v>40</v>
      </c>
      <c r="I29" s="89">
        <f>SUM(H29)+3</f>
        <v>43</v>
      </c>
      <c r="J29" s="89">
        <f>SUM(I29)+3</f>
        <v>46</v>
      </c>
      <c r="K29" s="13"/>
      <c r="L29" s="13"/>
      <c r="M29" s="15"/>
    </row>
    <row r="30" spans="1:13" s="2" customFormat="1" ht="14.1" customHeight="1" x14ac:dyDescent="0.3">
      <c r="A30" s="91"/>
      <c r="B30" s="54" t="s">
        <v>192</v>
      </c>
      <c r="C30" s="55"/>
      <c r="D30" s="25"/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128">
        <v>15</v>
      </c>
      <c r="B31" s="30" t="s">
        <v>187</v>
      </c>
      <c r="C31" s="31"/>
      <c r="D31" s="42"/>
      <c r="E31" s="43"/>
      <c r="F31" s="43"/>
      <c r="G31" s="44"/>
      <c r="H31" s="93">
        <v>17</v>
      </c>
      <c r="I31" s="89">
        <f>SUM(H31)+1</f>
        <v>18</v>
      </c>
      <c r="J31" s="89">
        <f>SUM(I31)+1</f>
        <v>19</v>
      </c>
      <c r="K31" s="13"/>
      <c r="L31" s="13"/>
      <c r="M31" s="15"/>
    </row>
    <row r="32" spans="1:13" s="2" customFormat="1" ht="14.1" customHeight="1" x14ac:dyDescent="0.3">
      <c r="A32" s="91"/>
      <c r="B32" s="54" t="s">
        <v>188</v>
      </c>
      <c r="C32" s="55"/>
      <c r="D32" s="25" t="s">
        <v>193</v>
      </c>
      <c r="E32" s="26"/>
      <c r="F32" s="26"/>
      <c r="G32" s="27"/>
      <c r="H32" s="93"/>
      <c r="I32" s="89"/>
      <c r="J32" s="89"/>
      <c r="K32" s="21"/>
      <c r="L32" s="21"/>
      <c r="M32" s="22"/>
    </row>
    <row r="33" spans="1:13" s="2" customFormat="1" ht="14.1" customHeight="1" x14ac:dyDescent="0.3">
      <c r="A33" s="128">
        <v>16</v>
      </c>
      <c r="B33" s="45"/>
      <c r="C33" s="45"/>
      <c r="D33" s="32"/>
      <c r="E33" s="32"/>
      <c r="F33" s="32"/>
      <c r="G33" s="32"/>
      <c r="H33" s="36"/>
      <c r="I33" s="89"/>
      <c r="J33" s="89"/>
      <c r="K33" s="60"/>
      <c r="L33" s="60"/>
      <c r="M33" s="61"/>
    </row>
    <row r="34" spans="1:13" s="2" customFormat="1" ht="14.1" customHeight="1" x14ac:dyDescent="0.3">
      <c r="A34" s="91"/>
      <c r="B34" s="46"/>
      <c r="C34" s="46"/>
      <c r="D34" s="25"/>
      <c r="E34" s="26"/>
      <c r="F34" s="26"/>
      <c r="G34" s="27"/>
      <c r="H34" s="33"/>
      <c r="I34" s="89"/>
      <c r="J34" s="89"/>
      <c r="K34" s="60"/>
      <c r="L34" s="60"/>
      <c r="M34" s="61"/>
    </row>
    <row r="35" spans="1:13" s="2" customFormat="1" ht="14.1" customHeight="1" x14ac:dyDescent="0.3">
      <c r="A35" s="128">
        <v>17</v>
      </c>
      <c r="B35" s="30"/>
      <c r="C35" s="31"/>
      <c r="D35" s="42"/>
      <c r="E35" s="43"/>
      <c r="F35" s="43"/>
      <c r="G35" s="44"/>
      <c r="H35" s="93"/>
      <c r="I35" s="21"/>
      <c r="J35" s="21"/>
      <c r="K35" s="13"/>
      <c r="L35" s="13"/>
      <c r="M35" s="15"/>
    </row>
    <row r="36" spans="1:13" s="2" customFormat="1" ht="14.1" customHeight="1" thickBot="1" x14ac:dyDescent="0.35">
      <c r="A36" s="127"/>
      <c r="B36" s="81"/>
      <c r="C36" s="82"/>
      <c r="D36" s="18"/>
      <c r="E36" s="19"/>
      <c r="F36" s="19"/>
      <c r="G36" s="20"/>
      <c r="H36" s="95"/>
      <c r="I36" s="121"/>
      <c r="J36" s="121"/>
      <c r="K36" s="14"/>
      <c r="L36" s="14"/>
      <c r="M36" s="16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18E2-13E7-466F-A4BD-4D2058F84897}">
  <sheetPr>
    <tabColor rgb="FF00B0F0"/>
  </sheetPr>
  <dimension ref="A1:M54"/>
  <sheetViews>
    <sheetView zoomScale="110" zoomScaleNormal="110" zoomScalePageLayoutView="110" workbookViewId="0">
      <selection activeCell="I19" sqref="I19:I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44</v>
      </c>
      <c r="I3" s="117">
        <f>SUM(H3)+3</f>
        <v>47</v>
      </c>
      <c r="J3" s="117">
        <f>SUM(I3)+3</f>
        <v>50</v>
      </c>
      <c r="K3" s="68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28.2</v>
      </c>
      <c r="I5" s="13">
        <f>SUM(H5)+2</f>
        <v>30.2</v>
      </c>
      <c r="J5" s="13">
        <f>SUM(I5)+2</f>
        <v>32.200000000000003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42</v>
      </c>
      <c r="I7" s="13">
        <f>SUM(H7)+3</f>
        <v>45</v>
      </c>
      <c r="J7" s="13">
        <f>SUM(I7)+3</f>
        <v>48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42</v>
      </c>
      <c r="I9" s="13">
        <f>SUM(H9)+3</f>
        <v>45</v>
      </c>
      <c r="J9" s="13">
        <f>SUM(I9)+3</f>
        <v>48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17.100000000000001</v>
      </c>
      <c r="I11" s="89">
        <f>SUM(H11)+1</f>
        <v>18.100000000000001</v>
      </c>
      <c r="J11" s="89">
        <f>SUM(I11)+1</f>
        <v>19.100000000000001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32" t="s">
        <v>150</v>
      </c>
      <c r="E13" s="32"/>
      <c r="F13" s="32"/>
      <c r="G13" s="32"/>
      <c r="H13" s="93">
        <v>16.5</v>
      </c>
      <c r="I13" s="89">
        <f>SUM(H13)+0.6</f>
        <v>17.100000000000001</v>
      </c>
      <c r="J13" s="89">
        <f>SUM(I13)+0.6</f>
        <v>17.700000000000003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</v>
      </c>
      <c r="I15" s="89">
        <f>SUM(H15)+0.3</f>
        <v>7.3</v>
      </c>
      <c r="J15" s="89">
        <f>SUM(I15)+0.3</f>
        <v>7.6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48</v>
      </c>
      <c r="I17" s="89">
        <f>SUM(H17)+1.7</f>
        <v>49.7</v>
      </c>
      <c r="J17" s="89">
        <f>SUM(I17)+1.7</f>
        <v>51.400000000000006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/>
      <c r="I19" s="89"/>
      <c r="J19" s="89"/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/>
      <c r="I23" s="89"/>
      <c r="J23" s="89"/>
      <c r="K23" s="89"/>
      <c r="L23" s="89"/>
      <c r="M23" s="131"/>
    </row>
    <row r="24" spans="1:13" s="2" customFormat="1" ht="14.1" customHeight="1" thickBot="1" x14ac:dyDescent="0.35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thickTop="1" x14ac:dyDescent="0.3">
      <c r="A25" s="133">
        <v>12</v>
      </c>
      <c r="B25" s="110" t="s">
        <v>185</v>
      </c>
      <c r="C25" s="111"/>
      <c r="D25" s="134"/>
      <c r="E25" s="135"/>
      <c r="F25" s="135"/>
      <c r="G25" s="136"/>
      <c r="H25" s="137">
        <v>23.9</v>
      </c>
      <c r="I25" s="132">
        <f>SUM(H25)+1.9</f>
        <v>25.799999999999997</v>
      </c>
      <c r="J25" s="132">
        <f>SUM(I25)+1.9</f>
        <v>27.699999999999996</v>
      </c>
      <c r="K25" s="107"/>
      <c r="L25" s="107"/>
      <c r="M25" s="108"/>
    </row>
    <row r="26" spans="1:13" s="2" customFormat="1" ht="14.1" customHeight="1" x14ac:dyDescent="0.3">
      <c r="A26" s="91"/>
      <c r="B26" s="23" t="s">
        <v>190</v>
      </c>
      <c r="C26" s="24"/>
      <c r="D26" s="56" t="s">
        <v>197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231</v>
      </c>
      <c r="C27" s="31"/>
      <c r="D27" s="42" t="s">
        <v>22</v>
      </c>
      <c r="E27" s="43"/>
      <c r="F27" s="43"/>
      <c r="G27" s="44"/>
      <c r="H27" s="33">
        <v>49</v>
      </c>
      <c r="I27" s="13">
        <f>SUM(H27)+3</f>
        <v>52</v>
      </c>
      <c r="J27" s="13">
        <f>SUM(I27)+3</f>
        <v>55</v>
      </c>
      <c r="K27" s="89"/>
      <c r="L27" s="89"/>
      <c r="M27" s="131"/>
    </row>
    <row r="28" spans="1:13" s="2" customFormat="1" ht="14.1" customHeight="1" x14ac:dyDescent="0.3">
      <c r="A28" s="128"/>
      <c r="B28" s="23" t="s">
        <v>230</v>
      </c>
      <c r="C28" s="24"/>
      <c r="D28" s="25" t="s">
        <v>26</v>
      </c>
      <c r="E28" s="26"/>
      <c r="F28" s="26"/>
      <c r="G28" s="27"/>
      <c r="H28" s="36"/>
      <c r="I28" s="21"/>
      <c r="J28" s="21"/>
      <c r="K28" s="89"/>
      <c r="L28" s="89"/>
      <c r="M28" s="131"/>
    </row>
    <row r="29" spans="1:13" s="2" customFormat="1" ht="14.1" customHeight="1" x14ac:dyDescent="0.3">
      <c r="A29" s="128">
        <v>14</v>
      </c>
      <c r="B29" s="54" t="s">
        <v>191</v>
      </c>
      <c r="C29" s="55"/>
      <c r="D29" s="32" t="s">
        <v>10</v>
      </c>
      <c r="E29" s="32"/>
      <c r="F29" s="32"/>
      <c r="G29" s="32"/>
      <c r="H29" s="93">
        <v>47</v>
      </c>
      <c r="I29" s="89">
        <f>SUM(H29)+3</f>
        <v>50</v>
      </c>
      <c r="J29" s="89">
        <f>SUM(I29)+3</f>
        <v>53</v>
      </c>
      <c r="K29" s="13"/>
      <c r="L29" s="13"/>
      <c r="M29" s="15"/>
    </row>
    <row r="30" spans="1:13" s="2" customFormat="1" ht="14.1" customHeight="1" x14ac:dyDescent="0.3">
      <c r="A30" s="128"/>
      <c r="B30" s="54" t="s">
        <v>192</v>
      </c>
      <c r="C30" s="55"/>
      <c r="D30" s="25" t="s">
        <v>27</v>
      </c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128">
        <v>15</v>
      </c>
      <c r="B31" s="45" t="s">
        <v>233</v>
      </c>
      <c r="C31" s="45"/>
      <c r="D31" s="32" t="s">
        <v>8</v>
      </c>
      <c r="E31" s="32"/>
      <c r="F31" s="32"/>
      <c r="G31" s="32"/>
      <c r="H31" s="93">
        <v>47</v>
      </c>
      <c r="I31" s="89">
        <f>SUM(H31)+3</f>
        <v>50</v>
      </c>
      <c r="J31" s="89">
        <f>SUM(I31)+3</f>
        <v>53</v>
      </c>
      <c r="K31" s="13"/>
      <c r="L31" s="13"/>
      <c r="M31" s="15"/>
    </row>
    <row r="32" spans="1:13" s="2" customFormat="1" ht="14.1" customHeight="1" x14ac:dyDescent="0.3">
      <c r="A32" s="128"/>
      <c r="B32" s="46" t="s">
        <v>234</v>
      </c>
      <c r="C32" s="46"/>
      <c r="D32" s="25" t="s">
        <v>28</v>
      </c>
      <c r="E32" s="26"/>
      <c r="F32" s="26"/>
      <c r="G32" s="27"/>
      <c r="H32" s="93"/>
      <c r="I32" s="89"/>
      <c r="J32" s="89"/>
      <c r="K32" s="21"/>
      <c r="L32" s="21"/>
      <c r="M32" s="22"/>
    </row>
    <row r="33" spans="1:13" s="2" customFormat="1" ht="14.1" customHeight="1" x14ac:dyDescent="0.3">
      <c r="A33" s="128">
        <v>16</v>
      </c>
      <c r="B33" s="45" t="s">
        <v>232</v>
      </c>
      <c r="C33" s="45"/>
      <c r="D33" s="32" t="s">
        <v>0</v>
      </c>
      <c r="E33" s="32"/>
      <c r="F33" s="32"/>
      <c r="G33" s="32"/>
      <c r="H33" s="93">
        <v>16.899999999999999</v>
      </c>
      <c r="I33" s="89">
        <f>SUM(H33)+1</f>
        <v>17.899999999999999</v>
      </c>
      <c r="J33" s="89">
        <f>SUM(I33)+1</f>
        <v>18.899999999999999</v>
      </c>
      <c r="K33" s="89"/>
      <c r="L33" s="89"/>
      <c r="M33" s="131"/>
    </row>
    <row r="34" spans="1:13" s="2" customFormat="1" ht="14.1" customHeight="1" x14ac:dyDescent="0.3">
      <c r="A34" s="128"/>
      <c r="B34" s="46" t="s">
        <v>13</v>
      </c>
      <c r="C34" s="46"/>
      <c r="D34" s="25" t="s">
        <v>29</v>
      </c>
      <c r="E34" s="26"/>
      <c r="F34" s="26"/>
      <c r="G34" s="27"/>
      <c r="H34" s="93"/>
      <c r="I34" s="89"/>
      <c r="J34" s="89"/>
      <c r="K34" s="89"/>
      <c r="L34" s="89"/>
      <c r="M34" s="131"/>
    </row>
    <row r="35" spans="1:13" s="2" customFormat="1" ht="14.1" customHeight="1" x14ac:dyDescent="0.3">
      <c r="A35" s="128">
        <v>17</v>
      </c>
      <c r="B35" s="45" t="s">
        <v>4</v>
      </c>
      <c r="C35" s="45"/>
      <c r="D35" s="32" t="s">
        <v>5</v>
      </c>
      <c r="E35" s="32"/>
      <c r="F35" s="32"/>
      <c r="G35" s="32"/>
      <c r="H35" s="93">
        <v>12.5</v>
      </c>
      <c r="I35" s="89">
        <f>SUM(H35)+1</f>
        <v>13.5</v>
      </c>
      <c r="J35" s="89">
        <f>SUM(I35)+1</f>
        <v>14.5</v>
      </c>
      <c r="K35" s="13"/>
      <c r="L35" s="13"/>
      <c r="M35" s="15"/>
    </row>
    <row r="36" spans="1:13" s="2" customFormat="1" ht="14.1" customHeight="1" x14ac:dyDescent="0.3">
      <c r="A36" s="128"/>
      <c r="B36" s="46" t="s">
        <v>16</v>
      </c>
      <c r="C36" s="46"/>
      <c r="D36" s="25" t="s">
        <v>32</v>
      </c>
      <c r="E36" s="26"/>
      <c r="F36" s="26"/>
      <c r="G36" s="27"/>
      <c r="H36" s="93"/>
      <c r="I36" s="89"/>
      <c r="J36" s="89"/>
      <c r="K36" s="21"/>
      <c r="L36" s="21"/>
      <c r="M36" s="22"/>
    </row>
    <row r="37" spans="1:13" ht="14.1" customHeight="1" x14ac:dyDescent="0.3">
      <c r="A37" s="128">
        <v>18</v>
      </c>
      <c r="B37" s="45" t="s">
        <v>6</v>
      </c>
      <c r="C37" s="45"/>
      <c r="D37" s="42" t="s">
        <v>7</v>
      </c>
      <c r="E37" s="43"/>
      <c r="F37" s="43"/>
      <c r="G37" s="44"/>
      <c r="H37" s="36">
        <v>32.200000000000003</v>
      </c>
      <c r="I37" s="89">
        <f>SUM(H37)+1.9</f>
        <v>34.1</v>
      </c>
      <c r="J37" s="89">
        <f>SUM(I37)+1.9</f>
        <v>36</v>
      </c>
      <c r="K37" s="60"/>
      <c r="L37" s="60"/>
      <c r="M37" s="61"/>
    </row>
    <row r="38" spans="1:13" ht="14.1" customHeight="1" x14ac:dyDescent="0.3">
      <c r="A38" s="128"/>
      <c r="B38" s="46" t="s">
        <v>17</v>
      </c>
      <c r="C38" s="46"/>
      <c r="D38" s="25" t="s">
        <v>39</v>
      </c>
      <c r="E38" s="26"/>
      <c r="F38" s="26"/>
      <c r="G38" s="27"/>
      <c r="H38" s="33"/>
      <c r="I38" s="89"/>
      <c r="J38" s="89"/>
      <c r="K38" s="60"/>
      <c r="L38" s="60"/>
      <c r="M38" s="61"/>
    </row>
    <row r="39" spans="1:13" ht="14.1" customHeight="1" x14ac:dyDescent="0.3">
      <c r="A39" s="128">
        <v>19</v>
      </c>
      <c r="B39" s="30" t="s">
        <v>104</v>
      </c>
      <c r="C39" s="31"/>
      <c r="D39" s="32" t="s">
        <v>40</v>
      </c>
      <c r="E39" s="32"/>
      <c r="F39" s="32"/>
      <c r="G39" s="32"/>
      <c r="H39" s="93">
        <v>32</v>
      </c>
      <c r="I39" s="89">
        <f>SUM(H39)+1.8</f>
        <v>33.799999999999997</v>
      </c>
      <c r="J39" s="89">
        <f>SUM(I39)+1.8</f>
        <v>35.599999999999994</v>
      </c>
      <c r="K39" s="13"/>
      <c r="L39" s="13"/>
      <c r="M39" s="15"/>
    </row>
    <row r="40" spans="1:13" ht="14.1" customHeight="1" x14ac:dyDescent="0.3">
      <c r="A40" s="128"/>
      <c r="B40" s="46" t="s">
        <v>18</v>
      </c>
      <c r="C40" s="46"/>
      <c r="D40" s="25" t="s">
        <v>41</v>
      </c>
      <c r="E40" s="26"/>
      <c r="F40" s="26"/>
      <c r="G40" s="27"/>
      <c r="H40" s="93"/>
      <c r="I40" s="89"/>
      <c r="J40" s="89"/>
      <c r="K40" s="21"/>
      <c r="L40" s="21"/>
      <c r="M40" s="22"/>
    </row>
    <row r="41" spans="1:13" ht="14.1" customHeight="1" x14ac:dyDescent="0.3">
      <c r="A41" s="92">
        <v>20</v>
      </c>
      <c r="B41" s="54" t="s">
        <v>133</v>
      </c>
      <c r="C41" s="55"/>
      <c r="D41" s="86" t="s">
        <v>63</v>
      </c>
      <c r="E41" s="87"/>
      <c r="F41" s="87"/>
      <c r="G41" s="88"/>
      <c r="H41" s="36">
        <v>2</v>
      </c>
      <c r="I41" s="21">
        <f>SUM(H41)+0.1</f>
        <v>2.1</v>
      </c>
      <c r="J41" s="21">
        <f>SUM(I41)+0.1</f>
        <v>2.2000000000000002</v>
      </c>
      <c r="K41" s="60"/>
      <c r="L41" s="60"/>
      <c r="M41" s="61"/>
    </row>
    <row r="42" spans="1:13" ht="14.1" customHeight="1" thickBot="1" x14ac:dyDescent="0.35">
      <c r="A42" s="127"/>
      <c r="B42" s="81" t="s">
        <v>141</v>
      </c>
      <c r="C42" s="82"/>
      <c r="D42" s="18" t="s">
        <v>64</v>
      </c>
      <c r="E42" s="19"/>
      <c r="F42" s="19"/>
      <c r="G42" s="20"/>
      <c r="H42" s="95"/>
      <c r="I42" s="121"/>
      <c r="J42" s="121"/>
      <c r="K42" s="14"/>
      <c r="L42" s="14"/>
      <c r="M42" s="16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</sheetData>
  <mergeCells count="223">
    <mergeCell ref="J27:J28"/>
    <mergeCell ref="K27:K28"/>
    <mergeCell ref="L27:L28"/>
    <mergeCell ref="M27:M28"/>
    <mergeCell ref="B28:C28"/>
    <mergeCell ref="D28:G28"/>
    <mergeCell ref="K29:K30"/>
    <mergeCell ref="L29:L30"/>
    <mergeCell ref="M29:M30"/>
    <mergeCell ref="B30:C30"/>
    <mergeCell ref="D30:G30"/>
    <mergeCell ref="J29:J30"/>
    <mergeCell ref="A27:A28"/>
    <mergeCell ref="B27:C27"/>
    <mergeCell ref="D27:G27"/>
    <mergeCell ref="H27:H28"/>
    <mergeCell ref="I27:I28"/>
    <mergeCell ref="A29:A30"/>
    <mergeCell ref="B29:C29"/>
    <mergeCell ref="D29:G29"/>
    <mergeCell ref="H29:H30"/>
    <mergeCell ref="I29:I30"/>
    <mergeCell ref="M33:M34"/>
    <mergeCell ref="B34:C34"/>
    <mergeCell ref="D34:G34"/>
    <mergeCell ref="K41:K42"/>
    <mergeCell ref="L41:L42"/>
    <mergeCell ref="M41:M42"/>
    <mergeCell ref="B42:C42"/>
    <mergeCell ref="D42:G42"/>
    <mergeCell ref="J41:J42"/>
    <mergeCell ref="J39:J40"/>
    <mergeCell ref="K39:K40"/>
    <mergeCell ref="L39:L40"/>
    <mergeCell ref="M39:M40"/>
    <mergeCell ref="K37:K38"/>
    <mergeCell ref="L37:L38"/>
    <mergeCell ref="M37:M38"/>
    <mergeCell ref="J37:J38"/>
    <mergeCell ref="J35:J36"/>
    <mergeCell ref="K35:K36"/>
    <mergeCell ref="L35:L36"/>
    <mergeCell ref="M35:M36"/>
    <mergeCell ref="B36:C36"/>
    <mergeCell ref="D36:G36"/>
    <mergeCell ref="A41:A42"/>
    <mergeCell ref="B41:C41"/>
    <mergeCell ref="D41:G41"/>
    <mergeCell ref="H41:H42"/>
    <mergeCell ref="I41:I42"/>
    <mergeCell ref="B40:C40"/>
    <mergeCell ref="D40:G40"/>
    <mergeCell ref="B38:C38"/>
    <mergeCell ref="D38:G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1:K32"/>
    <mergeCell ref="L31:L32"/>
    <mergeCell ref="M31:M32"/>
    <mergeCell ref="B32:C32"/>
    <mergeCell ref="D32:G32"/>
    <mergeCell ref="A35:A36"/>
    <mergeCell ref="B35:C35"/>
    <mergeCell ref="D35:G35"/>
    <mergeCell ref="H35:H36"/>
    <mergeCell ref="I35:I36"/>
    <mergeCell ref="A31:A32"/>
    <mergeCell ref="B31:C31"/>
    <mergeCell ref="D31:G31"/>
    <mergeCell ref="H31:H32"/>
    <mergeCell ref="I31:I32"/>
    <mergeCell ref="J31:J32"/>
    <mergeCell ref="A33:A34"/>
    <mergeCell ref="B33:C33"/>
    <mergeCell ref="D33:G33"/>
    <mergeCell ref="H33:H34"/>
    <mergeCell ref="I33:I34"/>
    <mergeCell ref="J33:J34"/>
    <mergeCell ref="K33:K34"/>
    <mergeCell ref="L33:L34"/>
    <mergeCell ref="J25:J26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CBD4-B966-42EE-AD11-F68D5DFD9DF7}">
  <sheetPr>
    <tabColor rgb="FF00B0F0"/>
  </sheetPr>
  <dimension ref="A1:M52"/>
  <sheetViews>
    <sheetView zoomScale="110" zoomScaleNormal="110" zoomScalePageLayoutView="110" workbookViewId="0">
      <selection activeCell="B25" sqref="B25:G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72" t="s">
        <v>71</v>
      </c>
      <c r="C3" s="73"/>
      <c r="D3" s="74" t="s">
        <v>72</v>
      </c>
      <c r="E3" s="75"/>
      <c r="F3" s="75"/>
      <c r="G3" s="76"/>
      <c r="H3" s="77">
        <v>50</v>
      </c>
      <c r="I3" s="68">
        <f>SUM(H3)+2.9</f>
        <v>52.9</v>
      </c>
      <c r="J3" s="68">
        <f>SUM(I3)+2.9</f>
        <v>55.8</v>
      </c>
      <c r="K3" s="117"/>
      <c r="L3" s="68"/>
      <c r="M3" s="69"/>
    </row>
    <row r="4" spans="1:13" s="2" customFormat="1" ht="14.1" customHeight="1" x14ac:dyDescent="0.3">
      <c r="A4" s="128"/>
      <c r="B4" s="23" t="s">
        <v>73</v>
      </c>
      <c r="C4" s="24"/>
      <c r="D4" s="25" t="s">
        <v>74</v>
      </c>
      <c r="E4" s="26"/>
      <c r="F4" s="26"/>
      <c r="G4" s="27"/>
      <c r="H4" s="36"/>
      <c r="I4" s="21"/>
      <c r="J4" s="21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46</v>
      </c>
      <c r="I5" s="13">
        <f>SUM(H5)+3.6</f>
        <v>49.6</v>
      </c>
      <c r="J5" s="13">
        <f>SUM(I5)+3.6</f>
        <v>53.2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50</v>
      </c>
      <c r="I7" s="13">
        <f>SUM(H7)+4</f>
        <v>54</v>
      </c>
      <c r="J7" s="13">
        <f>SUM(I7)+4</f>
        <v>58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50</v>
      </c>
      <c r="I9" s="13">
        <f>SUM(H9)+4</f>
        <v>54</v>
      </c>
      <c r="J9" s="13">
        <f>SUM(I9)+4</f>
        <v>58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20</v>
      </c>
      <c r="I11" s="89">
        <f>SUM(H11)+1</f>
        <v>21</v>
      </c>
      <c r="J11" s="89">
        <f>SUM(I11)+1</f>
        <v>22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15.9</v>
      </c>
      <c r="I13" s="89">
        <f>SUM(H13)+0.6</f>
        <v>16.5</v>
      </c>
      <c r="J13" s="89">
        <f>SUM(I13)+0.6</f>
        <v>17.100000000000001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222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</v>
      </c>
      <c r="I15" s="89">
        <f>SUM(H15)+0.3</f>
        <v>8.3000000000000007</v>
      </c>
      <c r="J15" s="89">
        <f>SUM(I15)+0.3</f>
        <v>8.6000000000000014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223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/>
      <c r="E17" s="43"/>
      <c r="F17" s="43"/>
      <c r="G17" s="44"/>
      <c r="H17" s="93">
        <v>39.4</v>
      </c>
      <c r="I17" s="89">
        <f>SUM(H17)+1.4</f>
        <v>40.799999999999997</v>
      </c>
      <c r="J17" s="89">
        <f>SUM(I17)+1.4</f>
        <v>42.199999999999996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224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17</v>
      </c>
      <c r="I19" s="89">
        <f>SUM(H19)+0.7</f>
        <v>17.7</v>
      </c>
      <c r="J19" s="89">
        <f>SUM(I19)+0.7</f>
        <v>18.399999999999999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32</v>
      </c>
      <c r="I23" s="89">
        <f>SUM(H23)+1.6</f>
        <v>33.6</v>
      </c>
      <c r="J23" s="89">
        <f>SUM(I23)+1.6</f>
        <v>35.200000000000003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13.5</v>
      </c>
      <c r="I25" s="89">
        <f>SUM(H25)+0.6</f>
        <v>14.1</v>
      </c>
      <c r="J25" s="89">
        <f>SUM(I25)+0.6</f>
        <v>14.7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 t="s">
        <v>227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134</v>
      </c>
      <c r="C27" s="31"/>
      <c r="D27" s="83"/>
      <c r="E27" s="84"/>
      <c r="F27" s="84"/>
      <c r="G27" s="85"/>
      <c r="H27" s="93">
        <v>6</v>
      </c>
      <c r="I27" s="89">
        <f>SUM(H27)+0.7</f>
        <v>6.7</v>
      </c>
      <c r="J27" s="89">
        <f>SUM(I27)+0.7</f>
        <v>7.4</v>
      </c>
      <c r="K27" s="13"/>
      <c r="L27" s="13"/>
      <c r="M27" s="15"/>
    </row>
    <row r="28" spans="1:13" s="2" customFormat="1" ht="14.1" customHeight="1" x14ac:dyDescent="0.3">
      <c r="A28" s="128"/>
      <c r="B28" s="54" t="s">
        <v>142</v>
      </c>
      <c r="C28" s="55"/>
      <c r="D28" s="56" t="s">
        <v>228</v>
      </c>
      <c r="E28" s="57"/>
      <c r="F28" s="57"/>
      <c r="G28" s="58"/>
      <c r="H28" s="33"/>
      <c r="I28" s="13"/>
      <c r="J28" s="13"/>
      <c r="K28" s="21"/>
      <c r="L28" s="21"/>
      <c r="M28" s="22"/>
    </row>
    <row r="29" spans="1:13" s="2" customFormat="1" ht="14.1" customHeight="1" x14ac:dyDescent="0.3">
      <c r="A29" s="128">
        <v>14</v>
      </c>
      <c r="B29" s="30" t="s">
        <v>226</v>
      </c>
      <c r="C29" s="31"/>
      <c r="D29" s="83"/>
      <c r="E29" s="84"/>
      <c r="F29" s="84"/>
      <c r="G29" s="85"/>
      <c r="H29" s="93">
        <v>8</v>
      </c>
      <c r="I29" s="89">
        <f>SUM(H29)+0.5</f>
        <v>8.5</v>
      </c>
      <c r="J29" s="89">
        <f>SUM(I29)+0.5</f>
        <v>9</v>
      </c>
      <c r="K29" s="13"/>
      <c r="L29" s="13"/>
      <c r="M29" s="15"/>
    </row>
    <row r="30" spans="1:13" s="2" customFormat="1" ht="14.1" customHeight="1" x14ac:dyDescent="0.3">
      <c r="A30" s="128"/>
      <c r="B30" s="23" t="s">
        <v>225</v>
      </c>
      <c r="C30" s="24"/>
      <c r="D30" s="25"/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92">
        <v>15</v>
      </c>
      <c r="B31" s="54"/>
      <c r="C31" s="55"/>
      <c r="D31" s="86"/>
      <c r="E31" s="87"/>
      <c r="F31" s="87"/>
      <c r="G31" s="88"/>
      <c r="H31" s="36"/>
      <c r="I31" s="21"/>
      <c r="J31" s="21"/>
      <c r="K31" s="60"/>
      <c r="L31" s="60"/>
      <c r="M31" s="61"/>
    </row>
    <row r="32" spans="1:13" s="2" customFormat="1" ht="14.1" customHeight="1" thickBot="1" x14ac:dyDescent="0.35">
      <c r="A32" s="127"/>
      <c r="B32" s="81"/>
      <c r="C32" s="82"/>
      <c r="D32" s="18"/>
      <c r="E32" s="19"/>
      <c r="F32" s="19"/>
      <c r="G32" s="20"/>
      <c r="H32" s="95"/>
      <c r="I32" s="121"/>
      <c r="J32" s="121"/>
      <c r="K32" s="14"/>
      <c r="L32" s="14"/>
      <c r="M32" s="16"/>
    </row>
    <row r="33" spans="1:13" s="2" customFormat="1" ht="14.1" customHeight="1" x14ac:dyDescent="0.3"/>
    <row r="34" spans="1:13" s="2" customFormat="1" ht="14.1" customHeight="1" x14ac:dyDescent="0.3"/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B32:C32"/>
    <mergeCell ref="D32:G32"/>
    <mergeCell ref="J31:J32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A2D1-4331-4F18-9B62-96478835AACF}">
  <sheetPr>
    <tabColor rgb="FF00B0F0"/>
  </sheetPr>
  <dimension ref="A1:M50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52</v>
      </c>
      <c r="I3" s="117">
        <f>SUM(H3)+3</f>
        <v>55</v>
      </c>
      <c r="J3" s="117">
        <f>SUM(I3)+3</f>
        <v>58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34.4</v>
      </c>
      <c r="I5" s="13">
        <f>SUM(H5)+2.4</f>
        <v>36.799999999999997</v>
      </c>
      <c r="J5" s="13">
        <f>SUM(I5)+2.4</f>
        <v>39.199999999999996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42</v>
      </c>
      <c r="I7" s="13">
        <f>SUM(H7)+3</f>
        <v>45</v>
      </c>
      <c r="J7" s="13">
        <f>SUM(I7)+3</f>
        <v>48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42</v>
      </c>
      <c r="I9" s="13">
        <f>SUM(H9)+3</f>
        <v>45</v>
      </c>
      <c r="J9" s="13">
        <f>SUM(I9)+3</f>
        <v>48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19.899999999999999</v>
      </c>
      <c r="I11" s="89">
        <f>SUM(H11)+1</f>
        <v>20.9</v>
      </c>
      <c r="J11" s="89">
        <f>SUM(I11)+1</f>
        <v>21.9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17</v>
      </c>
      <c r="I13" s="89">
        <f>SUM(H13)+0.6</f>
        <v>17.600000000000001</v>
      </c>
      <c r="J13" s="89">
        <f>SUM(I13)+0.6</f>
        <v>18.200000000000003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7.8</v>
      </c>
      <c r="I15" s="89">
        <f>SUM(H15)+0.3</f>
        <v>8.1</v>
      </c>
      <c r="J15" s="89">
        <f>SUM(I15)+0.3</f>
        <v>8.4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46</v>
      </c>
      <c r="I17" s="89">
        <f>SUM(H17)+1.6</f>
        <v>47.6</v>
      </c>
      <c r="J17" s="89">
        <f>SUM(I17)+1.6</f>
        <v>49.2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16.5</v>
      </c>
      <c r="I19" s="89">
        <f>SUM(H19)+1.3</f>
        <v>17.8</v>
      </c>
      <c r="J19" s="89">
        <f>SUM(I19)+1.3</f>
        <v>19.100000000000001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25.7</v>
      </c>
      <c r="I23" s="89">
        <f>SUM(H23)+1.3</f>
        <v>27</v>
      </c>
      <c r="J23" s="89">
        <f>SUM(I23)+1.3</f>
        <v>28.3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/>
      <c r="C25" s="31"/>
      <c r="D25" s="83"/>
      <c r="E25" s="84"/>
      <c r="F25" s="84"/>
      <c r="G25" s="85"/>
      <c r="H25" s="93"/>
      <c r="I25" s="89"/>
      <c r="J25" s="89"/>
      <c r="K25" s="13"/>
      <c r="L25" s="13"/>
      <c r="M25" s="15"/>
    </row>
    <row r="26" spans="1:13" s="2" customFormat="1" ht="14.1" customHeight="1" x14ac:dyDescent="0.3">
      <c r="A26" s="91"/>
      <c r="B26" s="54"/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F2F6-07B0-4AA9-9FBF-58EE4F09E47A}">
  <sheetPr>
    <tabColor rgb="FF00B0F0"/>
  </sheetPr>
  <dimension ref="A1:M50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209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57</v>
      </c>
      <c r="I3" s="117">
        <f>SUM(H3)+3</f>
        <v>60</v>
      </c>
      <c r="J3" s="117">
        <f>SUM(I3)+3</f>
        <v>63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43</v>
      </c>
      <c r="I5" s="13">
        <f>SUM(H5)+2.6</f>
        <v>45.6</v>
      </c>
      <c r="J5" s="13">
        <f>SUM(I5)+2.6</f>
        <v>48.2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48</v>
      </c>
      <c r="I7" s="13">
        <f>SUM(H7)+3</f>
        <v>51</v>
      </c>
      <c r="J7" s="13">
        <f>SUM(I7)+3</f>
        <v>54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48</v>
      </c>
      <c r="I9" s="13">
        <f>SUM(H9)+3</f>
        <v>51</v>
      </c>
      <c r="J9" s="13">
        <f>SUM(I9)+3</f>
        <v>54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19.5</v>
      </c>
      <c r="I11" s="89">
        <f>SUM(H11)+1</f>
        <v>20.5</v>
      </c>
      <c r="J11" s="89">
        <f>SUM(I11)+1</f>
        <v>21.5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19</v>
      </c>
      <c r="I13" s="89">
        <f>SUM(H13)+0.6</f>
        <v>19.600000000000001</v>
      </c>
      <c r="J13" s="89">
        <f>SUM(I13)+0.6</f>
        <v>20.200000000000003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8.8000000000000007</v>
      </c>
      <c r="I15" s="89">
        <f>SUM(H15)+0.3</f>
        <v>9.1000000000000014</v>
      </c>
      <c r="J15" s="89">
        <f>SUM(I15)+0.3</f>
        <v>9.4000000000000021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49</v>
      </c>
      <c r="I17" s="89">
        <f>SUM(H17)+1.6</f>
        <v>50.6</v>
      </c>
      <c r="J17" s="89">
        <f>SUM(I17)+1.6</f>
        <v>52.2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18</v>
      </c>
      <c r="I19" s="89">
        <f>SUM(H19)+1.2</f>
        <v>19.2</v>
      </c>
      <c r="J19" s="89">
        <f>SUM(I19)+1.2</f>
        <v>20.399999999999999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33.799999999999997</v>
      </c>
      <c r="I23" s="89">
        <f>SUM(H23)+1.7</f>
        <v>35.5</v>
      </c>
      <c r="J23" s="89">
        <f>SUM(I23)+1.7</f>
        <v>37.200000000000003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5.5</v>
      </c>
      <c r="I25" s="89">
        <f>SUM(H25)+0.3</f>
        <v>5.8</v>
      </c>
      <c r="J25" s="89">
        <f>SUM(I25)+0.3</f>
        <v>6.1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92C2-ECC2-42E3-B319-5F805DD1BF7F}">
  <sheetPr>
    <tabColor rgb="FF00B0F0"/>
  </sheetPr>
  <dimension ref="A1:M50"/>
  <sheetViews>
    <sheetView tabSelected="1" zoomScale="110" zoomScaleNormal="110" zoomScalePageLayoutView="110" workbookViewId="0">
      <selection activeCell="S21" sqref="S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56.6</v>
      </c>
      <c r="I3" s="117">
        <f>SUM(H3)+3</f>
        <v>59.6</v>
      </c>
      <c r="J3" s="117">
        <f>SUM(I3)+3</f>
        <v>62.6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52</v>
      </c>
      <c r="I5" s="13">
        <f>SUM(H5)+3.4</f>
        <v>55.4</v>
      </c>
      <c r="J5" s="13">
        <f>SUM(I5)+3.4</f>
        <v>58.8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46</v>
      </c>
      <c r="I7" s="13">
        <f>SUM(H7)+3</f>
        <v>49</v>
      </c>
      <c r="J7" s="13">
        <f>SUM(I7)+3</f>
        <v>52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46</v>
      </c>
      <c r="I9" s="13">
        <f>SUM(H9)+3</f>
        <v>49</v>
      </c>
      <c r="J9" s="13">
        <f>SUM(I9)+3</f>
        <v>52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20.3</v>
      </c>
      <c r="I11" s="89">
        <f>SUM(H11)+1</f>
        <v>21.3</v>
      </c>
      <c r="J11" s="89">
        <f>SUM(I11)+1</f>
        <v>22.3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22.5</v>
      </c>
      <c r="I13" s="89">
        <f>SUM(H13)+0.6</f>
        <v>23.1</v>
      </c>
      <c r="J13" s="89">
        <f>SUM(I13)+0.6</f>
        <v>23.700000000000003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</v>
      </c>
      <c r="I15" s="89">
        <f>SUM(H15)+0.3</f>
        <v>8.3000000000000007</v>
      </c>
      <c r="J15" s="89">
        <f>SUM(I15)+0.3</f>
        <v>8.6000000000000014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56</v>
      </c>
      <c r="I17" s="89">
        <f>SUM(H17)+2</f>
        <v>58</v>
      </c>
      <c r="J17" s="89">
        <f>SUM(I17)+2</f>
        <v>60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16.5</v>
      </c>
      <c r="I19" s="89">
        <f>SUM(H19)+0.8</f>
        <v>17.3</v>
      </c>
      <c r="J19" s="89">
        <f>SUM(I19)+0.8</f>
        <v>18.100000000000001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35</v>
      </c>
      <c r="I23" s="89">
        <f>SUM(H23)+1.7</f>
        <v>36.700000000000003</v>
      </c>
      <c r="J23" s="89">
        <f>SUM(I23)+1.7</f>
        <v>38.400000000000006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5.5</v>
      </c>
      <c r="I25" s="89">
        <f>SUM(H25)+0.2</f>
        <v>5.7</v>
      </c>
      <c r="J25" s="89">
        <f>SUM(I25)+0.2</f>
        <v>5.9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89"/>
      <c r="J26" s="89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237</v>
      </c>
      <c r="C27" s="31"/>
      <c r="D27" s="83"/>
      <c r="E27" s="84"/>
      <c r="F27" s="84"/>
      <c r="G27" s="85"/>
      <c r="H27" s="93">
        <v>31.3</v>
      </c>
      <c r="I27" s="89">
        <f>SUM(H27)+1.2</f>
        <v>32.5</v>
      </c>
      <c r="J27" s="89">
        <f>SUM(I27)+1.2</f>
        <v>33.700000000000003</v>
      </c>
      <c r="K27" s="13"/>
      <c r="L27" s="13"/>
      <c r="M27" s="15"/>
    </row>
    <row r="28" spans="1:13" s="2" customFormat="1" ht="14.1" customHeight="1" x14ac:dyDescent="0.3">
      <c r="A28" s="128"/>
      <c r="B28" s="46" t="s">
        <v>238</v>
      </c>
      <c r="C28" s="46"/>
      <c r="D28" s="25" t="s">
        <v>239</v>
      </c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0853-ED0D-4070-8DBA-FC5217EB2FB3}">
  <sheetPr>
    <tabColor rgb="FF00B0F0"/>
  </sheetPr>
  <dimension ref="A1:M50"/>
  <sheetViews>
    <sheetView zoomScale="110" zoomScaleNormal="110" zoomScalePageLayoutView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49</v>
      </c>
      <c r="I3" s="117">
        <f>SUM(H3)+3</f>
        <v>52</v>
      </c>
      <c r="J3" s="117">
        <f>SUM(I3)+3</f>
        <v>55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138" t="s">
        <v>65</v>
      </c>
      <c r="C5" s="139"/>
      <c r="D5" s="56" t="s">
        <v>66</v>
      </c>
      <c r="E5" s="57"/>
      <c r="F5" s="57"/>
      <c r="G5" s="58"/>
      <c r="H5" s="33">
        <v>31.8</v>
      </c>
      <c r="I5" s="13">
        <f>SUM(H5)+2.5</f>
        <v>34.299999999999997</v>
      </c>
      <c r="J5" s="13">
        <f>SUM(I5)+2.5</f>
        <v>36.799999999999997</v>
      </c>
      <c r="K5" s="89"/>
      <c r="L5" s="89"/>
      <c r="M5" s="131"/>
    </row>
    <row r="6" spans="1:13" s="2" customFormat="1" ht="14.1" customHeight="1" x14ac:dyDescent="0.3">
      <c r="A6" s="128"/>
      <c r="B6" s="23" t="s">
        <v>67</v>
      </c>
      <c r="C6" s="24"/>
      <c r="D6" s="25" t="s">
        <v>68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42.5</v>
      </c>
      <c r="I7" s="13">
        <f>SUM(H7)+3</f>
        <v>45.5</v>
      </c>
      <c r="J7" s="13">
        <f>SUM(I7)+3</f>
        <v>48.5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42.5</v>
      </c>
      <c r="I9" s="13">
        <f>SUM(H9)+3</f>
        <v>45.5</v>
      </c>
      <c r="J9" s="13">
        <f>SUM(I9)+3</f>
        <v>48.5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/>
      <c r="I11" s="89"/>
      <c r="J11" s="89"/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18</v>
      </c>
      <c r="I13" s="89">
        <f>SUM(H13)+0.6</f>
        <v>18.600000000000001</v>
      </c>
      <c r="J13" s="89">
        <f>SUM(I13)+0.6</f>
        <v>19.200000000000003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7.5</v>
      </c>
      <c r="I15" s="89">
        <f>SUM(H15)+0.3</f>
        <v>7.8</v>
      </c>
      <c r="J15" s="89">
        <f>SUM(I15)+0.3</f>
        <v>8.1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45</v>
      </c>
      <c r="I17" s="89">
        <f>SUM(H17)+1.6</f>
        <v>46.6</v>
      </c>
      <c r="J17" s="89">
        <f>SUM(I17)+1.6</f>
        <v>48.2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/>
      <c r="I19" s="89"/>
      <c r="J19" s="89"/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31.2</v>
      </c>
      <c r="I23" s="89">
        <f>SUM(H23)+1.2</f>
        <v>32.4</v>
      </c>
      <c r="J23" s="89">
        <f>SUM(I23)+1.2</f>
        <v>33.6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5</v>
      </c>
      <c r="I25" s="89">
        <f>SUM(H25)+0.3</f>
        <v>5.3</v>
      </c>
      <c r="J25" s="89">
        <f>SUM(I25)+0.3</f>
        <v>5.6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7A01-D857-4274-9B34-A9049C56D1A3}">
  <sheetPr>
    <tabColor rgb="FF00B0F0"/>
  </sheetPr>
  <dimension ref="A1:M50"/>
  <sheetViews>
    <sheetView zoomScale="110" zoomScaleNormal="110" zoomScalePageLayoutView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50</v>
      </c>
      <c r="I3" s="117">
        <f>SUM(H3)+3</f>
        <v>53</v>
      </c>
      <c r="J3" s="117">
        <f>SUM(I3)+3</f>
        <v>56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32</v>
      </c>
      <c r="I5" s="13">
        <f>SUM(H5)+2.4</f>
        <v>34.4</v>
      </c>
      <c r="J5" s="13">
        <f>SUM(I5)+2.4</f>
        <v>36.799999999999997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39</v>
      </c>
      <c r="I7" s="13">
        <f>SUM(H7)+3</f>
        <v>42</v>
      </c>
      <c r="J7" s="13">
        <f>SUM(I7)+3</f>
        <v>45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39</v>
      </c>
      <c r="I9" s="13">
        <f>SUM(H9)+3</f>
        <v>42</v>
      </c>
      <c r="J9" s="13">
        <f>SUM(I9)+3</f>
        <v>45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</v>
      </c>
      <c r="I11" s="89">
        <f>SUM(H11)+1</f>
        <v>19</v>
      </c>
      <c r="J11" s="89">
        <f>SUM(I11)+1</f>
        <v>20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18</v>
      </c>
      <c r="I13" s="89">
        <f>SUM(H13)+0.6</f>
        <v>18.600000000000001</v>
      </c>
      <c r="J13" s="89">
        <f>SUM(I13)+0.6</f>
        <v>19.200000000000003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</v>
      </c>
      <c r="I15" s="89">
        <f>SUM(H15)+0.3</f>
        <v>8.3000000000000007</v>
      </c>
      <c r="J15" s="89">
        <f>SUM(I15)+0.3</f>
        <v>8.6000000000000014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48</v>
      </c>
      <c r="I17" s="89">
        <f>SUM(H17)+1.6</f>
        <v>49.6</v>
      </c>
      <c r="J17" s="89">
        <f>SUM(I17)+1.6</f>
        <v>51.2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17</v>
      </c>
      <c r="I19" s="89">
        <f>SUM(H19)+1.3</f>
        <v>18.3</v>
      </c>
      <c r="J19" s="89">
        <f>SUM(I19)+1.3</f>
        <v>19.600000000000001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27.3</v>
      </c>
      <c r="I23" s="89">
        <f>SUM(H23)+1.5</f>
        <v>28.8</v>
      </c>
      <c r="J23" s="89">
        <f>SUM(I23)+1.5</f>
        <v>30.3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3.5</v>
      </c>
      <c r="I25" s="89">
        <f>SUM(H25)+0.2</f>
        <v>3.7</v>
      </c>
      <c r="J25" s="89">
        <f>SUM(I25)+0.2</f>
        <v>3.9000000000000004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4DA7-C5A6-46BA-B7F1-FB05E73B623E}">
  <sheetPr>
    <tabColor rgb="FF00B0F0"/>
  </sheetPr>
  <dimension ref="A1:M50"/>
  <sheetViews>
    <sheetView zoomScale="110" zoomScaleNormal="110" zoomScalePageLayoutView="110" workbookViewId="0">
      <selection activeCell="H21" sqref="H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58</v>
      </c>
      <c r="I3" s="117">
        <f>SUM(H3)+3</f>
        <v>61</v>
      </c>
      <c r="J3" s="117">
        <f>SUM(I3)+3</f>
        <v>64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42</v>
      </c>
      <c r="I5" s="13">
        <f>SUM(H5)+2.6</f>
        <v>44.6</v>
      </c>
      <c r="J5" s="13">
        <f>SUM(I5)+2.6</f>
        <v>47.2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49</v>
      </c>
      <c r="I7" s="13">
        <f>SUM(H7)+3</f>
        <v>52</v>
      </c>
      <c r="J7" s="13">
        <f>SUM(I7)+3</f>
        <v>55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49</v>
      </c>
      <c r="I9" s="13">
        <f>SUM(H9)+3</f>
        <v>52</v>
      </c>
      <c r="J9" s="13">
        <f>SUM(I9)+3</f>
        <v>55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19.8</v>
      </c>
      <c r="I11" s="89">
        <f>SUM(H11)+1</f>
        <v>20.8</v>
      </c>
      <c r="J11" s="89">
        <f>SUM(I11)+1</f>
        <v>21.8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19.5</v>
      </c>
      <c r="I13" s="89">
        <f>SUM(H13)+0.6</f>
        <v>20.100000000000001</v>
      </c>
      <c r="J13" s="89">
        <f>SUM(I13)+0.6</f>
        <v>20.700000000000003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8.5</v>
      </c>
      <c r="I15" s="89">
        <f>SUM(H15)+0.3</f>
        <v>8.8000000000000007</v>
      </c>
      <c r="J15" s="89">
        <f>SUM(I15)+0.3</f>
        <v>9.1000000000000014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49</v>
      </c>
      <c r="I17" s="89">
        <f>SUM(H17)+1.6</f>
        <v>50.6</v>
      </c>
      <c r="J17" s="89">
        <f>SUM(I17)+1.6</f>
        <v>52.2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16</v>
      </c>
      <c r="I19" s="89">
        <f>SUM(H19)+1.2</f>
        <v>17.2</v>
      </c>
      <c r="J19" s="89">
        <f>SUM(I19)+1.2</f>
        <v>18.399999999999999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34.799999999999997</v>
      </c>
      <c r="I23" s="89">
        <f>SUM(H23)+1.7</f>
        <v>36.5</v>
      </c>
      <c r="J23" s="89">
        <f>SUM(I23)+1.7</f>
        <v>38.200000000000003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6</v>
      </c>
      <c r="I25" s="89">
        <f>SUM(H25)+0.3</f>
        <v>6.3</v>
      </c>
      <c r="J25" s="89">
        <f>SUM(I25)+0.3</f>
        <v>6.6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6266-A4C7-4C00-A81A-87B565FF039A}">
  <sheetPr>
    <tabColor rgb="FF00B0F0"/>
  </sheetPr>
  <dimension ref="A1:M50"/>
  <sheetViews>
    <sheetView zoomScale="110" zoomScaleNormal="110" zoomScalePageLayoutView="110" workbookViewId="0">
      <selection activeCell="J3" sqref="J3:J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55.8</v>
      </c>
      <c r="I3" s="117">
        <f>SUM(H3)+3</f>
        <v>58.8</v>
      </c>
      <c r="J3" s="117">
        <f>SUM(I3)+3</f>
        <v>61.8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31.7</v>
      </c>
      <c r="I5" s="13">
        <f>SUM(H5)+2.2</f>
        <v>33.9</v>
      </c>
      <c r="J5" s="13">
        <f>SUM(I5)+2.2</f>
        <v>36.1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43</v>
      </c>
      <c r="I7" s="13">
        <f>SUM(H7)+3</f>
        <v>46</v>
      </c>
      <c r="J7" s="13">
        <f>SUM(I7)+3</f>
        <v>49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43</v>
      </c>
      <c r="I9" s="13">
        <f>SUM(H9)+3</f>
        <v>46</v>
      </c>
      <c r="J9" s="13">
        <f>SUM(I9)+3</f>
        <v>49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19.3</v>
      </c>
      <c r="I11" s="89">
        <f>SUM(H11)+1</f>
        <v>20.3</v>
      </c>
      <c r="J11" s="89">
        <f>SUM(I11)+1</f>
        <v>21.3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17</v>
      </c>
      <c r="I13" s="89">
        <f>SUM(H13)+0.6</f>
        <v>17.600000000000001</v>
      </c>
      <c r="J13" s="89">
        <f>SUM(I13)+0.6</f>
        <v>18.200000000000003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8.5</v>
      </c>
      <c r="I15" s="89">
        <f>SUM(H15)+0.3</f>
        <v>8.8000000000000007</v>
      </c>
      <c r="J15" s="89">
        <f>SUM(I15)+0.3</f>
        <v>9.1000000000000014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47</v>
      </c>
      <c r="I17" s="89">
        <f>SUM(H17)+1.6</f>
        <v>48.6</v>
      </c>
      <c r="J17" s="89">
        <f>SUM(I17)+1.6</f>
        <v>50.2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18.5</v>
      </c>
      <c r="I19" s="89">
        <f>SUM(H19)+1.4</f>
        <v>19.899999999999999</v>
      </c>
      <c r="J19" s="89">
        <f>SUM(I19)+1.4</f>
        <v>21.299999999999997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32</v>
      </c>
      <c r="I23" s="89">
        <f>SUM(H23)+1.7</f>
        <v>33.700000000000003</v>
      </c>
      <c r="J23" s="89">
        <f>SUM(I23)+1.7</f>
        <v>35.400000000000006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2.5</v>
      </c>
      <c r="I25" s="89">
        <f>SUM(H25)+0.2</f>
        <v>2.7</v>
      </c>
      <c r="J25" s="89">
        <f>SUM(I25)+0.2</f>
        <v>2.9000000000000004</v>
      </c>
      <c r="K25" s="13"/>
      <c r="L25" s="13"/>
      <c r="M25" s="15"/>
    </row>
    <row r="26" spans="1:13" s="2" customFormat="1" ht="14.1" customHeight="1" x14ac:dyDescent="0.3">
      <c r="A26" s="91"/>
      <c r="B26" s="54" t="s">
        <v>141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/>
      <c r="C27" s="31"/>
      <c r="D27" s="83"/>
      <c r="E27" s="84"/>
      <c r="F27" s="84"/>
      <c r="G27" s="85"/>
      <c r="H27" s="93"/>
      <c r="I27" s="89"/>
      <c r="J27" s="89"/>
      <c r="K27" s="13"/>
      <c r="L27" s="13"/>
      <c r="M27" s="15"/>
    </row>
    <row r="28" spans="1:13" s="2" customFormat="1" ht="14.1" customHeight="1" x14ac:dyDescent="0.3">
      <c r="A28" s="128"/>
      <c r="B28" s="23"/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C184-97D1-4A1B-A3FD-4EF68E01A2F4}">
  <sheetPr>
    <tabColor rgb="FF00B0F0"/>
  </sheetPr>
  <dimension ref="A1:M56"/>
  <sheetViews>
    <sheetView topLeftCell="A16" zoomScale="110" zoomScaleNormal="110" zoomScalePageLayoutView="110" workbookViewId="0">
      <selection activeCell="A31" sqref="A31:M4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40">
        <v>1</v>
      </c>
      <c r="B3" s="122" t="s">
        <v>23</v>
      </c>
      <c r="C3" s="122"/>
      <c r="D3" s="130" t="s">
        <v>253</v>
      </c>
      <c r="E3" s="130"/>
      <c r="F3" s="130"/>
      <c r="G3" s="74"/>
      <c r="H3" s="77">
        <v>38</v>
      </c>
      <c r="I3" s="68">
        <f>SUM(H3)+2.4</f>
        <v>40.4</v>
      </c>
      <c r="J3" s="68">
        <f>SUM(I3)+2.4</f>
        <v>42.8</v>
      </c>
      <c r="K3" s="68"/>
      <c r="L3" s="68"/>
      <c r="M3" s="69"/>
    </row>
    <row r="4" spans="1:13" s="2" customFormat="1" ht="14.1" customHeight="1" x14ac:dyDescent="0.3">
      <c r="A4" s="92"/>
      <c r="B4" s="46" t="s">
        <v>254</v>
      </c>
      <c r="C4" s="46"/>
      <c r="D4" s="25" t="s">
        <v>255</v>
      </c>
      <c r="E4" s="26"/>
      <c r="F4" s="26"/>
      <c r="G4" s="26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91">
        <v>2</v>
      </c>
      <c r="B5" s="80" t="s">
        <v>23</v>
      </c>
      <c r="C5" s="80"/>
      <c r="D5" s="78" t="s">
        <v>256</v>
      </c>
      <c r="E5" s="78"/>
      <c r="F5" s="78"/>
      <c r="G5" s="56"/>
      <c r="H5" s="33">
        <v>39</v>
      </c>
      <c r="I5" s="13">
        <f>SUM(H5)+2.5</f>
        <v>41.5</v>
      </c>
      <c r="J5" s="13">
        <f>SUM(I5)+2.5</f>
        <v>44</v>
      </c>
      <c r="K5" s="13"/>
      <c r="L5" s="13"/>
      <c r="M5" s="15"/>
    </row>
    <row r="6" spans="1:13" s="2" customFormat="1" ht="14.1" customHeight="1" x14ac:dyDescent="0.3">
      <c r="A6" s="92"/>
      <c r="B6" s="46" t="s">
        <v>257</v>
      </c>
      <c r="C6" s="46"/>
      <c r="D6" s="25" t="s">
        <v>258</v>
      </c>
      <c r="E6" s="26"/>
      <c r="F6" s="26"/>
      <c r="G6" s="26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91">
        <v>3</v>
      </c>
      <c r="B7" s="30" t="s">
        <v>260</v>
      </c>
      <c r="C7" s="31"/>
      <c r="D7" s="42" t="s">
        <v>22</v>
      </c>
      <c r="E7" s="43"/>
      <c r="F7" s="43"/>
      <c r="G7" s="44"/>
      <c r="H7" s="33">
        <v>17</v>
      </c>
      <c r="I7" s="13">
        <f>SUM(H7)+1</f>
        <v>18</v>
      </c>
      <c r="J7" s="13">
        <f>SUM(I7)+1</f>
        <v>19</v>
      </c>
      <c r="K7" s="89"/>
      <c r="L7" s="89"/>
      <c r="M7" s="131"/>
    </row>
    <row r="8" spans="1:13" s="2" customFormat="1" ht="14.1" customHeight="1" x14ac:dyDescent="0.3">
      <c r="A8" s="92"/>
      <c r="B8" s="23" t="s">
        <v>259</v>
      </c>
      <c r="C8" s="24"/>
      <c r="D8" s="25" t="s">
        <v>26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91">
        <v>4</v>
      </c>
      <c r="B9" s="45" t="s">
        <v>261</v>
      </c>
      <c r="C9" s="45"/>
      <c r="D9" s="141"/>
      <c r="E9" s="141"/>
      <c r="F9" s="141"/>
      <c r="G9" s="141"/>
      <c r="H9" s="33">
        <v>16</v>
      </c>
      <c r="I9" s="13">
        <f>SUM(H9)+1.2</f>
        <v>17.2</v>
      </c>
      <c r="J9" s="13">
        <f>SUM(I9)+1.2</f>
        <v>18.399999999999999</v>
      </c>
      <c r="K9" s="89"/>
      <c r="L9" s="89"/>
      <c r="M9" s="131"/>
    </row>
    <row r="10" spans="1:13" s="2" customFormat="1" ht="14.1" customHeight="1" x14ac:dyDescent="0.3">
      <c r="A10" s="92"/>
      <c r="B10" s="46" t="s">
        <v>262</v>
      </c>
      <c r="C10" s="46"/>
      <c r="D10" s="39" t="s">
        <v>265</v>
      </c>
      <c r="E10" s="52"/>
      <c r="F10" s="52"/>
      <c r="G10" s="53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91">
        <v>5</v>
      </c>
      <c r="B11" s="45" t="s">
        <v>263</v>
      </c>
      <c r="C11" s="45"/>
      <c r="D11" s="141"/>
      <c r="E11" s="141"/>
      <c r="F11" s="141"/>
      <c r="G11" s="141"/>
      <c r="H11" s="33">
        <v>17</v>
      </c>
      <c r="I11" s="13">
        <f>SUM(H11)+1.4</f>
        <v>18.399999999999999</v>
      </c>
      <c r="J11" s="13">
        <f>SUM(I11)+1.4</f>
        <v>19.799999999999997</v>
      </c>
      <c r="K11" s="89"/>
      <c r="L11" s="89"/>
      <c r="M11" s="131"/>
    </row>
    <row r="12" spans="1:13" s="2" customFormat="1" ht="14.1" customHeight="1" x14ac:dyDescent="0.3">
      <c r="A12" s="92"/>
      <c r="B12" s="46" t="s">
        <v>264</v>
      </c>
      <c r="C12" s="46"/>
      <c r="D12" s="39" t="s">
        <v>265</v>
      </c>
      <c r="E12" s="52"/>
      <c r="F12" s="52"/>
      <c r="G12" s="53"/>
      <c r="H12" s="36"/>
      <c r="I12" s="21"/>
      <c r="J12" s="21"/>
      <c r="K12" s="89"/>
      <c r="L12" s="89"/>
      <c r="M12" s="131"/>
    </row>
    <row r="13" spans="1:13" s="2" customFormat="1" ht="14.1" customHeight="1" x14ac:dyDescent="0.3">
      <c r="A13" s="91">
        <v>6</v>
      </c>
      <c r="B13" s="45" t="s">
        <v>19</v>
      </c>
      <c r="C13" s="45"/>
      <c r="D13" s="32" t="s">
        <v>10</v>
      </c>
      <c r="E13" s="32"/>
      <c r="F13" s="32"/>
      <c r="G13" s="32"/>
      <c r="H13" s="33">
        <v>37</v>
      </c>
      <c r="I13" s="13">
        <f>SUM(H13)+3</f>
        <v>40</v>
      </c>
      <c r="J13" s="13">
        <f>SUM(I13)+3</f>
        <v>43</v>
      </c>
      <c r="K13" s="89"/>
      <c r="L13" s="89"/>
      <c r="M13" s="131"/>
    </row>
    <row r="14" spans="1:13" s="2" customFormat="1" ht="14.1" customHeight="1" x14ac:dyDescent="0.3">
      <c r="A14" s="92"/>
      <c r="B14" s="46" t="s">
        <v>24</v>
      </c>
      <c r="C14" s="46"/>
      <c r="D14" s="25" t="s">
        <v>27</v>
      </c>
      <c r="E14" s="26"/>
      <c r="F14" s="26"/>
      <c r="G14" s="27"/>
      <c r="H14" s="36"/>
      <c r="I14" s="21"/>
      <c r="J14" s="21"/>
      <c r="K14" s="89"/>
      <c r="L14" s="89"/>
      <c r="M14" s="131"/>
    </row>
    <row r="15" spans="1:13" s="2" customFormat="1" ht="14.1" customHeight="1" x14ac:dyDescent="0.3">
      <c r="A15" s="91">
        <v>7</v>
      </c>
      <c r="B15" s="45" t="s">
        <v>25</v>
      </c>
      <c r="C15" s="45"/>
      <c r="D15" s="32" t="s">
        <v>8</v>
      </c>
      <c r="E15" s="32"/>
      <c r="F15" s="32"/>
      <c r="G15" s="32"/>
      <c r="H15" s="33">
        <v>37</v>
      </c>
      <c r="I15" s="13">
        <f>SUM(H15)+3</f>
        <v>40</v>
      </c>
      <c r="J15" s="13">
        <f>SUM(I15)+3</f>
        <v>43</v>
      </c>
      <c r="K15" s="89"/>
      <c r="L15" s="89"/>
      <c r="M15" s="131"/>
    </row>
    <row r="16" spans="1:13" s="2" customFormat="1" ht="14.1" customHeight="1" x14ac:dyDescent="0.3">
      <c r="A16" s="92"/>
      <c r="B16" s="46" t="s">
        <v>12</v>
      </c>
      <c r="C16" s="46"/>
      <c r="D16" s="25" t="s">
        <v>28</v>
      </c>
      <c r="E16" s="26"/>
      <c r="F16" s="26"/>
      <c r="G16" s="27"/>
      <c r="H16" s="36"/>
      <c r="I16" s="21"/>
      <c r="J16" s="21"/>
      <c r="K16" s="89"/>
      <c r="L16" s="89"/>
      <c r="M16" s="131"/>
    </row>
    <row r="17" spans="1:13" s="2" customFormat="1" ht="14.1" customHeight="1" x14ac:dyDescent="0.3">
      <c r="A17" s="91">
        <v>8</v>
      </c>
      <c r="B17" s="45" t="s">
        <v>9</v>
      </c>
      <c r="C17" s="45"/>
      <c r="D17" s="32" t="s">
        <v>0</v>
      </c>
      <c r="E17" s="32"/>
      <c r="F17" s="32"/>
      <c r="G17" s="32"/>
      <c r="H17" s="93"/>
      <c r="I17" s="89"/>
      <c r="J17" s="89"/>
      <c r="K17" s="89"/>
      <c r="L17" s="89"/>
      <c r="M17" s="131"/>
    </row>
    <row r="18" spans="1:13" s="2" customFormat="1" ht="14.1" customHeight="1" x14ac:dyDescent="0.3">
      <c r="A18" s="92"/>
      <c r="B18" s="46" t="s">
        <v>13</v>
      </c>
      <c r="C18" s="46"/>
      <c r="D18" s="25" t="s">
        <v>29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91">
        <v>9</v>
      </c>
      <c r="B19" s="45" t="s">
        <v>1</v>
      </c>
      <c r="C19" s="45"/>
      <c r="D19" s="32" t="s">
        <v>150</v>
      </c>
      <c r="E19" s="32"/>
      <c r="F19" s="32"/>
      <c r="G19" s="32"/>
      <c r="H19" s="93"/>
      <c r="I19" s="89"/>
      <c r="J19" s="89"/>
      <c r="K19" s="89"/>
      <c r="L19" s="89"/>
      <c r="M19" s="131"/>
    </row>
    <row r="20" spans="1:13" s="2" customFormat="1" ht="14.1" customHeight="1" x14ac:dyDescent="0.3">
      <c r="A20" s="92"/>
      <c r="B20" s="46" t="s">
        <v>14</v>
      </c>
      <c r="C20" s="46"/>
      <c r="D20" s="25" t="s">
        <v>107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91">
        <v>10</v>
      </c>
      <c r="B21" s="45" t="s">
        <v>2</v>
      </c>
      <c r="C21" s="45"/>
      <c r="D21" s="32" t="s">
        <v>3</v>
      </c>
      <c r="E21" s="32"/>
      <c r="F21" s="32"/>
      <c r="G21" s="32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92"/>
      <c r="B22" s="46" t="s">
        <v>15</v>
      </c>
      <c r="C22" s="46"/>
      <c r="D22" s="25" t="s">
        <v>106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91">
        <v>11</v>
      </c>
      <c r="B23" s="30" t="s">
        <v>61</v>
      </c>
      <c r="C23" s="31"/>
      <c r="D23" s="42" t="s">
        <v>69</v>
      </c>
      <c r="E23" s="43"/>
      <c r="F23" s="43"/>
      <c r="G23" s="44"/>
      <c r="H23" s="93"/>
      <c r="I23" s="89"/>
      <c r="J23" s="89"/>
      <c r="K23" s="89"/>
      <c r="L23" s="89"/>
      <c r="M23" s="131"/>
    </row>
    <row r="24" spans="1:13" s="2" customFormat="1" ht="14.1" customHeight="1" x14ac:dyDescent="0.3">
      <c r="A24" s="92"/>
      <c r="B24" s="46" t="s">
        <v>62</v>
      </c>
      <c r="C24" s="46"/>
      <c r="D24" s="25" t="s">
        <v>105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91">
        <v>12</v>
      </c>
      <c r="B25" s="45" t="s">
        <v>4</v>
      </c>
      <c r="C25" s="45"/>
      <c r="D25" s="32" t="s">
        <v>5</v>
      </c>
      <c r="E25" s="32"/>
      <c r="F25" s="32"/>
      <c r="G25" s="32"/>
      <c r="H25" s="93"/>
      <c r="I25" s="89"/>
      <c r="J25" s="89"/>
      <c r="K25" s="89"/>
      <c r="L25" s="89"/>
      <c r="M25" s="131"/>
    </row>
    <row r="26" spans="1:13" s="2" customFormat="1" ht="14.1" customHeight="1" x14ac:dyDescent="0.3">
      <c r="A26" s="92"/>
      <c r="B26" s="46" t="s">
        <v>16</v>
      </c>
      <c r="C26" s="46"/>
      <c r="D26" s="25" t="s">
        <v>32</v>
      </c>
      <c r="E26" s="26"/>
      <c r="F26" s="26"/>
      <c r="G26" s="27"/>
      <c r="H26" s="93"/>
      <c r="I26" s="89"/>
      <c r="J26" s="89"/>
      <c r="K26" s="89"/>
      <c r="L26" s="89"/>
      <c r="M26" s="131"/>
    </row>
    <row r="27" spans="1:13" s="2" customFormat="1" ht="14.1" customHeight="1" x14ac:dyDescent="0.3">
      <c r="A27" s="91">
        <v>13</v>
      </c>
      <c r="B27" s="45" t="s">
        <v>6</v>
      </c>
      <c r="C27" s="45"/>
      <c r="D27" s="42" t="s">
        <v>7</v>
      </c>
      <c r="E27" s="43"/>
      <c r="F27" s="43"/>
      <c r="G27" s="44"/>
      <c r="H27" s="93"/>
      <c r="I27" s="89"/>
      <c r="J27" s="89"/>
      <c r="K27" s="89"/>
      <c r="L27" s="89"/>
      <c r="M27" s="131"/>
    </row>
    <row r="28" spans="1:13" s="2" customFormat="1" ht="14.1" customHeight="1" x14ac:dyDescent="0.3">
      <c r="A28" s="92"/>
      <c r="B28" s="46" t="s">
        <v>17</v>
      </c>
      <c r="C28" s="46"/>
      <c r="D28" s="25" t="s">
        <v>39</v>
      </c>
      <c r="E28" s="26"/>
      <c r="F28" s="26"/>
      <c r="G28" s="27"/>
      <c r="H28" s="93"/>
      <c r="I28" s="89"/>
      <c r="J28" s="89"/>
      <c r="K28" s="89"/>
      <c r="L28" s="89"/>
      <c r="M28" s="131"/>
    </row>
    <row r="29" spans="1:13" s="2" customFormat="1" ht="14.1" customHeight="1" x14ac:dyDescent="0.3">
      <c r="A29" s="128">
        <v>14</v>
      </c>
      <c r="B29" s="30" t="s">
        <v>104</v>
      </c>
      <c r="C29" s="31"/>
      <c r="D29" s="32" t="s">
        <v>40</v>
      </c>
      <c r="E29" s="32"/>
      <c r="F29" s="32"/>
      <c r="G29" s="32"/>
      <c r="H29" s="93"/>
      <c r="I29" s="89"/>
      <c r="J29" s="89"/>
      <c r="K29" s="89"/>
      <c r="L29" s="89"/>
      <c r="M29" s="131"/>
    </row>
    <row r="30" spans="1:13" s="2" customFormat="1" ht="14.1" customHeight="1" thickBot="1" x14ac:dyDescent="0.35">
      <c r="A30" s="128"/>
      <c r="B30" s="46" t="s">
        <v>18</v>
      </c>
      <c r="C30" s="46"/>
      <c r="D30" s="25" t="s">
        <v>41</v>
      </c>
      <c r="E30" s="26"/>
      <c r="F30" s="26"/>
      <c r="G30" s="27"/>
      <c r="H30" s="93"/>
      <c r="I30" s="89"/>
      <c r="J30" s="89"/>
      <c r="K30" s="89"/>
      <c r="L30" s="89"/>
      <c r="M30" s="131"/>
    </row>
    <row r="31" spans="1:13" s="2" customFormat="1" ht="14.1" customHeight="1" thickTop="1" x14ac:dyDescent="0.3">
      <c r="A31" s="133">
        <v>15</v>
      </c>
      <c r="B31" s="110" t="s">
        <v>185</v>
      </c>
      <c r="C31" s="111"/>
      <c r="D31" s="134"/>
      <c r="E31" s="135"/>
      <c r="F31" s="135"/>
      <c r="G31" s="136"/>
      <c r="H31" s="137">
        <v>22.6</v>
      </c>
      <c r="I31" s="132">
        <f>SUM(H31)+1.5</f>
        <v>24.1</v>
      </c>
      <c r="J31" s="132">
        <f>SUM(I31)+1.5</f>
        <v>25.6</v>
      </c>
      <c r="K31" s="107"/>
      <c r="L31" s="107"/>
      <c r="M31" s="108"/>
    </row>
    <row r="32" spans="1:13" s="2" customFormat="1" ht="14.1" customHeight="1" x14ac:dyDescent="0.3">
      <c r="A32" s="91"/>
      <c r="B32" s="23" t="s">
        <v>266</v>
      </c>
      <c r="C32" s="24"/>
      <c r="D32" s="56" t="s">
        <v>267</v>
      </c>
      <c r="E32" s="57"/>
      <c r="F32" s="57"/>
      <c r="G32" s="58"/>
      <c r="H32" s="33"/>
      <c r="I32" s="13"/>
      <c r="J32" s="13"/>
      <c r="K32" s="60"/>
      <c r="L32" s="60"/>
      <c r="M32" s="61"/>
    </row>
    <row r="33" spans="1:13" s="2" customFormat="1" ht="14.1" customHeight="1" x14ac:dyDescent="0.3">
      <c r="A33" s="128">
        <v>16</v>
      </c>
      <c r="B33" s="30" t="s">
        <v>231</v>
      </c>
      <c r="C33" s="31"/>
      <c r="D33" s="42" t="s">
        <v>22</v>
      </c>
      <c r="E33" s="43"/>
      <c r="F33" s="43"/>
      <c r="G33" s="44"/>
      <c r="H33" s="33">
        <v>34</v>
      </c>
      <c r="I33" s="13">
        <f>SUM(H33)+2.6</f>
        <v>36.6</v>
      </c>
      <c r="J33" s="13">
        <f>SUM(I33)+2.6</f>
        <v>39.200000000000003</v>
      </c>
      <c r="K33" s="89"/>
      <c r="L33" s="89"/>
      <c r="M33" s="131"/>
    </row>
    <row r="34" spans="1:13" s="2" customFormat="1" ht="14.1" customHeight="1" x14ac:dyDescent="0.3">
      <c r="A34" s="128"/>
      <c r="B34" s="23" t="s">
        <v>230</v>
      </c>
      <c r="C34" s="24"/>
      <c r="D34" s="25" t="s">
        <v>26</v>
      </c>
      <c r="E34" s="26"/>
      <c r="F34" s="26"/>
      <c r="G34" s="27"/>
      <c r="H34" s="36"/>
      <c r="I34" s="21"/>
      <c r="J34" s="21"/>
      <c r="K34" s="89"/>
      <c r="L34" s="89"/>
      <c r="M34" s="131"/>
    </row>
    <row r="35" spans="1:13" s="2" customFormat="1" ht="14.1" customHeight="1" x14ac:dyDescent="0.3">
      <c r="A35" s="128">
        <v>17</v>
      </c>
      <c r="B35" s="54" t="s">
        <v>191</v>
      </c>
      <c r="C35" s="55"/>
      <c r="D35" s="32" t="s">
        <v>10</v>
      </c>
      <c r="E35" s="32"/>
      <c r="F35" s="32"/>
      <c r="G35" s="32"/>
      <c r="H35" s="93">
        <v>40</v>
      </c>
      <c r="I35" s="89">
        <f>SUM(H35)+3</f>
        <v>43</v>
      </c>
      <c r="J35" s="89">
        <f>SUM(I35)+3</f>
        <v>46</v>
      </c>
      <c r="K35" s="13"/>
      <c r="L35" s="13"/>
      <c r="M35" s="15"/>
    </row>
    <row r="36" spans="1:13" s="2" customFormat="1" ht="14.1" customHeight="1" x14ac:dyDescent="0.3">
      <c r="A36" s="128"/>
      <c r="B36" s="54" t="s">
        <v>192</v>
      </c>
      <c r="C36" s="55"/>
      <c r="D36" s="25" t="s">
        <v>27</v>
      </c>
      <c r="E36" s="26"/>
      <c r="F36" s="26"/>
      <c r="G36" s="27"/>
      <c r="H36" s="93"/>
      <c r="I36" s="89"/>
      <c r="J36" s="89"/>
      <c r="K36" s="21"/>
      <c r="L36" s="21"/>
      <c r="M36" s="22"/>
    </row>
    <row r="37" spans="1:13" ht="14.1" customHeight="1" x14ac:dyDescent="0.3">
      <c r="A37" s="128">
        <v>18</v>
      </c>
      <c r="B37" s="45" t="s">
        <v>232</v>
      </c>
      <c r="C37" s="45"/>
      <c r="D37" s="32" t="s">
        <v>0</v>
      </c>
      <c r="E37" s="32"/>
      <c r="F37" s="32"/>
      <c r="G37" s="32"/>
      <c r="H37" s="93">
        <v>17.899999999999999</v>
      </c>
      <c r="I37" s="89">
        <f>SUM(H37)+1</f>
        <v>18.899999999999999</v>
      </c>
      <c r="J37" s="89">
        <f>SUM(I37)+1</f>
        <v>19.899999999999999</v>
      </c>
      <c r="K37" s="89"/>
      <c r="L37" s="89"/>
      <c r="M37" s="131"/>
    </row>
    <row r="38" spans="1:13" ht="14.1" customHeight="1" x14ac:dyDescent="0.3">
      <c r="A38" s="128"/>
      <c r="B38" s="46" t="s">
        <v>13</v>
      </c>
      <c r="C38" s="46"/>
      <c r="D38" s="25" t="s">
        <v>29</v>
      </c>
      <c r="E38" s="26"/>
      <c r="F38" s="26"/>
      <c r="G38" s="27"/>
      <c r="H38" s="93"/>
      <c r="I38" s="89"/>
      <c r="J38" s="89"/>
      <c r="K38" s="89"/>
      <c r="L38" s="89"/>
      <c r="M38" s="131"/>
    </row>
    <row r="39" spans="1:13" ht="14.1" customHeight="1" x14ac:dyDescent="0.3">
      <c r="A39" s="128">
        <v>19</v>
      </c>
      <c r="B39" s="45" t="s">
        <v>4</v>
      </c>
      <c r="C39" s="45"/>
      <c r="D39" s="32" t="s">
        <v>5</v>
      </c>
      <c r="E39" s="32"/>
      <c r="F39" s="32"/>
      <c r="G39" s="32"/>
      <c r="H39" s="93">
        <v>16</v>
      </c>
      <c r="I39" s="89">
        <f>SUM(H39)+1.2</f>
        <v>17.2</v>
      </c>
      <c r="J39" s="89">
        <f>SUM(I39)+1.2</f>
        <v>18.399999999999999</v>
      </c>
      <c r="K39" s="13"/>
      <c r="L39" s="13"/>
      <c r="M39" s="15"/>
    </row>
    <row r="40" spans="1:13" ht="14.1" customHeight="1" x14ac:dyDescent="0.3">
      <c r="A40" s="128"/>
      <c r="B40" s="46" t="s">
        <v>16</v>
      </c>
      <c r="C40" s="46"/>
      <c r="D40" s="25" t="s">
        <v>32</v>
      </c>
      <c r="E40" s="26"/>
      <c r="F40" s="26"/>
      <c r="G40" s="27"/>
      <c r="H40" s="93"/>
      <c r="I40" s="89"/>
      <c r="J40" s="89"/>
      <c r="K40" s="21"/>
      <c r="L40" s="21"/>
      <c r="M40" s="22"/>
    </row>
    <row r="41" spans="1:13" ht="14.1" customHeight="1" x14ac:dyDescent="0.3">
      <c r="A41" s="128">
        <v>20</v>
      </c>
      <c r="B41" s="45" t="s">
        <v>6</v>
      </c>
      <c r="C41" s="45"/>
      <c r="D41" s="42" t="s">
        <v>7</v>
      </c>
      <c r="E41" s="43"/>
      <c r="F41" s="43"/>
      <c r="G41" s="44"/>
      <c r="H41" s="36"/>
      <c r="I41" s="89"/>
      <c r="J41" s="89"/>
      <c r="K41" s="60"/>
      <c r="L41" s="60"/>
      <c r="M41" s="61"/>
    </row>
    <row r="42" spans="1:13" ht="14.1" customHeight="1" x14ac:dyDescent="0.3">
      <c r="A42" s="128"/>
      <c r="B42" s="46" t="s">
        <v>17</v>
      </c>
      <c r="C42" s="46"/>
      <c r="D42" s="25" t="s">
        <v>39</v>
      </c>
      <c r="E42" s="26"/>
      <c r="F42" s="26"/>
      <c r="G42" s="27"/>
      <c r="H42" s="33"/>
      <c r="I42" s="89"/>
      <c r="J42" s="89"/>
      <c r="K42" s="60"/>
      <c r="L42" s="60"/>
      <c r="M42" s="61"/>
    </row>
    <row r="43" spans="1:13" ht="14.1" customHeight="1" x14ac:dyDescent="0.3">
      <c r="A43" s="128">
        <v>21</v>
      </c>
      <c r="B43" s="30" t="s">
        <v>104</v>
      </c>
      <c r="C43" s="31"/>
      <c r="D43" s="32" t="s">
        <v>40</v>
      </c>
      <c r="E43" s="32"/>
      <c r="F43" s="32"/>
      <c r="G43" s="32"/>
      <c r="H43" s="93">
        <v>26</v>
      </c>
      <c r="I43" s="89">
        <f>SUM(H43)+1.4</f>
        <v>27.4</v>
      </c>
      <c r="J43" s="89">
        <f>SUM(I43)+1.4</f>
        <v>28.799999999999997</v>
      </c>
      <c r="K43" s="13"/>
      <c r="L43" s="13"/>
      <c r="M43" s="15"/>
    </row>
    <row r="44" spans="1:13" ht="14.1" customHeight="1" thickBot="1" x14ac:dyDescent="0.35">
      <c r="A44" s="127"/>
      <c r="B44" s="17" t="s">
        <v>18</v>
      </c>
      <c r="C44" s="17"/>
      <c r="D44" s="18" t="s">
        <v>41</v>
      </c>
      <c r="E44" s="19"/>
      <c r="F44" s="19"/>
      <c r="G44" s="20"/>
      <c r="H44" s="95"/>
      <c r="I44" s="121"/>
      <c r="J44" s="121"/>
      <c r="K44" s="14"/>
      <c r="L44" s="14"/>
      <c r="M44" s="16"/>
    </row>
    <row r="45" spans="1:13" ht="14.1" customHeight="1" x14ac:dyDescent="0.3"/>
    <row r="46" spans="1:13" ht="14.1" customHeight="1" x14ac:dyDescent="0.3"/>
    <row r="47" spans="1:13" ht="14.1" customHeight="1" x14ac:dyDescent="0.3"/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</sheetData>
  <mergeCells count="234">
    <mergeCell ref="J9:J10"/>
    <mergeCell ref="K9:K10"/>
    <mergeCell ref="L9:L10"/>
    <mergeCell ref="M9:M10"/>
    <mergeCell ref="B10:C10"/>
    <mergeCell ref="D10:G10"/>
    <mergeCell ref="K11:K12"/>
    <mergeCell ref="L11:L12"/>
    <mergeCell ref="M11:M12"/>
    <mergeCell ref="B12:C12"/>
    <mergeCell ref="D12:G12"/>
    <mergeCell ref="J11:J12"/>
    <mergeCell ref="J5:J6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A13:A14"/>
    <mergeCell ref="B13:C13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A9:A10"/>
    <mergeCell ref="B9:C9"/>
    <mergeCell ref="D9:G9"/>
    <mergeCell ref="H9:H10"/>
    <mergeCell ref="I9:I10"/>
    <mergeCell ref="A11:A12"/>
    <mergeCell ref="B11:C11"/>
    <mergeCell ref="D11:G11"/>
    <mergeCell ref="H11:H12"/>
    <mergeCell ref="I11:I12"/>
    <mergeCell ref="D13:G13"/>
    <mergeCell ref="H13:H14"/>
    <mergeCell ref="I13:I14"/>
    <mergeCell ref="L3:L4"/>
    <mergeCell ref="M3:M4"/>
    <mergeCell ref="B4:C4"/>
    <mergeCell ref="D4:G4"/>
    <mergeCell ref="A7:A8"/>
    <mergeCell ref="B7:C7"/>
    <mergeCell ref="D7:G7"/>
    <mergeCell ref="H7:H8"/>
    <mergeCell ref="I7:I8"/>
    <mergeCell ref="J7:J8"/>
    <mergeCell ref="J13:J14"/>
    <mergeCell ref="K13:K14"/>
    <mergeCell ref="L13:L14"/>
    <mergeCell ref="M13:M14"/>
    <mergeCell ref="B14:C14"/>
    <mergeCell ref="D14:G14"/>
    <mergeCell ref="K7:K8"/>
    <mergeCell ref="L7:L8"/>
    <mergeCell ref="M7:M8"/>
    <mergeCell ref="B8:C8"/>
    <mergeCell ref="D8:G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AD5C-67DE-4676-A88D-C5B3E8C516A9}">
  <sheetPr>
    <tabColor rgb="FF00B0F0"/>
  </sheetPr>
  <dimension ref="A1:M50"/>
  <sheetViews>
    <sheetView zoomScale="110" zoomScaleNormal="110" zoomScalePageLayoutView="110" workbookViewId="0">
      <selection activeCell="J23" sqref="J23:J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284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45</v>
      </c>
      <c r="I3" s="117">
        <f>SUM(H3)+3</f>
        <v>48</v>
      </c>
      <c r="J3" s="117">
        <f>SUM(I3)+3</f>
        <v>51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34</v>
      </c>
      <c r="I5" s="13">
        <f>SUM(H5)+2.8</f>
        <v>36.799999999999997</v>
      </c>
      <c r="J5" s="13">
        <f>SUM(I5)+2.8</f>
        <v>39.599999999999994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38</v>
      </c>
      <c r="I7" s="13">
        <f>SUM(H7)+3</f>
        <v>41</v>
      </c>
      <c r="J7" s="13">
        <f>SUM(I7)+3</f>
        <v>44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38</v>
      </c>
      <c r="I9" s="13">
        <f>SUM(H9)+3</f>
        <v>41</v>
      </c>
      <c r="J9" s="13">
        <f>SUM(I9)+3</f>
        <v>44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</v>
      </c>
      <c r="I11" s="89">
        <f>SUM(H11)+1</f>
        <v>19</v>
      </c>
      <c r="J11" s="89">
        <f>SUM(I11)+1</f>
        <v>20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15</v>
      </c>
      <c r="I13" s="89">
        <f>SUM(H13)+0.6</f>
        <v>15.6</v>
      </c>
      <c r="J13" s="89">
        <f>SUM(I13)+0.6</f>
        <v>16.2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6</v>
      </c>
      <c r="I15" s="89">
        <f>SUM(H15)+0.3</f>
        <v>6.3</v>
      </c>
      <c r="J15" s="89">
        <f>SUM(I15)+0.3</f>
        <v>6.6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42</v>
      </c>
      <c r="I17" s="89">
        <f>SUM(H17)+1.6</f>
        <v>43.6</v>
      </c>
      <c r="J17" s="89">
        <f>SUM(I17)+1.6</f>
        <v>45.2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13.3</v>
      </c>
      <c r="I19" s="89">
        <f>SUM(H19)+1.1</f>
        <v>14.4</v>
      </c>
      <c r="J19" s="89">
        <f>SUM(I19)+1.1</f>
        <v>15.5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29</v>
      </c>
      <c r="I23" s="89">
        <f>SUM(H23)+1.5</f>
        <v>30.5</v>
      </c>
      <c r="J23" s="89">
        <f>SUM(I23)+1.5</f>
        <v>32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285</v>
      </c>
      <c r="C25" s="31"/>
      <c r="D25" s="83"/>
      <c r="E25" s="84"/>
      <c r="F25" s="84"/>
      <c r="G25" s="85"/>
      <c r="H25" s="93">
        <v>12.5</v>
      </c>
      <c r="I25" s="89">
        <f>SUM(H25)+0.5</f>
        <v>13</v>
      </c>
      <c r="J25" s="89">
        <f>SUM(I25)+0.5</f>
        <v>13.5</v>
      </c>
      <c r="K25" s="13"/>
      <c r="L25" s="13"/>
      <c r="M25" s="15"/>
    </row>
    <row r="26" spans="1:13" s="2" customFormat="1" ht="14.1" customHeight="1" x14ac:dyDescent="0.3">
      <c r="A26" s="91"/>
      <c r="B26" s="54" t="s">
        <v>286</v>
      </c>
      <c r="C26" s="55"/>
      <c r="D26" s="56"/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133</v>
      </c>
      <c r="C27" s="31"/>
      <c r="D27" s="83"/>
      <c r="E27" s="84"/>
      <c r="F27" s="84"/>
      <c r="G27" s="85"/>
      <c r="H27" s="93">
        <v>2</v>
      </c>
      <c r="I27" s="89">
        <f>SUM(H27)+0.1</f>
        <v>2.1</v>
      </c>
      <c r="J27" s="89">
        <f>SUM(I27)+0.1</f>
        <v>2.2000000000000002</v>
      </c>
      <c r="K27" s="13"/>
      <c r="L27" s="13"/>
      <c r="M27" s="15"/>
    </row>
    <row r="28" spans="1:13" s="2" customFormat="1" ht="14.1" customHeight="1" x14ac:dyDescent="0.3">
      <c r="A28" s="128"/>
      <c r="B28" s="23" t="s">
        <v>141</v>
      </c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/>
      <c r="C29" s="55"/>
      <c r="D29" s="86"/>
      <c r="E29" s="87"/>
      <c r="F29" s="87"/>
      <c r="G29" s="88"/>
      <c r="H29" s="36"/>
      <c r="I29" s="21"/>
      <c r="J29" s="21"/>
      <c r="K29" s="60"/>
      <c r="L29" s="60"/>
      <c r="M29" s="61"/>
    </row>
    <row r="30" spans="1:13" s="2" customFormat="1" ht="14.1" customHeight="1" thickBot="1" x14ac:dyDescent="0.35">
      <c r="A30" s="127"/>
      <c r="B30" s="81"/>
      <c r="C30" s="82"/>
      <c r="D30" s="18"/>
      <c r="E30" s="19"/>
      <c r="F30" s="19"/>
      <c r="G30" s="20"/>
      <c r="H30" s="95"/>
      <c r="I30" s="121"/>
      <c r="J30" s="121"/>
      <c r="K30" s="14"/>
      <c r="L30" s="14"/>
      <c r="M30" s="16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25" right="0.25" top="0.75" bottom="0.75" header="0.3" footer="0.3"/>
  <pageSetup paperSize="9" scale="9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FAD4-14B6-43C9-AE5F-15ADB4F1B23D}">
  <sheetPr>
    <tabColor rgb="FF00B0F0"/>
  </sheetPr>
  <dimension ref="A1:M52"/>
  <sheetViews>
    <sheetView zoomScale="110" zoomScaleNormal="110" zoomScalePageLayoutView="110" workbookViewId="0">
      <selection activeCell="O18" sqref="O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55</v>
      </c>
      <c r="I3" s="117">
        <f>SUM(H3)+3</f>
        <v>58</v>
      </c>
      <c r="J3" s="117">
        <f>SUM(I3)+3</f>
        <v>61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155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32.200000000000003</v>
      </c>
      <c r="I5" s="13">
        <f>SUM(H5)+2.4</f>
        <v>34.6</v>
      </c>
      <c r="J5" s="13">
        <f>SUM(I5)+2.4</f>
        <v>37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40.6</v>
      </c>
      <c r="I7" s="13">
        <f>SUM(H7)+3</f>
        <v>43.6</v>
      </c>
      <c r="J7" s="13">
        <f>SUM(I7)+3</f>
        <v>46.6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41.6</v>
      </c>
      <c r="I9" s="13">
        <f>SUM(H9)+3</f>
        <v>44.6</v>
      </c>
      <c r="J9" s="13">
        <f>SUM(I9)+3</f>
        <v>47.6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156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18.600000000000001</v>
      </c>
      <c r="I11" s="89">
        <f>SUM(H11)+1</f>
        <v>19.600000000000001</v>
      </c>
      <c r="J11" s="89">
        <f>SUM(I11)+1</f>
        <v>20.6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15.2</v>
      </c>
      <c r="I13" s="89">
        <f>SUM(H13)+0.6</f>
        <v>15.799999999999999</v>
      </c>
      <c r="J13" s="89">
        <f>SUM(I13)+0.6</f>
        <v>16.399999999999999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6.5</v>
      </c>
      <c r="I15" s="89">
        <f>SUM(H15)+0.3</f>
        <v>6.8</v>
      </c>
      <c r="J15" s="89">
        <f>SUM(I15)+0.3</f>
        <v>7.1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43</v>
      </c>
      <c r="I17" s="89">
        <f>SUM(H17)+1.6</f>
        <v>44.6</v>
      </c>
      <c r="J17" s="89">
        <f>SUM(I17)+1.6</f>
        <v>46.2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13</v>
      </c>
      <c r="I19" s="89">
        <f>SUM(H19)+1.3</f>
        <v>14.3</v>
      </c>
      <c r="J19" s="89">
        <f>SUM(I19)+1.3</f>
        <v>15.600000000000001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30.4</v>
      </c>
      <c r="I23" s="89">
        <f>SUM(H23)+1.4</f>
        <v>31.799999999999997</v>
      </c>
      <c r="J23" s="89">
        <f>SUM(I23)+1.4</f>
        <v>33.199999999999996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279</v>
      </c>
      <c r="C25" s="31"/>
      <c r="D25" s="83"/>
      <c r="E25" s="84"/>
      <c r="F25" s="84"/>
      <c r="G25" s="85"/>
      <c r="H25" s="93">
        <v>5.2</v>
      </c>
      <c r="I25" s="89">
        <f>SUM(H25)+0.2</f>
        <v>5.4</v>
      </c>
      <c r="J25" s="89">
        <f>SUM(I25)+0.2</f>
        <v>5.6000000000000005</v>
      </c>
      <c r="K25" s="13"/>
      <c r="L25" s="13"/>
      <c r="M25" s="15"/>
    </row>
    <row r="26" spans="1:13" s="2" customFormat="1" ht="14.1" customHeight="1" x14ac:dyDescent="0.3">
      <c r="A26" s="91"/>
      <c r="B26" s="54" t="s">
        <v>280</v>
      </c>
      <c r="C26" s="55"/>
      <c r="D26" s="56" t="s">
        <v>281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282</v>
      </c>
      <c r="C27" s="31"/>
      <c r="D27" s="83"/>
      <c r="E27" s="84"/>
      <c r="F27" s="84"/>
      <c r="G27" s="85"/>
      <c r="H27" s="93">
        <v>14</v>
      </c>
      <c r="I27" s="89">
        <f>SUM(H27)+1</f>
        <v>15</v>
      </c>
      <c r="J27" s="89">
        <f>SUM(I27)+1</f>
        <v>16</v>
      </c>
      <c r="K27" s="13"/>
      <c r="L27" s="13"/>
      <c r="M27" s="15"/>
    </row>
    <row r="28" spans="1:13" s="2" customFormat="1" ht="14.1" customHeight="1" x14ac:dyDescent="0.3">
      <c r="A28" s="128"/>
      <c r="B28" s="23" t="s">
        <v>283</v>
      </c>
      <c r="C28" s="24"/>
      <c r="D28" s="25"/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128">
        <v>14</v>
      </c>
      <c r="B29" s="30" t="s">
        <v>133</v>
      </c>
      <c r="C29" s="31"/>
      <c r="D29" s="83"/>
      <c r="E29" s="84"/>
      <c r="F29" s="84"/>
      <c r="G29" s="85"/>
      <c r="H29" s="93">
        <v>7</v>
      </c>
      <c r="I29" s="89">
        <f>SUM(H29)+0.3</f>
        <v>7.3</v>
      </c>
      <c r="J29" s="89">
        <f>SUM(I29)+0.3</f>
        <v>7.6</v>
      </c>
      <c r="K29" s="13"/>
      <c r="L29" s="13"/>
      <c r="M29" s="15"/>
    </row>
    <row r="30" spans="1:13" s="2" customFormat="1" ht="14.1" customHeight="1" x14ac:dyDescent="0.3">
      <c r="A30" s="128"/>
      <c r="B30" s="23" t="s">
        <v>141</v>
      </c>
      <c r="C30" s="24"/>
      <c r="D30" s="25"/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92">
        <v>15</v>
      </c>
      <c r="B31" s="54"/>
      <c r="C31" s="55"/>
      <c r="D31" s="86"/>
      <c r="E31" s="87"/>
      <c r="F31" s="87"/>
      <c r="G31" s="88"/>
      <c r="H31" s="36"/>
      <c r="I31" s="21"/>
      <c r="J31" s="21"/>
      <c r="K31" s="60"/>
      <c r="L31" s="60"/>
      <c r="M31" s="61"/>
    </row>
    <row r="32" spans="1:13" s="2" customFormat="1" ht="14.1" customHeight="1" thickBot="1" x14ac:dyDescent="0.35">
      <c r="A32" s="127"/>
      <c r="B32" s="81"/>
      <c r="C32" s="82"/>
      <c r="D32" s="18"/>
      <c r="E32" s="19"/>
      <c r="F32" s="19"/>
      <c r="G32" s="20"/>
      <c r="H32" s="95"/>
      <c r="I32" s="121"/>
      <c r="J32" s="121"/>
      <c r="K32" s="14"/>
      <c r="L32" s="14"/>
      <c r="M32" s="16"/>
    </row>
    <row r="33" spans="1:13" s="2" customFormat="1" ht="14.1" customHeight="1" x14ac:dyDescent="0.3"/>
    <row r="34" spans="1:13" s="2" customFormat="1" ht="14.1" customHeight="1" x14ac:dyDescent="0.3"/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</sheetData>
  <mergeCells count="168"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B32:C32"/>
    <mergeCell ref="D32:G32"/>
    <mergeCell ref="J31:J32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3F04-B39F-4104-81D0-E3811A25FA66}">
  <sheetPr>
    <tabColor rgb="FF00B0F0"/>
  </sheetPr>
  <dimension ref="A1:M47"/>
  <sheetViews>
    <sheetView zoomScale="110" zoomScaleNormal="110" zoomScalePageLayoutView="110" workbookViewId="0">
      <selection sqref="A1:M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10" t="s">
        <v>314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54.5</v>
      </c>
      <c r="I3" s="117">
        <f>SUM(H3)+3</f>
        <v>57.5</v>
      </c>
      <c r="J3" s="117">
        <f>SUM(I3)+3</f>
        <v>60.5</v>
      </c>
      <c r="K3" s="68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7"/>
      <c r="H4" s="93"/>
      <c r="I4" s="89"/>
      <c r="J4" s="89"/>
      <c r="K4" s="21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34.9</v>
      </c>
      <c r="I5" s="13">
        <f>SUM(H5)+2.6</f>
        <v>37.5</v>
      </c>
      <c r="J5" s="13">
        <f>SUM(I5)+2.6</f>
        <v>40.1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42</v>
      </c>
      <c r="I7" s="13">
        <f>SUM(H7)+3</f>
        <v>45</v>
      </c>
      <c r="J7" s="13">
        <f>SUM(I7)+3</f>
        <v>48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42</v>
      </c>
      <c r="I9" s="13">
        <f>SUM(H9)+3</f>
        <v>45</v>
      </c>
      <c r="J9" s="13">
        <f>SUM(I9)+3</f>
        <v>48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18.8</v>
      </c>
      <c r="I11" s="89">
        <f>SUM(H11)+1</f>
        <v>19.8</v>
      </c>
      <c r="J11" s="89">
        <f>SUM(I11)+1</f>
        <v>20.8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32" t="s">
        <v>150</v>
      </c>
      <c r="E13" s="32"/>
      <c r="F13" s="32"/>
      <c r="G13" s="32"/>
      <c r="H13" s="93">
        <v>14.3</v>
      </c>
      <c r="I13" s="89">
        <f>SUM(H13)+0.6</f>
        <v>14.9</v>
      </c>
      <c r="J13" s="89">
        <f>SUM(I13)+0.6</f>
        <v>15.5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107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</v>
      </c>
      <c r="I15" s="89">
        <f>SUM(H15)+0.3</f>
        <v>7.3</v>
      </c>
      <c r="J15" s="89">
        <f>SUM(I15)+0.3</f>
        <v>7.6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106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43</v>
      </c>
      <c r="I17" s="89">
        <f>SUM(H17)+1.6</f>
        <v>44.6</v>
      </c>
      <c r="J17" s="89">
        <f>SUM(I17)+1.6</f>
        <v>46.2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105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14</v>
      </c>
      <c r="I19" s="89">
        <f>SUM(H19)+1.2</f>
        <v>15.2</v>
      </c>
      <c r="J19" s="89">
        <f>SUM(I19)+1.2</f>
        <v>16.399999999999999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34</v>
      </c>
      <c r="I23" s="89">
        <f>SUM(H23)+1.6</f>
        <v>35.6</v>
      </c>
      <c r="J23" s="89">
        <f>SUM(I23)+1.6</f>
        <v>37.200000000000003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133</v>
      </c>
      <c r="C25" s="31"/>
      <c r="D25" s="83"/>
      <c r="E25" s="84"/>
      <c r="F25" s="84"/>
      <c r="G25" s="85"/>
      <c r="H25" s="93">
        <v>7</v>
      </c>
      <c r="I25" s="89">
        <f>SUM(H25)+0.6</f>
        <v>7.6</v>
      </c>
      <c r="J25" s="89">
        <f>SUM(I25)+0.6</f>
        <v>8.1999999999999993</v>
      </c>
      <c r="K25" s="13"/>
      <c r="L25" s="13"/>
      <c r="M25" s="15"/>
    </row>
    <row r="26" spans="1:13" s="2" customFormat="1" ht="14.1" customHeight="1" thickBot="1" x14ac:dyDescent="0.35">
      <c r="A26" s="128"/>
      <c r="B26" s="54" t="s">
        <v>141</v>
      </c>
      <c r="C26" s="55"/>
      <c r="D26" s="56" t="s">
        <v>315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thickTop="1" x14ac:dyDescent="0.3">
      <c r="A27" s="133">
        <v>13</v>
      </c>
      <c r="B27" s="110" t="s">
        <v>185</v>
      </c>
      <c r="C27" s="111"/>
      <c r="D27" s="134"/>
      <c r="E27" s="135"/>
      <c r="F27" s="135"/>
      <c r="G27" s="136"/>
      <c r="H27" s="137">
        <v>50.8</v>
      </c>
      <c r="I27" s="132">
        <f>SUM(H27)+3</f>
        <v>53.8</v>
      </c>
      <c r="J27" s="132">
        <f>SUM(I27)+3</f>
        <v>56.8</v>
      </c>
      <c r="K27" s="107"/>
      <c r="L27" s="107"/>
      <c r="M27" s="108"/>
    </row>
    <row r="28" spans="1:13" s="2" customFormat="1" ht="14.1" customHeight="1" x14ac:dyDescent="0.3">
      <c r="A28" s="128"/>
      <c r="B28" s="23" t="s">
        <v>190</v>
      </c>
      <c r="C28" s="24"/>
      <c r="D28" s="25" t="s">
        <v>319</v>
      </c>
      <c r="E28" s="26"/>
      <c r="F28" s="26"/>
      <c r="G28" s="27"/>
      <c r="H28" s="93"/>
      <c r="I28" s="89"/>
      <c r="J28" s="89"/>
      <c r="K28" s="21"/>
      <c r="L28" s="21"/>
      <c r="M28" s="22"/>
    </row>
    <row r="29" spans="1:13" s="2" customFormat="1" ht="14.1" customHeight="1" x14ac:dyDescent="0.3">
      <c r="A29" s="92">
        <v>14</v>
      </c>
      <c r="B29" s="54" t="s">
        <v>191</v>
      </c>
      <c r="C29" s="55"/>
      <c r="D29" s="78" t="s">
        <v>10</v>
      </c>
      <c r="E29" s="78"/>
      <c r="F29" s="78"/>
      <c r="G29" s="78"/>
      <c r="H29" s="36">
        <v>42</v>
      </c>
      <c r="I29" s="21">
        <f>SUM(H29)+3</f>
        <v>45</v>
      </c>
      <c r="J29" s="21">
        <f>SUM(I29)+3</f>
        <v>48</v>
      </c>
      <c r="K29" s="60"/>
      <c r="L29" s="60"/>
      <c r="M29" s="61"/>
    </row>
    <row r="30" spans="1:13" s="2" customFormat="1" ht="14.1" customHeight="1" x14ac:dyDescent="0.3">
      <c r="A30" s="128"/>
      <c r="B30" s="54" t="s">
        <v>192</v>
      </c>
      <c r="C30" s="55"/>
      <c r="D30" s="25" t="s">
        <v>27</v>
      </c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128">
        <v>15</v>
      </c>
      <c r="B31" s="45" t="s">
        <v>232</v>
      </c>
      <c r="C31" s="45"/>
      <c r="D31" s="32" t="s">
        <v>0</v>
      </c>
      <c r="E31" s="32"/>
      <c r="F31" s="32"/>
      <c r="G31" s="32"/>
      <c r="H31" s="93">
        <v>21.3</v>
      </c>
      <c r="I31" s="89">
        <f>SUM(H31)+1</f>
        <v>22.3</v>
      </c>
      <c r="J31" s="89">
        <f>SUM(I31)+1</f>
        <v>23.3</v>
      </c>
      <c r="K31" s="89"/>
      <c r="L31" s="89"/>
      <c r="M31" s="131"/>
    </row>
    <row r="32" spans="1:13" s="2" customFormat="1" ht="14.1" customHeight="1" x14ac:dyDescent="0.3">
      <c r="A32" s="128"/>
      <c r="B32" s="46" t="s">
        <v>13</v>
      </c>
      <c r="C32" s="46"/>
      <c r="D32" s="25" t="s">
        <v>29</v>
      </c>
      <c r="E32" s="26"/>
      <c r="F32" s="26"/>
      <c r="G32" s="27"/>
      <c r="H32" s="93"/>
      <c r="I32" s="89"/>
      <c r="J32" s="89"/>
      <c r="K32" s="89"/>
      <c r="L32" s="89"/>
      <c r="M32" s="131"/>
    </row>
    <row r="33" spans="1:13" s="2" customFormat="1" ht="14.1" customHeight="1" x14ac:dyDescent="0.3">
      <c r="A33" s="128">
        <v>16</v>
      </c>
      <c r="B33" s="45" t="s">
        <v>1</v>
      </c>
      <c r="C33" s="45"/>
      <c r="D33" s="32" t="s">
        <v>150</v>
      </c>
      <c r="E33" s="32"/>
      <c r="F33" s="32"/>
      <c r="G33" s="32"/>
      <c r="H33" s="93">
        <v>23.9</v>
      </c>
      <c r="I33" s="89">
        <f>SUM(H33)+1.5</f>
        <v>25.4</v>
      </c>
      <c r="J33" s="89">
        <f>SUM(I33)+1.5</f>
        <v>26.9</v>
      </c>
      <c r="K33" s="89"/>
      <c r="L33" s="89"/>
      <c r="M33" s="131"/>
    </row>
    <row r="34" spans="1:13" s="2" customFormat="1" ht="14.1" customHeight="1" x14ac:dyDescent="0.3">
      <c r="A34" s="128"/>
      <c r="B34" s="46" t="s">
        <v>14</v>
      </c>
      <c r="C34" s="46"/>
      <c r="D34" s="25" t="s">
        <v>222</v>
      </c>
      <c r="E34" s="26"/>
      <c r="F34" s="26"/>
      <c r="G34" s="27"/>
      <c r="H34" s="93"/>
      <c r="I34" s="89"/>
      <c r="J34" s="89"/>
      <c r="K34" s="89"/>
      <c r="L34" s="89"/>
      <c r="M34" s="131"/>
    </row>
    <row r="35" spans="1:13" s="2" customFormat="1" ht="14.1" customHeight="1" x14ac:dyDescent="0.3">
      <c r="A35" s="128">
        <v>17</v>
      </c>
      <c r="B35" s="45" t="s">
        <v>2</v>
      </c>
      <c r="C35" s="45"/>
      <c r="D35" s="32"/>
      <c r="E35" s="32"/>
      <c r="F35" s="32"/>
      <c r="G35" s="32"/>
      <c r="H35" s="93">
        <v>6.8</v>
      </c>
      <c r="I35" s="89">
        <f>SUM(H35)+0.6</f>
        <v>7.3999999999999995</v>
      </c>
      <c r="J35" s="89">
        <f>SUM(I35)+0.6</f>
        <v>7.9999999999999991</v>
      </c>
      <c r="K35" s="89"/>
      <c r="L35" s="89"/>
      <c r="M35" s="131"/>
    </row>
    <row r="36" spans="1:13" s="2" customFormat="1" ht="14.1" customHeight="1" x14ac:dyDescent="0.3">
      <c r="A36" s="128"/>
      <c r="B36" s="46" t="s">
        <v>15</v>
      </c>
      <c r="C36" s="46"/>
      <c r="D36" s="25" t="s">
        <v>316</v>
      </c>
      <c r="E36" s="26"/>
      <c r="F36" s="26"/>
      <c r="G36" s="27"/>
      <c r="H36" s="93"/>
      <c r="I36" s="89"/>
      <c r="J36" s="89"/>
      <c r="K36" s="89"/>
      <c r="L36" s="89"/>
      <c r="M36" s="131"/>
    </row>
    <row r="37" spans="1:13" ht="14.1" customHeight="1" x14ac:dyDescent="0.3">
      <c r="A37" s="128">
        <v>18</v>
      </c>
      <c r="B37" s="45" t="s">
        <v>181</v>
      </c>
      <c r="C37" s="45"/>
      <c r="D37" s="32"/>
      <c r="E37" s="32"/>
      <c r="F37" s="32"/>
      <c r="G37" s="32"/>
      <c r="H37" s="93">
        <v>10</v>
      </c>
      <c r="I37" s="89">
        <f>SUM(H37)+0.9</f>
        <v>10.9</v>
      </c>
      <c r="J37" s="89">
        <f>SUM(I37)+0.9</f>
        <v>11.8</v>
      </c>
      <c r="K37" s="89"/>
      <c r="L37" s="89"/>
      <c r="M37" s="131"/>
    </row>
    <row r="38" spans="1:13" ht="14.1" customHeight="1" thickBot="1" x14ac:dyDescent="0.35">
      <c r="A38" s="127"/>
      <c r="B38" s="17" t="s">
        <v>318</v>
      </c>
      <c r="C38" s="17"/>
      <c r="D38" s="18" t="s">
        <v>317</v>
      </c>
      <c r="E38" s="19"/>
      <c r="F38" s="19"/>
      <c r="G38" s="20"/>
      <c r="H38" s="95"/>
      <c r="I38" s="121"/>
      <c r="J38" s="121"/>
      <c r="K38" s="121"/>
      <c r="L38" s="121"/>
      <c r="M38" s="142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/>
  </sheetData>
  <mergeCells count="201"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7:K38"/>
    <mergeCell ref="L37:L38"/>
    <mergeCell ref="M33:M34"/>
    <mergeCell ref="B34:C34"/>
    <mergeCell ref="D34:G34"/>
    <mergeCell ref="A33:A34"/>
    <mergeCell ref="B33:C33"/>
    <mergeCell ref="D33:G33"/>
    <mergeCell ref="H33:H34"/>
    <mergeCell ref="I33:I34"/>
    <mergeCell ref="A35:A36"/>
    <mergeCell ref="B35:C35"/>
    <mergeCell ref="D35:G35"/>
    <mergeCell ref="H35:H36"/>
    <mergeCell ref="M35:M36"/>
    <mergeCell ref="J33:J34"/>
    <mergeCell ref="K33:K34"/>
    <mergeCell ref="L33:L34"/>
    <mergeCell ref="I35:I36"/>
    <mergeCell ref="J35:J36"/>
    <mergeCell ref="K35:K36"/>
    <mergeCell ref="L35:L36"/>
    <mergeCell ref="B36:C36"/>
    <mergeCell ref="D36:G36"/>
    <mergeCell ref="A29:A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J29:J30"/>
    <mergeCell ref="K29:K30"/>
    <mergeCell ref="L29:L30"/>
    <mergeCell ref="M29:M30"/>
    <mergeCell ref="B30:C30"/>
    <mergeCell ref="D30:G30"/>
    <mergeCell ref="B29:C29"/>
    <mergeCell ref="D29:G29"/>
    <mergeCell ref="H29:H30"/>
    <mergeCell ref="I29:I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9:J10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J7:J8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B654-8BBA-49F5-96EB-A8955330FE6A}">
  <sheetPr>
    <tabColor rgb="FF00B0F0"/>
  </sheetPr>
  <dimension ref="A1:M56"/>
  <sheetViews>
    <sheetView zoomScale="110" zoomScaleNormal="110" zoomScalePageLayoutView="110" workbookViewId="0">
      <selection activeCell="B35" sqref="B35:C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5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72" t="s">
        <v>71</v>
      </c>
      <c r="C3" s="73"/>
      <c r="D3" s="74" t="s">
        <v>72</v>
      </c>
      <c r="E3" s="75"/>
      <c r="F3" s="75"/>
      <c r="G3" s="76"/>
      <c r="H3" s="116">
        <v>47.4</v>
      </c>
      <c r="I3" s="117">
        <f>SUM(H3)+2.9</f>
        <v>50.3</v>
      </c>
      <c r="J3" s="117">
        <f>SUM(I3)+2.9</f>
        <v>53.199999999999996</v>
      </c>
      <c r="K3" s="117"/>
      <c r="L3" s="68"/>
      <c r="M3" s="69"/>
    </row>
    <row r="4" spans="1:13" s="2" customFormat="1" ht="14.1" customHeight="1" x14ac:dyDescent="0.3">
      <c r="A4" s="128"/>
      <c r="B4" s="23" t="s">
        <v>73</v>
      </c>
      <c r="C4" s="24"/>
      <c r="D4" s="25" t="s">
        <v>74</v>
      </c>
      <c r="E4" s="26"/>
      <c r="F4" s="26"/>
      <c r="G4" s="27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128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37</v>
      </c>
      <c r="I5" s="13">
        <f>SUM(H5)+2.4</f>
        <v>39.4</v>
      </c>
      <c r="J5" s="13">
        <f>SUM(I5)+2.4</f>
        <v>41.8</v>
      </c>
      <c r="K5" s="89"/>
      <c r="L5" s="89"/>
      <c r="M5" s="131"/>
    </row>
    <row r="6" spans="1:13" s="2" customFormat="1" ht="14.1" customHeight="1" x14ac:dyDescent="0.3">
      <c r="A6" s="128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89"/>
      <c r="L6" s="89"/>
      <c r="M6" s="131"/>
    </row>
    <row r="7" spans="1:13" s="2" customFormat="1" ht="14.1" customHeight="1" x14ac:dyDescent="0.3">
      <c r="A7" s="128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45</v>
      </c>
      <c r="I7" s="13">
        <f>SUM(H7)+3</f>
        <v>48</v>
      </c>
      <c r="J7" s="13">
        <f>SUM(I7)+3</f>
        <v>51</v>
      </c>
      <c r="K7" s="89"/>
      <c r="L7" s="89"/>
      <c r="M7" s="131"/>
    </row>
    <row r="8" spans="1:13" s="2" customFormat="1" ht="14.1" customHeight="1" x14ac:dyDescent="0.3">
      <c r="A8" s="128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128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45</v>
      </c>
      <c r="I9" s="13">
        <f>SUM(H9)+3</f>
        <v>48</v>
      </c>
      <c r="J9" s="13">
        <f>SUM(I9)+3</f>
        <v>51</v>
      </c>
      <c r="K9" s="89"/>
      <c r="L9" s="89"/>
      <c r="M9" s="131"/>
    </row>
    <row r="10" spans="1:13" s="2" customFormat="1" ht="14.1" customHeight="1" x14ac:dyDescent="0.3">
      <c r="A10" s="128"/>
      <c r="B10" s="46" t="s">
        <v>12</v>
      </c>
      <c r="C10" s="46"/>
      <c r="D10" s="25" t="s">
        <v>156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128">
        <v>5</v>
      </c>
      <c r="B11" s="45" t="s">
        <v>9</v>
      </c>
      <c r="C11" s="45"/>
      <c r="D11" s="32" t="s">
        <v>0</v>
      </c>
      <c r="E11" s="32"/>
      <c r="F11" s="32"/>
      <c r="G11" s="32"/>
      <c r="H11" s="93">
        <v>18.2</v>
      </c>
      <c r="I11" s="89">
        <f>SUM(H11)+1</f>
        <v>19.2</v>
      </c>
      <c r="J11" s="89">
        <f>SUM(I11)+1</f>
        <v>20.2</v>
      </c>
      <c r="K11" s="89"/>
      <c r="L11" s="89"/>
      <c r="M11" s="131"/>
    </row>
    <row r="12" spans="1:13" s="2" customFormat="1" ht="14.1" customHeight="1" x14ac:dyDescent="0.3">
      <c r="A12" s="128"/>
      <c r="B12" s="46" t="s">
        <v>13</v>
      </c>
      <c r="C12" s="46"/>
      <c r="D12" s="25" t="s">
        <v>29</v>
      </c>
      <c r="E12" s="26"/>
      <c r="F12" s="26"/>
      <c r="G12" s="27"/>
      <c r="H12" s="93"/>
      <c r="I12" s="89"/>
      <c r="J12" s="89"/>
      <c r="K12" s="89"/>
      <c r="L12" s="89"/>
      <c r="M12" s="131"/>
    </row>
    <row r="13" spans="1:13" s="2" customFormat="1" ht="14.1" customHeight="1" x14ac:dyDescent="0.3">
      <c r="A13" s="128">
        <v>6</v>
      </c>
      <c r="B13" s="45" t="s">
        <v>1</v>
      </c>
      <c r="C13" s="45"/>
      <c r="D13" s="42" t="s">
        <v>150</v>
      </c>
      <c r="E13" s="43"/>
      <c r="F13" s="43"/>
      <c r="G13" s="44"/>
      <c r="H13" s="93">
        <v>16</v>
      </c>
      <c r="I13" s="89">
        <f>SUM(H13)+0.6</f>
        <v>16.600000000000001</v>
      </c>
      <c r="J13" s="89">
        <f>SUM(I13)+0.6</f>
        <v>17.200000000000003</v>
      </c>
      <c r="K13" s="89"/>
      <c r="L13" s="89"/>
      <c r="M13" s="131"/>
    </row>
    <row r="14" spans="1:13" s="2" customFormat="1" ht="14.1" customHeight="1" x14ac:dyDescent="0.3">
      <c r="A14" s="128"/>
      <c r="B14" s="46" t="s">
        <v>14</v>
      </c>
      <c r="C14" s="46"/>
      <c r="D14" s="25" t="s">
        <v>222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128">
        <v>7</v>
      </c>
      <c r="B15" s="45" t="s">
        <v>2</v>
      </c>
      <c r="C15" s="45"/>
      <c r="D15" s="32" t="s">
        <v>3</v>
      </c>
      <c r="E15" s="32"/>
      <c r="F15" s="32"/>
      <c r="G15" s="32"/>
      <c r="H15" s="93">
        <v>7.3</v>
      </c>
      <c r="I15" s="89">
        <f>SUM(H15)+0.3</f>
        <v>7.6</v>
      </c>
      <c r="J15" s="89">
        <f>SUM(I15)+0.3</f>
        <v>7.8999999999999995</v>
      </c>
      <c r="K15" s="89"/>
      <c r="L15" s="89"/>
      <c r="M15" s="131"/>
    </row>
    <row r="16" spans="1:13" s="2" customFormat="1" ht="14.1" customHeight="1" x14ac:dyDescent="0.3">
      <c r="A16" s="128"/>
      <c r="B16" s="46" t="s">
        <v>15</v>
      </c>
      <c r="C16" s="46"/>
      <c r="D16" s="25" t="s">
        <v>223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128">
        <v>8</v>
      </c>
      <c r="B17" s="30" t="s">
        <v>61</v>
      </c>
      <c r="C17" s="31"/>
      <c r="D17" s="42" t="s">
        <v>69</v>
      </c>
      <c r="E17" s="43"/>
      <c r="F17" s="43"/>
      <c r="G17" s="44"/>
      <c r="H17" s="93">
        <v>41.7</v>
      </c>
      <c r="I17" s="89">
        <f>SUM(H17)+1.6</f>
        <v>43.300000000000004</v>
      </c>
      <c r="J17" s="89">
        <f>SUM(I17)+1.6</f>
        <v>44.900000000000006</v>
      </c>
      <c r="K17" s="89"/>
      <c r="L17" s="89"/>
      <c r="M17" s="131"/>
    </row>
    <row r="18" spans="1:13" s="2" customFormat="1" ht="14.1" customHeight="1" x14ac:dyDescent="0.3">
      <c r="A18" s="128"/>
      <c r="B18" s="46" t="s">
        <v>62</v>
      </c>
      <c r="C18" s="46"/>
      <c r="D18" s="25" t="s">
        <v>214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128">
        <v>9</v>
      </c>
      <c r="B19" s="45" t="s">
        <v>4</v>
      </c>
      <c r="C19" s="45"/>
      <c r="D19" s="32" t="s">
        <v>5</v>
      </c>
      <c r="E19" s="32"/>
      <c r="F19" s="32"/>
      <c r="G19" s="32"/>
      <c r="H19" s="93">
        <v>20</v>
      </c>
      <c r="I19" s="89">
        <f>SUM(H19)+1.3</f>
        <v>21.3</v>
      </c>
      <c r="J19" s="89">
        <f>SUM(I19)+1.3</f>
        <v>22.6</v>
      </c>
      <c r="K19" s="89"/>
      <c r="L19" s="89"/>
      <c r="M19" s="131"/>
    </row>
    <row r="20" spans="1:13" s="2" customFormat="1" ht="14.1" customHeight="1" x14ac:dyDescent="0.3">
      <c r="A20" s="128"/>
      <c r="B20" s="46" t="s">
        <v>16</v>
      </c>
      <c r="C20" s="46"/>
      <c r="D20" s="25" t="s">
        <v>32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128">
        <v>10</v>
      </c>
      <c r="B21" s="45" t="s">
        <v>6</v>
      </c>
      <c r="C21" s="45"/>
      <c r="D21" s="42" t="s">
        <v>7</v>
      </c>
      <c r="E21" s="43"/>
      <c r="F21" s="43"/>
      <c r="G21" s="44"/>
      <c r="H21" s="93"/>
      <c r="I21" s="89"/>
      <c r="J21" s="89"/>
      <c r="K21" s="89"/>
      <c r="L21" s="89"/>
      <c r="M21" s="131"/>
    </row>
    <row r="22" spans="1:13" s="2" customFormat="1" ht="14.1" customHeight="1" x14ac:dyDescent="0.3">
      <c r="A22" s="128"/>
      <c r="B22" s="46" t="s">
        <v>17</v>
      </c>
      <c r="C22" s="46"/>
      <c r="D22" s="25" t="s">
        <v>39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128">
        <v>11</v>
      </c>
      <c r="B23" s="30" t="s">
        <v>104</v>
      </c>
      <c r="C23" s="31"/>
      <c r="D23" s="32" t="s">
        <v>40</v>
      </c>
      <c r="E23" s="32"/>
      <c r="F23" s="32"/>
      <c r="G23" s="32"/>
      <c r="H23" s="93">
        <v>32.799999999999997</v>
      </c>
      <c r="I23" s="89">
        <f>SUM(H23)+1.5</f>
        <v>34.299999999999997</v>
      </c>
      <c r="J23" s="89">
        <f>SUM(I23)+1.5</f>
        <v>35.799999999999997</v>
      </c>
      <c r="K23" s="89"/>
      <c r="L23" s="89"/>
      <c r="M23" s="131"/>
    </row>
    <row r="24" spans="1:13" s="2" customFormat="1" ht="14.1" customHeight="1" x14ac:dyDescent="0.3">
      <c r="A24" s="128"/>
      <c r="B24" s="46" t="s">
        <v>18</v>
      </c>
      <c r="C24" s="46"/>
      <c r="D24" s="25" t="s">
        <v>41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128">
        <v>12</v>
      </c>
      <c r="B25" s="30" t="s">
        <v>289</v>
      </c>
      <c r="C25" s="31"/>
      <c r="D25" s="83"/>
      <c r="E25" s="84"/>
      <c r="F25" s="84"/>
      <c r="G25" s="85"/>
      <c r="H25" s="93">
        <v>13</v>
      </c>
      <c r="I25" s="89">
        <f>SUM(H25)+0.5</f>
        <v>13.5</v>
      </c>
      <c r="J25" s="89">
        <f>SUM(I25)+0.5</f>
        <v>14</v>
      </c>
      <c r="K25" s="13"/>
      <c r="L25" s="13"/>
      <c r="M25" s="15"/>
    </row>
    <row r="26" spans="1:13" s="2" customFormat="1" ht="14.1" customHeight="1" x14ac:dyDescent="0.3">
      <c r="A26" s="91"/>
      <c r="B26" s="54" t="s">
        <v>290</v>
      </c>
      <c r="C26" s="55"/>
      <c r="D26" s="56" t="s">
        <v>228</v>
      </c>
      <c r="E26" s="57"/>
      <c r="F26" s="57"/>
      <c r="G26" s="58"/>
      <c r="H26" s="33"/>
      <c r="I26" s="13"/>
      <c r="J26" s="13"/>
      <c r="K26" s="60"/>
      <c r="L26" s="60"/>
      <c r="M26" s="61"/>
    </row>
    <row r="27" spans="1:13" s="2" customFormat="1" ht="14.1" customHeight="1" x14ac:dyDescent="0.3">
      <c r="A27" s="128">
        <v>13</v>
      </c>
      <c r="B27" s="30" t="s">
        <v>279</v>
      </c>
      <c r="C27" s="31"/>
      <c r="D27" s="83"/>
      <c r="E27" s="84"/>
      <c r="F27" s="84"/>
      <c r="G27" s="85"/>
      <c r="H27" s="93">
        <v>8</v>
      </c>
      <c r="I27" s="89">
        <f>SUM(H27)+0.4</f>
        <v>8.4</v>
      </c>
      <c r="J27" s="89">
        <f>SUM(I27)+0.4</f>
        <v>8.8000000000000007</v>
      </c>
      <c r="K27" s="13"/>
      <c r="L27" s="13"/>
      <c r="M27" s="15"/>
    </row>
    <row r="28" spans="1:13" s="2" customFormat="1" ht="14.1" customHeight="1" x14ac:dyDescent="0.3">
      <c r="A28" s="91"/>
      <c r="B28" s="54" t="s">
        <v>280</v>
      </c>
      <c r="C28" s="55"/>
      <c r="D28" s="56" t="s">
        <v>281</v>
      </c>
      <c r="E28" s="57"/>
      <c r="F28" s="57"/>
      <c r="G28" s="58"/>
      <c r="H28" s="33"/>
      <c r="I28" s="13"/>
      <c r="J28" s="13"/>
      <c r="K28" s="60"/>
      <c r="L28" s="60"/>
      <c r="M28" s="61"/>
    </row>
    <row r="29" spans="1:13" s="2" customFormat="1" ht="14.1" customHeight="1" x14ac:dyDescent="0.3">
      <c r="A29" s="128">
        <v>14</v>
      </c>
      <c r="B29" s="30" t="s">
        <v>299</v>
      </c>
      <c r="C29" s="31"/>
      <c r="D29" s="43" t="s">
        <v>300</v>
      </c>
      <c r="E29" s="43"/>
      <c r="F29" s="43"/>
      <c r="G29" s="43"/>
      <c r="H29" s="93">
        <v>2.5</v>
      </c>
      <c r="I29" s="89">
        <f>SUM(H29)+0.1</f>
        <v>2.6</v>
      </c>
      <c r="J29" s="89">
        <f>SUM(I29)+0.1</f>
        <v>2.7</v>
      </c>
      <c r="K29" s="13"/>
      <c r="L29" s="13"/>
      <c r="M29" s="15"/>
    </row>
    <row r="30" spans="1:13" s="2" customFormat="1" ht="14.1" customHeight="1" x14ac:dyDescent="0.3">
      <c r="A30" s="91"/>
      <c r="B30" s="46" t="s">
        <v>301</v>
      </c>
      <c r="C30" s="46"/>
      <c r="D30" s="25" t="s">
        <v>302</v>
      </c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128">
        <v>15</v>
      </c>
      <c r="B31" s="30" t="s">
        <v>291</v>
      </c>
      <c r="C31" s="31"/>
      <c r="D31" s="57" t="s">
        <v>303</v>
      </c>
      <c r="E31" s="57"/>
      <c r="F31" s="57"/>
      <c r="G31" s="57"/>
      <c r="H31" s="93">
        <v>4.9000000000000004</v>
      </c>
      <c r="I31" s="89">
        <f>SUM(H31)+0.2</f>
        <v>5.1000000000000005</v>
      </c>
      <c r="J31" s="89">
        <f>SUM(I31)+0.2</f>
        <v>5.3000000000000007</v>
      </c>
      <c r="K31" s="13"/>
      <c r="L31" s="13"/>
      <c r="M31" s="15"/>
    </row>
    <row r="32" spans="1:13" s="2" customFormat="1" ht="14.1" customHeight="1" x14ac:dyDescent="0.3">
      <c r="A32" s="91"/>
      <c r="B32" s="46" t="s">
        <v>292</v>
      </c>
      <c r="C32" s="46"/>
      <c r="D32" s="25" t="s">
        <v>304</v>
      </c>
      <c r="E32" s="26"/>
      <c r="F32" s="26"/>
      <c r="G32" s="27"/>
      <c r="H32" s="33"/>
      <c r="I32" s="13"/>
      <c r="J32" s="13"/>
      <c r="K32" s="21"/>
      <c r="L32" s="21"/>
      <c r="M32" s="22"/>
    </row>
    <row r="33" spans="1:13" s="2" customFormat="1" ht="14.1" customHeight="1" x14ac:dyDescent="0.3">
      <c r="A33" s="128">
        <v>16</v>
      </c>
      <c r="B33" s="30" t="s">
        <v>114</v>
      </c>
      <c r="C33" s="31"/>
      <c r="D33" s="42" t="s">
        <v>115</v>
      </c>
      <c r="E33" s="43"/>
      <c r="F33" s="43"/>
      <c r="G33" s="44"/>
      <c r="H33" s="93">
        <v>6.1</v>
      </c>
      <c r="I33" s="89">
        <f>SUM(H33)+0.2</f>
        <v>6.3</v>
      </c>
      <c r="J33" s="89">
        <f>SUM(I33)+0.2</f>
        <v>6.5</v>
      </c>
      <c r="K33" s="13"/>
      <c r="L33" s="13"/>
      <c r="M33" s="15"/>
    </row>
    <row r="34" spans="1:13" s="2" customFormat="1" ht="14.1" customHeight="1" x14ac:dyDescent="0.3">
      <c r="A34" s="91"/>
      <c r="B34" s="23" t="s">
        <v>116</v>
      </c>
      <c r="C34" s="24"/>
      <c r="D34" s="25" t="s">
        <v>117</v>
      </c>
      <c r="E34" s="26"/>
      <c r="F34" s="26"/>
      <c r="G34" s="27"/>
      <c r="H34" s="33"/>
      <c r="I34" s="13"/>
      <c r="J34" s="13"/>
      <c r="K34" s="21"/>
      <c r="L34" s="21"/>
      <c r="M34" s="22"/>
    </row>
    <row r="35" spans="1:13" s="2" customFormat="1" ht="14.1" customHeight="1" x14ac:dyDescent="0.3">
      <c r="A35" s="128">
        <v>17</v>
      </c>
      <c r="B35" s="30" t="s">
        <v>133</v>
      </c>
      <c r="C35" s="31"/>
      <c r="D35" s="83"/>
      <c r="E35" s="84"/>
      <c r="F35" s="84"/>
      <c r="G35" s="85"/>
      <c r="H35" s="93">
        <v>5</v>
      </c>
      <c r="I35" s="89">
        <f>SUM(H35)+0.3</f>
        <v>5.3</v>
      </c>
      <c r="J35" s="89">
        <f>SUM(I35)+0.3</f>
        <v>5.6</v>
      </c>
      <c r="K35" s="60"/>
      <c r="L35" s="60"/>
      <c r="M35" s="61"/>
    </row>
    <row r="36" spans="1:13" s="2" customFormat="1" ht="14.1" customHeight="1" x14ac:dyDescent="0.3">
      <c r="A36" s="91"/>
      <c r="B36" s="54" t="s">
        <v>141</v>
      </c>
      <c r="C36" s="55"/>
      <c r="D36" s="56" t="s">
        <v>293</v>
      </c>
      <c r="E36" s="57"/>
      <c r="F36" s="57"/>
      <c r="G36" s="58"/>
      <c r="H36" s="93"/>
      <c r="I36" s="13"/>
      <c r="J36" s="13"/>
      <c r="K36" s="60"/>
      <c r="L36" s="60"/>
      <c r="M36" s="61"/>
    </row>
    <row r="37" spans="1:13" s="2" customFormat="1" ht="14.1" customHeight="1" x14ac:dyDescent="0.3">
      <c r="A37" s="128">
        <v>18</v>
      </c>
      <c r="B37" s="30" t="s">
        <v>134</v>
      </c>
      <c r="C37" s="31"/>
      <c r="D37" s="83"/>
      <c r="E37" s="84"/>
      <c r="F37" s="84"/>
      <c r="G37" s="85"/>
      <c r="H37" s="93">
        <v>6</v>
      </c>
      <c r="I37" s="89">
        <f>SUM(H37)+0.4</f>
        <v>6.4</v>
      </c>
      <c r="J37" s="89">
        <f>SUM(I37)+0.4</f>
        <v>6.8000000000000007</v>
      </c>
      <c r="K37" s="13"/>
      <c r="L37" s="13"/>
      <c r="M37" s="15"/>
    </row>
    <row r="38" spans="1:13" s="2" customFormat="1" ht="14.1" customHeight="1" thickBot="1" x14ac:dyDescent="0.35">
      <c r="A38" s="127"/>
      <c r="B38" s="81" t="s">
        <v>142</v>
      </c>
      <c r="C38" s="82"/>
      <c r="D38" s="18" t="s">
        <v>294</v>
      </c>
      <c r="E38" s="19"/>
      <c r="F38" s="19"/>
      <c r="G38" s="20"/>
      <c r="H38" s="95"/>
      <c r="I38" s="121"/>
      <c r="J38" s="121"/>
      <c r="K38" s="14"/>
      <c r="L38" s="14"/>
      <c r="M38" s="16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/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2714-7E61-43E8-8169-9ED4BBA049FF}">
  <sheetPr>
    <tabColor rgb="FF00B0F0"/>
  </sheetPr>
  <dimension ref="A1:M61"/>
  <sheetViews>
    <sheetView topLeftCell="A10" zoomScale="110" zoomScaleNormal="110" zoomScalePageLayoutView="110" workbookViewId="0">
      <selection activeCell="D40" sqref="D40:G4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157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143" t="s">
        <v>34</v>
      </c>
      <c r="C2" s="144"/>
      <c r="D2" s="143" t="s">
        <v>35</v>
      </c>
      <c r="E2" s="145"/>
      <c r="F2" s="145"/>
      <c r="G2" s="144"/>
      <c r="H2" s="4" t="s">
        <v>36</v>
      </c>
      <c r="I2" s="6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40">
        <v>1</v>
      </c>
      <c r="B3" s="72" t="s">
        <v>71</v>
      </c>
      <c r="C3" s="73"/>
      <c r="D3" s="74" t="s">
        <v>72</v>
      </c>
      <c r="E3" s="75"/>
      <c r="F3" s="75"/>
      <c r="G3" s="76"/>
      <c r="H3" s="77">
        <v>47.4</v>
      </c>
      <c r="I3" s="68">
        <f>SUM(H3)+2.9</f>
        <v>50.3</v>
      </c>
      <c r="J3" s="68">
        <f>SUM(I3)+2.9</f>
        <v>53.199999999999996</v>
      </c>
      <c r="K3" s="68"/>
      <c r="L3" s="68"/>
      <c r="M3" s="69"/>
    </row>
    <row r="4" spans="1:13" s="2" customFormat="1" ht="14.1" customHeight="1" x14ac:dyDescent="0.3">
      <c r="A4" s="92"/>
      <c r="B4" s="23" t="s">
        <v>73</v>
      </c>
      <c r="C4" s="24"/>
      <c r="D4" s="25" t="s">
        <v>74</v>
      </c>
      <c r="E4" s="26"/>
      <c r="F4" s="26"/>
      <c r="G4" s="27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91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48.8</v>
      </c>
      <c r="I5" s="13">
        <f>SUM(H5)+3.8</f>
        <v>52.599999999999994</v>
      </c>
      <c r="J5" s="13">
        <f>SUM(I5)+3.8</f>
        <v>56.399999999999991</v>
      </c>
      <c r="K5" s="13"/>
      <c r="L5" s="13"/>
      <c r="M5" s="15"/>
    </row>
    <row r="6" spans="1:13" s="2" customFormat="1" ht="14.1" customHeight="1" x14ac:dyDescent="0.3">
      <c r="A6" s="92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91">
        <v>3</v>
      </c>
      <c r="B7" s="30" t="s">
        <v>19</v>
      </c>
      <c r="C7" s="31"/>
      <c r="D7" s="42" t="s">
        <v>10</v>
      </c>
      <c r="E7" s="43"/>
      <c r="F7" s="43"/>
      <c r="G7" s="44"/>
      <c r="H7" s="33">
        <v>52.5</v>
      </c>
      <c r="I7" s="13">
        <f>SUM(H7)+4</f>
        <v>56.5</v>
      </c>
      <c r="J7" s="13">
        <f>SUM(I7)+4</f>
        <v>60.5</v>
      </c>
      <c r="K7" s="13"/>
      <c r="L7" s="13"/>
      <c r="M7" s="15"/>
    </row>
    <row r="8" spans="1:13" s="2" customFormat="1" ht="14.1" customHeight="1" x14ac:dyDescent="0.3">
      <c r="A8" s="92"/>
      <c r="B8" s="23" t="s">
        <v>24</v>
      </c>
      <c r="C8" s="24"/>
      <c r="D8" s="25" t="s">
        <v>27</v>
      </c>
      <c r="E8" s="26"/>
      <c r="F8" s="26"/>
      <c r="G8" s="27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91">
        <v>4</v>
      </c>
      <c r="B9" s="30" t="s">
        <v>25</v>
      </c>
      <c r="C9" s="31"/>
      <c r="D9" s="42" t="s">
        <v>8</v>
      </c>
      <c r="E9" s="43"/>
      <c r="F9" s="43"/>
      <c r="G9" s="44"/>
      <c r="H9" s="33">
        <v>52.5</v>
      </c>
      <c r="I9" s="13">
        <f>SUM(H9)+4</f>
        <v>56.5</v>
      </c>
      <c r="J9" s="13">
        <f>SUM(I9)+4</f>
        <v>60.5</v>
      </c>
      <c r="K9" s="13"/>
      <c r="L9" s="13"/>
      <c r="M9" s="15"/>
    </row>
    <row r="10" spans="1:13" s="2" customFormat="1" ht="14.1" customHeight="1" x14ac:dyDescent="0.3">
      <c r="A10" s="92"/>
      <c r="B10" s="23" t="s">
        <v>12</v>
      </c>
      <c r="C10" s="24"/>
      <c r="D10" s="25" t="s">
        <v>28</v>
      </c>
      <c r="E10" s="26"/>
      <c r="F10" s="26"/>
      <c r="G10" s="27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91">
        <v>5</v>
      </c>
      <c r="B11" s="45" t="s">
        <v>118</v>
      </c>
      <c r="C11" s="45"/>
      <c r="D11" s="32"/>
      <c r="E11" s="32"/>
      <c r="F11" s="32"/>
      <c r="G11" s="32"/>
      <c r="H11" s="33">
        <v>129</v>
      </c>
      <c r="I11" s="13">
        <f>SUM(H11)+8</f>
        <v>137</v>
      </c>
      <c r="J11" s="13">
        <f>SUM(I11)+8</f>
        <v>145</v>
      </c>
      <c r="K11" s="89"/>
      <c r="L11" s="89"/>
      <c r="M11" s="131"/>
    </row>
    <row r="12" spans="1:13" s="2" customFormat="1" ht="14.1" customHeight="1" x14ac:dyDescent="0.3">
      <c r="A12" s="92"/>
      <c r="B12" s="46" t="s">
        <v>132</v>
      </c>
      <c r="C12" s="46"/>
      <c r="D12" s="25"/>
      <c r="E12" s="26"/>
      <c r="F12" s="26"/>
      <c r="G12" s="27"/>
      <c r="H12" s="36"/>
      <c r="I12" s="21"/>
      <c r="J12" s="21"/>
      <c r="K12" s="89"/>
      <c r="L12" s="89"/>
      <c r="M12" s="131"/>
    </row>
    <row r="13" spans="1:13" s="2" customFormat="1" ht="14.1" customHeight="1" x14ac:dyDescent="0.3">
      <c r="A13" s="91">
        <v>6</v>
      </c>
      <c r="B13" s="30" t="s">
        <v>9</v>
      </c>
      <c r="C13" s="31"/>
      <c r="D13" s="42" t="s">
        <v>0</v>
      </c>
      <c r="E13" s="43"/>
      <c r="F13" s="43"/>
      <c r="G13" s="44"/>
      <c r="H13" s="33">
        <v>21.4</v>
      </c>
      <c r="I13" s="13">
        <f>SUM(H13)+1</f>
        <v>22.4</v>
      </c>
      <c r="J13" s="13">
        <f>SUM(I13)+1</f>
        <v>23.4</v>
      </c>
      <c r="K13" s="13"/>
      <c r="L13" s="13"/>
      <c r="M13" s="15"/>
    </row>
    <row r="14" spans="1:13" s="2" customFormat="1" ht="14.1" customHeight="1" x14ac:dyDescent="0.3">
      <c r="A14" s="92"/>
      <c r="B14" s="23" t="s">
        <v>13</v>
      </c>
      <c r="C14" s="24"/>
      <c r="D14" s="25" t="s">
        <v>29</v>
      </c>
      <c r="E14" s="26"/>
      <c r="F14" s="26"/>
      <c r="G14" s="27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91">
        <v>7</v>
      </c>
      <c r="B15" s="30" t="s">
        <v>1</v>
      </c>
      <c r="C15" s="31"/>
      <c r="D15" s="42" t="s">
        <v>150</v>
      </c>
      <c r="E15" s="43"/>
      <c r="F15" s="43"/>
      <c r="G15" s="44"/>
      <c r="H15" s="33">
        <v>20</v>
      </c>
      <c r="I15" s="13">
        <f>SUM(H15)+0.6</f>
        <v>20.6</v>
      </c>
      <c r="J15" s="13">
        <f>SUM(I15)+0.6</f>
        <v>21.200000000000003</v>
      </c>
      <c r="K15" s="13"/>
      <c r="L15" s="13"/>
      <c r="M15" s="15"/>
    </row>
    <row r="16" spans="1:13" s="2" customFormat="1" ht="14.1" customHeight="1" x14ac:dyDescent="0.3">
      <c r="A16" s="92"/>
      <c r="B16" s="23" t="s">
        <v>14</v>
      </c>
      <c r="C16" s="24"/>
      <c r="D16" s="25" t="s">
        <v>30</v>
      </c>
      <c r="E16" s="26"/>
      <c r="F16" s="26"/>
      <c r="G16" s="27"/>
      <c r="H16" s="36"/>
      <c r="I16" s="21"/>
      <c r="J16" s="21"/>
      <c r="K16" s="21"/>
      <c r="L16" s="21"/>
      <c r="M16" s="22"/>
    </row>
    <row r="17" spans="1:13" s="2" customFormat="1" ht="14.1" customHeight="1" x14ac:dyDescent="0.3">
      <c r="A17" s="91">
        <v>8</v>
      </c>
      <c r="B17" s="30" t="s">
        <v>2</v>
      </c>
      <c r="C17" s="31"/>
      <c r="D17" s="42" t="s">
        <v>3</v>
      </c>
      <c r="E17" s="43"/>
      <c r="F17" s="43"/>
      <c r="G17" s="44"/>
      <c r="H17" s="33">
        <v>8.3000000000000007</v>
      </c>
      <c r="I17" s="13">
        <f>SUM(H17)+0.3</f>
        <v>8.6000000000000014</v>
      </c>
      <c r="J17" s="13">
        <f>SUM(I17)+0.3</f>
        <v>8.9000000000000021</v>
      </c>
      <c r="K17" s="13"/>
      <c r="L17" s="13"/>
      <c r="M17" s="15"/>
    </row>
    <row r="18" spans="1:13" s="2" customFormat="1" ht="14.1" customHeight="1" x14ac:dyDescent="0.3">
      <c r="A18" s="92"/>
      <c r="B18" s="23" t="s">
        <v>15</v>
      </c>
      <c r="C18" s="24"/>
      <c r="D18" s="25" t="s">
        <v>31</v>
      </c>
      <c r="E18" s="26"/>
      <c r="F18" s="26"/>
      <c r="G18" s="27"/>
      <c r="H18" s="36"/>
      <c r="I18" s="21"/>
      <c r="J18" s="21"/>
      <c r="K18" s="21"/>
      <c r="L18" s="21"/>
      <c r="M18" s="22"/>
    </row>
    <row r="19" spans="1:13" s="2" customFormat="1" ht="14.1" customHeight="1" x14ac:dyDescent="0.3">
      <c r="A19" s="91">
        <v>9</v>
      </c>
      <c r="B19" s="30" t="s">
        <v>61</v>
      </c>
      <c r="C19" s="31"/>
      <c r="D19" s="42" t="s">
        <v>69</v>
      </c>
      <c r="E19" s="43"/>
      <c r="F19" s="43"/>
      <c r="G19" s="44"/>
      <c r="H19" s="33">
        <v>49.5</v>
      </c>
      <c r="I19" s="13">
        <f>SUM(H19)+1.6</f>
        <v>51.1</v>
      </c>
      <c r="J19" s="13">
        <f>SUM(I19)+1.6</f>
        <v>52.7</v>
      </c>
      <c r="K19" s="13"/>
      <c r="L19" s="13"/>
      <c r="M19" s="15"/>
    </row>
    <row r="20" spans="1:13" s="2" customFormat="1" ht="14.1" customHeight="1" x14ac:dyDescent="0.3">
      <c r="A20" s="92"/>
      <c r="B20" s="23" t="s">
        <v>62</v>
      </c>
      <c r="C20" s="24"/>
      <c r="D20" s="25" t="s">
        <v>119</v>
      </c>
      <c r="E20" s="26"/>
      <c r="F20" s="26"/>
      <c r="G20" s="27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91">
        <v>10</v>
      </c>
      <c r="B21" s="30" t="s">
        <v>4</v>
      </c>
      <c r="C21" s="31"/>
      <c r="D21" s="42" t="s">
        <v>5</v>
      </c>
      <c r="E21" s="43"/>
      <c r="F21" s="43"/>
      <c r="G21" s="44"/>
      <c r="H21" s="33">
        <v>49.6</v>
      </c>
      <c r="I21" s="13">
        <f>SUM(H21)+2.1</f>
        <v>51.7</v>
      </c>
      <c r="J21" s="13">
        <f>SUM(I21)+2.1</f>
        <v>53.800000000000004</v>
      </c>
      <c r="K21" s="13"/>
      <c r="L21" s="13"/>
      <c r="M21" s="15"/>
    </row>
    <row r="22" spans="1:13" s="2" customFormat="1" ht="14.1" customHeight="1" x14ac:dyDescent="0.3">
      <c r="A22" s="92"/>
      <c r="B22" s="23" t="s">
        <v>16</v>
      </c>
      <c r="C22" s="24"/>
      <c r="D22" s="25" t="s">
        <v>32</v>
      </c>
      <c r="E22" s="26"/>
      <c r="F22" s="26"/>
      <c r="G22" s="27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91">
        <v>11</v>
      </c>
      <c r="B23" s="30" t="s">
        <v>6</v>
      </c>
      <c r="C23" s="31"/>
      <c r="D23" s="42" t="s">
        <v>7</v>
      </c>
      <c r="E23" s="43"/>
      <c r="F23" s="43"/>
      <c r="G23" s="44"/>
      <c r="H23" s="33">
        <v>41.7</v>
      </c>
      <c r="I23" s="13">
        <f>SUM(H23)+2</f>
        <v>43.7</v>
      </c>
      <c r="J23" s="13">
        <f>SUM(I23)+2</f>
        <v>45.7</v>
      </c>
      <c r="K23" s="13"/>
      <c r="L23" s="13"/>
      <c r="M23" s="15"/>
    </row>
    <row r="24" spans="1:13" s="2" customFormat="1" ht="14.1" customHeight="1" x14ac:dyDescent="0.3">
      <c r="A24" s="92"/>
      <c r="B24" s="23" t="s">
        <v>17</v>
      </c>
      <c r="C24" s="24"/>
      <c r="D24" s="25" t="s">
        <v>39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91">
        <v>12</v>
      </c>
      <c r="B25" s="30" t="s">
        <v>169</v>
      </c>
      <c r="C25" s="31"/>
      <c r="D25" s="42" t="s">
        <v>40</v>
      </c>
      <c r="E25" s="43"/>
      <c r="F25" s="43"/>
      <c r="G25" s="44"/>
      <c r="H25" s="33">
        <v>20.399999999999999</v>
      </c>
      <c r="I25" s="13">
        <f>SUM(H25)+0.8</f>
        <v>21.2</v>
      </c>
      <c r="J25" s="13">
        <f>SUM(I25)+0.8</f>
        <v>22</v>
      </c>
      <c r="K25" s="13"/>
      <c r="L25" s="13"/>
      <c r="M25" s="15"/>
    </row>
    <row r="26" spans="1:13" s="2" customFormat="1" ht="14.1" customHeight="1" x14ac:dyDescent="0.3">
      <c r="A26" s="92"/>
      <c r="B26" s="23" t="s">
        <v>170</v>
      </c>
      <c r="C26" s="24"/>
      <c r="D26" s="25" t="s">
        <v>41</v>
      </c>
      <c r="E26" s="26"/>
      <c r="F26" s="26"/>
      <c r="G26" s="27"/>
      <c r="H26" s="36"/>
      <c r="I26" s="21"/>
      <c r="J26" s="21"/>
      <c r="K26" s="21"/>
      <c r="L26" s="21"/>
      <c r="M26" s="22"/>
    </row>
    <row r="27" spans="1:13" s="2" customFormat="1" ht="14.1" customHeight="1" x14ac:dyDescent="0.3">
      <c r="A27" s="128">
        <v>13</v>
      </c>
      <c r="B27" s="45" t="s">
        <v>158</v>
      </c>
      <c r="C27" s="45"/>
      <c r="D27" s="42" t="s">
        <v>159</v>
      </c>
      <c r="E27" s="43"/>
      <c r="F27" s="43"/>
      <c r="G27" s="44"/>
      <c r="H27" s="33">
        <v>36</v>
      </c>
      <c r="I27" s="13">
        <f>SUM(H27)+1</f>
        <v>37</v>
      </c>
      <c r="J27" s="13">
        <f>SUM(I27)+1</f>
        <v>38</v>
      </c>
      <c r="K27" s="13"/>
      <c r="L27" s="89"/>
      <c r="M27" s="131"/>
    </row>
    <row r="28" spans="1:13" s="2" customFormat="1" ht="14.1" customHeight="1" x14ac:dyDescent="0.3">
      <c r="A28" s="128"/>
      <c r="B28" s="46" t="s">
        <v>160</v>
      </c>
      <c r="C28" s="46"/>
      <c r="D28" s="25" t="s">
        <v>161</v>
      </c>
      <c r="E28" s="26"/>
      <c r="F28" s="26"/>
      <c r="G28" s="27"/>
      <c r="H28" s="36"/>
      <c r="I28" s="21"/>
      <c r="J28" s="21"/>
      <c r="K28" s="21"/>
      <c r="L28" s="89"/>
      <c r="M28" s="131"/>
    </row>
    <row r="29" spans="1:13" s="2" customFormat="1" ht="14.1" customHeight="1" x14ac:dyDescent="0.3">
      <c r="A29" s="128">
        <v>14</v>
      </c>
      <c r="B29" s="45" t="s">
        <v>162</v>
      </c>
      <c r="C29" s="45"/>
      <c r="D29" s="42" t="s">
        <v>163</v>
      </c>
      <c r="E29" s="43"/>
      <c r="F29" s="43"/>
      <c r="G29" s="44"/>
      <c r="H29" s="33">
        <v>25.8</v>
      </c>
      <c r="I29" s="13">
        <f>SUM(H29)+0.8</f>
        <v>26.6</v>
      </c>
      <c r="J29" s="13">
        <f>SUM(I29)+0.8</f>
        <v>27.400000000000002</v>
      </c>
      <c r="K29" s="13"/>
      <c r="L29" s="13"/>
      <c r="M29" s="15"/>
    </row>
    <row r="30" spans="1:13" s="2" customFormat="1" ht="14.1" customHeight="1" x14ac:dyDescent="0.3">
      <c r="A30" s="128"/>
      <c r="B30" s="46" t="s">
        <v>164</v>
      </c>
      <c r="C30" s="46"/>
      <c r="D30" s="25" t="s">
        <v>165</v>
      </c>
      <c r="E30" s="26"/>
      <c r="F30" s="26"/>
      <c r="G30" s="27"/>
      <c r="H30" s="36"/>
      <c r="I30" s="21"/>
      <c r="J30" s="21"/>
      <c r="K30" s="21"/>
      <c r="L30" s="21"/>
      <c r="M30" s="22"/>
    </row>
    <row r="31" spans="1:13" s="2" customFormat="1" ht="14.1" customHeight="1" x14ac:dyDescent="0.3">
      <c r="A31" s="128">
        <v>15</v>
      </c>
      <c r="B31" s="30" t="s">
        <v>166</v>
      </c>
      <c r="C31" s="31"/>
      <c r="D31" s="83"/>
      <c r="E31" s="84"/>
      <c r="F31" s="84"/>
      <c r="G31" s="85"/>
      <c r="H31" s="33">
        <v>97</v>
      </c>
      <c r="I31" s="13">
        <f>SUM(H31)+2</f>
        <v>99</v>
      </c>
      <c r="J31" s="13">
        <f>SUM(I31)+2</f>
        <v>101</v>
      </c>
      <c r="K31" s="13"/>
      <c r="L31" s="13"/>
      <c r="M31" s="15"/>
    </row>
    <row r="32" spans="1:13" s="2" customFormat="1" ht="14.1" customHeight="1" x14ac:dyDescent="0.3">
      <c r="A32" s="128"/>
      <c r="B32" s="23" t="s">
        <v>167</v>
      </c>
      <c r="C32" s="24"/>
      <c r="D32" s="25"/>
      <c r="E32" s="26"/>
      <c r="F32" s="26"/>
      <c r="G32" s="27"/>
      <c r="H32" s="36"/>
      <c r="I32" s="21"/>
      <c r="J32" s="21"/>
      <c r="K32" s="21"/>
      <c r="L32" s="21"/>
      <c r="M32" s="22"/>
    </row>
    <row r="33" spans="1:13" s="2" customFormat="1" ht="14.1" customHeight="1" x14ac:dyDescent="0.3">
      <c r="A33" s="91">
        <v>16</v>
      </c>
      <c r="B33" s="54" t="s">
        <v>144</v>
      </c>
      <c r="C33" s="55"/>
      <c r="D33" s="56"/>
      <c r="E33" s="57"/>
      <c r="F33" s="57"/>
      <c r="G33" s="58"/>
      <c r="H33" s="93">
        <v>13</v>
      </c>
      <c r="I33" s="94">
        <f>SUM(H33)+0.5</f>
        <v>13.5</v>
      </c>
      <c r="J33" s="94">
        <f>SUM(I33)+0.5</f>
        <v>14</v>
      </c>
      <c r="K33" s="60"/>
      <c r="L33" s="60"/>
      <c r="M33" s="61"/>
    </row>
    <row r="34" spans="1:13" s="2" customFormat="1" ht="14.1" customHeight="1" x14ac:dyDescent="0.3">
      <c r="A34" s="92"/>
      <c r="B34" s="23" t="s">
        <v>145</v>
      </c>
      <c r="C34" s="24"/>
      <c r="D34" s="25"/>
      <c r="E34" s="26"/>
      <c r="F34" s="26"/>
      <c r="G34" s="27"/>
      <c r="H34" s="93"/>
      <c r="I34" s="94"/>
      <c r="J34" s="94"/>
      <c r="K34" s="21"/>
      <c r="L34" s="21"/>
      <c r="M34" s="22"/>
    </row>
    <row r="35" spans="1:13" s="2" customFormat="1" ht="14.1" customHeight="1" x14ac:dyDescent="0.3">
      <c r="A35" s="91">
        <v>17</v>
      </c>
      <c r="B35" s="30" t="s">
        <v>146</v>
      </c>
      <c r="C35" s="31"/>
      <c r="D35" s="32"/>
      <c r="E35" s="32"/>
      <c r="F35" s="32"/>
      <c r="G35" s="32"/>
      <c r="H35" s="93">
        <v>13</v>
      </c>
      <c r="I35" s="94">
        <f>SUM(H35)+0.5</f>
        <v>13.5</v>
      </c>
      <c r="J35" s="94">
        <f>SUM(I35)+0.5</f>
        <v>14</v>
      </c>
      <c r="K35" s="13"/>
      <c r="L35" s="13"/>
      <c r="M35" s="15"/>
    </row>
    <row r="36" spans="1:13" s="2" customFormat="1" ht="14.1" customHeight="1" x14ac:dyDescent="0.3">
      <c r="A36" s="92"/>
      <c r="B36" s="46" t="s">
        <v>147</v>
      </c>
      <c r="C36" s="46"/>
      <c r="D36" s="25"/>
      <c r="E36" s="26"/>
      <c r="F36" s="26"/>
      <c r="G36" s="27"/>
      <c r="H36" s="93"/>
      <c r="I36" s="94"/>
      <c r="J36" s="94"/>
      <c r="K36" s="21"/>
      <c r="L36" s="21"/>
      <c r="M36" s="22"/>
    </row>
    <row r="37" spans="1:13" s="2" customFormat="1" ht="14.1" customHeight="1" x14ac:dyDescent="0.3">
      <c r="A37" s="91">
        <v>18</v>
      </c>
      <c r="B37" s="54" t="s">
        <v>133</v>
      </c>
      <c r="C37" s="55"/>
      <c r="D37" s="86"/>
      <c r="E37" s="87"/>
      <c r="F37" s="87"/>
      <c r="G37" s="88"/>
      <c r="H37" s="59">
        <v>2.5</v>
      </c>
      <c r="I37" s="60">
        <v>2.5</v>
      </c>
      <c r="J37" s="60">
        <v>2.5</v>
      </c>
      <c r="K37" s="60"/>
      <c r="L37" s="60"/>
      <c r="M37" s="61"/>
    </row>
    <row r="38" spans="1:13" s="2" customFormat="1" ht="14.1" customHeight="1" x14ac:dyDescent="0.3">
      <c r="A38" s="92"/>
      <c r="B38" s="23" t="s">
        <v>141</v>
      </c>
      <c r="C38" s="24"/>
      <c r="D38" s="25"/>
      <c r="E38" s="26"/>
      <c r="F38" s="26"/>
      <c r="G38" s="27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91">
        <v>19</v>
      </c>
      <c r="B39" s="54" t="s">
        <v>168</v>
      </c>
      <c r="C39" s="55"/>
      <c r="D39" s="86"/>
      <c r="E39" s="87"/>
      <c r="F39" s="87"/>
      <c r="G39" s="88"/>
      <c r="H39" s="59">
        <v>40</v>
      </c>
      <c r="I39" s="60">
        <v>43</v>
      </c>
      <c r="J39" s="60">
        <v>45.5</v>
      </c>
      <c r="K39" s="13"/>
      <c r="L39" s="13"/>
      <c r="M39" s="15"/>
    </row>
    <row r="40" spans="1:13" s="2" customFormat="1" ht="14.1" customHeight="1" x14ac:dyDescent="0.3">
      <c r="A40" s="92"/>
      <c r="B40" s="23" t="s">
        <v>70</v>
      </c>
      <c r="C40" s="24"/>
      <c r="D40" s="25"/>
      <c r="E40" s="26"/>
      <c r="F40" s="26"/>
      <c r="G40" s="27"/>
      <c r="H40" s="36"/>
      <c r="I40" s="21"/>
      <c r="J40" s="21"/>
      <c r="K40" s="21"/>
      <c r="L40" s="21"/>
      <c r="M40" s="22"/>
    </row>
    <row r="41" spans="1:13" s="2" customFormat="1" ht="14.1" customHeight="1" x14ac:dyDescent="0.3">
      <c r="A41" s="91">
        <v>20</v>
      </c>
      <c r="B41" s="54"/>
      <c r="C41" s="55"/>
      <c r="D41" s="83"/>
      <c r="E41" s="84"/>
      <c r="F41" s="84"/>
      <c r="G41" s="85"/>
      <c r="H41" s="33"/>
      <c r="I41" s="13"/>
      <c r="J41" s="13"/>
      <c r="K41" s="60"/>
      <c r="L41" s="60"/>
      <c r="M41" s="61"/>
    </row>
    <row r="42" spans="1:13" s="2" customFormat="1" ht="14.1" customHeight="1" x14ac:dyDescent="0.3">
      <c r="A42" s="92"/>
      <c r="B42" s="23"/>
      <c r="C42" s="24"/>
      <c r="D42" s="25"/>
      <c r="E42" s="26"/>
      <c r="F42" s="26"/>
      <c r="G42" s="27"/>
      <c r="H42" s="36"/>
      <c r="I42" s="21"/>
      <c r="J42" s="21"/>
      <c r="K42" s="21"/>
      <c r="L42" s="21"/>
      <c r="M42" s="22"/>
    </row>
    <row r="43" spans="1:13" s="2" customFormat="1" ht="14.1" customHeight="1" x14ac:dyDescent="0.3">
      <c r="A43" s="91">
        <v>21</v>
      </c>
      <c r="B43" s="30"/>
      <c r="C43" s="31"/>
      <c r="D43" s="83"/>
      <c r="E43" s="84"/>
      <c r="F43" s="84"/>
      <c r="G43" s="85"/>
      <c r="H43" s="33"/>
      <c r="I43" s="13"/>
      <c r="J43" s="13"/>
      <c r="K43" s="13"/>
      <c r="L43" s="13"/>
      <c r="M43" s="15" t="s">
        <v>143</v>
      </c>
    </row>
    <row r="44" spans="1:13" s="2" customFormat="1" ht="14.1" customHeight="1" x14ac:dyDescent="0.3">
      <c r="A44" s="92"/>
      <c r="B44" s="23"/>
      <c r="C44" s="24"/>
      <c r="D44" s="25"/>
      <c r="E44" s="26"/>
      <c r="F44" s="26"/>
      <c r="G44" s="27"/>
      <c r="H44" s="36"/>
      <c r="I44" s="21"/>
      <c r="J44" s="21"/>
      <c r="K44" s="21"/>
      <c r="L44" s="21"/>
      <c r="M44" s="22"/>
    </row>
    <row r="45" spans="1:13" ht="14.1" customHeight="1" x14ac:dyDescent="0.3">
      <c r="A45" s="91">
        <v>22</v>
      </c>
      <c r="B45" s="54"/>
      <c r="C45" s="55"/>
      <c r="D45" s="86"/>
      <c r="E45" s="87"/>
      <c r="F45" s="87"/>
      <c r="G45" s="88"/>
      <c r="H45" s="59"/>
      <c r="I45" s="60"/>
      <c r="J45" s="60"/>
      <c r="K45" s="60"/>
      <c r="L45" s="60"/>
      <c r="M45" s="61" t="s">
        <v>143</v>
      </c>
    </row>
    <row r="46" spans="1:13" ht="14.1" customHeight="1" thickBot="1" x14ac:dyDescent="0.35">
      <c r="A46" s="146"/>
      <c r="B46" s="81"/>
      <c r="C46" s="82"/>
      <c r="D46" s="18"/>
      <c r="E46" s="19"/>
      <c r="F46" s="19"/>
      <c r="G46" s="20"/>
      <c r="H46" s="34"/>
      <c r="I46" s="14"/>
      <c r="J46" s="14"/>
      <c r="K46" s="14"/>
      <c r="L46" s="14"/>
      <c r="M46" s="16"/>
    </row>
    <row r="47" spans="1:13" ht="14.1" customHeight="1" x14ac:dyDescent="0.3"/>
    <row r="48" spans="1:13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>
      <c r="B57" s="1"/>
      <c r="C57" s="1"/>
      <c r="D57" s="1"/>
      <c r="E57" s="1"/>
      <c r="F57" s="1"/>
      <c r="G57" s="1"/>
    </row>
    <row r="58" spans="2:7" ht="14.1" customHeight="1" x14ac:dyDescent="0.3">
      <c r="B58" s="1"/>
      <c r="C58" s="1"/>
      <c r="D58" s="1"/>
      <c r="E58" s="1"/>
      <c r="F58" s="1"/>
      <c r="G58" s="1"/>
    </row>
    <row r="59" spans="2:7" ht="14.1" customHeight="1" x14ac:dyDescent="0.3"/>
    <row r="60" spans="2:7" ht="14.1" customHeight="1" x14ac:dyDescent="0.3"/>
    <row r="61" spans="2:7" ht="14.1" customHeight="1" x14ac:dyDescent="0.3"/>
  </sheetData>
  <mergeCells count="245"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C627-E812-435D-83BE-6E017F1D06BF}">
  <sheetPr>
    <tabColor rgb="FF00B0F0"/>
  </sheetPr>
  <dimension ref="A1:M61"/>
  <sheetViews>
    <sheetView zoomScale="110" zoomScaleNormal="110" zoomScalePageLayoutView="110" workbookViewId="0">
      <selection activeCell="Q27" sqref="Q2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211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70" t="s">
        <v>34</v>
      </c>
      <c r="C2" s="70"/>
      <c r="D2" s="70" t="s">
        <v>35</v>
      </c>
      <c r="E2" s="70"/>
      <c r="F2" s="70"/>
      <c r="G2" s="70"/>
      <c r="H2" s="4" t="s">
        <v>36</v>
      </c>
      <c r="I2" s="6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29">
        <v>1</v>
      </c>
      <c r="B3" s="122" t="s">
        <v>23</v>
      </c>
      <c r="C3" s="122"/>
      <c r="D3" s="130" t="s">
        <v>43</v>
      </c>
      <c r="E3" s="130"/>
      <c r="F3" s="130"/>
      <c r="G3" s="74"/>
      <c r="H3" s="116">
        <v>45</v>
      </c>
      <c r="I3" s="117">
        <f>SUM(H3)+3</f>
        <v>48</v>
      </c>
      <c r="J3" s="117">
        <f>SUM(I3)+3</f>
        <v>51</v>
      </c>
      <c r="K3" s="117"/>
      <c r="L3" s="68"/>
      <c r="M3" s="69"/>
    </row>
    <row r="4" spans="1:13" s="2" customFormat="1" ht="14.1" customHeight="1" x14ac:dyDescent="0.3">
      <c r="A4" s="128"/>
      <c r="B4" s="46" t="s">
        <v>20</v>
      </c>
      <c r="C4" s="46"/>
      <c r="D4" s="25" t="s">
        <v>42</v>
      </c>
      <c r="E4" s="26"/>
      <c r="F4" s="26"/>
      <c r="G4" s="26"/>
      <c r="H4" s="93"/>
      <c r="I4" s="89"/>
      <c r="J4" s="89"/>
      <c r="K4" s="13"/>
      <c r="L4" s="21"/>
      <c r="M4" s="22"/>
    </row>
    <row r="5" spans="1:13" s="2" customFormat="1" ht="14.1" customHeight="1" x14ac:dyDescent="0.3">
      <c r="A5" s="91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32</v>
      </c>
      <c r="I5" s="13">
        <f>SUM(H5)+3</f>
        <v>35</v>
      </c>
      <c r="J5" s="13">
        <f>SUM(I5)+3</f>
        <v>38</v>
      </c>
      <c r="K5" s="13"/>
      <c r="L5" s="13"/>
      <c r="M5" s="15"/>
    </row>
    <row r="6" spans="1:13" s="2" customFormat="1" ht="14.1" customHeight="1" x14ac:dyDescent="0.3">
      <c r="A6" s="92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91">
        <v>3</v>
      </c>
      <c r="B7" s="45" t="s">
        <v>19</v>
      </c>
      <c r="C7" s="45"/>
      <c r="D7" s="32" t="s">
        <v>10</v>
      </c>
      <c r="E7" s="32"/>
      <c r="F7" s="32"/>
      <c r="G7" s="32"/>
      <c r="H7" s="33">
        <v>34</v>
      </c>
      <c r="I7" s="13">
        <f>SUM(H7)+3</f>
        <v>37</v>
      </c>
      <c r="J7" s="13">
        <f>SUM(I7)+3</f>
        <v>40</v>
      </c>
      <c r="K7" s="89"/>
      <c r="L7" s="89"/>
      <c r="M7" s="131"/>
    </row>
    <row r="8" spans="1:13" s="2" customFormat="1" ht="14.1" customHeight="1" x14ac:dyDescent="0.3">
      <c r="A8" s="92"/>
      <c r="B8" s="46" t="s">
        <v>24</v>
      </c>
      <c r="C8" s="46"/>
      <c r="D8" s="25" t="s">
        <v>27</v>
      </c>
      <c r="E8" s="26"/>
      <c r="F8" s="26"/>
      <c r="G8" s="27"/>
      <c r="H8" s="36"/>
      <c r="I8" s="21"/>
      <c r="J8" s="21"/>
      <c r="K8" s="89"/>
      <c r="L8" s="89"/>
      <c r="M8" s="131"/>
    </row>
    <row r="9" spans="1:13" s="2" customFormat="1" ht="14.1" customHeight="1" x14ac:dyDescent="0.3">
      <c r="A9" s="91">
        <v>4</v>
      </c>
      <c r="B9" s="45" t="s">
        <v>25</v>
      </c>
      <c r="C9" s="45"/>
      <c r="D9" s="32" t="s">
        <v>8</v>
      </c>
      <c r="E9" s="32"/>
      <c r="F9" s="32"/>
      <c r="G9" s="32"/>
      <c r="H9" s="33">
        <v>34</v>
      </c>
      <c r="I9" s="13">
        <f>SUM(H9)+3</f>
        <v>37</v>
      </c>
      <c r="J9" s="13">
        <f>SUM(I9)+3</f>
        <v>40</v>
      </c>
      <c r="K9" s="89"/>
      <c r="L9" s="89"/>
      <c r="M9" s="131"/>
    </row>
    <row r="10" spans="1:13" s="2" customFormat="1" ht="14.1" customHeight="1" x14ac:dyDescent="0.3">
      <c r="A10" s="92"/>
      <c r="B10" s="46" t="s">
        <v>12</v>
      </c>
      <c r="C10" s="46"/>
      <c r="D10" s="25" t="s">
        <v>28</v>
      </c>
      <c r="E10" s="26"/>
      <c r="F10" s="26"/>
      <c r="G10" s="27"/>
      <c r="H10" s="36"/>
      <c r="I10" s="21"/>
      <c r="J10" s="21"/>
      <c r="K10" s="89"/>
      <c r="L10" s="89"/>
      <c r="M10" s="131"/>
    </row>
    <row r="11" spans="1:13" s="2" customFormat="1" ht="14.1" customHeight="1" x14ac:dyDescent="0.3">
      <c r="A11" s="91">
        <v>5</v>
      </c>
      <c r="B11" s="45" t="s">
        <v>212</v>
      </c>
      <c r="C11" s="45"/>
      <c r="D11" s="32"/>
      <c r="E11" s="32"/>
      <c r="F11" s="32"/>
      <c r="G11" s="32"/>
      <c r="H11" s="33"/>
      <c r="I11" s="13"/>
      <c r="J11" s="13"/>
      <c r="K11" s="13"/>
      <c r="L11" s="13"/>
      <c r="M11" s="15"/>
    </row>
    <row r="12" spans="1:13" s="2" customFormat="1" ht="14.1" customHeight="1" x14ac:dyDescent="0.3">
      <c r="A12" s="92"/>
      <c r="B12" s="46" t="s">
        <v>213</v>
      </c>
      <c r="C12" s="46"/>
      <c r="D12" s="25"/>
      <c r="E12" s="26"/>
      <c r="F12" s="26"/>
      <c r="G12" s="27"/>
      <c r="H12" s="36"/>
      <c r="I12" s="21"/>
      <c r="J12" s="21"/>
      <c r="K12" s="21"/>
      <c r="L12" s="21"/>
      <c r="M12" s="22"/>
    </row>
    <row r="13" spans="1:13" s="2" customFormat="1" ht="14.1" customHeight="1" x14ac:dyDescent="0.3">
      <c r="A13" s="91">
        <v>6</v>
      </c>
      <c r="B13" s="45" t="s">
        <v>9</v>
      </c>
      <c r="C13" s="45"/>
      <c r="D13" s="32" t="s">
        <v>0</v>
      </c>
      <c r="E13" s="32"/>
      <c r="F13" s="32"/>
      <c r="G13" s="32"/>
      <c r="H13" s="93">
        <v>17.5</v>
      </c>
      <c r="I13" s="89">
        <f>SUM(H13)+1</f>
        <v>18.5</v>
      </c>
      <c r="J13" s="89">
        <f>SUM(I13)+1</f>
        <v>19.5</v>
      </c>
      <c r="K13" s="89"/>
      <c r="L13" s="89"/>
      <c r="M13" s="131"/>
    </row>
    <row r="14" spans="1:13" s="2" customFormat="1" ht="14.1" customHeight="1" x14ac:dyDescent="0.3">
      <c r="A14" s="92"/>
      <c r="B14" s="46" t="s">
        <v>13</v>
      </c>
      <c r="C14" s="46"/>
      <c r="D14" s="25" t="s">
        <v>29</v>
      </c>
      <c r="E14" s="26"/>
      <c r="F14" s="26"/>
      <c r="G14" s="27"/>
      <c r="H14" s="93"/>
      <c r="I14" s="89"/>
      <c r="J14" s="89"/>
      <c r="K14" s="89"/>
      <c r="L14" s="89"/>
      <c r="M14" s="131"/>
    </row>
    <row r="15" spans="1:13" s="2" customFormat="1" ht="14.1" customHeight="1" x14ac:dyDescent="0.3">
      <c r="A15" s="91">
        <v>7</v>
      </c>
      <c r="B15" s="45" t="s">
        <v>1</v>
      </c>
      <c r="C15" s="45"/>
      <c r="D15" s="32" t="s">
        <v>150</v>
      </c>
      <c r="E15" s="32"/>
      <c r="F15" s="32"/>
      <c r="G15" s="32"/>
      <c r="H15" s="93">
        <v>18.5</v>
      </c>
      <c r="I15" s="89">
        <f>SUM(H15)+0.6</f>
        <v>19.100000000000001</v>
      </c>
      <c r="J15" s="89">
        <f>SUM(I15)+0.6</f>
        <v>19.700000000000003</v>
      </c>
      <c r="K15" s="89"/>
      <c r="L15" s="89"/>
      <c r="M15" s="131"/>
    </row>
    <row r="16" spans="1:13" s="2" customFormat="1" ht="14.1" customHeight="1" x14ac:dyDescent="0.3">
      <c r="A16" s="92"/>
      <c r="B16" s="46" t="s">
        <v>14</v>
      </c>
      <c r="C16" s="46"/>
      <c r="D16" s="25" t="s">
        <v>30</v>
      </c>
      <c r="E16" s="26"/>
      <c r="F16" s="26"/>
      <c r="G16" s="27"/>
      <c r="H16" s="93"/>
      <c r="I16" s="89"/>
      <c r="J16" s="89"/>
      <c r="K16" s="89"/>
      <c r="L16" s="89"/>
      <c r="M16" s="131"/>
    </row>
    <row r="17" spans="1:13" s="2" customFormat="1" ht="14.1" customHeight="1" x14ac:dyDescent="0.3">
      <c r="A17" s="91">
        <v>8</v>
      </c>
      <c r="B17" s="45" t="s">
        <v>2</v>
      </c>
      <c r="C17" s="45"/>
      <c r="D17" s="32" t="s">
        <v>3</v>
      </c>
      <c r="E17" s="32"/>
      <c r="F17" s="32"/>
      <c r="G17" s="32"/>
      <c r="H17" s="93">
        <v>7</v>
      </c>
      <c r="I17" s="89">
        <f>SUM(H17)+0.3</f>
        <v>7.3</v>
      </c>
      <c r="J17" s="89">
        <f>SUM(I17)+0.3</f>
        <v>7.6</v>
      </c>
      <c r="K17" s="89"/>
      <c r="L17" s="89"/>
      <c r="M17" s="131"/>
    </row>
    <row r="18" spans="1:13" s="2" customFormat="1" ht="14.1" customHeight="1" x14ac:dyDescent="0.3">
      <c r="A18" s="92"/>
      <c r="B18" s="46" t="s">
        <v>15</v>
      </c>
      <c r="C18" s="46"/>
      <c r="D18" s="25" t="s">
        <v>31</v>
      </c>
      <c r="E18" s="26"/>
      <c r="F18" s="26"/>
      <c r="G18" s="27"/>
      <c r="H18" s="93"/>
      <c r="I18" s="89"/>
      <c r="J18" s="89"/>
      <c r="K18" s="89"/>
      <c r="L18" s="89"/>
      <c r="M18" s="131"/>
    </row>
    <row r="19" spans="1:13" s="2" customFormat="1" ht="14.1" customHeight="1" x14ac:dyDescent="0.3">
      <c r="A19" s="91">
        <v>9</v>
      </c>
      <c r="B19" s="30" t="s">
        <v>61</v>
      </c>
      <c r="C19" s="31"/>
      <c r="D19" s="42" t="s">
        <v>69</v>
      </c>
      <c r="E19" s="43"/>
      <c r="F19" s="43"/>
      <c r="G19" s="44"/>
      <c r="H19" s="93"/>
      <c r="I19" s="89"/>
      <c r="J19" s="89"/>
      <c r="K19" s="89"/>
      <c r="L19" s="89"/>
      <c r="M19" s="131"/>
    </row>
    <row r="20" spans="1:13" s="2" customFormat="1" ht="14.1" customHeight="1" x14ac:dyDescent="0.3">
      <c r="A20" s="92"/>
      <c r="B20" s="46" t="s">
        <v>62</v>
      </c>
      <c r="C20" s="46"/>
      <c r="D20" s="25" t="s">
        <v>214</v>
      </c>
      <c r="E20" s="26"/>
      <c r="F20" s="26"/>
      <c r="G20" s="27"/>
      <c r="H20" s="93"/>
      <c r="I20" s="89"/>
      <c r="J20" s="89"/>
      <c r="K20" s="89"/>
      <c r="L20" s="89"/>
      <c r="M20" s="131"/>
    </row>
    <row r="21" spans="1:13" s="2" customFormat="1" ht="14.1" customHeight="1" x14ac:dyDescent="0.3">
      <c r="A21" s="91">
        <v>10</v>
      </c>
      <c r="B21" s="45" t="s">
        <v>4</v>
      </c>
      <c r="C21" s="45"/>
      <c r="D21" s="32" t="s">
        <v>5</v>
      </c>
      <c r="E21" s="32"/>
      <c r="F21" s="32"/>
      <c r="G21" s="32"/>
      <c r="H21" s="36">
        <v>18</v>
      </c>
      <c r="I21" s="21">
        <f>SUM(H21)+1</f>
        <v>19</v>
      </c>
      <c r="J21" s="21">
        <f>SUM(I21)+1</f>
        <v>20</v>
      </c>
      <c r="K21" s="89"/>
      <c r="L21" s="89"/>
      <c r="M21" s="131"/>
    </row>
    <row r="22" spans="1:13" s="2" customFormat="1" ht="14.1" customHeight="1" x14ac:dyDescent="0.3">
      <c r="A22" s="92"/>
      <c r="B22" s="46" t="s">
        <v>16</v>
      </c>
      <c r="C22" s="46"/>
      <c r="D22" s="25" t="s">
        <v>32</v>
      </c>
      <c r="E22" s="26"/>
      <c r="F22" s="26"/>
      <c r="G22" s="27"/>
      <c r="H22" s="93"/>
      <c r="I22" s="89"/>
      <c r="J22" s="89"/>
      <c r="K22" s="89"/>
      <c r="L22" s="89"/>
      <c r="M22" s="131"/>
    </row>
    <row r="23" spans="1:13" s="2" customFormat="1" ht="14.1" customHeight="1" x14ac:dyDescent="0.3">
      <c r="A23" s="91">
        <v>11</v>
      </c>
      <c r="B23" s="45" t="s">
        <v>6</v>
      </c>
      <c r="C23" s="45"/>
      <c r="D23" s="42" t="s">
        <v>7</v>
      </c>
      <c r="E23" s="43"/>
      <c r="F23" s="43"/>
      <c r="G23" s="44"/>
      <c r="H23" s="36">
        <v>24</v>
      </c>
      <c r="I23" s="21">
        <f>SUM(H23)+1.4</f>
        <v>25.4</v>
      </c>
      <c r="J23" s="21">
        <f>SUM(I23)+1.4</f>
        <v>26.799999999999997</v>
      </c>
      <c r="K23" s="89"/>
      <c r="L23" s="89"/>
      <c r="M23" s="131"/>
    </row>
    <row r="24" spans="1:13" s="2" customFormat="1" ht="14.1" customHeight="1" x14ac:dyDescent="0.3">
      <c r="A24" s="92"/>
      <c r="B24" s="46" t="s">
        <v>17</v>
      </c>
      <c r="C24" s="46"/>
      <c r="D24" s="25" t="s">
        <v>39</v>
      </c>
      <c r="E24" s="26"/>
      <c r="F24" s="26"/>
      <c r="G24" s="27"/>
      <c r="H24" s="93"/>
      <c r="I24" s="89"/>
      <c r="J24" s="89"/>
      <c r="K24" s="89"/>
      <c r="L24" s="89"/>
      <c r="M24" s="131"/>
    </row>
    <row r="25" spans="1:13" s="2" customFormat="1" ht="14.1" customHeight="1" x14ac:dyDescent="0.3">
      <c r="A25" s="91">
        <v>12</v>
      </c>
      <c r="B25" s="30" t="s">
        <v>104</v>
      </c>
      <c r="C25" s="31"/>
      <c r="D25" s="32" t="s">
        <v>40</v>
      </c>
      <c r="E25" s="32"/>
      <c r="F25" s="32"/>
      <c r="G25" s="32"/>
      <c r="H25" s="36">
        <v>20</v>
      </c>
      <c r="I25" s="21">
        <f>SUM(H25)+1.2</f>
        <v>21.2</v>
      </c>
      <c r="J25" s="21">
        <f>SUM(I25)+1.2</f>
        <v>22.4</v>
      </c>
      <c r="K25" s="89"/>
      <c r="L25" s="89"/>
      <c r="M25" s="131"/>
    </row>
    <row r="26" spans="1:13" s="2" customFormat="1" ht="14.1" customHeight="1" x14ac:dyDescent="0.3">
      <c r="A26" s="92"/>
      <c r="B26" s="46" t="s">
        <v>18</v>
      </c>
      <c r="C26" s="46"/>
      <c r="D26" s="25" t="s">
        <v>41</v>
      </c>
      <c r="E26" s="26"/>
      <c r="F26" s="26"/>
      <c r="G26" s="27"/>
      <c r="H26" s="93"/>
      <c r="I26" s="89"/>
      <c r="J26" s="89"/>
      <c r="K26" s="89"/>
      <c r="L26" s="89"/>
      <c r="M26" s="131"/>
    </row>
    <row r="27" spans="1:13" s="2" customFormat="1" ht="14.1" customHeight="1" x14ac:dyDescent="0.3">
      <c r="A27" s="91">
        <v>13</v>
      </c>
      <c r="B27" s="80" t="s">
        <v>215</v>
      </c>
      <c r="C27" s="80"/>
      <c r="D27" s="56"/>
      <c r="E27" s="57"/>
      <c r="F27" s="57"/>
      <c r="G27" s="58"/>
      <c r="H27" s="36">
        <v>7</v>
      </c>
      <c r="I27" s="21">
        <f>SUM(H27)+0.2</f>
        <v>7.2</v>
      </c>
      <c r="J27" s="21">
        <f>SUM(I27)+0.2</f>
        <v>7.4</v>
      </c>
      <c r="K27" s="21"/>
      <c r="L27" s="21"/>
      <c r="M27" s="22"/>
    </row>
    <row r="28" spans="1:13" s="2" customFormat="1" ht="14.1" customHeight="1" x14ac:dyDescent="0.3">
      <c r="A28" s="92"/>
      <c r="B28" s="46" t="s">
        <v>216</v>
      </c>
      <c r="C28" s="46"/>
      <c r="D28" s="25"/>
      <c r="E28" s="26"/>
      <c r="F28" s="26"/>
      <c r="G28" s="27"/>
      <c r="H28" s="93"/>
      <c r="I28" s="89"/>
      <c r="J28" s="89"/>
      <c r="K28" s="89"/>
      <c r="L28" s="89"/>
      <c r="M28" s="131"/>
    </row>
    <row r="29" spans="1:13" s="2" customFormat="1" ht="14.1" customHeight="1" x14ac:dyDescent="0.3">
      <c r="A29" s="91">
        <v>14</v>
      </c>
      <c r="B29" s="45" t="s">
        <v>217</v>
      </c>
      <c r="C29" s="45"/>
      <c r="D29" s="42"/>
      <c r="E29" s="43"/>
      <c r="F29" s="43"/>
      <c r="G29" s="44"/>
      <c r="H29" s="36">
        <v>37</v>
      </c>
      <c r="I29" s="21">
        <f>SUM(H29)+2.7</f>
        <v>39.700000000000003</v>
      </c>
      <c r="J29" s="21">
        <f>SUM(I29)+2.7</f>
        <v>42.400000000000006</v>
      </c>
      <c r="K29" s="13"/>
      <c r="L29" s="13"/>
      <c r="M29" s="15"/>
    </row>
    <row r="30" spans="1:13" s="2" customFormat="1" ht="14.1" customHeight="1" x14ac:dyDescent="0.3">
      <c r="A30" s="92"/>
      <c r="B30" s="46" t="s">
        <v>218</v>
      </c>
      <c r="C30" s="46"/>
      <c r="D30" s="25" t="s">
        <v>219</v>
      </c>
      <c r="E30" s="26"/>
      <c r="F30" s="26"/>
      <c r="G30" s="27"/>
      <c r="H30" s="93"/>
      <c r="I30" s="89"/>
      <c r="J30" s="89"/>
      <c r="K30" s="21"/>
      <c r="L30" s="21"/>
      <c r="M30" s="22"/>
    </row>
    <row r="31" spans="1:13" s="2" customFormat="1" ht="14.1" customHeight="1" x14ac:dyDescent="0.3">
      <c r="A31" s="128">
        <v>15</v>
      </c>
      <c r="B31" s="30"/>
      <c r="C31" s="31"/>
      <c r="D31" s="83"/>
      <c r="E31" s="84"/>
      <c r="F31" s="84"/>
      <c r="G31" s="85"/>
      <c r="H31" s="36"/>
      <c r="I31" s="21"/>
      <c r="J31" s="21"/>
      <c r="K31" s="13"/>
      <c r="L31" s="89"/>
      <c r="M31" s="131"/>
    </row>
    <row r="32" spans="1:13" s="2" customFormat="1" ht="14.1" customHeight="1" x14ac:dyDescent="0.3">
      <c r="A32" s="128"/>
      <c r="B32" s="23"/>
      <c r="C32" s="24"/>
      <c r="D32" s="25"/>
      <c r="E32" s="26"/>
      <c r="F32" s="26"/>
      <c r="G32" s="27"/>
      <c r="H32" s="93"/>
      <c r="I32" s="89"/>
      <c r="J32" s="89"/>
      <c r="K32" s="21"/>
      <c r="L32" s="89"/>
      <c r="M32" s="131"/>
    </row>
    <row r="33" spans="1:13" s="2" customFormat="1" ht="14.1" customHeight="1" x14ac:dyDescent="0.3">
      <c r="A33" s="91">
        <v>16</v>
      </c>
      <c r="B33" s="54"/>
      <c r="C33" s="55"/>
      <c r="D33" s="86"/>
      <c r="E33" s="87"/>
      <c r="F33" s="87"/>
      <c r="G33" s="88"/>
      <c r="H33" s="93"/>
      <c r="I33" s="94"/>
      <c r="J33" s="94"/>
      <c r="K33" s="89"/>
      <c r="L33" s="89"/>
      <c r="M33" s="131"/>
    </row>
    <row r="34" spans="1:13" s="2" customFormat="1" ht="14.1" customHeight="1" thickBot="1" x14ac:dyDescent="0.35">
      <c r="A34" s="146"/>
      <c r="B34" s="81"/>
      <c r="C34" s="82"/>
      <c r="D34" s="18"/>
      <c r="E34" s="19"/>
      <c r="F34" s="19"/>
      <c r="G34" s="20"/>
      <c r="H34" s="95"/>
      <c r="I34" s="147"/>
      <c r="J34" s="147"/>
      <c r="K34" s="121"/>
      <c r="L34" s="121"/>
      <c r="M34" s="142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2" customFormat="1" ht="14.1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2" customFormat="1" ht="14.1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2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2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2" customFormat="1" ht="14.1" customHeight="1" x14ac:dyDescent="0.3">
      <c r="A43"/>
      <c r="B43" s="1"/>
      <c r="C43" s="1"/>
      <c r="D43" s="1"/>
      <c r="E43" s="1"/>
      <c r="F43" s="1"/>
      <c r="G43" s="1"/>
      <c r="H43"/>
      <c r="I43"/>
      <c r="J43"/>
      <c r="K43"/>
      <c r="L43"/>
      <c r="M43"/>
    </row>
    <row r="44" spans="1:13" s="2" customFormat="1" ht="14.1" customHeight="1" x14ac:dyDescent="0.3">
      <c r="A44"/>
      <c r="B44" s="1"/>
      <c r="C44" s="1"/>
      <c r="D44" s="1"/>
      <c r="E44" s="1"/>
      <c r="F44" s="1"/>
      <c r="G44" s="1"/>
      <c r="H44"/>
      <c r="I44"/>
      <c r="J44"/>
      <c r="K44"/>
      <c r="L44"/>
      <c r="M44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ageMargins left="0.46875" right="0.46875" top="0.75" bottom="0.75" header="0.3" footer="0.3"/>
  <pageSetup paperSize="9" scale="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1499-849E-4B47-B3E1-122DDB99E0BA}">
  <sheetPr>
    <tabColor rgb="FF00B0F0"/>
  </sheetPr>
  <dimension ref="A1:M61"/>
  <sheetViews>
    <sheetView zoomScale="110" zoomScaleNormal="110" zoomScalePageLayoutView="110" workbookViewId="0">
      <selection activeCell="H35" sqref="H35:H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0" t="s">
        <v>331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customHeight="1" thickBot="1" x14ac:dyDescent="0.35">
      <c r="A2" s="3" t="s">
        <v>33</v>
      </c>
      <c r="B2" s="143" t="s">
        <v>34</v>
      </c>
      <c r="C2" s="144"/>
      <c r="D2" s="143" t="s">
        <v>35</v>
      </c>
      <c r="E2" s="145"/>
      <c r="F2" s="145"/>
      <c r="G2" s="144"/>
      <c r="H2" s="4" t="s">
        <v>36</v>
      </c>
      <c r="I2" s="6" t="s">
        <v>37</v>
      </c>
      <c r="J2" s="5" t="s">
        <v>38</v>
      </c>
      <c r="K2" s="5"/>
      <c r="L2" s="5"/>
      <c r="M2" s="5"/>
    </row>
    <row r="3" spans="1:13" s="2" customFormat="1" ht="14.1" customHeight="1" x14ac:dyDescent="0.3">
      <c r="A3" s="140">
        <v>1</v>
      </c>
      <c r="B3" s="72" t="s">
        <v>71</v>
      </c>
      <c r="C3" s="73"/>
      <c r="D3" s="74" t="s">
        <v>72</v>
      </c>
      <c r="E3" s="75"/>
      <c r="F3" s="75"/>
      <c r="G3" s="76"/>
      <c r="H3" s="77">
        <v>56</v>
      </c>
      <c r="I3" s="68">
        <f>SUM(H3)+2.9</f>
        <v>58.9</v>
      </c>
      <c r="J3" s="68">
        <f>SUM(I3)+2.9</f>
        <v>61.8</v>
      </c>
      <c r="K3" s="68"/>
      <c r="L3" s="68"/>
      <c r="M3" s="69"/>
    </row>
    <row r="4" spans="1:13" s="2" customFormat="1" ht="14.1" customHeight="1" x14ac:dyDescent="0.3">
      <c r="A4" s="92"/>
      <c r="B4" s="23" t="s">
        <v>73</v>
      </c>
      <c r="C4" s="24"/>
      <c r="D4" s="25" t="s">
        <v>74</v>
      </c>
      <c r="E4" s="26"/>
      <c r="F4" s="26"/>
      <c r="G4" s="27"/>
      <c r="H4" s="36"/>
      <c r="I4" s="21"/>
      <c r="J4" s="21"/>
      <c r="K4" s="21"/>
      <c r="L4" s="21"/>
      <c r="M4" s="22"/>
    </row>
    <row r="5" spans="1:13" s="2" customFormat="1" ht="14.1" customHeight="1" x14ac:dyDescent="0.3">
      <c r="A5" s="91">
        <v>2</v>
      </c>
      <c r="B5" s="30" t="s">
        <v>21</v>
      </c>
      <c r="C5" s="31"/>
      <c r="D5" s="42" t="s">
        <v>22</v>
      </c>
      <c r="E5" s="43"/>
      <c r="F5" s="43"/>
      <c r="G5" s="44"/>
      <c r="H5" s="33">
        <v>51.1</v>
      </c>
      <c r="I5" s="13">
        <f>SUM(H5)+3.6</f>
        <v>54.7</v>
      </c>
      <c r="J5" s="13">
        <f>SUM(I5)+3.6</f>
        <v>58.300000000000004</v>
      </c>
      <c r="K5" s="13"/>
      <c r="L5" s="13"/>
      <c r="M5" s="15"/>
    </row>
    <row r="6" spans="1:13" s="2" customFormat="1" ht="14.1" customHeight="1" x14ac:dyDescent="0.3">
      <c r="A6" s="92"/>
      <c r="B6" s="23" t="s">
        <v>11</v>
      </c>
      <c r="C6" s="24"/>
      <c r="D6" s="25" t="s">
        <v>26</v>
      </c>
      <c r="E6" s="26"/>
      <c r="F6" s="26"/>
      <c r="G6" s="27"/>
      <c r="H6" s="36"/>
      <c r="I6" s="21"/>
      <c r="J6" s="21"/>
      <c r="K6" s="21"/>
      <c r="L6" s="21"/>
      <c r="M6" s="22"/>
    </row>
    <row r="7" spans="1:13" s="2" customFormat="1" ht="14.1" customHeight="1" x14ac:dyDescent="0.3">
      <c r="A7" s="91">
        <v>3</v>
      </c>
      <c r="B7" s="30" t="s">
        <v>19</v>
      </c>
      <c r="C7" s="31"/>
      <c r="D7" s="42" t="s">
        <v>10</v>
      </c>
      <c r="E7" s="43"/>
      <c r="F7" s="43"/>
      <c r="G7" s="44"/>
      <c r="H7" s="33">
        <v>57</v>
      </c>
      <c r="I7" s="13">
        <f>SUM(H7)+4</f>
        <v>61</v>
      </c>
      <c r="J7" s="13">
        <f>SUM(I7)+4</f>
        <v>65</v>
      </c>
      <c r="K7" s="13"/>
      <c r="L7" s="13"/>
      <c r="M7" s="15"/>
    </row>
    <row r="8" spans="1:13" s="2" customFormat="1" ht="14.1" customHeight="1" x14ac:dyDescent="0.3">
      <c r="A8" s="92"/>
      <c r="B8" s="23" t="s">
        <v>24</v>
      </c>
      <c r="C8" s="24"/>
      <c r="D8" s="25" t="s">
        <v>27</v>
      </c>
      <c r="E8" s="26"/>
      <c r="F8" s="26"/>
      <c r="G8" s="27"/>
      <c r="H8" s="36"/>
      <c r="I8" s="21"/>
      <c r="J8" s="21"/>
      <c r="K8" s="21"/>
      <c r="L8" s="21"/>
      <c r="M8" s="22"/>
    </row>
    <row r="9" spans="1:13" s="2" customFormat="1" ht="14.1" customHeight="1" x14ac:dyDescent="0.3">
      <c r="A9" s="91">
        <v>4</v>
      </c>
      <c r="B9" s="30" t="s">
        <v>25</v>
      </c>
      <c r="C9" s="31"/>
      <c r="D9" s="42" t="s">
        <v>8</v>
      </c>
      <c r="E9" s="43"/>
      <c r="F9" s="43"/>
      <c r="G9" s="44"/>
      <c r="H9" s="33">
        <v>57</v>
      </c>
      <c r="I9" s="13">
        <f>SUM(H9)+4</f>
        <v>61</v>
      </c>
      <c r="J9" s="13">
        <f>SUM(I9)+4</f>
        <v>65</v>
      </c>
      <c r="K9" s="13"/>
      <c r="L9" s="13"/>
      <c r="M9" s="15"/>
    </row>
    <row r="10" spans="1:13" s="2" customFormat="1" ht="14.1" customHeight="1" x14ac:dyDescent="0.3">
      <c r="A10" s="92"/>
      <c r="B10" s="23" t="s">
        <v>12</v>
      </c>
      <c r="C10" s="24"/>
      <c r="D10" s="25" t="s">
        <v>28</v>
      </c>
      <c r="E10" s="26"/>
      <c r="F10" s="26"/>
      <c r="G10" s="27"/>
      <c r="H10" s="36"/>
      <c r="I10" s="21"/>
      <c r="J10" s="21"/>
      <c r="K10" s="21"/>
      <c r="L10" s="21"/>
      <c r="M10" s="22"/>
    </row>
    <row r="11" spans="1:13" s="2" customFormat="1" ht="14.1" customHeight="1" x14ac:dyDescent="0.3">
      <c r="A11" s="91">
        <v>5</v>
      </c>
      <c r="B11" s="45" t="s">
        <v>118</v>
      </c>
      <c r="C11" s="45"/>
      <c r="D11" s="32"/>
      <c r="E11" s="32"/>
      <c r="F11" s="32"/>
      <c r="G11" s="32"/>
      <c r="H11" s="33">
        <v>138</v>
      </c>
      <c r="I11" s="13">
        <f>SUM(H11)+8</f>
        <v>146</v>
      </c>
      <c r="J11" s="13">
        <f>SUM(I11)+8</f>
        <v>154</v>
      </c>
      <c r="K11" s="89"/>
      <c r="L11" s="89"/>
      <c r="M11" s="131"/>
    </row>
    <row r="12" spans="1:13" s="2" customFormat="1" ht="14.1" customHeight="1" x14ac:dyDescent="0.3">
      <c r="A12" s="92"/>
      <c r="B12" s="46" t="s">
        <v>132</v>
      </c>
      <c r="C12" s="46"/>
      <c r="D12" s="25"/>
      <c r="E12" s="26"/>
      <c r="F12" s="26"/>
      <c r="G12" s="27"/>
      <c r="H12" s="36"/>
      <c r="I12" s="21"/>
      <c r="J12" s="21"/>
      <c r="K12" s="89"/>
      <c r="L12" s="89"/>
      <c r="M12" s="131"/>
    </row>
    <row r="13" spans="1:13" s="2" customFormat="1" ht="14.1" customHeight="1" x14ac:dyDescent="0.3">
      <c r="A13" s="91">
        <v>6</v>
      </c>
      <c r="B13" s="30" t="s">
        <v>9</v>
      </c>
      <c r="C13" s="31"/>
      <c r="D13" s="42" t="s">
        <v>0</v>
      </c>
      <c r="E13" s="43"/>
      <c r="F13" s="43"/>
      <c r="G13" s="44"/>
      <c r="H13" s="33">
        <v>22.3</v>
      </c>
      <c r="I13" s="13">
        <f>SUM(H13)+1</f>
        <v>23.3</v>
      </c>
      <c r="J13" s="13">
        <f>SUM(I13)+1</f>
        <v>24.3</v>
      </c>
      <c r="K13" s="13"/>
      <c r="L13" s="13"/>
      <c r="M13" s="15"/>
    </row>
    <row r="14" spans="1:13" s="2" customFormat="1" ht="14.1" customHeight="1" x14ac:dyDescent="0.3">
      <c r="A14" s="92"/>
      <c r="B14" s="23" t="s">
        <v>13</v>
      </c>
      <c r="C14" s="24"/>
      <c r="D14" s="25" t="s">
        <v>29</v>
      </c>
      <c r="E14" s="26"/>
      <c r="F14" s="26"/>
      <c r="G14" s="27"/>
      <c r="H14" s="36"/>
      <c r="I14" s="21"/>
      <c r="J14" s="21"/>
      <c r="K14" s="21"/>
      <c r="L14" s="21"/>
      <c r="M14" s="22"/>
    </row>
    <row r="15" spans="1:13" s="2" customFormat="1" ht="14.1" customHeight="1" x14ac:dyDescent="0.3">
      <c r="A15" s="91">
        <v>7</v>
      </c>
      <c r="B15" s="30" t="s">
        <v>1</v>
      </c>
      <c r="C15" s="31"/>
      <c r="D15" s="42" t="s">
        <v>150</v>
      </c>
      <c r="E15" s="43"/>
      <c r="F15" s="43"/>
      <c r="G15" s="44"/>
      <c r="H15" s="33">
        <v>19</v>
      </c>
      <c r="I15" s="13">
        <f>SUM(H15)+0.6</f>
        <v>19.600000000000001</v>
      </c>
      <c r="J15" s="13">
        <f>SUM(I15)+0.6</f>
        <v>20.200000000000003</v>
      </c>
      <c r="K15" s="13"/>
      <c r="L15" s="13"/>
      <c r="M15" s="15"/>
    </row>
    <row r="16" spans="1:13" s="2" customFormat="1" ht="14.1" customHeight="1" x14ac:dyDescent="0.3">
      <c r="A16" s="92"/>
      <c r="B16" s="23" t="s">
        <v>14</v>
      </c>
      <c r="C16" s="24"/>
      <c r="D16" s="25" t="s">
        <v>30</v>
      </c>
      <c r="E16" s="26"/>
      <c r="F16" s="26"/>
      <c r="G16" s="27"/>
      <c r="H16" s="36"/>
      <c r="I16" s="21"/>
      <c r="J16" s="21"/>
      <c r="K16" s="21"/>
      <c r="L16" s="21"/>
      <c r="M16" s="22"/>
    </row>
    <row r="17" spans="1:13" s="2" customFormat="1" ht="14.1" customHeight="1" x14ac:dyDescent="0.3">
      <c r="A17" s="91">
        <v>8</v>
      </c>
      <c r="B17" s="30" t="s">
        <v>2</v>
      </c>
      <c r="C17" s="31"/>
      <c r="D17" s="42" t="s">
        <v>3</v>
      </c>
      <c r="E17" s="43"/>
      <c r="F17" s="43"/>
      <c r="G17" s="44"/>
      <c r="H17" s="33">
        <v>8.5</v>
      </c>
      <c r="I17" s="13">
        <f>SUM(H17)+0.3</f>
        <v>8.8000000000000007</v>
      </c>
      <c r="J17" s="13">
        <f>SUM(I17)+0.3</f>
        <v>9.1000000000000014</v>
      </c>
      <c r="K17" s="13"/>
      <c r="L17" s="13"/>
      <c r="M17" s="15"/>
    </row>
    <row r="18" spans="1:13" s="2" customFormat="1" ht="14.1" customHeight="1" x14ac:dyDescent="0.3">
      <c r="A18" s="92"/>
      <c r="B18" s="23" t="s">
        <v>15</v>
      </c>
      <c r="C18" s="24"/>
      <c r="D18" s="25" t="s">
        <v>31</v>
      </c>
      <c r="E18" s="26"/>
      <c r="F18" s="26"/>
      <c r="G18" s="27"/>
      <c r="H18" s="36"/>
      <c r="I18" s="21"/>
      <c r="J18" s="21"/>
      <c r="K18" s="21"/>
      <c r="L18" s="21"/>
      <c r="M18" s="22"/>
    </row>
    <row r="19" spans="1:13" s="2" customFormat="1" ht="14.1" customHeight="1" x14ac:dyDescent="0.3">
      <c r="A19" s="91">
        <v>9</v>
      </c>
      <c r="B19" s="30" t="s">
        <v>61</v>
      </c>
      <c r="C19" s="31"/>
      <c r="D19" s="42" t="s">
        <v>69</v>
      </c>
      <c r="E19" s="43"/>
      <c r="F19" s="43"/>
      <c r="G19" s="44"/>
      <c r="H19" s="33">
        <v>47.7</v>
      </c>
      <c r="I19" s="13">
        <f>SUM(H19)+1.6</f>
        <v>49.300000000000004</v>
      </c>
      <c r="J19" s="13">
        <f>SUM(I19)+1.6</f>
        <v>50.900000000000006</v>
      </c>
      <c r="K19" s="13"/>
      <c r="L19" s="13"/>
      <c r="M19" s="15"/>
    </row>
    <row r="20" spans="1:13" s="2" customFormat="1" ht="14.1" customHeight="1" x14ac:dyDescent="0.3">
      <c r="A20" s="92"/>
      <c r="B20" s="23" t="s">
        <v>62</v>
      </c>
      <c r="C20" s="24"/>
      <c r="D20" s="25" t="s">
        <v>119</v>
      </c>
      <c r="E20" s="26"/>
      <c r="F20" s="26"/>
      <c r="G20" s="27"/>
      <c r="H20" s="36"/>
      <c r="I20" s="21"/>
      <c r="J20" s="21"/>
      <c r="K20" s="21"/>
      <c r="L20" s="21"/>
      <c r="M20" s="22"/>
    </row>
    <row r="21" spans="1:13" s="2" customFormat="1" ht="14.1" customHeight="1" x14ac:dyDescent="0.3">
      <c r="A21" s="91">
        <v>10</v>
      </c>
      <c r="B21" s="30" t="s">
        <v>4</v>
      </c>
      <c r="C21" s="31"/>
      <c r="D21" s="42" t="s">
        <v>5</v>
      </c>
      <c r="E21" s="43"/>
      <c r="F21" s="43"/>
      <c r="G21" s="44"/>
      <c r="H21" s="33">
        <v>49.6</v>
      </c>
      <c r="I21" s="13">
        <f>SUM(H21)+2.2</f>
        <v>51.800000000000004</v>
      </c>
      <c r="J21" s="13">
        <f>SUM(I21)+2.2</f>
        <v>54.000000000000007</v>
      </c>
      <c r="K21" s="13"/>
      <c r="L21" s="13"/>
      <c r="M21" s="15"/>
    </row>
    <row r="22" spans="1:13" s="2" customFormat="1" ht="14.1" customHeight="1" x14ac:dyDescent="0.3">
      <c r="A22" s="92"/>
      <c r="B22" s="23" t="s">
        <v>16</v>
      </c>
      <c r="C22" s="24"/>
      <c r="D22" s="25" t="s">
        <v>32</v>
      </c>
      <c r="E22" s="26"/>
      <c r="F22" s="26"/>
      <c r="G22" s="27"/>
      <c r="H22" s="36"/>
      <c r="I22" s="21"/>
      <c r="J22" s="21"/>
      <c r="K22" s="21"/>
      <c r="L22" s="21"/>
      <c r="M22" s="22"/>
    </row>
    <row r="23" spans="1:13" s="2" customFormat="1" ht="14.1" customHeight="1" x14ac:dyDescent="0.3">
      <c r="A23" s="91">
        <v>11</v>
      </c>
      <c r="B23" s="30" t="s">
        <v>6</v>
      </c>
      <c r="C23" s="31"/>
      <c r="D23" s="42" t="s">
        <v>7</v>
      </c>
      <c r="E23" s="43"/>
      <c r="F23" s="43"/>
      <c r="G23" s="44"/>
      <c r="H23" s="33">
        <v>45</v>
      </c>
      <c r="I23" s="13">
        <f>SUM(H23)+2</f>
        <v>47</v>
      </c>
      <c r="J23" s="13">
        <f>SUM(I23)+2</f>
        <v>49</v>
      </c>
      <c r="K23" s="13"/>
      <c r="L23" s="13"/>
      <c r="M23" s="15"/>
    </row>
    <row r="24" spans="1:13" s="2" customFormat="1" ht="14.1" customHeight="1" x14ac:dyDescent="0.3">
      <c r="A24" s="92"/>
      <c r="B24" s="23" t="s">
        <v>17</v>
      </c>
      <c r="C24" s="24"/>
      <c r="D24" s="25" t="s">
        <v>39</v>
      </c>
      <c r="E24" s="26"/>
      <c r="F24" s="26"/>
      <c r="G24" s="27"/>
      <c r="H24" s="36"/>
      <c r="I24" s="21"/>
      <c r="J24" s="21"/>
      <c r="K24" s="21"/>
      <c r="L24" s="21"/>
      <c r="M24" s="22"/>
    </row>
    <row r="25" spans="1:13" s="2" customFormat="1" ht="14.1" customHeight="1" x14ac:dyDescent="0.3">
      <c r="A25" s="91">
        <v>12</v>
      </c>
      <c r="B25" s="30" t="s">
        <v>337</v>
      </c>
      <c r="C25" s="31"/>
      <c r="D25" s="42" t="s">
        <v>40</v>
      </c>
      <c r="E25" s="43"/>
      <c r="F25" s="43"/>
      <c r="G25" s="44"/>
      <c r="H25" s="33">
        <v>22</v>
      </c>
      <c r="I25" s="13">
        <f>SUM(H25)+0.8</f>
        <v>22.8</v>
      </c>
      <c r="J25" s="13">
        <f>SUM(I25)+0.8</f>
        <v>23.6</v>
      </c>
      <c r="K25" s="13"/>
      <c r="L25" s="13"/>
      <c r="M25" s="15"/>
    </row>
    <row r="26" spans="1:13" s="2" customFormat="1" ht="14.1" customHeight="1" x14ac:dyDescent="0.3">
      <c r="A26" s="92"/>
      <c r="B26" s="23" t="s">
        <v>338</v>
      </c>
      <c r="C26" s="24"/>
      <c r="D26" s="25" t="s">
        <v>41</v>
      </c>
      <c r="E26" s="26"/>
      <c r="F26" s="26"/>
      <c r="G26" s="27"/>
      <c r="H26" s="36"/>
      <c r="I26" s="21"/>
      <c r="J26" s="21"/>
      <c r="K26" s="21"/>
      <c r="L26" s="21"/>
      <c r="M26" s="22"/>
    </row>
    <row r="27" spans="1:13" s="2" customFormat="1" ht="14.1" customHeight="1" x14ac:dyDescent="0.3">
      <c r="A27" s="91">
        <v>13</v>
      </c>
      <c r="B27" s="30" t="s">
        <v>332</v>
      </c>
      <c r="C27" s="31"/>
      <c r="D27" s="56"/>
      <c r="E27" s="57"/>
      <c r="F27" s="57"/>
      <c r="G27" s="58"/>
      <c r="H27" s="93">
        <v>14</v>
      </c>
      <c r="I27" s="94">
        <f>SUM(H27)+0.5</f>
        <v>14.5</v>
      </c>
      <c r="J27" s="94">
        <f>SUM(I27)+0.5</f>
        <v>15</v>
      </c>
      <c r="K27" s="60"/>
      <c r="L27" s="60"/>
      <c r="M27" s="61"/>
    </row>
    <row r="28" spans="1:13" s="2" customFormat="1" ht="14.1" customHeight="1" x14ac:dyDescent="0.3">
      <c r="A28" s="92"/>
      <c r="B28" s="23" t="s">
        <v>333</v>
      </c>
      <c r="C28" s="24"/>
      <c r="D28" s="25"/>
      <c r="E28" s="26"/>
      <c r="F28" s="26"/>
      <c r="G28" s="27"/>
      <c r="H28" s="93"/>
      <c r="I28" s="94"/>
      <c r="J28" s="94"/>
      <c r="K28" s="21"/>
      <c r="L28" s="21"/>
      <c r="M28" s="22"/>
    </row>
    <row r="29" spans="1:13" s="2" customFormat="1" ht="14.1" customHeight="1" x14ac:dyDescent="0.3">
      <c r="A29" s="91">
        <v>14</v>
      </c>
      <c r="B29" s="45" t="s">
        <v>110</v>
      </c>
      <c r="C29" s="45"/>
      <c r="D29" s="32"/>
      <c r="E29" s="32"/>
      <c r="F29" s="32"/>
      <c r="G29" s="32"/>
      <c r="H29" s="93">
        <v>5</v>
      </c>
      <c r="I29" s="94">
        <f>SUM(H29)+0.2</f>
        <v>5.2</v>
      </c>
      <c r="J29" s="94">
        <f>SUM(I29)+0.2</f>
        <v>5.4</v>
      </c>
      <c r="K29" s="13"/>
      <c r="L29" s="13"/>
      <c r="M29" s="15"/>
    </row>
    <row r="30" spans="1:13" s="2" customFormat="1" ht="14.1" customHeight="1" x14ac:dyDescent="0.3">
      <c r="A30" s="92"/>
      <c r="B30" s="46" t="s">
        <v>109</v>
      </c>
      <c r="C30" s="46"/>
      <c r="D30" s="25" t="s">
        <v>108</v>
      </c>
      <c r="E30" s="26"/>
      <c r="F30" s="26"/>
      <c r="G30" s="27"/>
      <c r="H30" s="93"/>
      <c r="I30" s="94"/>
      <c r="J30" s="94"/>
      <c r="K30" s="21"/>
      <c r="L30" s="21"/>
      <c r="M30" s="22"/>
    </row>
    <row r="31" spans="1:13" s="2" customFormat="1" ht="14.1" customHeight="1" x14ac:dyDescent="0.3">
      <c r="A31" s="91">
        <v>15</v>
      </c>
      <c r="B31" s="30" t="s">
        <v>133</v>
      </c>
      <c r="C31" s="31"/>
      <c r="D31" s="83"/>
      <c r="E31" s="84"/>
      <c r="F31" s="84"/>
      <c r="G31" s="85"/>
      <c r="H31" s="59">
        <v>13.5</v>
      </c>
      <c r="I31" s="94">
        <f>SUM(H31)+0.6</f>
        <v>14.1</v>
      </c>
      <c r="J31" s="94">
        <f>SUM(I31)+0.6</f>
        <v>14.7</v>
      </c>
      <c r="K31" s="60"/>
      <c r="L31" s="60"/>
      <c r="M31" s="61"/>
    </row>
    <row r="32" spans="1:13" s="2" customFormat="1" ht="14.1" customHeight="1" x14ac:dyDescent="0.3">
      <c r="A32" s="92"/>
      <c r="B32" s="23" t="s">
        <v>141</v>
      </c>
      <c r="C32" s="24"/>
      <c r="D32" s="25" t="s">
        <v>334</v>
      </c>
      <c r="E32" s="26"/>
      <c r="F32" s="26"/>
      <c r="G32" s="27"/>
      <c r="H32" s="36"/>
      <c r="I32" s="94"/>
      <c r="J32" s="94"/>
      <c r="K32" s="21"/>
      <c r="L32" s="21"/>
      <c r="M32" s="22"/>
    </row>
    <row r="33" spans="1:13" s="2" customFormat="1" ht="14.1" customHeight="1" x14ac:dyDescent="0.3">
      <c r="A33" s="91">
        <v>16</v>
      </c>
      <c r="B33" s="30" t="s">
        <v>134</v>
      </c>
      <c r="C33" s="31"/>
      <c r="D33" s="83"/>
      <c r="E33" s="84"/>
      <c r="F33" s="84"/>
      <c r="G33" s="85"/>
      <c r="H33" s="59">
        <v>8.5</v>
      </c>
      <c r="I33" s="94">
        <f>SUM(H33)+0.8</f>
        <v>9.3000000000000007</v>
      </c>
      <c r="J33" s="94">
        <f>SUM(I33)+0.8</f>
        <v>10.100000000000001</v>
      </c>
      <c r="K33" s="13"/>
      <c r="L33" s="13"/>
      <c r="M33" s="15"/>
    </row>
    <row r="34" spans="1:13" s="2" customFormat="1" ht="14.1" customHeight="1" x14ac:dyDescent="0.3">
      <c r="A34" s="92"/>
      <c r="B34" s="23" t="s">
        <v>142</v>
      </c>
      <c r="C34" s="24"/>
      <c r="D34" s="25" t="s">
        <v>335</v>
      </c>
      <c r="E34" s="26"/>
      <c r="F34" s="26"/>
      <c r="G34" s="27"/>
      <c r="H34" s="36"/>
      <c r="I34" s="94"/>
      <c r="J34" s="94"/>
      <c r="K34" s="21"/>
      <c r="L34" s="21"/>
      <c r="M34" s="22"/>
    </row>
    <row r="35" spans="1:13" s="2" customFormat="1" ht="14.1" customHeight="1" x14ac:dyDescent="0.3">
      <c r="A35" s="91">
        <v>17</v>
      </c>
      <c r="B35" s="54" t="s">
        <v>168</v>
      </c>
      <c r="C35" s="55"/>
      <c r="D35" s="83"/>
      <c r="E35" s="84"/>
      <c r="F35" s="84"/>
      <c r="G35" s="85"/>
      <c r="H35" s="33">
        <v>54</v>
      </c>
      <c r="I35" s="94">
        <v>57</v>
      </c>
      <c r="J35" s="94">
        <v>60</v>
      </c>
      <c r="K35" s="60"/>
      <c r="L35" s="60"/>
      <c r="M35" s="61"/>
    </row>
    <row r="36" spans="1:13" s="2" customFormat="1" ht="14.1" customHeight="1" x14ac:dyDescent="0.3">
      <c r="A36" s="92"/>
      <c r="B36" s="23" t="s">
        <v>70</v>
      </c>
      <c r="C36" s="24"/>
      <c r="D36" s="25" t="s">
        <v>336</v>
      </c>
      <c r="E36" s="26"/>
      <c r="F36" s="26"/>
      <c r="G36" s="27"/>
      <c r="H36" s="36"/>
      <c r="I36" s="94"/>
      <c r="J36" s="94"/>
      <c r="K36" s="21"/>
      <c r="L36" s="21"/>
      <c r="M36" s="22"/>
    </row>
    <row r="37" spans="1:13" s="2" customFormat="1" ht="14.1" customHeight="1" x14ac:dyDescent="0.3">
      <c r="A37" s="91">
        <v>18</v>
      </c>
      <c r="B37" s="30"/>
      <c r="C37" s="31"/>
      <c r="D37" s="83"/>
      <c r="E37" s="84"/>
      <c r="F37" s="84"/>
      <c r="G37" s="85"/>
      <c r="H37" s="33"/>
      <c r="I37" s="13"/>
      <c r="J37" s="13"/>
      <c r="K37" s="13"/>
      <c r="L37" s="13"/>
      <c r="M37" s="15" t="s">
        <v>143</v>
      </c>
    </row>
    <row r="38" spans="1:13" s="2" customFormat="1" ht="14.1" customHeight="1" x14ac:dyDescent="0.3">
      <c r="A38" s="92"/>
      <c r="B38" s="23"/>
      <c r="C38" s="24"/>
      <c r="D38" s="25"/>
      <c r="E38" s="26"/>
      <c r="F38" s="26"/>
      <c r="G38" s="27"/>
      <c r="H38" s="36"/>
      <c r="I38" s="21"/>
      <c r="J38" s="21"/>
      <c r="K38" s="21"/>
      <c r="L38" s="21"/>
      <c r="M38" s="22"/>
    </row>
    <row r="39" spans="1:13" s="2" customFormat="1" ht="14.1" customHeight="1" x14ac:dyDescent="0.3">
      <c r="A39" s="91">
        <v>19</v>
      </c>
      <c r="B39" s="54"/>
      <c r="C39" s="55"/>
      <c r="D39" s="86"/>
      <c r="E39" s="87"/>
      <c r="F39" s="87"/>
      <c r="G39" s="88"/>
      <c r="H39" s="59"/>
      <c r="I39" s="60"/>
      <c r="J39" s="60"/>
      <c r="K39" s="60"/>
      <c r="L39" s="60"/>
      <c r="M39" s="61" t="s">
        <v>143</v>
      </c>
    </row>
    <row r="40" spans="1:13" s="2" customFormat="1" ht="14.1" customHeight="1" thickBot="1" x14ac:dyDescent="0.35">
      <c r="A40" s="146"/>
      <c r="B40" s="81"/>
      <c r="C40" s="82"/>
      <c r="D40" s="18"/>
      <c r="E40" s="19"/>
      <c r="F40" s="19"/>
      <c r="G40" s="20"/>
      <c r="H40" s="34"/>
      <c r="I40" s="14"/>
      <c r="J40" s="14"/>
      <c r="K40" s="14"/>
      <c r="L40" s="14"/>
      <c r="M40" s="16"/>
    </row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2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2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>
      <c r="B49" s="1"/>
      <c r="C49" s="1"/>
      <c r="D49" s="1"/>
      <c r="E49" s="1"/>
      <c r="F49" s="1"/>
      <c r="G49" s="1"/>
    </row>
    <row r="50" spans="2:7" ht="14.1" customHeight="1" x14ac:dyDescent="0.3">
      <c r="B50" s="1"/>
      <c r="C50" s="1"/>
      <c r="D50" s="1"/>
      <c r="E50" s="1"/>
      <c r="F50" s="1"/>
      <c r="G50" s="1"/>
    </row>
    <row r="51" spans="2:7" ht="14.1" customHeight="1" x14ac:dyDescent="0.3">
      <c r="B51" s="1"/>
      <c r="C51" s="1"/>
      <c r="D51" s="1"/>
      <c r="E51" s="1"/>
      <c r="F51" s="1"/>
      <c r="G51" s="1"/>
    </row>
    <row r="52" spans="2:7" ht="14.1" customHeight="1" x14ac:dyDescent="0.3">
      <c r="B52" s="1"/>
      <c r="C52" s="1"/>
      <c r="D52" s="1"/>
      <c r="E52" s="1"/>
      <c r="F52" s="1"/>
      <c r="G52" s="1"/>
    </row>
    <row r="53" spans="2:7" ht="14.1" customHeight="1" x14ac:dyDescent="0.3"/>
    <row r="54" spans="2:7" ht="14.1" customHeight="1" x14ac:dyDescent="0.3"/>
    <row r="55" spans="2:7" ht="14.1" customHeight="1" x14ac:dyDescent="0.3"/>
    <row r="56" spans="2:7" ht="14.1" customHeight="1" x14ac:dyDescent="0.3"/>
    <row r="57" spans="2:7" ht="14.1" customHeight="1" x14ac:dyDescent="0.3"/>
    <row r="58" spans="2:7" ht="14.1" customHeight="1" x14ac:dyDescent="0.3"/>
    <row r="59" spans="2:7" ht="14.1" customHeight="1" x14ac:dyDescent="0.3"/>
    <row r="60" spans="2:7" ht="14.1" customHeight="1" x14ac:dyDescent="0.3"/>
    <row r="61" spans="2:7" ht="14.1" customHeight="1" x14ac:dyDescent="0.3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18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36</vt:i4>
      </vt:variant>
    </vt:vector>
  </HeadingPairs>
  <TitlesOfParts>
    <vt:vector size="72" baseType="lpstr">
      <vt:lpstr>PT01(완사입)</vt:lpstr>
      <vt:lpstr>PT02(완사입)</vt:lpstr>
      <vt:lpstr>PT03(완사입)</vt:lpstr>
      <vt:lpstr>PT04</vt:lpstr>
      <vt:lpstr>PT05(완사입)</vt:lpstr>
      <vt:lpstr>PT07</vt:lpstr>
      <vt:lpstr>PT06(완사입)</vt:lpstr>
      <vt:lpstr>PT09</vt:lpstr>
      <vt:lpstr>PT10</vt:lpstr>
      <vt:lpstr>PT11(완사입)</vt:lpstr>
      <vt:lpstr>SK01</vt:lpstr>
      <vt:lpstr>SK02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TO16</vt:lpstr>
      <vt:lpstr>TO17</vt:lpstr>
      <vt:lpstr>TO18</vt:lpstr>
      <vt:lpstr>TO19</vt:lpstr>
      <vt:lpstr>TO20</vt:lpstr>
      <vt:lpstr>TO21</vt:lpstr>
      <vt:lpstr>OU01</vt:lpstr>
      <vt:lpstr>OU02(니트)</vt:lpstr>
      <vt:lpstr>OU05</vt:lpstr>
      <vt:lpstr>'OU01'!Print_Area</vt:lpstr>
      <vt:lpstr>'OU02(니트)'!Print_Area</vt:lpstr>
      <vt:lpstr>'OU05'!Print_Area</vt:lpstr>
      <vt:lpstr>'PT01(완사입)'!Print_Area</vt:lpstr>
      <vt:lpstr>'PT02(완사입)'!Print_Area</vt:lpstr>
      <vt:lpstr>'PT03(완사입)'!Print_Area</vt:lpstr>
      <vt:lpstr>'PT04'!Print_Area</vt:lpstr>
      <vt:lpstr>'PT05(완사입)'!Print_Area</vt:lpstr>
      <vt:lpstr>'PT06(완사입)'!Print_Area</vt:lpstr>
      <vt:lpstr>'PT07'!Print_Area</vt:lpstr>
      <vt:lpstr>'PT09'!Print_Area</vt:lpstr>
      <vt:lpstr>'PT10'!Print_Area</vt:lpstr>
      <vt:lpstr>'PT11(완사입)'!Print_Area</vt:lpstr>
      <vt:lpstr>'SK01'!Print_Area</vt:lpstr>
      <vt:lpstr>'SK02'!Print_Area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2025-12-26T00:58:55Z</cp:lastPrinted>
  <dcterms:created xsi:type="dcterms:W3CDTF">2018-05-14T06:17:18Z</dcterms:created>
  <dcterms:modified xsi:type="dcterms:W3CDTF">2026-01-05T07:01:03Z</dcterms:modified>
</cp:coreProperties>
</file>