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desktop-main\기술개발실 공유\중국풀패턴\생산부보낸파일\2025\12월13일\"/>
    </mc:Choice>
  </mc:AlternateContent>
  <xr:revisionPtr revIDLastSave="0" documentId="13_ncr:1_{75DCC8BB-2BC5-43DB-9B8D-ED2E8C3011FF}" xr6:coauthVersionLast="47" xr6:coauthVersionMax="47" xr10:uidLastSave="{00000000-0000-0000-0000-000000000000}"/>
  <bookViews>
    <workbookView xWindow="36645" yWindow="1110" windowWidth="19620" windowHeight="13905" tabRatio="772" xr2:uid="{A5169EC5-901A-41B4-BBF5-38046B3EA48A}"/>
  </bookViews>
  <sheets>
    <sheet name="OU07" sheetId="2364" r:id="rId1"/>
    <sheet name="OU20" sheetId="2344" r:id="rId2"/>
  </sheets>
  <definedNames>
    <definedName name="_xlnm.Print_Area" localSheetId="0">'OU07'!$A$1:$M$34</definedName>
    <definedName name="_xlnm.Print_Area" localSheetId="1">'OU20'!$A$1:$M$40</definedName>
  </definedNames>
  <calcPr calcId="191029"/>
</workbook>
</file>

<file path=xl/calcChain.xml><?xml version="1.0" encoding="utf-8"?>
<calcChain xmlns="http://schemas.openxmlformats.org/spreadsheetml/2006/main">
  <c r="I37" i="2344" l="1"/>
  <c r="J37" i="2344" s="1"/>
  <c r="K37" i="2344" s="1"/>
  <c r="L37" i="2344" s="1"/>
  <c r="M37" i="2344" s="1"/>
  <c r="I33" i="2344"/>
  <c r="J33" i="2344" s="1"/>
  <c r="K33" i="2344" s="1"/>
  <c r="L33" i="2344" s="1"/>
  <c r="M33" i="2344" s="1"/>
  <c r="I31" i="2344"/>
  <c r="J31" i="2344" s="1"/>
  <c r="K31" i="2344" s="1"/>
  <c r="L31" i="2344" s="1"/>
  <c r="M31" i="2344" s="1"/>
  <c r="I29" i="2344"/>
  <c r="J29" i="2344" s="1"/>
  <c r="K29" i="2344" s="1"/>
  <c r="L29" i="2344" s="1"/>
  <c r="M29" i="2344" s="1"/>
  <c r="I27" i="2344"/>
  <c r="J27" i="2344" s="1"/>
  <c r="K27" i="2344" s="1"/>
  <c r="L27" i="2344" s="1"/>
  <c r="M27" i="2344" s="1"/>
  <c r="I25" i="2344"/>
  <c r="J25" i="2344" s="1"/>
  <c r="K25" i="2344" s="1"/>
  <c r="L25" i="2344" s="1"/>
  <c r="M25" i="2344" s="1"/>
  <c r="J23" i="2344"/>
  <c r="K23" i="2344" s="1"/>
  <c r="L23" i="2344" s="1"/>
  <c r="M23" i="2344" s="1"/>
  <c r="I23" i="2344"/>
  <c r="I21" i="2344"/>
  <c r="J21" i="2344" s="1"/>
  <c r="K21" i="2344" s="1"/>
  <c r="L21" i="2344" s="1"/>
  <c r="M21" i="2344" s="1"/>
  <c r="I19" i="2344"/>
  <c r="J19" i="2344" s="1"/>
  <c r="K19" i="2344" s="1"/>
  <c r="L19" i="2344" s="1"/>
  <c r="M19" i="2344" s="1"/>
  <c r="I17" i="2344"/>
  <c r="J17" i="2344" s="1"/>
  <c r="K17" i="2344" s="1"/>
  <c r="L17" i="2344" s="1"/>
  <c r="M17" i="2344" s="1"/>
  <c r="I15" i="2344"/>
  <c r="J15" i="2344" s="1"/>
  <c r="K15" i="2344" s="1"/>
  <c r="L15" i="2344" s="1"/>
  <c r="M15" i="2344" s="1"/>
  <c r="I13" i="2344"/>
  <c r="J13" i="2344" s="1"/>
  <c r="K13" i="2344" s="1"/>
  <c r="L13" i="2344" s="1"/>
  <c r="M13" i="2344" s="1"/>
  <c r="J11" i="2344"/>
  <c r="K11" i="2344" s="1"/>
  <c r="L11" i="2344" s="1"/>
  <c r="M11" i="2344" s="1"/>
  <c r="I11" i="2344"/>
  <c r="I9" i="2344"/>
  <c r="J9" i="2344" s="1"/>
  <c r="K9" i="2344" s="1"/>
  <c r="L9" i="2344" s="1"/>
  <c r="M9" i="2344" s="1"/>
  <c r="I7" i="2344"/>
  <c r="J7" i="2344" s="1"/>
  <c r="K7" i="2344" s="1"/>
  <c r="L7" i="2344" s="1"/>
  <c r="M7" i="2344" s="1"/>
  <c r="I5" i="2344"/>
  <c r="J5" i="2344" s="1"/>
  <c r="K5" i="2344" s="1"/>
  <c r="L5" i="2344" s="1"/>
  <c r="M5" i="2344" s="1"/>
  <c r="I3" i="2344"/>
  <c r="J3" i="2344" s="1"/>
  <c r="K3" i="2344" s="1"/>
  <c r="L3" i="2344" s="1"/>
  <c r="M3" i="2344" s="1"/>
  <c r="M31" i="2364"/>
  <c r="L31" i="2364"/>
  <c r="K31" i="2364"/>
  <c r="H31" i="2364"/>
  <c r="I31" i="2364"/>
  <c r="K33" i="2364"/>
  <c r="L33" i="2364" s="1"/>
  <c r="M33" i="2364" s="1"/>
  <c r="I33" i="2364"/>
  <c r="H33" i="2364"/>
  <c r="K29" i="2364"/>
  <c r="L29" i="2364" s="1"/>
  <c r="M29" i="2364" s="1"/>
  <c r="I29" i="2364"/>
  <c r="H29" i="2364" s="1"/>
  <c r="K27" i="2364"/>
  <c r="L27" i="2364" s="1"/>
  <c r="M27" i="2364" s="1"/>
  <c r="I27" i="2364"/>
  <c r="H27" i="2364" s="1"/>
  <c r="K25" i="2364"/>
  <c r="L25" i="2364" s="1"/>
  <c r="M25" i="2364" s="1"/>
  <c r="I25" i="2364"/>
  <c r="H25" i="2364"/>
  <c r="K23" i="2364"/>
  <c r="L23" i="2364" s="1"/>
  <c r="M23" i="2364" s="1"/>
  <c r="I23" i="2364"/>
  <c r="H23" i="2364"/>
  <c r="L21" i="2364"/>
  <c r="M21" i="2364" s="1"/>
  <c r="K21" i="2364"/>
  <c r="I21" i="2364"/>
  <c r="H21" i="2364"/>
  <c r="K19" i="2364"/>
  <c r="L19" i="2364" s="1"/>
  <c r="M19" i="2364" s="1"/>
  <c r="I19" i="2364"/>
  <c r="H19" i="2364"/>
  <c r="K17" i="2364"/>
  <c r="L17" i="2364" s="1"/>
  <c r="M17" i="2364" s="1"/>
  <c r="I17" i="2364"/>
  <c r="H17" i="2364"/>
  <c r="K15" i="2364"/>
  <c r="L15" i="2364" s="1"/>
  <c r="M15" i="2364" s="1"/>
  <c r="I15" i="2364"/>
  <c r="H15" i="2364" s="1"/>
  <c r="K13" i="2364"/>
  <c r="L13" i="2364" s="1"/>
  <c r="M13" i="2364" s="1"/>
  <c r="I13" i="2364"/>
  <c r="H13" i="2364"/>
  <c r="K11" i="2364"/>
  <c r="L11" i="2364" s="1"/>
  <c r="M11" i="2364" s="1"/>
  <c r="I11" i="2364"/>
  <c r="H11" i="2364"/>
  <c r="K9" i="2364"/>
  <c r="L9" i="2364" s="1"/>
  <c r="M9" i="2364" s="1"/>
  <c r="I9" i="2364"/>
  <c r="H9" i="2364" s="1"/>
  <c r="L7" i="2364"/>
  <c r="M7" i="2364" s="1"/>
  <c r="K7" i="2364"/>
  <c r="I7" i="2364"/>
  <c r="H7" i="2364"/>
  <c r="K5" i="2364"/>
  <c r="L5" i="2364" s="1"/>
  <c r="M5" i="2364" s="1"/>
  <c r="I5" i="2364"/>
  <c r="H5" i="2364"/>
  <c r="L3" i="2364"/>
  <c r="M3" i="2364" s="1"/>
  <c r="K3" i="2364"/>
  <c r="I3" i="2364"/>
  <c r="H3" i="2364"/>
</calcChain>
</file>

<file path=xl/sharedStrings.xml><?xml version="1.0" encoding="utf-8"?>
<sst xmlns="http://schemas.openxmlformats.org/spreadsheetml/2006/main" count="140" uniqueCount="104">
  <si>
    <t xml:space="preserve">STRIGHT </t>
    <phoneticPr fontId="2" type="noConversion"/>
  </si>
  <si>
    <t>NECK WIDTH</t>
    <phoneticPr fontId="2" type="noConversion"/>
  </si>
  <si>
    <t xml:space="preserve">FRONT NECK DROP </t>
    <phoneticPr fontId="2" type="noConversion"/>
  </si>
  <si>
    <t xml:space="preserve">MAKE IMAGE LINE TO CENTER NECK FRONT </t>
    <phoneticPr fontId="2" type="noConversion"/>
  </si>
  <si>
    <t>SLEEVE LENGTH</t>
    <phoneticPr fontId="2" type="noConversion"/>
  </si>
  <si>
    <t xml:space="preserve">FROM SHOULDER POINT TO EDGE </t>
    <phoneticPr fontId="2" type="noConversion"/>
  </si>
  <si>
    <t>BICEP</t>
    <phoneticPr fontId="2" type="noConversion"/>
  </si>
  <si>
    <t>FROM ARMHOLE JOINING POINT ,CIRCLE ROUND</t>
    <phoneticPr fontId="2" type="noConversion"/>
  </si>
  <si>
    <t>STRIGHT (1/2)</t>
    <phoneticPr fontId="2" type="noConversion"/>
  </si>
  <si>
    <t xml:space="preserve">ARMHOLE </t>
  </si>
  <si>
    <t>어깨너비</t>
  </si>
  <si>
    <t>밑단둘레(반품)</t>
  </si>
  <si>
    <t>암홀길이(직선)</t>
  </si>
  <si>
    <t>옆목너비</t>
  </si>
  <si>
    <t>앞목깊이</t>
  </si>
  <si>
    <t>소매기장</t>
  </si>
  <si>
    <t>소매통</t>
  </si>
  <si>
    <t>총기장(뒷목)</t>
  </si>
  <si>
    <t>목둘레</t>
  </si>
  <si>
    <t>CHEST (1/2)</t>
    <phoneticPr fontId="2" type="noConversion"/>
  </si>
  <si>
    <t>총기장(옆목)</t>
    <phoneticPr fontId="2" type="noConversion"/>
  </si>
  <si>
    <t xml:space="preserve">ACROSS SHOULDER </t>
    <phoneticPr fontId="2" type="noConversion"/>
  </si>
  <si>
    <t xml:space="preserve">POINT TO POINT </t>
    <phoneticPr fontId="2" type="noConversion"/>
  </si>
  <si>
    <t>TOTAL LENGTH</t>
    <phoneticPr fontId="2" type="noConversion"/>
  </si>
  <si>
    <t>가슴(상동)</t>
    <phoneticPr fontId="1" type="noConversion"/>
  </si>
  <si>
    <t>BOTTOM SWEEP (1/2)</t>
    <phoneticPr fontId="2" type="noConversion"/>
  </si>
  <si>
    <t>어깨 양끝점을 수평으로 잰 길이</t>
    <phoneticPr fontId="1" type="noConversion"/>
  </si>
  <si>
    <t>암홀 겨드랑이 지점에서 수평으로 잰 길이</t>
    <phoneticPr fontId="1" type="noConversion"/>
  </si>
  <si>
    <t>와끼선의 밑단 양끝점을 수평으로 잰 길이</t>
    <phoneticPr fontId="1" type="noConversion"/>
  </si>
  <si>
    <t>어깨끝점과 겨드랑이 점을 직선으로 잰 길이</t>
    <phoneticPr fontId="1" type="noConversion"/>
  </si>
  <si>
    <t>옆목점을 수평으로 잰 길이</t>
    <phoneticPr fontId="1" type="noConversion"/>
  </si>
  <si>
    <t>옆목점에서 앞목중심의 수직 길이</t>
    <phoneticPr fontId="1" type="noConversion"/>
  </si>
  <si>
    <t>어깨 끝점에서 소매 부리(밑단) 끝까지의 직선 길이</t>
    <phoneticPr fontId="1" type="noConversion"/>
  </si>
  <si>
    <t>NO.</t>
    <phoneticPr fontId="1" type="noConversion"/>
  </si>
  <si>
    <t xml:space="preserve">LIST </t>
    <phoneticPr fontId="2" type="noConversion"/>
  </si>
  <si>
    <t xml:space="preserve">MEASURMENT METHOD </t>
    <phoneticPr fontId="2" type="noConversion"/>
  </si>
  <si>
    <t>S</t>
    <phoneticPr fontId="1" type="noConversion"/>
  </si>
  <si>
    <t>M</t>
    <phoneticPr fontId="1" type="noConversion"/>
  </si>
  <si>
    <t>L</t>
    <phoneticPr fontId="1" type="noConversion"/>
  </si>
  <si>
    <t>XL</t>
    <phoneticPr fontId="1" type="noConversion"/>
  </si>
  <si>
    <t>암홀 겨드랑이 지점에서 소매중심의 수직 길이(둘레)</t>
    <phoneticPr fontId="1" type="noConversion"/>
  </si>
  <si>
    <t xml:space="preserve">CIRCLE ROUND </t>
    <phoneticPr fontId="2" type="noConversion"/>
  </si>
  <si>
    <t>소매 밑단(시보리 밑단)의 둘레 길이</t>
    <phoneticPr fontId="1" type="noConversion"/>
  </si>
  <si>
    <t>나염위치 A</t>
    <phoneticPr fontId="1" type="noConversion"/>
  </si>
  <si>
    <t xml:space="preserve">INCLUDE WAIST BAND TO EDGE </t>
    <phoneticPr fontId="1" type="noConversion"/>
  </si>
  <si>
    <t>NECK</t>
    <phoneticPr fontId="2" type="noConversion"/>
  </si>
  <si>
    <t xml:space="preserve">ROUND ,@ NECK SEWING  LINE </t>
    <phoneticPr fontId="1" type="noConversion"/>
  </si>
  <si>
    <t>앞중심에서 수평으로</t>
    <phoneticPr fontId="1" type="noConversion"/>
  </si>
  <si>
    <t>FROM FRONT CENTER TO HORIZONTALLY</t>
    <phoneticPr fontId="1" type="noConversion"/>
  </si>
  <si>
    <t>목라인(NECK LINE)을 따라 잰 곡선의 둘레길이</t>
    <phoneticPr fontId="1" type="noConversion"/>
  </si>
  <si>
    <t xml:space="preserve"> </t>
    <phoneticPr fontId="1" type="noConversion"/>
  </si>
  <si>
    <t>옆목점에서 밑단까지의 직선길이</t>
    <phoneticPr fontId="1" type="noConversion"/>
  </si>
  <si>
    <t>뒷목 중심에서 밑단끝까지 직선길이</t>
    <phoneticPr fontId="1" type="noConversion"/>
  </si>
  <si>
    <t>FROM CENTER BACK TO BOTTOM STRIGHT</t>
    <phoneticPr fontId="2" type="noConversion"/>
  </si>
  <si>
    <t>TOTAL LENGTH (C/B)</t>
    <phoneticPr fontId="2" type="noConversion"/>
  </si>
  <si>
    <t>2XL</t>
    <phoneticPr fontId="1" type="noConversion"/>
  </si>
  <si>
    <t>3XL</t>
    <phoneticPr fontId="1" type="noConversion"/>
  </si>
  <si>
    <t>POINT B</t>
    <phoneticPr fontId="1" type="noConversion"/>
  </si>
  <si>
    <t>POINT A</t>
    <phoneticPr fontId="1" type="noConversion"/>
  </si>
  <si>
    <t>WITHOUT NECK BAND</t>
    <phoneticPr fontId="2" type="noConversion"/>
  </si>
  <si>
    <t>HPS TO BOTTOM EDGE</t>
    <phoneticPr fontId="2" type="noConversion"/>
  </si>
  <si>
    <t>앞주머니입구</t>
    <phoneticPr fontId="1" type="noConversion"/>
  </si>
  <si>
    <t>SLEEVE 4G BAND</t>
    <phoneticPr fontId="2" type="noConversion"/>
  </si>
  <si>
    <t>FRONT POCKET LENGTH</t>
    <phoneticPr fontId="1" type="noConversion"/>
  </si>
  <si>
    <t>밑단고무줄길이</t>
    <phoneticPr fontId="11" type="noConversion"/>
  </si>
  <si>
    <t>WELT POCKET LENGTH</t>
    <phoneticPr fontId="11" type="noConversion"/>
  </si>
  <si>
    <t>구찌길이</t>
    <phoneticPr fontId="11" type="noConversion"/>
  </si>
  <si>
    <t>FRONT YOKE LENGTH</t>
    <phoneticPr fontId="11" type="noConversion"/>
  </si>
  <si>
    <t>앞중심</t>
    <phoneticPr fontId="11" type="noConversion"/>
  </si>
  <si>
    <t>BACK YOKE LENGTH</t>
    <phoneticPr fontId="11" type="noConversion"/>
  </si>
  <si>
    <t>뒤중심</t>
    <phoneticPr fontId="11" type="noConversion"/>
  </si>
  <si>
    <t>XS</t>
    <phoneticPr fontId="1" type="noConversion"/>
  </si>
  <si>
    <t>WITHOUT NECK BAND (INSIDE)</t>
    <phoneticPr fontId="2" type="noConversion"/>
  </si>
  <si>
    <t>앞요크길이</t>
    <phoneticPr fontId="11" type="noConversion"/>
  </si>
  <si>
    <t>뒤요크길이</t>
    <phoneticPr fontId="11" type="noConversion"/>
  </si>
  <si>
    <t>GRAPHIC POINT A</t>
    <phoneticPr fontId="1" type="noConversion"/>
  </si>
  <si>
    <t>FRONT ZIPPER LENGTH</t>
    <phoneticPr fontId="1" type="noConversion"/>
  </si>
  <si>
    <t>2XL</t>
    <phoneticPr fontId="11" type="noConversion"/>
  </si>
  <si>
    <t>셔링펼친 길이</t>
    <phoneticPr fontId="11" type="noConversion"/>
  </si>
  <si>
    <t>BOTTOM E BAND</t>
    <phoneticPr fontId="2" type="noConversion"/>
  </si>
  <si>
    <r>
      <t>목라인(NECK LINE)을 따라 잰 곡선의 둘레길이</t>
    </r>
    <r>
      <rPr>
        <sz val="7.5"/>
        <color indexed="10"/>
        <rFont val="맑은 고딕"/>
        <family val="3"/>
        <charset val="129"/>
      </rPr>
      <t>(지퍼제외)</t>
    </r>
    <phoneticPr fontId="1" type="noConversion"/>
  </si>
  <si>
    <t xml:space="preserve">NECK FRILL WIDTH </t>
    <phoneticPr fontId="2" type="noConversion"/>
  </si>
  <si>
    <t>에리프릴 폭</t>
    <phoneticPr fontId="11" type="noConversion"/>
  </si>
  <si>
    <t>SLEEVE E BAND</t>
    <phoneticPr fontId="2" type="noConversion"/>
  </si>
  <si>
    <t>소매 고무줄 길이</t>
    <phoneticPr fontId="11" type="noConversion"/>
  </si>
  <si>
    <t>소매4골고무줄</t>
    <phoneticPr fontId="11" type="noConversion"/>
  </si>
  <si>
    <t>앞지퍼 길이</t>
    <phoneticPr fontId="1" type="noConversion"/>
  </si>
  <si>
    <t xml:space="preserve">YKK </t>
    <phoneticPr fontId="11" type="noConversion"/>
  </si>
  <si>
    <t>지퍼제외</t>
    <phoneticPr fontId="11" type="noConversion"/>
  </si>
  <si>
    <t>STYLE NO: JYSOU20-W#A06</t>
    <phoneticPr fontId="1" type="noConversion"/>
  </si>
  <si>
    <t>STYLE NO: JYSOU07-W#Y06</t>
    <phoneticPr fontId="1" type="noConversion"/>
  </si>
  <si>
    <t>BOTTOM RIB SWEEP</t>
    <phoneticPr fontId="2" type="noConversion"/>
  </si>
  <si>
    <t>밑단 요꼬립</t>
    <phoneticPr fontId="11" type="noConversion"/>
  </si>
  <si>
    <t>밑단 요꼬립 길이</t>
    <phoneticPr fontId="11" type="noConversion"/>
  </si>
  <si>
    <t>소매기장</t>
    <phoneticPr fontId="1" type="noConversion"/>
  </si>
  <si>
    <t>CUFFS RIB SWEEP</t>
    <phoneticPr fontId="2" type="noConversion"/>
  </si>
  <si>
    <t>소매 요꼬립</t>
    <phoneticPr fontId="11" type="noConversion"/>
  </si>
  <si>
    <t>소매 밑단 요꼬립 둘레 길이</t>
    <phoneticPr fontId="1" type="noConversion"/>
  </si>
  <si>
    <t>NECK RIB SWEEP</t>
    <phoneticPr fontId="2" type="noConversion"/>
  </si>
  <si>
    <t>에리 요꼬립</t>
    <phoneticPr fontId="1" type="noConversion"/>
  </si>
  <si>
    <t>에리 요꼬립 길이</t>
    <phoneticPr fontId="11" type="noConversion"/>
  </si>
  <si>
    <t>위치 A (입어서좌측)</t>
    <phoneticPr fontId="1" type="noConversion"/>
  </si>
  <si>
    <t>앞옆목에서 수직으로</t>
    <phoneticPr fontId="1" type="noConversion"/>
  </si>
  <si>
    <t>위치 B (입어서좌측)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</si>
</sst>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7.5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7.5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5" fillId="0" borderId="0">
      <alignment vertical="center"/>
    </xf>
  </cellStyleXfs>
  <cellXfs count="78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8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6" fillId="2" borderId="4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10" fillId="0" borderId="1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</cellXfs>
  <cellStyles count="3">
    <cellStyle name="표준" xfId="0" builtinId="0"/>
    <cellStyle name="표준 2" xfId="1" xr:uid="{4507B50C-9675-4E2F-91D4-A7C0CE25037B}"/>
    <cellStyle name="표준 2 2" xfId="2" xr:uid="{EF9C2F7F-3F20-4D7E-9BD7-6DD39044B1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D87F7-C092-4CA8-B480-DB35E3B7A083}">
  <sheetPr>
    <tabColor rgb="FF00B050"/>
    <pageSetUpPr fitToPage="1"/>
  </sheetPr>
  <dimension ref="A1:N51"/>
  <sheetViews>
    <sheetView tabSelected="1" zoomScale="110" zoomScaleNormal="110" workbookViewId="0">
      <selection activeCell="P19" sqref="P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6" t="s">
        <v>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4" ht="16.5" customHeight="1" thickBot="1" x14ac:dyDescent="0.35">
      <c r="A2" s="2" t="s">
        <v>33</v>
      </c>
      <c r="B2" s="9" t="s">
        <v>34</v>
      </c>
      <c r="C2" s="9"/>
      <c r="D2" s="9" t="s">
        <v>35</v>
      </c>
      <c r="E2" s="9"/>
      <c r="F2" s="9"/>
      <c r="G2" s="9"/>
      <c r="H2" s="5" t="s">
        <v>36</v>
      </c>
      <c r="I2" s="5" t="s">
        <v>37</v>
      </c>
      <c r="J2" s="3" t="s">
        <v>38</v>
      </c>
      <c r="K2" s="5" t="s">
        <v>39</v>
      </c>
      <c r="L2" s="5" t="s">
        <v>55</v>
      </c>
      <c r="M2" s="4" t="s">
        <v>56</v>
      </c>
    </row>
    <row r="3" spans="1:14" s="1" customFormat="1" ht="14.1" customHeight="1" x14ac:dyDescent="0.3">
      <c r="A3" s="68">
        <v>1</v>
      </c>
      <c r="B3" s="12" t="s">
        <v>23</v>
      </c>
      <c r="C3" s="12"/>
      <c r="D3" s="13" t="s">
        <v>60</v>
      </c>
      <c r="E3" s="13"/>
      <c r="F3" s="13"/>
      <c r="G3" s="14"/>
      <c r="H3" s="15">
        <f>SUM(I3)-3.5</f>
        <v>37</v>
      </c>
      <c r="I3" s="15">
        <f>SUM(J3)-3.5</f>
        <v>40.5</v>
      </c>
      <c r="J3" s="18">
        <v>44</v>
      </c>
      <c r="K3" s="15">
        <f>SUM(J3)+3</f>
        <v>47</v>
      </c>
      <c r="L3" s="15">
        <f t="shared" ref="L3:M3" si="0">SUM(K3)+3</f>
        <v>50</v>
      </c>
      <c r="M3" s="21">
        <f t="shared" si="0"/>
        <v>53</v>
      </c>
    </row>
    <row r="4" spans="1:14" s="1" customFormat="1" ht="14.1" customHeight="1" x14ac:dyDescent="0.3">
      <c r="A4" s="10"/>
      <c r="B4" s="22" t="s">
        <v>20</v>
      </c>
      <c r="C4" s="22"/>
      <c r="D4" s="23" t="s">
        <v>51</v>
      </c>
      <c r="E4" s="24"/>
      <c r="F4" s="24"/>
      <c r="G4" s="24"/>
      <c r="H4" s="16"/>
      <c r="I4" s="16"/>
      <c r="J4" s="26"/>
      <c r="K4" s="16"/>
      <c r="L4" s="16"/>
      <c r="M4" s="25"/>
      <c r="N4" s="1" t="s">
        <v>50</v>
      </c>
    </row>
    <row r="5" spans="1:14" s="1" customFormat="1" ht="14.1" customHeight="1" x14ac:dyDescent="0.3">
      <c r="A5" s="11">
        <v>2</v>
      </c>
      <c r="B5" s="28" t="s">
        <v>21</v>
      </c>
      <c r="C5" s="28"/>
      <c r="D5" s="29" t="s">
        <v>22</v>
      </c>
      <c r="E5" s="29"/>
      <c r="F5" s="29"/>
      <c r="G5" s="29"/>
      <c r="H5" s="15">
        <f>SUM(I5)-2</f>
        <v>34</v>
      </c>
      <c r="I5" s="15">
        <f>SUM(J5)-2</f>
        <v>36</v>
      </c>
      <c r="J5" s="18">
        <v>38</v>
      </c>
      <c r="K5" s="15">
        <f>SUM(J5)+1.8</f>
        <v>39.799999999999997</v>
      </c>
      <c r="L5" s="15">
        <f>SUM(K5)+1.8</f>
        <v>41.599999999999994</v>
      </c>
      <c r="M5" s="21">
        <f>SUM(L5)+1.8</f>
        <v>43.399999999999991</v>
      </c>
    </row>
    <row r="6" spans="1:14" s="1" customFormat="1" ht="14.1" customHeight="1" x14ac:dyDescent="0.3">
      <c r="A6" s="11"/>
      <c r="B6" s="22" t="s">
        <v>10</v>
      </c>
      <c r="C6" s="22"/>
      <c r="D6" s="23" t="s">
        <v>26</v>
      </c>
      <c r="E6" s="24"/>
      <c r="F6" s="24"/>
      <c r="G6" s="27"/>
      <c r="H6" s="16"/>
      <c r="I6" s="16"/>
      <c r="J6" s="26"/>
      <c r="K6" s="16"/>
      <c r="L6" s="16"/>
      <c r="M6" s="25"/>
    </row>
    <row r="7" spans="1:14" s="1" customFormat="1" ht="14.1" customHeight="1" x14ac:dyDescent="0.3">
      <c r="A7" s="11">
        <v>3</v>
      </c>
      <c r="B7" s="28" t="s">
        <v>19</v>
      </c>
      <c r="C7" s="28"/>
      <c r="D7" s="29" t="s">
        <v>44</v>
      </c>
      <c r="E7" s="29"/>
      <c r="F7" s="29"/>
      <c r="G7" s="29"/>
      <c r="H7" s="15">
        <f>SUM(I7)-2.25</f>
        <v>39.5</v>
      </c>
      <c r="I7" s="15">
        <f>SUM(J7)-2.25</f>
        <v>41.75</v>
      </c>
      <c r="J7" s="18">
        <v>44</v>
      </c>
      <c r="K7" s="15">
        <f>SUM(J7)+2</f>
        <v>46</v>
      </c>
      <c r="L7" s="15">
        <f>SUM(K7)+2</f>
        <v>48</v>
      </c>
      <c r="M7" s="21">
        <f>SUM(L7)+2</f>
        <v>50</v>
      </c>
    </row>
    <row r="8" spans="1:14" s="1" customFormat="1" ht="14.1" customHeight="1" x14ac:dyDescent="0.3">
      <c r="A8" s="11"/>
      <c r="B8" s="22" t="s">
        <v>24</v>
      </c>
      <c r="C8" s="22"/>
      <c r="D8" s="23" t="s">
        <v>27</v>
      </c>
      <c r="E8" s="24"/>
      <c r="F8" s="24"/>
      <c r="G8" s="27"/>
      <c r="H8" s="16"/>
      <c r="I8" s="16"/>
      <c r="J8" s="26"/>
      <c r="K8" s="16"/>
      <c r="L8" s="16"/>
      <c r="M8" s="25"/>
    </row>
    <row r="9" spans="1:14" s="1" customFormat="1" ht="14.1" customHeight="1" x14ac:dyDescent="0.3">
      <c r="A9" s="11">
        <v>4</v>
      </c>
      <c r="B9" s="28" t="s">
        <v>25</v>
      </c>
      <c r="C9" s="28"/>
      <c r="D9" s="29" t="s">
        <v>8</v>
      </c>
      <c r="E9" s="29"/>
      <c r="F9" s="29"/>
      <c r="G9" s="29"/>
      <c r="H9" s="15">
        <f>SUM(I9)-1.8</f>
        <v>29.9</v>
      </c>
      <c r="I9" s="15">
        <f>SUM(J9)-1.8</f>
        <v>31.7</v>
      </c>
      <c r="J9" s="18">
        <v>33.5</v>
      </c>
      <c r="K9" s="15">
        <f>SUM(J9)+1.6</f>
        <v>35.1</v>
      </c>
      <c r="L9" s="15">
        <f t="shared" ref="L9:M9" si="1">SUM(K9)+1.6</f>
        <v>36.700000000000003</v>
      </c>
      <c r="M9" s="21">
        <f t="shared" si="1"/>
        <v>38.300000000000004</v>
      </c>
    </row>
    <row r="10" spans="1:14" s="1" customFormat="1" ht="14.1" customHeight="1" x14ac:dyDescent="0.3">
      <c r="A10" s="11"/>
      <c r="B10" s="22" t="s">
        <v>11</v>
      </c>
      <c r="C10" s="22"/>
      <c r="D10" s="23" t="s">
        <v>28</v>
      </c>
      <c r="E10" s="24"/>
      <c r="F10" s="24"/>
      <c r="G10" s="27"/>
      <c r="H10" s="16"/>
      <c r="I10" s="16"/>
      <c r="J10" s="26"/>
      <c r="K10" s="16"/>
      <c r="L10" s="16"/>
      <c r="M10" s="25"/>
    </row>
    <row r="11" spans="1:14" s="1" customFormat="1" ht="14.1" customHeight="1" x14ac:dyDescent="0.3">
      <c r="A11" s="11">
        <v>5</v>
      </c>
      <c r="B11" s="15" t="s">
        <v>91</v>
      </c>
      <c r="C11" s="15"/>
      <c r="D11" s="74"/>
      <c r="E11" s="75"/>
      <c r="F11" s="75"/>
      <c r="G11" s="76"/>
      <c r="H11" s="15">
        <f>SUM(I11)-3</f>
        <v>51</v>
      </c>
      <c r="I11" s="15">
        <f>SUM(J11)-3</f>
        <v>54</v>
      </c>
      <c r="J11" s="18">
        <v>57</v>
      </c>
      <c r="K11" s="15">
        <f>SUM(J11)+2.6</f>
        <v>59.6</v>
      </c>
      <c r="L11" s="15">
        <f t="shared" ref="L11:M11" si="2">SUM(K11)+2.6</f>
        <v>62.2</v>
      </c>
      <c r="M11" s="21">
        <f t="shared" si="2"/>
        <v>64.8</v>
      </c>
    </row>
    <row r="12" spans="1:14" s="1" customFormat="1" ht="14.1" customHeight="1" x14ac:dyDescent="0.3">
      <c r="A12" s="11"/>
      <c r="B12" s="16" t="s">
        <v>92</v>
      </c>
      <c r="C12" s="16"/>
      <c r="D12" s="42" t="s">
        <v>93</v>
      </c>
      <c r="E12" s="43"/>
      <c r="F12" s="43"/>
      <c r="G12" s="44"/>
      <c r="H12" s="16"/>
      <c r="I12" s="16"/>
      <c r="J12" s="26"/>
      <c r="K12" s="16"/>
      <c r="L12" s="16"/>
      <c r="M12" s="25"/>
    </row>
    <row r="13" spans="1:14" s="1" customFormat="1" ht="14.1" customHeight="1" x14ac:dyDescent="0.3">
      <c r="A13" s="11">
        <v>6</v>
      </c>
      <c r="B13" s="15" t="s">
        <v>9</v>
      </c>
      <c r="C13" s="15"/>
      <c r="D13" s="77" t="s">
        <v>0</v>
      </c>
      <c r="E13" s="77"/>
      <c r="F13" s="77"/>
      <c r="G13" s="77"/>
      <c r="H13" s="15">
        <f>SUM(I13)-0.8</f>
        <v>16.2</v>
      </c>
      <c r="I13" s="15">
        <f>SUM(J13)-0.8</f>
        <v>17</v>
      </c>
      <c r="J13" s="32">
        <v>17.8</v>
      </c>
      <c r="K13" s="33">
        <f>SUM(J13)+0.8</f>
        <v>18.600000000000001</v>
      </c>
      <c r="L13" s="33">
        <f>SUM(K13)+0.8</f>
        <v>19.400000000000002</v>
      </c>
      <c r="M13" s="73">
        <f>SUM(L13)+0.8</f>
        <v>20.200000000000003</v>
      </c>
    </row>
    <row r="14" spans="1:14" s="1" customFormat="1" ht="14.1" customHeight="1" x14ac:dyDescent="0.3">
      <c r="A14" s="11"/>
      <c r="B14" s="16" t="s">
        <v>12</v>
      </c>
      <c r="C14" s="16"/>
      <c r="D14" s="42" t="s">
        <v>29</v>
      </c>
      <c r="E14" s="43"/>
      <c r="F14" s="43"/>
      <c r="G14" s="44"/>
      <c r="H14" s="16"/>
      <c r="I14" s="16"/>
      <c r="J14" s="32"/>
      <c r="K14" s="33"/>
      <c r="L14" s="33"/>
      <c r="M14" s="73"/>
    </row>
    <row r="15" spans="1:14" s="1" customFormat="1" ht="14.1" customHeight="1" x14ac:dyDescent="0.3">
      <c r="A15" s="11">
        <v>7</v>
      </c>
      <c r="B15" s="15" t="s">
        <v>1</v>
      </c>
      <c r="C15" s="15"/>
      <c r="D15" s="77" t="s">
        <v>59</v>
      </c>
      <c r="E15" s="77"/>
      <c r="F15" s="77"/>
      <c r="G15" s="77"/>
      <c r="H15" s="15">
        <f>SUM(I15)-0.6</f>
        <v>14.100000000000001</v>
      </c>
      <c r="I15" s="15">
        <f>SUM(J15)-0.6</f>
        <v>14.700000000000001</v>
      </c>
      <c r="J15" s="32">
        <v>15.3</v>
      </c>
      <c r="K15" s="33">
        <f>SUM(J15)+0.6</f>
        <v>15.9</v>
      </c>
      <c r="L15" s="33">
        <f>SUM(K15)+0.6</f>
        <v>16.5</v>
      </c>
      <c r="M15" s="34">
        <f>SUM(L15)+0.6</f>
        <v>17.100000000000001</v>
      </c>
    </row>
    <row r="16" spans="1:14" s="1" customFormat="1" ht="14.1" customHeight="1" x14ac:dyDescent="0.3">
      <c r="A16" s="11"/>
      <c r="B16" s="16" t="s">
        <v>13</v>
      </c>
      <c r="C16" s="16"/>
      <c r="D16" s="42" t="s">
        <v>30</v>
      </c>
      <c r="E16" s="43"/>
      <c r="F16" s="43"/>
      <c r="G16" s="44"/>
      <c r="H16" s="16"/>
      <c r="I16" s="16"/>
      <c r="J16" s="32"/>
      <c r="K16" s="33"/>
      <c r="L16" s="33"/>
      <c r="M16" s="34"/>
    </row>
    <row r="17" spans="1:13" s="1" customFormat="1" ht="14.1" customHeight="1" x14ac:dyDescent="0.3">
      <c r="A17" s="11">
        <v>8</v>
      </c>
      <c r="B17" s="15" t="s">
        <v>2</v>
      </c>
      <c r="C17" s="15"/>
      <c r="D17" s="77" t="s">
        <v>3</v>
      </c>
      <c r="E17" s="77"/>
      <c r="F17" s="77"/>
      <c r="G17" s="77"/>
      <c r="H17" s="15">
        <f>SUM(I17)-0.3</f>
        <v>8.1999999999999993</v>
      </c>
      <c r="I17" s="15">
        <f>SUM(J17)-0.3</f>
        <v>8.5</v>
      </c>
      <c r="J17" s="32">
        <v>8.8000000000000007</v>
      </c>
      <c r="K17" s="33">
        <f>SUM(J17)+0.3</f>
        <v>9.1000000000000014</v>
      </c>
      <c r="L17" s="33">
        <f>SUM(K17)+0.3</f>
        <v>9.4000000000000021</v>
      </c>
      <c r="M17" s="73">
        <f>SUM(L17)+0.3</f>
        <v>9.7000000000000028</v>
      </c>
    </row>
    <row r="18" spans="1:13" s="1" customFormat="1" ht="14.1" customHeight="1" x14ac:dyDescent="0.3">
      <c r="A18" s="11"/>
      <c r="B18" s="16" t="s">
        <v>14</v>
      </c>
      <c r="C18" s="16"/>
      <c r="D18" s="42" t="s">
        <v>31</v>
      </c>
      <c r="E18" s="43"/>
      <c r="F18" s="43"/>
      <c r="G18" s="44"/>
      <c r="H18" s="16"/>
      <c r="I18" s="16"/>
      <c r="J18" s="32"/>
      <c r="K18" s="33"/>
      <c r="L18" s="33"/>
      <c r="M18" s="73"/>
    </row>
    <row r="19" spans="1:13" s="1" customFormat="1" ht="14.1" customHeight="1" x14ac:dyDescent="0.3">
      <c r="A19" s="11">
        <v>9</v>
      </c>
      <c r="B19" s="67" t="s">
        <v>45</v>
      </c>
      <c r="C19" s="69"/>
      <c r="D19" s="74" t="s">
        <v>46</v>
      </c>
      <c r="E19" s="75"/>
      <c r="F19" s="75"/>
      <c r="G19" s="76"/>
      <c r="H19" s="15">
        <f>SUM(I19)-1.6</f>
        <v>38.9</v>
      </c>
      <c r="I19" s="15">
        <f>SUM(J19)-1.6</f>
        <v>40.5</v>
      </c>
      <c r="J19" s="32">
        <v>42.1</v>
      </c>
      <c r="K19" s="33">
        <f>SUM(J19)+1.6</f>
        <v>43.7</v>
      </c>
      <c r="L19" s="33">
        <f>SUM(K19)+1.6</f>
        <v>45.300000000000004</v>
      </c>
      <c r="M19" s="73">
        <f>SUM(L19)+1.6</f>
        <v>46.900000000000006</v>
      </c>
    </row>
    <row r="20" spans="1:13" s="1" customFormat="1" ht="14.1" customHeight="1" x14ac:dyDescent="0.3">
      <c r="A20" s="11"/>
      <c r="B20" s="16" t="s">
        <v>18</v>
      </c>
      <c r="C20" s="16"/>
      <c r="D20" s="42" t="s">
        <v>49</v>
      </c>
      <c r="E20" s="43"/>
      <c r="F20" s="43"/>
      <c r="G20" s="44"/>
      <c r="H20" s="16"/>
      <c r="I20" s="16"/>
      <c r="J20" s="32"/>
      <c r="K20" s="33"/>
      <c r="L20" s="33"/>
      <c r="M20" s="73"/>
    </row>
    <row r="21" spans="1:13" s="1" customFormat="1" ht="14.1" customHeight="1" x14ac:dyDescent="0.3">
      <c r="A21" s="11">
        <v>10</v>
      </c>
      <c r="B21" s="15" t="s">
        <v>4</v>
      </c>
      <c r="C21" s="15"/>
      <c r="D21" s="77" t="s">
        <v>5</v>
      </c>
      <c r="E21" s="77"/>
      <c r="F21" s="77"/>
      <c r="G21" s="77"/>
      <c r="H21" s="15">
        <f>SUM(I21)-3.5</f>
        <v>30.4</v>
      </c>
      <c r="I21" s="15">
        <f>SUM(J21)-3.5</f>
        <v>33.9</v>
      </c>
      <c r="J21" s="32">
        <v>37.4</v>
      </c>
      <c r="K21" s="33">
        <f>SUM(J21)+3.6</f>
        <v>41</v>
      </c>
      <c r="L21" s="33">
        <f>SUM(K21)+3.6</f>
        <v>44.6</v>
      </c>
      <c r="M21" s="34">
        <f>SUM(L21)+3.6</f>
        <v>48.2</v>
      </c>
    </row>
    <row r="22" spans="1:13" s="1" customFormat="1" ht="14.1" customHeight="1" x14ac:dyDescent="0.3">
      <c r="A22" s="11"/>
      <c r="B22" s="16" t="s">
        <v>94</v>
      </c>
      <c r="C22" s="16"/>
      <c r="D22" s="42" t="s">
        <v>32</v>
      </c>
      <c r="E22" s="43"/>
      <c r="F22" s="43"/>
      <c r="G22" s="44"/>
      <c r="H22" s="16"/>
      <c r="I22" s="16"/>
      <c r="J22" s="32"/>
      <c r="K22" s="33"/>
      <c r="L22" s="33"/>
      <c r="M22" s="34"/>
    </row>
    <row r="23" spans="1:13" s="1" customFormat="1" ht="14.1" customHeight="1" x14ac:dyDescent="0.3">
      <c r="A23" s="11">
        <v>11</v>
      </c>
      <c r="B23" s="15" t="s">
        <v>6</v>
      </c>
      <c r="C23" s="15"/>
      <c r="D23" s="74" t="s">
        <v>7</v>
      </c>
      <c r="E23" s="75"/>
      <c r="F23" s="75"/>
      <c r="G23" s="76"/>
      <c r="H23" s="15">
        <f>SUM(I23)-1.6</f>
        <v>31.699999999999996</v>
      </c>
      <c r="I23" s="15">
        <f>SUM(J23)-1.5</f>
        <v>33.299999999999997</v>
      </c>
      <c r="J23" s="32">
        <v>34.799999999999997</v>
      </c>
      <c r="K23" s="33">
        <f>SUM(J23)+1.6</f>
        <v>36.4</v>
      </c>
      <c r="L23" s="33">
        <f>SUM(K23)+1.6</f>
        <v>38</v>
      </c>
      <c r="M23" s="34">
        <f>SUM(L23)+1.6</f>
        <v>39.6</v>
      </c>
    </row>
    <row r="24" spans="1:13" s="1" customFormat="1" ht="14.1" customHeight="1" x14ac:dyDescent="0.3">
      <c r="A24" s="11"/>
      <c r="B24" s="16" t="s">
        <v>16</v>
      </c>
      <c r="C24" s="16"/>
      <c r="D24" s="42" t="s">
        <v>40</v>
      </c>
      <c r="E24" s="43"/>
      <c r="F24" s="43"/>
      <c r="G24" s="44"/>
      <c r="H24" s="16"/>
      <c r="I24" s="16"/>
      <c r="J24" s="32"/>
      <c r="K24" s="33"/>
      <c r="L24" s="33"/>
      <c r="M24" s="34"/>
    </row>
    <row r="25" spans="1:13" s="1" customFormat="1" ht="14.1" customHeight="1" x14ac:dyDescent="0.3">
      <c r="A25" s="11">
        <v>12</v>
      </c>
      <c r="B25" s="67" t="s">
        <v>95</v>
      </c>
      <c r="C25" s="69"/>
      <c r="D25" s="77" t="s">
        <v>41</v>
      </c>
      <c r="E25" s="77"/>
      <c r="F25" s="77"/>
      <c r="G25" s="77"/>
      <c r="H25" s="15">
        <f>SUM(I25)-0.6</f>
        <v>14.8</v>
      </c>
      <c r="I25" s="15">
        <f>SUM(J25)-0.6</f>
        <v>15.4</v>
      </c>
      <c r="J25" s="32">
        <v>16</v>
      </c>
      <c r="K25" s="33">
        <f>SUM(J25)+0.6</f>
        <v>16.600000000000001</v>
      </c>
      <c r="L25" s="33">
        <f t="shared" ref="L25" si="3">SUM(K25)+0.6</f>
        <v>17.200000000000003</v>
      </c>
      <c r="M25" s="34">
        <f>SUM(L25)+0.6</f>
        <v>17.800000000000004</v>
      </c>
    </row>
    <row r="26" spans="1:13" s="1" customFormat="1" ht="14.1" customHeight="1" x14ac:dyDescent="0.3">
      <c r="A26" s="11"/>
      <c r="B26" s="16" t="s">
        <v>96</v>
      </c>
      <c r="C26" s="16"/>
      <c r="D26" s="42" t="s">
        <v>97</v>
      </c>
      <c r="E26" s="43"/>
      <c r="F26" s="43"/>
      <c r="G26" s="44"/>
      <c r="H26" s="16"/>
      <c r="I26" s="16"/>
      <c r="J26" s="32"/>
      <c r="K26" s="33"/>
      <c r="L26" s="33"/>
      <c r="M26" s="34"/>
    </row>
    <row r="27" spans="1:13" s="1" customFormat="1" ht="14.1" customHeight="1" x14ac:dyDescent="0.3">
      <c r="A27" s="11">
        <v>13</v>
      </c>
      <c r="B27" s="67" t="s">
        <v>98</v>
      </c>
      <c r="C27" s="69"/>
      <c r="D27" s="74"/>
      <c r="E27" s="75"/>
      <c r="F27" s="75"/>
      <c r="G27" s="76"/>
      <c r="H27" s="15">
        <f>SUM(I27)-1.4</f>
        <v>28.700000000000003</v>
      </c>
      <c r="I27" s="15">
        <f>SUM(J27)-1.4</f>
        <v>30.1</v>
      </c>
      <c r="J27" s="18">
        <v>31.5</v>
      </c>
      <c r="K27" s="15">
        <f>SUM(J27)+1.3</f>
        <v>32.799999999999997</v>
      </c>
      <c r="L27" s="15">
        <f t="shared" ref="L27:M27" si="4">SUM(K27)+1.3</f>
        <v>34.099999999999994</v>
      </c>
      <c r="M27" s="21">
        <f t="shared" si="4"/>
        <v>35.399999999999991</v>
      </c>
    </row>
    <row r="28" spans="1:13" s="1" customFormat="1" ht="14.1" customHeight="1" x14ac:dyDescent="0.3">
      <c r="A28" s="11"/>
      <c r="B28" s="16" t="s">
        <v>99</v>
      </c>
      <c r="C28" s="16"/>
      <c r="D28" s="42" t="s">
        <v>100</v>
      </c>
      <c r="E28" s="43"/>
      <c r="F28" s="43"/>
      <c r="G28" s="44"/>
      <c r="H28" s="16"/>
      <c r="I28" s="16"/>
      <c r="J28" s="26"/>
      <c r="K28" s="16"/>
      <c r="L28" s="16"/>
      <c r="M28" s="25"/>
    </row>
    <row r="29" spans="1:13" ht="14.1" customHeight="1" x14ac:dyDescent="0.3">
      <c r="A29" s="11">
        <v>14</v>
      </c>
      <c r="B29" s="30" t="s">
        <v>63</v>
      </c>
      <c r="C29" s="31"/>
      <c r="D29" s="37"/>
      <c r="E29" s="38"/>
      <c r="F29" s="38"/>
      <c r="G29" s="39"/>
      <c r="H29" s="15">
        <f>SUM(I29)-0.5</f>
        <v>10.5</v>
      </c>
      <c r="I29" s="15">
        <f>SUM(J29)-0.5</f>
        <v>11</v>
      </c>
      <c r="J29" s="32">
        <v>11.5</v>
      </c>
      <c r="K29" s="33">
        <f>SUM(J29)+0.5</f>
        <v>12</v>
      </c>
      <c r="L29" s="33">
        <f t="shared" ref="L29:M29" si="5">SUM(K29)+0.5</f>
        <v>12.5</v>
      </c>
      <c r="M29" s="34">
        <f t="shared" si="5"/>
        <v>13</v>
      </c>
    </row>
    <row r="30" spans="1:13" ht="14.1" customHeight="1" x14ac:dyDescent="0.3">
      <c r="A30" s="11"/>
      <c r="B30" s="40" t="s">
        <v>61</v>
      </c>
      <c r="C30" s="41"/>
      <c r="D30" s="42"/>
      <c r="E30" s="43"/>
      <c r="F30" s="43"/>
      <c r="G30" s="44"/>
      <c r="H30" s="50"/>
      <c r="I30" s="50"/>
      <c r="J30" s="18"/>
      <c r="K30" s="15"/>
      <c r="L30" s="15"/>
      <c r="M30" s="21"/>
    </row>
    <row r="31" spans="1:13" ht="14.1" customHeight="1" x14ac:dyDescent="0.3">
      <c r="A31" s="11">
        <v>15</v>
      </c>
      <c r="B31" s="30" t="s">
        <v>58</v>
      </c>
      <c r="C31" s="31"/>
      <c r="D31" s="51"/>
      <c r="E31" s="52"/>
      <c r="F31" s="52"/>
      <c r="G31" s="53"/>
      <c r="H31" s="15">
        <f>SUM(I31)-0.7</f>
        <v>10.600000000000001</v>
      </c>
      <c r="I31" s="15">
        <f>SUM(J31)-0.7</f>
        <v>11.3</v>
      </c>
      <c r="J31" s="32">
        <v>12</v>
      </c>
      <c r="K31" s="33">
        <f>SUM(J31)+0.7</f>
        <v>12.7</v>
      </c>
      <c r="L31" s="33">
        <f>SUM(K31)+0.7</f>
        <v>13.399999999999999</v>
      </c>
      <c r="M31" s="34">
        <f>SUM(L31)+0.7</f>
        <v>14.099999999999998</v>
      </c>
    </row>
    <row r="32" spans="1:13" ht="14.1" customHeight="1" x14ac:dyDescent="0.3">
      <c r="A32" s="11"/>
      <c r="B32" s="35" t="s">
        <v>101</v>
      </c>
      <c r="C32" s="36"/>
      <c r="D32" s="23" t="s">
        <v>102</v>
      </c>
      <c r="E32" s="24"/>
      <c r="F32" s="24"/>
      <c r="G32" s="27"/>
      <c r="H32" s="50"/>
      <c r="I32" s="50"/>
      <c r="J32" s="18"/>
      <c r="K32" s="15"/>
      <c r="L32" s="15"/>
      <c r="M32" s="21"/>
    </row>
    <row r="33" spans="1:13" ht="14.1" customHeight="1" x14ac:dyDescent="0.3">
      <c r="A33" s="11">
        <v>16</v>
      </c>
      <c r="B33" s="45" t="s">
        <v>57</v>
      </c>
      <c r="C33" s="46"/>
      <c r="D33" s="47" t="s">
        <v>48</v>
      </c>
      <c r="E33" s="48"/>
      <c r="F33" s="48"/>
      <c r="G33" s="49"/>
      <c r="H33" s="15">
        <f>SUM(I33)-0.5</f>
        <v>4.5</v>
      </c>
      <c r="I33" s="15">
        <f>SUM(J33)-0.5</f>
        <v>5</v>
      </c>
      <c r="J33" s="32">
        <v>5.5</v>
      </c>
      <c r="K33" s="33">
        <f>SUM(J33)+0.4</f>
        <v>5.9</v>
      </c>
      <c r="L33" s="33">
        <f t="shared" ref="L33:M33" si="6">SUM(K33)+0.4</f>
        <v>6.3000000000000007</v>
      </c>
      <c r="M33" s="34">
        <f t="shared" si="6"/>
        <v>6.7000000000000011</v>
      </c>
    </row>
    <row r="34" spans="1:13" ht="14.1" customHeight="1" thickBot="1" x14ac:dyDescent="0.35">
      <c r="A34" s="60"/>
      <c r="B34" s="54" t="s">
        <v>103</v>
      </c>
      <c r="C34" s="55"/>
      <c r="D34" s="56" t="s">
        <v>47</v>
      </c>
      <c r="E34" s="57"/>
      <c r="F34" s="57"/>
      <c r="G34" s="58"/>
      <c r="H34" s="61"/>
      <c r="I34" s="61"/>
      <c r="J34" s="71"/>
      <c r="K34" s="70"/>
      <c r="L34" s="70"/>
      <c r="M34" s="72"/>
    </row>
    <row r="35" spans="1:13" ht="14.1" customHeight="1" x14ac:dyDescent="0.3"/>
    <row r="36" spans="1:13" ht="14.1" customHeight="1" x14ac:dyDescent="0.3"/>
    <row r="37" spans="1:13" ht="14.1" customHeight="1" x14ac:dyDescent="0.3"/>
    <row r="38" spans="1:13" ht="14.1" customHeight="1" x14ac:dyDescent="0.3"/>
    <row r="39" spans="1:13" ht="14.1" customHeight="1" x14ac:dyDescent="0.3"/>
    <row r="40" spans="1:13" ht="14.1" customHeight="1" x14ac:dyDescent="0.3"/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ht="14.1" customHeight="1" x14ac:dyDescent="0.3"/>
    <row r="50" ht="14.1" customHeight="1" x14ac:dyDescent="0.3"/>
    <row r="51" ht="14.1" customHeight="1" x14ac:dyDescent="0.3"/>
  </sheetData>
  <mergeCells count="179">
    <mergeCell ref="K33:K34"/>
    <mergeCell ref="L33:L34"/>
    <mergeCell ref="M33:M34"/>
    <mergeCell ref="B34:C34"/>
    <mergeCell ref="D34:G34"/>
    <mergeCell ref="A33:A34"/>
    <mergeCell ref="B33:C33"/>
    <mergeCell ref="D33:G33"/>
    <mergeCell ref="H33:H34"/>
    <mergeCell ref="I33:I34"/>
    <mergeCell ref="J33:J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FABE-26CF-46A6-A3D7-D08D6F51D15C}">
  <sheetPr>
    <tabColor rgb="FF00B050"/>
    <pageSetUpPr fitToPage="1"/>
  </sheetPr>
  <dimension ref="A1:N51"/>
  <sheetViews>
    <sheetView zoomScale="110" zoomScaleNormal="110" workbookViewId="0">
      <selection activeCell="O19" sqref="O19"/>
    </sheetView>
  </sheetViews>
  <sheetFormatPr defaultColWidth="8.75" defaultRowHeight="16.5" x14ac:dyDescent="0.3"/>
  <cols>
    <col min="1" max="1" width="3.25" bestFit="1" customWidth="1"/>
    <col min="2" max="3" width="8.75" customWidth="1"/>
    <col min="4" max="7" width="8.125" customWidth="1"/>
    <col min="8" max="13" width="5.5" customWidth="1"/>
  </cols>
  <sheetData>
    <row r="1" spans="1:14" ht="16.5" customHeight="1" thickBot="1" x14ac:dyDescent="0.35">
      <c r="A1" s="6" t="s">
        <v>89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/>
    </row>
    <row r="2" spans="1:14" ht="16.5" customHeight="1" thickBot="1" x14ac:dyDescent="0.35">
      <c r="A2" s="2" t="s">
        <v>33</v>
      </c>
      <c r="B2" s="9" t="s">
        <v>34</v>
      </c>
      <c r="C2" s="9"/>
      <c r="D2" s="9" t="s">
        <v>35</v>
      </c>
      <c r="E2" s="9"/>
      <c r="F2" s="9"/>
      <c r="G2" s="9"/>
      <c r="H2" s="3" t="s">
        <v>71</v>
      </c>
      <c r="I2" s="5" t="s">
        <v>36</v>
      </c>
      <c r="J2" s="5" t="s">
        <v>37</v>
      </c>
      <c r="K2" s="5" t="s">
        <v>38</v>
      </c>
      <c r="L2" s="5" t="s">
        <v>39</v>
      </c>
      <c r="M2" s="5" t="s">
        <v>77</v>
      </c>
    </row>
    <row r="3" spans="1:14" s="1" customFormat="1" ht="14.1" customHeight="1" x14ac:dyDescent="0.3">
      <c r="A3" s="10">
        <v>1</v>
      </c>
      <c r="B3" s="45" t="s">
        <v>54</v>
      </c>
      <c r="C3" s="46"/>
      <c r="D3" s="63" t="s">
        <v>53</v>
      </c>
      <c r="E3" s="64"/>
      <c r="F3" s="64"/>
      <c r="G3" s="65"/>
      <c r="H3" s="17">
        <v>33.799999999999997</v>
      </c>
      <c r="I3" s="19">
        <f>SUM(H3)+3.4</f>
        <v>37.199999999999996</v>
      </c>
      <c r="J3" s="19">
        <f>SUM(I3)+3.4</f>
        <v>40.599999999999994</v>
      </c>
      <c r="K3" s="19">
        <f>SUM(J3)+3.4</f>
        <v>43.999999999999993</v>
      </c>
      <c r="L3" s="19">
        <f>SUM(K3)+2.9</f>
        <v>46.899999999999991</v>
      </c>
      <c r="M3" s="20">
        <f>SUM(L3)+2.9</f>
        <v>49.79999999999999</v>
      </c>
    </row>
    <row r="4" spans="1:14" s="1" customFormat="1" ht="14.1" customHeight="1" x14ac:dyDescent="0.3">
      <c r="A4" s="11"/>
      <c r="B4" s="22" t="s">
        <v>17</v>
      </c>
      <c r="C4" s="22"/>
      <c r="D4" s="23" t="s">
        <v>52</v>
      </c>
      <c r="E4" s="24"/>
      <c r="F4" s="24"/>
      <c r="G4" s="24"/>
      <c r="H4" s="18"/>
      <c r="I4" s="15"/>
      <c r="J4" s="15"/>
      <c r="K4" s="15"/>
      <c r="L4" s="15"/>
      <c r="M4" s="21"/>
      <c r="N4" s="1" t="s">
        <v>50</v>
      </c>
    </row>
    <row r="5" spans="1:14" s="1" customFormat="1" ht="14.1" customHeight="1" x14ac:dyDescent="0.3">
      <c r="A5" s="11">
        <v>2</v>
      </c>
      <c r="B5" s="28" t="s">
        <v>21</v>
      </c>
      <c r="C5" s="28"/>
      <c r="D5" s="29" t="s">
        <v>22</v>
      </c>
      <c r="E5" s="29"/>
      <c r="F5" s="29"/>
      <c r="G5" s="29"/>
      <c r="H5" s="18">
        <v>28.4</v>
      </c>
      <c r="I5" s="15">
        <f>SUM(H5)+1.8</f>
        <v>30.2</v>
      </c>
      <c r="J5" s="15">
        <f t="shared" ref="J5:K5" si="0">SUM(I5)+1.8</f>
        <v>32</v>
      </c>
      <c r="K5" s="15">
        <f t="shared" si="0"/>
        <v>33.799999999999997</v>
      </c>
      <c r="L5" s="15">
        <f>SUM(K5)+1.6</f>
        <v>35.4</v>
      </c>
      <c r="M5" s="21">
        <f>SUM(L5)+1.6</f>
        <v>37</v>
      </c>
    </row>
    <row r="6" spans="1:14" s="1" customFormat="1" ht="14.1" customHeight="1" x14ac:dyDescent="0.3">
      <c r="A6" s="11"/>
      <c r="B6" s="22" t="s">
        <v>10</v>
      </c>
      <c r="C6" s="22"/>
      <c r="D6" s="23" t="s">
        <v>26</v>
      </c>
      <c r="E6" s="24"/>
      <c r="F6" s="24"/>
      <c r="G6" s="27"/>
      <c r="H6" s="26"/>
      <c r="I6" s="16"/>
      <c r="J6" s="16"/>
      <c r="K6" s="16"/>
      <c r="L6" s="16"/>
      <c r="M6" s="25"/>
    </row>
    <row r="7" spans="1:14" s="1" customFormat="1" ht="14.1" customHeight="1" x14ac:dyDescent="0.3">
      <c r="A7" s="11">
        <v>3</v>
      </c>
      <c r="B7" s="28" t="s">
        <v>19</v>
      </c>
      <c r="C7" s="28"/>
      <c r="D7" s="29"/>
      <c r="E7" s="29"/>
      <c r="F7" s="29"/>
      <c r="G7" s="29"/>
      <c r="H7" s="18">
        <v>45.4</v>
      </c>
      <c r="I7" s="15">
        <f>SUM(H7)+2.9</f>
        <v>48.3</v>
      </c>
      <c r="J7" s="15">
        <f>SUM(I7)+2.9</f>
        <v>51.199999999999996</v>
      </c>
      <c r="K7" s="15">
        <f>SUM(J7)+2.9</f>
        <v>54.099999999999994</v>
      </c>
      <c r="L7" s="15">
        <f>SUM(K7)+2.6</f>
        <v>56.699999999999996</v>
      </c>
      <c r="M7" s="21">
        <f>SUM(L7)+2.6</f>
        <v>59.3</v>
      </c>
    </row>
    <row r="8" spans="1:14" s="1" customFormat="1" ht="14.1" customHeight="1" x14ac:dyDescent="0.3">
      <c r="A8" s="11"/>
      <c r="B8" s="22" t="s">
        <v>24</v>
      </c>
      <c r="C8" s="22"/>
      <c r="D8" s="23" t="s">
        <v>78</v>
      </c>
      <c r="E8" s="24"/>
      <c r="F8" s="24"/>
      <c r="G8" s="27"/>
      <c r="H8" s="26"/>
      <c r="I8" s="16"/>
      <c r="J8" s="16"/>
      <c r="K8" s="16"/>
      <c r="L8" s="16"/>
      <c r="M8" s="25"/>
    </row>
    <row r="9" spans="1:14" s="1" customFormat="1" ht="14.1" customHeight="1" x14ac:dyDescent="0.3">
      <c r="A9" s="11">
        <v>4</v>
      </c>
      <c r="B9" s="28" t="s">
        <v>79</v>
      </c>
      <c r="C9" s="28"/>
      <c r="D9" s="29"/>
      <c r="E9" s="29"/>
      <c r="F9" s="29"/>
      <c r="G9" s="29"/>
      <c r="H9" s="18">
        <v>60</v>
      </c>
      <c r="I9" s="15">
        <f>SUM(H9)+3.5</f>
        <v>63.5</v>
      </c>
      <c r="J9" s="15">
        <f>SUM(I9)+3.5</f>
        <v>67</v>
      </c>
      <c r="K9" s="15">
        <f>SUM(J9)+3.5</f>
        <v>70.5</v>
      </c>
      <c r="L9" s="15">
        <f>SUM(K9)+3</f>
        <v>73.5</v>
      </c>
      <c r="M9" s="21">
        <f>SUM(L9)+3</f>
        <v>76.5</v>
      </c>
    </row>
    <row r="10" spans="1:14" s="1" customFormat="1" ht="14.1" customHeight="1" x14ac:dyDescent="0.3">
      <c r="A10" s="11"/>
      <c r="B10" s="22" t="s">
        <v>64</v>
      </c>
      <c r="C10" s="22"/>
      <c r="D10" s="23"/>
      <c r="E10" s="24"/>
      <c r="F10" s="24"/>
      <c r="G10" s="27"/>
      <c r="H10" s="26"/>
      <c r="I10" s="16"/>
      <c r="J10" s="16"/>
      <c r="K10" s="16"/>
      <c r="L10" s="16"/>
      <c r="M10" s="25"/>
    </row>
    <row r="11" spans="1:14" s="1" customFormat="1" ht="14.1" customHeight="1" x14ac:dyDescent="0.3">
      <c r="A11" s="11">
        <v>5</v>
      </c>
      <c r="B11" s="28" t="s">
        <v>9</v>
      </c>
      <c r="C11" s="28"/>
      <c r="D11" s="29" t="s">
        <v>0</v>
      </c>
      <c r="E11" s="29"/>
      <c r="F11" s="29"/>
      <c r="G11" s="29"/>
      <c r="H11" s="32">
        <v>15.2</v>
      </c>
      <c r="I11" s="33">
        <f>SUM(H11)+0.8</f>
        <v>16</v>
      </c>
      <c r="J11" s="33">
        <f t="shared" ref="J11:K11" si="1">SUM(I11)+0.8</f>
        <v>16.8</v>
      </c>
      <c r="K11" s="33">
        <f t="shared" si="1"/>
        <v>17.600000000000001</v>
      </c>
      <c r="L11" s="33">
        <f>SUM(K11)+0.8</f>
        <v>18.400000000000002</v>
      </c>
      <c r="M11" s="34">
        <f>SUM(L11)+0.9</f>
        <v>19.3</v>
      </c>
    </row>
    <row r="12" spans="1:14" s="1" customFormat="1" ht="14.1" customHeight="1" x14ac:dyDescent="0.3">
      <c r="A12" s="11"/>
      <c r="B12" s="22" t="s">
        <v>12</v>
      </c>
      <c r="C12" s="22"/>
      <c r="D12" s="23" t="s">
        <v>29</v>
      </c>
      <c r="E12" s="24"/>
      <c r="F12" s="24"/>
      <c r="G12" s="27"/>
      <c r="H12" s="32"/>
      <c r="I12" s="33"/>
      <c r="J12" s="33"/>
      <c r="K12" s="33"/>
      <c r="L12" s="33"/>
      <c r="M12" s="34"/>
    </row>
    <row r="13" spans="1:14" s="1" customFormat="1" ht="14.1" customHeight="1" x14ac:dyDescent="0.3">
      <c r="A13" s="11">
        <v>6</v>
      </c>
      <c r="B13" s="28" t="s">
        <v>1</v>
      </c>
      <c r="C13" s="28"/>
      <c r="D13" s="29" t="s">
        <v>72</v>
      </c>
      <c r="E13" s="29"/>
      <c r="F13" s="29"/>
      <c r="G13" s="29"/>
      <c r="H13" s="32">
        <v>13</v>
      </c>
      <c r="I13" s="33">
        <f>SUM(H13)+0.6</f>
        <v>13.6</v>
      </c>
      <c r="J13" s="33">
        <f>SUM(I13)+0.6</f>
        <v>14.2</v>
      </c>
      <c r="K13" s="33">
        <f>SUM(J13)+0.6</f>
        <v>14.799999999999999</v>
      </c>
      <c r="L13" s="66">
        <f>SUM(K13)+0.6</f>
        <v>15.399999999999999</v>
      </c>
      <c r="M13" s="73">
        <f>SUM(L13)+0.6</f>
        <v>15.999999999999998</v>
      </c>
    </row>
    <row r="14" spans="1:14" s="1" customFormat="1" ht="14.1" customHeight="1" x14ac:dyDescent="0.3">
      <c r="A14" s="11"/>
      <c r="B14" s="22" t="s">
        <v>13</v>
      </c>
      <c r="C14" s="22"/>
      <c r="D14" s="23" t="s">
        <v>30</v>
      </c>
      <c r="E14" s="24"/>
      <c r="F14" s="24"/>
      <c r="G14" s="27"/>
      <c r="H14" s="32"/>
      <c r="I14" s="33"/>
      <c r="J14" s="33"/>
      <c r="K14" s="33"/>
      <c r="L14" s="66"/>
      <c r="M14" s="73"/>
    </row>
    <row r="15" spans="1:14" s="1" customFormat="1" ht="14.1" customHeight="1" x14ac:dyDescent="0.3">
      <c r="A15" s="11">
        <v>7</v>
      </c>
      <c r="B15" s="28" t="s">
        <v>2</v>
      </c>
      <c r="C15" s="28"/>
      <c r="D15" s="29" t="s">
        <v>3</v>
      </c>
      <c r="E15" s="29"/>
      <c r="F15" s="29"/>
      <c r="G15" s="29"/>
      <c r="H15" s="32">
        <v>5.6</v>
      </c>
      <c r="I15" s="33">
        <f>SUM(H15)+0.3</f>
        <v>5.8999999999999995</v>
      </c>
      <c r="J15" s="33">
        <f>SUM(I15)+0.3</f>
        <v>6.1999999999999993</v>
      </c>
      <c r="K15" s="33">
        <f>SUM(J15)+0.3</f>
        <v>6.4999999999999991</v>
      </c>
      <c r="L15" s="66">
        <f>SUM(K15)+0.3</f>
        <v>6.7999999999999989</v>
      </c>
      <c r="M15" s="73">
        <f>SUM(L15)+0.3</f>
        <v>7.0999999999999988</v>
      </c>
    </row>
    <row r="16" spans="1:14" s="1" customFormat="1" ht="14.1" customHeight="1" x14ac:dyDescent="0.3">
      <c r="A16" s="11"/>
      <c r="B16" s="22" t="s">
        <v>14</v>
      </c>
      <c r="C16" s="22"/>
      <c r="D16" s="23" t="s">
        <v>31</v>
      </c>
      <c r="E16" s="24"/>
      <c r="F16" s="24"/>
      <c r="G16" s="27"/>
      <c r="H16" s="32"/>
      <c r="I16" s="33"/>
      <c r="J16" s="33"/>
      <c r="K16" s="33"/>
      <c r="L16" s="66"/>
      <c r="M16" s="73"/>
    </row>
    <row r="17" spans="1:13" s="1" customFormat="1" ht="14.1" customHeight="1" x14ac:dyDescent="0.3">
      <c r="A17" s="11">
        <v>8</v>
      </c>
      <c r="B17" s="30" t="s">
        <v>45</v>
      </c>
      <c r="C17" s="31"/>
      <c r="D17" s="37" t="s">
        <v>46</v>
      </c>
      <c r="E17" s="38"/>
      <c r="F17" s="38"/>
      <c r="G17" s="39"/>
      <c r="H17" s="32">
        <v>33</v>
      </c>
      <c r="I17" s="33">
        <f>SUM(H17)+1.6</f>
        <v>34.6</v>
      </c>
      <c r="J17" s="33">
        <f>SUM(I17)+1.6</f>
        <v>36.200000000000003</v>
      </c>
      <c r="K17" s="33">
        <f>SUM(J17)+1.6</f>
        <v>37.800000000000004</v>
      </c>
      <c r="L17" s="66">
        <f>SUM(K17)+1.6</f>
        <v>39.400000000000006</v>
      </c>
      <c r="M17" s="73">
        <f>SUM(L17)+1.6</f>
        <v>41.000000000000007</v>
      </c>
    </row>
    <row r="18" spans="1:13" s="1" customFormat="1" ht="14.1" customHeight="1" x14ac:dyDescent="0.3">
      <c r="A18" s="11"/>
      <c r="B18" s="22" t="s">
        <v>18</v>
      </c>
      <c r="C18" s="22"/>
      <c r="D18" s="23" t="s">
        <v>80</v>
      </c>
      <c r="E18" s="24"/>
      <c r="F18" s="24"/>
      <c r="G18" s="27"/>
      <c r="H18" s="32"/>
      <c r="I18" s="33"/>
      <c r="J18" s="33"/>
      <c r="K18" s="33"/>
      <c r="L18" s="66"/>
      <c r="M18" s="73"/>
    </row>
    <row r="19" spans="1:13" s="1" customFormat="1" ht="14.1" customHeight="1" x14ac:dyDescent="0.3">
      <c r="A19" s="11">
        <v>9</v>
      </c>
      <c r="B19" s="30" t="s">
        <v>81</v>
      </c>
      <c r="C19" s="31"/>
      <c r="D19" s="37"/>
      <c r="E19" s="38"/>
      <c r="F19" s="38"/>
      <c r="G19" s="39"/>
      <c r="H19" s="32">
        <v>2.5</v>
      </c>
      <c r="I19" s="33">
        <f>SUM(H19)</f>
        <v>2.5</v>
      </c>
      <c r="J19" s="33">
        <f>SUM(I19)</f>
        <v>2.5</v>
      </c>
      <c r="K19" s="33">
        <f>SUM(J19)+0.2</f>
        <v>2.7</v>
      </c>
      <c r="L19" s="66">
        <f>SUM(K19)</f>
        <v>2.7</v>
      </c>
      <c r="M19" s="73">
        <f>SUM(L19)</f>
        <v>2.7</v>
      </c>
    </row>
    <row r="20" spans="1:13" s="1" customFormat="1" ht="14.1" customHeight="1" x14ac:dyDescent="0.3">
      <c r="A20" s="11"/>
      <c r="B20" s="22" t="s">
        <v>82</v>
      </c>
      <c r="C20" s="22"/>
      <c r="D20" s="23"/>
      <c r="E20" s="24"/>
      <c r="F20" s="24"/>
      <c r="G20" s="27"/>
      <c r="H20" s="32"/>
      <c r="I20" s="33"/>
      <c r="J20" s="33"/>
      <c r="K20" s="33"/>
      <c r="L20" s="66"/>
      <c r="M20" s="73"/>
    </row>
    <row r="21" spans="1:13" s="1" customFormat="1" ht="14.1" customHeight="1" x14ac:dyDescent="0.3">
      <c r="A21" s="11">
        <v>10</v>
      </c>
      <c r="B21" s="28" t="s">
        <v>4</v>
      </c>
      <c r="C21" s="28"/>
      <c r="D21" s="29" t="s">
        <v>5</v>
      </c>
      <c r="E21" s="29"/>
      <c r="F21" s="29"/>
      <c r="G21" s="29"/>
      <c r="H21" s="32">
        <v>28.2</v>
      </c>
      <c r="I21" s="33">
        <f>SUM(H21)+3.6</f>
        <v>31.8</v>
      </c>
      <c r="J21" s="33">
        <f>SUM(I21)+3.6</f>
        <v>35.4</v>
      </c>
      <c r="K21" s="33">
        <f>SUM(J21)+3.6</f>
        <v>39</v>
      </c>
      <c r="L21" s="66">
        <f>SUM(K21)+3.7</f>
        <v>42.7</v>
      </c>
      <c r="M21" s="73">
        <f>SUM(L21)+3.7</f>
        <v>46.400000000000006</v>
      </c>
    </row>
    <row r="22" spans="1:13" s="1" customFormat="1" ht="14.1" customHeight="1" x14ac:dyDescent="0.3">
      <c r="A22" s="11"/>
      <c r="B22" s="22" t="s">
        <v>15</v>
      </c>
      <c r="C22" s="22"/>
      <c r="D22" s="23" t="s">
        <v>32</v>
      </c>
      <c r="E22" s="24"/>
      <c r="F22" s="24"/>
      <c r="G22" s="27"/>
      <c r="H22" s="32"/>
      <c r="I22" s="33"/>
      <c r="J22" s="33"/>
      <c r="K22" s="33"/>
      <c r="L22" s="66"/>
      <c r="M22" s="73"/>
    </row>
    <row r="23" spans="1:13" s="1" customFormat="1" ht="14.1" customHeight="1" x14ac:dyDescent="0.3">
      <c r="A23" s="11">
        <v>11</v>
      </c>
      <c r="B23" s="28" t="s">
        <v>6</v>
      </c>
      <c r="C23" s="28"/>
      <c r="D23" s="37" t="s">
        <v>7</v>
      </c>
      <c r="E23" s="38"/>
      <c r="F23" s="38"/>
      <c r="G23" s="39"/>
      <c r="H23" s="32">
        <v>29.8</v>
      </c>
      <c r="I23" s="33">
        <f>SUM(H23)+1.6</f>
        <v>31.400000000000002</v>
      </c>
      <c r="J23" s="33">
        <f>SUM(I23)+1.6</f>
        <v>33</v>
      </c>
      <c r="K23" s="33">
        <f>SUM(J23)+1.6</f>
        <v>34.6</v>
      </c>
      <c r="L23" s="66">
        <f>SUM(K23)+1.7</f>
        <v>36.300000000000004</v>
      </c>
      <c r="M23" s="73">
        <f>SUM(L23)+1.7</f>
        <v>38.000000000000007</v>
      </c>
    </row>
    <row r="24" spans="1:13" s="1" customFormat="1" ht="14.1" customHeight="1" x14ac:dyDescent="0.3">
      <c r="A24" s="11"/>
      <c r="B24" s="22" t="s">
        <v>16</v>
      </c>
      <c r="C24" s="22"/>
      <c r="D24" s="23" t="s">
        <v>40</v>
      </c>
      <c r="E24" s="24"/>
      <c r="F24" s="24"/>
      <c r="G24" s="27"/>
      <c r="H24" s="32"/>
      <c r="I24" s="33"/>
      <c r="J24" s="33"/>
      <c r="K24" s="33"/>
      <c r="L24" s="66"/>
      <c r="M24" s="73"/>
    </row>
    <row r="25" spans="1:13" s="1" customFormat="1" ht="14.1" customHeight="1" x14ac:dyDescent="0.3">
      <c r="A25" s="11">
        <v>12</v>
      </c>
      <c r="B25" s="30" t="s">
        <v>83</v>
      </c>
      <c r="C25" s="31"/>
      <c r="D25" s="29" t="s">
        <v>41</v>
      </c>
      <c r="E25" s="29"/>
      <c r="F25" s="29"/>
      <c r="G25" s="29"/>
      <c r="H25" s="32">
        <v>16</v>
      </c>
      <c r="I25" s="33">
        <f>SUM(H25)+0.6</f>
        <v>16.600000000000001</v>
      </c>
      <c r="J25" s="33">
        <f>SUM(I25)+0.6</f>
        <v>17.200000000000003</v>
      </c>
      <c r="K25" s="33">
        <f>SUM(J25)+0.6</f>
        <v>17.800000000000004</v>
      </c>
      <c r="L25" s="66">
        <f>SUM(K25)+0.6</f>
        <v>18.400000000000006</v>
      </c>
      <c r="M25" s="73">
        <f>SUM(L25)+0.6</f>
        <v>19.000000000000007</v>
      </c>
    </row>
    <row r="26" spans="1:13" s="1" customFormat="1" ht="14.1" customHeight="1" x14ac:dyDescent="0.3">
      <c r="A26" s="11"/>
      <c r="B26" s="22" t="s">
        <v>84</v>
      </c>
      <c r="C26" s="22"/>
      <c r="D26" s="23" t="s">
        <v>42</v>
      </c>
      <c r="E26" s="24"/>
      <c r="F26" s="24"/>
      <c r="G26" s="27"/>
      <c r="H26" s="32"/>
      <c r="I26" s="33"/>
      <c r="J26" s="33"/>
      <c r="K26" s="33"/>
      <c r="L26" s="66"/>
      <c r="M26" s="73"/>
    </row>
    <row r="27" spans="1:13" s="1" customFormat="1" ht="14.1" customHeight="1" x14ac:dyDescent="0.3">
      <c r="A27" s="11">
        <v>13</v>
      </c>
      <c r="B27" s="30" t="s">
        <v>62</v>
      </c>
      <c r="C27" s="31"/>
      <c r="D27" s="29"/>
      <c r="E27" s="29"/>
      <c r="F27" s="29"/>
      <c r="G27" s="29"/>
      <c r="H27" s="32">
        <v>9</v>
      </c>
      <c r="I27" s="33">
        <f>SUM(H27)+0.5</f>
        <v>9.5</v>
      </c>
      <c r="J27" s="33">
        <f>SUM(I27)+0.5</f>
        <v>10</v>
      </c>
      <c r="K27" s="33">
        <f>SUM(J27)+0.5</f>
        <v>10.5</v>
      </c>
      <c r="L27" s="66">
        <f>SUM(K27)+0.5</f>
        <v>11</v>
      </c>
      <c r="M27" s="73">
        <f>SUM(L27)+0.5</f>
        <v>11.5</v>
      </c>
    </row>
    <row r="28" spans="1:13" s="1" customFormat="1" ht="14.1" customHeight="1" x14ac:dyDescent="0.3">
      <c r="A28" s="11"/>
      <c r="B28" s="22" t="s">
        <v>85</v>
      </c>
      <c r="C28" s="22"/>
      <c r="D28" s="23"/>
      <c r="E28" s="24"/>
      <c r="F28" s="24"/>
      <c r="G28" s="27"/>
      <c r="H28" s="32"/>
      <c r="I28" s="33"/>
      <c r="J28" s="33"/>
      <c r="K28" s="33"/>
      <c r="L28" s="66"/>
      <c r="M28" s="73"/>
    </row>
    <row r="29" spans="1:13" ht="14.1" customHeight="1" x14ac:dyDescent="0.3">
      <c r="A29" s="11">
        <v>14</v>
      </c>
      <c r="B29" s="30" t="s">
        <v>67</v>
      </c>
      <c r="C29" s="31"/>
      <c r="D29" s="51"/>
      <c r="E29" s="52"/>
      <c r="F29" s="52"/>
      <c r="G29" s="53"/>
      <c r="H29" s="32">
        <v>6.4</v>
      </c>
      <c r="I29" s="15">
        <f>SUM(H29)+0.4</f>
        <v>6.8000000000000007</v>
      </c>
      <c r="J29" s="15">
        <f>SUM(I29)+0.4</f>
        <v>7.2000000000000011</v>
      </c>
      <c r="K29" s="15">
        <f>SUM(J29)+0.4</f>
        <v>7.6000000000000014</v>
      </c>
      <c r="L29" s="15">
        <f>SUM(K29)+0.4</f>
        <v>8.0000000000000018</v>
      </c>
      <c r="M29" s="21">
        <f>SUM(L29)+0.4</f>
        <v>8.4000000000000021</v>
      </c>
    </row>
    <row r="30" spans="1:13" ht="14.1" customHeight="1" x14ac:dyDescent="0.3">
      <c r="A30" s="11"/>
      <c r="B30" s="35" t="s">
        <v>73</v>
      </c>
      <c r="C30" s="36"/>
      <c r="D30" s="23" t="s">
        <v>68</v>
      </c>
      <c r="E30" s="24"/>
      <c r="F30" s="24"/>
      <c r="G30" s="27"/>
      <c r="H30" s="32"/>
      <c r="I30" s="16"/>
      <c r="J30" s="16"/>
      <c r="K30" s="16"/>
      <c r="L30" s="16"/>
      <c r="M30" s="25"/>
    </row>
    <row r="31" spans="1:13" ht="14.1" customHeight="1" x14ac:dyDescent="0.3">
      <c r="A31" s="11">
        <v>15</v>
      </c>
      <c r="B31" s="30" t="s">
        <v>69</v>
      </c>
      <c r="C31" s="31"/>
      <c r="D31" s="51"/>
      <c r="E31" s="52"/>
      <c r="F31" s="52"/>
      <c r="G31" s="53"/>
      <c r="H31" s="32">
        <v>8.8000000000000007</v>
      </c>
      <c r="I31" s="15">
        <f>SUM(H31)+0.5</f>
        <v>9.3000000000000007</v>
      </c>
      <c r="J31" s="15">
        <f>SUM(I31)+0.5</f>
        <v>9.8000000000000007</v>
      </c>
      <c r="K31" s="15">
        <f>SUM(J31)+0.5</f>
        <v>10.3</v>
      </c>
      <c r="L31" s="15">
        <f>SUM(K31)+0.5</f>
        <v>10.8</v>
      </c>
      <c r="M31" s="21">
        <f>SUM(L31)+0.5</f>
        <v>11.3</v>
      </c>
    </row>
    <row r="32" spans="1:13" ht="14.1" customHeight="1" x14ac:dyDescent="0.3">
      <c r="A32" s="11"/>
      <c r="B32" s="35" t="s">
        <v>74</v>
      </c>
      <c r="C32" s="36"/>
      <c r="D32" s="23" t="s">
        <v>70</v>
      </c>
      <c r="E32" s="24"/>
      <c r="F32" s="24"/>
      <c r="G32" s="27"/>
      <c r="H32" s="32"/>
      <c r="I32" s="16"/>
      <c r="J32" s="16"/>
      <c r="K32" s="16"/>
      <c r="L32" s="16"/>
      <c r="M32" s="25"/>
    </row>
    <row r="33" spans="1:13" ht="14.1" customHeight="1" x14ac:dyDescent="0.3">
      <c r="A33" s="11">
        <v>16</v>
      </c>
      <c r="B33" s="30" t="s">
        <v>65</v>
      </c>
      <c r="C33" s="31"/>
      <c r="D33" s="37"/>
      <c r="E33" s="38"/>
      <c r="F33" s="38"/>
      <c r="G33" s="39"/>
      <c r="H33" s="32">
        <v>10.5</v>
      </c>
      <c r="I33" s="15">
        <f>SUM(H33)+0.5</f>
        <v>11</v>
      </c>
      <c r="J33" s="15">
        <f>SUM(I33)+0.5</f>
        <v>11.5</v>
      </c>
      <c r="K33" s="15">
        <f>SUM(J33)+0.5</f>
        <v>12</v>
      </c>
      <c r="L33" s="15">
        <f>SUM(K33)+0.5</f>
        <v>12.5</v>
      </c>
      <c r="M33" s="21">
        <f>SUM(L33)+0.5</f>
        <v>13</v>
      </c>
    </row>
    <row r="34" spans="1:13" ht="14.1" customHeight="1" x14ac:dyDescent="0.3">
      <c r="A34" s="11"/>
      <c r="B34" s="35" t="s">
        <v>66</v>
      </c>
      <c r="C34" s="36"/>
      <c r="D34" s="23"/>
      <c r="E34" s="24"/>
      <c r="F34" s="24"/>
      <c r="G34" s="27"/>
      <c r="H34" s="32"/>
      <c r="I34" s="16"/>
      <c r="J34" s="16"/>
      <c r="K34" s="16"/>
      <c r="L34" s="16"/>
      <c r="M34" s="25"/>
    </row>
    <row r="35" spans="1:13" ht="14.1" customHeight="1" x14ac:dyDescent="0.3">
      <c r="A35" s="11">
        <v>17</v>
      </c>
      <c r="B35" s="30" t="s">
        <v>76</v>
      </c>
      <c r="C35" s="31"/>
      <c r="D35" s="51"/>
      <c r="E35" s="52"/>
      <c r="F35" s="52"/>
      <c r="G35" s="53"/>
      <c r="H35" s="32">
        <v>29.5</v>
      </c>
      <c r="I35" s="15">
        <v>32.5</v>
      </c>
      <c r="J35" s="15">
        <v>36</v>
      </c>
      <c r="K35" s="15">
        <v>39</v>
      </c>
      <c r="L35" s="15">
        <v>42</v>
      </c>
      <c r="M35" s="21">
        <v>44.5</v>
      </c>
    </row>
    <row r="36" spans="1:13" ht="14.1" customHeight="1" x14ac:dyDescent="0.3">
      <c r="A36" s="11"/>
      <c r="B36" s="35" t="s">
        <v>86</v>
      </c>
      <c r="C36" s="36"/>
      <c r="D36" s="23" t="s">
        <v>87</v>
      </c>
      <c r="E36" s="24"/>
      <c r="F36" s="24"/>
      <c r="G36" s="27"/>
      <c r="H36" s="32"/>
      <c r="I36" s="16"/>
      <c r="J36" s="16"/>
      <c r="K36" s="16"/>
      <c r="L36" s="16"/>
      <c r="M36" s="25"/>
    </row>
    <row r="37" spans="1:13" ht="14.1" customHeight="1" x14ac:dyDescent="0.3">
      <c r="A37" s="11">
        <v>18</v>
      </c>
      <c r="B37" s="30" t="s">
        <v>75</v>
      </c>
      <c r="C37" s="31"/>
      <c r="D37" s="51"/>
      <c r="E37" s="52"/>
      <c r="F37" s="52"/>
      <c r="G37" s="53"/>
      <c r="H37" s="32">
        <v>3.3</v>
      </c>
      <c r="I37" s="15">
        <f>SUM(H37)+0.4</f>
        <v>3.6999999999999997</v>
      </c>
      <c r="J37" s="15">
        <f>SUM(I37)+0.4</f>
        <v>4.0999999999999996</v>
      </c>
      <c r="K37" s="15">
        <f>SUM(J37)+0.4</f>
        <v>4.5</v>
      </c>
      <c r="L37" s="15">
        <f>SUM(K37)+0.4</f>
        <v>4.9000000000000004</v>
      </c>
      <c r="M37" s="21">
        <f>SUM(L37)+0.4</f>
        <v>5.3000000000000007</v>
      </c>
    </row>
    <row r="38" spans="1:13" ht="14.1" customHeight="1" x14ac:dyDescent="0.3">
      <c r="A38" s="11"/>
      <c r="B38" s="35" t="s">
        <v>43</v>
      </c>
      <c r="C38" s="36"/>
      <c r="D38" s="23" t="s">
        <v>88</v>
      </c>
      <c r="E38" s="24"/>
      <c r="F38" s="24"/>
      <c r="G38" s="27"/>
      <c r="H38" s="32"/>
      <c r="I38" s="16"/>
      <c r="J38" s="16"/>
      <c r="K38" s="16"/>
      <c r="L38" s="16"/>
      <c r="M38" s="25"/>
    </row>
    <row r="39" spans="1:13" ht="14.1" customHeight="1" x14ac:dyDescent="0.3">
      <c r="A39" s="11">
        <v>19</v>
      </c>
      <c r="B39" s="30"/>
      <c r="C39" s="31"/>
      <c r="D39" s="37"/>
      <c r="E39" s="38"/>
      <c r="F39" s="38"/>
      <c r="G39" s="39"/>
      <c r="H39" s="18"/>
      <c r="I39" s="15"/>
      <c r="J39" s="15"/>
      <c r="K39" s="15"/>
      <c r="L39" s="15"/>
      <c r="M39" s="21"/>
    </row>
    <row r="40" spans="1:13" ht="14.1" customHeight="1" thickBot="1" x14ac:dyDescent="0.35">
      <c r="A40" s="60"/>
      <c r="B40" s="54"/>
      <c r="C40" s="55"/>
      <c r="D40" s="56"/>
      <c r="E40" s="57"/>
      <c r="F40" s="57"/>
      <c r="G40" s="58"/>
      <c r="H40" s="59"/>
      <c r="I40" s="61"/>
      <c r="J40" s="61"/>
      <c r="K40" s="61"/>
      <c r="L40" s="61"/>
      <c r="M40" s="62"/>
    </row>
    <row r="41" spans="1:13" ht="14.1" customHeight="1" x14ac:dyDescent="0.3"/>
    <row r="42" spans="1:13" ht="14.1" customHeight="1" x14ac:dyDescent="0.3"/>
    <row r="43" spans="1:13" ht="14.1" customHeight="1" x14ac:dyDescent="0.3"/>
    <row r="44" spans="1:13" ht="14.1" customHeight="1" x14ac:dyDescent="0.3"/>
    <row r="45" spans="1:13" ht="14.1" customHeight="1" x14ac:dyDescent="0.3"/>
    <row r="46" spans="1:13" ht="14.1" customHeight="1" x14ac:dyDescent="0.3"/>
    <row r="47" spans="1:13" ht="14.1" customHeight="1" x14ac:dyDescent="0.3"/>
    <row r="48" spans="1:13" ht="14.1" customHeight="1" x14ac:dyDescent="0.3"/>
    <row r="49" customFormat="1" ht="14.1" customHeight="1" x14ac:dyDescent="0.3"/>
    <row r="50" customFormat="1" ht="14.1" customHeight="1" x14ac:dyDescent="0.3"/>
    <row r="51" customFormat="1" ht="14.1" customHeight="1" x14ac:dyDescent="0.3"/>
  </sheetData>
  <mergeCells count="212">
    <mergeCell ref="J39:J40"/>
    <mergeCell ref="K39:K40"/>
    <mergeCell ref="L39:L40"/>
    <mergeCell ref="M39:M40"/>
    <mergeCell ref="B40:C40"/>
    <mergeCell ref="D40:G40"/>
    <mergeCell ref="K37:K38"/>
    <mergeCell ref="L37:L38"/>
    <mergeCell ref="M37:M38"/>
    <mergeCell ref="B38:C38"/>
    <mergeCell ref="D38:G38"/>
    <mergeCell ref="J37:J38"/>
    <mergeCell ref="A39:A40"/>
    <mergeCell ref="B39:C39"/>
    <mergeCell ref="D39:G39"/>
    <mergeCell ref="H39:H40"/>
    <mergeCell ref="I39:I40"/>
    <mergeCell ref="A37:A38"/>
    <mergeCell ref="B37:C37"/>
    <mergeCell ref="D37:G37"/>
    <mergeCell ref="H37:H38"/>
    <mergeCell ref="I37:I38"/>
    <mergeCell ref="J35:J36"/>
    <mergeCell ref="K35:K36"/>
    <mergeCell ref="L35:L36"/>
    <mergeCell ref="M35:M36"/>
    <mergeCell ref="B36:C36"/>
    <mergeCell ref="D36:G36"/>
    <mergeCell ref="K33:K34"/>
    <mergeCell ref="L33:L34"/>
    <mergeCell ref="M33:M34"/>
    <mergeCell ref="B34:C34"/>
    <mergeCell ref="D34:G34"/>
    <mergeCell ref="J33:J34"/>
    <mergeCell ref="A35:A36"/>
    <mergeCell ref="B35:C35"/>
    <mergeCell ref="D35:G35"/>
    <mergeCell ref="H35:H36"/>
    <mergeCell ref="I35:I36"/>
    <mergeCell ref="A33:A34"/>
    <mergeCell ref="B33:C33"/>
    <mergeCell ref="D33:G33"/>
    <mergeCell ref="H33:H34"/>
    <mergeCell ref="I33:I34"/>
    <mergeCell ref="J31:J32"/>
    <mergeCell ref="K31:K32"/>
    <mergeCell ref="L31:L32"/>
    <mergeCell ref="M31:M32"/>
    <mergeCell ref="B32:C32"/>
    <mergeCell ref="D32:G32"/>
    <mergeCell ref="K29:K30"/>
    <mergeCell ref="L29:L30"/>
    <mergeCell ref="M29:M30"/>
    <mergeCell ref="B30:C30"/>
    <mergeCell ref="D30:G30"/>
    <mergeCell ref="J29:J30"/>
    <mergeCell ref="A31:A32"/>
    <mergeCell ref="B31:C31"/>
    <mergeCell ref="D31:G31"/>
    <mergeCell ref="H31:H32"/>
    <mergeCell ref="I31:I32"/>
    <mergeCell ref="A29:A30"/>
    <mergeCell ref="B29:C29"/>
    <mergeCell ref="D29:G29"/>
    <mergeCell ref="H29:H30"/>
    <mergeCell ref="I29:I30"/>
    <mergeCell ref="J27:J28"/>
    <mergeCell ref="K27:K28"/>
    <mergeCell ref="L27:L28"/>
    <mergeCell ref="M27:M28"/>
    <mergeCell ref="B28:C28"/>
    <mergeCell ref="D28:G28"/>
    <mergeCell ref="K25:K26"/>
    <mergeCell ref="L25:L26"/>
    <mergeCell ref="M25:M26"/>
    <mergeCell ref="B26:C26"/>
    <mergeCell ref="D26:G26"/>
    <mergeCell ref="J25:J26"/>
    <mergeCell ref="A27:A28"/>
    <mergeCell ref="B27:C27"/>
    <mergeCell ref="D27:G27"/>
    <mergeCell ref="H27:H28"/>
    <mergeCell ref="I27:I28"/>
    <mergeCell ref="A25:A26"/>
    <mergeCell ref="B25:C25"/>
    <mergeCell ref="D25:G25"/>
    <mergeCell ref="H25:H26"/>
    <mergeCell ref="I25:I26"/>
    <mergeCell ref="J23:J24"/>
    <mergeCell ref="K23:K24"/>
    <mergeCell ref="L23:L24"/>
    <mergeCell ref="M23:M24"/>
    <mergeCell ref="B24:C24"/>
    <mergeCell ref="D24:G24"/>
    <mergeCell ref="K21:K22"/>
    <mergeCell ref="L21:L22"/>
    <mergeCell ref="M21:M22"/>
    <mergeCell ref="B22:C22"/>
    <mergeCell ref="D22:G22"/>
    <mergeCell ref="J21:J22"/>
    <mergeCell ref="A23:A24"/>
    <mergeCell ref="B23:C23"/>
    <mergeCell ref="D23:G23"/>
    <mergeCell ref="H23:H24"/>
    <mergeCell ref="I23:I24"/>
    <mergeCell ref="A21:A22"/>
    <mergeCell ref="B21:C21"/>
    <mergeCell ref="D21:G21"/>
    <mergeCell ref="H21:H22"/>
    <mergeCell ref="I21:I22"/>
    <mergeCell ref="J19:J20"/>
    <mergeCell ref="K19:K20"/>
    <mergeCell ref="L19:L20"/>
    <mergeCell ref="M19:M20"/>
    <mergeCell ref="B20:C20"/>
    <mergeCell ref="D20:G20"/>
    <mergeCell ref="K17:K18"/>
    <mergeCell ref="L17:L18"/>
    <mergeCell ref="M17:M18"/>
    <mergeCell ref="B18:C18"/>
    <mergeCell ref="D18:G18"/>
    <mergeCell ref="J17:J18"/>
    <mergeCell ref="A19:A20"/>
    <mergeCell ref="B19:C19"/>
    <mergeCell ref="D19:G19"/>
    <mergeCell ref="H19:H20"/>
    <mergeCell ref="I19:I20"/>
    <mergeCell ref="A17:A18"/>
    <mergeCell ref="B17:C17"/>
    <mergeCell ref="D17:G17"/>
    <mergeCell ref="H17:H18"/>
    <mergeCell ref="I17:I18"/>
    <mergeCell ref="J15:J16"/>
    <mergeCell ref="K15:K16"/>
    <mergeCell ref="L15:L16"/>
    <mergeCell ref="M15:M16"/>
    <mergeCell ref="B16:C16"/>
    <mergeCell ref="D16:G16"/>
    <mergeCell ref="K13:K14"/>
    <mergeCell ref="L13:L14"/>
    <mergeCell ref="M13:M14"/>
    <mergeCell ref="B14:C14"/>
    <mergeCell ref="D14:G14"/>
    <mergeCell ref="J13:J14"/>
    <mergeCell ref="A15:A16"/>
    <mergeCell ref="B15:C15"/>
    <mergeCell ref="D15:G15"/>
    <mergeCell ref="H15:H16"/>
    <mergeCell ref="I15:I16"/>
    <mergeCell ref="A13:A14"/>
    <mergeCell ref="B13:C13"/>
    <mergeCell ref="D13:G13"/>
    <mergeCell ref="H13:H14"/>
    <mergeCell ref="I13:I14"/>
    <mergeCell ref="K11:K12"/>
    <mergeCell ref="L11:L12"/>
    <mergeCell ref="M11:M12"/>
    <mergeCell ref="B12:C12"/>
    <mergeCell ref="D12:G12"/>
    <mergeCell ref="K9:K10"/>
    <mergeCell ref="L9:L10"/>
    <mergeCell ref="M9:M10"/>
    <mergeCell ref="B10:C10"/>
    <mergeCell ref="D10:G10"/>
    <mergeCell ref="J9:J10"/>
    <mergeCell ref="A5:A6"/>
    <mergeCell ref="B5:C5"/>
    <mergeCell ref="D5:G5"/>
    <mergeCell ref="H5:H6"/>
    <mergeCell ref="I5:I6"/>
    <mergeCell ref="J5:J6"/>
    <mergeCell ref="B6:C6"/>
    <mergeCell ref="D6:G6"/>
    <mergeCell ref="A11:A12"/>
    <mergeCell ref="B11:C11"/>
    <mergeCell ref="D11:G11"/>
    <mergeCell ref="H11:H12"/>
    <mergeCell ref="I11:I12"/>
    <mergeCell ref="A9:A10"/>
    <mergeCell ref="B9:C9"/>
    <mergeCell ref="D9:G9"/>
    <mergeCell ref="H9:H10"/>
    <mergeCell ref="I9:I10"/>
    <mergeCell ref="A7:A8"/>
    <mergeCell ref="B7:C7"/>
    <mergeCell ref="D7:G7"/>
    <mergeCell ref="H7:H8"/>
    <mergeCell ref="I7:I8"/>
    <mergeCell ref="J11:J12"/>
    <mergeCell ref="J7:J8"/>
    <mergeCell ref="K7:K8"/>
    <mergeCell ref="L7:L8"/>
    <mergeCell ref="M7:M8"/>
    <mergeCell ref="B8:C8"/>
    <mergeCell ref="D8:G8"/>
    <mergeCell ref="K5:K6"/>
    <mergeCell ref="L5:L6"/>
    <mergeCell ref="M5:M6"/>
    <mergeCell ref="A1:M1"/>
    <mergeCell ref="B2:C2"/>
    <mergeCell ref="D2:G2"/>
    <mergeCell ref="A3:A4"/>
    <mergeCell ref="B3:C3"/>
    <mergeCell ref="D3:G3"/>
    <mergeCell ref="H3:H4"/>
    <mergeCell ref="I3:I4"/>
    <mergeCell ref="J3:J4"/>
    <mergeCell ref="K3:K4"/>
    <mergeCell ref="L3:L4"/>
    <mergeCell ref="M3:M4"/>
    <mergeCell ref="B4:C4"/>
    <mergeCell ref="D4:G4"/>
  </mergeCells>
  <phoneticPr fontId="11" type="noConversion"/>
  <printOptions horizontalCentered="1"/>
  <pageMargins left="0.47244094488188981" right="0.47244094488188981" top="0.74803149606299213" bottom="0.74803149606299213" header="0.31496062992125984" footer="0.31496062992125984"/>
  <pageSetup paperSize="9"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OU07</vt:lpstr>
      <vt:lpstr>OU20</vt:lpstr>
      <vt:lpstr>'OU07'!Print_Area</vt:lpstr>
      <vt:lpstr>'OU20'!Print_Area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지동호</dc:creator>
  <cp:lastModifiedBy>sc240610</cp:lastModifiedBy>
  <cp:lastPrinted>2025-12-11T07:06:37Z</cp:lastPrinted>
  <dcterms:created xsi:type="dcterms:W3CDTF">2018-05-14T06:17:18Z</dcterms:created>
  <dcterms:modified xsi:type="dcterms:W3CDTF">2025-12-11T07:19:51Z</dcterms:modified>
</cp:coreProperties>
</file>