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40610\Desktop\새 폴더\"/>
    </mc:Choice>
  </mc:AlternateContent>
  <xr:revisionPtr revIDLastSave="0" documentId="13_ncr:1_{715561A4-A40A-4FB2-9042-6E4CFDBD131E}" xr6:coauthVersionLast="47" xr6:coauthVersionMax="47" xr10:uidLastSave="{00000000-0000-0000-0000-000000000000}"/>
  <bookViews>
    <workbookView xWindow="36750" yWindow="465" windowWidth="18840" windowHeight="14850" tabRatio="772" xr2:uid="{248B8E69-6C34-46C8-9649-87D2B01A7065}"/>
  </bookViews>
  <sheets>
    <sheet name="SE11" sheetId="2636" r:id="rId1"/>
    <sheet name="OP24" sheetId="2635" r:id="rId2"/>
    <sheet name="OU10" sheetId="2629" r:id="rId3"/>
    <sheet name="OU11" sheetId="2633" r:id="rId4"/>
    <sheet name="TO59" sheetId="2631" r:id="rId5"/>
    <sheet name="TO60" sheetId="2628" r:id="rId6"/>
  </sheets>
  <definedNames>
    <definedName name="_xlnm.Print_Area" localSheetId="1">'OP24'!$A$1:$M$36</definedName>
    <definedName name="_xlnm.Print_Area" localSheetId="2">'OU10'!$A$1:$M$40</definedName>
    <definedName name="_xlnm.Print_Area" localSheetId="3">'OU11'!$A$1:$M$46</definedName>
    <definedName name="_xlnm.Print_Area" localSheetId="0">'SE11'!$A$1:$M$52</definedName>
    <definedName name="_xlnm.Print_Area" localSheetId="4">'TO59'!$A$1:$M$30</definedName>
    <definedName name="_xlnm.Print_Area" localSheetId="5">'TO60'!$A$1:$M$30</definedName>
  </definedNames>
  <calcPr calcId="191029"/>
</workbook>
</file>

<file path=xl/calcChain.xml><?xml version="1.0" encoding="utf-8"?>
<calcChain xmlns="http://schemas.openxmlformats.org/spreadsheetml/2006/main">
  <c r="I3" i="2636" l="1"/>
  <c r="H3" i="2636" s="1"/>
  <c r="K3" i="2636"/>
  <c r="L3" i="2636"/>
  <c r="M3" i="2636"/>
  <c r="I5" i="2636"/>
  <c r="H5" i="2636" s="1"/>
  <c r="K5" i="2636"/>
  <c r="L5" i="2636"/>
  <c r="M5" i="2636"/>
  <c r="H7" i="2636"/>
  <c r="I7" i="2636"/>
  <c r="K7" i="2636"/>
  <c r="L7" i="2636"/>
  <c r="M7" i="2636"/>
  <c r="H9" i="2636"/>
  <c r="I9" i="2636"/>
  <c r="K9" i="2636"/>
  <c r="L9" i="2636"/>
  <c r="M9" i="2636"/>
  <c r="H11" i="2636"/>
  <c r="I11" i="2636"/>
  <c r="K11" i="2636"/>
  <c r="L11" i="2636"/>
  <c r="M11" i="2636"/>
  <c r="Q11" i="2636"/>
  <c r="Q12" i="2636" s="1"/>
  <c r="I13" i="2636"/>
  <c r="H13" i="2636" s="1"/>
  <c r="K13" i="2636"/>
  <c r="L13" i="2636"/>
  <c r="M13" i="2636"/>
  <c r="I15" i="2636"/>
  <c r="H15" i="2636" s="1"/>
  <c r="K15" i="2636"/>
  <c r="L15" i="2636"/>
  <c r="M15" i="2636"/>
  <c r="H17" i="2636"/>
  <c r="I17" i="2636"/>
  <c r="K17" i="2636"/>
  <c r="L17" i="2636"/>
  <c r="M17" i="2636"/>
  <c r="H19" i="2636"/>
  <c r="I19" i="2636"/>
  <c r="K19" i="2636"/>
  <c r="L19" i="2636"/>
  <c r="M19" i="2636"/>
  <c r="H23" i="2636"/>
  <c r="I23" i="2636"/>
  <c r="K23" i="2636"/>
  <c r="L23" i="2636"/>
  <c r="M23" i="2636"/>
  <c r="H25" i="2636"/>
  <c r="I25" i="2636"/>
  <c r="K25" i="2636"/>
  <c r="L25" i="2636"/>
  <c r="M25" i="2636"/>
  <c r="I27" i="2636"/>
  <c r="H27" i="2636" s="1"/>
  <c r="K27" i="2636"/>
  <c r="L27" i="2636"/>
  <c r="M27" i="2636"/>
  <c r="I29" i="2636"/>
  <c r="H29" i="2636" s="1"/>
  <c r="K29" i="2636"/>
  <c r="L29" i="2636"/>
  <c r="M29" i="2636"/>
  <c r="I33" i="2636"/>
  <c r="H33" i="2636" s="1"/>
  <c r="K33" i="2636"/>
  <c r="L33" i="2636" s="1"/>
  <c r="M33" i="2636" s="1"/>
  <c r="I35" i="2636"/>
  <c r="H35" i="2636" s="1"/>
  <c r="K35" i="2636"/>
  <c r="L35" i="2636" s="1"/>
  <c r="M35" i="2636" s="1"/>
  <c r="I37" i="2636"/>
  <c r="H37" i="2636" s="1"/>
  <c r="K37" i="2636"/>
  <c r="L37" i="2636" s="1"/>
  <c r="M37" i="2636" s="1"/>
  <c r="I39" i="2636"/>
  <c r="H39" i="2636" s="1"/>
  <c r="K39" i="2636"/>
  <c r="L39" i="2636" s="1"/>
  <c r="M39" i="2636" s="1"/>
  <c r="I41" i="2636"/>
  <c r="H41" i="2636" s="1"/>
  <c r="K41" i="2636"/>
  <c r="L41" i="2636"/>
  <c r="M41" i="2636" s="1"/>
  <c r="I43" i="2636"/>
  <c r="H43" i="2636" s="1"/>
  <c r="K43" i="2636"/>
  <c r="L43" i="2636"/>
  <c r="M43" i="2636" s="1"/>
  <c r="I45" i="2636"/>
  <c r="H45" i="2636" s="1"/>
  <c r="K45" i="2636"/>
  <c r="L45" i="2636"/>
  <c r="M45" i="2636" s="1"/>
  <c r="I47" i="2636"/>
  <c r="H47" i="2636" s="1"/>
  <c r="K47" i="2636"/>
  <c r="L47" i="2636"/>
  <c r="M47" i="2636"/>
  <c r="L29" i="2635" l="1"/>
  <c r="K29" i="2635"/>
  <c r="I29" i="2635"/>
  <c r="H29" i="2635" s="1"/>
  <c r="K21" i="2635"/>
  <c r="L21" i="2635" s="1"/>
  <c r="P7" i="2635"/>
  <c r="I21" i="2635"/>
  <c r="H21" i="2635" s="1"/>
  <c r="K23" i="2635"/>
  <c r="L23" i="2635" s="1"/>
  <c r="I23" i="2635"/>
  <c r="H23" i="2635" s="1"/>
  <c r="P8" i="2635" s="1"/>
  <c r="I19" i="2635"/>
  <c r="H19" i="2635" s="1"/>
  <c r="K11" i="2635"/>
  <c r="L11" i="2635" s="1"/>
  <c r="I11" i="2635"/>
  <c r="H11" i="2635" s="1"/>
  <c r="K5" i="2635"/>
  <c r="L5" i="2635" s="1"/>
  <c r="I5" i="2635"/>
  <c r="H5" i="2635" s="1"/>
  <c r="K3" i="2635"/>
  <c r="L3" i="2635" s="1"/>
  <c r="I3" i="2635"/>
  <c r="H3" i="2635" s="1"/>
  <c r="K27" i="2635"/>
  <c r="L27" i="2635" s="1"/>
  <c r="I27" i="2635"/>
  <c r="H27" i="2635"/>
  <c r="K25" i="2635"/>
  <c r="L25" i="2635" s="1"/>
  <c r="I25" i="2635"/>
  <c r="H25" i="2635"/>
  <c r="K19" i="2635"/>
  <c r="L19" i="2635" s="1"/>
  <c r="K9" i="2635"/>
  <c r="L9" i="2635" s="1"/>
  <c r="I9" i="2635"/>
  <c r="H9" i="2635" s="1"/>
  <c r="P13" i="2635" s="1"/>
  <c r="K7" i="2635"/>
  <c r="L7" i="2635" s="1"/>
  <c r="I7" i="2635"/>
  <c r="H7" i="2635" s="1"/>
  <c r="P9" i="2635" l="1"/>
  <c r="P10" i="2635" s="1"/>
  <c r="P14" i="2635"/>
  <c r="P15" i="2635" s="1"/>
  <c r="P16" i="2635" s="1"/>
  <c r="P27" i="2633"/>
  <c r="P26" i="2633"/>
  <c r="P25" i="2633"/>
  <c r="K37" i="2633" l="1"/>
  <c r="L37" i="2633" s="1"/>
  <c r="M37" i="2633" s="1"/>
  <c r="I37" i="2633"/>
  <c r="H37" i="2633"/>
  <c r="K33" i="2633"/>
  <c r="L33" i="2633" s="1"/>
  <c r="M33" i="2633" s="1"/>
  <c r="I33" i="2633"/>
  <c r="H33" i="2633" s="1"/>
  <c r="K39" i="2633"/>
  <c r="L39" i="2633" s="1"/>
  <c r="M39" i="2633" s="1"/>
  <c r="I39" i="2633"/>
  <c r="H39" i="2633"/>
  <c r="K41" i="2633"/>
  <c r="L41" i="2633" s="1"/>
  <c r="M41" i="2633" s="1"/>
  <c r="I41" i="2633"/>
  <c r="H41" i="2633"/>
  <c r="K31" i="2633"/>
  <c r="L31" i="2633" s="1"/>
  <c r="M31" i="2633" s="1"/>
  <c r="I31" i="2633"/>
  <c r="H31" i="2633" s="1"/>
  <c r="I21" i="2633"/>
  <c r="H21" i="2633" s="1"/>
  <c r="K11" i="2633"/>
  <c r="L11" i="2633" s="1"/>
  <c r="M11" i="2633" s="1"/>
  <c r="I11" i="2633"/>
  <c r="H11" i="2633" s="1"/>
  <c r="K9" i="2633"/>
  <c r="L9" i="2633" s="1"/>
  <c r="M9" i="2633" s="1"/>
  <c r="I9" i="2633"/>
  <c r="H9" i="2633"/>
  <c r="I3" i="2633"/>
  <c r="H3" i="2633" s="1"/>
  <c r="K3" i="2633"/>
  <c r="L3" i="2633" s="1"/>
  <c r="M3" i="2633" s="1"/>
  <c r="M17" i="2633"/>
  <c r="K29" i="2633"/>
  <c r="L29" i="2633" s="1"/>
  <c r="M29" i="2633" s="1"/>
  <c r="I29" i="2633"/>
  <c r="H29" i="2633" s="1"/>
  <c r="K27" i="2633"/>
  <c r="L27" i="2633" s="1"/>
  <c r="M27" i="2633" s="1"/>
  <c r="I27" i="2633"/>
  <c r="H27" i="2633" s="1"/>
  <c r="K25" i="2633"/>
  <c r="L25" i="2633" s="1"/>
  <c r="M25" i="2633" s="1"/>
  <c r="I25" i="2633"/>
  <c r="H25" i="2633" s="1"/>
  <c r="K23" i="2633"/>
  <c r="L23" i="2633" s="1"/>
  <c r="M23" i="2633" s="1"/>
  <c r="I23" i="2633"/>
  <c r="H23" i="2633" s="1"/>
  <c r="K21" i="2633"/>
  <c r="L21" i="2633" s="1"/>
  <c r="M21" i="2633" s="1"/>
  <c r="K19" i="2633"/>
  <c r="L19" i="2633" s="1"/>
  <c r="M19" i="2633" s="1"/>
  <c r="I19" i="2633"/>
  <c r="H19" i="2633" s="1"/>
  <c r="K17" i="2633"/>
  <c r="L17" i="2633" s="1"/>
  <c r="I17" i="2633"/>
  <c r="H17" i="2633" s="1"/>
  <c r="K15" i="2633"/>
  <c r="L15" i="2633" s="1"/>
  <c r="M15" i="2633" s="1"/>
  <c r="I15" i="2633"/>
  <c r="H15" i="2633" s="1"/>
  <c r="K13" i="2633"/>
  <c r="L13" i="2633" s="1"/>
  <c r="M13" i="2633" s="1"/>
  <c r="I13" i="2633"/>
  <c r="H13" i="2633" s="1"/>
  <c r="K7" i="2633"/>
  <c r="L7" i="2633" s="1"/>
  <c r="M7" i="2633" s="1"/>
  <c r="I7" i="2633"/>
  <c r="H7" i="2633" s="1"/>
  <c r="K5" i="2633"/>
  <c r="L5" i="2633" s="1"/>
  <c r="M5" i="2633" s="1"/>
  <c r="I5" i="2633"/>
  <c r="H5" i="2633" s="1"/>
  <c r="Q12" i="2631"/>
  <c r="Q11" i="2631"/>
  <c r="M7" i="2631"/>
  <c r="L7" i="2631"/>
  <c r="K27" i="2631"/>
  <c r="L27" i="2631" s="1"/>
  <c r="M27" i="2631" s="1"/>
  <c r="I27" i="2631"/>
  <c r="H27" i="2631" s="1"/>
  <c r="K25" i="2631"/>
  <c r="L25" i="2631" s="1"/>
  <c r="M25" i="2631" s="1"/>
  <c r="H25" i="2631"/>
  <c r="I25" i="2631"/>
  <c r="H19" i="2631"/>
  <c r="I19" i="2631"/>
  <c r="M19" i="2631"/>
  <c r="K19" i="2631"/>
  <c r="L19" i="2631"/>
  <c r="M11" i="2631"/>
  <c r="L11" i="2631"/>
  <c r="K11" i="2631"/>
  <c r="K5" i="2631"/>
  <c r="L5" i="2631" s="1"/>
  <c r="M5" i="2631" s="1"/>
  <c r="I5" i="2631"/>
  <c r="H5" i="2631" s="1"/>
  <c r="M3" i="2631"/>
  <c r="L3" i="2631"/>
  <c r="K3" i="2631"/>
  <c r="H3" i="2631"/>
  <c r="I3" i="2631"/>
  <c r="K23" i="2631"/>
  <c r="L23" i="2631" s="1"/>
  <c r="M23" i="2631" s="1"/>
  <c r="I23" i="2631"/>
  <c r="H23" i="2631"/>
  <c r="K17" i="2631"/>
  <c r="L17" i="2631" s="1"/>
  <c r="M17" i="2631" s="1"/>
  <c r="I17" i="2631"/>
  <c r="H17" i="2631" s="1"/>
  <c r="K15" i="2631"/>
  <c r="L15" i="2631" s="1"/>
  <c r="M15" i="2631" s="1"/>
  <c r="I15" i="2631"/>
  <c r="H15" i="2631" s="1"/>
  <c r="K13" i="2631"/>
  <c r="L13" i="2631" s="1"/>
  <c r="M13" i="2631" s="1"/>
  <c r="I13" i="2631"/>
  <c r="H13" i="2631" s="1"/>
  <c r="I11" i="2631"/>
  <c r="H11" i="2631"/>
  <c r="K9" i="2631"/>
  <c r="L9" i="2631" s="1"/>
  <c r="M9" i="2631" s="1"/>
  <c r="I9" i="2631"/>
  <c r="H9" i="2631"/>
  <c r="K7" i="2631"/>
  <c r="I7" i="2631"/>
  <c r="H7" i="2631"/>
  <c r="K35" i="2629"/>
  <c r="L35" i="2629" s="1"/>
  <c r="I35" i="2629"/>
  <c r="H35" i="2629" s="1"/>
  <c r="H33" i="2629"/>
  <c r="I37" i="2629"/>
  <c r="H37" i="2629" s="1"/>
  <c r="I39" i="2629"/>
  <c r="H39" i="2629" s="1"/>
  <c r="L33" i="2629"/>
  <c r="K37" i="2629"/>
  <c r="L37" i="2629" s="1"/>
  <c r="K39" i="2629"/>
  <c r="L39" i="2629" s="1"/>
  <c r="K33" i="2629"/>
  <c r="I33" i="2629"/>
  <c r="P12" i="2633" l="1"/>
  <c r="P13" i="2633" s="1"/>
  <c r="K29" i="2629"/>
  <c r="L29" i="2629" s="1"/>
  <c r="I29" i="2629"/>
  <c r="H29" i="2629" s="1"/>
  <c r="K31" i="2629"/>
  <c r="L31" i="2629" s="1"/>
  <c r="I31" i="2629"/>
  <c r="H31" i="2629"/>
  <c r="K19" i="2629"/>
  <c r="L19" i="2629" s="1"/>
  <c r="I19" i="2629"/>
  <c r="H19" i="2629" s="1"/>
  <c r="K9" i="2629"/>
  <c r="L9" i="2629" s="1"/>
  <c r="I9" i="2629"/>
  <c r="H9" i="2629" s="1"/>
  <c r="K5" i="2629"/>
  <c r="L5" i="2629" s="1"/>
  <c r="I5" i="2629"/>
  <c r="H5" i="2629" s="1"/>
  <c r="L3" i="2629"/>
  <c r="H3" i="2629"/>
  <c r="K3" i="2629"/>
  <c r="I3" i="2629"/>
  <c r="K7" i="2629"/>
  <c r="L7" i="2629" s="1"/>
  <c r="I7" i="2629"/>
  <c r="H7" i="2629" s="1"/>
  <c r="K21" i="2629"/>
  <c r="L21" i="2629" s="1"/>
  <c r="I21" i="2629"/>
  <c r="H21" i="2629" s="1"/>
  <c r="K11" i="2629"/>
  <c r="L11" i="2629" s="1"/>
  <c r="I11" i="2629"/>
  <c r="H11" i="2629" s="1"/>
  <c r="K27" i="2629"/>
  <c r="L27" i="2629" s="1"/>
  <c r="I27" i="2629"/>
  <c r="H27" i="2629" s="1"/>
  <c r="K25" i="2629"/>
  <c r="L25" i="2629" s="1"/>
  <c r="I25" i="2629"/>
  <c r="H25" i="2629" s="1"/>
  <c r="K23" i="2629"/>
  <c r="L23" i="2629" s="1"/>
  <c r="I23" i="2629"/>
  <c r="H23" i="2629" s="1"/>
  <c r="K17" i="2629"/>
  <c r="L17" i="2629" s="1"/>
  <c r="I17" i="2629"/>
  <c r="H17" i="2629" s="1"/>
  <c r="K15" i="2629"/>
  <c r="L15" i="2629" s="1"/>
  <c r="I15" i="2629"/>
  <c r="H15" i="2629" s="1"/>
  <c r="K13" i="2629"/>
  <c r="L13" i="2629" s="1"/>
  <c r="I13" i="2629"/>
  <c r="H13" i="2629" s="1"/>
  <c r="L29" i="2628"/>
  <c r="M29" i="2628" s="1"/>
  <c r="H29" i="2628"/>
  <c r="I29" i="2628"/>
  <c r="K29" i="2628"/>
  <c r="K27" i="2628"/>
  <c r="L27" i="2628" s="1"/>
  <c r="M27" i="2628" s="1"/>
  <c r="I27" i="2628"/>
  <c r="H27" i="2628" s="1"/>
  <c r="L25" i="2628"/>
  <c r="M25" i="2628" s="1"/>
  <c r="K25" i="2628"/>
  <c r="I25" i="2628"/>
  <c r="H25" i="2628" s="1"/>
  <c r="L23" i="2628"/>
  <c r="M23" i="2628"/>
  <c r="H23" i="2628"/>
  <c r="K23" i="2628"/>
  <c r="I23" i="2628"/>
  <c r="K19" i="2628"/>
  <c r="L19" i="2628" s="1"/>
  <c r="M19" i="2628" s="1"/>
  <c r="I19" i="2628"/>
  <c r="H19" i="2628" s="1"/>
  <c r="K11" i="2628"/>
  <c r="L11" i="2628" s="1"/>
  <c r="M11" i="2628" s="1"/>
  <c r="I11" i="2628"/>
  <c r="H11" i="2628" s="1"/>
  <c r="K5" i="2628"/>
  <c r="L5" i="2628" s="1"/>
  <c r="M5" i="2628" s="1"/>
  <c r="I5" i="2628"/>
  <c r="H5" i="2628" s="1"/>
  <c r="I3" i="2628"/>
  <c r="H3" i="2628" s="1"/>
  <c r="K3" i="2628"/>
  <c r="L3" i="2628" s="1"/>
  <c r="M3" i="2628" s="1"/>
  <c r="K17" i="2628"/>
  <c r="L17" i="2628" s="1"/>
  <c r="M17" i="2628" s="1"/>
  <c r="I17" i="2628"/>
  <c r="H17" i="2628" s="1"/>
  <c r="K15" i="2628"/>
  <c r="L15" i="2628" s="1"/>
  <c r="M15" i="2628" s="1"/>
  <c r="I15" i="2628"/>
  <c r="H15" i="2628" s="1"/>
  <c r="K13" i="2628"/>
  <c r="L13" i="2628" s="1"/>
  <c r="M13" i="2628" s="1"/>
  <c r="I13" i="2628"/>
  <c r="H13" i="2628" s="1"/>
  <c r="K9" i="2628"/>
  <c r="L9" i="2628" s="1"/>
  <c r="M9" i="2628" s="1"/>
  <c r="I9" i="2628"/>
  <c r="H9" i="2628" s="1"/>
  <c r="K7" i="2628"/>
  <c r="L7" i="2628" s="1"/>
  <c r="M7" i="2628" s="1"/>
  <c r="I7" i="2628"/>
  <c r="H7" i="2628" s="1"/>
</calcChain>
</file>

<file path=xl/sharedStrings.xml><?xml version="1.0" encoding="utf-8"?>
<sst xmlns="http://schemas.openxmlformats.org/spreadsheetml/2006/main" count="417" uniqueCount="206">
  <si>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</si>
  <si>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</si>
  <si>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</si>
  <si>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</si>
  <si>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</si>
  <si>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</si>
  <si>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</si>
  <si>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</si>
  <si>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</si>
  <si>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</si>
  <si>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</si>
  <si>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</si>
  <si>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</si>
  <si>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</si>
  <si>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</si>
  <si>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</si>
  <si>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</si>
  <si>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</si>
  <si>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총기장(뒷목)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</si>
  <si>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</si>
  <si>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</si>
  <si>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</si>
  <si>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</si>
  <si>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</si>
  <si>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</si>
  <si>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</si>
  <si>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</si>
  <si>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</si>
  <si>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</si>
  <si>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</si>
  <si>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</si>
  <si>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</si>
  <si>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</si>
  <si>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</si>
  <si>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</si>
  <si>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</si>
  <si>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</si>
  <si>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</si>
  <si>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</si>
  <si>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</si>
  <si>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</si>
  <si>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</si>
  <si>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</si>
  <si>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</si>
  <si>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</si>
  <si>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</si>
  <si>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</si>
  <si>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</si>
  <si>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BACK YOKE LENGTH</t>
    <phoneticPr fontId="2" type="noConversion"/>
  </si>
  <si>
    <t xml:space="preserve">CUFFS OPENING </t>
    <phoneticPr fontId="2" type="noConversion"/>
  </si>
  <si>
    <t>FROM FRONT NECK CENTER TO VERTICAL</t>
    <phoneticPr fontId="1" type="noConversion"/>
  </si>
  <si>
    <t>앞목중심에서 수직으로</t>
    <phoneticPr fontId="1" type="noConversion"/>
  </si>
  <si>
    <t>옆목점에서 밑단까지의 직선길이</t>
    <phoneticPr fontId="1" type="noConversion"/>
  </si>
  <si>
    <t>목라인(NECK LINE)을 따라 잰 곡선의 둘레길이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</si>
  <si>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</si>
  <si>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</si>
  <si>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</si>
  <si>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POINT A</t>
    <phoneticPr fontId="1" type="noConversion"/>
  </si>
  <si>
    <t>POINT B</t>
    <phoneticPr fontId="1" type="noConversion"/>
  </si>
  <si>
    <t>위치 A</t>
    <phoneticPr fontId="1" type="noConversion"/>
  </si>
  <si>
    <t>위치 B</t>
    <phoneticPr fontId="1" type="noConversion"/>
  </si>
  <si>
    <t>3XL</t>
    <phoneticPr fontId="1" type="noConversion"/>
  </si>
  <si>
    <t>2XL</t>
    <phoneticPr fontId="1" type="noConversion"/>
  </si>
  <si>
    <t>SLEEVE 4G BAND</t>
    <phoneticPr fontId="2" type="noConversion"/>
  </si>
  <si>
    <t>앞지퍼길이</t>
    <phoneticPr fontId="1" type="noConversion"/>
  </si>
  <si>
    <t>WITHOUT NECK BAND</t>
    <phoneticPr fontId="2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</si>
  <si>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</si>
  <si>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</si>
  <si>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뒤중심</t>
    <phoneticPr fontId="14" type="noConversion"/>
  </si>
  <si>
    <t>소매4골고무줄</t>
    <phoneticPr fontId="14" type="noConversion"/>
  </si>
  <si>
    <t>앞중심에서 수평으로</t>
    <phoneticPr fontId="1" type="noConversion"/>
  </si>
  <si>
    <t>BACK SLIT LENGTH</t>
    <phoneticPr fontId="1" type="noConversion"/>
  </si>
  <si>
    <t>소매8골고무줄</t>
    <phoneticPr fontId="14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</si>
  <si>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</si>
  <si>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</si>
  <si>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</si>
  <si>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</si>
  <si>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</si>
  <si>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</si>
  <si>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</si>
  <si>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</si>
  <si>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앞옆목에서 수직으로(완성)</t>
    <phoneticPr fontId="1" type="noConversion"/>
  </si>
  <si>
    <t>WAIST 8G BAND</t>
    <phoneticPr fontId="2" type="noConversion"/>
  </si>
  <si>
    <t>완성사이즈</t>
    <phoneticPr fontId="1" type="noConversion"/>
  </si>
  <si>
    <t>뒤트임 길이</t>
    <phoneticPr fontId="1" type="noConversion"/>
  </si>
  <si>
    <t>스모킹 완성</t>
    <phoneticPr fontId="14" type="noConversion"/>
  </si>
  <si>
    <t>SLEEVE 15mm BAND</t>
    <phoneticPr fontId="2" type="noConversion"/>
  </si>
  <si>
    <t>소매15mm고무줄</t>
    <phoneticPr fontId="14" type="noConversion"/>
  </si>
  <si>
    <t>YKK</t>
    <phoneticPr fontId="14" type="noConversion"/>
  </si>
  <si>
    <t>CUFFS OPENING 4G BAND</t>
    <phoneticPr fontId="2" type="noConversion"/>
  </si>
  <si>
    <t>소매부리 4골밴드</t>
    <phoneticPr fontId="14" type="noConversion"/>
  </si>
  <si>
    <t>TOTAL SKIRT LENGTH</t>
    <phoneticPr fontId="1" type="noConversion"/>
  </si>
  <si>
    <t>총치마기장</t>
    <phoneticPr fontId="1" type="noConversion"/>
  </si>
  <si>
    <t>BACK SLIT LENGTH</t>
    <phoneticPr fontId="14" type="noConversion"/>
  </si>
  <si>
    <t>뒤트임길이</t>
    <phoneticPr fontId="14" type="noConversion"/>
  </si>
  <si>
    <t>BOTTOM SKIRT LENGTH</t>
    <phoneticPr fontId="1" type="noConversion"/>
  </si>
  <si>
    <t>STYLE NO: JYUTO60-K#A40</t>
    <phoneticPr fontId="1" type="noConversion"/>
  </si>
  <si>
    <r>
      <t xml:space="preserve">소매기장 </t>
    </r>
    <r>
      <rPr>
        <sz val="7.5"/>
        <color rgb="FFFF0000"/>
        <rFont val="맑은 고딕"/>
        <family val="3"/>
        <charset val="129"/>
        <scheme val="minor"/>
      </rPr>
      <t>(주원단)</t>
    </r>
    <phoneticPr fontId="14" type="noConversion"/>
  </si>
  <si>
    <t xml:space="preserve">BETWEEN LENGTH </t>
    <phoneticPr fontId="1" type="noConversion"/>
  </si>
  <si>
    <t>중간 패널 기장</t>
    <phoneticPr fontId="1" type="noConversion"/>
  </si>
  <si>
    <t xml:space="preserve">BOTTOM LENGTH </t>
    <phoneticPr fontId="1" type="noConversion"/>
  </si>
  <si>
    <t>밑단 기장</t>
    <phoneticPr fontId="1" type="noConversion"/>
  </si>
  <si>
    <r>
      <t>중심</t>
    </r>
    <r>
      <rPr>
        <sz val="7.5"/>
        <color rgb="FFFF0000"/>
        <rFont val="맑은 고딕"/>
        <family val="3"/>
        <charset val="129"/>
        <scheme val="major"/>
      </rPr>
      <t>(프릴포함)</t>
    </r>
    <phoneticPr fontId="14" type="noConversion"/>
  </si>
  <si>
    <t>STYLE NO: JYUOU10-W#Y45</t>
    <phoneticPr fontId="1" type="noConversion"/>
  </si>
  <si>
    <r>
      <t>목라인을 따라 잰 곡선의 둘레길이</t>
    </r>
    <r>
      <rPr>
        <sz val="7.5"/>
        <color rgb="FFFF0000"/>
        <rFont val="맑은 고딕"/>
        <family val="3"/>
        <charset val="129"/>
        <scheme val="minor"/>
      </rPr>
      <t>(단추채웠을때)</t>
    </r>
    <phoneticPr fontId="1" type="noConversion"/>
  </si>
  <si>
    <t xml:space="preserve">FRONT FLAT POCKET WIDE </t>
    <phoneticPr fontId="1" type="noConversion"/>
  </si>
  <si>
    <t>앞후다가로</t>
    <phoneticPr fontId="14" type="noConversion"/>
  </si>
  <si>
    <t>FRONT FLAT POCKET HEIGHT</t>
    <phoneticPr fontId="1" type="noConversion"/>
  </si>
  <si>
    <t>FRONT POCKET WIDTH</t>
    <phoneticPr fontId="2" type="noConversion"/>
  </si>
  <si>
    <t>FRONT POCKET HEIGHT</t>
    <phoneticPr fontId="2" type="noConversion"/>
  </si>
  <si>
    <t>앞후다세로</t>
    <phoneticPr fontId="14" type="noConversion"/>
  </si>
  <si>
    <t>앞주머니너비</t>
    <phoneticPr fontId="1" type="noConversion"/>
  </si>
  <si>
    <t>앞주머니높이</t>
    <phoneticPr fontId="1" type="noConversion"/>
  </si>
  <si>
    <t>STYLE NO: JYUTO59-K#G42</t>
    <phoneticPr fontId="1" type="noConversion"/>
  </si>
  <si>
    <t>소매4골고무주</t>
    <phoneticPr fontId="14" type="noConversion"/>
  </si>
  <si>
    <t>STYLE NO: JYUOU11-W#G43</t>
    <phoneticPr fontId="1" type="noConversion"/>
  </si>
  <si>
    <t>BOTTOM STRING LENGTH</t>
    <phoneticPr fontId="2" type="noConversion"/>
  </si>
  <si>
    <t>밑단스트링길이</t>
    <phoneticPr fontId="14" type="noConversion"/>
  </si>
  <si>
    <t>여유분=28cm</t>
    <phoneticPr fontId="14" type="noConversion"/>
  </si>
  <si>
    <r>
      <t>목라인을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</si>
  <si>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앞주머니가로</t>
    <phoneticPr fontId="1" type="noConversion"/>
  </si>
  <si>
    <t>HOOD STRING LENGTH</t>
    <phoneticPr fontId="2" type="noConversion"/>
  </si>
  <si>
    <t>후드스트링길이</t>
    <phoneticPr fontId="14" type="noConversion"/>
  </si>
  <si>
    <t>노출길이 S~3XL=16cm</t>
    <phoneticPr fontId="14" type="noConversion"/>
  </si>
  <si>
    <t>뒤요크길이</t>
    <phoneticPr fontId="1" type="noConversion"/>
  </si>
  <si>
    <t>FRONT ZIPPER LENGTH</t>
    <phoneticPr fontId="2" type="noConversion"/>
  </si>
  <si>
    <t>6골고무줄</t>
    <phoneticPr fontId="14" type="noConversion"/>
  </si>
  <si>
    <t>STYLE NO: JYUOP24-W#Y47</t>
    <phoneticPr fontId="1" type="noConversion"/>
  </si>
  <si>
    <t>총기장(바데끝)</t>
    <phoneticPr fontId="14" type="noConversion"/>
  </si>
  <si>
    <t>바데끝</t>
    <phoneticPr fontId="14" type="noConversion"/>
  </si>
  <si>
    <t xml:space="preserve"> UPPER CHEST 6G BAND</t>
    <phoneticPr fontId="2" type="noConversion"/>
  </si>
  <si>
    <t>앞,뒤바대 6G BAND</t>
    <phoneticPr fontId="1" type="noConversion"/>
  </si>
  <si>
    <t>UPPER CHEST LENGTH</t>
    <phoneticPr fontId="14" type="noConversion"/>
  </si>
  <si>
    <t>앞,뒤바데 기장</t>
    <phoneticPr fontId="14" type="noConversion"/>
  </si>
  <si>
    <t>SLEEVE 8G BAND</t>
    <phoneticPr fontId="14" type="noConversion"/>
  </si>
  <si>
    <t>SLEEVE 6G BAND</t>
    <phoneticPr fontId="14" type="noConversion"/>
  </si>
  <si>
    <t>소매6골고무줄</t>
    <phoneticPr fontId="14" type="noConversion"/>
  </si>
  <si>
    <t>밑단 치마기장</t>
    <phoneticPr fontId="1" type="noConversion"/>
  </si>
  <si>
    <t>허리8골고무줄</t>
    <phoneticPr fontId="14" type="noConversion"/>
  </si>
  <si>
    <t>8골고무줄</t>
    <phoneticPr fontId="14" type="noConversion"/>
  </si>
  <si>
    <t>바데끝,프릴제외</t>
    <phoneticPr fontId="14" type="noConversion"/>
  </si>
  <si>
    <t>소매 위쪽</t>
    <phoneticPr fontId="14" type="noConversion"/>
  </si>
  <si>
    <t>소매 아래쪽</t>
    <phoneticPr fontId="14" type="noConversion"/>
  </si>
  <si>
    <t>허리에서 수직으로 (오비포함)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</si>
  <si>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</si>
  <si>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</si>
  <si>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</si>
  <si>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</si>
  <si>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</si>
  <si>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</si>
  <si>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</si>
  <si>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인심길이</t>
  </si>
  <si>
    <t xml:space="preserve">CROCH TO EDGE </t>
  </si>
  <si>
    <t>INSEAM</t>
  </si>
  <si>
    <t>인심 시작점에서 3cm 밑을 기준점으로 양쪽 수평 길이</t>
    <phoneticPr fontId="1" type="noConversion"/>
  </si>
  <si>
    <t>허벅지둘레</t>
  </si>
  <si>
    <t xml:space="preserve">FROM CROCH  3cm BELOW . WIDE STRIGHT </t>
  </si>
  <si>
    <t xml:space="preserve">TIGHT </t>
  </si>
  <si>
    <t>오비끝에서 인심 시작점까지의 길이(오비 포함)</t>
    <phoneticPr fontId="1" type="noConversion"/>
  </si>
  <si>
    <t>뒤밑위</t>
    <phoneticPr fontId="14" type="noConversion"/>
  </si>
  <si>
    <t xml:space="preserve">INCLUDE WAIST BAND TO EDGE </t>
  </si>
  <si>
    <t>BACK RISE</t>
  </si>
  <si>
    <t>앞밑위</t>
    <phoneticPr fontId="14" type="noConversion"/>
  </si>
  <si>
    <t xml:space="preserve">FRONT RISE </t>
  </si>
  <si>
    <t>바지 밑단의 둘레길이</t>
    <phoneticPr fontId="2" type="noConversion"/>
  </si>
  <si>
    <t>바지부리</t>
  </si>
  <si>
    <t xml:space="preserve">CIRCLE ROUND </t>
  </si>
  <si>
    <t xml:space="preserve">BOTTOM OPENING </t>
  </si>
  <si>
    <t>와끼선을 기준으로 오비끝에서 바지 밑단 끝까지의 길이</t>
    <phoneticPr fontId="1" type="noConversion"/>
  </si>
  <si>
    <t>바지기장</t>
    <phoneticPr fontId="14" type="noConversion"/>
  </si>
  <si>
    <t xml:space="preserve">TOTAL LENGTH </t>
  </si>
  <si>
    <t>오비제외</t>
    <phoneticPr fontId="1" type="noConversion"/>
  </si>
  <si>
    <t>뎅고스티치길이</t>
    <phoneticPr fontId="1" type="noConversion"/>
  </si>
  <si>
    <t>J STITCH LENGTH</t>
    <phoneticPr fontId="1" type="noConversion"/>
  </si>
  <si>
    <t>오비포함 와끼 기준</t>
    <phoneticPr fontId="1" type="noConversion"/>
  </si>
  <si>
    <t>엉덩이 위치</t>
    <phoneticPr fontId="1" type="noConversion"/>
  </si>
  <si>
    <t>HIP POINT</t>
    <phoneticPr fontId="1" type="noConversion"/>
  </si>
  <si>
    <t>앞 댕고 스테치를 기준점으로 하여 양쪽 수평선의 길이</t>
    <phoneticPr fontId="1" type="noConversion"/>
  </si>
  <si>
    <t>엉덩이둘레</t>
  </si>
  <si>
    <t xml:space="preserve">BASED ON ZIPPER FLY OUT LINE ,STRIGHT </t>
    <phoneticPr fontId="1" type="noConversion"/>
  </si>
  <si>
    <t xml:space="preserve">HIP </t>
  </si>
  <si>
    <t>몸판 허리 둘레</t>
    <phoneticPr fontId="1" type="noConversion"/>
  </si>
  <si>
    <t>WAIST SIZE</t>
    <phoneticPr fontId="1" type="noConversion"/>
  </si>
  <si>
    <t>오비를 일자 상태로 만든 후 수평으로 잰 길이</t>
    <phoneticPr fontId="1" type="noConversion"/>
  </si>
  <si>
    <t>허리완성사이즈</t>
    <phoneticPr fontId="1" type="noConversion"/>
  </si>
  <si>
    <t xml:space="preserve">FLAT,FRONT AND BACK WAIST LINE MATCH STRIGHT </t>
    <phoneticPr fontId="1" type="noConversion"/>
  </si>
  <si>
    <t>TOTAL WAIST</t>
    <phoneticPr fontId="1" type="noConversion"/>
  </si>
  <si>
    <t>앞중심</t>
    <phoneticPr fontId="14" type="noConversion"/>
  </si>
  <si>
    <r>
      <t xml:space="preserve">끈에서 끈 직선길이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</si>
  <si>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t>뒤바대 폭</t>
    <phoneticPr fontId="1" type="noConversion"/>
  </si>
  <si>
    <t>BACK UPPER CHEST</t>
    <phoneticPr fontId="2" type="noConversion"/>
  </si>
  <si>
    <t>앞바대 폭</t>
    <phoneticPr fontId="1" type="noConversion"/>
  </si>
  <si>
    <t>FRONT UPPER CHEST</t>
    <phoneticPr fontId="2" type="noConversion"/>
  </si>
  <si>
    <r>
      <t>완성사이즈</t>
    </r>
    <r>
      <rPr>
        <sz val="7.5"/>
        <color rgb="FFFF0000"/>
        <rFont val="맑은 고딕"/>
        <family val="3"/>
        <charset val="129"/>
        <scheme val="minor"/>
      </rPr>
      <t xml:space="preserve"> (와끼선)</t>
    </r>
    <phoneticPr fontId="14" type="noConversion"/>
  </si>
  <si>
    <t>허리 4골 밴드</t>
    <phoneticPr fontId="14" type="noConversion"/>
  </si>
  <si>
    <t>WAIST 4G BAND</t>
    <phoneticPr fontId="14" type="noConversion"/>
  </si>
  <si>
    <t>4GBAND</t>
    <phoneticPr fontId="14" type="noConversion"/>
  </si>
  <si>
    <r>
      <rPr>
        <sz val="7.5"/>
        <color theme="1"/>
        <rFont val="맑은 고딕"/>
        <family val="3"/>
        <charset val="129"/>
        <scheme val="minor"/>
      </rPr>
      <t>완성사이즈</t>
    </r>
    <r>
      <rPr>
        <sz val="7.5"/>
        <color rgb="FFFF0000"/>
        <rFont val="맑은 고딕"/>
        <family val="3"/>
        <charset val="129"/>
        <scheme val="minor"/>
      </rPr>
      <t xml:space="preserve"> (여유분:5cm 제외)</t>
    </r>
    <phoneticPr fontId="14" type="noConversion"/>
  </si>
  <si>
    <t>어깨끈</t>
    <phoneticPr fontId="14" type="noConversion"/>
  </si>
  <si>
    <t xml:space="preserve"> SHOULDER STRAP</t>
    <phoneticPr fontId="2" type="noConversion"/>
  </si>
  <si>
    <t>레이스제외</t>
    <phoneticPr fontId="14" type="noConversion"/>
  </si>
  <si>
    <t>뒤기장(뒤중심)</t>
    <phoneticPr fontId="2" type="noConversion"/>
  </si>
  <si>
    <t>BACK LENGTH</t>
    <phoneticPr fontId="2" type="noConversion"/>
  </si>
  <si>
    <t>앞기장(앞중심)</t>
    <phoneticPr fontId="2" type="noConversion"/>
  </si>
  <si>
    <t>FRONT LENGTH</t>
    <phoneticPr fontId="2" type="noConversion"/>
  </si>
  <si>
    <t>STYLE NO: JYUSE11-K#Y46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</si>
</sst>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10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6" fillId="0" borderId="3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6" fillId="0" borderId="4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2EC1-8CA2-4FDC-A87B-DB06EAB9ECF7}">
  <sheetPr>
    <tabColor rgb="FFFF0000"/>
    <pageSetUpPr fitToPage="1"/>
  </sheetPr>
  <dimension ref="A1:Q66"/>
  <sheetViews>
    <sheetView tabSelected="1" zoomScale="110" zoomScaleNormal="110" workbookViewId="0">
      <selection sqref="A1:M52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 x14ac:dyDescent="0.35">
      <c r="A1" s="5" t="s">
        <v>205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7" ht="16.5" customHeight="1" thickBot="1" x14ac:dyDescent="0.35">
      <c r="A2" s="108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7" s="1" customFormat="1" ht="14.1" customHeight="1" x14ac:dyDescent="0.3">
      <c r="A3" s="9">
        <v>1</v>
      </c>
      <c r="B3" s="70" t="s">
        <v>204</v>
      </c>
      <c r="C3" s="70"/>
      <c r="D3" s="71"/>
      <c r="E3" s="71"/>
      <c r="F3" s="71"/>
      <c r="G3" s="72"/>
      <c r="H3" s="106">
        <f>SUM(I3)-3.4</f>
        <v>35.700000000000003</v>
      </c>
      <c r="I3" s="106">
        <f>SUM(J3)-3.4</f>
        <v>39.1</v>
      </c>
      <c r="J3" s="107">
        <v>42.5</v>
      </c>
      <c r="K3" s="106">
        <f>SUM(J3)+2.9</f>
        <v>45.4</v>
      </c>
      <c r="L3" s="106">
        <f>SUM(K3)+2.9</f>
        <v>48.3</v>
      </c>
      <c r="M3" s="105">
        <f>SUM(L3)+2.9</f>
        <v>51.199999999999996</v>
      </c>
    </row>
    <row r="4" spans="1:17" s="1" customFormat="1" ht="14.1" customHeight="1" x14ac:dyDescent="0.3">
      <c r="A4" s="10"/>
      <c r="B4" s="22" t="s">
        <v>203</v>
      </c>
      <c r="C4" s="22"/>
      <c r="D4" s="86" t="s">
        <v>200</v>
      </c>
      <c r="E4" s="24"/>
      <c r="F4" s="24"/>
      <c r="G4" s="24"/>
      <c r="H4" s="17"/>
      <c r="I4" s="17"/>
      <c r="J4" s="19"/>
      <c r="K4" s="17"/>
      <c r="L4" s="17"/>
      <c r="M4" s="55"/>
    </row>
    <row r="5" spans="1:17" s="1" customFormat="1" ht="14.1" customHeight="1" x14ac:dyDescent="0.3">
      <c r="A5" s="100">
        <v>2</v>
      </c>
      <c r="B5" s="99" t="s">
        <v>202</v>
      </c>
      <c r="C5" s="99"/>
      <c r="D5" s="104"/>
      <c r="E5" s="104"/>
      <c r="F5" s="104"/>
      <c r="G5" s="13"/>
      <c r="H5" s="41">
        <f>SUM(I5)-3.5</f>
        <v>37</v>
      </c>
      <c r="I5" s="41">
        <f>SUM(J5)-3.5</f>
        <v>40.5</v>
      </c>
      <c r="J5" s="88">
        <v>44</v>
      </c>
      <c r="K5" s="41">
        <f>SUM(J5)+3</f>
        <v>47</v>
      </c>
      <c r="L5" s="41">
        <f>SUM(K5)+3</f>
        <v>50</v>
      </c>
      <c r="M5" s="87">
        <f>SUM(L5)+3</f>
        <v>53</v>
      </c>
    </row>
    <row r="6" spans="1:17" s="1" customFormat="1" ht="14.1" customHeight="1" x14ac:dyDescent="0.3">
      <c r="A6" s="10"/>
      <c r="B6" s="22" t="s">
        <v>201</v>
      </c>
      <c r="C6" s="22"/>
      <c r="D6" s="86" t="s">
        <v>200</v>
      </c>
      <c r="E6" s="24"/>
      <c r="F6" s="24"/>
      <c r="G6" s="24"/>
      <c r="H6" s="17"/>
      <c r="I6" s="17"/>
      <c r="J6" s="19"/>
      <c r="K6" s="17"/>
      <c r="L6" s="17"/>
      <c r="M6" s="55"/>
    </row>
    <row r="7" spans="1:17" s="1" customFormat="1" ht="14.1" customHeight="1" x14ac:dyDescent="0.3">
      <c r="A7" s="100">
        <v>3</v>
      </c>
      <c r="B7" s="32" t="s">
        <v>199</v>
      </c>
      <c r="C7" s="32"/>
      <c r="D7" s="33"/>
      <c r="E7" s="33"/>
      <c r="F7" s="33"/>
      <c r="G7" s="33"/>
      <c r="H7" s="16">
        <f>SUM(I7)-1.1</f>
        <v>12.8</v>
      </c>
      <c r="I7" s="16">
        <f>SUM(J7)-1.1</f>
        <v>13.9</v>
      </c>
      <c r="J7" s="18">
        <v>15</v>
      </c>
      <c r="K7" s="16">
        <f>SUM(J7)+1.1</f>
        <v>16.100000000000001</v>
      </c>
      <c r="L7" s="16">
        <f>SUM(K7)+1.1</f>
        <v>17.200000000000003</v>
      </c>
      <c r="M7" s="54">
        <f>SUM(L7)+1.1</f>
        <v>18.300000000000004</v>
      </c>
    </row>
    <row r="8" spans="1:17" s="1" customFormat="1" ht="14.1" customHeight="1" x14ac:dyDescent="0.3">
      <c r="A8" s="10"/>
      <c r="B8" s="22" t="s">
        <v>198</v>
      </c>
      <c r="C8" s="22"/>
      <c r="D8" s="86" t="s">
        <v>197</v>
      </c>
      <c r="E8" s="24"/>
      <c r="F8" s="24"/>
      <c r="G8" s="25"/>
      <c r="H8" s="17"/>
      <c r="I8" s="17"/>
      <c r="J8" s="19"/>
      <c r="K8" s="17"/>
      <c r="L8" s="17"/>
      <c r="M8" s="55"/>
    </row>
    <row r="9" spans="1:17" s="1" customFormat="1" ht="14.1" customHeight="1" thickBot="1" x14ac:dyDescent="0.35">
      <c r="A9" s="100">
        <v>4</v>
      </c>
      <c r="B9" s="32" t="s">
        <v>20</v>
      </c>
      <c r="C9" s="32"/>
      <c r="D9" s="33" t="s">
        <v>45</v>
      </c>
      <c r="E9" s="33"/>
      <c r="F9" s="33"/>
      <c r="G9" s="33"/>
      <c r="H9" s="16">
        <f>SUM(I9)-2</f>
        <v>28</v>
      </c>
      <c r="I9" s="16">
        <f>SUM(J9)-2</f>
        <v>30</v>
      </c>
      <c r="J9" s="18">
        <v>32</v>
      </c>
      <c r="K9" s="16">
        <f>SUM(J9)+1.8</f>
        <v>33.799999999999997</v>
      </c>
      <c r="L9" s="16">
        <f>SUM(K9)+1.8</f>
        <v>35.599999999999994</v>
      </c>
      <c r="M9" s="54">
        <f>SUM(L9)+1.8</f>
        <v>37.399999999999991</v>
      </c>
    </row>
    <row r="10" spans="1:17" s="1" customFormat="1" ht="14.1" customHeight="1" thickTop="1" x14ac:dyDescent="0.3">
      <c r="A10" s="10"/>
      <c r="B10" s="22" t="s">
        <v>25</v>
      </c>
      <c r="C10" s="22"/>
      <c r="D10" s="23" t="s">
        <v>28</v>
      </c>
      <c r="E10" s="24"/>
      <c r="F10" s="24"/>
      <c r="G10" s="25"/>
      <c r="H10" s="17"/>
      <c r="I10" s="17"/>
      <c r="J10" s="19"/>
      <c r="K10" s="17"/>
      <c r="L10" s="17"/>
      <c r="M10" s="55"/>
      <c r="Q10" s="103" t="s">
        <v>196</v>
      </c>
    </row>
    <row r="11" spans="1:17" s="1" customFormat="1" ht="14.1" customHeight="1" x14ac:dyDescent="0.3">
      <c r="A11" s="100">
        <v>5</v>
      </c>
      <c r="B11" s="27" t="s">
        <v>195</v>
      </c>
      <c r="C11" s="28"/>
      <c r="D11" s="29"/>
      <c r="E11" s="30"/>
      <c r="F11" s="30"/>
      <c r="G11" s="31"/>
      <c r="H11" s="16">
        <f>SUM(I11)-0.4</f>
        <v>3.6999999999999997</v>
      </c>
      <c r="I11" s="16">
        <f>SUM(J11)-0.4</f>
        <v>4.0999999999999996</v>
      </c>
      <c r="J11" s="18">
        <v>4.5</v>
      </c>
      <c r="K11" s="16">
        <f>SUM(J11)+0.3</f>
        <v>4.8</v>
      </c>
      <c r="L11" s="16">
        <f>SUM(K11)+0.3</f>
        <v>5.0999999999999996</v>
      </c>
      <c r="M11" s="54">
        <f>SUM(L11)+0.3</f>
        <v>5.3999999999999995</v>
      </c>
      <c r="Q11" s="102">
        <f>SUM(H11+H11+I11+I11+J11+J11+K11+K11+L11+L11+M11+M11)</f>
        <v>55.2</v>
      </c>
    </row>
    <row r="12" spans="1:17" s="1" customFormat="1" ht="14.1" customHeight="1" thickBot="1" x14ac:dyDescent="0.35">
      <c r="A12" s="10"/>
      <c r="B12" s="42" t="s">
        <v>194</v>
      </c>
      <c r="C12" s="43"/>
      <c r="D12" s="23" t="s">
        <v>193</v>
      </c>
      <c r="E12" s="24"/>
      <c r="F12" s="24"/>
      <c r="G12" s="25"/>
      <c r="H12" s="17"/>
      <c r="I12" s="17"/>
      <c r="J12" s="19"/>
      <c r="K12" s="17"/>
      <c r="L12" s="17"/>
      <c r="M12" s="55"/>
      <c r="Q12" s="101">
        <f>SUM(Q11/91.44/6*1.08)</f>
        <v>0.10866141732283466</v>
      </c>
    </row>
    <row r="13" spans="1:17" s="1" customFormat="1" ht="14.1" customHeight="1" thickTop="1" x14ac:dyDescent="0.3">
      <c r="A13" s="100">
        <v>6</v>
      </c>
      <c r="B13" s="32" t="s">
        <v>26</v>
      </c>
      <c r="C13" s="32"/>
      <c r="D13" s="33" t="s">
        <v>8</v>
      </c>
      <c r="E13" s="33"/>
      <c r="F13" s="33"/>
      <c r="G13" s="33"/>
      <c r="H13" s="16">
        <f>SUM(I13)-2.6</f>
        <v>33.799999999999997</v>
      </c>
      <c r="I13" s="16">
        <f>SUM(J13)-2.6</f>
        <v>36.4</v>
      </c>
      <c r="J13" s="18">
        <v>39</v>
      </c>
      <c r="K13" s="16">
        <f>SUM(J13)+2.3</f>
        <v>41.3</v>
      </c>
      <c r="L13" s="16">
        <f>SUM(K13)+2.3</f>
        <v>43.599999999999994</v>
      </c>
      <c r="M13" s="54">
        <f>SUM(L13)+2.3</f>
        <v>45.899999999999991</v>
      </c>
    </row>
    <row r="14" spans="1:17" s="1" customFormat="1" ht="14.1" customHeight="1" x14ac:dyDescent="0.3">
      <c r="A14" s="10"/>
      <c r="B14" s="22" t="s">
        <v>11</v>
      </c>
      <c r="C14" s="22"/>
      <c r="D14" s="23" t="s">
        <v>29</v>
      </c>
      <c r="E14" s="24"/>
      <c r="F14" s="24"/>
      <c r="G14" s="25"/>
      <c r="H14" s="17"/>
      <c r="I14" s="17"/>
      <c r="J14" s="19"/>
      <c r="K14" s="17"/>
      <c r="L14" s="17"/>
      <c r="M14" s="55"/>
    </row>
    <row r="15" spans="1:17" s="1" customFormat="1" ht="14.1" customHeight="1" x14ac:dyDescent="0.3">
      <c r="A15" s="100">
        <v>7</v>
      </c>
      <c r="B15" s="27" t="s">
        <v>192</v>
      </c>
      <c r="C15" s="28"/>
      <c r="D15" s="29"/>
      <c r="E15" s="30"/>
      <c r="F15" s="30"/>
      <c r="G15" s="31"/>
      <c r="H15" s="16">
        <f>SUM(I15)-1</f>
        <v>14</v>
      </c>
      <c r="I15" s="16">
        <f>SUM(J15)-1</f>
        <v>15</v>
      </c>
      <c r="J15" s="34">
        <v>16</v>
      </c>
      <c r="K15" s="35">
        <f>SUM(J15)+0.9</f>
        <v>16.899999999999999</v>
      </c>
      <c r="L15" s="35">
        <f>SUM(K15)+0.9</f>
        <v>17.799999999999997</v>
      </c>
      <c r="M15" s="59">
        <f>SUM(L15)+0.9</f>
        <v>18.699999999999996</v>
      </c>
    </row>
    <row r="16" spans="1:17" s="1" customFormat="1" ht="14.1" customHeight="1" x14ac:dyDescent="0.3">
      <c r="A16" s="10"/>
      <c r="B16" s="22" t="s">
        <v>191</v>
      </c>
      <c r="C16" s="22"/>
      <c r="D16" s="23" t="s">
        <v>188</v>
      </c>
      <c r="E16" s="24"/>
      <c r="F16" s="24"/>
      <c r="G16" s="25"/>
      <c r="H16" s="41"/>
      <c r="I16" s="41"/>
      <c r="J16" s="18"/>
      <c r="K16" s="16"/>
      <c r="L16" s="16"/>
      <c r="M16" s="54"/>
    </row>
    <row r="17" spans="1:13" s="1" customFormat="1" ht="14.1" customHeight="1" x14ac:dyDescent="0.3">
      <c r="A17" s="100">
        <v>8</v>
      </c>
      <c r="B17" s="27" t="s">
        <v>190</v>
      </c>
      <c r="C17" s="28"/>
      <c r="D17" s="29"/>
      <c r="E17" s="30"/>
      <c r="F17" s="30"/>
      <c r="G17" s="31"/>
      <c r="H17" s="16">
        <f>SUM(I17)-1.1</f>
        <v>14.8</v>
      </c>
      <c r="I17" s="16">
        <f>SUM(J17)-1.1</f>
        <v>15.9</v>
      </c>
      <c r="J17" s="34">
        <v>17</v>
      </c>
      <c r="K17" s="35">
        <f>SUM(J17)+1</f>
        <v>18</v>
      </c>
      <c r="L17" s="35">
        <f>SUM(K17)+1</f>
        <v>19</v>
      </c>
      <c r="M17" s="59">
        <f>SUM(L17)+1</f>
        <v>20</v>
      </c>
    </row>
    <row r="18" spans="1:13" s="1" customFormat="1" ht="14.1" customHeight="1" x14ac:dyDescent="0.3">
      <c r="A18" s="10"/>
      <c r="B18" s="22" t="s">
        <v>189</v>
      </c>
      <c r="C18" s="22"/>
      <c r="D18" s="23" t="s">
        <v>188</v>
      </c>
      <c r="E18" s="24"/>
      <c r="F18" s="24"/>
      <c r="G18" s="25"/>
      <c r="H18" s="41"/>
      <c r="I18" s="41"/>
      <c r="J18" s="18"/>
      <c r="K18" s="16"/>
      <c r="L18" s="16"/>
      <c r="M18" s="54"/>
    </row>
    <row r="19" spans="1:13" s="1" customFormat="1" ht="14.1" customHeight="1" x14ac:dyDescent="0.3">
      <c r="A19" s="100">
        <v>9</v>
      </c>
      <c r="B19" s="11" t="s">
        <v>57</v>
      </c>
      <c r="C19" s="12"/>
      <c r="D19" s="60"/>
      <c r="E19" s="61"/>
      <c r="F19" s="61"/>
      <c r="G19" s="62"/>
      <c r="H19" s="16">
        <f>SUM(I19)-0.1</f>
        <v>1.7999999999999998</v>
      </c>
      <c r="I19" s="16">
        <f>SUM(J19)-0.1</f>
        <v>1.9</v>
      </c>
      <c r="J19" s="34">
        <v>2</v>
      </c>
      <c r="K19" s="35">
        <f>SUM(J19)+0.1</f>
        <v>2.1</v>
      </c>
      <c r="L19" s="35">
        <f>SUM(K19)+0.1</f>
        <v>2.2000000000000002</v>
      </c>
      <c r="M19" s="59">
        <f>SUM(L19)+0.1</f>
        <v>2.3000000000000003</v>
      </c>
    </row>
    <row r="20" spans="1:13" s="1" customFormat="1" ht="14.1" customHeight="1" x14ac:dyDescent="0.3">
      <c r="A20" s="10"/>
      <c r="B20" s="11" t="s">
        <v>59</v>
      </c>
      <c r="C20" s="12"/>
      <c r="D20" s="23" t="s">
        <v>187</v>
      </c>
      <c r="E20" s="24"/>
      <c r="F20" s="24"/>
      <c r="G20" s="25"/>
      <c r="H20" s="41"/>
      <c r="I20" s="41"/>
      <c r="J20" s="18"/>
      <c r="K20" s="16"/>
      <c r="L20" s="16"/>
      <c r="M20" s="54"/>
    </row>
    <row r="21" spans="1:13" s="1" customFormat="1" ht="14.1" customHeight="1" x14ac:dyDescent="0.3">
      <c r="A21" s="26">
        <v>10</v>
      </c>
      <c r="B21" s="32"/>
      <c r="C21" s="32"/>
      <c r="D21" s="33"/>
      <c r="E21" s="33"/>
      <c r="F21" s="33"/>
      <c r="G21" s="33"/>
      <c r="H21" s="16"/>
      <c r="I21" s="16"/>
      <c r="J21" s="18"/>
      <c r="K21" s="16"/>
      <c r="L21" s="16"/>
      <c r="M21" s="54"/>
    </row>
    <row r="22" spans="1:13" s="1" customFormat="1" ht="14.1" customHeight="1" thickBot="1" x14ac:dyDescent="0.35">
      <c r="A22" s="37"/>
      <c r="B22" s="99"/>
      <c r="C22" s="99"/>
      <c r="D22" s="13"/>
      <c r="E22" s="14"/>
      <c r="F22" s="14"/>
      <c r="G22" s="15"/>
      <c r="H22" s="41"/>
      <c r="I22" s="41"/>
      <c r="J22" s="88"/>
      <c r="K22" s="41"/>
      <c r="L22" s="41"/>
      <c r="M22" s="87"/>
    </row>
    <row r="23" spans="1:13" s="1" customFormat="1" ht="14.1" customHeight="1" thickTop="1" x14ac:dyDescent="0.3">
      <c r="A23" s="98">
        <v>11</v>
      </c>
      <c r="B23" s="97" t="s">
        <v>186</v>
      </c>
      <c r="C23" s="96"/>
      <c r="D23" s="95" t="s">
        <v>185</v>
      </c>
      <c r="E23" s="94"/>
      <c r="F23" s="94"/>
      <c r="G23" s="93"/>
      <c r="H23" s="92">
        <f>SUM(I23)-3</f>
        <v>45</v>
      </c>
      <c r="I23" s="90">
        <f>SUM(J23)-3</f>
        <v>48</v>
      </c>
      <c r="J23" s="91">
        <v>51</v>
      </c>
      <c r="K23" s="90">
        <f>SUM(J23)+3</f>
        <v>54</v>
      </c>
      <c r="L23" s="90">
        <f>SUM(K23)+3</f>
        <v>57</v>
      </c>
      <c r="M23" s="89">
        <f>SUM(L23)+3</f>
        <v>60</v>
      </c>
    </row>
    <row r="24" spans="1:13" s="1" customFormat="1" ht="14.1" customHeight="1" x14ac:dyDescent="0.3">
      <c r="A24" s="26"/>
      <c r="B24" s="63" t="s">
        <v>184</v>
      </c>
      <c r="C24" s="64"/>
      <c r="D24" s="65" t="s">
        <v>183</v>
      </c>
      <c r="E24" s="66"/>
      <c r="F24" s="66"/>
      <c r="G24" s="67"/>
      <c r="H24" s="22"/>
      <c r="I24" s="17"/>
      <c r="J24" s="19"/>
      <c r="K24" s="17"/>
      <c r="L24" s="17"/>
      <c r="M24" s="55"/>
    </row>
    <row r="25" spans="1:13" s="1" customFormat="1" ht="14.1" customHeight="1" x14ac:dyDescent="0.3">
      <c r="A25" s="26">
        <v>12</v>
      </c>
      <c r="B25" s="27" t="s">
        <v>182</v>
      </c>
      <c r="C25" s="28"/>
      <c r="D25" s="13"/>
      <c r="E25" s="14"/>
      <c r="F25" s="14"/>
      <c r="G25" s="15"/>
      <c r="H25" s="16">
        <f>SUM(I25)-3.5</f>
        <v>58.5</v>
      </c>
      <c r="I25" s="16">
        <f>SUM(J25)-3.5</f>
        <v>62</v>
      </c>
      <c r="J25" s="88">
        <v>65.5</v>
      </c>
      <c r="K25" s="41">
        <f>SUM(J25)+3.5</f>
        <v>69</v>
      </c>
      <c r="L25" s="41">
        <f>SUM(K25)+3.5</f>
        <v>72.5</v>
      </c>
      <c r="M25" s="87">
        <f>SUM(L25)+3.5</f>
        <v>76</v>
      </c>
    </row>
    <row r="26" spans="1:13" s="1" customFormat="1" ht="14.1" customHeight="1" x14ac:dyDescent="0.3">
      <c r="A26" s="26"/>
      <c r="B26" s="63" t="s">
        <v>181</v>
      </c>
      <c r="C26" s="64"/>
      <c r="D26" s="65"/>
      <c r="E26" s="66"/>
      <c r="F26" s="66"/>
      <c r="G26" s="67"/>
      <c r="H26" s="17"/>
      <c r="I26" s="17"/>
      <c r="J26" s="19"/>
      <c r="K26" s="17"/>
      <c r="L26" s="17"/>
      <c r="M26" s="55"/>
    </row>
    <row r="27" spans="1:13" s="1" customFormat="1" ht="14.1" customHeight="1" x14ac:dyDescent="0.3">
      <c r="A27" s="26">
        <v>13</v>
      </c>
      <c r="B27" s="27" t="s">
        <v>180</v>
      </c>
      <c r="C27" s="28"/>
      <c r="D27" s="29" t="s">
        <v>179</v>
      </c>
      <c r="E27" s="30"/>
      <c r="F27" s="30"/>
      <c r="G27" s="31"/>
      <c r="H27" s="16">
        <f>SUM(I27)-4</f>
        <v>62.099999999999994</v>
      </c>
      <c r="I27" s="16">
        <f>SUM(J27)-4</f>
        <v>66.099999999999994</v>
      </c>
      <c r="J27" s="18">
        <v>70.099999999999994</v>
      </c>
      <c r="K27" s="16">
        <f>SUM(J27)+4</f>
        <v>74.099999999999994</v>
      </c>
      <c r="L27" s="16">
        <f>SUM(K27)+4</f>
        <v>78.099999999999994</v>
      </c>
      <c r="M27" s="54">
        <f>SUM(L27)+4</f>
        <v>82.1</v>
      </c>
    </row>
    <row r="28" spans="1:13" s="1" customFormat="1" ht="14.1" customHeight="1" x14ac:dyDescent="0.3">
      <c r="A28" s="26"/>
      <c r="B28" s="63" t="s">
        <v>178</v>
      </c>
      <c r="C28" s="64"/>
      <c r="D28" s="65" t="s">
        <v>177</v>
      </c>
      <c r="E28" s="66"/>
      <c r="F28" s="66"/>
      <c r="G28" s="67"/>
      <c r="H28" s="17"/>
      <c r="I28" s="17"/>
      <c r="J28" s="19"/>
      <c r="K28" s="17"/>
      <c r="L28" s="17"/>
      <c r="M28" s="55"/>
    </row>
    <row r="29" spans="1:13" s="1" customFormat="1" ht="14.1" customHeight="1" x14ac:dyDescent="0.3">
      <c r="A29" s="26">
        <v>14</v>
      </c>
      <c r="B29" s="27" t="s">
        <v>176</v>
      </c>
      <c r="C29" s="28"/>
      <c r="D29" s="29"/>
      <c r="E29" s="30"/>
      <c r="F29" s="30"/>
      <c r="G29" s="31"/>
      <c r="H29" s="32">
        <f>SUM(I29)-0.7</f>
        <v>11.400000000000002</v>
      </c>
      <c r="I29" s="16">
        <f>SUM(J29)-0.7</f>
        <v>12.100000000000001</v>
      </c>
      <c r="J29" s="18">
        <v>12.8</v>
      </c>
      <c r="K29" s="16">
        <f>SUM(J29)+1.2</f>
        <v>14</v>
      </c>
      <c r="L29" s="16">
        <f>SUM(K29)+0.7</f>
        <v>14.7</v>
      </c>
      <c r="M29" s="54">
        <f>SUM(L29)+0.7</f>
        <v>15.399999999999999</v>
      </c>
    </row>
    <row r="30" spans="1:13" s="1" customFormat="1" ht="14.1" customHeight="1" x14ac:dyDescent="0.3">
      <c r="A30" s="26"/>
      <c r="B30" s="63" t="s">
        <v>175</v>
      </c>
      <c r="C30" s="64"/>
      <c r="D30" s="86" t="s">
        <v>174</v>
      </c>
      <c r="E30" s="85"/>
      <c r="F30" s="85"/>
      <c r="G30" s="84"/>
      <c r="H30" s="22"/>
      <c r="I30" s="17"/>
      <c r="J30" s="19"/>
      <c r="K30" s="17"/>
      <c r="L30" s="17"/>
      <c r="M30" s="55"/>
    </row>
    <row r="31" spans="1:13" s="1" customFormat="1" ht="14.1" customHeight="1" x14ac:dyDescent="0.3">
      <c r="A31" s="26">
        <v>15</v>
      </c>
      <c r="B31" s="27" t="s">
        <v>173</v>
      </c>
      <c r="C31" s="28"/>
      <c r="D31" s="29"/>
      <c r="E31" s="30"/>
      <c r="F31" s="30"/>
      <c r="G31" s="31"/>
      <c r="H31" s="32"/>
      <c r="I31" s="16"/>
      <c r="J31" s="18"/>
      <c r="K31" s="16"/>
      <c r="L31" s="16"/>
      <c r="M31" s="54"/>
    </row>
    <row r="32" spans="1:13" s="1" customFormat="1" ht="14.1" customHeight="1" x14ac:dyDescent="0.3">
      <c r="A32" s="26"/>
      <c r="B32" s="63" t="s">
        <v>172</v>
      </c>
      <c r="C32" s="64"/>
      <c r="D32" s="86" t="s">
        <v>171</v>
      </c>
      <c r="E32" s="85"/>
      <c r="F32" s="85"/>
      <c r="G32" s="84"/>
      <c r="H32" s="22"/>
      <c r="I32" s="17"/>
      <c r="J32" s="19"/>
      <c r="K32" s="17"/>
      <c r="L32" s="17"/>
      <c r="M32" s="55"/>
    </row>
    <row r="33" spans="1:13" s="1" customFormat="1" ht="14.1" customHeight="1" x14ac:dyDescent="0.3">
      <c r="A33" s="26">
        <v>16</v>
      </c>
      <c r="B33" s="27" t="s">
        <v>170</v>
      </c>
      <c r="C33" s="28"/>
      <c r="D33" s="29" t="s">
        <v>45</v>
      </c>
      <c r="E33" s="30"/>
      <c r="F33" s="30"/>
      <c r="G33" s="31"/>
      <c r="H33" s="16">
        <f>SUM(I33)-7</f>
        <v>48.7</v>
      </c>
      <c r="I33" s="16">
        <f>SUM(J33)-7</f>
        <v>55.7</v>
      </c>
      <c r="J33" s="18">
        <v>62.7</v>
      </c>
      <c r="K33" s="16">
        <f>SUM(J33)+6</f>
        <v>68.7</v>
      </c>
      <c r="L33" s="16">
        <f>SUM(K33)+6</f>
        <v>74.7</v>
      </c>
      <c r="M33" s="54">
        <f>SUM(L33)+6</f>
        <v>80.7</v>
      </c>
    </row>
    <row r="34" spans="1:13" s="1" customFormat="1" ht="14.1" customHeight="1" x14ac:dyDescent="0.3">
      <c r="A34" s="26"/>
      <c r="B34" s="63" t="s">
        <v>169</v>
      </c>
      <c r="C34" s="64"/>
      <c r="D34" s="65" t="s">
        <v>168</v>
      </c>
      <c r="E34" s="66"/>
      <c r="F34" s="66"/>
      <c r="G34" s="67"/>
      <c r="H34" s="17"/>
      <c r="I34" s="17"/>
      <c r="J34" s="19"/>
      <c r="K34" s="17"/>
      <c r="L34" s="17"/>
      <c r="M34" s="55"/>
    </row>
    <row r="35" spans="1:13" s="1" customFormat="1" ht="14.1" customHeight="1" x14ac:dyDescent="0.3">
      <c r="A35" s="26">
        <v>17</v>
      </c>
      <c r="B35" s="27" t="s">
        <v>167</v>
      </c>
      <c r="C35" s="28"/>
      <c r="D35" s="29" t="s">
        <v>166</v>
      </c>
      <c r="E35" s="30"/>
      <c r="F35" s="30"/>
      <c r="G35" s="31"/>
      <c r="H35" s="16">
        <f>SUM(I35)-2</f>
        <v>35</v>
      </c>
      <c r="I35" s="16">
        <f>SUM(J35)-2</f>
        <v>37</v>
      </c>
      <c r="J35" s="18">
        <v>39</v>
      </c>
      <c r="K35" s="16">
        <f>SUM(J35)+2</f>
        <v>41</v>
      </c>
      <c r="L35" s="16">
        <f>SUM(K35)+2</f>
        <v>43</v>
      </c>
      <c r="M35" s="54">
        <f>SUM(L35)+2</f>
        <v>45</v>
      </c>
    </row>
    <row r="36" spans="1:13" s="1" customFormat="1" ht="14.1" customHeight="1" x14ac:dyDescent="0.3">
      <c r="A36" s="26"/>
      <c r="B36" s="63" t="s">
        <v>165</v>
      </c>
      <c r="C36" s="64"/>
      <c r="D36" s="23" t="s">
        <v>164</v>
      </c>
      <c r="E36" s="24"/>
      <c r="F36" s="24"/>
      <c r="G36" s="25"/>
      <c r="H36" s="17"/>
      <c r="I36" s="17"/>
      <c r="J36" s="19"/>
      <c r="K36" s="17"/>
      <c r="L36" s="17"/>
      <c r="M36" s="55"/>
    </row>
    <row r="37" spans="1:13" s="1" customFormat="1" ht="14.1" customHeight="1" x14ac:dyDescent="0.3">
      <c r="A37" s="26">
        <v>18</v>
      </c>
      <c r="B37" s="27" t="s">
        <v>163</v>
      </c>
      <c r="C37" s="28"/>
      <c r="D37" s="29" t="s">
        <v>160</v>
      </c>
      <c r="E37" s="30"/>
      <c r="F37" s="30"/>
      <c r="G37" s="31"/>
      <c r="H37" s="32">
        <f>SUM(I37)-1.1</f>
        <v>18.799999999999997</v>
      </c>
      <c r="I37" s="16">
        <f>SUM(J37)-1.1</f>
        <v>19.899999999999999</v>
      </c>
      <c r="J37" s="18">
        <v>21</v>
      </c>
      <c r="K37" s="16">
        <f>SUM(J37)+1.6</f>
        <v>22.6</v>
      </c>
      <c r="L37" s="16">
        <f>SUM(K37)+1.1</f>
        <v>23.700000000000003</v>
      </c>
      <c r="M37" s="54">
        <f>SUM(L37)+1.1</f>
        <v>24.800000000000004</v>
      </c>
    </row>
    <row r="38" spans="1:13" s="1" customFormat="1" ht="14.1" customHeight="1" x14ac:dyDescent="0.3">
      <c r="A38" s="26"/>
      <c r="B38" s="63" t="s">
        <v>162</v>
      </c>
      <c r="C38" s="64"/>
      <c r="D38" s="65" t="s">
        <v>158</v>
      </c>
      <c r="E38" s="66"/>
      <c r="F38" s="66"/>
      <c r="G38" s="67"/>
      <c r="H38" s="22"/>
      <c r="I38" s="17"/>
      <c r="J38" s="19"/>
      <c r="K38" s="17"/>
      <c r="L38" s="17"/>
      <c r="M38" s="55"/>
    </row>
    <row r="39" spans="1:13" s="1" customFormat="1" ht="14.1" customHeight="1" x14ac:dyDescent="0.3">
      <c r="A39" s="26">
        <v>19</v>
      </c>
      <c r="B39" s="27" t="s">
        <v>161</v>
      </c>
      <c r="C39" s="28"/>
      <c r="D39" s="29" t="s">
        <v>160</v>
      </c>
      <c r="E39" s="30"/>
      <c r="F39" s="30"/>
      <c r="G39" s="31"/>
      <c r="H39" s="32">
        <f>SUM(I39)-1.3</f>
        <v>24.599999999999998</v>
      </c>
      <c r="I39" s="16">
        <f>SUM(J39)-1.3</f>
        <v>25.9</v>
      </c>
      <c r="J39" s="18">
        <v>27.2</v>
      </c>
      <c r="K39" s="16">
        <f>SUM(J39)+1.8</f>
        <v>29</v>
      </c>
      <c r="L39" s="16">
        <f>SUM(K39)+1.3</f>
        <v>30.3</v>
      </c>
      <c r="M39" s="54">
        <f>SUM(L39)+1.3</f>
        <v>31.6</v>
      </c>
    </row>
    <row r="40" spans="1:13" s="1" customFormat="1" ht="14.1" customHeight="1" x14ac:dyDescent="0.3">
      <c r="A40" s="26"/>
      <c r="B40" s="63" t="s">
        <v>159</v>
      </c>
      <c r="C40" s="64"/>
      <c r="D40" s="65" t="s">
        <v>158</v>
      </c>
      <c r="E40" s="66"/>
      <c r="F40" s="66"/>
      <c r="G40" s="67"/>
      <c r="H40" s="22"/>
      <c r="I40" s="17"/>
      <c r="J40" s="19"/>
      <c r="K40" s="17"/>
      <c r="L40" s="17"/>
      <c r="M40" s="55"/>
    </row>
    <row r="41" spans="1:13" s="1" customFormat="1" ht="14.1" customHeight="1" x14ac:dyDescent="0.3">
      <c r="A41" s="26">
        <v>20</v>
      </c>
      <c r="B41" s="27" t="s">
        <v>157</v>
      </c>
      <c r="C41" s="28"/>
      <c r="D41" s="29" t="s">
        <v>156</v>
      </c>
      <c r="E41" s="30"/>
      <c r="F41" s="30"/>
      <c r="G41" s="31"/>
      <c r="H41" s="16">
        <f>SUM(I41)-2.7</f>
        <v>35.399999999999991</v>
      </c>
      <c r="I41" s="16">
        <f>SUM(J41)-2.7</f>
        <v>38.099999999999994</v>
      </c>
      <c r="J41" s="18">
        <v>40.799999999999997</v>
      </c>
      <c r="K41" s="16">
        <f>SUM(J41)+2.6</f>
        <v>43.4</v>
      </c>
      <c r="L41" s="16">
        <f>SUM(K41)+2.6</f>
        <v>46</v>
      </c>
      <c r="M41" s="54">
        <f>SUM(L41)+2.6</f>
        <v>48.6</v>
      </c>
    </row>
    <row r="42" spans="1:13" s="1" customFormat="1" ht="14.1" customHeight="1" x14ac:dyDescent="0.3">
      <c r="A42" s="26"/>
      <c r="B42" s="63" t="s">
        <v>155</v>
      </c>
      <c r="C42" s="64"/>
      <c r="D42" s="65" t="s">
        <v>154</v>
      </c>
      <c r="E42" s="66"/>
      <c r="F42" s="66"/>
      <c r="G42" s="67"/>
      <c r="H42" s="17"/>
      <c r="I42" s="17"/>
      <c r="J42" s="19"/>
      <c r="K42" s="17"/>
      <c r="L42" s="17"/>
      <c r="M42" s="55"/>
    </row>
    <row r="43" spans="1:13" s="1" customFormat="1" ht="14.1" customHeight="1" x14ac:dyDescent="0.3">
      <c r="A43" s="26">
        <v>21</v>
      </c>
      <c r="B43" s="27" t="s">
        <v>153</v>
      </c>
      <c r="C43" s="28"/>
      <c r="D43" s="29" t="s">
        <v>152</v>
      </c>
      <c r="E43" s="30"/>
      <c r="F43" s="30"/>
      <c r="G43" s="31"/>
      <c r="H43" s="32">
        <f>SUM(I43)-6</f>
        <v>30.799999999999997</v>
      </c>
      <c r="I43" s="16">
        <f>SUM(J43)-6</f>
        <v>36.799999999999997</v>
      </c>
      <c r="J43" s="18">
        <v>42.8</v>
      </c>
      <c r="K43" s="16">
        <f>SUM(J43)+4.5</f>
        <v>47.3</v>
      </c>
      <c r="L43" s="16">
        <f>SUM(K43)+5</f>
        <v>52.3</v>
      </c>
      <c r="M43" s="54">
        <f>SUM(L43)+5</f>
        <v>57.3</v>
      </c>
    </row>
    <row r="44" spans="1:13" s="1" customFormat="1" ht="14.1" customHeight="1" x14ac:dyDescent="0.3">
      <c r="A44" s="26"/>
      <c r="B44" s="63" t="s">
        <v>151</v>
      </c>
      <c r="C44" s="64"/>
      <c r="D44" s="65" t="s">
        <v>150</v>
      </c>
      <c r="E44" s="66"/>
      <c r="F44" s="66"/>
      <c r="G44" s="67"/>
      <c r="H44" s="22"/>
      <c r="I44" s="17"/>
      <c r="J44" s="19"/>
      <c r="K44" s="17"/>
      <c r="L44" s="17"/>
      <c r="M44" s="55"/>
    </row>
    <row r="45" spans="1:13" s="1" customFormat="1" ht="14.1" customHeight="1" x14ac:dyDescent="0.3">
      <c r="A45" s="26">
        <v>22</v>
      </c>
      <c r="B45" s="27" t="s">
        <v>149</v>
      </c>
      <c r="C45" s="28"/>
      <c r="D45" s="29" t="s">
        <v>147</v>
      </c>
      <c r="E45" s="30"/>
      <c r="F45" s="30"/>
      <c r="G45" s="31"/>
      <c r="H45" s="16">
        <f>SUM(I45)-1.6</f>
        <v>29.9</v>
      </c>
      <c r="I45" s="16">
        <f>SUM(J45)-1.6</f>
        <v>31.5</v>
      </c>
      <c r="J45" s="18">
        <v>33.1</v>
      </c>
      <c r="K45" s="16">
        <f>SUM(J45)+1.6</f>
        <v>34.700000000000003</v>
      </c>
      <c r="L45" s="16">
        <f>SUM(K45)+1.6</f>
        <v>36.300000000000004</v>
      </c>
      <c r="M45" s="54">
        <f>SUM(L45)+1.6</f>
        <v>37.900000000000006</v>
      </c>
    </row>
    <row r="46" spans="1:13" s="1" customFormat="1" ht="14.1" customHeight="1" x14ac:dyDescent="0.3">
      <c r="A46" s="26"/>
      <c r="B46" s="63" t="s">
        <v>148</v>
      </c>
      <c r="C46" s="64"/>
      <c r="D46" s="65" t="s">
        <v>147</v>
      </c>
      <c r="E46" s="66"/>
      <c r="F46" s="66"/>
      <c r="G46" s="67"/>
      <c r="H46" s="17"/>
      <c r="I46" s="17"/>
      <c r="J46" s="19"/>
      <c r="K46" s="17"/>
      <c r="L46" s="17"/>
      <c r="M46" s="55"/>
    </row>
    <row r="47" spans="1:13" s="1" customFormat="1" ht="14.1" customHeight="1" x14ac:dyDescent="0.3">
      <c r="A47" s="26">
        <v>23</v>
      </c>
      <c r="B47" s="27" t="s">
        <v>146</v>
      </c>
      <c r="C47" s="28"/>
      <c r="D47" s="29" t="s">
        <v>145</v>
      </c>
      <c r="E47" s="30"/>
      <c r="F47" s="30"/>
      <c r="G47" s="31"/>
      <c r="H47" s="32">
        <f>SUM(I47)-3.4</f>
        <v>30.6</v>
      </c>
      <c r="I47" s="16">
        <f>SUM(J47)-3.4</f>
        <v>34</v>
      </c>
      <c r="J47" s="18">
        <v>37.4</v>
      </c>
      <c r="K47" s="16">
        <f>SUM(J47)+3.3</f>
        <v>40.699999999999996</v>
      </c>
      <c r="L47" s="16">
        <f>SUM(K47)+3</f>
        <v>43.699999999999996</v>
      </c>
      <c r="M47" s="54">
        <f>SUM(L47)+3</f>
        <v>46.699999999999996</v>
      </c>
    </row>
    <row r="48" spans="1:13" s="1" customFormat="1" ht="14.1" customHeight="1" x14ac:dyDescent="0.3">
      <c r="A48" s="26"/>
      <c r="B48" s="63" t="s">
        <v>144</v>
      </c>
      <c r="C48" s="64"/>
      <c r="D48" s="65" t="s">
        <v>143</v>
      </c>
      <c r="E48" s="66"/>
      <c r="F48" s="66"/>
      <c r="G48" s="67"/>
      <c r="H48" s="22"/>
      <c r="I48" s="17"/>
      <c r="J48" s="19"/>
      <c r="K48" s="17"/>
      <c r="L48" s="17"/>
      <c r="M48" s="55"/>
    </row>
    <row r="49" spans="1:13" s="1" customFormat="1" ht="14.1" customHeight="1" x14ac:dyDescent="0.3">
      <c r="A49" s="26">
        <v>24</v>
      </c>
      <c r="B49" s="27"/>
      <c r="C49" s="28"/>
      <c r="D49" s="29"/>
      <c r="E49" s="30"/>
      <c r="F49" s="30"/>
      <c r="G49" s="31"/>
      <c r="H49" s="16"/>
      <c r="I49" s="16"/>
      <c r="J49" s="34"/>
      <c r="K49" s="35"/>
      <c r="L49" s="35"/>
      <c r="M49" s="59"/>
    </row>
    <row r="50" spans="1:13" s="1" customFormat="1" ht="14.1" customHeight="1" x14ac:dyDescent="0.3">
      <c r="A50" s="26"/>
      <c r="B50" s="63"/>
      <c r="C50" s="64"/>
      <c r="D50" s="65"/>
      <c r="E50" s="66"/>
      <c r="F50" s="66"/>
      <c r="G50" s="67"/>
      <c r="H50" s="17"/>
      <c r="I50" s="17"/>
      <c r="J50" s="34"/>
      <c r="K50" s="35"/>
      <c r="L50" s="35"/>
      <c r="M50" s="59"/>
    </row>
    <row r="51" spans="1:13" s="1" customFormat="1" ht="14.1" customHeight="1" x14ac:dyDescent="0.3">
      <c r="A51" s="26">
        <v>25</v>
      </c>
      <c r="B51" s="27"/>
      <c r="C51" s="28"/>
      <c r="D51" s="29"/>
      <c r="E51" s="30"/>
      <c r="F51" s="30"/>
      <c r="G51" s="31"/>
      <c r="H51" s="16"/>
      <c r="I51" s="16"/>
      <c r="J51" s="34"/>
      <c r="K51" s="35"/>
      <c r="L51" s="35"/>
      <c r="M51" s="59"/>
    </row>
    <row r="52" spans="1:13" s="1" customFormat="1" ht="14.1" customHeight="1" thickBot="1" x14ac:dyDescent="0.35">
      <c r="A52" s="44"/>
      <c r="B52" s="83"/>
      <c r="C52" s="82"/>
      <c r="D52" s="81"/>
      <c r="E52" s="80"/>
      <c r="F52" s="80"/>
      <c r="G52" s="79"/>
      <c r="H52" s="45"/>
      <c r="I52" s="45"/>
      <c r="J52" s="46"/>
      <c r="K52" s="47"/>
      <c r="L52" s="47"/>
      <c r="M52" s="68"/>
    </row>
    <row r="53" spans="1:13" s="1" customFormat="1" ht="14.1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1" customFormat="1" ht="14.1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s="1" customFormat="1" ht="14.1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s="1" customFormat="1" ht="14.1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customFormat="1" ht="14.1" customHeight="1" x14ac:dyDescent="0.3"/>
    <row r="66" customFormat="1" ht="14.1" customHeight="1" x14ac:dyDescent="0.3"/>
  </sheetData>
  <mergeCells count="278"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K7:K8"/>
    <mergeCell ref="L7:L8"/>
    <mergeCell ref="M7:M8"/>
    <mergeCell ref="B8:C8"/>
    <mergeCell ref="D8:G8"/>
    <mergeCell ref="K5:K6"/>
    <mergeCell ref="L5:L6"/>
    <mergeCell ref="M5:M6"/>
    <mergeCell ref="B7:C7"/>
    <mergeCell ref="D7:G7"/>
    <mergeCell ref="H7:H8"/>
    <mergeCell ref="I7:I8"/>
    <mergeCell ref="J11:J12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A19:A20"/>
    <mergeCell ref="B19:C19"/>
    <mergeCell ref="D19:G19"/>
    <mergeCell ref="H19:H20"/>
    <mergeCell ref="I19:I20"/>
    <mergeCell ref="K17:K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B32:C32"/>
    <mergeCell ref="D32:G3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K33:K34"/>
    <mergeCell ref="L33:L34"/>
    <mergeCell ref="M33:M34"/>
    <mergeCell ref="B34:C34"/>
    <mergeCell ref="D34:G34"/>
    <mergeCell ref="J33:J34"/>
    <mergeCell ref="J35:J36"/>
    <mergeCell ref="K35:K36"/>
    <mergeCell ref="L35:L36"/>
    <mergeCell ref="M35:M36"/>
    <mergeCell ref="B36:C36"/>
    <mergeCell ref="D36:G36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7:K38"/>
    <mergeCell ref="L37:L38"/>
    <mergeCell ref="M37:M38"/>
    <mergeCell ref="B38:C38"/>
    <mergeCell ref="D38:G38"/>
    <mergeCell ref="J37:J38"/>
    <mergeCell ref="J39:J40"/>
    <mergeCell ref="K39:K40"/>
    <mergeCell ref="L39:L40"/>
    <mergeCell ref="M39:M40"/>
    <mergeCell ref="B40:C40"/>
    <mergeCell ref="D40:G40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K41:K42"/>
    <mergeCell ref="L41:L42"/>
    <mergeCell ref="M41:M42"/>
    <mergeCell ref="B42:C42"/>
    <mergeCell ref="D42:G42"/>
    <mergeCell ref="J41:J42"/>
    <mergeCell ref="J43:J44"/>
    <mergeCell ref="K43:K44"/>
    <mergeCell ref="L43:L44"/>
    <mergeCell ref="M43:M44"/>
    <mergeCell ref="B44:C44"/>
    <mergeCell ref="D44:G44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K45:K46"/>
    <mergeCell ref="L45:L46"/>
    <mergeCell ref="M45:M46"/>
    <mergeCell ref="B46:C46"/>
    <mergeCell ref="D46:G46"/>
    <mergeCell ref="J45:J46"/>
    <mergeCell ref="J47:J48"/>
    <mergeCell ref="K47:K48"/>
    <mergeCell ref="L47:L48"/>
    <mergeCell ref="M47:M48"/>
    <mergeCell ref="B48:C48"/>
    <mergeCell ref="D48:G48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K49:K50"/>
    <mergeCell ref="L49:L50"/>
    <mergeCell ref="M49:M50"/>
    <mergeCell ref="B50:C50"/>
    <mergeCell ref="D50:G50"/>
    <mergeCell ref="J49:J50"/>
    <mergeCell ref="J51:J52"/>
    <mergeCell ref="K51:K52"/>
    <mergeCell ref="L51:L52"/>
    <mergeCell ref="M51:M52"/>
    <mergeCell ref="B52:C52"/>
    <mergeCell ref="D52:G52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27CD-4BBA-4636-B0F2-AA079FEAB358}">
  <sheetPr>
    <tabColor rgb="FFFF0000"/>
    <pageSetUpPr fitToPage="1"/>
  </sheetPr>
  <dimension ref="A1:P51"/>
  <sheetViews>
    <sheetView zoomScale="110" zoomScaleNormal="110" workbookViewId="0">
      <selection activeCell="O11" sqref="O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5" t="s">
        <v>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6" ht="16.5" customHeight="1" thickBot="1" x14ac:dyDescent="0.35">
      <c r="A2" s="2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6" s="1" customFormat="1" ht="14.1" customHeight="1" x14ac:dyDescent="0.3">
      <c r="A3" s="9">
        <v>1</v>
      </c>
      <c r="B3" s="11" t="s">
        <v>56</v>
      </c>
      <c r="C3" s="12"/>
      <c r="D3" s="13"/>
      <c r="E3" s="14"/>
      <c r="F3" s="14"/>
      <c r="G3" s="15"/>
      <c r="H3" s="16">
        <f>SUM(I3)-4.5</f>
        <v>56</v>
      </c>
      <c r="I3" s="16">
        <f>SUM(J3)-4.5</f>
        <v>60.5</v>
      </c>
      <c r="J3" s="18">
        <v>65</v>
      </c>
      <c r="K3" s="16">
        <f>SUM(J3)+4.5</f>
        <v>69.5</v>
      </c>
      <c r="L3" s="16">
        <f>SUM(K3)+4.5</f>
        <v>74</v>
      </c>
      <c r="M3" s="20"/>
    </row>
    <row r="4" spans="1:16" s="1" customFormat="1" ht="14.1" customHeight="1" x14ac:dyDescent="0.3">
      <c r="A4" s="10"/>
      <c r="B4" s="22" t="s">
        <v>128</v>
      </c>
      <c r="C4" s="22"/>
      <c r="D4" s="23" t="s">
        <v>140</v>
      </c>
      <c r="E4" s="24"/>
      <c r="F4" s="24"/>
      <c r="G4" s="24"/>
      <c r="H4" s="17"/>
      <c r="I4" s="17"/>
      <c r="J4" s="19"/>
      <c r="K4" s="17"/>
      <c r="L4" s="17"/>
      <c r="M4" s="21"/>
    </row>
    <row r="5" spans="1:16" s="1" customFormat="1" ht="14.1" customHeight="1" x14ac:dyDescent="0.3">
      <c r="A5" s="26">
        <v>2</v>
      </c>
      <c r="B5" s="27" t="s">
        <v>130</v>
      </c>
      <c r="C5" s="28"/>
      <c r="D5" s="29"/>
      <c r="E5" s="30"/>
      <c r="F5" s="30"/>
      <c r="G5" s="31"/>
      <c r="H5" s="16">
        <f>SUM(I5)-1</f>
        <v>9</v>
      </c>
      <c r="I5" s="16">
        <f>SUM(J5)-1</f>
        <v>10</v>
      </c>
      <c r="J5" s="18">
        <v>11</v>
      </c>
      <c r="K5" s="16">
        <f>SUM(J5)+0.8</f>
        <v>11.8</v>
      </c>
      <c r="L5" s="16">
        <f>SUM(K5)+0.8</f>
        <v>12.600000000000001</v>
      </c>
      <c r="M5" s="20"/>
    </row>
    <row r="6" spans="1:16" s="1" customFormat="1" ht="14.1" customHeight="1" x14ac:dyDescent="0.3">
      <c r="A6" s="26"/>
      <c r="B6" s="22" t="s">
        <v>131</v>
      </c>
      <c r="C6" s="22"/>
      <c r="D6" s="23"/>
      <c r="E6" s="24"/>
      <c r="F6" s="24"/>
      <c r="G6" s="25"/>
      <c r="H6" s="17"/>
      <c r="I6" s="17"/>
      <c r="J6" s="19"/>
      <c r="K6" s="17"/>
      <c r="L6" s="17"/>
      <c r="M6" s="21"/>
      <c r="P6" s="1" t="s">
        <v>126</v>
      </c>
    </row>
    <row r="7" spans="1:16" s="1" customFormat="1" ht="14.1" customHeight="1" x14ac:dyDescent="0.3">
      <c r="A7" s="26">
        <v>3</v>
      </c>
      <c r="B7" s="32" t="s">
        <v>20</v>
      </c>
      <c r="C7" s="32"/>
      <c r="D7" s="33"/>
      <c r="E7" s="33"/>
      <c r="F7" s="33"/>
      <c r="G7" s="33"/>
      <c r="H7" s="16">
        <f>SUM(I7)-2.25</f>
        <v>23.5</v>
      </c>
      <c r="I7" s="16">
        <f>SUM(J7)-2.25</f>
        <v>25.75</v>
      </c>
      <c r="J7" s="18">
        <v>28</v>
      </c>
      <c r="K7" s="16">
        <f>SUM(J7)+2</f>
        <v>30</v>
      </c>
      <c r="L7" s="16">
        <f>SUM(K7)+2</f>
        <v>32</v>
      </c>
      <c r="M7" s="20"/>
      <c r="P7" s="1">
        <f>SUM(H5+H5+I5+I5+J5+J5+K5+K5+L5+L5)</f>
        <v>108.79999999999998</v>
      </c>
    </row>
    <row r="8" spans="1:16" s="1" customFormat="1" ht="14.1" customHeight="1" x14ac:dyDescent="0.3">
      <c r="A8" s="26"/>
      <c r="B8" s="22" t="s">
        <v>25</v>
      </c>
      <c r="C8" s="22"/>
      <c r="D8" s="23" t="s">
        <v>85</v>
      </c>
      <c r="E8" s="24"/>
      <c r="F8" s="24"/>
      <c r="G8" s="25"/>
      <c r="H8" s="17"/>
      <c r="I8" s="17"/>
      <c r="J8" s="19"/>
      <c r="K8" s="17"/>
      <c r="L8" s="17"/>
      <c r="M8" s="21"/>
      <c r="P8" s="1">
        <f>SUM(H23+H23+I23+I23+J23+J23+K23+K23+L23+L23)</f>
        <v>240</v>
      </c>
    </row>
    <row r="9" spans="1:16" s="1" customFormat="1" ht="14.1" customHeight="1" x14ac:dyDescent="0.3">
      <c r="A9" s="26">
        <v>4</v>
      </c>
      <c r="B9" s="32" t="s">
        <v>82</v>
      </c>
      <c r="C9" s="32"/>
      <c r="D9" s="33"/>
      <c r="E9" s="33"/>
      <c r="F9" s="33"/>
      <c r="G9" s="33"/>
      <c r="H9" s="16">
        <f>SUM(I9)-3</f>
        <v>50</v>
      </c>
      <c r="I9" s="16">
        <f>SUM(J9)-3</f>
        <v>53</v>
      </c>
      <c r="J9" s="18">
        <v>56</v>
      </c>
      <c r="K9" s="16">
        <f>SUM(J9)+3</f>
        <v>59</v>
      </c>
      <c r="L9" s="16">
        <f>SUM(K9)+3</f>
        <v>62</v>
      </c>
      <c r="M9" s="20"/>
      <c r="P9" s="1">
        <f>SUM(P7+P8)</f>
        <v>348.79999999999995</v>
      </c>
    </row>
    <row r="10" spans="1:16" s="1" customFormat="1" ht="14.1" customHeight="1" x14ac:dyDescent="0.3">
      <c r="A10" s="26"/>
      <c r="B10" s="22" t="s">
        <v>138</v>
      </c>
      <c r="C10" s="22"/>
      <c r="D10" s="23"/>
      <c r="E10" s="24"/>
      <c r="F10" s="24"/>
      <c r="G10" s="25"/>
      <c r="H10" s="17"/>
      <c r="I10" s="17"/>
      <c r="J10" s="19"/>
      <c r="K10" s="17"/>
      <c r="L10" s="17"/>
      <c r="M10" s="21"/>
      <c r="P10" s="1">
        <f>SUM(P9/91.44/5*1.08)</f>
        <v>0.8239370078740158</v>
      </c>
    </row>
    <row r="11" spans="1:16" s="1" customFormat="1" ht="14.1" customHeight="1" x14ac:dyDescent="0.3">
      <c r="A11" s="26">
        <v>5</v>
      </c>
      <c r="B11" s="32" t="s">
        <v>132</v>
      </c>
      <c r="C11" s="32"/>
      <c r="D11" s="33"/>
      <c r="E11" s="33"/>
      <c r="F11" s="33"/>
      <c r="G11" s="33"/>
      <c r="H11" s="16">
        <f>SUM(I11)-1.5</f>
        <v>14</v>
      </c>
      <c r="I11" s="16">
        <f>SUM(J11)-1.5</f>
        <v>15.5</v>
      </c>
      <c r="J11" s="18">
        <v>17</v>
      </c>
      <c r="K11" s="16">
        <f>SUM(J11)+1.5</f>
        <v>18.5</v>
      </c>
      <c r="L11" s="16">
        <f>SUM(K11)+1.5</f>
        <v>20</v>
      </c>
      <c r="M11" s="20"/>
    </row>
    <row r="12" spans="1:16" s="1" customFormat="1" ht="14.1" customHeight="1" x14ac:dyDescent="0.3">
      <c r="A12" s="26"/>
      <c r="B12" s="22" t="s">
        <v>133</v>
      </c>
      <c r="C12" s="22"/>
      <c r="D12" s="23" t="s">
        <v>129</v>
      </c>
      <c r="E12" s="24"/>
      <c r="F12" s="24"/>
      <c r="G12" s="25"/>
      <c r="H12" s="17"/>
      <c r="I12" s="17"/>
      <c r="J12" s="19"/>
      <c r="K12" s="17"/>
      <c r="L12" s="17"/>
      <c r="M12" s="21"/>
      <c r="P12" s="1" t="s">
        <v>139</v>
      </c>
    </row>
    <row r="13" spans="1:16" s="1" customFormat="1" ht="14.1" customHeight="1" x14ac:dyDescent="0.3">
      <c r="A13" s="26">
        <v>6</v>
      </c>
      <c r="B13" s="32" t="s">
        <v>1</v>
      </c>
      <c r="C13" s="32"/>
      <c r="D13" s="33" t="s">
        <v>65</v>
      </c>
      <c r="E13" s="33"/>
      <c r="F13" s="33"/>
      <c r="G13" s="33"/>
      <c r="H13" s="16"/>
      <c r="I13" s="16"/>
      <c r="J13" s="34"/>
      <c r="K13" s="35"/>
      <c r="L13" s="35"/>
      <c r="M13" s="36"/>
      <c r="P13" s="1">
        <f>SUM(H9+I9+J9+K9+L9)</f>
        <v>280</v>
      </c>
    </row>
    <row r="14" spans="1:16" s="1" customFormat="1" ht="14.1" customHeight="1" x14ac:dyDescent="0.3">
      <c r="A14" s="26"/>
      <c r="B14" s="22" t="s">
        <v>13</v>
      </c>
      <c r="C14" s="22"/>
      <c r="D14" s="23" t="s">
        <v>31</v>
      </c>
      <c r="E14" s="24"/>
      <c r="F14" s="24"/>
      <c r="G14" s="25"/>
      <c r="H14" s="17"/>
      <c r="I14" s="17"/>
      <c r="J14" s="34"/>
      <c r="K14" s="35"/>
      <c r="L14" s="35"/>
      <c r="M14" s="36"/>
      <c r="P14" s="1">
        <f>SUM(H21+H21+I21+I21+J21+J21+K21+K21+L21+L21)</f>
        <v>130</v>
      </c>
    </row>
    <row r="15" spans="1:16" s="1" customFormat="1" ht="14.1" customHeight="1" x14ac:dyDescent="0.3">
      <c r="A15" s="26">
        <v>7</v>
      </c>
      <c r="B15" s="32" t="s">
        <v>2</v>
      </c>
      <c r="C15" s="32"/>
      <c r="D15" s="33" t="s">
        <v>3</v>
      </c>
      <c r="E15" s="33"/>
      <c r="F15" s="33"/>
      <c r="G15" s="33"/>
      <c r="H15" s="16"/>
      <c r="I15" s="16"/>
      <c r="J15" s="34"/>
      <c r="K15" s="35"/>
      <c r="L15" s="35"/>
      <c r="M15" s="36"/>
      <c r="P15" s="1">
        <f>SUM(P13+P14)</f>
        <v>410</v>
      </c>
    </row>
    <row r="16" spans="1:16" s="1" customFormat="1" ht="14.1" customHeight="1" x14ac:dyDescent="0.3">
      <c r="A16" s="26"/>
      <c r="B16" s="22" t="s">
        <v>14</v>
      </c>
      <c r="C16" s="22"/>
      <c r="D16" s="23" t="s">
        <v>32</v>
      </c>
      <c r="E16" s="24"/>
      <c r="F16" s="24"/>
      <c r="G16" s="25"/>
      <c r="H16" s="17"/>
      <c r="I16" s="17"/>
      <c r="J16" s="34"/>
      <c r="K16" s="35"/>
      <c r="L16" s="35"/>
      <c r="M16" s="36"/>
      <c r="P16" s="1">
        <f>SUM(P15/91.44/5*1.08)</f>
        <v>0.96850393700787418</v>
      </c>
    </row>
    <row r="17" spans="1:13" s="1" customFormat="1" ht="14.1" customHeight="1" x14ac:dyDescent="0.3">
      <c r="A17" s="26">
        <v>8</v>
      </c>
      <c r="B17" s="27" t="s">
        <v>46</v>
      </c>
      <c r="C17" s="28"/>
      <c r="D17" s="29"/>
      <c r="E17" s="30"/>
      <c r="F17" s="30"/>
      <c r="G17" s="31"/>
      <c r="H17" s="16"/>
      <c r="I17" s="16"/>
      <c r="J17" s="34"/>
      <c r="K17" s="35"/>
      <c r="L17" s="35"/>
      <c r="M17" s="36"/>
    </row>
    <row r="18" spans="1:13" s="1" customFormat="1" ht="14.1" customHeight="1" x14ac:dyDescent="0.3">
      <c r="A18" s="26"/>
      <c r="B18" s="22" t="s">
        <v>19</v>
      </c>
      <c r="C18" s="22"/>
      <c r="D18" s="23"/>
      <c r="E18" s="24"/>
      <c r="F18" s="24"/>
      <c r="G18" s="25"/>
      <c r="H18" s="17"/>
      <c r="I18" s="17"/>
      <c r="J18" s="34"/>
      <c r="K18" s="35"/>
      <c r="L18" s="35"/>
      <c r="M18" s="36"/>
    </row>
    <row r="19" spans="1:13" s="1" customFormat="1" ht="14.1" customHeight="1" x14ac:dyDescent="0.3">
      <c r="A19" s="26">
        <v>9</v>
      </c>
      <c r="B19" s="32" t="s">
        <v>4</v>
      </c>
      <c r="C19" s="32"/>
      <c r="D19" s="33" t="s">
        <v>5</v>
      </c>
      <c r="E19" s="33"/>
      <c r="F19" s="33"/>
      <c r="G19" s="33"/>
      <c r="H19" s="16">
        <f>SUM(I19)-1.1</f>
        <v>11.3</v>
      </c>
      <c r="I19" s="16">
        <f>SUM(J19)-1.1</f>
        <v>12.4</v>
      </c>
      <c r="J19" s="34">
        <v>13.5</v>
      </c>
      <c r="K19" s="35">
        <f>SUM(J19)+1</f>
        <v>14.5</v>
      </c>
      <c r="L19" s="35">
        <f>SUM(K19)+1</f>
        <v>15.5</v>
      </c>
      <c r="M19" s="36"/>
    </row>
    <row r="20" spans="1:13" s="1" customFormat="1" ht="14.1" customHeight="1" x14ac:dyDescent="0.3">
      <c r="A20" s="26"/>
      <c r="B20" s="22" t="s">
        <v>15</v>
      </c>
      <c r="C20" s="22"/>
      <c r="D20" s="23" t="s">
        <v>33</v>
      </c>
      <c r="E20" s="24"/>
      <c r="F20" s="24"/>
      <c r="G20" s="25"/>
      <c r="H20" s="17"/>
      <c r="I20" s="17"/>
      <c r="J20" s="34"/>
      <c r="K20" s="35"/>
      <c r="L20" s="35"/>
      <c r="M20" s="36"/>
    </row>
    <row r="21" spans="1:13" s="1" customFormat="1" ht="14.1" customHeight="1" x14ac:dyDescent="0.3">
      <c r="A21" s="26">
        <v>10</v>
      </c>
      <c r="B21" s="32" t="s">
        <v>134</v>
      </c>
      <c r="C21" s="32"/>
      <c r="D21" s="29"/>
      <c r="E21" s="30"/>
      <c r="F21" s="30"/>
      <c r="G21" s="31"/>
      <c r="H21" s="16">
        <f>SUM(I21)-1</f>
        <v>11</v>
      </c>
      <c r="I21" s="16">
        <f>SUM(J21)-1</f>
        <v>12</v>
      </c>
      <c r="J21" s="34">
        <v>13</v>
      </c>
      <c r="K21" s="35">
        <f>SUM(J21)+1</f>
        <v>14</v>
      </c>
      <c r="L21" s="35">
        <f>SUM(K21)+1</f>
        <v>15</v>
      </c>
      <c r="M21" s="36"/>
    </row>
    <row r="22" spans="1:13" s="1" customFormat="1" ht="14.1" customHeight="1" x14ac:dyDescent="0.3">
      <c r="A22" s="26"/>
      <c r="B22" s="22" t="s">
        <v>72</v>
      </c>
      <c r="C22" s="22"/>
      <c r="D22" s="23" t="s">
        <v>141</v>
      </c>
      <c r="E22" s="24"/>
      <c r="F22" s="24"/>
      <c r="G22" s="25"/>
      <c r="H22" s="17"/>
      <c r="I22" s="17"/>
      <c r="J22" s="34"/>
      <c r="K22" s="35"/>
      <c r="L22" s="35"/>
      <c r="M22" s="36"/>
    </row>
    <row r="23" spans="1:13" s="1" customFormat="1" ht="14.1" customHeight="1" x14ac:dyDescent="0.3">
      <c r="A23" s="26">
        <v>11</v>
      </c>
      <c r="B23" s="27" t="s">
        <v>135</v>
      </c>
      <c r="C23" s="28"/>
      <c r="D23" s="33"/>
      <c r="E23" s="33"/>
      <c r="F23" s="33"/>
      <c r="G23" s="33"/>
      <c r="H23" s="16">
        <f>SUM(I23)-1.2</f>
        <v>21.6</v>
      </c>
      <c r="I23" s="16">
        <f>SUM(J23)-1.2</f>
        <v>22.8</v>
      </c>
      <c r="J23" s="34">
        <v>24</v>
      </c>
      <c r="K23" s="35">
        <f>SUM(J23)+1.2</f>
        <v>25.2</v>
      </c>
      <c r="L23" s="35">
        <f>SUM(K23)+1.2</f>
        <v>26.4</v>
      </c>
      <c r="M23" s="36"/>
    </row>
    <row r="24" spans="1:13" s="1" customFormat="1" ht="14.1" customHeight="1" x14ac:dyDescent="0.3">
      <c r="A24" s="26"/>
      <c r="B24" s="22" t="s">
        <v>136</v>
      </c>
      <c r="C24" s="22"/>
      <c r="D24" s="23" t="s">
        <v>142</v>
      </c>
      <c r="E24" s="24"/>
      <c r="F24" s="24"/>
      <c r="G24" s="25"/>
      <c r="H24" s="17"/>
      <c r="I24" s="17"/>
      <c r="J24" s="34"/>
      <c r="K24" s="35"/>
      <c r="L24" s="35"/>
      <c r="M24" s="36"/>
    </row>
    <row r="25" spans="1:13" s="1" customFormat="1" ht="14.1" customHeight="1" x14ac:dyDescent="0.3">
      <c r="A25" s="26">
        <v>12</v>
      </c>
      <c r="B25" s="27" t="s">
        <v>91</v>
      </c>
      <c r="C25" s="28"/>
      <c r="D25" s="38"/>
      <c r="E25" s="39"/>
      <c r="F25" s="39"/>
      <c r="G25" s="40"/>
      <c r="H25" s="16">
        <f>SUM(I25)-3</f>
        <v>42</v>
      </c>
      <c r="I25" s="16">
        <f>SUM(J25)-3</f>
        <v>45</v>
      </c>
      <c r="J25" s="34">
        <v>48</v>
      </c>
      <c r="K25" s="35">
        <f>SUM(J25)+3</f>
        <v>51</v>
      </c>
      <c r="L25" s="35">
        <f>SUM(K25)+3</f>
        <v>54</v>
      </c>
      <c r="M25" s="36"/>
    </row>
    <row r="26" spans="1:13" s="1" customFormat="1" ht="14.1" customHeight="1" x14ac:dyDescent="0.3">
      <c r="A26" s="37"/>
      <c r="B26" s="11" t="s">
        <v>92</v>
      </c>
      <c r="C26" s="12"/>
      <c r="D26" s="13"/>
      <c r="E26" s="14"/>
      <c r="F26" s="14"/>
      <c r="G26" s="15"/>
      <c r="H26" s="41"/>
      <c r="I26" s="41"/>
      <c r="J26" s="18"/>
      <c r="K26" s="16"/>
      <c r="L26" s="16"/>
      <c r="M26" s="20"/>
    </row>
    <row r="27" spans="1:13" ht="14.1" customHeight="1" x14ac:dyDescent="0.3">
      <c r="A27" s="26">
        <v>13</v>
      </c>
      <c r="B27" s="27" t="s">
        <v>95</v>
      </c>
      <c r="C27" s="28"/>
      <c r="D27" s="38"/>
      <c r="E27" s="39"/>
      <c r="F27" s="39"/>
      <c r="G27" s="40"/>
      <c r="H27" s="16">
        <f>SUM(I27)-0.8</f>
        <v>10.399999999999999</v>
      </c>
      <c r="I27" s="16">
        <f>SUM(J27)-0.8</f>
        <v>11.2</v>
      </c>
      <c r="J27" s="34">
        <v>12</v>
      </c>
      <c r="K27" s="35">
        <f>SUM(J27)+0.8</f>
        <v>12.8</v>
      </c>
      <c r="L27" s="35">
        <f>SUM(K27)+0.8</f>
        <v>13.600000000000001</v>
      </c>
      <c r="M27" s="36"/>
    </row>
    <row r="28" spans="1:13" ht="14.1" customHeight="1" x14ac:dyDescent="0.3">
      <c r="A28" s="37"/>
      <c r="B28" s="11" t="s">
        <v>137</v>
      </c>
      <c r="C28" s="12"/>
      <c r="D28" s="13"/>
      <c r="E28" s="14"/>
      <c r="F28" s="14"/>
      <c r="G28" s="15"/>
      <c r="H28" s="41"/>
      <c r="I28" s="41"/>
      <c r="J28" s="18"/>
      <c r="K28" s="16"/>
      <c r="L28" s="16"/>
      <c r="M28" s="20"/>
    </row>
    <row r="29" spans="1:13" ht="14.1" customHeight="1" x14ac:dyDescent="0.3">
      <c r="A29" s="26">
        <v>14</v>
      </c>
      <c r="B29" s="27" t="s">
        <v>57</v>
      </c>
      <c r="C29" s="28"/>
      <c r="D29" s="38"/>
      <c r="E29" s="39"/>
      <c r="F29" s="39"/>
      <c r="G29" s="40"/>
      <c r="H29" s="16">
        <f>SUM(I29)-0.2</f>
        <v>3.0999999999999996</v>
      </c>
      <c r="I29" s="16">
        <f>SUM(J29)-0.2</f>
        <v>3.3</v>
      </c>
      <c r="J29" s="34">
        <v>3.5</v>
      </c>
      <c r="K29" s="35">
        <f>SUM(J29)+0.2</f>
        <v>3.7</v>
      </c>
      <c r="L29" s="35">
        <f>SUM(K29)+0.2</f>
        <v>3.9000000000000004</v>
      </c>
      <c r="M29" s="36"/>
    </row>
    <row r="30" spans="1:13" ht="14.1" customHeight="1" x14ac:dyDescent="0.3">
      <c r="A30" s="37"/>
      <c r="B30" s="42" t="s">
        <v>59</v>
      </c>
      <c r="C30" s="43"/>
      <c r="D30" s="13"/>
      <c r="E30" s="14"/>
      <c r="F30" s="14"/>
      <c r="G30" s="15"/>
      <c r="H30" s="41"/>
      <c r="I30" s="41"/>
      <c r="J30" s="18"/>
      <c r="K30" s="16"/>
      <c r="L30" s="16"/>
      <c r="M30" s="20"/>
    </row>
    <row r="31" spans="1:13" ht="14.1" customHeight="1" x14ac:dyDescent="0.3">
      <c r="A31" s="26">
        <v>15</v>
      </c>
      <c r="B31" s="27"/>
      <c r="C31" s="28"/>
      <c r="D31" s="38"/>
      <c r="E31" s="39"/>
      <c r="F31" s="39"/>
      <c r="G31" s="40"/>
      <c r="H31" s="16"/>
      <c r="I31" s="16"/>
      <c r="J31" s="34"/>
      <c r="K31" s="35"/>
      <c r="L31" s="35"/>
      <c r="M31" s="36"/>
    </row>
    <row r="32" spans="1:13" ht="14.1" customHeight="1" x14ac:dyDescent="0.3">
      <c r="A32" s="37"/>
      <c r="B32" s="11"/>
      <c r="C32" s="12"/>
      <c r="D32" s="13"/>
      <c r="E32" s="14"/>
      <c r="F32" s="14"/>
      <c r="G32" s="15"/>
      <c r="H32" s="41"/>
      <c r="I32" s="41"/>
      <c r="J32" s="18"/>
      <c r="K32" s="16"/>
      <c r="L32" s="16"/>
      <c r="M32" s="20"/>
    </row>
    <row r="33" spans="1:13" ht="14.1" customHeight="1" x14ac:dyDescent="0.3">
      <c r="A33" s="26">
        <v>16</v>
      </c>
      <c r="B33" s="27"/>
      <c r="C33" s="28"/>
      <c r="D33" s="38"/>
      <c r="E33" s="39"/>
      <c r="F33" s="39"/>
      <c r="G33" s="40"/>
      <c r="H33" s="16"/>
      <c r="I33" s="16"/>
      <c r="J33" s="34"/>
      <c r="K33" s="35"/>
      <c r="L33" s="35"/>
      <c r="M33" s="36"/>
    </row>
    <row r="34" spans="1:13" ht="14.1" customHeight="1" x14ac:dyDescent="0.3">
      <c r="A34" s="37"/>
      <c r="B34" s="42"/>
      <c r="C34" s="43"/>
      <c r="D34" s="23"/>
      <c r="E34" s="24"/>
      <c r="F34" s="24"/>
      <c r="G34" s="25"/>
      <c r="H34" s="17"/>
      <c r="I34" s="17"/>
      <c r="J34" s="18"/>
      <c r="K34" s="35"/>
      <c r="L34" s="35"/>
      <c r="M34" s="36"/>
    </row>
    <row r="35" spans="1:13" ht="14.1" customHeight="1" x14ac:dyDescent="0.3">
      <c r="A35" s="26">
        <v>17</v>
      </c>
      <c r="B35" s="27"/>
      <c r="C35" s="28"/>
      <c r="D35" s="38"/>
      <c r="E35" s="39"/>
      <c r="F35" s="39"/>
      <c r="G35" s="40"/>
      <c r="H35" s="16"/>
      <c r="I35" s="16"/>
      <c r="J35" s="34"/>
      <c r="K35" s="35"/>
      <c r="L35" s="35"/>
      <c r="M35" s="36"/>
    </row>
    <row r="36" spans="1:13" ht="14.1" customHeight="1" thickBot="1" x14ac:dyDescent="0.35">
      <c r="A36" s="44"/>
      <c r="B36" s="49"/>
      <c r="C36" s="50"/>
      <c r="D36" s="51"/>
      <c r="E36" s="52"/>
      <c r="F36" s="52"/>
      <c r="G36" s="53"/>
      <c r="H36" s="45"/>
      <c r="I36" s="45"/>
      <c r="J36" s="46"/>
      <c r="K36" s="47"/>
      <c r="L36" s="47"/>
      <c r="M36" s="48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291-BDEA-47AA-A294-BC2657B2E99A}">
  <sheetPr>
    <tabColor rgb="FFFF0000"/>
    <pageSetUpPr fitToPage="1"/>
  </sheetPr>
  <dimension ref="A1:M51"/>
  <sheetViews>
    <sheetView topLeftCell="A10" zoomScale="110" zoomScaleNormal="110" workbookViewId="0">
      <selection activeCell="P26" sqref="P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5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16.5" customHeight="1" thickBot="1" x14ac:dyDescent="0.35">
      <c r="A2" s="2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3" s="1" customFormat="1" ht="14.1" customHeight="1" x14ac:dyDescent="0.3">
      <c r="A3" s="9">
        <v>1</v>
      </c>
      <c r="B3" s="11" t="s">
        <v>56</v>
      </c>
      <c r="C3" s="12"/>
      <c r="D3" s="13" t="s">
        <v>55</v>
      </c>
      <c r="E3" s="14"/>
      <c r="F3" s="14"/>
      <c r="G3" s="15"/>
      <c r="H3" s="16">
        <f>SUM(I3)-4.4</f>
        <v>52.1</v>
      </c>
      <c r="I3" s="16">
        <f>SUM(J3)-4.4</f>
        <v>56.5</v>
      </c>
      <c r="J3" s="18">
        <v>60.9</v>
      </c>
      <c r="K3" s="16">
        <f>SUM(J3)+3.9</f>
        <v>64.8</v>
      </c>
      <c r="L3" s="16">
        <f t="shared" ref="L3" si="0">SUM(K3)+3.9</f>
        <v>68.7</v>
      </c>
      <c r="M3" s="54"/>
    </row>
    <row r="4" spans="1:13" s="1" customFormat="1" ht="14.1" customHeight="1" x14ac:dyDescent="0.3">
      <c r="A4" s="10"/>
      <c r="B4" s="22" t="s">
        <v>18</v>
      </c>
      <c r="C4" s="22"/>
      <c r="D4" s="23" t="s">
        <v>54</v>
      </c>
      <c r="E4" s="24"/>
      <c r="F4" s="24"/>
      <c r="G4" s="24"/>
      <c r="H4" s="17"/>
      <c r="I4" s="17"/>
      <c r="J4" s="19"/>
      <c r="K4" s="17"/>
      <c r="L4" s="17"/>
      <c r="M4" s="55"/>
    </row>
    <row r="5" spans="1:13" s="1" customFormat="1" ht="14.1" customHeight="1" x14ac:dyDescent="0.3">
      <c r="A5" s="26">
        <v>2</v>
      </c>
      <c r="B5" s="32" t="s">
        <v>22</v>
      </c>
      <c r="C5" s="32"/>
      <c r="D5" s="33" t="s">
        <v>23</v>
      </c>
      <c r="E5" s="33"/>
      <c r="F5" s="33"/>
      <c r="G5" s="33"/>
      <c r="H5" s="16">
        <f>SUM(I5)-2</f>
        <v>37</v>
      </c>
      <c r="I5" s="16">
        <f>SUM(J5)-2</f>
        <v>39</v>
      </c>
      <c r="J5" s="18">
        <v>41</v>
      </c>
      <c r="K5" s="16">
        <f>SUM(J5)+1.8</f>
        <v>42.8</v>
      </c>
      <c r="L5" s="16">
        <f t="shared" ref="L5" si="1">SUM(K5)+1.8</f>
        <v>44.599999999999994</v>
      </c>
      <c r="M5" s="54"/>
    </row>
    <row r="6" spans="1:13" s="1" customFormat="1" ht="14.1" customHeight="1" x14ac:dyDescent="0.3">
      <c r="A6" s="26"/>
      <c r="B6" s="22" t="s">
        <v>10</v>
      </c>
      <c r="C6" s="22"/>
      <c r="D6" s="23" t="s">
        <v>27</v>
      </c>
      <c r="E6" s="24"/>
      <c r="F6" s="24"/>
      <c r="G6" s="25"/>
      <c r="H6" s="17"/>
      <c r="I6" s="17"/>
      <c r="J6" s="19"/>
      <c r="K6" s="17"/>
      <c r="L6" s="17"/>
      <c r="M6" s="55"/>
    </row>
    <row r="7" spans="1:13" s="1" customFormat="1" ht="14.1" customHeight="1" x14ac:dyDescent="0.3">
      <c r="A7" s="26">
        <v>3</v>
      </c>
      <c r="B7" s="32" t="s">
        <v>20</v>
      </c>
      <c r="C7" s="32"/>
      <c r="D7" s="33" t="s">
        <v>45</v>
      </c>
      <c r="E7" s="33"/>
      <c r="F7" s="33"/>
      <c r="G7" s="33"/>
      <c r="H7" s="16">
        <f>SUM(I7)-2.25</f>
        <v>42.4</v>
      </c>
      <c r="I7" s="16">
        <f>SUM(J7)-2.25</f>
        <v>44.65</v>
      </c>
      <c r="J7" s="18">
        <v>46.9</v>
      </c>
      <c r="K7" s="16">
        <f>SUM(J7)+2</f>
        <v>48.9</v>
      </c>
      <c r="L7" s="16">
        <f t="shared" ref="L7" si="2">SUM(K7)+2</f>
        <v>50.9</v>
      </c>
      <c r="M7" s="54"/>
    </row>
    <row r="8" spans="1:13" s="1" customFormat="1" ht="14.1" customHeight="1" x14ac:dyDescent="0.3">
      <c r="A8" s="26"/>
      <c r="B8" s="22" t="s">
        <v>25</v>
      </c>
      <c r="C8" s="22"/>
      <c r="D8" s="23" t="s">
        <v>28</v>
      </c>
      <c r="E8" s="24"/>
      <c r="F8" s="24"/>
      <c r="G8" s="25"/>
      <c r="H8" s="17"/>
      <c r="I8" s="17"/>
      <c r="J8" s="19"/>
      <c r="K8" s="17"/>
      <c r="L8" s="17"/>
      <c r="M8" s="55"/>
    </row>
    <row r="9" spans="1:13" s="1" customFormat="1" ht="14.1" customHeight="1" x14ac:dyDescent="0.3">
      <c r="A9" s="26">
        <v>4</v>
      </c>
      <c r="B9" s="32" t="s">
        <v>26</v>
      </c>
      <c r="C9" s="32"/>
      <c r="D9" s="33" t="s">
        <v>8</v>
      </c>
      <c r="E9" s="33"/>
      <c r="F9" s="33"/>
      <c r="G9" s="33"/>
      <c r="H9" s="16">
        <f>SUM(I9)-2.6</f>
        <v>48.699999999999996</v>
      </c>
      <c r="I9" s="16">
        <f>SUM(J9)-2.6</f>
        <v>51.3</v>
      </c>
      <c r="J9" s="18">
        <v>53.9</v>
      </c>
      <c r="K9" s="16">
        <f>SUM(J9)+2.3</f>
        <v>56.199999999999996</v>
      </c>
      <c r="L9" s="16">
        <f t="shared" ref="L9" si="3">SUM(K9)+2.3</f>
        <v>58.499999999999993</v>
      </c>
      <c r="M9" s="54"/>
    </row>
    <row r="10" spans="1:13" s="1" customFormat="1" ht="14.1" customHeight="1" x14ac:dyDescent="0.3">
      <c r="A10" s="26"/>
      <c r="B10" s="22" t="s">
        <v>11</v>
      </c>
      <c r="C10" s="22"/>
      <c r="D10" s="23" t="s">
        <v>29</v>
      </c>
      <c r="E10" s="24"/>
      <c r="F10" s="24"/>
      <c r="G10" s="25"/>
      <c r="H10" s="17"/>
      <c r="I10" s="17"/>
      <c r="J10" s="19"/>
      <c r="K10" s="17"/>
      <c r="L10" s="17"/>
      <c r="M10" s="55"/>
    </row>
    <row r="11" spans="1:13" s="1" customFormat="1" ht="14.1" customHeight="1" x14ac:dyDescent="0.3">
      <c r="A11" s="26">
        <v>5</v>
      </c>
      <c r="B11" s="32" t="s">
        <v>9</v>
      </c>
      <c r="C11" s="32"/>
      <c r="D11" s="33" t="s">
        <v>0</v>
      </c>
      <c r="E11" s="33"/>
      <c r="F11" s="33"/>
      <c r="G11" s="33"/>
      <c r="H11" s="32">
        <f>SUM(I11)-0.8</f>
        <v>18.399999999999999</v>
      </c>
      <c r="I11" s="32">
        <f>SUM(J11)-0.8</f>
        <v>19.2</v>
      </c>
      <c r="J11" s="58">
        <v>20</v>
      </c>
      <c r="K11" s="56">
        <f>SUM(J11)+0.8</f>
        <v>20.8</v>
      </c>
      <c r="L11" s="56">
        <f t="shared" ref="L11" si="4">SUM(K11)+0.8</f>
        <v>21.6</v>
      </c>
      <c r="M11" s="57"/>
    </row>
    <row r="12" spans="1:13" s="1" customFormat="1" ht="14.1" customHeight="1" x14ac:dyDescent="0.3">
      <c r="A12" s="26"/>
      <c r="B12" s="22" t="s">
        <v>12</v>
      </c>
      <c r="C12" s="22"/>
      <c r="D12" s="23" t="s">
        <v>30</v>
      </c>
      <c r="E12" s="24"/>
      <c r="F12" s="24"/>
      <c r="G12" s="25"/>
      <c r="H12" s="22"/>
      <c r="I12" s="22"/>
      <c r="J12" s="58"/>
      <c r="K12" s="56"/>
      <c r="L12" s="56"/>
      <c r="M12" s="57"/>
    </row>
    <row r="13" spans="1:13" s="1" customFormat="1" ht="14.1" customHeight="1" x14ac:dyDescent="0.3">
      <c r="A13" s="26">
        <v>6</v>
      </c>
      <c r="B13" s="32" t="s">
        <v>1</v>
      </c>
      <c r="C13" s="32"/>
      <c r="D13" s="33" t="s">
        <v>65</v>
      </c>
      <c r="E13" s="33"/>
      <c r="F13" s="33"/>
      <c r="G13" s="33"/>
      <c r="H13" s="32">
        <f>SUM(I13)-0.6</f>
        <v>18.599999999999998</v>
      </c>
      <c r="I13" s="32">
        <f>SUM(J13)-0.6</f>
        <v>19.2</v>
      </c>
      <c r="J13" s="34">
        <v>19.8</v>
      </c>
      <c r="K13" s="56">
        <f>SUM(J13)+0.6</f>
        <v>20.400000000000002</v>
      </c>
      <c r="L13" s="56">
        <f t="shared" ref="L13" si="5">SUM(K13)+0.6</f>
        <v>21.000000000000004</v>
      </c>
      <c r="M13" s="57"/>
    </row>
    <row r="14" spans="1:13" s="1" customFormat="1" ht="14.1" customHeight="1" x14ac:dyDescent="0.3">
      <c r="A14" s="26"/>
      <c r="B14" s="22" t="s">
        <v>13</v>
      </c>
      <c r="C14" s="22"/>
      <c r="D14" s="23" t="s">
        <v>31</v>
      </c>
      <c r="E14" s="24"/>
      <c r="F14" s="24"/>
      <c r="G14" s="25"/>
      <c r="H14" s="22"/>
      <c r="I14" s="22"/>
      <c r="J14" s="34"/>
      <c r="K14" s="56"/>
      <c r="L14" s="56"/>
      <c r="M14" s="57"/>
    </row>
    <row r="15" spans="1:13" s="1" customFormat="1" ht="14.1" customHeight="1" x14ac:dyDescent="0.3">
      <c r="A15" s="26">
        <v>7</v>
      </c>
      <c r="B15" s="32" t="s">
        <v>2</v>
      </c>
      <c r="C15" s="32"/>
      <c r="D15" s="33" t="s">
        <v>3</v>
      </c>
      <c r="E15" s="33"/>
      <c r="F15" s="33"/>
      <c r="G15" s="33"/>
      <c r="H15" s="16">
        <f>SUM(I15)-0.3</f>
        <v>5.6000000000000005</v>
      </c>
      <c r="I15" s="16">
        <f>SUM(J15)-0.3</f>
        <v>5.9</v>
      </c>
      <c r="J15" s="34">
        <v>6.2</v>
      </c>
      <c r="K15" s="35">
        <f>SUM(J15)+0.3</f>
        <v>6.5</v>
      </c>
      <c r="L15" s="35">
        <f t="shared" ref="L15" si="6">SUM(K15)+0.3</f>
        <v>6.8</v>
      </c>
      <c r="M15" s="59"/>
    </row>
    <row r="16" spans="1:13" s="1" customFormat="1" ht="14.1" customHeight="1" x14ac:dyDescent="0.3">
      <c r="A16" s="26"/>
      <c r="B16" s="22" t="s">
        <v>14</v>
      </c>
      <c r="C16" s="22"/>
      <c r="D16" s="23" t="s">
        <v>67</v>
      </c>
      <c r="E16" s="24"/>
      <c r="F16" s="24"/>
      <c r="G16" s="25"/>
      <c r="H16" s="17"/>
      <c r="I16" s="17"/>
      <c r="J16" s="34"/>
      <c r="K16" s="35"/>
      <c r="L16" s="35"/>
      <c r="M16" s="59"/>
    </row>
    <row r="17" spans="1:13" s="1" customFormat="1" ht="14.1" customHeight="1" x14ac:dyDescent="0.3">
      <c r="A17" s="26">
        <v>8</v>
      </c>
      <c r="B17" s="27" t="s">
        <v>46</v>
      </c>
      <c r="C17" s="28"/>
      <c r="D17" s="29" t="s">
        <v>47</v>
      </c>
      <c r="E17" s="30"/>
      <c r="F17" s="30"/>
      <c r="G17" s="31"/>
      <c r="H17" s="16">
        <f>SUM(I17)-1.6</f>
        <v>43.599999999999994</v>
      </c>
      <c r="I17" s="16">
        <f>SUM(J17)-1.6</f>
        <v>45.199999999999996</v>
      </c>
      <c r="J17" s="34">
        <v>46.8</v>
      </c>
      <c r="K17" s="35">
        <f>SUM(J17)+1.6</f>
        <v>48.4</v>
      </c>
      <c r="L17" s="35">
        <f t="shared" ref="L17" si="7">SUM(K17)+1.6</f>
        <v>50</v>
      </c>
      <c r="M17" s="59"/>
    </row>
    <row r="18" spans="1:13" s="1" customFormat="1" ht="14.1" customHeight="1" x14ac:dyDescent="0.3">
      <c r="A18" s="26"/>
      <c r="B18" s="22" t="s">
        <v>19</v>
      </c>
      <c r="C18" s="22"/>
      <c r="D18" s="23" t="s">
        <v>104</v>
      </c>
      <c r="E18" s="24"/>
      <c r="F18" s="24"/>
      <c r="G18" s="25"/>
      <c r="H18" s="17"/>
      <c r="I18" s="17"/>
      <c r="J18" s="34"/>
      <c r="K18" s="35"/>
      <c r="L18" s="35"/>
      <c r="M18" s="59"/>
    </row>
    <row r="19" spans="1:13" s="1" customFormat="1" ht="14.1" customHeight="1" x14ac:dyDescent="0.3">
      <c r="A19" s="26">
        <v>9</v>
      </c>
      <c r="B19" s="32" t="s">
        <v>4</v>
      </c>
      <c r="C19" s="32"/>
      <c r="D19" s="33" t="s">
        <v>5</v>
      </c>
      <c r="E19" s="33"/>
      <c r="F19" s="33"/>
      <c r="G19" s="33"/>
      <c r="H19" s="16">
        <f>SUM(I19)-3.5</f>
        <v>29.6</v>
      </c>
      <c r="I19" s="16">
        <f>SUM(J19)-3.5</f>
        <v>33.1</v>
      </c>
      <c r="J19" s="34">
        <v>36.6</v>
      </c>
      <c r="K19" s="35">
        <f>SUM(J19)+3.6</f>
        <v>40.200000000000003</v>
      </c>
      <c r="L19" s="35">
        <f t="shared" ref="L19" si="8">SUM(K19)+3.6</f>
        <v>43.800000000000004</v>
      </c>
      <c r="M19" s="59"/>
    </row>
    <row r="20" spans="1:13" s="1" customFormat="1" ht="14.1" customHeight="1" x14ac:dyDescent="0.3">
      <c r="A20" s="26"/>
      <c r="B20" s="22" t="s">
        <v>15</v>
      </c>
      <c r="C20" s="22"/>
      <c r="D20" s="23" t="s">
        <v>33</v>
      </c>
      <c r="E20" s="24"/>
      <c r="F20" s="24"/>
      <c r="G20" s="25"/>
      <c r="H20" s="17"/>
      <c r="I20" s="17"/>
      <c r="J20" s="34"/>
      <c r="K20" s="35"/>
      <c r="L20" s="35"/>
      <c r="M20" s="59"/>
    </row>
    <row r="21" spans="1:13" s="1" customFormat="1" ht="14.1" customHeight="1" x14ac:dyDescent="0.3">
      <c r="A21" s="26">
        <v>10</v>
      </c>
      <c r="B21" s="32" t="s">
        <v>6</v>
      </c>
      <c r="C21" s="32"/>
      <c r="D21" s="29" t="s">
        <v>7</v>
      </c>
      <c r="E21" s="30"/>
      <c r="F21" s="30"/>
      <c r="G21" s="31"/>
      <c r="H21" s="16">
        <f>SUM(I21)-1.6</f>
        <v>35.5</v>
      </c>
      <c r="I21" s="16">
        <f>SUM(J21)-1.6</f>
        <v>37.1</v>
      </c>
      <c r="J21" s="34">
        <v>38.700000000000003</v>
      </c>
      <c r="K21" s="35">
        <f>SUM(J21)+1.6</f>
        <v>40.300000000000004</v>
      </c>
      <c r="L21" s="35">
        <f t="shared" ref="L21" si="9">SUM(K21)+1.6</f>
        <v>41.900000000000006</v>
      </c>
      <c r="M21" s="59"/>
    </row>
    <row r="22" spans="1:13" s="1" customFormat="1" ht="14.1" customHeight="1" x14ac:dyDescent="0.3">
      <c r="A22" s="26"/>
      <c r="B22" s="22" t="s">
        <v>16</v>
      </c>
      <c r="C22" s="22"/>
      <c r="D22" s="23" t="s">
        <v>42</v>
      </c>
      <c r="E22" s="24"/>
      <c r="F22" s="24"/>
      <c r="G22" s="25"/>
      <c r="H22" s="17"/>
      <c r="I22" s="17"/>
      <c r="J22" s="34"/>
      <c r="K22" s="35"/>
      <c r="L22" s="35"/>
      <c r="M22" s="59"/>
    </row>
    <row r="23" spans="1:13" s="1" customFormat="1" ht="14.1" customHeight="1" x14ac:dyDescent="0.3">
      <c r="A23" s="26">
        <v>11</v>
      </c>
      <c r="B23" s="27" t="s">
        <v>49</v>
      </c>
      <c r="C23" s="28"/>
      <c r="D23" s="33" t="s">
        <v>43</v>
      </c>
      <c r="E23" s="33"/>
      <c r="F23" s="33"/>
      <c r="G23" s="33"/>
      <c r="H23" s="16">
        <f>SUM(I23)-0.6</f>
        <v>18.799999999999997</v>
      </c>
      <c r="I23" s="16">
        <f>SUM(J23)-0.6</f>
        <v>19.399999999999999</v>
      </c>
      <c r="J23" s="34">
        <v>20</v>
      </c>
      <c r="K23" s="35">
        <f>SUM(J23)+0.6</f>
        <v>20.6</v>
      </c>
      <c r="L23" s="35">
        <f>SUM(K23)+0.6</f>
        <v>21.200000000000003</v>
      </c>
      <c r="M23" s="59"/>
    </row>
    <row r="24" spans="1:13" s="1" customFormat="1" ht="14.1" customHeight="1" x14ac:dyDescent="0.3">
      <c r="A24" s="26"/>
      <c r="B24" s="22" t="s">
        <v>17</v>
      </c>
      <c r="C24" s="22"/>
      <c r="D24" s="23" t="s">
        <v>44</v>
      </c>
      <c r="E24" s="24"/>
      <c r="F24" s="24"/>
      <c r="G24" s="25"/>
      <c r="H24" s="17"/>
      <c r="I24" s="17"/>
      <c r="J24" s="34"/>
      <c r="K24" s="35"/>
      <c r="L24" s="35"/>
      <c r="M24" s="59"/>
    </row>
    <row r="25" spans="1:13" s="1" customFormat="1" ht="14.1" customHeight="1" x14ac:dyDescent="0.3">
      <c r="A25" s="26">
        <v>12</v>
      </c>
      <c r="B25" s="32" t="s">
        <v>73</v>
      </c>
      <c r="C25" s="32"/>
      <c r="D25" s="29" t="s">
        <v>74</v>
      </c>
      <c r="E25" s="30"/>
      <c r="F25" s="30"/>
      <c r="G25" s="31"/>
      <c r="H25" s="16">
        <f>SUM(I25)-1</f>
        <v>30.299999999999997</v>
      </c>
      <c r="I25" s="16">
        <f>SUM(J25)-1</f>
        <v>31.299999999999997</v>
      </c>
      <c r="J25" s="34">
        <v>32.299999999999997</v>
      </c>
      <c r="K25" s="35">
        <f>SUM(J25)+1</f>
        <v>33.299999999999997</v>
      </c>
      <c r="L25" s="35">
        <f>SUM(K25)+1</f>
        <v>34.299999999999997</v>
      </c>
      <c r="M25" s="59"/>
    </row>
    <row r="26" spans="1:13" s="1" customFormat="1" ht="14.1" customHeight="1" x14ac:dyDescent="0.3">
      <c r="A26" s="26"/>
      <c r="B26" s="22" t="s">
        <v>75</v>
      </c>
      <c r="C26" s="22"/>
      <c r="D26" s="23" t="s">
        <v>76</v>
      </c>
      <c r="E26" s="24"/>
      <c r="F26" s="24"/>
      <c r="G26" s="25"/>
      <c r="H26" s="17"/>
      <c r="I26" s="17"/>
      <c r="J26" s="34"/>
      <c r="K26" s="35"/>
      <c r="L26" s="35"/>
      <c r="M26" s="59"/>
    </row>
    <row r="27" spans="1:13" s="1" customFormat="1" ht="14.1" customHeight="1" x14ac:dyDescent="0.3">
      <c r="A27" s="26">
        <v>13</v>
      </c>
      <c r="B27" s="32" t="s">
        <v>77</v>
      </c>
      <c r="C27" s="32"/>
      <c r="D27" s="29" t="s">
        <v>78</v>
      </c>
      <c r="E27" s="30"/>
      <c r="F27" s="30"/>
      <c r="G27" s="31"/>
      <c r="H27" s="32">
        <f>SUM(I27)-0.8</f>
        <v>21.9</v>
      </c>
      <c r="I27" s="32">
        <f>SUM(J27)-0.8</f>
        <v>22.7</v>
      </c>
      <c r="J27" s="58">
        <v>23.5</v>
      </c>
      <c r="K27" s="56">
        <f>SUM(J27)+0.8</f>
        <v>24.3</v>
      </c>
      <c r="L27" s="56">
        <f t="shared" ref="L27" si="10">SUM(K27)+0.8</f>
        <v>25.1</v>
      </c>
      <c r="M27" s="57"/>
    </row>
    <row r="28" spans="1:13" s="1" customFormat="1" ht="14.1" customHeight="1" x14ac:dyDescent="0.3">
      <c r="A28" s="26"/>
      <c r="B28" s="22" t="s">
        <v>79</v>
      </c>
      <c r="C28" s="22"/>
      <c r="D28" s="23" t="s">
        <v>80</v>
      </c>
      <c r="E28" s="24"/>
      <c r="F28" s="24"/>
      <c r="G28" s="25"/>
      <c r="H28" s="22"/>
      <c r="I28" s="22"/>
      <c r="J28" s="58"/>
      <c r="K28" s="56"/>
      <c r="L28" s="56"/>
      <c r="M28" s="57"/>
    </row>
    <row r="29" spans="1:13" s="1" customFormat="1" ht="14.1" customHeight="1" x14ac:dyDescent="0.3">
      <c r="A29" s="26">
        <v>14</v>
      </c>
      <c r="B29" s="27" t="s">
        <v>57</v>
      </c>
      <c r="C29" s="28"/>
      <c r="D29" s="38"/>
      <c r="E29" s="39"/>
      <c r="F29" s="39"/>
      <c r="G29" s="40"/>
      <c r="H29" s="16">
        <f>SUM(I29)-0.8</f>
        <v>13.599999999999998</v>
      </c>
      <c r="I29" s="16">
        <f>SUM(J29)-0.8</f>
        <v>14.399999999999999</v>
      </c>
      <c r="J29" s="34">
        <v>15.2</v>
      </c>
      <c r="K29" s="35">
        <f>SUM(J29)+0.8</f>
        <v>16</v>
      </c>
      <c r="L29" s="35">
        <f t="shared" ref="L29" si="11">SUM(K29)+0.8</f>
        <v>16.8</v>
      </c>
      <c r="M29" s="59"/>
    </row>
    <row r="30" spans="1:13" s="1" customFormat="1" ht="14.1" customHeight="1" x14ac:dyDescent="0.3">
      <c r="A30" s="26"/>
      <c r="B30" s="42" t="s">
        <v>59</v>
      </c>
      <c r="C30" s="43"/>
      <c r="D30" s="23" t="s">
        <v>81</v>
      </c>
      <c r="E30" s="24"/>
      <c r="F30" s="24"/>
      <c r="G30" s="25"/>
      <c r="H30" s="17"/>
      <c r="I30" s="17"/>
      <c r="J30" s="18"/>
      <c r="K30" s="35"/>
      <c r="L30" s="35"/>
      <c r="M30" s="59"/>
    </row>
    <row r="31" spans="1:13" ht="14.1" customHeight="1" x14ac:dyDescent="0.3">
      <c r="A31" s="26">
        <v>15</v>
      </c>
      <c r="B31" s="11" t="s">
        <v>58</v>
      </c>
      <c r="C31" s="12"/>
      <c r="D31" s="60"/>
      <c r="E31" s="61"/>
      <c r="F31" s="61"/>
      <c r="G31" s="62"/>
      <c r="H31" s="16">
        <f>SUM(I31)-0.4</f>
        <v>6.1999999999999993</v>
      </c>
      <c r="I31" s="16">
        <f>SUM(J31)-0.4</f>
        <v>6.6</v>
      </c>
      <c r="J31" s="34">
        <v>7</v>
      </c>
      <c r="K31" s="35">
        <f>SUM(J31)+0.4</f>
        <v>7.4</v>
      </c>
      <c r="L31" s="35">
        <f>SUM(K31)+0.4</f>
        <v>7.8000000000000007</v>
      </c>
      <c r="M31" s="59"/>
    </row>
    <row r="32" spans="1:13" ht="14.1" customHeight="1" x14ac:dyDescent="0.3">
      <c r="A32" s="26"/>
      <c r="B32" s="42" t="s">
        <v>60</v>
      </c>
      <c r="C32" s="43"/>
      <c r="D32" s="23" t="s">
        <v>70</v>
      </c>
      <c r="E32" s="24"/>
      <c r="F32" s="24"/>
      <c r="G32" s="25"/>
      <c r="H32" s="17"/>
      <c r="I32" s="17"/>
      <c r="J32" s="34"/>
      <c r="K32" s="35"/>
      <c r="L32" s="35"/>
      <c r="M32" s="59"/>
    </row>
    <row r="33" spans="1:13" ht="14.1" customHeight="1" x14ac:dyDescent="0.3">
      <c r="A33" s="26">
        <v>16</v>
      </c>
      <c r="B33" s="27" t="s">
        <v>105</v>
      </c>
      <c r="C33" s="28"/>
      <c r="D33" s="29"/>
      <c r="E33" s="30"/>
      <c r="F33" s="30"/>
      <c r="G33" s="31"/>
      <c r="H33" s="16">
        <f>SUM(I33)-0.6</f>
        <v>14.8</v>
      </c>
      <c r="I33" s="16">
        <f>SUM(J33)-0.6</f>
        <v>15.4</v>
      </c>
      <c r="J33" s="34">
        <v>16</v>
      </c>
      <c r="K33" s="35">
        <f>SUM(J33)+0.6</f>
        <v>16.600000000000001</v>
      </c>
      <c r="L33" s="35">
        <f t="shared" ref="L33" si="12">SUM(K33)+0.6</f>
        <v>17.200000000000003</v>
      </c>
      <c r="M33" s="59"/>
    </row>
    <row r="34" spans="1:13" ht="14.1" customHeight="1" x14ac:dyDescent="0.3">
      <c r="A34" s="26"/>
      <c r="B34" s="63" t="s">
        <v>106</v>
      </c>
      <c r="C34" s="64"/>
      <c r="D34" s="65"/>
      <c r="E34" s="66"/>
      <c r="F34" s="66"/>
      <c r="G34" s="67"/>
      <c r="H34" s="17"/>
      <c r="I34" s="17"/>
      <c r="J34" s="18"/>
      <c r="K34" s="35"/>
      <c r="L34" s="35"/>
      <c r="M34" s="59"/>
    </row>
    <row r="35" spans="1:13" ht="14.1" customHeight="1" x14ac:dyDescent="0.3">
      <c r="A35" s="26">
        <v>17</v>
      </c>
      <c r="B35" s="27" t="s">
        <v>107</v>
      </c>
      <c r="C35" s="28"/>
      <c r="D35" s="29"/>
      <c r="E35" s="30"/>
      <c r="F35" s="30"/>
      <c r="G35" s="31"/>
      <c r="H35" s="16">
        <f>SUM(I35)-0.2</f>
        <v>4.5999999999999996</v>
      </c>
      <c r="I35" s="16">
        <f>SUM(J35)-0.2</f>
        <v>4.8</v>
      </c>
      <c r="J35" s="34">
        <v>5</v>
      </c>
      <c r="K35" s="35">
        <f>SUM(J35)+0.2</f>
        <v>5.2</v>
      </c>
      <c r="L35" s="35">
        <f t="shared" ref="L35" si="13">SUM(K35)+0.2</f>
        <v>5.4</v>
      </c>
      <c r="M35" s="59"/>
    </row>
    <row r="36" spans="1:13" ht="14.1" customHeight="1" x14ac:dyDescent="0.3">
      <c r="A36" s="26"/>
      <c r="B36" s="63" t="s">
        <v>110</v>
      </c>
      <c r="C36" s="64"/>
      <c r="D36" s="65"/>
      <c r="E36" s="66"/>
      <c r="F36" s="66"/>
      <c r="G36" s="67"/>
      <c r="H36" s="17"/>
      <c r="I36" s="17"/>
      <c r="J36" s="34"/>
      <c r="K36" s="35"/>
      <c r="L36" s="35"/>
      <c r="M36" s="59"/>
    </row>
    <row r="37" spans="1:13" ht="14.1" customHeight="1" x14ac:dyDescent="0.3">
      <c r="A37" s="26">
        <v>18</v>
      </c>
      <c r="B37" s="27" t="s">
        <v>108</v>
      </c>
      <c r="C37" s="28"/>
      <c r="D37" s="33"/>
      <c r="E37" s="33"/>
      <c r="F37" s="33"/>
      <c r="G37" s="33"/>
      <c r="H37" s="16">
        <f t="shared" ref="H37:I37" si="14">SUM(I37)-0.6</f>
        <v>14.3</v>
      </c>
      <c r="I37" s="16">
        <f t="shared" si="14"/>
        <v>14.9</v>
      </c>
      <c r="J37" s="34">
        <v>15.5</v>
      </c>
      <c r="K37" s="35">
        <f t="shared" ref="K37:L37" si="15">SUM(J37)+0.6</f>
        <v>16.100000000000001</v>
      </c>
      <c r="L37" s="35">
        <f t="shared" si="15"/>
        <v>16.700000000000003</v>
      </c>
      <c r="M37" s="59"/>
    </row>
    <row r="38" spans="1:13" ht="14.1" customHeight="1" x14ac:dyDescent="0.3">
      <c r="A38" s="26"/>
      <c r="B38" s="42" t="s">
        <v>111</v>
      </c>
      <c r="C38" s="43"/>
      <c r="D38" s="23"/>
      <c r="E38" s="24"/>
      <c r="F38" s="24"/>
      <c r="G38" s="25"/>
      <c r="H38" s="17"/>
      <c r="I38" s="17"/>
      <c r="J38" s="34"/>
      <c r="K38" s="35"/>
      <c r="L38" s="35"/>
      <c r="M38" s="59"/>
    </row>
    <row r="39" spans="1:13" ht="14.1" customHeight="1" x14ac:dyDescent="0.3">
      <c r="A39" s="26">
        <v>19</v>
      </c>
      <c r="B39" s="27" t="s">
        <v>109</v>
      </c>
      <c r="C39" s="28"/>
      <c r="D39" s="33"/>
      <c r="E39" s="33"/>
      <c r="F39" s="33"/>
      <c r="G39" s="33"/>
      <c r="H39" s="16">
        <f t="shared" ref="H39:I39" si="16">SUM(I39)-0.6</f>
        <v>13.8</v>
      </c>
      <c r="I39" s="16">
        <f t="shared" si="16"/>
        <v>14.4</v>
      </c>
      <c r="J39" s="19">
        <v>15</v>
      </c>
      <c r="K39" s="35">
        <f t="shared" ref="K39:L39" si="17">SUM(J39)+0.6</f>
        <v>15.6</v>
      </c>
      <c r="L39" s="35">
        <f t="shared" si="17"/>
        <v>16.2</v>
      </c>
      <c r="M39" s="59"/>
    </row>
    <row r="40" spans="1:13" ht="14.1" customHeight="1" thickBot="1" x14ac:dyDescent="0.35">
      <c r="A40" s="44"/>
      <c r="B40" s="69" t="s">
        <v>112</v>
      </c>
      <c r="C40" s="69"/>
      <c r="D40" s="51"/>
      <c r="E40" s="52"/>
      <c r="F40" s="52"/>
      <c r="G40" s="53"/>
      <c r="H40" s="45"/>
      <c r="I40" s="45"/>
      <c r="J40" s="46"/>
      <c r="K40" s="47"/>
      <c r="L40" s="47"/>
      <c r="M40" s="68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5ABE-A5B8-4E0F-B118-607B18EE0620}">
  <sheetPr>
    <tabColor rgb="FFFF0000"/>
    <pageSetUpPr fitToPage="1"/>
  </sheetPr>
  <dimension ref="A1:P51"/>
  <sheetViews>
    <sheetView topLeftCell="A7" zoomScale="110" zoomScaleNormal="110" workbookViewId="0">
      <selection activeCell="J9" sqref="J9:J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5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6" ht="16.5" customHeight="1" thickBot="1" x14ac:dyDescent="0.35">
      <c r="A2" s="2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6" s="1" customFormat="1" ht="14.1" customHeight="1" x14ac:dyDescent="0.3">
      <c r="A3" s="9">
        <v>1</v>
      </c>
      <c r="B3" s="11" t="s">
        <v>56</v>
      </c>
      <c r="C3" s="12"/>
      <c r="D3" s="13" t="s">
        <v>55</v>
      </c>
      <c r="E3" s="14"/>
      <c r="F3" s="14"/>
      <c r="G3" s="15"/>
      <c r="H3" s="16">
        <f>SUM(I3)-2.9</f>
        <v>32</v>
      </c>
      <c r="I3" s="16">
        <f>SUM(J3)-2.9</f>
        <v>34.9</v>
      </c>
      <c r="J3" s="18">
        <v>37.799999999999997</v>
      </c>
      <c r="K3" s="16">
        <f>SUM(J3)+2.4</f>
        <v>40.199999999999996</v>
      </c>
      <c r="L3" s="16">
        <f>SUM(K3)+2.4</f>
        <v>42.599999999999994</v>
      </c>
      <c r="M3" s="54">
        <f>SUM(L3)+2.4</f>
        <v>44.999999999999993</v>
      </c>
    </row>
    <row r="4" spans="1:16" s="1" customFormat="1" ht="14.1" customHeight="1" x14ac:dyDescent="0.3">
      <c r="A4" s="10"/>
      <c r="B4" s="22" t="s">
        <v>18</v>
      </c>
      <c r="C4" s="22"/>
      <c r="D4" s="23" t="s">
        <v>54</v>
      </c>
      <c r="E4" s="24"/>
      <c r="F4" s="24"/>
      <c r="G4" s="24"/>
      <c r="H4" s="17"/>
      <c r="I4" s="17"/>
      <c r="J4" s="19"/>
      <c r="K4" s="17"/>
      <c r="L4" s="17"/>
      <c r="M4" s="55"/>
    </row>
    <row r="5" spans="1:16" s="1" customFormat="1" ht="14.1" customHeight="1" x14ac:dyDescent="0.3">
      <c r="A5" s="26">
        <v>2</v>
      </c>
      <c r="B5" s="32" t="s">
        <v>22</v>
      </c>
      <c r="C5" s="32"/>
      <c r="D5" s="33" t="s">
        <v>23</v>
      </c>
      <c r="E5" s="33"/>
      <c r="F5" s="33"/>
      <c r="G5" s="33"/>
      <c r="H5" s="16">
        <f>SUM(I5)-2</f>
        <v>37.6</v>
      </c>
      <c r="I5" s="16">
        <f>SUM(J5)-2</f>
        <v>39.6</v>
      </c>
      <c r="J5" s="18">
        <v>41.6</v>
      </c>
      <c r="K5" s="16">
        <f>SUM(J5)+1.8</f>
        <v>43.4</v>
      </c>
      <c r="L5" s="16">
        <f t="shared" ref="L5:M5" si="0">SUM(K5)+1.8</f>
        <v>45.199999999999996</v>
      </c>
      <c r="M5" s="54">
        <f t="shared" si="0"/>
        <v>46.999999999999993</v>
      </c>
    </row>
    <row r="6" spans="1:16" s="1" customFormat="1" ht="14.1" customHeight="1" x14ac:dyDescent="0.3">
      <c r="A6" s="26"/>
      <c r="B6" s="22" t="s">
        <v>10</v>
      </c>
      <c r="C6" s="22"/>
      <c r="D6" s="23" t="s">
        <v>27</v>
      </c>
      <c r="E6" s="24"/>
      <c r="F6" s="24"/>
      <c r="G6" s="25"/>
      <c r="H6" s="17"/>
      <c r="I6" s="17"/>
      <c r="J6" s="19"/>
      <c r="K6" s="17"/>
      <c r="L6" s="17"/>
      <c r="M6" s="55"/>
    </row>
    <row r="7" spans="1:16" s="1" customFormat="1" ht="14.1" customHeight="1" x14ac:dyDescent="0.3">
      <c r="A7" s="26">
        <v>3</v>
      </c>
      <c r="B7" s="32" t="s">
        <v>20</v>
      </c>
      <c r="C7" s="32"/>
      <c r="D7" s="33" t="s">
        <v>45</v>
      </c>
      <c r="E7" s="33"/>
      <c r="F7" s="33"/>
      <c r="G7" s="33"/>
      <c r="H7" s="16">
        <f>SUM(I7)-2.25</f>
        <v>40</v>
      </c>
      <c r="I7" s="16">
        <f>SUM(J7)-2.25</f>
        <v>42.25</v>
      </c>
      <c r="J7" s="18">
        <v>44.5</v>
      </c>
      <c r="K7" s="16">
        <f>SUM(J7)+2</f>
        <v>46.5</v>
      </c>
      <c r="L7" s="16">
        <f t="shared" ref="L7:M7" si="1">SUM(K7)+2</f>
        <v>48.5</v>
      </c>
      <c r="M7" s="54">
        <f t="shared" si="1"/>
        <v>50.5</v>
      </c>
    </row>
    <row r="8" spans="1:16" s="1" customFormat="1" ht="14.1" customHeight="1" x14ac:dyDescent="0.3">
      <c r="A8" s="26"/>
      <c r="B8" s="22" t="s">
        <v>25</v>
      </c>
      <c r="C8" s="22"/>
      <c r="D8" s="23" t="s">
        <v>28</v>
      </c>
      <c r="E8" s="24"/>
      <c r="F8" s="24"/>
      <c r="G8" s="25"/>
      <c r="H8" s="17"/>
      <c r="I8" s="17"/>
      <c r="J8" s="19"/>
      <c r="K8" s="17"/>
      <c r="L8" s="17"/>
      <c r="M8" s="55"/>
    </row>
    <row r="9" spans="1:16" s="1" customFormat="1" ht="14.1" customHeight="1" x14ac:dyDescent="0.3">
      <c r="A9" s="26">
        <v>4</v>
      </c>
      <c r="B9" s="32" t="s">
        <v>26</v>
      </c>
      <c r="C9" s="32"/>
      <c r="D9" s="33" t="s">
        <v>8</v>
      </c>
      <c r="E9" s="33"/>
      <c r="F9" s="33"/>
      <c r="G9" s="33"/>
      <c r="H9" s="16">
        <f>SUM(I9)-2.25</f>
        <v>40</v>
      </c>
      <c r="I9" s="16">
        <f>SUM(J9)-2.25</f>
        <v>42.25</v>
      </c>
      <c r="J9" s="18">
        <v>44.5</v>
      </c>
      <c r="K9" s="16">
        <f>SUM(J9)+2</f>
        <v>46.5</v>
      </c>
      <c r="L9" s="16">
        <f t="shared" ref="L9" si="2">SUM(K9)+2</f>
        <v>48.5</v>
      </c>
      <c r="M9" s="54">
        <f t="shared" ref="M9" si="3">SUM(L9)+2</f>
        <v>50.5</v>
      </c>
    </row>
    <row r="10" spans="1:16" s="1" customFormat="1" ht="14.1" customHeight="1" x14ac:dyDescent="0.3">
      <c r="A10" s="26"/>
      <c r="B10" s="22" t="s">
        <v>11</v>
      </c>
      <c r="C10" s="22"/>
      <c r="D10" s="23" t="s">
        <v>29</v>
      </c>
      <c r="E10" s="24"/>
      <c r="F10" s="24"/>
      <c r="G10" s="25"/>
      <c r="H10" s="17"/>
      <c r="I10" s="17"/>
      <c r="J10" s="19"/>
      <c r="K10" s="17"/>
      <c r="L10" s="17"/>
      <c r="M10" s="55"/>
    </row>
    <row r="11" spans="1:16" s="1" customFormat="1" ht="14.1" customHeight="1" x14ac:dyDescent="0.3">
      <c r="A11" s="26">
        <v>5</v>
      </c>
      <c r="B11" s="32" t="s">
        <v>116</v>
      </c>
      <c r="C11" s="32"/>
      <c r="D11" s="33"/>
      <c r="E11" s="33"/>
      <c r="F11" s="33"/>
      <c r="G11" s="33"/>
      <c r="H11" s="16">
        <f>SUM(I11)-4.5</f>
        <v>107</v>
      </c>
      <c r="I11" s="16">
        <f>SUM(J11)-4.5</f>
        <v>111.5</v>
      </c>
      <c r="J11" s="18">
        <v>116</v>
      </c>
      <c r="K11" s="16">
        <f>SUM(J11)+4</f>
        <v>120</v>
      </c>
      <c r="L11" s="16">
        <f>SUM(K11)+4</f>
        <v>124</v>
      </c>
      <c r="M11" s="54">
        <f>SUM(L11)+4</f>
        <v>128</v>
      </c>
      <c r="P11" s="1" t="s">
        <v>117</v>
      </c>
    </row>
    <row r="12" spans="1:16" s="1" customFormat="1" ht="14.1" customHeight="1" x14ac:dyDescent="0.3">
      <c r="A12" s="26"/>
      <c r="B12" s="22" t="s">
        <v>117</v>
      </c>
      <c r="C12" s="22"/>
      <c r="D12" s="23" t="s">
        <v>118</v>
      </c>
      <c r="E12" s="24"/>
      <c r="F12" s="24"/>
      <c r="G12" s="25"/>
      <c r="H12" s="17"/>
      <c r="I12" s="17"/>
      <c r="J12" s="19"/>
      <c r="K12" s="17"/>
      <c r="L12" s="17"/>
      <c r="M12" s="55"/>
      <c r="P12" s="1">
        <f>SUM(H11+I11+J11+K11+L11+M11)</f>
        <v>706.5</v>
      </c>
    </row>
    <row r="13" spans="1:16" s="1" customFormat="1" ht="14.1" customHeight="1" x14ac:dyDescent="0.3">
      <c r="A13" s="26">
        <v>6</v>
      </c>
      <c r="B13" s="32" t="s">
        <v>9</v>
      </c>
      <c r="C13" s="32"/>
      <c r="D13" s="33" t="s">
        <v>0</v>
      </c>
      <c r="E13" s="33"/>
      <c r="F13" s="33"/>
      <c r="G13" s="33"/>
      <c r="H13" s="32">
        <f>SUM(I13)-0.8</f>
        <v>16.599999999999998</v>
      </c>
      <c r="I13" s="32">
        <f>SUM(J13)-0.8</f>
        <v>17.399999999999999</v>
      </c>
      <c r="J13" s="58">
        <v>18.2</v>
      </c>
      <c r="K13" s="56">
        <f>SUM(J13)+0.8</f>
        <v>19</v>
      </c>
      <c r="L13" s="56">
        <f t="shared" ref="L13:M13" si="4">SUM(K13)+0.8</f>
        <v>19.8</v>
      </c>
      <c r="M13" s="57">
        <f t="shared" si="4"/>
        <v>20.6</v>
      </c>
      <c r="P13" s="1">
        <f>SUM(P12/91.44/6*1.08)</f>
        <v>1.3907480314960632</v>
      </c>
    </row>
    <row r="14" spans="1:16" s="1" customFormat="1" ht="14.1" customHeight="1" x14ac:dyDescent="0.3">
      <c r="A14" s="26"/>
      <c r="B14" s="22" t="s">
        <v>12</v>
      </c>
      <c r="C14" s="22"/>
      <c r="D14" s="23" t="s">
        <v>30</v>
      </c>
      <c r="E14" s="24"/>
      <c r="F14" s="24"/>
      <c r="G14" s="25"/>
      <c r="H14" s="22"/>
      <c r="I14" s="22"/>
      <c r="J14" s="58"/>
      <c r="K14" s="56"/>
      <c r="L14" s="56"/>
      <c r="M14" s="57"/>
    </row>
    <row r="15" spans="1:16" s="1" customFormat="1" ht="14.1" customHeight="1" x14ac:dyDescent="0.3">
      <c r="A15" s="26">
        <v>7</v>
      </c>
      <c r="B15" s="32" t="s">
        <v>1</v>
      </c>
      <c r="C15" s="32"/>
      <c r="D15" s="33" t="s">
        <v>65</v>
      </c>
      <c r="E15" s="33"/>
      <c r="F15" s="33"/>
      <c r="G15" s="33"/>
      <c r="H15" s="32">
        <f>SUM(I15)-0.6</f>
        <v>16.399999999999999</v>
      </c>
      <c r="I15" s="32">
        <f>SUM(J15)-0.6</f>
        <v>17</v>
      </c>
      <c r="J15" s="34">
        <v>17.600000000000001</v>
      </c>
      <c r="K15" s="56">
        <f>SUM(J15)+0.6</f>
        <v>18.200000000000003</v>
      </c>
      <c r="L15" s="56">
        <f t="shared" ref="L15:M15" si="5">SUM(K15)+0.6</f>
        <v>18.800000000000004</v>
      </c>
      <c r="M15" s="57">
        <f t="shared" si="5"/>
        <v>19.400000000000006</v>
      </c>
    </row>
    <row r="16" spans="1:16" s="1" customFormat="1" ht="14.1" customHeight="1" x14ac:dyDescent="0.3">
      <c r="A16" s="26"/>
      <c r="B16" s="22" t="s">
        <v>13</v>
      </c>
      <c r="C16" s="22"/>
      <c r="D16" s="23" t="s">
        <v>31</v>
      </c>
      <c r="E16" s="24"/>
      <c r="F16" s="24"/>
      <c r="G16" s="25"/>
      <c r="H16" s="22"/>
      <c r="I16" s="22"/>
      <c r="J16" s="34"/>
      <c r="K16" s="56"/>
      <c r="L16" s="56"/>
      <c r="M16" s="57"/>
    </row>
    <row r="17" spans="1:16" s="1" customFormat="1" ht="14.1" customHeight="1" x14ac:dyDescent="0.3">
      <c r="A17" s="26">
        <v>8</v>
      </c>
      <c r="B17" s="32" t="s">
        <v>2</v>
      </c>
      <c r="C17" s="32"/>
      <c r="D17" s="33" t="s">
        <v>3</v>
      </c>
      <c r="E17" s="33"/>
      <c r="F17" s="33"/>
      <c r="G17" s="33"/>
      <c r="H17" s="16">
        <f>SUM(I17)-0.3</f>
        <v>6.5</v>
      </c>
      <c r="I17" s="16">
        <f>SUM(J17)-0.3</f>
        <v>6.8</v>
      </c>
      <c r="J17" s="34">
        <v>7.1</v>
      </c>
      <c r="K17" s="35">
        <f>SUM(J17)+0.3</f>
        <v>7.3999999999999995</v>
      </c>
      <c r="L17" s="35">
        <f t="shared" ref="L17:M17" si="6">SUM(K17)+0.3</f>
        <v>7.6999999999999993</v>
      </c>
      <c r="M17" s="59">
        <f t="shared" si="6"/>
        <v>7.9999999999999991</v>
      </c>
    </row>
    <row r="18" spans="1:16" s="1" customFormat="1" ht="14.1" customHeight="1" x14ac:dyDescent="0.3">
      <c r="A18" s="26"/>
      <c r="B18" s="22" t="s">
        <v>14</v>
      </c>
      <c r="C18" s="22"/>
      <c r="D18" s="23" t="s">
        <v>67</v>
      </c>
      <c r="E18" s="24"/>
      <c r="F18" s="24"/>
      <c r="G18" s="25"/>
      <c r="H18" s="17"/>
      <c r="I18" s="17"/>
      <c r="J18" s="34"/>
      <c r="K18" s="35"/>
      <c r="L18" s="35"/>
      <c r="M18" s="59"/>
    </row>
    <row r="19" spans="1:16" s="1" customFormat="1" ht="14.1" customHeight="1" x14ac:dyDescent="0.3">
      <c r="A19" s="26">
        <v>9</v>
      </c>
      <c r="B19" s="27" t="s">
        <v>46</v>
      </c>
      <c r="C19" s="28"/>
      <c r="D19" s="29" t="s">
        <v>47</v>
      </c>
      <c r="E19" s="30"/>
      <c r="F19" s="30"/>
      <c r="G19" s="31"/>
      <c r="H19" s="16">
        <f>SUM(I19)-1.6</f>
        <v>39.799999999999997</v>
      </c>
      <c r="I19" s="16">
        <f>SUM(J19)-1.6</f>
        <v>41.4</v>
      </c>
      <c r="J19" s="34">
        <v>43</v>
      </c>
      <c r="K19" s="35">
        <f>SUM(J19)+1.6</f>
        <v>44.6</v>
      </c>
      <c r="L19" s="35">
        <f t="shared" ref="L19:M19" si="7">SUM(K19)+1.6</f>
        <v>46.2</v>
      </c>
      <c r="M19" s="59">
        <f t="shared" si="7"/>
        <v>47.800000000000004</v>
      </c>
    </row>
    <row r="20" spans="1:16" s="1" customFormat="1" ht="14.1" customHeight="1" x14ac:dyDescent="0.3">
      <c r="A20" s="26"/>
      <c r="B20" s="22" t="s">
        <v>19</v>
      </c>
      <c r="C20" s="22"/>
      <c r="D20" s="23" t="s">
        <v>119</v>
      </c>
      <c r="E20" s="24"/>
      <c r="F20" s="24"/>
      <c r="G20" s="25"/>
      <c r="H20" s="17"/>
      <c r="I20" s="17"/>
      <c r="J20" s="34"/>
      <c r="K20" s="35"/>
      <c r="L20" s="35"/>
      <c r="M20" s="59"/>
    </row>
    <row r="21" spans="1:16" s="1" customFormat="1" ht="14.1" customHeight="1" x14ac:dyDescent="0.3">
      <c r="A21" s="26">
        <v>10</v>
      </c>
      <c r="B21" s="32" t="s">
        <v>4</v>
      </c>
      <c r="C21" s="32"/>
      <c r="D21" s="33" t="s">
        <v>5</v>
      </c>
      <c r="E21" s="33"/>
      <c r="F21" s="33"/>
      <c r="G21" s="33"/>
      <c r="H21" s="16">
        <f>SUM(I21)-3.5</f>
        <v>28.200000000000003</v>
      </c>
      <c r="I21" s="16">
        <f>SUM(J21)-3.5</f>
        <v>31.700000000000003</v>
      </c>
      <c r="J21" s="34">
        <v>35.200000000000003</v>
      </c>
      <c r="K21" s="35">
        <f>SUM(J21)+3.6</f>
        <v>38.800000000000004</v>
      </c>
      <c r="L21" s="35">
        <f t="shared" ref="L21:M21" si="8">SUM(K21)+3.6</f>
        <v>42.400000000000006</v>
      </c>
      <c r="M21" s="59">
        <f t="shared" si="8"/>
        <v>46.000000000000007</v>
      </c>
    </row>
    <row r="22" spans="1:16" s="1" customFormat="1" ht="14.1" customHeight="1" x14ac:dyDescent="0.3">
      <c r="A22" s="26"/>
      <c r="B22" s="22" t="s">
        <v>15</v>
      </c>
      <c r="C22" s="22"/>
      <c r="D22" s="23" t="s">
        <v>33</v>
      </c>
      <c r="E22" s="24"/>
      <c r="F22" s="24"/>
      <c r="G22" s="25"/>
      <c r="H22" s="17"/>
      <c r="I22" s="17"/>
      <c r="J22" s="34"/>
      <c r="K22" s="35"/>
      <c r="L22" s="35"/>
      <c r="M22" s="59"/>
    </row>
    <row r="23" spans="1:16" s="1" customFormat="1" ht="14.1" customHeight="1" x14ac:dyDescent="0.3">
      <c r="A23" s="26">
        <v>11</v>
      </c>
      <c r="B23" s="32" t="s">
        <v>6</v>
      </c>
      <c r="C23" s="32"/>
      <c r="D23" s="29" t="s">
        <v>7</v>
      </c>
      <c r="E23" s="30"/>
      <c r="F23" s="30"/>
      <c r="G23" s="31"/>
      <c r="H23" s="16">
        <f>SUM(I23)-1.6</f>
        <v>32.099999999999994</v>
      </c>
      <c r="I23" s="16">
        <f>SUM(J23)-1.6</f>
        <v>33.699999999999996</v>
      </c>
      <c r="J23" s="34">
        <v>35.299999999999997</v>
      </c>
      <c r="K23" s="35">
        <f>SUM(J23)+1.6</f>
        <v>36.9</v>
      </c>
      <c r="L23" s="35">
        <f t="shared" ref="L23:M23" si="9">SUM(K23)+1.6</f>
        <v>38.5</v>
      </c>
      <c r="M23" s="59">
        <f t="shared" si="9"/>
        <v>40.1</v>
      </c>
    </row>
    <row r="24" spans="1:16" s="1" customFormat="1" ht="14.1" customHeight="1" x14ac:dyDescent="0.3">
      <c r="A24" s="26"/>
      <c r="B24" s="22" t="s">
        <v>16</v>
      </c>
      <c r="C24" s="22"/>
      <c r="D24" s="23" t="s">
        <v>42</v>
      </c>
      <c r="E24" s="24"/>
      <c r="F24" s="24"/>
      <c r="G24" s="25"/>
      <c r="H24" s="17"/>
      <c r="I24" s="17"/>
      <c r="J24" s="34"/>
      <c r="K24" s="35"/>
      <c r="L24" s="35"/>
      <c r="M24" s="59"/>
      <c r="P24" s="1" t="s">
        <v>87</v>
      </c>
    </row>
    <row r="25" spans="1:16" s="1" customFormat="1" ht="14.1" customHeight="1" x14ac:dyDescent="0.3">
      <c r="A25" s="26">
        <v>12</v>
      </c>
      <c r="B25" s="27" t="s">
        <v>86</v>
      </c>
      <c r="C25" s="28"/>
      <c r="D25" s="33"/>
      <c r="E25" s="33"/>
      <c r="F25" s="33"/>
      <c r="G25" s="33"/>
      <c r="H25" s="16">
        <f>SUM(I25)-0.6</f>
        <v>16.799999999999997</v>
      </c>
      <c r="I25" s="16">
        <f>SUM(J25)-0.6</f>
        <v>17.399999999999999</v>
      </c>
      <c r="J25" s="34">
        <v>18</v>
      </c>
      <c r="K25" s="35">
        <f>SUM(J25)+0.6</f>
        <v>18.600000000000001</v>
      </c>
      <c r="L25" s="35">
        <f>SUM(K25)+0.6</f>
        <v>19.200000000000003</v>
      </c>
      <c r="M25" s="59">
        <f>SUM(L25)+0.6</f>
        <v>19.800000000000004</v>
      </c>
      <c r="P25" s="1">
        <f>SUM(H25+I25+J25+K25+L25+M25)</f>
        <v>109.80000000000001</v>
      </c>
    </row>
    <row r="26" spans="1:16" s="1" customFormat="1" ht="14.1" customHeight="1" x14ac:dyDescent="0.3">
      <c r="A26" s="26"/>
      <c r="B26" s="22" t="s">
        <v>87</v>
      </c>
      <c r="C26" s="22"/>
      <c r="D26" s="23"/>
      <c r="E26" s="24"/>
      <c r="F26" s="24"/>
      <c r="G26" s="25"/>
      <c r="H26" s="17"/>
      <c r="I26" s="17"/>
      <c r="J26" s="34"/>
      <c r="K26" s="35"/>
      <c r="L26" s="35"/>
      <c r="M26" s="59"/>
      <c r="P26" s="1">
        <f>SUM(P25/91.44/6*1.08)</f>
        <v>0.21614173228346459</v>
      </c>
    </row>
    <row r="27" spans="1:16" s="1" customFormat="1" ht="14.1" customHeight="1" x14ac:dyDescent="0.3">
      <c r="A27" s="26">
        <v>13</v>
      </c>
      <c r="B27" s="32" t="s">
        <v>73</v>
      </c>
      <c r="C27" s="32"/>
      <c r="D27" s="29" t="s">
        <v>74</v>
      </c>
      <c r="E27" s="30"/>
      <c r="F27" s="30"/>
      <c r="G27" s="31"/>
      <c r="H27" s="16">
        <f>SUM(I27)-1</f>
        <v>30</v>
      </c>
      <c r="I27" s="16">
        <f>SUM(J27)-1</f>
        <v>31</v>
      </c>
      <c r="J27" s="34">
        <v>32</v>
      </c>
      <c r="K27" s="35">
        <f>SUM(J27)+1</f>
        <v>33</v>
      </c>
      <c r="L27" s="35">
        <f>SUM(K27)+1</f>
        <v>34</v>
      </c>
      <c r="M27" s="59">
        <f>SUM(L27)+1</f>
        <v>35</v>
      </c>
      <c r="P27" s="1">
        <f>SUM(P26*2)</f>
        <v>0.43228346456692918</v>
      </c>
    </row>
    <row r="28" spans="1:16" s="1" customFormat="1" ht="14.1" customHeight="1" x14ac:dyDescent="0.3">
      <c r="A28" s="26"/>
      <c r="B28" s="22" t="s">
        <v>75</v>
      </c>
      <c r="C28" s="22"/>
      <c r="D28" s="23" t="s">
        <v>76</v>
      </c>
      <c r="E28" s="24"/>
      <c r="F28" s="24"/>
      <c r="G28" s="25"/>
      <c r="H28" s="17"/>
      <c r="I28" s="17"/>
      <c r="J28" s="34"/>
      <c r="K28" s="35"/>
      <c r="L28" s="35"/>
      <c r="M28" s="59"/>
    </row>
    <row r="29" spans="1:16" s="1" customFormat="1" ht="14.1" customHeight="1" x14ac:dyDescent="0.3">
      <c r="A29" s="26">
        <v>14</v>
      </c>
      <c r="B29" s="32" t="s">
        <v>77</v>
      </c>
      <c r="C29" s="32"/>
      <c r="D29" s="29" t="s">
        <v>78</v>
      </c>
      <c r="E29" s="30"/>
      <c r="F29" s="30"/>
      <c r="G29" s="31"/>
      <c r="H29" s="32">
        <f>SUM(I29)-0.8</f>
        <v>21</v>
      </c>
      <c r="I29" s="32">
        <f>SUM(J29)-0.8</f>
        <v>21.8</v>
      </c>
      <c r="J29" s="58">
        <v>22.6</v>
      </c>
      <c r="K29" s="56">
        <f>SUM(J29)+0.8</f>
        <v>23.400000000000002</v>
      </c>
      <c r="L29" s="56">
        <f t="shared" ref="L29:M29" si="10">SUM(K29)+0.8</f>
        <v>24.200000000000003</v>
      </c>
      <c r="M29" s="57">
        <f t="shared" si="10"/>
        <v>25.000000000000004</v>
      </c>
    </row>
    <row r="30" spans="1:16" s="1" customFormat="1" ht="14.1" customHeight="1" x14ac:dyDescent="0.3">
      <c r="A30" s="26"/>
      <c r="B30" s="22" t="s">
        <v>79</v>
      </c>
      <c r="C30" s="22"/>
      <c r="D30" s="23" t="s">
        <v>80</v>
      </c>
      <c r="E30" s="24"/>
      <c r="F30" s="24"/>
      <c r="G30" s="25"/>
      <c r="H30" s="22"/>
      <c r="I30" s="22"/>
      <c r="J30" s="58"/>
      <c r="K30" s="56"/>
      <c r="L30" s="56"/>
      <c r="M30" s="57"/>
    </row>
    <row r="31" spans="1:16" ht="14.1" customHeight="1" x14ac:dyDescent="0.3">
      <c r="A31" s="26">
        <v>15</v>
      </c>
      <c r="B31" s="32" t="s">
        <v>121</v>
      </c>
      <c r="C31" s="32"/>
      <c r="D31" s="29"/>
      <c r="E31" s="30"/>
      <c r="F31" s="30"/>
      <c r="G31" s="31"/>
      <c r="H31" s="32">
        <f>SUM(I31)-2</f>
        <v>85</v>
      </c>
      <c r="I31" s="32">
        <f>SUM(J31)-2</f>
        <v>87</v>
      </c>
      <c r="J31" s="58">
        <v>89</v>
      </c>
      <c r="K31" s="56">
        <f>SUM(J31)+2</f>
        <v>91</v>
      </c>
      <c r="L31" s="56">
        <f>SUM(K31)+2</f>
        <v>93</v>
      </c>
      <c r="M31" s="57">
        <f>SUM(L31)+2</f>
        <v>95</v>
      </c>
    </row>
    <row r="32" spans="1:16" ht="14.1" customHeight="1" x14ac:dyDescent="0.3">
      <c r="A32" s="26"/>
      <c r="B32" s="22" t="s">
        <v>122</v>
      </c>
      <c r="C32" s="22"/>
      <c r="D32" s="23" t="s">
        <v>123</v>
      </c>
      <c r="E32" s="24"/>
      <c r="F32" s="24"/>
      <c r="G32" s="25"/>
      <c r="H32" s="22"/>
      <c r="I32" s="22"/>
      <c r="J32" s="58"/>
      <c r="K32" s="56"/>
      <c r="L32" s="56"/>
      <c r="M32" s="57"/>
    </row>
    <row r="33" spans="1:13" ht="14.1" customHeight="1" x14ac:dyDescent="0.3">
      <c r="A33" s="26">
        <v>16</v>
      </c>
      <c r="B33" s="27" t="s">
        <v>48</v>
      </c>
      <c r="C33" s="28"/>
      <c r="D33" s="38"/>
      <c r="E33" s="39"/>
      <c r="F33" s="39"/>
      <c r="G33" s="40"/>
      <c r="H33" s="16">
        <f>SUM(I33)-0.6</f>
        <v>10.4</v>
      </c>
      <c r="I33" s="16">
        <f>SUM(J33)-0.6</f>
        <v>11</v>
      </c>
      <c r="J33" s="34">
        <v>11.6</v>
      </c>
      <c r="K33" s="35">
        <f>SUM(J33)+0.6</f>
        <v>12.2</v>
      </c>
      <c r="L33" s="35">
        <f>SUM(K33)+0.6</f>
        <v>12.799999999999999</v>
      </c>
      <c r="M33" s="59">
        <f>SUM(L33)+0.6</f>
        <v>13.399999999999999</v>
      </c>
    </row>
    <row r="34" spans="1:13" ht="14.1" customHeight="1" x14ac:dyDescent="0.3">
      <c r="A34" s="26"/>
      <c r="B34" s="42" t="s">
        <v>124</v>
      </c>
      <c r="C34" s="43"/>
      <c r="D34" s="23" t="s">
        <v>68</v>
      </c>
      <c r="E34" s="24"/>
      <c r="F34" s="24"/>
      <c r="G34" s="25"/>
      <c r="H34" s="17"/>
      <c r="I34" s="17"/>
      <c r="J34" s="18"/>
      <c r="K34" s="35"/>
      <c r="L34" s="35"/>
      <c r="M34" s="59"/>
    </row>
    <row r="35" spans="1:13" ht="14.1" customHeight="1" x14ac:dyDescent="0.3">
      <c r="A35" s="26">
        <v>17</v>
      </c>
      <c r="B35" s="27" t="s">
        <v>125</v>
      </c>
      <c r="C35" s="28"/>
      <c r="D35" s="38"/>
      <c r="E35" s="39"/>
      <c r="F35" s="39"/>
      <c r="G35" s="40"/>
      <c r="H35" s="16">
        <v>26</v>
      </c>
      <c r="I35" s="16">
        <v>28.5</v>
      </c>
      <c r="J35" s="34">
        <v>31.5</v>
      </c>
      <c r="K35" s="35">
        <v>33.5</v>
      </c>
      <c r="L35" s="35">
        <v>35.5</v>
      </c>
      <c r="M35" s="59">
        <v>38</v>
      </c>
    </row>
    <row r="36" spans="1:13" ht="14.1" customHeight="1" x14ac:dyDescent="0.3">
      <c r="A36" s="26"/>
      <c r="B36" s="42" t="s">
        <v>64</v>
      </c>
      <c r="C36" s="43"/>
      <c r="D36" s="23" t="s">
        <v>88</v>
      </c>
      <c r="E36" s="24"/>
      <c r="F36" s="24"/>
      <c r="G36" s="25"/>
      <c r="H36" s="17"/>
      <c r="I36" s="17"/>
      <c r="J36" s="18"/>
      <c r="K36" s="35"/>
      <c r="L36" s="35"/>
      <c r="M36" s="59"/>
    </row>
    <row r="37" spans="1:13" ht="14.1" customHeight="1" x14ac:dyDescent="0.3">
      <c r="A37" s="26">
        <v>18</v>
      </c>
      <c r="B37" s="27" t="s">
        <v>108</v>
      </c>
      <c r="C37" s="28"/>
      <c r="D37" s="38"/>
      <c r="E37" s="39"/>
      <c r="F37" s="39"/>
      <c r="G37" s="40"/>
      <c r="H37" s="16">
        <f>SUM(I37)-0.5</f>
        <v>10</v>
      </c>
      <c r="I37" s="16">
        <f>SUM(J37)-0.5</f>
        <v>10.5</v>
      </c>
      <c r="J37" s="34">
        <v>11</v>
      </c>
      <c r="K37" s="35">
        <f>SUM(J37)+0.5</f>
        <v>11.5</v>
      </c>
      <c r="L37" s="35">
        <f>SUM(K37)+0.5</f>
        <v>12</v>
      </c>
      <c r="M37" s="59">
        <f>SUM(L37)+0.5</f>
        <v>12.5</v>
      </c>
    </row>
    <row r="38" spans="1:13" ht="14.1" customHeight="1" x14ac:dyDescent="0.3">
      <c r="A38" s="26"/>
      <c r="B38" s="42" t="s">
        <v>120</v>
      </c>
      <c r="C38" s="43"/>
      <c r="D38" s="23"/>
      <c r="E38" s="24"/>
      <c r="F38" s="24"/>
      <c r="G38" s="25"/>
      <c r="H38" s="17"/>
      <c r="I38" s="17"/>
      <c r="J38" s="18"/>
      <c r="K38" s="35"/>
      <c r="L38" s="35"/>
      <c r="M38" s="59"/>
    </row>
    <row r="39" spans="1:13" ht="14.1" customHeight="1" x14ac:dyDescent="0.3">
      <c r="A39" s="26">
        <v>19</v>
      </c>
      <c r="B39" s="27" t="s">
        <v>109</v>
      </c>
      <c r="C39" s="28"/>
      <c r="D39" s="38"/>
      <c r="E39" s="39"/>
      <c r="F39" s="39"/>
      <c r="G39" s="40"/>
      <c r="H39" s="16">
        <f>SUM(I39)-0.5</f>
        <v>10</v>
      </c>
      <c r="I39" s="16">
        <f>SUM(J39)-0.5</f>
        <v>10.5</v>
      </c>
      <c r="J39" s="34">
        <v>11</v>
      </c>
      <c r="K39" s="35">
        <f>SUM(J39)+0.5</f>
        <v>11.5</v>
      </c>
      <c r="L39" s="35">
        <f>SUM(K39)+0.5</f>
        <v>12</v>
      </c>
      <c r="M39" s="59">
        <f>SUM(L39)+0.5</f>
        <v>12.5</v>
      </c>
    </row>
    <row r="40" spans="1:13" ht="14.1" customHeight="1" x14ac:dyDescent="0.3">
      <c r="A40" s="26"/>
      <c r="B40" s="42" t="s">
        <v>112</v>
      </c>
      <c r="C40" s="43"/>
      <c r="D40" s="23"/>
      <c r="E40" s="24"/>
      <c r="F40" s="24"/>
      <c r="G40" s="25"/>
      <c r="H40" s="17"/>
      <c r="I40" s="17"/>
      <c r="J40" s="18"/>
      <c r="K40" s="35"/>
      <c r="L40" s="35"/>
      <c r="M40" s="59"/>
    </row>
    <row r="41" spans="1:13" ht="14.1" customHeight="1" x14ac:dyDescent="0.3">
      <c r="A41" s="26">
        <v>20</v>
      </c>
      <c r="B41" s="27" t="s">
        <v>57</v>
      </c>
      <c r="C41" s="28"/>
      <c r="D41" s="38"/>
      <c r="E41" s="39"/>
      <c r="F41" s="39"/>
      <c r="G41" s="40"/>
      <c r="H41" s="16">
        <f>SUM(I41)</f>
        <v>2.5</v>
      </c>
      <c r="I41" s="16">
        <f>SUM(J41)</f>
        <v>2.5</v>
      </c>
      <c r="J41" s="34">
        <v>2.5</v>
      </c>
      <c r="K41" s="35">
        <f>SUM(J41)</f>
        <v>2.5</v>
      </c>
      <c r="L41" s="35">
        <f>SUM(K41)</f>
        <v>2.5</v>
      </c>
      <c r="M41" s="59">
        <f>SUM(L41)</f>
        <v>2.5</v>
      </c>
    </row>
    <row r="42" spans="1:13" ht="14.1" customHeight="1" x14ac:dyDescent="0.3">
      <c r="A42" s="26"/>
      <c r="B42" s="42" t="s">
        <v>59</v>
      </c>
      <c r="C42" s="43"/>
      <c r="D42" s="23"/>
      <c r="E42" s="24"/>
      <c r="F42" s="24"/>
      <c r="G42" s="25"/>
      <c r="H42" s="17"/>
      <c r="I42" s="17"/>
      <c r="J42" s="18"/>
      <c r="K42" s="35"/>
      <c r="L42" s="35"/>
      <c r="M42" s="59"/>
    </row>
    <row r="43" spans="1:13" ht="14.1" customHeight="1" x14ac:dyDescent="0.3">
      <c r="A43" s="26">
        <v>21</v>
      </c>
      <c r="B43" s="27"/>
      <c r="C43" s="28"/>
      <c r="D43" s="33"/>
      <c r="E43" s="33"/>
      <c r="F43" s="33"/>
      <c r="G43" s="33"/>
      <c r="H43" s="16"/>
      <c r="I43" s="16"/>
      <c r="J43" s="34"/>
      <c r="K43" s="35"/>
      <c r="L43" s="35"/>
      <c r="M43" s="59"/>
    </row>
    <row r="44" spans="1:13" ht="14.1" customHeight="1" x14ac:dyDescent="0.3">
      <c r="A44" s="26"/>
      <c r="B44" s="42"/>
      <c r="C44" s="43"/>
      <c r="D44" s="23"/>
      <c r="E44" s="24"/>
      <c r="F44" s="24"/>
      <c r="G44" s="25"/>
      <c r="H44" s="17"/>
      <c r="I44" s="17"/>
      <c r="J44" s="34"/>
      <c r="K44" s="35"/>
      <c r="L44" s="35"/>
      <c r="M44" s="59"/>
    </row>
    <row r="45" spans="1:13" ht="14.1" customHeight="1" x14ac:dyDescent="0.3">
      <c r="A45" s="26">
        <v>22</v>
      </c>
      <c r="B45" s="27"/>
      <c r="C45" s="28"/>
      <c r="D45" s="33"/>
      <c r="E45" s="33"/>
      <c r="F45" s="33"/>
      <c r="G45" s="33"/>
      <c r="H45" s="16"/>
      <c r="I45" s="16"/>
      <c r="J45" s="19"/>
      <c r="K45" s="35"/>
      <c r="L45" s="35"/>
      <c r="M45" s="59"/>
    </row>
    <row r="46" spans="1:13" ht="14.1" customHeight="1" thickBot="1" x14ac:dyDescent="0.35">
      <c r="A46" s="44"/>
      <c r="B46" s="69"/>
      <c r="C46" s="69"/>
      <c r="D46" s="51"/>
      <c r="E46" s="52"/>
      <c r="F46" s="52"/>
      <c r="G46" s="53"/>
      <c r="H46" s="45"/>
      <c r="I46" s="45"/>
      <c r="J46" s="46"/>
      <c r="K46" s="47"/>
      <c r="L46" s="47"/>
      <c r="M46" s="68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1:J32"/>
    <mergeCell ref="K31:K32"/>
    <mergeCell ref="L31:L32"/>
    <mergeCell ref="M31:M32"/>
    <mergeCell ref="B32:C32"/>
    <mergeCell ref="D32:G32"/>
    <mergeCell ref="K11:K12"/>
    <mergeCell ref="L11:L12"/>
    <mergeCell ref="M11:M12"/>
    <mergeCell ref="B12:C12"/>
    <mergeCell ref="D12:G12"/>
    <mergeCell ref="J11:J12"/>
    <mergeCell ref="J29:J30"/>
    <mergeCell ref="K29:K30"/>
    <mergeCell ref="L29:L30"/>
    <mergeCell ref="M29:M30"/>
    <mergeCell ref="K27:K28"/>
    <mergeCell ref="L27:L28"/>
    <mergeCell ref="M27:M28"/>
    <mergeCell ref="J27:J28"/>
    <mergeCell ref="J25:J26"/>
    <mergeCell ref="K25:K26"/>
    <mergeCell ref="L25:L26"/>
    <mergeCell ref="M25:M26"/>
    <mergeCell ref="A31:A32"/>
    <mergeCell ref="B31:C31"/>
    <mergeCell ref="D31:G31"/>
    <mergeCell ref="H31:H32"/>
    <mergeCell ref="I31:I32"/>
    <mergeCell ref="A11:A12"/>
    <mergeCell ref="B11:C11"/>
    <mergeCell ref="D11:G11"/>
    <mergeCell ref="H11:H12"/>
    <mergeCell ref="I11:I1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3:J1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FCD8-D296-48F9-AD44-0F1CFF5FB3DB}">
  <sheetPr>
    <tabColor rgb="FFFF0000"/>
    <pageSetUpPr fitToPage="1"/>
  </sheetPr>
  <dimension ref="A1:Q51"/>
  <sheetViews>
    <sheetView zoomScale="110" zoomScaleNormal="110" workbookViewId="0">
      <selection activeCell="Q12" sqref="Q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 x14ac:dyDescent="0.35">
      <c r="A1" s="5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7" ht="16.5" customHeight="1" thickBot="1" x14ac:dyDescent="0.35">
      <c r="A2" s="2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7" s="1" customFormat="1" ht="14.1" customHeight="1" x14ac:dyDescent="0.3">
      <c r="A3" s="9">
        <v>1</v>
      </c>
      <c r="B3" s="70" t="s">
        <v>24</v>
      </c>
      <c r="C3" s="70"/>
      <c r="D3" s="71" t="s">
        <v>41</v>
      </c>
      <c r="E3" s="71"/>
      <c r="F3" s="71"/>
      <c r="G3" s="72"/>
      <c r="H3" s="16">
        <f>SUM(I3)-3.5</f>
        <v>36</v>
      </c>
      <c r="I3" s="16">
        <f>SUM(J3)-3.5</f>
        <v>39.5</v>
      </c>
      <c r="J3" s="18">
        <v>43</v>
      </c>
      <c r="K3" s="16">
        <f>SUM(J3)+3</f>
        <v>46</v>
      </c>
      <c r="L3" s="16">
        <f>SUM(K3)+3</f>
        <v>49</v>
      </c>
      <c r="M3" s="54">
        <f>SUM(L3)+3</f>
        <v>52</v>
      </c>
    </row>
    <row r="4" spans="1:17" s="1" customFormat="1" ht="14.1" customHeight="1" x14ac:dyDescent="0.3">
      <c r="A4" s="10"/>
      <c r="B4" s="22" t="s">
        <v>21</v>
      </c>
      <c r="C4" s="22"/>
      <c r="D4" s="23" t="s">
        <v>52</v>
      </c>
      <c r="E4" s="24"/>
      <c r="F4" s="24"/>
      <c r="G4" s="24"/>
      <c r="H4" s="17"/>
      <c r="I4" s="17"/>
      <c r="J4" s="19"/>
      <c r="K4" s="17"/>
      <c r="L4" s="17"/>
      <c r="M4" s="55"/>
    </row>
    <row r="5" spans="1:17" s="1" customFormat="1" ht="14.1" customHeight="1" x14ac:dyDescent="0.3">
      <c r="A5" s="26">
        <v>2</v>
      </c>
      <c r="B5" s="32" t="s">
        <v>22</v>
      </c>
      <c r="C5" s="32"/>
      <c r="D5" s="33" t="s">
        <v>23</v>
      </c>
      <c r="E5" s="33"/>
      <c r="F5" s="33"/>
      <c r="G5" s="33"/>
      <c r="H5" s="16">
        <f>SUM(I5)-1.6</f>
        <v>22.799999999999997</v>
      </c>
      <c r="I5" s="16">
        <f>SUM(J5)-1.6</f>
        <v>24.4</v>
      </c>
      <c r="J5" s="18">
        <v>26</v>
      </c>
      <c r="K5" s="16">
        <f>SUM(J5)+1.4</f>
        <v>27.4</v>
      </c>
      <c r="L5" s="16">
        <f>SUM(K5)+1.4</f>
        <v>28.799999999999997</v>
      </c>
      <c r="M5" s="54">
        <f>SUM(L5)+1.4</f>
        <v>30.199999999999996</v>
      </c>
    </row>
    <row r="6" spans="1:17" s="1" customFormat="1" ht="14.1" customHeight="1" x14ac:dyDescent="0.3">
      <c r="A6" s="26"/>
      <c r="B6" s="22" t="s">
        <v>10</v>
      </c>
      <c r="C6" s="22"/>
      <c r="D6" s="23" t="s">
        <v>27</v>
      </c>
      <c r="E6" s="24"/>
      <c r="F6" s="24"/>
      <c r="G6" s="25"/>
      <c r="H6" s="17"/>
      <c r="I6" s="17"/>
      <c r="J6" s="19"/>
      <c r="K6" s="17"/>
      <c r="L6" s="17"/>
      <c r="M6" s="55"/>
    </row>
    <row r="7" spans="1:17" s="1" customFormat="1" ht="14.1" customHeight="1" x14ac:dyDescent="0.3">
      <c r="A7" s="26">
        <v>3</v>
      </c>
      <c r="B7" s="32" t="s">
        <v>20</v>
      </c>
      <c r="C7" s="32"/>
      <c r="D7" s="33" t="s">
        <v>45</v>
      </c>
      <c r="E7" s="33"/>
      <c r="F7" s="33"/>
      <c r="G7" s="33"/>
      <c r="H7" s="16">
        <f>SUM(I7)-2.25</f>
        <v>31.5</v>
      </c>
      <c r="I7" s="16">
        <f>SUM(J7)-2.25</f>
        <v>33.75</v>
      </c>
      <c r="J7" s="18">
        <v>36</v>
      </c>
      <c r="K7" s="16">
        <f>SUM(J7)+2</f>
        <v>38</v>
      </c>
      <c r="L7" s="16">
        <f>SUM(K7)+2</f>
        <v>40</v>
      </c>
      <c r="M7" s="54">
        <f>SUM(L7)+2</f>
        <v>42</v>
      </c>
    </row>
    <row r="8" spans="1:17" s="1" customFormat="1" ht="14.1" customHeight="1" x14ac:dyDescent="0.3">
      <c r="A8" s="26"/>
      <c r="B8" s="22" t="s">
        <v>25</v>
      </c>
      <c r="C8" s="22"/>
      <c r="D8" s="23" t="s">
        <v>28</v>
      </c>
      <c r="E8" s="24"/>
      <c r="F8" s="24"/>
      <c r="G8" s="25"/>
      <c r="H8" s="17"/>
      <c r="I8" s="17"/>
      <c r="J8" s="19"/>
      <c r="K8" s="17"/>
      <c r="L8" s="17"/>
      <c r="M8" s="55"/>
    </row>
    <row r="9" spans="1:17" s="1" customFormat="1" ht="14.1" customHeight="1" x14ac:dyDescent="0.3">
      <c r="A9" s="26">
        <v>4</v>
      </c>
      <c r="B9" s="32" t="s">
        <v>26</v>
      </c>
      <c r="C9" s="32"/>
      <c r="D9" s="33" t="s">
        <v>8</v>
      </c>
      <c r="E9" s="33"/>
      <c r="F9" s="33"/>
      <c r="G9" s="33"/>
      <c r="H9" s="16">
        <f>SUM(I9)-2.25</f>
        <v>31.5</v>
      </c>
      <c r="I9" s="16">
        <f>SUM(J9)-2.25</f>
        <v>33.75</v>
      </c>
      <c r="J9" s="18">
        <v>36</v>
      </c>
      <c r="K9" s="16">
        <f>SUM(J9)+2</f>
        <v>38</v>
      </c>
      <c r="L9" s="16">
        <f t="shared" ref="L9:M9" si="0">SUM(K9)+2</f>
        <v>40</v>
      </c>
      <c r="M9" s="54">
        <f t="shared" si="0"/>
        <v>42</v>
      </c>
    </row>
    <row r="10" spans="1:17" s="1" customFormat="1" ht="14.1" customHeight="1" x14ac:dyDescent="0.3">
      <c r="A10" s="26"/>
      <c r="B10" s="22" t="s">
        <v>11</v>
      </c>
      <c r="C10" s="22"/>
      <c r="D10" s="23" t="s">
        <v>29</v>
      </c>
      <c r="E10" s="24"/>
      <c r="F10" s="24"/>
      <c r="G10" s="25"/>
      <c r="H10" s="17"/>
      <c r="I10" s="17"/>
      <c r="J10" s="19"/>
      <c r="K10" s="17"/>
      <c r="L10" s="17"/>
      <c r="M10" s="55"/>
      <c r="Q10" s="1" t="s">
        <v>114</v>
      </c>
    </row>
    <row r="11" spans="1:17" s="1" customFormat="1" ht="14.1" customHeight="1" x14ac:dyDescent="0.3">
      <c r="A11" s="26">
        <v>5</v>
      </c>
      <c r="B11" s="32" t="s">
        <v>9</v>
      </c>
      <c r="C11" s="32"/>
      <c r="D11" s="33" t="s">
        <v>0</v>
      </c>
      <c r="E11" s="33"/>
      <c r="F11" s="33"/>
      <c r="G11" s="33"/>
      <c r="H11" s="32">
        <f>SUM(I11)-0.8</f>
        <v>15</v>
      </c>
      <c r="I11" s="32">
        <f>SUM(J11)-0.8</f>
        <v>15.8</v>
      </c>
      <c r="J11" s="58">
        <v>16.600000000000001</v>
      </c>
      <c r="K11" s="56">
        <f>SUM(J11)+0.9</f>
        <v>17.5</v>
      </c>
      <c r="L11" s="56">
        <f>SUM(K11)+0.9</f>
        <v>18.399999999999999</v>
      </c>
      <c r="M11" s="57">
        <f>SUM(L11)+0.9</f>
        <v>19.299999999999997</v>
      </c>
      <c r="Q11" s="1">
        <f>SUM(H23+I23+J23+K23+L23+M23)</f>
        <v>129.6</v>
      </c>
    </row>
    <row r="12" spans="1:17" s="1" customFormat="1" ht="14.1" customHeight="1" x14ac:dyDescent="0.3">
      <c r="A12" s="26"/>
      <c r="B12" s="22" t="s">
        <v>12</v>
      </c>
      <c r="C12" s="22"/>
      <c r="D12" s="23" t="s">
        <v>30</v>
      </c>
      <c r="E12" s="24"/>
      <c r="F12" s="24"/>
      <c r="G12" s="25"/>
      <c r="H12" s="22"/>
      <c r="I12" s="22"/>
      <c r="J12" s="58"/>
      <c r="K12" s="56"/>
      <c r="L12" s="56"/>
      <c r="M12" s="57"/>
      <c r="Q12" s="1">
        <f>SUM(Q11/91.44/6*1.08*2)</f>
        <v>0.51023622047244099</v>
      </c>
    </row>
    <row r="13" spans="1:17" s="1" customFormat="1" ht="14.1" customHeight="1" x14ac:dyDescent="0.3">
      <c r="A13" s="26">
        <v>6</v>
      </c>
      <c r="B13" s="32" t="s">
        <v>1</v>
      </c>
      <c r="C13" s="32"/>
      <c r="D13" s="33" t="s">
        <v>65</v>
      </c>
      <c r="E13" s="33"/>
      <c r="F13" s="33"/>
      <c r="G13" s="33"/>
      <c r="H13" s="16">
        <f>SUM(I13)-0.6</f>
        <v>13.600000000000001</v>
      </c>
      <c r="I13" s="16">
        <f>SUM(J13)-0.6</f>
        <v>14.200000000000001</v>
      </c>
      <c r="J13" s="34">
        <v>14.8</v>
      </c>
      <c r="K13" s="35">
        <f>SUM(J13)+0.6</f>
        <v>15.4</v>
      </c>
      <c r="L13" s="35">
        <f>SUM(K13)+0.6</f>
        <v>16</v>
      </c>
      <c r="M13" s="59">
        <f t="shared" ref="M13" si="1">SUM(L13)+0.6</f>
        <v>16.600000000000001</v>
      </c>
    </row>
    <row r="14" spans="1:17" s="1" customFormat="1" ht="14.1" customHeight="1" x14ac:dyDescent="0.3">
      <c r="A14" s="26"/>
      <c r="B14" s="22" t="s">
        <v>13</v>
      </c>
      <c r="C14" s="22"/>
      <c r="D14" s="23" t="s">
        <v>66</v>
      </c>
      <c r="E14" s="24"/>
      <c r="F14" s="24"/>
      <c r="G14" s="25"/>
      <c r="H14" s="17"/>
      <c r="I14" s="17"/>
      <c r="J14" s="34"/>
      <c r="K14" s="35"/>
      <c r="L14" s="35"/>
      <c r="M14" s="59"/>
    </row>
    <row r="15" spans="1:17" s="1" customFormat="1" ht="14.1" customHeight="1" x14ac:dyDescent="0.3">
      <c r="A15" s="26">
        <v>7</v>
      </c>
      <c r="B15" s="32" t="s">
        <v>2</v>
      </c>
      <c r="C15" s="32"/>
      <c r="D15" s="33" t="s">
        <v>3</v>
      </c>
      <c r="E15" s="33"/>
      <c r="F15" s="33"/>
      <c r="G15" s="33"/>
      <c r="H15" s="16">
        <f>SUM(I15)-0.3</f>
        <v>5.9</v>
      </c>
      <c r="I15" s="16">
        <f>SUM(J15)-0.3</f>
        <v>6.2</v>
      </c>
      <c r="J15" s="34">
        <v>6.5</v>
      </c>
      <c r="K15" s="35">
        <f>SUM(J15)+0.3</f>
        <v>6.8</v>
      </c>
      <c r="L15" s="35">
        <f>SUM(K15)+0.3</f>
        <v>7.1</v>
      </c>
      <c r="M15" s="59">
        <f t="shared" ref="M15" si="2">SUM(L15)+0.3</f>
        <v>7.3999999999999995</v>
      </c>
    </row>
    <row r="16" spans="1:17" s="1" customFormat="1" ht="14.1" customHeight="1" x14ac:dyDescent="0.3">
      <c r="A16" s="26"/>
      <c r="B16" s="22" t="s">
        <v>14</v>
      </c>
      <c r="C16" s="22"/>
      <c r="D16" s="23" t="s">
        <v>32</v>
      </c>
      <c r="E16" s="24"/>
      <c r="F16" s="24"/>
      <c r="G16" s="25"/>
      <c r="H16" s="17"/>
      <c r="I16" s="17"/>
      <c r="J16" s="34"/>
      <c r="K16" s="35"/>
      <c r="L16" s="35"/>
      <c r="M16" s="59"/>
    </row>
    <row r="17" spans="1:14" s="1" customFormat="1" ht="14.1" customHeight="1" x14ac:dyDescent="0.3">
      <c r="A17" s="26">
        <v>8</v>
      </c>
      <c r="B17" s="27" t="s">
        <v>46</v>
      </c>
      <c r="C17" s="28"/>
      <c r="D17" s="29" t="s">
        <v>47</v>
      </c>
      <c r="E17" s="30"/>
      <c r="F17" s="30"/>
      <c r="G17" s="31"/>
      <c r="H17" s="16">
        <f>SUM(I17)-1.6</f>
        <v>34.799999999999997</v>
      </c>
      <c r="I17" s="16">
        <f>SUM(J17)-1.6</f>
        <v>36.4</v>
      </c>
      <c r="J17" s="34">
        <v>38</v>
      </c>
      <c r="K17" s="35">
        <f>SUM(J17)+1.6</f>
        <v>39.6</v>
      </c>
      <c r="L17" s="35">
        <f>SUM(K17)+1.6</f>
        <v>41.2</v>
      </c>
      <c r="M17" s="59">
        <f t="shared" ref="M17" si="3">SUM(L17)+1.6</f>
        <v>42.800000000000004</v>
      </c>
    </row>
    <row r="18" spans="1:14" s="1" customFormat="1" ht="14.1" customHeight="1" x14ac:dyDescent="0.3">
      <c r="A18" s="26"/>
      <c r="B18" s="22" t="s">
        <v>19</v>
      </c>
      <c r="C18" s="22"/>
      <c r="D18" s="23" t="s">
        <v>53</v>
      </c>
      <c r="E18" s="24"/>
      <c r="F18" s="24"/>
      <c r="G18" s="25"/>
      <c r="H18" s="17"/>
      <c r="I18" s="17"/>
      <c r="J18" s="34"/>
      <c r="K18" s="35"/>
      <c r="L18" s="35"/>
      <c r="M18" s="59"/>
    </row>
    <row r="19" spans="1:14" s="1" customFormat="1" ht="14.1" customHeight="1" x14ac:dyDescent="0.3">
      <c r="A19" s="26">
        <v>9</v>
      </c>
      <c r="B19" s="32" t="s">
        <v>4</v>
      </c>
      <c r="C19" s="32"/>
      <c r="D19" s="33" t="s">
        <v>5</v>
      </c>
      <c r="E19" s="33"/>
      <c r="F19" s="33"/>
      <c r="G19" s="33"/>
      <c r="H19" s="16">
        <f>SUM(I19)-1.2</f>
        <v>12.600000000000001</v>
      </c>
      <c r="I19" s="16">
        <f>SUM(J19)-1.2</f>
        <v>13.8</v>
      </c>
      <c r="J19" s="18">
        <v>15</v>
      </c>
      <c r="K19" s="35">
        <f>SUM(J19)+1.3</f>
        <v>16.3</v>
      </c>
      <c r="L19" s="35">
        <f>SUM(K19)+1.3</f>
        <v>17.600000000000001</v>
      </c>
      <c r="M19" s="59">
        <f>SUM(L19)+1.3</f>
        <v>18.900000000000002</v>
      </c>
    </row>
    <row r="20" spans="1:14" s="1" customFormat="1" ht="14.1" customHeight="1" x14ac:dyDescent="0.3">
      <c r="A20" s="26"/>
      <c r="B20" s="22" t="s">
        <v>15</v>
      </c>
      <c r="C20" s="22"/>
      <c r="D20" s="23" t="s">
        <v>33</v>
      </c>
      <c r="E20" s="24"/>
      <c r="F20" s="24"/>
      <c r="G20" s="25"/>
      <c r="H20" s="17"/>
      <c r="I20" s="17"/>
      <c r="J20" s="19"/>
      <c r="K20" s="35"/>
      <c r="L20" s="35"/>
      <c r="M20" s="59"/>
    </row>
    <row r="21" spans="1:14" s="1" customFormat="1" ht="14.1" customHeight="1" x14ac:dyDescent="0.3">
      <c r="A21" s="26">
        <v>10</v>
      </c>
      <c r="B21" s="32" t="s">
        <v>6</v>
      </c>
      <c r="C21" s="32"/>
      <c r="D21" s="29" t="s">
        <v>7</v>
      </c>
      <c r="E21" s="30"/>
      <c r="F21" s="30"/>
      <c r="G21" s="31"/>
      <c r="H21" s="16"/>
      <c r="I21" s="16"/>
      <c r="J21" s="34"/>
      <c r="K21" s="35"/>
      <c r="L21" s="35"/>
      <c r="M21" s="59"/>
    </row>
    <row r="22" spans="1:14" s="1" customFormat="1" ht="14.1" customHeight="1" x14ac:dyDescent="0.3">
      <c r="A22" s="26"/>
      <c r="B22" s="22" t="s">
        <v>16</v>
      </c>
      <c r="C22" s="22"/>
      <c r="D22" s="23" t="s">
        <v>42</v>
      </c>
      <c r="E22" s="24"/>
      <c r="F22" s="24"/>
      <c r="G22" s="25"/>
      <c r="H22" s="17"/>
      <c r="I22" s="17"/>
      <c r="J22" s="34"/>
      <c r="K22" s="35"/>
      <c r="L22" s="35"/>
      <c r="M22" s="59"/>
    </row>
    <row r="23" spans="1:14" s="1" customFormat="1" ht="14.1" customHeight="1" x14ac:dyDescent="0.3">
      <c r="A23" s="26">
        <v>11</v>
      </c>
      <c r="B23" s="27" t="s">
        <v>63</v>
      </c>
      <c r="C23" s="28"/>
      <c r="D23" s="33" t="s">
        <v>43</v>
      </c>
      <c r="E23" s="33"/>
      <c r="F23" s="33"/>
      <c r="G23" s="33"/>
      <c r="H23" s="16">
        <f>SUM(I23)-1.2</f>
        <v>18.600000000000001</v>
      </c>
      <c r="I23" s="16">
        <f>SUM(J23)-1.2</f>
        <v>19.8</v>
      </c>
      <c r="J23" s="34">
        <v>21</v>
      </c>
      <c r="K23" s="35">
        <f>SUM(J23)+1.2</f>
        <v>22.2</v>
      </c>
      <c r="L23" s="35">
        <f t="shared" ref="L23:M23" si="4">SUM(K23)+1.2</f>
        <v>23.4</v>
      </c>
      <c r="M23" s="59">
        <f t="shared" si="4"/>
        <v>24.599999999999998</v>
      </c>
    </row>
    <row r="24" spans="1:14" s="1" customFormat="1" ht="14.1" customHeight="1" x14ac:dyDescent="0.3">
      <c r="A24" s="26"/>
      <c r="B24" s="22" t="s">
        <v>69</v>
      </c>
      <c r="C24" s="22"/>
      <c r="D24" s="23" t="s">
        <v>44</v>
      </c>
      <c r="E24" s="24"/>
      <c r="F24" s="24"/>
      <c r="G24" s="25"/>
      <c r="H24" s="17"/>
      <c r="I24" s="17"/>
      <c r="J24" s="34"/>
      <c r="K24" s="35"/>
      <c r="L24" s="35"/>
      <c r="M24" s="59"/>
    </row>
    <row r="25" spans="1:14" s="1" customFormat="1" ht="14.1" customHeight="1" x14ac:dyDescent="0.3">
      <c r="A25" s="26">
        <v>12</v>
      </c>
      <c r="B25" s="27" t="s">
        <v>93</v>
      </c>
      <c r="C25" s="28"/>
      <c r="D25" s="38"/>
      <c r="E25" s="39"/>
      <c r="F25" s="39"/>
      <c r="G25" s="40"/>
      <c r="H25" s="16">
        <f>SUM(I25)</f>
        <v>9</v>
      </c>
      <c r="I25" s="16">
        <f>SUM(J25)</f>
        <v>9</v>
      </c>
      <c r="J25" s="34">
        <v>9</v>
      </c>
      <c r="K25" s="35">
        <f>SUM(J25)+0.2</f>
        <v>9.1999999999999993</v>
      </c>
      <c r="L25" s="35">
        <f>SUM(K25)+0.2</f>
        <v>9.3999999999999986</v>
      </c>
      <c r="M25" s="59">
        <f>SUM(L25)+0.2</f>
        <v>9.5999999999999979</v>
      </c>
    </row>
    <row r="26" spans="1:14" s="1" customFormat="1" ht="14.1" customHeight="1" x14ac:dyDescent="0.3">
      <c r="A26" s="37"/>
      <c r="B26" s="11" t="s">
        <v>94</v>
      </c>
      <c r="C26" s="12"/>
      <c r="D26" s="13"/>
      <c r="E26" s="14"/>
      <c r="F26" s="14"/>
      <c r="G26" s="15"/>
      <c r="H26" s="41"/>
      <c r="I26" s="41"/>
      <c r="J26" s="18"/>
      <c r="K26" s="16"/>
      <c r="L26" s="16"/>
      <c r="M26" s="54"/>
    </row>
    <row r="27" spans="1:14" s="1" customFormat="1" ht="14.1" customHeight="1" x14ac:dyDescent="0.3">
      <c r="A27" s="26">
        <v>13</v>
      </c>
      <c r="B27" s="27" t="s">
        <v>57</v>
      </c>
      <c r="C27" s="28"/>
      <c r="D27" s="38" t="s">
        <v>50</v>
      </c>
      <c r="E27" s="39"/>
      <c r="F27" s="39"/>
      <c r="G27" s="40"/>
      <c r="H27" s="16">
        <f>SUM(I27)-0.4</f>
        <v>4.9999999999999991</v>
      </c>
      <c r="I27" s="16">
        <f>SUM(J27)-0.4</f>
        <v>5.3999999999999995</v>
      </c>
      <c r="J27" s="34">
        <v>5.8</v>
      </c>
      <c r="K27" s="35">
        <f>SUM(J27)+0.4</f>
        <v>6.2</v>
      </c>
      <c r="L27" s="35">
        <f>SUM(K27)+0.4</f>
        <v>6.6000000000000005</v>
      </c>
      <c r="M27" s="59">
        <f>SUM(L27)+0.4</f>
        <v>7.0000000000000009</v>
      </c>
      <c r="N27"/>
    </row>
    <row r="28" spans="1:14" s="1" customFormat="1" ht="14.1" customHeight="1" x14ac:dyDescent="0.3">
      <c r="A28" s="26"/>
      <c r="B28" s="11" t="s">
        <v>59</v>
      </c>
      <c r="C28" s="12"/>
      <c r="D28" s="13" t="s">
        <v>51</v>
      </c>
      <c r="E28" s="14"/>
      <c r="F28" s="14"/>
      <c r="G28" s="15"/>
      <c r="H28" s="41"/>
      <c r="I28" s="41"/>
      <c r="J28" s="18"/>
      <c r="K28" s="16"/>
      <c r="L28" s="16"/>
      <c r="M28" s="54"/>
      <c r="N28"/>
    </row>
    <row r="29" spans="1:14" s="1" customFormat="1" ht="14.1" customHeight="1" x14ac:dyDescent="0.3">
      <c r="A29" s="26">
        <v>14</v>
      </c>
      <c r="B29" s="27"/>
      <c r="C29" s="28"/>
      <c r="D29" s="38"/>
      <c r="E29" s="39"/>
      <c r="F29" s="39"/>
      <c r="G29" s="40"/>
      <c r="H29" s="16"/>
      <c r="I29" s="16"/>
      <c r="J29" s="34"/>
      <c r="K29" s="35"/>
      <c r="L29" s="35"/>
      <c r="M29" s="59"/>
      <c r="N29"/>
    </row>
    <row r="30" spans="1:14" s="1" customFormat="1" ht="14.1" customHeight="1" thickBot="1" x14ac:dyDescent="0.35">
      <c r="A30" s="44"/>
      <c r="B30" s="49"/>
      <c r="C30" s="50"/>
      <c r="D30" s="51"/>
      <c r="E30" s="52"/>
      <c r="F30" s="52"/>
      <c r="G30" s="53"/>
      <c r="H30" s="45"/>
      <c r="I30" s="45"/>
      <c r="J30" s="46"/>
      <c r="K30" s="47"/>
      <c r="L30" s="47"/>
      <c r="M30" s="68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4AC1-3F27-4B7F-8981-0D23E35A42EE}">
  <sheetPr>
    <tabColor rgb="FFFF0000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5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16.5" customHeight="1" thickBot="1" x14ac:dyDescent="0.35">
      <c r="A2" s="2" t="s">
        <v>34</v>
      </c>
      <c r="B2" s="8" t="s">
        <v>35</v>
      </c>
      <c r="C2" s="8"/>
      <c r="D2" s="8" t="s">
        <v>36</v>
      </c>
      <c r="E2" s="8"/>
      <c r="F2" s="8"/>
      <c r="G2" s="8"/>
      <c r="H2" s="4" t="s">
        <v>37</v>
      </c>
      <c r="I2" s="4" t="s">
        <v>38</v>
      </c>
      <c r="J2" s="3" t="s">
        <v>39</v>
      </c>
      <c r="K2" s="4" t="s">
        <v>40</v>
      </c>
      <c r="L2" s="4" t="s">
        <v>62</v>
      </c>
      <c r="M2" s="4" t="s">
        <v>61</v>
      </c>
    </row>
    <row r="3" spans="1:13" s="1" customFormat="1" ht="14.1" customHeight="1" x14ac:dyDescent="0.3">
      <c r="A3" s="9">
        <v>1</v>
      </c>
      <c r="B3" s="70" t="s">
        <v>24</v>
      </c>
      <c r="C3" s="70"/>
      <c r="D3" s="71" t="s">
        <v>41</v>
      </c>
      <c r="E3" s="71"/>
      <c r="F3" s="71"/>
      <c r="G3" s="72"/>
      <c r="H3" s="16">
        <f>SUM(I3)-3.5</f>
        <v>36</v>
      </c>
      <c r="I3" s="16">
        <f>SUM(J3)-3.5</f>
        <v>39.5</v>
      </c>
      <c r="J3" s="18">
        <v>43</v>
      </c>
      <c r="K3" s="16">
        <f>SUM(J3)+3</f>
        <v>46</v>
      </c>
      <c r="L3" s="16">
        <f t="shared" ref="L3:M3" si="0">SUM(K3)+3</f>
        <v>49</v>
      </c>
      <c r="M3" s="20">
        <f t="shared" si="0"/>
        <v>52</v>
      </c>
    </row>
    <row r="4" spans="1:13" s="1" customFormat="1" ht="14.1" customHeight="1" x14ac:dyDescent="0.3">
      <c r="A4" s="10"/>
      <c r="B4" s="22" t="s">
        <v>21</v>
      </c>
      <c r="C4" s="22"/>
      <c r="D4" s="23" t="s">
        <v>52</v>
      </c>
      <c r="E4" s="24"/>
      <c r="F4" s="24"/>
      <c r="G4" s="24"/>
      <c r="H4" s="17"/>
      <c r="I4" s="17"/>
      <c r="J4" s="19"/>
      <c r="K4" s="17"/>
      <c r="L4" s="17"/>
      <c r="M4" s="21"/>
    </row>
    <row r="5" spans="1:13" s="1" customFormat="1" ht="14.1" customHeight="1" x14ac:dyDescent="0.3">
      <c r="A5" s="26">
        <v>2</v>
      </c>
      <c r="B5" s="32" t="s">
        <v>22</v>
      </c>
      <c r="C5" s="32"/>
      <c r="D5" s="33" t="s">
        <v>23</v>
      </c>
      <c r="E5" s="33"/>
      <c r="F5" s="33"/>
      <c r="G5" s="33"/>
      <c r="H5" s="16">
        <f>SUM(I5)-1.6</f>
        <v>19.599999999999998</v>
      </c>
      <c r="I5" s="16">
        <f>SUM(J5)-1.6</f>
        <v>21.2</v>
      </c>
      <c r="J5" s="18">
        <v>22.8</v>
      </c>
      <c r="K5" s="16">
        <f>SUM(J5)+1.4</f>
        <v>24.2</v>
      </c>
      <c r="L5" s="16">
        <f t="shared" ref="L5:M5" si="1">SUM(K5)+1.4</f>
        <v>25.599999999999998</v>
      </c>
      <c r="M5" s="20">
        <f t="shared" si="1"/>
        <v>26.999999999999996</v>
      </c>
    </row>
    <row r="6" spans="1:13" s="1" customFormat="1" ht="14.1" customHeight="1" x14ac:dyDescent="0.3">
      <c r="A6" s="26"/>
      <c r="B6" s="22" t="s">
        <v>10</v>
      </c>
      <c r="C6" s="22"/>
      <c r="D6" s="23" t="s">
        <v>27</v>
      </c>
      <c r="E6" s="24"/>
      <c r="F6" s="24"/>
      <c r="G6" s="25"/>
      <c r="H6" s="17"/>
      <c r="I6" s="17"/>
      <c r="J6" s="19"/>
      <c r="K6" s="17"/>
      <c r="L6" s="17"/>
      <c r="M6" s="21"/>
    </row>
    <row r="7" spans="1:13" s="1" customFormat="1" ht="14.1" customHeight="1" x14ac:dyDescent="0.3">
      <c r="A7" s="26">
        <v>3</v>
      </c>
      <c r="B7" s="32" t="s">
        <v>20</v>
      </c>
      <c r="C7" s="32"/>
      <c r="D7" s="33" t="s">
        <v>45</v>
      </c>
      <c r="E7" s="33"/>
      <c r="F7" s="33"/>
      <c r="G7" s="33"/>
      <c r="H7" s="16">
        <f>SUM(I7)-2.25</f>
        <v>29.5</v>
      </c>
      <c r="I7" s="16">
        <f>SUM(J7)-2.25</f>
        <v>31.75</v>
      </c>
      <c r="J7" s="18">
        <v>34</v>
      </c>
      <c r="K7" s="16">
        <f>SUM(J7)+2</f>
        <v>36</v>
      </c>
      <c r="L7" s="16">
        <f>SUM(K7)+2</f>
        <v>38</v>
      </c>
      <c r="M7" s="20">
        <f>SUM(L7)+2</f>
        <v>40</v>
      </c>
    </row>
    <row r="8" spans="1:13" s="1" customFormat="1" ht="14.1" customHeight="1" x14ac:dyDescent="0.3">
      <c r="A8" s="26"/>
      <c r="B8" s="22" t="s">
        <v>25</v>
      </c>
      <c r="C8" s="22"/>
      <c r="D8" s="23" t="s">
        <v>28</v>
      </c>
      <c r="E8" s="24"/>
      <c r="F8" s="24"/>
      <c r="G8" s="25"/>
      <c r="H8" s="17"/>
      <c r="I8" s="17"/>
      <c r="J8" s="19"/>
      <c r="K8" s="17"/>
      <c r="L8" s="17"/>
      <c r="M8" s="21"/>
    </row>
    <row r="9" spans="1:13" s="1" customFormat="1" ht="14.1" customHeight="1" x14ac:dyDescent="0.3">
      <c r="A9" s="26">
        <v>4</v>
      </c>
      <c r="B9" s="32" t="s">
        <v>26</v>
      </c>
      <c r="C9" s="32"/>
      <c r="D9" s="33" t="s">
        <v>8</v>
      </c>
      <c r="E9" s="33"/>
      <c r="F9" s="33"/>
      <c r="G9" s="33"/>
      <c r="H9" s="16">
        <f>SUM(I9)-2.25</f>
        <v>29.5</v>
      </c>
      <c r="I9" s="16">
        <f>SUM(J9)-2.25</f>
        <v>31.75</v>
      </c>
      <c r="J9" s="18">
        <v>34</v>
      </c>
      <c r="K9" s="16">
        <f>SUM(J9)+2</f>
        <v>36</v>
      </c>
      <c r="L9" s="16">
        <f>SUM(K9)+2</f>
        <v>38</v>
      </c>
      <c r="M9" s="20">
        <f>SUM(L9)+2</f>
        <v>40</v>
      </c>
    </row>
    <row r="10" spans="1:13" s="1" customFormat="1" ht="14.1" customHeight="1" x14ac:dyDescent="0.3">
      <c r="A10" s="26"/>
      <c r="B10" s="22" t="s">
        <v>11</v>
      </c>
      <c r="C10" s="22"/>
      <c r="D10" s="23" t="s">
        <v>29</v>
      </c>
      <c r="E10" s="24"/>
      <c r="F10" s="24"/>
      <c r="G10" s="25"/>
      <c r="H10" s="17"/>
      <c r="I10" s="17"/>
      <c r="J10" s="19"/>
      <c r="K10" s="17"/>
      <c r="L10" s="17"/>
      <c r="M10" s="21"/>
    </row>
    <row r="11" spans="1:13" s="1" customFormat="1" ht="14.1" customHeight="1" x14ac:dyDescent="0.3">
      <c r="A11" s="26">
        <v>5</v>
      </c>
      <c r="B11" s="32" t="s">
        <v>9</v>
      </c>
      <c r="C11" s="32"/>
      <c r="D11" s="33" t="s">
        <v>0</v>
      </c>
      <c r="E11" s="33"/>
      <c r="F11" s="33"/>
      <c r="G11" s="33"/>
      <c r="H11" s="32">
        <f>SUM(I11)-0.9</f>
        <v>14.1</v>
      </c>
      <c r="I11" s="32">
        <f>SUM(J11)-0.9</f>
        <v>15</v>
      </c>
      <c r="J11" s="58">
        <v>15.9</v>
      </c>
      <c r="K11" s="56">
        <f>SUM(J11)+0.9</f>
        <v>16.8</v>
      </c>
      <c r="L11" s="56">
        <f t="shared" ref="L11:M11" si="2">SUM(K11)+0.9</f>
        <v>17.7</v>
      </c>
      <c r="M11" s="36">
        <f t="shared" si="2"/>
        <v>18.599999999999998</v>
      </c>
    </row>
    <row r="12" spans="1:13" s="1" customFormat="1" ht="14.1" customHeight="1" x14ac:dyDescent="0.3">
      <c r="A12" s="26"/>
      <c r="B12" s="22" t="s">
        <v>12</v>
      </c>
      <c r="C12" s="22"/>
      <c r="D12" s="23" t="s">
        <v>30</v>
      </c>
      <c r="E12" s="24"/>
      <c r="F12" s="24"/>
      <c r="G12" s="25"/>
      <c r="H12" s="22"/>
      <c r="I12" s="22"/>
      <c r="J12" s="58"/>
      <c r="K12" s="56"/>
      <c r="L12" s="56"/>
      <c r="M12" s="36"/>
    </row>
    <row r="13" spans="1:13" s="1" customFormat="1" ht="14.1" customHeight="1" x14ac:dyDescent="0.3">
      <c r="A13" s="26">
        <v>6</v>
      </c>
      <c r="B13" s="32" t="s">
        <v>1</v>
      </c>
      <c r="C13" s="32"/>
      <c r="D13" s="33" t="s">
        <v>65</v>
      </c>
      <c r="E13" s="33"/>
      <c r="F13" s="33"/>
      <c r="G13" s="33"/>
      <c r="H13" s="16">
        <f>SUM(I13)-0.6</f>
        <v>13.600000000000001</v>
      </c>
      <c r="I13" s="16">
        <f>SUM(J13)-0.6</f>
        <v>14.200000000000001</v>
      </c>
      <c r="J13" s="34">
        <v>14.8</v>
      </c>
      <c r="K13" s="35">
        <f>SUM(J13)+0.6</f>
        <v>15.4</v>
      </c>
      <c r="L13" s="35">
        <f>SUM(K13)+0.6</f>
        <v>16</v>
      </c>
      <c r="M13" s="36">
        <f t="shared" ref="M13" si="3">SUM(L13)+0.6</f>
        <v>16.600000000000001</v>
      </c>
    </row>
    <row r="14" spans="1:13" s="1" customFormat="1" ht="14.1" customHeight="1" x14ac:dyDescent="0.3">
      <c r="A14" s="26"/>
      <c r="B14" s="22" t="s">
        <v>13</v>
      </c>
      <c r="C14" s="22"/>
      <c r="D14" s="23" t="s">
        <v>66</v>
      </c>
      <c r="E14" s="24"/>
      <c r="F14" s="24"/>
      <c r="G14" s="25"/>
      <c r="H14" s="17"/>
      <c r="I14" s="17"/>
      <c r="J14" s="34"/>
      <c r="K14" s="35"/>
      <c r="L14" s="35"/>
      <c r="M14" s="36"/>
    </row>
    <row r="15" spans="1:13" s="1" customFormat="1" ht="14.1" customHeight="1" x14ac:dyDescent="0.3">
      <c r="A15" s="26">
        <v>7</v>
      </c>
      <c r="B15" s="32" t="s">
        <v>2</v>
      </c>
      <c r="C15" s="32"/>
      <c r="D15" s="33" t="s">
        <v>3</v>
      </c>
      <c r="E15" s="33"/>
      <c r="F15" s="33"/>
      <c r="G15" s="33"/>
      <c r="H15" s="16">
        <f>SUM(I15)-0.3</f>
        <v>5.9</v>
      </c>
      <c r="I15" s="16">
        <f>SUM(J15)-0.3</f>
        <v>6.2</v>
      </c>
      <c r="J15" s="34">
        <v>6.5</v>
      </c>
      <c r="K15" s="35">
        <f>SUM(J15)+0.3</f>
        <v>6.8</v>
      </c>
      <c r="L15" s="35">
        <f>SUM(K15)+0.3</f>
        <v>7.1</v>
      </c>
      <c r="M15" s="36">
        <f t="shared" ref="M15" si="4">SUM(L15)+0.3</f>
        <v>7.3999999999999995</v>
      </c>
    </row>
    <row r="16" spans="1:13" s="1" customFormat="1" ht="14.1" customHeight="1" x14ac:dyDescent="0.3">
      <c r="A16" s="26"/>
      <c r="B16" s="22" t="s">
        <v>14</v>
      </c>
      <c r="C16" s="22"/>
      <c r="D16" s="23" t="s">
        <v>67</v>
      </c>
      <c r="E16" s="24"/>
      <c r="F16" s="24"/>
      <c r="G16" s="25"/>
      <c r="H16" s="17"/>
      <c r="I16" s="17"/>
      <c r="J16" s="34"/>
      <c r="K16" s="35"/>
      <c r="L16" s="35"/>
      <c r="M16" s="36"/>
    </row>
    <row r="17" spans="1:14" s="1" customFormat="1" ht="14.1" customHeight="1" x14ac:dyDescent="0.3">
      <c r="A17" s="26">
        <v>8</v>
      </c>
      <c r="B17" s="27" t="s">
        <v>46</v>
      </c>
      <c r="C17" s="28"/>
      <c r="D17" s="29" t="s">
        <v>47</v>
      </c>
      <c r="E17" s="30"/>
      <c r="F17" s="30"/>
      <c r="G17" s="31"/>
      <c r="H17" s="16">
        <f>SUM(I17)-1.6</f>
        <v>35</v>
      </c>
      <c r="I17" s="16">
        <f>SUM(J17)-1.6</f>
        <v>36.6</v>
      </c>
      <c r="J17" s="34">
        <v>38.200000000000003</v>
      </c>
      <c r="K17" s="35">
        <f>SUM(J17)+1.6</f>
        <v>39.800000000000004</v>
      </c>
      <c r="L17" s="35">
        <f>SUM(K17)+1.6</f>
        <v>41.400000000000006</v>
      </c>
      <c r="M17" s="36">
        <f t="shared" ref="M17" si="5">SUM(L17)+1.6</f>
        <v>43.000000000000007</v>
      </c>
    </row>
    <row r="18" spans="1:14" s="1" customFormat="1" ht="14.1" customHeight="1" x14ac:dyDescent="0.3">
      <c r="A18" s="26"/>
      <c r="B18" s="22" t="s">
        <v>19</v>
      </c>
      <c r="C18" s="22"/>
      <c r="D18" s="23" t="s">
        <v>53</v>
      </c>
      <c r="E18" s="24"/>
      <c r="F18" s="24"/>
      <c r="G18" s="25"/>
      <c r="H18" s="17"/>
      <c r="I18" s="17"/>
      <c r="J18" s="34"/>
      <c r="K18" s="35"/>
      <c r="L18" s="35"/>
      <c r="M18" s="36"/>
    </row>
    <row r="19" spans="1:14" s="1" customFormat="1" ht="14.1" customHeight="1" x14ac:dyDescent="0.3">
      <c r="A19" s="26">
        <v>9</v>
      </c>
      <c r="B19" s="32" t="s">
        <v>4</v>
      </c>
      <c r="C19" s="32"/>
      <c r="D19" s="33" t="s">
        <v>5</v>
      </c>
      <c r="E19" s="33"/>
      <c r="F19" s="33"/>
      <c r="G19" s="33"/>
      <c r="H19" s="16">
        <f>SUM(I19)-1.2</f>
        <v>13.100000000000001</v>
      </c>
      <c r="I19" s="16">
        <f>SUM(J19)-1.2</f>
        <v>14.3</v>
      </c>
      <c r="J19" s="18">
        <v>15.5</v>
      </c>
      <c r="K19" s="35">
        <f>SUM(J19)+1.3</f>
        <v>16.8</v>
      </c>
      <c r="L19" s="35">
        <f t="shared" ref="L19:M19" si="6">SUM(K19)+1.3</f>
        <v>18.100000000000001</v>
      </c>
      <c r="M19" s="36">
        <f t="shared" si="6"/>
        <v>19.400000000000002</v>
      </c>
    </row>
    <row r="20" spans="1:14" s="1" customFormat="1" ht="14.1" customHeight="1" x14ac:dyDescent="0.3">
      <c r="A20" s="26"/>
      <c r="B20" s="22" t="s">
        <v>97</v>
      </c>
      <c r="C20" s="22"/>
      <c r="D20" s="23" t="s">
        <v>33</v>
      </c>
      <c r="E20" s="24"/>
      <c r="F20" s="24"/>
      <c r="G20" s="25"/>
      <c r="H20" s="17"/>
      <c r="I20" s="17"/>
      <c r="J20" s="19"/>
      <c r="K20" s="35"/>
      <c r="L20" s="35"/>
      <c r="M20" s="36"/>
    </row>
    <row r="21" spans="1:14" s="1" customFormat="1" ht="14.1" customHeight="1" x14ac:dyDescent="0.3">
      <c r="A21" s="26">
        <v>10</v>
      </c>
      <c r="B21" s="32" t="s">
        <v>6</v>
      </c>
      <c r="C21" s="32"/>
      <c r="D21" s="29" t="s">
        <v>7</v>
      </c>
      <c r="E21" s="30"/>
      <c r="F21" s="30"/>
      <c r="G21" s="31"/>
      <c r="H21" s="16"/>
      <c r="I21" s="16"/>
      <c r="J21" s="34"/>
      <c r="K21" s="35"/>
      <c r="L21" s="35"/>
      <c r="M21" s="36"/>
    </row>
    <row r="22" spans="1:14" s="1" customFormat="1" ht="14.1" customHeight="1" x14ac:dyDescent="0.3">
      <c r="A22" s="26"/>
      <c r="B22" s="22" t="s">
        <v>16</v>
      </c>
      <c r="C22" s="22"/>
      <c r="D22" s="23" t="s">
        <v>42</v>
      </c>
      <c r="E22" s="24"/>
      <c r="F22" s="24"/>
      <c r="G22" s="25"/>
      <c r="H22" s="17"/>
      <c r="I22" s="17"/>
      <c r="J22" s="34"/>
      <c r="K22" s="35"/>
      <c r="L22" s="35"/>
      <c r="M22" s="36"/>
    </row>
    <row r="23" spans="1:14" s="1" customFormat="1" ht="14.1" customHeight="1" x14ac:dyDescent="0.3">
      <c r="A23" s="26">
        <v>11</v>
      </c>
      <c r="B23" s="27" t="s">
        <v>89</v>
      </c>
      <c r="C23" s="28"/>
      <c r="D23" s="33"/>
      <c r="E23" s="33"/>
      <c r="F23" s="33"/>
      <c r="G23" s="33"/>
      <c r="H23" s="16">
        <f>SUM(I23)-1.2</f>
        <v>20.6</v>
      </c>
      <c r="I23" s="16">
        <f>SUM(J23)-1.2</f>
        <v>21.8</v>
      </c>
      <c r="J23" s="34">
        <v>23</v>
      </c>
      <c r="K23" s="35">
        <f>SUM(J23)+1.2</f>
        <v>24.2</v>
      </c>
      <c r="L23" s="35">
        <f t="shared" ref="L23:M23" si="7">SUM(K23)+1.2</f>
        <v>25.4</v>
      </c>
      <c r="M23" s="36">
        <f t="shared" si="7"/>
        <v>26.599999999999998</v>
      </c>
    </row>
    <row r="24" spans="1:14" s="1" customFormat="1" ht="14.1" customHeight="1" x14ac:dyDescent="0.3">
      <c r="A24" s="26"/>
      <c r="B24" s="22" t="s">
        <v>90</v>
      </c>
      <c r="C24" s="22"/>
      <c r="D24" s="23" t="s">
        <v>83</v>
      </c>
      <c r="E24" s="24"/>
      <c r="F24" s="24"/>
      <c r="G24" s="25"/>
      <c r="H24" s="17"/>
      <c r="I24" s="17"/>
      <c r="J24" s="34"/>
      <c r="K24" s="35"/>
      <c r="L24" s="35"/>
      <c r="M24" s="36"/>
    </row>
    <row r="25" spans="1:14" s="1" customFormat="1" ht="14.1" customHeight="1" x14ac:dyDescent="0.3">
      <c r="A25" s="26">
        <v>12</v>
      </c>
      <c r="B25" s="27" t="s">
        <v>98</v>
      </c>
      <c r="C25" s="28"/>
      <c r="D25" s="76"/>
      <c r="E25" s="77"/>
      <c r="F25" s="77"/>
      <c r="G25" s="78"/>
      <c r="H25" s="16">
        <f>SUM(I25)-0.5</f>
        <v>5</v>
      </c>
      <c r="I25" s="16">
        <f>SUM(J25)-0.5</f>
        <v>5.5</v>
      </c>
      <c r="J25" s="34">
        <v>6</v>
      </c>
      <c r="K25" s="35">
        <f>SUM(J25)+0.5</f>
        <v>6.5</v>
      </c>
      <c r="L25" s="35">
        <f t="shared" ref="L25:M25" si="8">SUM(K25)+0.5</f>
        <v>7</v>
      </c>
      <c r="M25" s="36">
        <f t="shared" si="8"/>
        <v>7.5</v>
      </c>
    </row>
    <row r="26" spans="1:14" s="1" customFormat="1" ht="14.1" customHeight="1" x14ac:dyDescent="0.3">
      <c r="A26" s="26"/>
      <c r="B26" s="63" t="s">
        <v>99</v>
      </c>
      <c r="C26" s="64"/>
      <c r="D26" s="73" t="s">
        <v>102</v>
      </c>
      <c r="E26" s="74"/>
      <c r="F26" s="74"/>
      <c r="G26" s="75"/>
      <c r="H26" s="41"/>
      <c r="I26" s="41"/>
      <c r="J26" s="18"/>
      <c r="K26" s="16"/>
      <c r="L26" s="16"/>
      <c r="M26" s="20"/>
    </row>
    <row r="27" spans="1:14" s="1" customFormat="1" ht="14.1" customHeight="1" x14ac:dyDescent="0.3">
      <c r="A27" s="26">
        <v>13</v>
      </c>
      <c r="B27" s="27" t="s">
        <v>100</v>
      </c>
      <c r="C27" s="28"/>
      <c r="D27" s="76"/>
      <c r="E27" s="77"/>
      <c r="F27" s="77"/>
      <c r="G27" s="78"/>
      <c r="H27" s="16">
        <f>SUM(I27)-1.7</f>
        <v>14.400000000000002</v>
      </c>
      <c r="I27" s="16">
        <f>SUM(J27)-1.7</f>
        <v>16.100000000000001</v>
      </c>
      <c r="J27" s="34">
        <v>17.8</v>
      </c>
      <c r="K27" s="35">
        <f>SUM(J27)+1.3</f>
        <v>19.100000000000001</v>
      </c>
      <c r="L27" s="35">
        <f t="shared" ref="L27:M27" si="9">SUM(K27)+1.3</f>
        <v>20.400000000000002</v>
      </c>
      <c r="M27" s="36">
        <f t="shared" si="9"/>
        <v>21.700000000000003</v>
      </c>
      <c r="N27"/>
    </row>
    <row r="28" spans="1:14" s="1" customFormat="1" ht="14.1" customHeight="1" x14ac:dyDescent="0.3">
      <c r="A28" s="26"/>
      <c r="B28" s="63" t="s">
        <v>101</v>
      </c>
      <c r="C28" s="64"/>
      <c r="D28" s="73" t="s">
        <v>102</v>
      </c>
      <c r="E28" s="74"/>
      <c r="F28" s="74"/>
      <c r="G28" s="75"/>
      <c r="H28" s="41"/>
      <c r="I28" s="41"/>
      <c r="J28" s="18"/>
      <c r="K28" s="16"/>
      <c r="L28" s="16"/>
      <c r="M28" s="20"/>
      <c r="N28"/>
    </row>
    <row r="29" spans="1:14" s="1" customFormat="1" ht="14.1" customHeight="1" x14ac:dyDescent="0.3">
      <c r="A29" s="26">
        <v>14</v>
      </c>
      <c r="B29" s="27" t="s">
        <v>71</v>
      </c>
      <c r="C29" s="28"/>
      <c r="D29" s="38"/>
      <c r="E29" s="39"/>
      <c r="F29" s="39"/>
      <c r="G29" s="40"/>
      <c r="H29" s="16">
        <f>SUM(I29)</f>
        <v>8.5</v>
      </c>
      <c r="I29" s="16">
        <f>SUM(J29)</f>
        <v>8.5</v>
      </c>
      <c r="J29" s="34">
        <v>8.5</v>
      </c>
      <c r="K29" s="35">
        <f>SUM(J29)+0.2</f>
        <v>8.6999999999999993</v>
      </c>
      <c r="L29" s="35">
        <f t="shared" ref="L29:M29" si="10">SUM(K29)+0.2</f>
        <v>8.8999999999999986</v>
      </c>
      <c r="M29" s="36">
        <f t="shared" si="10"/>
        <v>9.0999999999999979</v>
      </c>
      <c r="N29"/>
    </row>
    <row r="30" spans="1:14" s="1" customFormat="1" ht="14.1" customHeight="1" thickBot="1" x14ac:dyDescent="0.35">
      <c r="A30" s="44"/>
      <c r="B30" s="49" t="s">
        <v>84</v>
      </c>
      <c r="C30" s="50"/>
      <c r="D30" s="51"/>
      <c r="E30" s="52"/>
      <c r="F30" s="52"/>
      <c r="G30" s="53"/>
      <c r="H30" s="45"/>
      <c r="I30" s="45"/>
      <c r="J30" s="46"/>
      <c r="K30" s="47"/>
      <c r="L30" s="47"/>
      <c r="M30" s="48"/>
      <c r="N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SE11</vt:lpstr>
      <vt:lpstr>OP24</vt:lpstr>
      <vt:lpstr>OU10</vt:lpstr>
      <vt:lpstr>OU11</vt:lpstr>
      <vt:lpstr>TO59</vt:lpstr>
      <vt:lpstr>TO60</vt:lpstr>
      <vt:lpstr>'OP24'!Print_Area</vt:lpstr>
      <vt:lpstr>'OU10'!Print_Area</vt:lpstr>
      <vt:lpstr>'OU11'!Print_Area</vt:lpstr>
      <vt:lpstr>'SE11'!Print_Area</vt:lpstr>
      <vt:lpstr>'TO59'!Print_Area</vt:lpstr>
      <vt:lpstr>'TO60'!Print_Area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2026-04-13T02:02:08Z</cp:lastPrinted>
  <dcterms:created xsi:type="dcterms:W3CDTF">2018-05-14T06:17:18Z</dcterms:created>
  <dcterms:modified xsi:type="dcterms:W3CDTF">2026-04-20T10:07:30Z</dcterms:modified>
</cp:coreProperties>
</file>