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esktop-main\기술개발실 공유\중국풀패턴\생산부보낸파일\2026\04월13일\"/>
    </mc:Choice>
  </mc:AlternateContent>
  <xr:revisionPtr revIDLastSave="0" documentId="13_ncr:1_{0AC894B5-FABF-490B-B85B-C55A067FFCD8}" xr6:coauthVersionLast="47" xr6:coauthVersionMax="47" xr10:uidLastSave="{00000000-0000-0000-0000-000000000000}"/>
  <bookViews>
    <workbookView xWindow="36180" yWindow="1260" windowWidth="19620" windowHeight="14160" tabRatio="778" xr2:uid="{00000000-000D-0000-FFFF-FFFF00000000}"/>
  </bookViews>
  <sheets>
    <sheet name="USL02" sheetId="1170" r:id="rId1"/>
  </sheets>
  <definedNames>
    <definedName name="_xlnm.Print_Area" localSheetId="0">'USL02'!$A$1:$M$36</definedName>
  </definedNames>
  <calcPr calcId="191029"/>
</workbook>
</file>

<file path=xl/calcChain.xml><?xml version="1.0" encoding="utf-8"?>
<calcChain xmlns="http://schemas.openxmlformats.org/spreadsheetml/2006/main">
  <c r="M7" i="1170" l="1"/>
  <c r="L7" i="1170"/>
  <c r="K7" i="1170"/>
  <c r="K27" i="1170" l="1"/>
  <c r="L27" i="1170" s="1"/>
  <c r="M27" i="1170" s="1"/>
  <c r="M31" i="1170"/>
  <c r="L31" i="1170"/>
  <c r="K31" i="1170"/>
  <c r="H31" i="1170"/>
  <c r="I31" i="1170"/>
  <c r="I27" i="1170"/>
  <c r="H27" i="1170" s="1"/>
  <c r="K29" i="1170"/>
  <c r="L29" i="1170" s="1"/>
  <c r="M29" i="1170" s="1"/>
  <c r="I29" i="1170"/>
  <c r="H29" i="1170"/>
  <c r="K19" i="1170"/>
  <c r="L19" i="1170" s="1"/>
  <c r="M19" i="1170" s="1"/>
  <c r="I19" i="1170"/>
  <c r="H19" i="1170" s="1"/>
  <c r="K15" i="1170"/>
  <c r="L15" i="1170" s="1"/>
  <c r="M15" i="1170" s="1"/>
  <c r="I15" i="1170"/>
  <c r="H15" i="1170" s="1"/>
  <c r="K17" i="1170"/>
  <c r="L17" i="1170" s="1"/>
  <c r="M17" i="1170" s="1"/>
  <c r="I17" i="1170"/>
  <c r="H17" i="1170" s="1"/>
  <c r="K9" i="1170"/>
  <c r="L9" i="1170" s="1"/>
  <c r="M9" i="1170" s="1"/>
  <c r="I9" i="1170"/>
  <c r="H9" i="1170" s="1"/>
  <c r="I7" i="1170"/>
  <c r="H7" i="1170" s="1"/>
  <c r="K3" i="1170"/>
  <c r="L3" i="1170" s="1"/>
  <c r="M3" i="1170" s="1"/>
  <c r="I3" i="1170"/>
  <c r="H3" i="1170" s="1"/>
  <c r="K13" i="1170"/>
  <c r="L13" i="1170" s="1"/>
  <c r="M13" i="1170" s="1"/>
  <c r="I13" i="1170"/>
  <c r="H13" i="1170" s="1"/>
  <c r="K11" i="1170"/>
  <c r="L11" i="1170" s="1"/>
  <c r="M11" i="1170" s="1"/>
  <c r="I11" i="1170"/>
  <c r="H11" i="1170" s="1"/>
  <c r="K5" i="1170"/>
  <c r="L5" i="1170" s="1"/>
  <c r="M5" i="1170" s="1"/>
  <c r="I5" i="1170"/>
  <c r="H5" i="1170" s="1"/>
</calcChain>
</file>

<file path=xl/sharedStrings.xml><?xml version="1.0" encoding="utf-8"?>
<sst xmlns="http://schemas.openxmlformats.org/spreadsheetml/2006/main" count="65" uniqueCount="65">
  <si>
    <t xml:space="preserve">STRIGHT </t>
    <phoneticPr fontId="2" type="noConversion"/>
  </si>
  <si>
    <t>NECK WIDTH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</si>
  <si>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</si>
  <si>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</si>
  <si>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</si>
  <si>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</si>
  <si>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</si>
  <si>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</si>
  <si>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어깨너비</t>
  </si>
  <si>
    <t>밑단둘레(반품)</t>
  </si>
  <si>
    <t>암홀길이(직선)</t>
  </si>
  <si>
    <t>옆목너비</t>
  </si>
  <si>
    <t>앞목깊이</t>
  </si>
  <si>
    <t>소매통</t>
  </si>
  <si>
    <t>총기장(뒷목)</t>
  </si>
  <si>
    <t>목둘레</t>
  </si>
  <si>
    <t>CHEST (1/2)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</si>
  <si>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</si>
  <si>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</si>
  <si>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가슴(상동)</t>
    <phoneticPr fontId="1" type="noConversion"/>
  </si>
  <si>
    <t>BOTTOM SWEEP (1/2)</t>
    <phoneticPr fontId="2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</si>
  <si>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</si>
  <si>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</si>
  <si>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어깨끝점과 겨드랑이 점을 직선으로 잰 길이</t>
    <phoneticPr fontId="1" type="noConversion"/>
  </si>
  <si>
    <t>옆목점을 수평으로 잰 길이</t>
    <phoneticPr fontId="1" type="noConversion"/>
  </si>
  <si>
    <t>어깨 끝점에서 소매 부리(밑단) 끝까지의 직선 길이</t>
    <phoneticPr fontId="1" type="noConversion"/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</si>
  <si>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</si>
  <si>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</si>
  <si>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</si>
  <si>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</si>
  <si>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</si>
  <si>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</si>
  <si>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>XL</t>
    <phoneticPr fontId="1" type="noConversion"/>
  </si>
  <si>
    <t>암홀 겨드랑이 지점에서 소매중심의 수직 길이(둘레)</t>
    <phoneticPr fontId="1" type="noConversion"/>
  </si>
  <si>
    <t>옆목점에서 앞목중심의 수직 길이</t>
    <phoneticPr fontId="1" type="noConversion"/>
  </si>
  <si>
    <t>NECK</t>
    <phoneticPr fontId="2" type="noConversion"/>
  </si>
  <si>
    <t>TOTAL LENGTH (C/B)</t>
    <phoneticPr fontId="2" type="noConversion"/>
  </si>
  <si>
    <t>FROM CENTER BACK TO BOTTOM STRIGHT</t>
    <phoneticPr fontId="2" type="noConversion"/>
  </si>
  <si>
    <t>뒷목 중심에서 밑단끝까지 직선길이</t>
    <phoneticPr fontId="1" type="noConversion"/>
  </si>
  <si>
    <t xml:space="preserve">ROUND ,@ NECK SEWING  LINE </t>
    <phoneticPr fontId="1" type="noConversion"/>
  </si>
  <si>
    <t>목라인(NECK LINE)을 따라 잰 곡선의 둘레길이</t>
    <phoneticPr fontId="1" type="noConversion"/>
  </si>
  <si>
    <t>FRONT YOKE LENGTH</t>
    <phoneticPr fontId="2" type="noConversion"/>
  </si>
  <si>
    <t>밑단프릴기장</t>
    <phoneticPr fontId="8" type="noConversion"/>
  </si>
  <si>
    <t xml:space="preserve">CIRCLE ROUND </t>
    <phoneticPr fontId="2" type="noConversion"/>
  </si>
  <si>
    <t>소매부리</t>
  </si>
  <si>
    <t>소매 밑단(시보리 밑단)의 둘레 길이</t>
    <phoneticPr fontId="1" type="noConversion"/>
  </si>
  <si>
    <t>소매기장</t>
  </si>
  <si>
    <t xml:space="preserve">ARMHOLE </t>
  </si>
  <si>
    <t>3XL</t>
    <phoneticPr fontId="1" type="noConversion"/>
  </si>
  <si>
    <t>2XL</t>
    <phoneticPr fontId="1" type="noConversion"/>
  </si>
  <si>
    <t>WITHOUT NECK BAND (INSIDE)</t>
    <phoneticPr fontId="2" type="noConversion"/>
  </si>
  <si>
    <t xml:space="preserve">CUFF OPENING </t>
    <phoneticPr fontId="2" type="noConversion"/>
  </si>
  <si>
    <t>프릴절개선 라인을 따라서 잰 길이</t>
    <phoneticPr fontId="1" type="noConversion"/>
  </si>
  <si>
    <t>ROUND (1/2)</t>
    <phoneticPr fontId="8" type="noConversion"/>
  </si>
  <si>
    <r>
      <t xml:space="preserve">INCLUDE WAIST BAND TO EDGE </t>
    </r>
    <r>
      <rPr>
        <sz val="7.5"/>
        <color rgb="FFFF0000"/>
        <rFont val="맑은 고딕"/>
        <family val="3"/>
        <charset val="129"/>
        <scheme val="minor"/>
      </rPr>
      <t>(셔링폈을때)</t>
    </r>
    <phoneticPr fontId="1" type="noConversion"/>
  </si>
  <si>
    <t>FRONT PLACKET LENGTH</t>
    <phoneticPr fontId="2" type="noConversion"/>
  </si>
  <si>
    <t>앞단작길이</t>
    <phoneticPr fontId="1" type="noConversion"/>
  </si>
  <si>
    <t>BOTTOM FRILL LENGTH</t>
    <phoneticPr fontId="8" type="noConversion"/>
  </si>
  <si>
    <t>STYLE NO: HYUSL02-W#H51</t>
    <phoneticPr fontId="1" type="noConversion"/>
  </si>
  <si>
    <t xml:space="preserve">BACK NECK DROP </t>
    <phoneticPr fontId="2" type="noConversion"/>
  </si>
  <si>
    <t>MAKE IMAGE LINE TO CENTER NECK BACK</t>
    <phoneticPr fontId="2" type="noConversion"/>
  </si>
  <si>
    <t>옆목점에서 뒷목중심의 수직 길이</t>
    <phoneticPr fontId="1" type="noConversion"/>
  </si>
  <si>
    <t>뒷목깊이</t>
    <phoneticPr fontId="8" type="noConversion"/>
  </si>
  <si>
    <t>앞요크길이</t>
    <phoneticPr fontId="1" type="noConversion"/>
  </si>
  <si>
    <t>앞중심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</si>
</sst>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7.5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/>
    <xf numFmtId="0" fontId="5" fillId="0" borderId="0">
      <alignment vertical="center"/>
    </xf>
    <xf numFmtId="0" fontId="5" fillId="0" borderId="0">
      <alignment vertical="center"/>
    </xf>
  </cellStyleXfs>
  <cellXfs count="56">
    <xf numFmtId="0" fontId="0" fillId="0" borderId="0" xfId="0">
      <alignment vertical="center"/>
    </xf>
    <xf numFmtId="0" fontId="6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0" fontId="4" fillId="0" borderId="12" xfId="3" applyFont="1" applyBorder="1" applyAlignment="1">
      <alignment horizontal="center" vertical="center"/>
    </xf>
    <xf numFmtId="0" fontId="4" fillId="0" borderId="11" xfId="3" applyFont="1" applyBorder="1" applyAlignment="1">
      <alignment horizontal="left" vertical="center"/>
    </xf>
    <xf numFmtId="0" fontId="4" fillId="0" borderId="13" xfId="3" applyFont="1" applyBorder="1" applyAlignment="1">
      <alignment horizontal="left" vertical="center"/>
    </xf>
    <xf numFmtId="0" fontId="4" fillId="0" borderId="12" xfId="3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4" fillId="0" borderId="16" xfId="3" applyFont="1" applyBorder="1" applyAlignment="1">
      <alignment horizontal="center" vertical="center"/>
    </xf>
    <xf numFmtId="0" fontId="4" fillId="0" borderId="18" xfId="3" applyFont="1" applyBorder="1" applyAlignment="1">
      <alignment horizontal="center" vertical="center"/>
    </xf>
    <xf numFmtId="0" fontId="4" fillId="0" borderId="16" xfId="3" applyFont="1" applyBorder="1" applyAlignment="1">
      <alignment horizontal="left" vertical="center"/>
    </xf>
    <xf numFmtId="0" fontId="4" fillId="0" borderId="17" xfId="3" applyFont="1" applyBorder="1" applyAlignment="1">
      <alignment horizontal="left" vertical="center"/>
    </xf>
    <xf numFmtId="0" fontId="4" fillId="0" borderId="18" xfId="3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6" xfId="3" applyFont="1" applyBorder="1" applyAlignment="1">
      <alignment horizontal="center" vertical="center"/>
    </xf>
    <xf numFmtId="0" fontId="4" fillId="0" borderId="7" xfId="3" applyFont="1" applyBorder="1" applyAlignment="1">
      <alignment horizontal="center" vertical="center"/>
    </xf>
    <xf numFmtId="0" fontId="4" fillId="0" borderId="6" xfId="3" applyFont="1" applyBorder="1" applyAlignment="1">
      <alignment horizontal="left" vertical="center"/>
    </xf>
    <xf numFmtId="0" fontId="4" fillId="0" borderId="8" xfId="3" applyFont="1" applyBorder="1" applyAlignment="1">
      <alignment horizontal="left" vertical="center"/>
    </xf>
    <xf numFmtId="0" fontId="4" fillId="0" borderId="7" xfId="3" applyFont="1" applyBorder="1" applyAlignment="1">
      <alignment horizontal="left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23" xfId="0" applyFont="1" applyBorder="1" applyAlignment="1">
      <alignment horizontal="left" vertical="center"/>
    </xf>
  </cellXfs>
  <cellStyles count="4">
    <cellStyle name="표준" xfId="0" builtinId="0"/>
    <cellStyle name="표준 2" xfId="1" xr:uid="{00000000-0005-0000-0000-000001000000}"/>
    <cellStyle name="표준 2 2" xfId="2" xr:uid="{00000000-0005-0000-0000-000002000000}"/>
    <cellStyle name="표준 2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C227E-5A90-4B21-9AD7-7542567ABCC0}">
  <sheetPr>
    <tabColor rgb="FF00B0F0"/>
  </sheetPr>
  <dimension ref="A1:M70"/>
  <sheetViews>
    <sheetView tabSelected="1" zoomScale="110" zoomScaleNormal="110" workbookViewId="0">
      <selection activeCell="O15" sqref="O15"/>
    </sheetView>
  </sheetViews>
  <sheetFormatPr defaultColWidth="8.75" defaultRowHeight="16.5" x14ac:dyDescent="0.3"/>
  <cols>
    <col min="1" max="1" width="3.6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47" t="s">
        <v>58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9"/>
    </row>
    <row r="2" spans="1:13" ht="16.5" customHeight="1" thickBot="1" x14ac:dyDescent="0.35">
      <c r="A2" s="4" t="s">
        <v>26</v>
      </c>
      <c r="B2" s="50" t="s">
        <v>27</v>
      </c>
      <c r="C2" s="50"/>
      <c r="D2" s="50" t="s">
        <v>28</v>
      </c>
      <c r="E2" s="50"/>
      <c r="F2" s="50"/>
      <c r="G2" s="50"/>
      <c r="H2" s="2" t="s">
        <v>29</v>
      </c>
      <c r="I2" s="2" t="s">
        <v>30</v>
      </c>
      <c r="J2" s="3" t="s">
        <v>31</v>
      </c>
      <c r="K2" s="2" t="s">
        <v>32</v>
      </c>
      <c r="L2" s="2" t="s">
        <v>49</v>
      </c>
      <c r="M2" s="2" t="s">
        <v>48</v>
      </c>
    </row>
    <row r="3" spans="1:13" s="1" customFormat="1" ht="14.1" customHeight="1" x14ac:dyDescent="0.3">
      <c r="A3" s="32">
        <v>1</v>
      </c>
      <c r="B3" s="51" t="s">
        <v>36</v>
      </c>
      <c r="C3" s="52"/>
      <c r="D3" s="53" t="s">
        <v>37</v>
      </c>
      <c r="E3" s="54"/>
      <c r="F3" s="54"/>
      <c r="G3" s="55"/>
      <c r="H3" s="5">
        <f>SUM(I3)-5.8</f>
        <v>65.400000000000006</v>
      </c>
      <c r="I3" s="5">
        <f>SUM(J3)-5.8</f>
        <v>71.2</v>
      </c>
      <c r="J3" s="23">
        <v>77</v>
      </c>
      <c r="K3" s="5">
        <f>SUM(J3)+5.8</f>
        <v>82.8</v>
      </c>
      <c r="L3" s="5">
        <f>SUM(K3)+5.8</f>
        <v>88.6</v>
      </c>
      <c r="M3" s="7">
        <f>SUM(L3)+5.8</f>
        <v>94.399999999999991</v>
      </c>
    </row>
    <row r="4" spans="1:13" s="1" customFormat="1" ht="14.1" customHeight="1" x14ac:dyDescent="0.3">
      <c r="A4" s="9"/>
      <c r="B4" s="44" t="s">
        <v>14</v>
      </c>
      <c r="C4" s="44"/>
      <c r="D4" s="36" t="s">
        <v>38</v>
      </c>
      <c r="E4" s="37"/>
      <c r="F4" s="37"/>
      <c r="G4" s="37"/>
      <c r="H4" s="6"/>
      <c r="I4" s="6"/>
      <c r="J4" s="33"/>
      <c r="K4" s="6"/>
      <c r="L4" s="6"/>
      <c r="M4" s="8"/>
    </row>
    <row r="5" spans="1:13" s="1" customFormat="1" ht="14.1" customHeight="1" x14ac:dyDescent="0.3">
      <c r="A5" s="9">
        <v>2</v>
      </c>
      <c r="B5" s="45" t="s">
        <v>17</v>
      </c>
      <c r="C5" s="45"/>
      <c r="D5" s="46" t="s">
        <v>18</v>
      </c>
      <c r="E5" s="46"/>
      <c r="F5" s="46"/>
      <c r="G5" s="46"/>
      <c r="H5" s="5">
        <f>SUM(I5)-1.8</f>
        <v>23.2</v>
      </c>
      <c r="I5" s="5">
        <f>SUM(J5)-1.8</f>
        <v>25</v>
      </c>
      <c r="J5" s="23">
        <v>26.8</v>
      </c>
      <c r="K5" s="5">
        <f>SUM(J5)+1.6</f>
        <v>28.400000000000002</v>
      </c>
      <c r="L5" s="5">
        <f t="shared" ref="L5:M5" si="0">SUM(K5)+1.6</f>
        <v>30.000000000000004</v>
      </c>
      <c r="M5" s="7">
        <f t="shared" si="0"/>
        <v>31.600000000000005</v>
      </c>
    </row>
    <row r="6" spans="1:13" s="1" customFormat="1" ht="14.1" customHeight="1" x14ac:dyDescent="0.3">
      <c r="A6" s="9"/>
      <c r="B6" s="44" t="s">
        <v>8</v>
      </c>
      <c r="C6" s="44"/>
      <c r="D6" s="36" t="s">
        <v>21</v>
      </c>
      <c r="E6" s="37"/>
      <c r="F6" s="37"/>
      <c r="G6" s="38"/>
      <c r="H6" s="6"/>
      <c r="I6" s="6"/>
      <c r="J6" s="33"/>
      <c r="K6" s="6"/>
      <c r="L6" s="6"/>
      <c r="M6" s="8"/>
    </row>
    <row r="7" spans="1:13" s="1" customFormat="1" ht="14.1" customHeight="1" x14ac:dyDescent="0.3">
      <c r="A7" s="9">
        <v>3</v>
      </c>
      <c r="B7" s="45" t="s">
        <v>16</v>
      </c>
      <c r="C7" s="45"/>
      <c r="D7" s="46" t="s">
        <v>54</v>
      </c>
      <c r="E7" s="46"/>
      <c r="F7" s="46"/>
      <c r="G7" s="46"/>
      <c r="H7" s="5">
        <f>SUM(I7)-2.8</f>
        <v>35.700000000000003</v>
      </c>
      <c r="I7" s="5">
        <f>SUM(J7)-2.8</f>
        <v>38.5</v>
      </c>
      <c r="J7" s="23">
        <v>41.3</v>
      </c>
      <c r="K7" s="5">
        <f>SUM(J7)+2.5</f>
        <v>43.8</v>
      </c>
      <c r="L7" s="5">
        <f>SUM(K7)+2.5</f>
        <v>46.3</v>
      </c>
      <c r="M7" s="7">
        <f>SUM(L7)+2.5</f>
        <v>48.8</v>
      </c>
    </row>
    <row r="8" spans="1:13" s="1" customFormat="1" ht="14.1" customHeight="1" x14ac:dyDescent="0.3">
      <c r="A8" s="9"/>
      <c r="B8" s="44" t="s">
        <v>19</v>
      </c>
      <c r="C8" s="44"/>
      <c r="D8" s="36" t="s">
        <v>22</v>
      </c>
      <c r="E8" s="37"/>
      <c r="F8" s="37"/>
      <c r="G8" s="38"/>
      <c r="H8" s="6"/>
      <c r="I8" s="6"/>
      <c r="J8" s="33"/>
      <c r="K8" s="6"/>
      <c r="L8" s="6"/>
      <c r="M8" s="8"/>
    </row>
    <row r="9" spans="1:13" s="1" customFormat="1" ht="14.1" customHeight="1" x14ac:dyDescent="0.3">
      <c r="A9" s="9">
        <v>4</v>
      </c>
      <c r="B9" s="45" t="s">
        <v>20</v>
      </c>
      <c r="C9" s="45"/>
      <c r="D9" s="46" t="s">
        <v>53</v>
      </c>
      <c r="E9" s="46"/>
      <c r="F9" s="46"/>
      <c r="G9" s="46"/>
      <c r="H9" s="5">
        <f>SUM(I9)-4.2</f>
        <v>52.599999999999994</v>
      </c>
      <c r="I9" s="5">
        <f>SUM(J9)-4.2</f>
        <v>56.8</v>
      </c>
      <c r="J9" s="23">
        <v>61</v>
      </c>
      <c r="K9" s="5">
        <f>SUM(J9)+3.6</f>
        <v>64.599999999999994</v>
      </c>
      <c r="L9" s="5">
        <f>SUM(K9)+3.6</f>
        <v>68.199999999999989</v>
      </c>
      <c r="M9" s="7">
        <f>SUM(L9)+3.6</f>
        <v>71.799999999999983</v>
      </c>
    </row>
    <row r="10" spans="1:13" s="1" customFormat="1" ht="14.1" customHeight="1" x14ac:dyDescent="0.3">
      <c r="A10" s="9"/>
      <c r="B10" s="44" t="s">
        <v>9</v>
      </c>
      <c r="C10" s="44"/>
      <c r="D10" s="36" t="s">
        <v>52</v>
      </c>
      <c r="E10" s="37"/>
      <c r="F10" s="37"/>
      <c r="G10" s="38"/>
      <c r="H10" s="6"/>
      <c r="I10" s="6"/>
      <c r="J10" s="33"/>
      <c r="K10" s="6"/>
      <c r="L10" s="6"/>
      <c r="M10" s="8"/>
    </row>
    <row r="11" spans="1:13" s="1" customFormat="1" ht="14.1" customHeight="1" x14ac:dyDescent="0.3">
      <c r="A11" s="9">
        <v>5</v>
      </c>
      <c r="B11" s="45" t="s">
        <v>47</v>
      </c>
      <c r="C11" s="45"/>
      <c r="D11" s="46" t="s">
        <v>0</v>
      </c>
      <c r="E11" s="46"/>
      <c r="F11" s="46"/>
      <c r="G11" s="46"/>
      <c r="H11" s="5">
        <f>SUM(I11)-0.8</f>
        <v>16.599999999999998</v>
      </c>
      <c r="I11" s="5">
        <f>SUM(J11)-0.8</f>
        <v>17.399999999999999</v>
      </c>
      <c r="J11" s="23">
        <v>18.2</v>
      </c>
      <c r="K11" s="5">
        <f>SUM(J11)+0.8</f>
        <v>19</v>
      </c>
      <c r="L11" s="45">
        <f>SUM(K11)+0.8</f>
        <v>19.8</v>
      </c>
      <c r="M11" s="7">
        <f>SUM(L11)+0.8</f>
        <v>20.6</v>
      </c>
    </row>
    <row r="12" spans="1:13" s="1" customFormat="1" ht="14.1" customHeight="1" x14ac:dyDescent="0.3">
      <c r="A12" s="9"/>
      <c r="B12" s="44" t="s">
        <v>10</v>
      </c>
      <c r="C12" s="44"/>
      <c r="D12" s="36" t="s">
        <v>23</v>
      </c>
      <c r="E12" s="37"/>
      <c r="F12" s="37"/>
      <c r="G12" s="38"/>
      <c r="H12" s="6"/>
      <c r="I12" s="6"/>
      <c r="J12" s="33"/>
      <c r="K12" s="6"/>
      <c r="L12" s="44"/>
      <c r="M12" s="8"/>
    </row>
    <row r="13" spans="1:13" s="1" customFormat="1" ht="14.1" customHeight="1" x14ac:dyDescent="0.3">
      <c r="A13" s="9">
        <v>6</v>
      </c>
      <c r="B13" s="45" t="s">
        <v>1</v>
      </c>
      <c r="C13" s="45"/>
      <c r="D13" s="46" t="s">
        <v>50</v>
      </c>
      <c r="E13" s="46"/>
      <c r="F13" s="46"/>
      <c r="G13" s="46"/>
      <c r="H13" s="5">
        <f>SUM(I13)-0.6</f>
        <v>18.199999999999996</v>
      </c>
      <c r="I13" s="5">
        <f>SUM(J13)-0.6</f>
        <v>18.799999999999997</v>
      </c>
      <c r="J13" s="23">
        <v>19.399999999999999</v>
      </c>
      <c r="K13" s="5">
        <f>SUM(J13)+0.6</f>
        <v>20</v>
      </c>
      <c r="L13" s="45">
        <f>SUM(K13)+0.6</f>
        <v>20.6</v>
      </c>
      <c r="M13" s="7">
        <f>SUM(L13)+0.6</f>
        <v>21.200000000000003</v>
      </c>
    </row>
    <row r="14" spans="1:13" s="1" customFormat="1" ht="14.1" customHeight="1" x14ac:dyDescent="0.3">
      <c r="A14" s="9"/>
      <c r="B14" s="44" t="s">
        <v>11</v>
      </c>
      <c r="C14" s="44"/>
      <c r="D14" s="36" t="s">
        <v>24</v>
      </c>
      <c r="E14" s="37"/>
      <c r="F14" s="37"/>
      <c r="G14" s="38"/>
      <c r="H14" s="6"/>
      <c r="I14" s="6"/>
      <c r="J14" s="33"/>
      <c r="K14" s="6"/>
      <c r="L14" s="44"/>
      <c r="M14" s="8"/>
    </row>
    <row r="15" spans="1:13" s="1" customFormat="1" ht="14.1" customHeight="1" x14ac:dyDescent="0.3">
      <c r="A15" s="9">
        <v>7</v>
      </c>
      <c r="B15" s="45" t="s">
        <v>59</v>
      </c>
      <c r="C15" s="45"/>
      <c r="D15" s="46" t="s">
        <v>60</v>
      </c>
      <c r="E15" s="46"/>
      <c r="F15" s="46"/>
      <c r="G15" s="46"/>
      <c r="H15" s="5">
        <f>SUM(I15)-0.2</f>
        <v>4.3999999999999995</v>
      </c>
      <c r="I15" s="5">
        <f>SUM(J15)-0.2</f>
        <v>4.5999999999999996</v>
      </c>
      <c r="J15" s="23">
        <v>4.8</v>
      </c>
      <c r="K15" s="5">
        <f>SUM(J15)+0.2</f>
        <v>5</v>
      </c>
      <c r="L15" s="5">
        <f>SUM(K15)+0.2</f>
        <v>5.2</v>
      </c>
      <c r="M15" s="7">
        <f>SUM(L15)+0.2</f>
        <v>5.4</v>
      </c>
    </row>
    <row r="16" spans="1:13" s="1" customFormat="1" ht="14.1" customHeight="1" x14ac:dyDescent="0.3">
      <c r="A16" s="9"/>
      <c r="B16" s="44" t="s">
        <v>62</v>
      </c>
      <c r="C16" s="44"/>
      <c r="D16" s="36" t="s">
        <v>61</v>
      </c>
      <c r="E16" s="37"/>
      <c r="F16" s="37"/>
      <c r="G16" s="38"/>
      <c r="H16" s="6"/>
      <c r="I16" s="6"/>
      <c r="J16" s="33"/>
      <c r="K16" s="6"/>
      <c r="L16" s="6"/>
      <c r="M16" s="8"/>
    </row>
    <row r="17" spans="1:13" s="1" customFormat="1" ht="14.1" customHeight="1" x14ac:dyDescent="0.3">
      <c r="A17" s="9">
        <v>8</v>
      </c>
      <c r="B17" s="45" t="s">
        <v>2</v>
      </c>
      <c r="C17" s="45"/>
      <c r="D17" s="46" t="s">
        <v>3</v>
      </c>
      <c r="E17" s="46"/>
      <c r="F17" s="46"/>
      <c r="G17" s="46"/>
      <c r="H17" s="5">
        <f>SUM(I17)-0.3</f>
        <v>7.8999999999999995</v>
      </c>
      <c r="I17" s="5">
        <f>SUM(J17)-0.3</f>
        <v>8.1999999999999993</v>
      </c>
      <c r="J17" s="23">
        <v>8.5</v>
      </c>
      <c r="K17" s="5">
        <f>SUM(J17)+0.3</f>
        <v>8.8000000000000007</v>
      </c>
      <c r="L17" s="5">
        <f t="shared" ref="L17" si="1">SUM(K17)+0.3</f>
        <v>9.1000000000000014</v>
      </c>
      <c r="M17" s="7">
        <f t="shared" ref="M17" si="2">SUM(L17)+0.3</f>
        <v>9.4000000000000021</v>
      </c>
    </row>
    <row r="18" spans="1:13" s="1" customFormat="1" ht="14.1" customHeight="1" x14ac:dyDescent="0.3">
      <c r="A18" s="9"/>
      <c r="B18" s="44" t="s">
        <v>12</v>
      </c>
      <c r="C18" s="44"/>
      <c r="D18" s="36" t="s">
        <v>34</v>
      </c>
      <c r="E18" s="37"/>
      <c r="F18" s="37"/>
      <c r="G18" s="38"/>
      <c r="H18" s="6"/>
      <c r="I18" s="6"/>
      <c r="J18" s="33"/>
      <c r="K18" s="6"/>
      <c r="L18" s="6"/>
      <c r="M18" s="8"/>
    </row>
    <row r="19" spans="1:13" s="1" customFormat="1" ht="14.1" customHeight="1" x14ac:dyDescent="0.3">
      <c r="A19" s="9">
        <v>9</v>
      </c>
      <c r="B19" s="39" t="s">
        <v>35</v>
      </c>
      <c r="C19" s="40"/>
      <c r="D19" s="41" t="s">
        <v>39</v>
      </c>
      <c r="E19" s="42"/>
      <c r="F19" s="42"/>
      <c r="G19" s="43"/>
      <c r="H19" s="5">
        <f>SUM(I19)-1.7</f>
        <v>47.899999999999991</v>
      </c>
      <c r="I19" s="5">
        <f>SUM(J19)-1.7</f>
        <v>49.599999999999994</v>
      </c>
      <c r="J19" s="23">
        <v>51.3</v>
      </c>
      <c r="K19" s="5">
        <f>SUM(J19)+1.7</f>
        <v>53</v>
      </c>
      <c r="L19" s="5">
        <f>SUM(K19)+1.7</f>
        <v>54.7</v>
      </c>
      <c r="M19" s="7">
        <f>SUM(L19)+1.7</f>
        <v>56.400000000000006</v>
      </c>
    </row>
    <row r="20" spans="1:13" s="1" customFormat="1" ht="14.1" customHeight="1" x14ac:dyDescent="0.3">
      <c r="A20" s="9"/>
      <c r="B20" s="44" t="s">
        <v>15</v>
      </c>
      <c r="C20" s="44"/>
      <c r="D20" s="36" t="s">
        <v>40</v>
      </c>
      <c r="E20" s="37"/>
      <c r="F20" s="37"/>
      <c r="G20" s="38"/>
      <c r="H20" s="6"/>
      <c r="I20" s="6"/>
      <c r="J20" s="33"/>
      <c r="K20" s="6"/>
      <c r="L20" s="6"/>
      <c r="M20" s="8"/>
    </row>
    <row r="21" spans="1:13" s="1" customFormat="1" ht="14.1" customHeight="1" x14ac:dyDescent="0.3">
      <c r="A21" s="9">
        <v>10</v>
      </c>
      <c r="B21" s="45" t="s">
        <v>4</v>
      </c>
      <c r="C21" s="45"/>
      <c r="D21" s="46" t="s">
        <v>5</v>
      </c>
      <c r="E21" s="46"/>
      <c r="F21" s="46"/>
      <c r="G21" s="46"/>
      <c r="H21" s="5"/>
      <c r="I21" s="5"/>
      <c r="J21" s="23"/>
      <c r="K21" s="5"/>
      <c r="L21" s="5"/>
      <c r="M21" s="7"/>
    </row>
    <row r="22" spans="1:13" s="1" customFormat="1" ht="14.1" customHeight="1" x14ac:dyDescent="0.3">
      <c r="A22" s="9"/>
      <c r="B22" s="44" t="s">
        <v>46</v>
      </c>
      <c r="C22" s="44"/>
      <c r="D22" s="36" t="s">
        <v>25</v>
      </c>
      <c r="E22" s="37"/>
      <c r="F22" s="37"/>
      <c r="G22" s="38"/>
      <c r="H22" s="6"/>
      <c r="I22" s="6"/>
      <c r="J22" s="33"/>
      <c r="K22" s="6"/>
      <c r="L22" s="6"/>
      <c r="M22" s="8"/>
    </row>
    <row r="23" spans="1:13" s="1" customFormat="1" ht="14.1" customHeight="1" x14ac:dyDescent="0.3">
      <c r="A23" s="9">
        <v>11</v>
      </c>
      <c r="B23" s="45" t="s">
        <v>6</v>
      </c>
      <c r="C23" s="45"/>
      <c r="D23" s="41" t="s">
        <v>7</v>
      </c>
      <c r="E23" s="42"/>
      <c r="F23" s="42"/>
      <c r="G23" s="43"/>
      <c r="H23" s="5"/>
      <c r="I23" s="5"/>
      <c r="J23" s="23"/>
      <c r="K23" s="5"/>
      <c r="L23" s="5"/>
      <c r="M23" s="7"/>
    </row>
    <row r="24" spans="1:13" s="1" customFormat="1" ht="14.1" customHeight="1" x14ac:dyDescent="0.3">
      <c r="A24" s="9"/>
      <c r="B24" s="44" t="s">
        <v>13</v>
      </c>
      <c r="C24" s="44"/>
      <c r="D24" s="36" t="s">
        <v>33</v>
      </c>
      <c r="E24" s="37"/>
      <c r="F24" s="37"/>
      <c r="G24" s="38"/>
      <c r="H24" s="6"/>
      <c r="I24" s="6"/>
      <c r="J24" s="33"/>
      <c r="K24" s="6"/>
      <c r="L24" s="6"/>
      <c r="M24" s="8"/>
    </row>
    <row r="25" spans="1:13" s="1" customFormat="1" ht="14.1" customHeight="1" x14ac:dyDescent="0.3">
      <c r="A25" s="9">
        <v>12</v>
      </c>
      <c r="B25" s="39" t="s">
        <v>51</v>
      </c>
      <c r="C25" s="40"/>
      <c r="D25" s="46" t="s">
        <v>43</v>
      </c>
      <c r="E25" s="46"/>
      <c r="F25" s="46"/>
      <c r="G25" s="46"/>
      <c r="H25" s="5"/>
      <c r="I25" s="5"/>
      <c r="J25" s="23"/>
      <c r="K25" s="5"/>
      <c r="L25" s="5"/>
      <c r="M25" s="7"/>
    </row>
    <row r="26" spans="1:13" s="1" customFormat="1" ht="14.1" customHeight="1" x14ac:dyDescent="0.3">
      <c r="A26" s="9"/>
      <c r="B26" s="44" t="s">
        <v>44</v>
      </c>
      <c r="C26" s="44"/>
      <c r="D26" s="36" t="s">
        <v>45</v>
      </c>
      <c r="E26" s="37"/>
      <c r="F26" s="37"/>
      <c r="G26" s="38"/>
      <c r="H26" s="6"/>
      <c r="I26" s="6"/>
      <c r="J26" s="33"/>
      <c r="K26" s="6"/>
      <c r="L26" s="6"/>
      <c r="M26" s="8"/>
    </row>
    <row r="27" spans="1:13" ht="14.1" customHeight="1" x14ac:dyDescent="0.3">
      <c r="A27" s="9">
        <v>13</v>
      </c>
      <c r="B27" s="39" t="s">
        <v>41</v>
      </c>
      <c r="C27" s="40"/>
      <c r="D27" s="41"/>
      <c r="E27" s="42"/>
      <c r="F27" s="42"/>
      <c r="G27" s="43"/>
      <c r="H27" s="5">
        <f>SUM(I27)-0.5</f>
        <v>7.9</v>
      </c>
      <c r="I27" s="5">
        <f>SUM(J27)-0.5</f>
        <v>8.4</v>
      </c>
      <c r="J27" s="23">
        <v>8.9</v>
      </c>
      <c r="K27" s="5">
        <f>SUM(J27)+0.6</f>
        <v>9.5</v>
      </c>
      <c r="L27" s="5">
        <f>SUM(K27)+0.6</f>
        <v>10.1</v>
      </c>
      <c r="M27" s="7">
        <f>SUM(L27)+0.5</f>
        <v>10.6</v>
      </c>
    </row>
    <row r="28" spans="1:13" ht="14.1" customHeight="1" x14ac:dyDescent="0.3">
      <c r="A28" s="9"/>
      <c r="B28" s="34" t="s">
        <v>63</v>
      </c>
      <c r="C28" s="35"/>
      <c r="D28" s="36" t="s">
        <v>64</v>
      </c>
      <c r="E28" s="37"/>
      <c r="F28" s="37"/>
      <c r="G28" s="38"/>
      <c r="H28" s="6"/>
      <c r="I28" s="6"/>
      <c r="J28" s="33"/>
      <c r="K28" s="6"/>
      <c r="L28" s="6"/>
      <c r="M28" s="8"/>
    </row>
    <row r="29" spans="1:13" ht="14.1" customHeight="1" x14ac:dyDescent="0.3">
      <c r="A29" s="9">
        <v>14</v>
      </c>
      <c r="B29" s="39" t="s">
        <v>55</v>
      </c>
      <c r="C29" s="40"/>
      <c r="D29" s="41"/>
      <c r="E29" s="42"/>
      <c r="F29" s="42"/>
      <c r="G29" s="43"/>
      <c r="H29" s="5">
        <f>SUM(I29)-2</f>
        <v>22.5</v>
      </c>
      <c r="I29" s="5">
        <f>SUM(J29)-2</f>
        <v>24.5</v>
      </c>
      <c r="J29" s="23">
        <v>26.5</v>
      </c>
      <c r="K29" s="5">
        <f>SUM(J29)+2</f>
        <v>28.5</v>
      </c>
      <c r="L29" s="5">
        <f>SUM(K29)+2</f>
        <v>30.5</v>
      </c>
      <c r="M29" s="7">
        <f>SUM(L29)+2</f>
        <v>32.5</v>
      </c>
    </row>
    <row r="30" spans="1:13" ht="14.1" customHeight="1" x14ac:dyDescent="0.3">
      <c r="A30" s="9"/>
      <c r="B30" s="34" t="s">
        <v>56</v>
      </c>
      <c r="C30" s="35"/>
      <c r="D30" s="36"/>
      <c r="E30" s="37"/>
      <c r="F30" s="37"/>
      <c r="G30" s="38"/>
      <c r="H30" s="6"/>
      <c r="I30" s="6"/>
      <c r="J30" s="33"/>
      <c r="K30" s="6"/>
      <c r="L30" s="6"/>
      <c r="M30" s="8"/>
    </row>
    <row r="31" spans="1:13" ht="14.1" customHeight="1" x14ac:dyDescent="0.3">
      <c r="A31" s="31">
        <v>15</v>
      </c>
      <c r="B31" s="39" t="s">
        <v>57</v>
      </c>
      <c r="C31" s="40"/>
      <c r="D31" s="41"/>
      <c r="E31" s="42"/>
      <c r="F31" s="42"/>
      <c r="G31" s="43"/>
      <c r="H31" s="5">
        <f>SUM(I31)-1.3</f>
        <v>14.899999999999999</v>
      </c>
      <c r="I31" s="5">
        <f>SUM(J31)-1.3</f>
        <v>16.2</v>
      </c>
      <c r="J31" s="23">
        <v>17.5</v>
      </c>
      <c r="K31" s="5">
        <f>SUM(J31)+1.3</f>
        <v>18.8</v>
      </c>
      <c r="L31" s="5">
        <f>SUM(K31)+1.3</f>
        <v>20.100000000000001</v>
      </c>
      <c r="M31" s="7">
        <f>SUM(L31)+1.3</f>
        <v>21.400000000000002</v>
      </c>
    </row>
    <row r="32" spans="1:13" ht="14.1" customHeight="1" x14ac:dyDescent="0.3">
      <c r="A32" s="32"/>
      <c r="B32" s="34" t="s">
        <v>42</v>
      </c>
      <c r="C32" s="35"/>
      <c r="D32" s="36"/>
      <c r="E32" s="37"/>
      <c r="F32" s="37"/>
      <c r="G32" s="38"/>
      <c r="H32" s="6"/>
      <c r="I32" s="6"/>
      <c r="J32" s="33"/>
      <c r="K32" s="6"/>
      <c r="L32" s="6"/>
      <c r="M32" s="8"/>
    </row>
    <row r="33" spans="1:13" ht="14.1" customHeight="1" x14ac:dyDescent="0.3">
      <c r="A33" s="9">
        <v>16</v>
      </c>
      <c r="B33" s="11"/>
      <c r="C33" s="12"/>
      <c r="D33" s="13"/>
      <c r="E33" s="14"/>
      <c r="F33" s="14"/>
      <c r="G33" s="15"/>
      <c r="H33" s="5"/>
      <c r="I33" s="5"/>
      <c r="J33" s="17"/>
      <c r="K33" s="5"/>
      <c r="L33" s="5"/>
      <c r="M33" s="7"/>
    </row>
    <row r="34" spans="1:13" ht="14.1" customHeight="1" x14ac:dyDescent="0.3">
      <c r="A34" s="9"/>
      <c r="B34" s="18"/>
      <c r="C34" s="19"/>
      <c r="D34" s="20"/>
      <c r="E34" s="21"/>
      <c r="F34" s="21"/>
      <c r="G34" s="22"/>
      <c r="H34" s="6"/>
      <c r="I34" s="6"/>
      <c r="J34" s="17"/>
      <c r="K34" s="6"/>
      <c r="L34" s="6"/>
      <c r="M34" s="8"/>
    </row>
    <row r="35" spans="1:13" ht="14.1" customHeight="1" x14ac:dyDescent="0.3">
      <c r="A35" s="9">
        <v>17</v>
      </c>
      <c r="B35" s="11"/>
      <c r="C35" s="12"/>
      <c r="D35" s="13"/>
      <c r="E35" s="14"/>
      <c r="F35" s="14"/>
      <c r="G35" s="15"/>
      <c r="H35" s="5"/>
      <c r="I35" s="5"/>
      <c r="J35" s="23"/>
      <c r="K35" s="5"/>
      <c r="L35" s="5"/>
      <c r="M35" s="7"/>
    </row>
    <row r="36" spans="1:13" ht="14.1" customHeight="1" thickBot="1" x14ac:dyDescent="0.35">
      <c r="A36" s="10"/>
      <c r="B36" s="26"/>
      <c r="C36" s="27"/>
      <c r="D36" s="28"/>
      <c r="E36" s="29"/>
      <c r="F36" s="29"/>
      <c r="G36" s="30"/>
      <c r="H36" s="16"/>
      <c r="I36" s="16"/>
      <c r="J36" s="24"/>
      <c r="K36" s="16"/>
      <c r="L36" s="16"/>
      <c r="M36" s="25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</sheetData>
  <mergeCells count="190">
    <mergeCell ref="J17:J18"/>
    <mergeCell ref="K17:K18"/>
    <mergeCell ref="L17:L18"/>
    <mergeCell ref="M17:M18"/>
    <mergeCell ref="B18:C18"/>
    <mergeCell ref="D18:G18"/>
    <mergeCell ref="K35:K36"/>
    <mergeCell ref="L35:L36"/>
    <mergeCell ref="M35:M36"/>
    <mergeCell ref="B36:C36"/>
    <mergeCell ref="D36:G36"/>
    <mergeCell ref="J35:J36"/>
    <mergeCell ref="J33:J34"/>
    <mergeCell ref="K33:K34"/>
    <mergeCell ref="L33:L34"/>
    <mergeCell ref="M33:M34"/>
    <mergeCell ref="K31:K32"/>
    <mergeCell ref="L31:L32"/>
    <mergeCell ref="M31:M32"/>
    <mergeCell ref="J31:J32"/>
    <mergeCell ref="J29:J30"/>
    <mergeCell ref="K29:K30"/>
    <mergeCell ref="L29:L30"/>
    <mergeCell ref="M29:M30"/>
    <mergeCell ref="A17:A18"/>
    <mergeCell ref="B17:C17"/>
    <mergeCell ref="D17:G17"/>
    <mergeCell ref="H17:H18"/>
    <mergeCell ref="I17:I18"/>
    <mergeCell ref="A35:A36"/>
    <mergeCell ref="B35:C35"/>
    <mergeCell ref="D35:G35"/>
    <mergeCell ref="H35:H36"/>
    <mergeCell ref="I35:I36"/>
    <mergeCell ref="B34:C34"/>
    <mergeCell ref="D34:G34"/>
    <mergeCell ref="B32:C32"/>
    <mergeCell ref="D32:G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B30:C30"/>
    <mergeCell ref="D30:G30"/>
    <mergeCell ref="K27:K28"/>
    <mergeCell ref="L27:L28"/>
    <mergeCell ref="M27:M28"/>
    <mergeCell ref="B28:C28"/>
    <mergeCell ref="D28:G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7:J28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8" type="noConversion"/>
  <printOptions horizontalCentered="1"/>
  <pageMargins left="0" right="1.0416666666666666E-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USL02</vt:lpstr>
      <vt:lpstr>'USL02'!Print_Area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2026-04-13T06:18:45Z</cp:lastPrinted>
  <dcterms:created xsi:type="dcterms:W3CDTF">2018-05-14T06:17:18Z</dcterms:created>
  <dcterms:modified xsi:type="dcterms:W3CDTF">2026-04-13T06:20:39Z</dcterms:modified>
</cp:coreProperties>
</file>