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본공장풀패턴\2026\2026여름풀패턴\2026여름사이즈스펙\"/>
    </mc:Choice>
  </mc:AlternateContent>
  <xr:revisionPtr revIDLastSave="0" documentId="13_ncr:1_{48548A88-54C0-4243-B540-20D8749458A7}" xr6:coauthVersionLast="47" xr6:coauthVersionMax="47" xr10:uidLastSave="{00000000-0000-0000-0000-000000000000}"/>
  <bookViews>
    <workbookView xWindow="37305" yWindow="1110" windowWidth="19650" windowHeight="14160" tabRatio="776" xr2:uid="{00000000-000D-0000-FFFF-FFFF00000000}"/>
  </bookViews>
  <sheets>
    <sheet name="OP01" sheetId="958" r:id="rId1"/>
    <sheet name="OP02" sheetId="978" r:id="rId2"/>
    <sheet name="OP03" sheetId="972" r:id="rId3"/>
    <sheet name="OP04" sheetId="976" r:id="rId4"/>
    <sheet name="OU01" sheetId="955" r:id="rId5"/>
    <sheet name="OU02" sheetId="956" r:id="rId6"/>
    <sheet name="PT01" sheetId="957" r:id="rId7"/>
    <sheet name="PT02" sheetId="961" r:id="rId8"/>
    <sheet name="PT03" sheetId="971" r:id="rId9"/>
    <sheet name="PT04(완사입)" sheetId="965" r:id="rId10"/>
    <sheet name="PT05" sheetId="966" r:id="rId11"/>
    <sheet name="PT06" sheetId="979" r:id="rId12"/>
    <sheet name="PT07" sheetId="980" r:id="rId13"/>
    <sheet name="SE01" sheetId="960" r:id="rId14"/>
    <sheet name="SE02" sheetId="963" r:id="rId15"/>
    <sheet name="SE03" sheetId="977" r:id="rId16"/>
    <sheet name="SE04" sheetId="969" r:id="rId17"/>
    <sheet name="SE05" sheetId="974" r:id="rId18"/>
    <sheet name="SK01" sheetId="954" r:id="rId19"/>
    <sheet name="TO01" sheetId="962" r:id="rId20"/>
    <sheet name="TO02" sheetId="968" r:id="rId21"/>
    <sheet name="TO03" sheetId="964" r:id="rId22"/>
    <sheet name="TO05" sheetId="970" r:id="rId23"/>
    <sheet name="TO04" sheetId="959" r:id="rId24"/>
    <sheet name="TO06" sheetId="967" r:id="rId25"/>
    <sheet name="TO07" sheetId="975" r:id="rId26"/>
    <sheet name="TO08" sheetId="973" r:id="rId27"/>
  </sheets>
  <definedNames>
    <definedName name="_xlnm.Print_Area" localSheetId="0">'OP01'!$A$1:$M$34</definedName>
    <definedName name="_xlnm.Print_Area" localSheetId="1">'OP02'!$A$1:$M$34</definedName>
    <definedName name="_xlnm.Print_Area" localSheetId="2">'OP03'!$A$1:$M$34</definedName>
    <definedName name="_xlnm.Print_Area" localSheetId="3">'OP04'!$A$1:$M$34</definedName>
    <definedName name="_xlnm.Print_Area" localSheetId="4">'OU01'!$A$1:$M$34</definedName>
    <definedName name="_xlnm.Print_Area" localSheetId="5">'OU02'!$A$1:$M$38</definedName>
    <definedName name="_xlnm.Print_Area" localSheetId="6">'PT01'!$A$1:$M$44</definedName>
    <definedName name="_xlnm.Print_Area" localSheetId="7">'PT02'!$A$1:$M$44</definedName>
    <definedName name="_xlnm.Print_Area" localSheetId="8">'PT03'!$A$1:$M$44</definedName>
    <definedName name="_xlnm.Print_Area" localSheetId="9">'PT04(완사입)'!$A$1:$M$48</definedName>
    <definedName name="_xlnm.Print_Area" localSheetId="10">'PT05'!$A$1:$M$44</definedName>
    <definedName name="_xlnm.Print_Area" localSheetId="11">'PT06'!$A$1:$M$38</definedName>
    <definedName name="_xlnm.Print_Area" localSheetId="12">'PT07'!$A$1:$M$38</definedName>
    <definedName name="_xlnm.Print_Area" localSheetId="13">'SE01'!$A$1:$M$56</definedName>
    <definedName name="_xlnm.Print_Area" localSheetId="14">'SE02'!$A$1:$M$52</definedName>
    <definedName name="_xlnm.Print_Area" localSheetId="15">'SE03'!$A$1:$M$48</definedName>
    <definedName name="_xlnm.Print_Area" localSheetId="16">'SE04'!$A$1:$M$56</definedName>
    <definedName name="_xlnm.Print_Area" localSheetId="17">'SE05'!$A$1:$M$46</definedName>
    <definedName name="_xlnm.Print_Area" localSheetId="18">'SK01'!$A$1:$M$34</definedName>
    <definedName name="_xlnm.Print_Area" localSheetId="19">'TO01'!$A$1:$M$28</definedName>
    <definedName name="_xlnm.Print_Area" localSheetId="20">'TO02'!$A$1:$M$28</definedName>
    <definedName name="_xlnm.Print_Area" localSheetId="21">'TO03'!$A$1:$M$28</definedName>
    <definedName name="_xlnm.Print_Area" localSheetId="23">'TO04'!$A$1:$M$30</definedName>
    <definedName name="_xlnm.Print_Area" localSheetId="22">'TO05'!$A$1:$M$32</definedName>
    <definedName name="_xlnm.Print_Area" localSheetId="24">'TO06'!$A$1:$M$28</definedName>
    <definedName name="_xlnm.Print_Area" localSheetId="25">'TO07'!$A$1:$M$28</definedName>
    <definedName name="_xlnm.Print_Area" localSheetId="26">'TO08'!$A$1:$M$30</definedName>
  </definedNames>
  <calcPr calcId="191029"/>
</workbook>
</file>

<file path=xl/calcChain.xml><?xml version="1.0" encoding="utf-8"?>
<calcChain xmlns="http://schemas.openxmlformats.org/spreadsheetml/2006/main">
  <c r="K25" i="975" l="1"/>
  <c r="J25" i="975"/>
  <c r="H25" i="975"/>
  <c r="K23" i="975"/>
  <c r="J23" i="975"/>
  <c r="H23" i="975"/>
  <c r="H15" i="975"/>
  <c r="K21" i="966"/>
  <c r="J21" i="966"/>
  <c r="K37" i="966"/>
  <c r="J37" i="966"/>
  <c r="J21" i="979"/>
  <c r="H21" i="979"/>
  <c r="J21" i="980"/>
  <c r="H21" i="980"/>
  <c r="J35" i="980"/>
  <c r="H35" i="980"/>
  <c r="J35" i="979"/>
  <c r="H35" i="979"/>
  <c r="J25" i="980"/>
  <c r="H25" i="980"/>
  <c r="J23" i="980"/>
  <c r="H23" i="980"/>
  <c r="J19" i="980"/>
  <c r="H19" i="980"/>
  <c r="J15" i="980"/>
  <c r="H15" i="980"/>
  <c r="J13" i="980"/>
  <c r="H13" i="980"/>
  <c r="J11" i="980"/>
  <c r="H11" i="980"/>
  <c r="J3" i="980"/>
  <c r="H3" i="980"/>
  <c r="J19" i="979"/>
  <c r="H19" i="979"/>
  <c r="J13" i="979"/>
  <c r="H13" i="979"/>
  <c r="J25" i="979"/>
  <c r="H25" i="979"/>
  <c r="J23" i="979"/>
  <c r="H23" i="979"/>
  <c r="J15" i="979"/>
  <c r="H15" i="979"/>
  <c r="J11" i="979"/>
  <c r="H11" i="979"/>
  <c r="J3" i="979"/>
  <c r="H3" i="979"/>
  <c r="J19" i="965"/>
  <c r="K19" i="965" s="1"/>
  <c r="H19" i="965"/>
  <c r="K19" i="961"/>
  <c r="J19" i="961"/>
  <c r="H19" i="961"/>
  <c r="K39" i="960"/>
  <c r="J39" i="960"/>
  <c r="H39" i="960"/>
  <c r="K35" i="974" l="1"/>
  <c r="J35" i="974"/>
  <c r="H35" i="974"/>
  <c r="J33" i="974" l="1"/>
  <c r="K33" i="974" s="1"/>
  <c r="H33" i="974"/>
  <c r="J11" i="978"/>
  <c r="K11" i="978" s="1"/>
  <c r="H11" i="978"/>
  <c r="J9" i="978"/>
  <c r="K9" i="978" s="1"/>
  <c r="H9" i="978"/>
  <c r="J5" i="978"/>
  <c r="K5" i="978" s="1"/>
  <c r="H5" i="978"/>
  <c r="J7" i="978"/>
  <c r="K7" i="978" s="1"/>
  <c r="H7" i="978"/>
  <c r="J13" i="978"/>
  <c r="K13" i="978" s="1"/>
  <c r="H13" i="978"/>
  <c r="J29" i="978"/>
  <c r="K29" i="978" s="1"/>
  <c r="H29" i="978"/>
  <c r="J27" i="978"/>
  <c r="K27" i="978" s="1"/>
  <c r="H27" i="978"/>
  <c r="J23" i="978"/>
  <c r="K23" i="978" s="1"/>
  <c r="H23" i="978"/>
  <c r="J15" i="978"/>
  <c r="K15" i="978" s="1"/>
  <c r="H15" i="978"/>
  <c r="J31" i="978"/>
  <c r="K31" i="978" s="1"/>
  <c r="H31" i="978"/>
  <c r="J21" i="978"/>
  <c r="K21" i="978" s="1"/>
  <c r="H21" i="978"/>
  <c r="J19" i="978"/>
  <c r="K19" i="978" s="1"/>
  <c r="H19" i="978"/>
  <c r="J17" i="978"/>
  <c r="K17" i="978" s="1"/>
  <c r="H17" i="978"/>
  <c r="J3" i="978"/>
  <c r="K3" i="978" s="1"/>
  <c r="H3" i="978"/>
  <c r="K9" i="977"/>
  <c r="J9" i="977"/>
  <c r="H9" i="977"/>
  <c r="K7" i="977"/>
  <c r="J7" i="977"/>
  <c r="H7" i="977"/>
  <c r="H45" i="977"/>
  <c r="K43" i="977"/>
  <c r="K45" i="977"/>
  <c r="J45" i="977"/>
  <c r="J43" i="977"/>
  <c r="H43" i="977"/>
  <c r="J35" i="977"/>
  <c r="K35" i="977" s="1"/>
  <c r="H35" i="977"/>
  <c r="J21" i="977"/>
  <c r="K21" i="977" s="1"/>
  <c r="H21" i="977"/>
  <c r="J19" i="977"/>
  <c r="K19" i="977" s="1"/>
  <c r="H19" i="977"/>
  <c r="J15" i="977"/>
  <c r="K15" i="977" s="1"/>
  <c r="J13" i="977"/>
  <c r="K13" i="977" s="1"/>
  <c r="H15" i="977"/>
  <c r="H13" i="977"/>
  <c r="J5" i="977"/>
  <c r="K5" i="977" s="1"/>
  <c r="H5" i="977"/>
  <c r="J3" i="977"/>
  <c r="K3" i="977" s="1"/>
  <c r="H3" i="977"/>
  <c r="J41" i="977"/>
  <c r="K41" i="977" s="1"/>
  <c r="H41" i="977"/>
  <c r="J39" i="977"/>
  <c r="K39" i="977" s="1"/>
  <c r="H39" i="977"/>
  <c r="J37" i="977"/>
  <c r="K37" i="977" s="1"/>
  <c r="H37" i="977"/>
  <c r="J31" i="977"/>
  <c r="K31" i="977" s="1"/>
  <c r="H31" i="977"/>
  <c r="J29" i="977"/>
  <c r="K29" i="977" s="1"/>
  <c r="H29" i="977"/>
  <c r="J27" i="977"/>
  <c r="K27" i="977" s="1"/>
  <c r="H27" i="977"/>
  <c r="J25" i="977"/>
  <c r="K25" i="977" s="1"/>
  <c r="H25" i="977"/>
  <c r="J17" i="977"/>
  <c r="K17" i="977" s="1"/>
  <c r="H17" i="977"/>
  <c r="J11" i="977"/>
  <c r="K11" i="977" s="1"/>
  <c r="H11" i="977"/>
  <c r="J23" i="976"/>
  <c r="K23" i="976" s="1"/>
  <c r="H23" i="976"/>
  <c r="J25" i="976"/>
  <c r="K25" i="976" s="1"/>
  <c r="H25" i="976"/>
  <c r="J21" i="976"/>
  <c r="K21" i="976" s="1"/>
  <c r="H21" i="976"/>
  <c r="J19" i="976"/>
  <c r="K19" i="976" s="1"/>
  <c r="H19" i="976"/>
  <c r="K17" i="976"/>
  <c r="J17" i="976"/>
  <c r="H17" i="976"/>
  <c r="K11" i="976"/>
  <c r="J11" i="976"/>
  <c r="H11" i="976"/>
  <c r="J9" i="976"/>
  <c r="K9" i="976" s="1"/>
  <c r="H9" i="976"/>
  <c r="J27" i="976"/>
  <c r="K27" i="976" s="1"/>
  <c r="H27" i="976"/>
  <c r="K15" i="976"/>
  <c r="J15" i="976"/>
  <c r="H15" i="976"/>
  <c r="J13" i="976"/>
  <c r="K13" i="976" s="1"/>
  <c r="H13" i="976"/>
  <c r="J7" i="976"/>
  <c r="K7" i="976" s="1"/>
  <c r="H7" i="976"/>
  <c r="J5" i="976"/>
  <c r="K5" i="976" s="1"/>
  <c r="H5" i="976"/>
  <c r="J3" i="976"/>
  <c r="K3" i="976" s="1"/>
  <c r="H3" i="976"/>
  <c r="J5" i="975"/>
  <c r="K5" i="975" s="1"/>
  <c r="H5" i="975"/>
  <c r="J17" i="975" l="1"/>
  <c r="K17" i="975" s="1"/>
  <c r="H17" i="975"/>
  <c r="J15" i="975"/>
  <c r="K15" i="975" s="1"/>
  <c r="J13" i="975"/>
  <c r="K13" i="975" s="1"/>
  <c r="H13" i="975"/>
  <c r="J9" i="975"/>
  <c r="K9" i="975" s="1"/>
  <c r="H9" i="975"/>
  <c r="J7" i="975"/>
  <c r="K7" i="975" s="1"/>
  <c r="H7" i="975"/>
  <c r="J3" i="975"/>
  <c r="K3" i="975" s="1"/>
  <c r="H3" i="975"/>
  <c r="K3" i="974"/>
  <c r="J3" i="974"/>
  <c r="H3" i="974"/>
  <c r="H13" i="974"/>
  <c r="J13" i="974"/>
  <c r="K13" i="974" s="1"/>
  <c r="J7" i="974"/>
  <c r="K7" i="974" s="1"/>
  <c r="H7" i="974"/>
  <c r="J5" i="974"/>
  <c r="K5" i="974" s="1"/>
  <c r="H5" i="974"/>
  <c r="J9" i="974"/>
  <c r="K9" i="974" s="1"/>
  <c r="H9" i="974"/>
  <c r="J43" i="974" l="1"/>
  <c r="K43" i="974" s="1"/>
  <c r="H43" i="974"/>
  <c r="J41" i="974"/>
  <c r="K41" i="974" s="1"/>
  <c r="H41" i="974"/>
  <c r="J39" i="974"/>
  <c r="K39" i="974" s="1"/>
  <c r="H39" i="974"/>
  <c r="J37" i="974"/>
  <c r="K37" i="974" s="1"/>
  <c r="H37" i="974"/>
  <c r="J29" i="974"/>
  <c r="K29" i="974" s="1"/>
  <c r="H29" i="974"/>
  <c r="J27" i="974"/>
  <c r="K27" i="974" s="1"/>
  <c r="H27" i="974"/>
  <c r="J25" i="974"/>
  <c r="K25" i="974" s="1"/>
  <c r="H25" i="974"/>
  <c r="J23" i="974"/>
  <c r="K23" i="974" s="1"/>
  <c r="H23" i="974"/>
  <c r="J11" i="974"/>
  <c r="K11" i="974" s="1"/>
  <c r="H11" i="974"/>
  <c r="J27" i="973"/>
  <c r="K27" i="973" s="1"/>
  <c r="H27" i="973"/>
  <c r="J29" i="973"/>
  <c r="K29" i="973" s="1"/>
  <c r="H29" i="973"/>
  <c r="J23" i="973"/>
  <c r="K23" i="973" s="1"/>
  <c r="H23" i="973"/>
  <c r="J19" i="973"/>
  <c r="K19" i="973" s="1"/>
  <c r="H19" i="973"/>
  <c r="J9" i="973"/>
  <c r="K9" i="973" s="1"/>
  <c r="H9" i="973"/>
  <c r="J25" i="973"/>
  <c r="K25" i="973" s="1"/>
  <c r="H25" i="973"/>
  <c r="J17" i="973"/>
  <c r="K17" i="973" s="1"/>
  <c r="H17" i="973"/>
  <c r="J15" i="973"/>
  <c r="K15" i="973" s="1"/>
  <c r="H15" i="973"/>
  <c r="J13" i="973"/>
  <c r="K13" i="973" s="1"/>
  <c r="H13" i="973"/>
  <c r="J11" i="973"/>
  <c r="K11" i="973" s="1"/>
  <c r="H11" i="973"/>
  <c r="J7" i="973"/>
  <c r="K7" i="973" s="1"/>
  <c r="H7" i="973"/>
  <c r="J5" i="973"/>
  <c r="K5" i="973" s="1"/>
  <c r="H5" i="973"/>
  <c r="J3" i="973"/>
  <c r="K3" i="973" s="1"/>
  <c r="H3" i="973"/>
  <c r="K27" i="972"/>
  <c r="J27" i="972"/>
  <c r="H27" i="972"/>
  <c r="J25" i="972"/>
  <c r="K25" i="972" s="1"/>
  <c r="H25" i="972"/>
  <c r="J23" i="972"/>
  <c r="K23" i="972" s="1"/>
  <c r="H23" i="972"/>
  <c r="J19" i="972"/>
  <c r="K19" i="972" s="1"/>
  <c r="H19" i="972"/>
  <c r="K17" i="972"/>
  <c r="J17" i="972"/>
  <c r="H17" i="972"/>
  <c r="J15" i="972"/>
  <c r="K15" i="972" s="1"/>
  <c r="H15" i="972"/>
  <c r="K11" i="972"/>
  <c r="J11" i="972"/>
  <c r="H11" i="972"/>
  <c r="J9" i="972"/>
  <c r="K9" i="972" s="1"/>
  <c r="H9" i="972"/>
  <c r="J3" i="972"/>
  <c r="K3" i="972" s="1"/>
  <c r="H3" i="972"/>
  <c r="J13" i="972"/>
  <c r="K13" i="972" s="1"/>
  <c r="H13" i="972"/>
  <c r="J7" i="972"/>
  <c r="K7" i="972" s="1"/>
  <c r="H7" i="972"/>
  <c r="J5" i="972"/>
  <c r="K5" i="972" s="1"/>
  <c r="H5" i="972"/>
  <c r="J37" i="971"/>
  <c r="K37" i="971" s="1"/>
  <c r="H37" i="971"/>
  <c r="J35" i="971"/>
  <c r="K35" i="971" s="1"/>
  <c r="H35" i="971"/>
  <c r="H21" i="971"/>
  <c r="J19" i="971"/>
  <c r="K19" i="971" s="1"/>
  <c r="H19" i="971"/>
  <c r="J25" i="971"/>
  <c r="K25" i="971" s="1"/>
  <c r="H25" i="971"/>
  <c r="J23" i="971"/>
  <c r="K23" i="971" s="1"/>
  <c r="H23" i="971"/>
  <c r="J21" i="971"/>
  <c r="K21" i="971" s="1"/>
  <c r="J15" i="971"/>
  <c r="K15" i="971" s="1"/>
  <c r="H15" i="971"/>
  <c r="J13" i="971"/>
  <c r="K13" i="971" s="1"/>
  <c r="H13" i="971"/>
  <c r="K11" i="971"/>
  <c r="J11" i="971"/>
  <c r="H11" i="971"/>
  <c r="J3" i="971"/>
  <c r="K3" i="971" s="1"/>
  <c r="H3" i="971"/>
  <c r="J31" i="970"/>
  <c r="K31" i="970" s="1"/>
  <c r="H31" i="970"/>
  <c r="J29" i="970"/>
  <c r="K29" i="970" s="1"/>
  <c r="H29" i="970"/>
  <c r="J27" i="970" l="1"/>
  <c r="K27" i="970" s="1"/>
  <c r="H27" i="970"/>
  <c r="J25" i="970"/>
  <c r="K25" i="970" s="1"/>
  <c r="H25" i="970"/>
  <c r="J19" i="970"/>
  <c r="K19" i="970" s="1"/>
  <c r="H19" i="970"/>
  <c r="H11" i="970"/>
  <c r="J5" i="970"/>
  <c r="K5" i="970" s="1"/>
  <c r="H5" i="970"/>
  <c r="J23" i="970"/>
  <c r="K23" i="970" s="1"/>
  <c r="H23" i="970"/>
  <c r="J17" i="970"/>
  <c r="K17" i="970" s="1"/>
  <c r="H17" i="970"/>
  <c r="J15" i="970"/>
  <c r="K15" i="970" s="1"/>
  <c r="H15" i="970"/>
  <c r="J13" i="970"/>
  <c r="K13" i="970" s="1"/>
  <c r="H13" i="970"/>
  <c r="J11" i="970"/>
  <c r="K11" i="970" s="1"/>
  <c r="J7" i="970"/>
  <c r="K7" i="970" s="1"/>
  <c r="H7" i="970"/>
  <c r="J3" i="970"/>
  <c r="K3" i="970" s="1"/>
  <c r="H3" i="970"/>
  <c r="J27" i="969"/>
  <c r="K27" i="969" s="1"/>
  <c r="H27" i="969"/>
  <c r="K25" i="969"/>
  <c r="J25" i="969"/>
  <c r="H25" i="969"/>
  <c r="H13" i="969"/>
  <c r="H11" i="969"/>
  <c r="J11" i="969"/>
  <c r="J47" i="969"/>
  <c r="K47" i="969" s="1"/>
  <c r="H47" i="969"/>
  <c r="J23" i="969"/>
  <c r="K23" i="969" s="1"/>
  <c r="H23" i="969"/>
  <c r="J19" i="969"/>
  <c r="K19" i="969" s="1"/>
  <c r="H19" i="969"/>
  <c r="K11" i="969"/>
  <c r="J45" i="969"/>
  <c r="K45" i="969" s="1"/>
  <c r="H45" i="969"/>
  <c r="J43" i="969"/>
  <c r="K43" i="969" s="1"/>
  <c r="H43" i="969"/>
  <c r="J41" i="969"/>
  <c r="K41" i="969" s="1"/>
  <c r="H41" i="969"/>
  <c r="J39" i="969"/>
  <c r="K39" i="969" s="1"/>
  <c r="H39" i="969"/>
  <c r="J35" i="969"/>
  <c r="K35" i="969" s="1"/>
  <c r="H35" i="969"/>
  <c r="J33" i="969"/>
  <c r="K33" i="969" s="1"/>
  <c r="H33" i="969"/>
  <c r="J31" i="969"/>
  <c r="K31" i="969" s="1"/>
  <c r="H31" i="969"/>
  <c r="J29" i="969"/>
  <c r="K29" i="969" s="1"/>
  <c r="H29" i="969"/>
  <c r="J17" i="969"/>
  <c r="K17" i="969" s="1"/>
  <c r="H17" i="969"/>
  <c r="J15" i="969"/>
  <c r="K15" i="969" s="1"/>
  <c r="H15" i="969"/>
  <c r="J13" i="969"/>
  <c r="K13" i="969" s="1"/>
  <c r="J9" i="969"/>
  <c r="K9" i="969" s="1"/>
  <c r="H9" i="969"/>
  <c r="J7" i="969"/>
  <c r="K7" i="969" s="1"/>
  <c r="H7" i="969"/>
  <c r="J5" i="969"/>
  <c r="K5" i="969" s="1"/>
  <c r="H5" i="969"/>
  <c r="J3" i="969"/>
  <c r="K3" i="969" s="1"/>
  <c r="H3" i="969"/>
  <c r="J25" i="968"/>
  <c r="K25" i="968" s="1"/>
  <c r="H25" i="968"/>
  <c r="J23" i="968"/>
  <c r="K23" i="968" s="1"/>
  <c r="H23" i="968"/>
  <c r="J19" i="968"/>
  <c r="K19" i="968" s="1"/>
  <c r="H19" i="968"/>
  <c r="J17" i="968"/>
  <c r="K17" i="968" s="1"/>
  <c r="H17" i="968"/>
  <c r="J15" i="968"/>
  <c r="K15" i="968" s="1"/>
  <c r="H15" i="968"/>
  <c r="J13" i="968"/>
  <c r="K13" i="968" s="1"/>
  <c r="H13" i="968"/>
  <c r="J11" i="968"/>
  <c r="K11" i="968" s="1"/>
  <c r="H11" i="968"/>
  <c r="J9" i="968"/>
  <c r="K9" i="968" s="1"/>
  <c r="H9" i="968"/>
  <c r="J7" i="968"/>
  <c r="K7" i="968" s="1"/>
  <c r="H7" i="968"/>
  <c r="J5" i="968"/>
  <c r="K5" i="968" s="1"/>
  <c r="H5" i="968"/>
  <c r="J3" i="968"/>
  <c r="K3" i="968" s="1"/>
  <c r="H3" i="968"/>
  <c r="J23" i="967"/>
  <c r="K23" i="967" s="1"/>
  <c r="J25" i="967"/>
  <c r="K25" i="967" s="1"/>
  <c r="H25" i="967"/>
  <c r="H23" i="967"/>
  <c r="J19" i="967"/>
  <c r="K19" i="967" s="1"/>
  <c r="H19" i="967"/>
  <c r="K11" i="967"/>
  <c r="J11" i="967"/>
  <c r="H11" i="967"/>
  <c r="J5" i="967"/>
  <c r="K5" i="967" s="1"/>
  <c r="H5" i="967"/>
  <c r="J17" i="967"/>
  <c r="K17" i="967" s="1"/>
  <c r="H17" i="967"/>
  <c r="J15" i="967"/>
  <c r="K15" i="967" s="1"/>
  <c r="H15" i="967"/>
  <c r="J13" i="967"/>
  <c r="K13" i="967" s="1"/>
  <c r="H13" i="967"/>
  <c r="J9" i="967"/>
  <c r="K9" i="967" s="1"/>
  <c r="H9" i="967"/>
  <c r="J7" i="967"/>
  <c r="K7" i="967" s="1"/>
  <c r="H7" i="967"/>
  <c r="J3" i="967"/>
  <c r="K3" i="967" s="1"/>
  <c r="H3" i="967"/>
  <c r="H37" i="966"/>
  <c r="J35" i="966"/>
  <c r="K35" i="966" s="1"/>
  <c r="H35" i="966"/>
  <c r="H21" i="966"/>
  <c r="J13" i="966"/>
  <c r="K13" i="966" s="1"/>
  <c r="H13" i="966"/>
  <c r="J25" i="966"/>
  <c r="K25" i="966" s="1"/>
  <c r="H25" i="966"/>
  <c r="J23" i="966"/>
  <c r="K23" i="966" s="1"/>
  <c r="H23" i="966"/>
  <c r="J19" i="966"/>
  <c r="K19" i="966" s="1"/>
  <c r="H19" i="966"/>
  <c r="J15" i="966"/>
  <c r="K15" i="966" s="1"/>
  <c r="H15" i="966"/>
  <c r="J11" i="966"/>
  <c r="K11" i="966" s="1"/>
  <c r="H11" i="966"/>
  <c r="J3" i="966"/>
  <c r="K3" i="966" s="1"/>
  <c r="H3" i="966"/>
  <c r="J21" i="965"/>
  <c r="K21" i="965" s="1"/>
  <c r="H21" i="965"/>
  <c r="J37" i="965"/>
  <c r="K37" i="965" s="1"/>
  <c r="H37" i="965"/>
  <c r="J35" i="965"/>
  <c r="K35" i="965" s="1"/>
  <c r="H35" i="965"/>
  <c r="J25" i="965"/>
  <c r="K25" i="965" s="1"/>
  <c r="H25" i="965"/>
  <c r="J23" i="965"/>
  <c r="K23" i="965" s="1"/>
  <c r="H23" i="965"/>
  <c r="J15" i="965"/>
  <c r="K15" i="965" s="1"/>
  <c r="H15" i="965"/>
  <c r="J13" i="965"/>
  <c r="K13" i="965" s="1"/>
  <c r="H13" i="965"/>
  <c r="J11" i="965"/>
  <c r="K11" i="965" s="1"/>
  <c r="H11" i="965"/>
  <c r="J3" i="965"/>
  <c r="K3" i="965" s="1"/>
  <c r="H3" i="965"/>
  <c r="K25" i="964"/>
  <c r="J25" i="964"/>
  <c r="H25" i="964"/>
  <c r="J23" i="964"/>
  <c r="K23" i="964" s="1"/>
  <c r="H23" i="964"/>
  <c r="J19" i="964"/>
  <c r="K19" i="964" s="1"/>
  <c r="H19" i="964"/>
  <c r="J17" i="964"/>
  <c r="K17" i="964" s="1"/>
  <c r="H17" i="964"/>
  <c r="J15" i="964"/>
  <c r="K15" i="964" s="1"/>
  <c r="H15" i="964"/>
  <c r="J13" i="964"/>
  <c r="K13" i="964" s="1"/>
  <c r="H13" i="964"/>
  <c r="J11" i="964"/>
  <c r="K11" i="964" s="1"/>
  <c r="H11" i="964"/>
  <c r="K9" i="964"/>
  <c r="J9" i="964"/>
  <c r="H9" i="964"/>
  <c r="J7" i="964"/>
  <c r="K7" i="964" s="1"/>
  <c r="H7" i="964"/>
  <c r="J5" i="964"/>
  <c r="K5" i="964" s="1"/>
  <c r="H5" i="964"/>
  <c r="J3" i="964"/>
  <c r="K3" i="964" s="1"/>
  <c r="H3" i="964"/>
  <c r="J23" i="963"/>
  <c r="K23" i="963" s="1"/>
  <c r="H23" i="963"/>
  <c r="J19" i="963"/>
  <c r="K19" i="963" s="1"/>
  <c r="H19" i="963"/>
  <c r="J17" i="963"/>
  <c r="K17" i="963" s="1"/>
  <c r="H17" i="963"/>
  <c r="J11" i="963"/>
  <c r="K11" i="963" s="1"/>
  <c r="H11" i="963"/>
  <c r="J5" i="963"/>
  <c r="K5" i="963" s="1"/>
  <c r="H5" i="963"/>
  <c r="J49" i="963"/>
  <c r="K49" i="963" s="1"/>
  <c r="H49" i="963"/>
  <c r="J47" i="963"/>
  <c r="K47" i="963" s="1"/>
  <c r="H47" i="963"/>
  <c r="J45" i="963"/>
  <c r="K45" i="963" s="1"/>
  <c r="H45" i="963"/>
  <c r="J43" i="963"/>
  <c r="K43" i="963" s="1"/>
  <c r="H43" i="963"/>
  <c r="J41" i="963"/>
  <c r="K41" i="963" s="1"/>
  <c r="H41" i="963"/>
  <c r="J39" i="963"/>
  <c r="K39" i="963" s="1"/>
  <c r="H39" i="963"/>
  <c r="J35" i="963"/>
  <c r="K35" i="963" s="1"/>
  <c r="H35" i="963"/>
  <c r="J33" i="963"/>
  <c r="K33" i="963" s="1"/>
  <c r="H33" i="963"/>
  <c r="J31" i="963"/>
  <c r="K31" i="963" s="1"/>
  <c r="H31" i="963"/>
  <c r="J29" i="963"/>
  <c r="K29" i="963" s="1"/>
  <c r="H29" i="963"/>
  <c r="J25" i="963"/>
  <c r="K25" i="963" s="1"/>
  <c r="H25" i="963"/>
  <c r="J15" i="963"/>
  <c r="K15" i="963" s="1"/>
  <c r="H15" i="963"/>
  <c r="J13" i="963"/>
  <c r="K13" i="963" s="1"/>
  <c r="H13" i="963"/>
  <c r="J9" i="963"/>
  <c r="K9" i="963" s="1"/>
  <c r="H9" i="963"/>
  <c r="J7" i="963"/>
  <c r="K7" i="963" s="1"/>
  <c r="H7" i="963"/>
  <c r="J3" i="963"/>
  <c r="K3" i="963" s="1"/>
  <c r="H3" i="963"/>
  <c r="J19" i="962"/>
  <c r="K19" i="962" s="1"/>
  <c r="H19" i="962"/>
  <c r="K5" i="962"/>
  <c r="J5" i="962"/>
  <c r="H5" i="962"/>
  <c r="J25" i="962" l="1"/>
  <c r="K25" i="962" s="1"/>
  <c r="H25" i="962"/>
  <c r="J23" i="962"/>
  <c r="K23" i="962" s="1"/>
  <c r="H23" i="962"/>
  <c r="K11" i="962"/>
  <c r="J9" i="962"/>
  <c r="K9" i="962" s="1"/>
  <c r="H9" i="962"/>
  <c r="J17" i="962" l="1"/>
  <c r="K17" i="962" s="1"/>
  <c r="H17" i="962"/>
  <c r="J15" i="962"/>
  <c r="K15" i="962" s="1"/>
  <c r="H15" i="962"/>
  <c r="J13" i="962"/>
  <c r="K13" i="962" s="1"/>
  <c r="H13" i="962"/>
  <c r="J11" i="962"/>
  <c r="H11" i="962"/>
  <c r="J7" i="962"/>
  <c r="K7" i="962" s="1"/>
  <c r="H7" i="962"/>
  <c r="J3" i="962"/>
  <c r="K3" i="962" s="1"/>
  <c r="H3" i="962"/>
  <c r="J21" i="961"/>
  <c r="K21" i="961" s="1"/>
  <c r="H21" i="961"/>
  <c r="J43" i="961"/>
  <c r="K43" i="961" s="1"/>
  <c r="H43" i="961"/>
  <c r="J41" i="961"/>
  <c r="K41" i="961" s="1"/>
  <c r="H41" i="961"/>
  <c r="J39" i="961"/>
  <c r="K39" i="961" s="1"/>
  <c r="H39" i="961"/>
  <c r="J37" i="961"/>
  <c r="K37" i="961" s="1"/>
  <c r="H37" i="961"/>
  <c r="J35" i="961"/>
  <c r="K35" i="961" s="1"/>
  <c r="H35" i="961"/>
  <c r="J25" i="961"/>
  <c r="K25" i="961" s="1"/>
  <c r="H25" i="961"/>
  <c r="J23" i="961"/>
  <c r="K23" i="961" s="1"/>
  <c r="H23" i="961"/>
  <c r="J15" i="961"/>
  <c r="K15" i="961" s="1"/>
  <c r="H15" i="961"/>
  <c r="J13" i="961"/>
  <c r="K13" i="961" s="1"/>
  <c r="H13" i="961"/>
  <c r="J11" i="961"/>
  <c r="K11" i="961" s="1"/>
  <c r="H11" i="961"/>
  <c r="J3" i="961"/>
  <c r="K3" i="961" s="1"/>
  <c r="H3" i="961"/>
  <c r="K35" i="960"/>
  <c r="J53" i="960"/>
  <c r="K53" i="960" s="1"/>
  <c r="H53" i="960"/>
  <c r="J51" i="960"/>
  <c r="K51" i="960" s="1"/>
  <c r="H51" i="960"/>
  <c r="J49" i="960"/>
  <c r="K49" i="960" s="1"/>
  <c r="H49" i="960"/>
  <c r="J47" i="960"/>
  <c r="K47" i="960" s="1"/>
  <c r="H47" i="960"/>
  <c r="J41" i="960"/>
  <c r="K41" i="960" s="1"/>
  <c r="H41" i="960"/>
  <c r="J25" i="960"/>
  <c r="K25" i="960" s="1"/>
  <c r="H25" i="960"/>
  <c r="J45" i="960"/>
  <c r="K45" i="960" s="1"/>
  <c r="H45" i="960"/>
  <c r="J43" i="960"/>
  <c r="K43" i="960" s="1"/>
  <c r="H43" i="960"/>
  <c r="J35" i="960"/>
  <c r="H35" i="960"/>
  <c r="J33" i="960"/>
  <c r="K33" i="960" s="1"/>
  <c r="H33" i="960"/>
  <c r="J31" i="960"/>
  <c r="K31" i="960" s="1"/>
  <c r="H31" i="960"/>
  <c r="J29" i="960"/>
  <c r="K29" i="960" s="1"/>
  <c r="H29" i="960"/>
  <c r="J17" i="960"/>
  <c r="K17" i="960" s="1"/>
  <c r="H17" i="960"/>
  <c r="J15" i="960"/>
  <c r="K15" i="960" s="1"/>
  <c r="H15" i="960"/>
  <c r="J13" i="960"/>
  <c r="K13" i="960" s="1"/>
  <c r="H13" i="960"/>
  <c r="J11" i="960"/>
  <c r="K11" i="960" s="1"/>
  <c r="H11" i="960"/>
  <c r="J9" i="960"/>
  <c r="K9" i="960" s="1"/>
  <c r="H9" i="960"/>
  <c r="J7" i="960"/>
  <c r="K7" i="960" s="1"/>
  <c r="H7" i="960"/>
  <c r="J5" i="960"/>
  <c r="K5" i="960" s="1"/>
  <c r="H5" i="960"/>
  <c r="J3" i="960"/>
  <c r="K3" i="960" s="1"/>
  <c r="H3" i="960"/>
  <c r="J25" i="959"/>
  <c r="K25" i="959" s="1"/>
  <c r="H25" i="959"/>
  <c r="J27" i="959"/>
  <c r="K27" i="959" s="1"/>
  <c r="H27" i="959"/>
  <c r="J19" i="959"/>
  <c r="K19" i="959" s="1"/>
  <c r="H19" i="959"/>
  <c r="J9" i="959"/>
  <c r="K9" i="959" s="1"/>
  <c r="H9" i="959"/>
  <c r="J5" i="959"/>
  <c r="K5" i="959" s="1"/>
  <c r="H5" i="959"/>
  <c r="K13" i="959"/>
  <c r="K11" i="959"/>
  <c r="J17" i="959"/>
  <c r="K17" i="959" s="1"/>
  <c r="H17" i="959"/>
  <c r="J15" i="959"/>
  <c r="K15" i="959" s="1"/>
  <c r="H15" i="959"/>
  <c r="J13" i="959"/>
  <c r="H13" i="959"/>
  <c r="J11" i="959"/>
  <c r="H11" i="959"/>
  <c r="J7" i="959"/>
  <c r="K7" i="959" s="1"/>
  <c r="H7" i="959"/>
  <c r="J3" i="959"/>
  <c r="K3" i="959" s="1"/>
  <c r="H3" i="959"/>
  <c r="K17" i="958"/>
  <c r="J17" i="958"/>
  <c r="H17" i="958"/>
  <c r="H11" i="958"/>
  <c r="J11" i="958"/>
  <c r="K11" i="958"/>
  <c r="J13" i="958"/>
  <c r="H13" i="958"/>
  <c r="K13" i="958"/>
  <c r="K15" i="958"/>
  <c r="J15" i="958"/>
  <c r="H15" i="958"/>
  <c r="K9" i="958"/>
  <c r="J9" i="958"/>
  <c r="H9" i="958"/>
  <c r="J7" i="958"/>
  <c r="K7" i="958" s="1"/>
  <c r="H7" i="958"/>
  <c r="J5" i="958"/>
  <c r="K5" i="958" s="1"/>
  <c r="H5" i="958"/>
  <c r="K3" i="958"/>
  <c r="J3" i="958"/>
  <c r="H3" i="958"/>
  <c r="H19" i="957"/>
  <c r="J19" i="957"/>
  <c r="K19" i="957" s="1"/>
  <c r="J43" i="957"/>
  <c r="K43" i="957" s="1"/>
  <c r="H43" i="957"/>
  <c r="H41" i="957"/>
  <c r="J41" i="957"/>
  <c r="K41" i="957" s="1"/>
  <c r="J39" i="957"/>
  <c r="K39" i="957" s="1"/>
  <c r="H39" i="957"/>
  <c r="J21" i="957"/>
  <c r="K21" i="957" s="1"/>
  <c r="H21" i="957"/>
  <c r="J13" i="957" l="1"/>
  <c r="K13" i="957" s="1"/>
  <c r="H13" i="957"/>
  <c r="J11" i="957"/>
  <c r="K11" i="957" s="1"/>
  <c r="H11" i="957"/>
  <c r="J37" i="957"/>
  <c r="K37" i="957" s="1"/>
  <c r="H37" i="957"/>
  <c r="J35" i="957"/>
  <c r="K35" i="957" s="1"/>
  <c r="H35" i="957"/>
  <c r="J25" i="957"/>
  <c r="K25" i="957" s="1"/>
  <c r="H25" i="957"/>
  <c r="J23" i="957"/>
  <c r="K23" i="957" s="1"/>
  <c r="H23" i="957"/>
  <c r="J15" i="957"/>
  <c r="K15" i="957" s="1"/>
  <c r="H15" i="957"/>
  <c r="J3" i="957"/>
  <c r="K3" i="957" s="1"/>
  <c r="H3" i="957"/>
  <c r="H37" i="956"/>
  <c r="H33" i="956"/>
  <c r="H35" i="956"/>
  <c r="H29" i="956"/>
  <c r="H27" i="956"/>
  <c r="J31" i="956"/>
  <c r="K31" i="956" s="1"/>
  <c r="H31" i="956"/>
  <c r="J33" i="956"/>
  <c r="K33" i="956" s="1"/>
  <c r="J9" i="956"/>
  <c r="K9" i="956" s="1"/>
  <c r="H9" i="956"/>
  <c r="J35" i="956"/>
  <c r="K35" i="956" s="1"/>
  <c r="J37" i="956"/>
  <c r="K37" i="956" s="1"/>
  <c r="J29" i="956" l="1"/>
  <c r="K29" i="956" s="1"/>
  <c r="J27" i="956" l="1"/>
  <c r="K27" i="956" s="1"/>
  <c r="J21" i="956"/>
  <c r="K21" i="956" s="1"/>
  <c r="H21" i="956"/>
  <c r="J23" i="956" l="1"/>
  <c r="K23" i="956" s="1"/>
  <c r="H23" i="956"/>
  <c r="J19" i="956"/>
  <c r="K19" i="956" s="1"/>
  <c r="H19" i="956"/>
  <c r="J17" i="956"/>
  <c r="K17" i="956" s="1"/>
  <c r="H17" i="956"/>
  <c r="J15" i="956"/>
  <c r="K15" i="956" s="1"/>
  <c r="H15" i="956"/>
  <c r="J13" i="956"/>
  <c r="K13" i="956" s="1"/>
  <c r="H13" i="956"/>
  <c r="J11" i="956"/>
  <c r="K11" i="956" s="1"/>
  <c r="H11" i="956"/>
  <c r="J7" i="956"/>
  <c r="K7" i="956" s="1"/>
  <c r="H7" i="956"/>
  <c r="J5" i="956"/>
  <c r="K5" i="956" s="1"/>
  <c r="H5" i="956"/>
  <c r="J3" i="956"/>
  <c r="K3" i="956" s="1"/>
  <c r="H3" i="956"/>
  <c r="J25" i="955"/>
  <c r="K25" i="955" s="1"/>
  <c r="H25" i="955"/>
  <c r="J23" i="955"/>
  <c r="K23" i="955" s="1"/>
  <c r="H23" i="955"/>
  <c r="J21" i="955"/>
  <c r="K21" i="955" s="1"/>
  <c r="H21" i="955"/>
  <c r="J19" i="955"/>
  <c r="K19" i="955" s="1"/>
  <c r="H19" i="955"/>
  <c r="J17" i="955"/>
  <c r="K17" i="955" s="1"/>
  <c r="H17" i="955"/>
  <c r="J15" i="955"/>
  <c r="K15" i="955" s="1"/>
  <c r="H15" i="955"/>
  <c r="J13" i="955"/>
  <c r="K13" i="955" s="1"/>
  <c r="H13" i="955"/>
  <c r="J11" i="955"/>
  <c r="K11" i="955" s="1"/>
  <c r="H11" i="955"/>
  <c r="J9" i="955"/>
  <c r="K9" i="955" s="1"/>
  <c r="H9" i="955"/>
  <c r="J7" i="955"/>
  <c r="K7" i="955" s="1"/>
  <c r="H7" i="955"/>
  <c r="J5" i="955"/>
  <c r="K5" i="955" s="1"/>
  <c r="H5" i="955"/>
  <c r="J3" i="955"/>
  <c r="K3" i="955" s="1"/>
  <c r="H3" i="955"/>
  <c r="O17" i="954"/>
  <c r="O16" i="954"/>
  <c r="J25" i="954" l="1"/>
  <c r="K25" i="954" s="1"/>
  <c r="H25" i="954"/>
  <c r="J23" i="954"/>
  <c r="K23" i="954" s="1"/>
  <c r="H23" i="954"/>
  <c r="J21" i="954" l="1"/>
  <c r="K21" i="954" s="1"/>
  <c r="H21" i="954"/>
  <c r="J19" i="954"/>
  <c r="K19" i="954" s="1"/>
  <c r="H19" i="954"/>
  <c r="K17" i="954"/>
  <c r="J17" i="954"/>
  <c r="H17" i="954"/>
  <c r="J15" i="954"/>
  <c r="K15" i="954" s="1"/>
  <c r="H15" i="954"/>
  <c r="H7" i="954" l="1"/>
  <c r="J5" i="954" l="1"/>
  <c r="K5" i="954" s="1"/>
  <c r="H5" i="954"/>
  <c r="J3" i="954"/>
  <c r="K3" i="954" s="1"/>
  <c r="H3" i="954"/>
  <c r="J7" i="954"/>
  <c r="K7" i="954" s="1"/>
</calcChain>
</file>

<file path=xl/sharedStrings.xml><?xml version="1.0" encoding="utf-8"?>
<sst xmlns="http://schemas.openxmlformats.org/spreadsheetml/2006/main" count="1794" uniqueCount="307">
  <si>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</si>
  <si>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</si>
  <si>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</si>
  <si>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</si>
  <si>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</si>
  <si>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</si>
  <si>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</si>
  <si>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</si>
  <si>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</si>
  <si>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</si>
  <si>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</si>
  <si>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</si>
  <si>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</si>
  <si>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</si>
  <si>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</si>
  <si>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</si>
  <si>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</si>
  <si>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</si>
  <si>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</si>
  <si>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</si>
  <si>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</si>
  <si>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</si>
  <si>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</si>
  <si>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</si>
  <si>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</si>
  <si>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</si>
  <si>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</si>
  <si>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</si>
  <si>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</si>
  <si>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</si>
  <si>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</si>
  <si>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</si>
  <si>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</si>
  <si>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</si>
  <si>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</si>
  <si>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</si>
  <si>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</si>
  <si>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</si>
  <si>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</si>
  <si>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</si>
  <si>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</si>
  <si>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</si>
  <si>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</si>
  <si>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</si>
  <si>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</si>
  <si>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</si>
  <si>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</si>
  <si>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</si>
  <si>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 </t>
    <phoneticPr fontId="1" type="noConversion"/>
  </si>
  <si>
    <t xml:space="preserve">INCLUDE WAIST BAND TO EDGE </t>
    <phoneticPr fontId="1" type="noConversion"/>
  </si>
  <si>
    <t xml:space="preserve">CUFFS OPENING 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</si>
  <si>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</si>
  <si>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</si>
  <si>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</si>
  <si>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</si>
  <si>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</si>
  <si>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</si>
  <si>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</si>
  <si>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</si>
  <si>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>POINT B</t>
    <phoneticPr fontId="1" type="noConversion"/>
  </si>
  <si>
    <t>위치 B</t>
    <phoneticPr fontId="1" type="noConversion"/>
  </si>
  <si>
    <t>.</t>
    <phoneticPr fontId="2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</si>
  <si>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</si>
  <si>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</si>
  <si>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</si>
  <si>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</si>
  <si>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FRONT WAIST</t>
    <phoneticPr fontId="1" type="noConversion"/>
  </si>
  <si>
    <t>앞허리완성</t>
    <phoneticPr fontId="1" type="noConversion"/>
  </si>
  <si>
    <t>BACK WAIST E-BAND</t>
    <phoneticPr fontId="1" type="noConversion"/>
  </si>
  <si>
    <t>뒤 허리 고무줄 완성</t>
    <phoneticPr fontId="1" type="noConversion"/>
  </si>
  <si>
    <t>ADIJUSTABLE BAND</t>
    <phoneticPr fontId="1" type="noConversion"/>
  </si>
  <si>
    <t>나나밴드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</si>
  <si>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</si>
  <si>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</si>
  <si>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</si>
  <si>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</si>
  <si>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</si>
  <si>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</si>
  <si>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</si>
  <si>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</si>
  <si>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</si>
  <si>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</si>
  <si>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</si>
  <si>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</si>
  <si>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</si>
  <si>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</t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</si>
  <si>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</si>
  <si>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</si>
  <si>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</si>
  <si>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</si>
  <si>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</si>
  <si>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</si>
  <si>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</si>
  <si>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</si>
  <si>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1" type="noConversion"/>
  </si>
  <si>
    <t>BACK RISE</t>
  </si>
  <si>
    <t>뒤밑위</t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</si>
  <si>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</si>
  <si>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</si>
  <si>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</si>
  <si>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1" type="noConversion"/>
  </si>
  <si>
    <t>INSEAM</t>
  </si>
  <si>
    <t xml:space="preserve">CROCH TO EDGE </t>
  </si>
  <si>
    <t>인심길이</t>
  </si>
  <si>
    <t>바지 안 쪽에서 봉제선을 따라 바지밑단 끝까지의 길이</t>
    <phoneticPr fontId="1" type="noConversion"/>
  </si>
  <si>
    <t>KNEE</t>
    <phoneticPr fontId="1" type="noConversion"/>
  </si>
  <si>
    <t>무릎둘레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</si>
  <si>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</si>
  <si>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</si>
  <si>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</si>
  <si>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</si>
  <si>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</si>
  <si>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</si>
  <si>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</si>
  <si>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</si>
  <si>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</si>
  <si>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</si>
  <si>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</si>
  <si>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</si>
  <si>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t>앞요크기장</t>
    <phoneticPr fontId="10" type="noConversion"/>
  </si>
  <si>
    <t>BOTTOM FRILL LENGTH</t>
    <phoneticPr fontId="10" type="noConversion"/>
  </si>
  <si>
    <t>밑단프릴기장</t>
    <phoneticPr fontId="10" type="noConversion"/>
  </si>
  <si>
    <t xml:space="preserve"> </t>
    <phoneticPr fontId="10" type="noConversion"/>
  </si>
  <si>
    <t xml:space="preserve">BACK POCKET WIDE </t>
    <phoneticPr fontId="1" type="noConversion"/>
  </si>
  <si>
    <t xml:space="preserve">BACK POCKET VERTICAL </t>
    <phoneticPr fontId="1" type="noConversion"/>
  </si>
  <si>
    <t>뒤주머니가로</t>
    <phoneticPr fontId="10" type="noConversion"/>
  </si>
  <si>
    <t>뒤주머니세로</t>
    <phoneticPr fontId="10" type="noConversion"/>
  </si>
  <si>
    <t>1ST SKIRT LENGTH</t>
    <phoneticPr fontId="10" type="noConversion"/>
  </si>
  <si>
    <t>2ND SKIRT LENGTH</t>
    <phoneticPr fontId="10" type="noConversion"/>
  </si>
  <si>
    <t>밑단고무줄길이</t>
    <phoneticPr fontId="10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</si>
  <si>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</si>
  <si>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소매 고무줄 길이</t>
    <phoneticPr fontId="10" type="noConversion"/>
  </si>
  <si>
    <t>SLEEVE 4G BAND</t>
    <phoneticPr fontId="2" type="noConversion"/>
  </si>
  <si>
    <t>FRONT ZIPPER LENGTH</t>
    <phoneticPr fontId="1" type="noConversion"/>
  </si>
  <si>
    <t>앞지퍼 길이</t>
    <phoneticPr fontId="1" type="noConversion"/>
  </si>
  <si>
    <t xml:space="preserve">YKK </t>
    <phoneticPr fontId="10" type="noConversion"/>
  </si>
  <si>
    <t xml:space="preserve">COLLARS WIDTH </t>
    <phoneticPr fontId="2" type="noConversion"/>
  </si>
  <si>
    <t>카라폭 폭</t>
    <phoneticPr fontId="10" type="noConversion"/>
  </si>
  <si>
    <t xml:space="preserve">뒷목 중심 </t>
    <phoneticPr fontId="10" type="noConversion"/>
  </si>
  <si>
    <t>12M</t>
    <phoneticPr fontId="10" type="noConversion"/>
  </si>
  <si>
    <t>18M</t>
    <phoneticPr fontId="10" type="noConversion"/>
  </si>
  <si>
    <t>24M</t>
    <phoneticPr fontId="10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</si>
  <si>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</si>
  <si>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</si>
  <si>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</si>
  <si>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뒤주머니,리본</t>
    <phoneticPr fontId="10" type="noConversion"/>
  </si>
  <si>
    <t>SKIRT LENGTH</t>
    <phoneticPr fontId="10" type="noConversion"/>
  </si>
  <si>
    <t>치마기장</t>
    <phoneticPr fontId="10" type="noConversion"/>
  </si>
  <si>
    <t>앞옆목에서 수직으로</t>
    <phoneticPr fontId="1" type="noConversion"/>
  </si>
  <si>
    <t>앞중심에서 수평으로</t>
    <phoneticPr fontId="1" type="noConversion"/>
  </si>
  <si>
    <t>3Y</t>
    <phoneticPr fontId="10" type="noConversion"/>
  </si>
  <si>
    <t>총기장(앞중심)</t>
    <phoneticPr fontId="2" type="noConversion"/>
  </si>
  <si>
    <t>어깨끈길이</t>
    <phoneticPr fontId="10" type="noConversion"/>
  </si>
  <si>
    <t>끈에서 끈 직선길이</t>
    <phoneticPr fontId="1" type="noConversion"/>
  </si>
  <si>
    <t>FRONT UPPER CHEST</t>
    <phoneticPr fontId="2" type="noConversion"/>
  </si>
  <si>
    <t>BACK UPPER CHEST</t>
    <phoneticPr fontId="2" type="noConversion"/>
  </si>
  <si>
    <t>15mm-BAND</t>
    <phoneticPr fontId="1" type="noConversion"/>
  </si>
  <si>
    <t>소매4골 고무줄</t>
    <phoneticPr fontId="10" type="noConversion"/>
  </si>
  <si>
    <t>BACK ZIPPER LENGTH</t>
    <phoneticPr fontId="10" type="noConversion"/>
  </si>
  <si>
    <t>뒤지퍼길이</t>
    <phoneticPr fontId="10" type="noConversion"/>
  </si>
  <si>
    <t xml:space="preserve">옆목점에서 앞목중심의 수직 길이 </t>
    <phoneticPr fontId="1" type="noConversion"/>
  </si>
  <si>
    <t>3Y</t>
    <phoneticPr fontId="1" type="noConversion"/>
  </si>
  <si>
    <t>WAIST</t>
    <phoneticPr fontId="1" type="noConversion"/>
  </si>
  <si>
    <t>몸판허리둘레</t>
    <phoneticPr fontId="1" type="noConversion"/>
  </si>
  <si>
    <t>와끼선을 기준으로 오비끝에서 밑단 끝까지의 길이</t>
    <phoneticPr fontId="1" type="noConversion"/>
  </si>
  <si>
    <t xml:space="preserve">BASED ON ZIPPER FLY OUT LINE ,STRIGHT </t>
  </si>
  <si>
    <t>STYLE NO: MYUSK01-W#R07</t>
    <phoneticPr fontId="1" type="noConversion"/>
  </si>
  <si>
    <t xml:space="preserve">SKIRT LENGTH </t>
    <phoneticPr fontId="1" type="noConversion"/>
  </si>
  <si>
    <t>치마 기장</t>
    <phoneticPr fontId="1" type="noConversion"/>
  </si>
  <si>
    <t>바지부리 4골밴드</t>
    <phoneticPr fontId="10" type="noConversion"/>
  </si>
  <si>
    <t>BOTTOM 4G-BAND</t>
    <phoneticPr fontId="10" type="noConversion"/>
  </si>
  <si>
    <t>오비제외, 와끼기준</t>
    <phoneticPr fontId="1" type="noConversion"/>
  </si>
  <si>
    <r>
      <t>오비끝에서 인심 시작점까지의 길이</t>
    </r>
    <r>
      <rPr>
        <sz val="7.5"/>
        <color rgb="FFFF0000"/>
        <rFont val="맑은 고딕"/>
        <family val="3"/>
        <charset val="129"/>
        <scheme val="minor"/>
      </rPr>
      <t>(오비 포함)</t>
    </r>
    <phoneticPr fontId="1" type="noConversion"/>
  </si>
  <si>
    <t>4G-BAND</t>
    <phoneticPr fontId="10" type="noConversion"/>
  </si>
  <si>
    <t>STYLE NO: MYUOU01-W#R06</t>
    <phoneticPr fontId="1" type="noConversion"/>
  </si>
  <si>
    <t>BOTTOM BAND</t>
    <phoneticPr fontId="2" type="noConversion"/>
  </si>
  <si>
    <t>SLEEVE BAND</t>
    <phoneticPr fontId="2" type="noConversion"/>
  </si>
  <si>
    <t>10mm-BAND</t>
    <phoneticPr fontId="10" type="noConversion"/>
  </si>
  <si>
    <t>STYLE NO: MYUOU02-W#H23</t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</si>
  <si>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</si>
  <si>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</si>
  <si>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</si>
  <si>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</si>
  <si>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</si>
  <si>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</si>
  <si>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</si>
  <si>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</si>
  <si>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SINGLE WELT POCKET</t>
  </si>
  <si>
    <t>구찌길이</t>
  </si>
  <si>
    <t>앞중심에서 수평으로(지퍼포함)</t>
    <phoneticPr fontId="1" type="noConversion"/>
  </si>
  <si>
    <t>HOOD BAND</t>
    <phoneticPr fontId="2" type="noConversion"/>
  </si>
  <si>
    <t>후드 고무줄 길이</t>
    <phoneticPr fontId="10" type="noConversion"/>
  </si>
  <si>
    <t>20mm-BAND 완성사이즈</t>
    <phoneticPr fontId="10" type="noConversion"/>
  </si>
  <si>
    <t>20mm-BAND 완성사이즈</t>
    <phoneticPr fontId="1" type="noConversion"/>
  </si>
  <si>
    <t>STYLE NO: MYUPT01-W#H24</t>
    <phoneticPr fontId="1" type="noConversion"/>
  </si>
  <si>
    <t>바지 인심밑단에서 와끼선까지의 직선의 길이 (둘레)</t>
    <phoneticPr fontId="10" type="noConversion"/>
  </si>
  <si>
    <t>뒤주머니</t>
    <phoneticPr fontId="10" type="noConversion"/>
  </si>
  <si>
    <t>STYLE NO: MYUOP01-W#H40</t>
    <phoneticPr fontId="1" type="noConversion"/>
  </si>
  <si>
    <t>총기장(바데끝)</t>
    <phoneticPr fontId="2" type="noConversion"/>
  </si>
  <si>
    <r>
      <t>바데끝</t>
    </r>
    <r>
      <rPr>
        <sz val="7.5"/>
        <color rgb="FFFF0000"/>
        <rFont val="맑은 고딕"/>
        <family val="3"/>
        <charset val="129"/>
        <scheme val="minor"/>
      </rPr>
      <t>(프릴제외)</t>
    </r>
    <phoneticPr fontId="10" type="noConversion"/>
  </si>
  <si>
    <t>SHOULDER STRAP LENGTH</t>
    <phoneticPr fontId="2" type="noConversion"/>
  </si>
  <si>
    <t>CHEST 8G BAND</t>
    <phoneticPr fontId="2" type="noConversion"/>
  </si>
  <si>
    <t>가슴8골고무줄</t>
    <phoneticPr fontId="1" type="noConversion"/>
  </si>
  <si>
    <t>YOKE LENGTH</t>
    <phoneticPr fontId="10" type="noConversion"/>
  </si>
  <si>
    <t>요크 기장</t>
    <phoneticPr fontId="10" type="noConversion"/>
  </si>
  <si>
    <t>프릴제외</t>
    <phoneticPr fontId="10" type="noConversion"/>
  </si>
  <si>
    <t>1단치마기장</t>
    <phoneticPr fontId="10" type="noConversion"/>
  </si>
  <si>
    <t>2단치마기장</t>
    <phoneticPr fontId="10" type="noConversion"/>
  </si>
  <si>
    <t>3단치마기장</t>
    <phoneticPr fontId="10" type="noConversion"/>
  </si>
  <si>
    <t>3RD SKIRT LENGTH</t>
    <phoneticPr fontId="10" type="noConversion"/>
  </si>
  <si>
    <t>SHOULDER FRILL LENGTH</t>
    <phoneticPr fontId="10" type="noConversion"/>
  </si>
  <si>
    <t>어깨프릴기장</t>
    <phoneticPr fontId="10" type="noConversion"/>
  </si>
  <si>
    <t>STYLE NO: MYUTO04-K#R41</t>
    <phoneticPr fontId="1" type="noConversion"/>
  </si>
  <si>
    <t>SLEEVE FRILL LENGTH</t>
    <phoneticPr fontId="2" type="noConversion"/>
  </si>
  <si>
    <t>소매프릴기장</t>
    <phoneticPr fontId="10" type="noConversion"/>
  </si>
  <si>
    <t>BACK SLIT LENGTH</t>
    <phoneticPr fontId="1" type="noConversion"/>
  </si>
  <si>
    <t>뒤트임길이</t>
    <phoneticPr fontId="1" type="noConversion"/>
  </si>
  <si>
    <t>STYLE NO: MYUSE01-K#A12</t>
    <phoneticPr fontId="1" type="noConversion"/>
  </si>
  <si>
    <t>STYLE NO: MYUPT02-K#A16</t>
    <phoneticPr fontId="1" type="noConversion"/>
  </si>
  <si>
    <t>STYLE NO: MYUTO01-K#H31</t>
    <phoneticPr fontId="1" type="noConversion"/>
  </si>
  <si>
    <t>STYLE NO: MYUSE02-K#H30</t>
    <phoneticPr fontId="1" type="noConversion"/>
  </si>
  <si>
    <t xml:space="preserve">BACK NECK DROP </t>
    <phoneticPr fontId="2" type="noConversion"/>
  </si>
  <si>
    <t>뒷목깊이</t>
    <phoneticPr fontId="10" type="noConversion"/>
  </si>
  <si>
    <t>MAKE IMAGE LINE TO CENTER NECK BACK</t>
    <phoneticPr fontId="2" type="noConversion"/>
  </si>
  <si>
    <r>
      <t xml:space="preserve">옆목점에서 뒷목중심의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</si>
  <si>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STYLE NO: MYUTO03-K#A17</t>
    <phoneticPr fontId="1" type="noConversion"/>
  </si>
  <si>
    <t>STYLE NO: MYUPT04-D#Y38</t>
    <phoneticPr fontId="1" type="noConversion"/>
  </si>
  <si>
    <t>POINT C</t>
    <phoneticPr fontId="1" type="noConversion"/>
  </si>
  <si>
    <t>위치 C</t>
    <phoneticPr fontId="1" type="noConversion"/>
  </si>
  <si>
    <t>POINT D</t>
    <phoneticPr fontId="1" type="noConversion"/>
  </si>
  <si>
    <t>위치 D</t>
    <phoneticPr fontId="1" type="noConversion"/>
  </si>
  <si>
    <t>STYLE NO: MYUPT05-K#R45</t>
    <phoneticPr fontId="1" type="noConversion"/>
  </si>
  <si>
    <t>겉프릴, 와끼</t>
    <phoneticPr fontId="10" type="noConversion"/>
  </si>
  <si>
    <t>속프릴, 와끼</t>
    <phoneticPr fontId="10" type="noConversion"/>
  </si>
  <si>
    <t>STYLE NO: MYUTO06-K#Y39</t>
    <phoneticPr fontId="1" type="noConversion"/>
  </si>
  <si>
    <t>STYLE NO: MYUTO02-K#H32</t>
    <phoneticPr fontId="1" type="noConversion"/>
  </si>
  <si>
    <t>STYLE NO: MYUSE04-K#Y41</t>
    <phoneticPr fontId="1" type="noConversion"/>
  </si>
  <si>
    <t>BOTTOM CONTRAST LENGTH</t>
    <phoneticPr fontId="10" type="noConversion"/>
  </si>
  <si>
    <t>밑단배색기장</t>
    <phoneticPr fontId="10" type="noConversion"/>
  </si>
  <si>
    <t>보이는 부분</t>
    <phoneticPr fontId="10" type="noConversion"/>
  </si>
  <si>
    <t>STYLE NO: MYUTO05-K#G38</t>
    <phoneticPr fontId="1" type="noConversion"/>
  </si>
  <si>
    <t>중심,보이는분분</t>
    <phoneticPr fontId="10" type="noConversion"/>
  </si>
  <si>
    <t xml:space="preserve">1ST FRILL LENGTH </t>
    <phoneticPr fontId="1" type="noConversion"/>
  </si>
  <si>
    <t>1단 프릴 기장</t>
    <phoneticPr fontId="1" type="noConversion"/>
  </si>
  <si>
    <t>2단 프릴 기장</t>
    <phoneticPr fontId="1" type="noConversion"/>
  </si>
  <si>
    <t xml:space="preserve">2ND FRILL LENGTH </t>
    <phoneticPr fontId="1" type="noConversion"/>
  </si>
  <si>
    <t>STYLE NO: MYUPT03-W#G32</t>
    <phoneticPr fontId="1" type="noConversion"/>
  </si>
  <si>
    <t>바지기장(사이바끝)</t>
    <phoneticPr fontId="10" type="noConversion"/>
  </si>
  <si>
    <t>STYLE NO: MYUOP03-W#G39</t>
    <phoneticPr fontId="1" type="noConversion"/>
  </si>
  <si>
    <t>WAIST SWEEP (1/2)</t>
    <phoneticPr fontId="2" type="noConversion"/>
  </si>
  <si>
    <t>허리둘레(반품)</t>
    <phoneticPr fontId="10" type="noConversion"/>
  </si>
  <si>
    <t>STYLE NO: MYUTO08-K#R44</t>
    <phoneticPr fontId="1" type="noConversion"/>
  </si>
  <si>
    <t xml:space="preserve">앞옆목에서 수직으로 </t>
    <phoneticPr fontId="1" type="noConversion"/>
  </si>
  <si>
    <t>STYLE NO: MYUSE05-W#R48</t>
    <phoneticPr fontId="1" type="noConversion"/>
  </si>
  <si>
    <t>앞/뒤 바대 폭</t>
    <phoneticPr fontId="1" type="noConversion"/>
  </si>
  <si>
    <t>F/B UPPER CHEST</t>
    <phoneticPr fontId="2" type="noConversion"/>
  </si>
  <si>
    <t>SHOULDER STRAP CHEST</t>
    <phoneticPr fontId="2" type="noConversion"/>
  </si>
  <si>
    <t>12mm-BAND 완성사이즈</t>
    <phoneticPr fontId="10" type="noConversion"/>
  </si>
  <si>
    <t>어깨끈 폭</t>
    <phoneticPr fontId="10" type="noConversion"/>
  </si>
  <si>
    <t>중심</t>
    <phoneticPr fontId="10" type="noConversion"/>
  </si>
  <si>
    <r>
      <t>바데끝에서 밑단끝까지 직선길이</t>
    </r>
    <r>
      <rPr>
        <sz val="7.5"/>
        <color rgb="FFFF0000"/>
        <rFont val="맑은 고딕"/>
        <family val="3"/>
        <charset val="129"/>
        <scheme val="minor"/>
      </rPr>
      <t>(레이스노출 4mm포함)</t>
    </r>
    <phoneticPr fontId="10" type="noConversion"/>
  </si>
  <si>
    <r>
      <t>바지 밑단의 둘레길이</t>
    </r>
    <r>
      <rPr>
        <sz val="7.5"/>
        <color rgb="FFFF0000"/>
        <rFont val="맑은 고딕"/>
        <family val="3"/>
        <charset val="129"/>
        <scheme val="minor"/>
      </rPr>
      <t>(프릴제외)</t>
    </r>
    <phoneticPr fontId="2" type="noConversion"/>
  </si>
  <si>
    <t>STYLE NO: MYUTO07-K#Y40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</si>
  <si>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</si>
  <si>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</si>
  <si>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</si>
  <si>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</si>
  <si>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STYLE NO: MYUOP04-W#Y42</t>
    <phoneticPr fontId="1" type="noConversion"/>
  </si>
  <si>
    <t>밑단프릴 기장</t>
    <phoneticPr fontId="10" type="noConversion"/>
  </si>
  <si>
    <t>FRONT SMOKING LENGTH</t>
    <phoneticPr fontId="10" type="noConversion"/>
  </si>
  <si>
    <t>앞스모킹 기장</t>
    <phoneticPr fontId="10" type="noConversion"/>
  </si>
  <si>
    <t>FRONT SMOKING ACTUUAL</t>
    <phoneticPr fontId="10" type="noConversion"/>
  </si>
  <si>
    <t>앞스모킹 완성</t>
    <phoneticPr fontId="10" type="noConversion"/>
  </si>
  <si>
    <t>SLEEVE FRILL LENGTH</t>
    <phoneticPr fontId="10" type="noConversion"/>
  </si>
  <si>
    <t>소매프릴 기장</t>
    <phoneticPr fontId="10" type="noConversion"/>
  </si>
  <si>
    <t>BACK YOKE LENGTH</t>
    <phoneticPr fontId="10" type="noConversion"/>
  </si>
  <si>
    <t>뒤요크 기장</t>
    <phoneticPr fontId="10" type="noConversion"/>
  </si>
  <si>
    <t>뒤중심</t>
    <phoneticPr fontId="10" type="noConversion"/>
  </si>
  <si>
    <t>STYLE NO: MYUSE03-K#G33</t>
    <phoneticPr fontId="1" type="noConversion"/>
  </si>
  <si>
    <t>총기장(뒤중심)</t>
    <phoneticPr fontId="2" type="noConversion"/>
  </si>
  <si>
    <t>랍빠끝에서 밑단까지 수직으로 잰 길이</t>
    <phoneticPr fontId="10" type="noConversion"/>
  </si>
  <si>
    <t>앞 바대 폭</t>
    <phoneticPr fontId="1" type="noConversion"/>
  </si>
  <si>
    <t>뒤 바대 폭</t>
    <phoneticPr fontId="1" type="noConversion"/>
  </si>
  <si>
    <t>소매쪽선을 직선으로 잰 길이</t>
    <phoneticPr fontId="10" type="noConversion"/>
  </si>
  <si>
    <t>넥쪽선을 수직으로 잰 길이</t>
    <phoneticPr fontId="10" type="noConversion"/>
  </si>
  <si>
    <t>STYLE NO: MYUOP02-W#A34</t>
    <phoneticPr fontId="1" type="noConversion"/>
  </si>
  <si>
    <t>허리절개선을 기준으로 밑단레이스까지 직선길이</t>
    <phoneticPr fontId="10" type="noConversion"/>
  </si>
  <si>
    <r>
      <t>뒷목 중심에서 밑단끝까지 직선길이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</si>
  <si>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>요크절개선을 수평으로 잰길이</t>
    <phoneticPr fontId="2" type="noConversion"/>
  </si>
  <si>
    <t>요크둘레</t>
    <phoneticPr fontId="10" type="noConversion"/>
  </si>
  <si>
    <t>F/B YOKE SWEEP</t>
    <phoneticPr fontId="2" type="noConversion"/>
  </si>
  <si>
    <t>치마밑단라인에 따라 잰 길이</t>
    <phoneticPr fontId="1" type="noConversion"/>
  </si>
  <si>
    <t>FRONT YOKE LENGTH</t>
    <phoneticPr fontId="2" type="noConversion"/>
  </si>
  <si>
    <t>앞넥중심에서 요크선까지 직선길이</t>
    <phoneticPr fontId="2" type="noConversion"/>
  </si>
  <si>
    <t>BACK YOKE LENGTH</t>
    <phoneticPr fontId="2" type="noConversion"/>
  </si>
  <si>
    <t>뒤요크기장</t>
    <phoneticPr fontId="10" type="noConversion"/>
  </si>
  <si>
    <t>뒤넥중심에서 요크선까지 직선길이</t>
    <phoneticPr fontId="2" type="noConversion"/>
  </si>
  <si>
    <t>치마밑단둘레</t>
    <phoneticPr fontId="10" type="noConversion"/>
  </si>
  <si>
    <t>SKIRT BOTTOM SWEEP</t>
    <phoneticPr fontId="2" type="noConversion"/>
  </si>
  <si>
    <t>바지기장(레이스제외)</t>
    <phoneticPr fontId="10" type="noConversion"/>
  </si>
  <si>
    <t>STYLE NO: MYUPT06-W#G41</t>
    <phoneticPr fontId="1" type="noConversion"/>
  </si>
  <si>
    <t>BOTTOM 2G BAND</t>
    <phoneticPr fontId="10" type="noConversion"/>
  </si>
  <si>
    <t>밑단 2골밴드</t>
    <phoneticPr fontId="10" type="noConversion"/>
  </si>
  <si>
    <t>TOTAL WAIST 8G BAND</t>
    <phoneticPr fontId="1" type="noConversion"/>
  </si>
  <si>
    <t>허리8골밴드완성사이즈</t>
    <phoneticPr fontId="1" type="noConversion"/>
  </si>
  <si>
    <t>STYLE NO: MYUPT07-K#A38</t>
    <phoneticPr fontId="1" type="noConversion"/>
  </si>
  <si>
    <t>허리6골밴드완성사이즈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</si>
</sst>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7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/>
    <xf numFmtId="0" fontId="6" fillId="0" borderId="57" xfId="0" applyFont="1" applyBorder="1">
      <alignment vertical="center"/>
    </xf>
    <xf numFmtId="0" fontId="6" fillId="0" borderId="58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37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3" borderId="28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2" borderId="38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8" fillId="0" borderId="63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6" fillId="3" borderId="49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4" fillId="0" borderId="42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6" fillId="0" borderId="0" xfId="0" applyFont="1" applyBorder="1">
      <alignment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358B-0049-4963-AA82-EC3F789ABC78}">
  <sheetPr>
    <tabColor rgb="FF7030A0"/>
    <pageSetUpPr fitToPage="1"/>
  </sheetPr>
  <dimension ref="A1:N51"/>
  <sheetViews>
    <sheetView tabSelected="1" zoomScale="110" zoomScaleNormal="110" workbookViewId="0">
      <selection activeCell="R11" sqref="R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197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/>
      <c r="E3" s="21"/>
      <c r="F3" s="21"/>
      <c r="G3" s="22"/>
      <c r="H3" s="23">
        <f>SUM(I3)-3</f>
        <v>33</v>
      </c>
      <c r="I3" s="25">
        <v>36</v>
      </c>
      <c r="J3" s="27">
        <f>SUM(I3)+3</f>
        <v>39</v>
      </c>
      <c r="K3" s="27">
        <f>SUM(J3)+3</f>
        <v>42</v>
      </c>
      <c r="L3" s="27"/>
      <c r="M3" s="29"/>
    </row>
    <row r="4" spans="1:14" s="2" customFormat="1" ht="14.1" customHeight="1" x14ac:dyDescent="0.3">
      <c r="A4" s="19"/>
      <c r="B4" s="31" t="s">
        <v>198</v>
      </c>
      <c r="C4" s="31"/>
      <c r="D4" s="32" t="s">
        <v>199</v>
      </c>
      <c r="E4" s="33"/>
      <c r="F4" s="33"/>
      <c r="G4" s="34"/>
      <c r="H4" s="24"/>
      <c r="I4" s="26"/>
      <c r="J4" s="28"/>
      <c r="K4" s="28"/>
      <c r="L4" s="28"/>
      <c r="M4" s="30"/>
    </row>
    <row r="5" spans="1:14" s="2" customFormat="1" ht="14.1" customHeight="1" x14ac:dyDescent="0.3">
      <c r="A5" s="18">
        <v>2</v>
      </c>
      <c r="B5" s="39" t="s">
        <v>200</v>
      </c>
      <c r="C5" s="39"/>
      <c r="D5" s="40"/>
      <c r="E5" s="40"/>
      <c r="F5" s="40"/>
      <c r="G5" s="40"/>
      <c r="H5" s="41">
        <f>SUM(I5)-2</f>
        <v>22</v>
      </c>
      <c r="I5" s="43">
        <v>24</v>
      </c>
      <c r="J5" s="35">
        <f>SUM(I5)+2</f>
        <v>26</v>
      </c>
      <c r="K5" s="35">
        <f>SUM(J5)+2</f>
        <v>28</v>
      </c>
      <c r="L5" s="35"/>
      <c r="M5" s="37"/>
    </row>
    <row r="6" spans="1:14" s="2" customFormat="1" ht="14.1" customHeight="1" x14ac:dyDescent="0.3">
      <c r="A6" s="19"/>
      <c r="B6" s="31" t="s">
        <v>152</v>
      </c>
      <c r="C6" s="31"/>
      <c r="D6" s="32"/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8">
        <v>3</v>
      </c>
      <c r="B7" s="39" t="s">
        <v>201</v>
      </c>
      <c r="C7" s="39"/>
      <c r="D7" s="40" t="s">
        <v>49</v>
      </c>
      <c r="E7" s="40"/>
      <c r="F7" s="40"/>
      <c r="G7" s="40"/>
      <c r="H7" s="41">
        <f>SUM(I7)-3</f>
        <v>49</v>
      </c>
      <c r="I7" s="43">
        <v>52</v>
      </c>
      <c r="J7" s="35">
        <f>SUM(I7)+3</f>
        <v>55</v>
      </c>
      <c r="K7" s="35">
        <f>SUM(J7)+3</f>
        <v>58</v>
      </c>
      <c r="L7" s="35"/>
      <c r="M7" s="37"/>
    </row>
    <row r="8" spans="1:14" s="2" customFormat="1" ht="14.1" customHeight="1" x14ac:dyDescent="0.3">
      <c r="A8" s="19"/>
      <c r="B8" s="31" t="s">
        <v>202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8">
        <v>4</v>
      </c>
      <c r="B9" s="39" t="s">
        <v>203</v>
      </c>
      <c r="C9" s="39"/>
      <c r="D9" s="45"/>
      <c r="E9" s="46"/>
      <c r="F9" s="46"/>
      <c r="G9" s="47"/>
      <c r="H9" s="41">
        <f>SUM(I9)-0.5</f>
        <v>5.5</v>
      </c>
      <c r="I9" s="43">
        <v>6</v>
      </c>
      <c r="J9" s="35">
        <f>SUM(I9)+0.5</f>
        <v>6.5</v>
      </c>
      <c r="K9" s="35">
        <f>SUM(J9)+0.5</f>
        <v>7</v>
      </c>
      <c r="L9" s="35"/>
      <c r="M9" s="37"/>
    </row>
    <row r="10" spans="1:14" s="2" customFormat="1" ht="14.1" customHeight="1" x14ac:dyDescent="0.3">
      <c r="A10" s="19"/>
      <c r="B10" s="31" t="s">
        <v>204</v>
      </c>
      <c r="C10" s="31"/>
      <c r="D10" s="48" t="s">
        <v>205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8">
        <v>5</v>
      </c>
      <c r="B11" s="39" t="s">
        <v>127</v>
      </c>
      <c r="C11" s="39"/>
      <c r="D11" s="40"/>
      <c r="E11" s="40"/>
      <c r="F11" s="40"/>
      <c r="G11" s="40"/>
      <c r="H11" s="41">
        <f>SUM(I11)-0.6</f>
        <v>6.9</v>
      </c>
      <c r="I11" s="43">
        <v>7.5</v>
      </c>
      <c r="J11" s="35">
        <f>SUM(I11)+0.6</f>
        <v>8.1</v>
      </c>
      <c r="K11" s="35">
        <f>SUM(J11)+0.6</f>
        <v>8.6999999999999993</v>
      </c>
      <c r="L11" s="28"/>
      <c r="M11" s="30"/>
    </row>
    <row r="12" spans="1:14" s="2" customFormat="1" ht="14.1" customHeight="1" x14ac:dyDescent="0.3">
      <c r="A12" s="19"/>
      <c r="B12" s="31" t="s">
        <v>206</v>
      </c>
      <c r="C12" s="31"/>
      <c r="D12" s="32"/>
      <c r="E12" s="33"/>
      <c r="F12" s="33"/>
      <c r="G12" s="34"/>
      <c r="H12" s="42"/>
      <c r="I12" s="44"/>
      <c r="J12" s="36"/>
      <c r="K12" s="36"/>
      <c r="L12" s="28"/>
      <c r="M12" s="30"/>
    </row>
    <row r="13" spans="1:14" s="2" customFormat="1" ht="14.1" customHeight="1" x14ac:dyDescent="0.3">
      <c r="A13" s="18">
        <v>6</v>
      </c>
      <c r="B13" s="39" t="s">
        <v>128</v>
      </c>
      <c r="C13" s="39"/>
      <c r="D13" s="40"/>
      <c r="E13" s="40"/>
      <c r="F13" s="40"/>
      <c r="G13" s="40"/>
      <c r="H13" s="41">
        <f>SUM(I13)-0.8</f>
        <v>8.6999999999999993</v>
      </c>
      <c r="I13" s="43">
        <v>9.5</v>
      </c>
      <c r="J13" s="35">
        <f>SUM(I13)+0.8</f>
        <v>10.3</v>
      </c>
      <c r="K13" s="35">
        <f>SUM(J13)+0.8</f>
        <v>11.100000000000001</v>
      </c>
      <c r="L13" s="28"/>
      <c r="M13" s="30"/>
    </row>
    <row r="14" spans="1:14" s="2" customFormat="1" ht="14.1" customHeight="1" x14ac:dyDescent="0.3">
      <c r="A14" s="19"/>
      <c r="B14" s="31" t="s">
        <v>207</v>
      </c>
      <c r="C14" s="31"/>
      <c r="D14" s="32"/>
      <c r="E14" s="33"/>
      <c r="F14" s="33"/>
      <c r="G14" s="34"/>
      <c r="H14" s="42"/>
      <c r="I14" s="44"/>
      <c r="J14" s="36"/>
      <c r="K14" s="36"/>
      <c r="L14" s="28"/>
      <c r="M14" s="30"/>
    </row>
    <row r="15" spans="1:14" s="2" customFormat="1" ht="14.1" customHeight="1" x14ac:dyDescent="0.3">
      <c r="A15" s="18">
        <v>7</v>
      </c>
      <c r="B15" s="39" t="s">
        <v>209</v>
      </c>
      <c r="C15" s="39"/>
      <c r="D15" s="40"/>
      <c r="E15" s="40"/>
      <c r="F15" s="40"/>
      <c r="G15" s="40"/>
      <c r="H15" s="41">
        <f>SUM(I15)-1.1</f>
        <v>9.4</v>
      </c>
      <c r="I15" s="43">
        <v>10.5</v>
      </c>
      <c r="J15" s="35">
        <f>SUM(I15)+1.1</f>
        <v>11.6</v>
      </c>
      <c r="K15" s="35">
        <f>SUM(J15)+1.1</f>
        <v>12.7</v>
      </c>
      <c r="L15" s="28"/>
      <c r="M15" s="30"/>
    </row>
    <row r="16" spans="1:14" s="2" customFormat="1" ht="14.1" customHeight="1" x14ac:dyDescent="0.3">
      <c r="A16" s="19"/>
      <c r="B16" s="31" t="s">
        <v>208</v>
      </c>
      <c r="C16" s="31"/>
      <c r="D16" s="32"/>
      <c r="E16" s="33"/>
      <c r="F16" s="33"/>
      <c r="G16" s="34"/>
      <c r="H16" s="42"/>
      <c r="I16" s="44"/>
      <c r="J16" s="36"/>
      <c r="K16" s="36"/>
      <c r="L16" s="28"/>
      <c r="M16" s="30"/>
    </row>
    <row r="17" spans="1:13" s="2" customFormat="1" ht="14.1" customHeight="1" x14ac:dyDescent="0.3">
      <c r="A17" s="18">
        <v>8</v>
      </c>
      <c r="B17" s="39" t="s">
        <v>210</v>
      </c>
      <c r="C17" s="39"/>
      <c r="D17" s="45"/>
      <c r="E17" s="46"/>
      <c r="F17" s="46"/>
      <c r="G17" s="47"/>
      <c r="H17" s="41">
        <f>SUM(I17)-0.2</f>
        <v>2.8</v>
      </c>
      <c r="I17" s="43">
        <v>3</v>
      </c>
      <c r="J17" s="35">
        <f>SUM(I17)+0.2</f>
        <v>3.2</v>
      </c>
      <c r="K17" s="35">
        <f>SUM(J17)+0.2</f>
        <v>3.4000000000000004</v>
      </c>
      <c r="L17" s="28"/>
      <c r="M17" s="30"/>
    </row>
    <row r="18" spans="1:13" s="2" customFormat="1" ht="14.1" customHeight="1" x14ac:dyDescent="0.3">
      <c r="A18" s="19"/>
      <c r="B18" s="31" t="s">
        <v>211</v>
      </c>
      <c r="C18" s="31"/>
      <c r="D18" s="32"/>
      <c r="E18" s="33"/>
      <c r="F18" s="33"/>
      <c r="G18" s="34"/>
      <c r="H18" s="42"/>
      <c r="I18" s="44"/>
      <c r="J18" s="36"/>
      <c r="K18" s="36"/>
      <c r="L18" s="28"/>
      <c r="M18" s="30"/>
    </row>
    <row r="19" spans="1:13" s="2" customFormat="1" ht="14.1" customHeight="1" x14ac:dyDescent="0.3">
      <c r="A19" s="18">
        <v>9</v>
      </c>
      <c r="B19" s="39"/>
      <c r="C19" s="39"/>
      <c r="D19" s="40"/>
      <c r="E19" s="40"/>
      <c r="F19" s="40"/>
      <c r="G19" s="40"/>
      <c r="H19" s="41"/>
      <c r="I19" s="26"/>
      <c r="J19" s="28"/>
      <c r="K19" s="28"/>
      <c r="L19" s="28"/>
      <c r="M19" s="30"/>
    </row>
    <row r="20" spans="1:13" s="2" customFormat="1" ht="14.1" customHeight="1" x14ac:dyDescent="0.3">
      <c r="A20" s="19"/>
      <c r="B20" s="31"/>
      <c r="C20" s="31"/>
      <c r="D20" s="32"/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8">
        <v>10</v>
      </c>
      <c r="B21" s="39"/>
      <c r="C21" s="39"/>
      <c r="D21" s="45"/>
      <c r="E21" s="46"/>
      <c r="F21" s="46"/>
      <c r="G21" s="47"/>
      <c r="H21" s="41"/>
      <c r="I21" s="26"/>
      <c r="J21" s="28"/>
      <c r="K21" s="28"/>
      <c r="L21" s="28"/>
      <c r="M21" s="30"/>
    </row>
    <row r="22" spans="1:13" s="2" customFormat="1" ht="14.1" customHeight="1" x14ac:dyDescent="0.3">
      <c r="A22" s="19"/>
      <c r="B22" s="31"/>
      <c r="C22" s="31"/>
      <c r="D22" s="32"/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8">
        <v>11</v>
      </c>
      <c r="B23" s="49"/>
      <c r="C23" s="50"/>
      <c r="D23" s="40"/>
      <c r="E23" s="40"/>
      <c r="F23" s="40"/>
      <c r="G23" s="40"/>
      <c r="H23" s="41"/>
      <c r="I23" s="26"/>
      <c r="J23" s="28"/>
      <c r="K23" s="28"/>
      <c r="L23" s="28"/>
      <c r="M23" s="30"/>
    </row>
    <row r="24" spans="1:13" s="2" customFormat="1" ht="14.1" customHeight="1" x14ac:dyDescent="0.3">
      <c r="A24" s="19"/>
      <c r="B24" s="31"/>
      <c r="C24" s="31"/>
      <c r="D24" s="32"/>
      <c r="E24" s="33"/>
      <c r="F24" s="33"/>
      <c r="G24" s="34"/>
      <c r="H24" s="42"/>
      <c r="I24" s="26"/>
      <c r="J24" s="28"/>
      <c r="K24" s="28"/>
      <c r="L24" s="28"/>
      <c r="M24" s="30"/>
    </row>
    <row r="25" spans="1:13" s="2" customFormat="1" ht="14.1" customHeight="1" x14ac:dyDescent="0.3">
      <c r="A25" s="18">
        <v>12</v>
      </c>
      <c r="B25" s="49"/>
      <c r="C25" s="50"/>
      <c r="D25" s="40"/>
      <c r="E25" s="40"/>
      <c r="F25" s="40"/>
      <c r="G25" s="40"/>
      <c r="H25" s="41"/>
      <c r="I25" s="26"/>
      <c r="J25" s="28"/>
      <c r="K25" s="28"/>
      <c r="L25" s="36"/>
      <c r="M25" s="38"/>
    </row>
    <row r="26" spans="1:13" s="2" customFormat="1" ht="14.1" customHeight="1" x14ac:dyDescent="0.3">
      <c r="A26" s="19"/>
      <c r="B26" s="31"/>
      <c r="C26" s="31"/>
      <c r="D26" s="32"/>
      <c r="E26" s="33"/>
      <c r="F26" s="33"/>
      <c r="G26" s="34"/>
      <c r="H26" s="42"/>
      <c r="I26" s="26"/>
      <c r="J26" s="28"/>
      <c r="K26" s="28"/>
      <c r="L26" s="28"/>
      <c r="M26" s="30"/>
    </row>
    <row r="27" spans="1:13" s="2" customFormat="1" ht="14.1" customHeight="1" x14ac:dyDescent="0.3">
      <c r="A27" s="18">
        <v>13</v>
      </c>
      <c r="B27" s="49"/>
      <c r="C27" s="50"/>
      <c r="D27" s="51"/>
      <c r="E27" s="52"/>
      <c r="F27" s="52"/>
      <c r="G27" s="53"/>
      <c r="H27" s="41"/>
      <c r="I27" s="26"/>
      <c r="J27" s="28"/>
      <c r="K27" s="28"/>
      <c r="L27" s="28"/>
      <c r="M27" s="30"/>
    </row>
    <row r="28" spans="1:13" s="2" customFormat="1" ht="14.1" customHeight="1" x14ac:dyDescent="0.3">
      <c r="A28" s="19"/>
      <c r="B28" s="31"/>
      <c r="C28" s="31"/>
      <c r="D28" s="32"/>
      <c r="E28" s="33"/>
      <c r="F28" s="33"/>
      <c r="G28" s="34"/>
      <c r="H28" s="42"/>
      <c r="I28" s="26"/>
      <c r="J28" s="28"/>
      <c r="K28" s="28"/>
      <c r="L28" s="28"/>
      <c r="M28" s="30"/>
    </row>
    <row r="29" spans="1:13" s="2" customFormat="1" ht="14.1" customHeight="1" x14ac:dyDescent="0.3">
      <c r="A29" s="18">
        <v>14</v>
      </c>
      <c r="B29" s="49"/>
      <c r="C29" s="50"/>
      <c r="D29" s="40"/>
      <c r="E29" s="40"/>
      <c r="F29" s="40"/>
      <c r="G29" s="40"/>
      <c r="H29" s="41"/>
      <c r="I29" s="26"/>
      <c r="J29" s="28"/>
      <c r="K29" s="28"/>
      <c r="L29" s="35"/>
      <c r="M29" s="54"/>
    </row>
    <row r="30" spans="1:13" s="2" customFormat="1" ht="14.1" customHeight="1" x14ac:dyDescent="0.3">
      <c r="A30" s="19"/>
      <c r="B30" s="31"/>
      <c r="C30" s="31"/>
      <c r="D30" s="32"/>
      <c r="E30" s="33"/>
      <c r="F30" s="33"/>
      <c r="G30" s="34"/>
      <c r="H30" s="42"/>
      <c r="I30" s="26"/>
      <c r="J30" s="28"/>
      <c r="K30" s="28"/>
      <c r="L30" s="36"/>
      <c r="M30" s="55"/>
    </row>
    <row r="31" spans="1:13" s="2" customFormat="1" ht="14.1" customHeight="1" x14ac:dyDescent="0.3">
      <c r="A31" s="18">
        <v>15</v>
      </c>
      <c r="B31" s="49"/>
      <c r="C31" s="50"/>
      <c r="D31" s="51"/>
      <c r="E31" s="52"/>
      <c r="F31" s="52"/>
      <c r="G31" s="53"/>
      <c r="H31" s="41"/>
      <c r="I31" s="26"/>
      <c r="J31" s="28"/>
      <c r="K31" s="28"/>
      <c r="L31" s="35"/>
      <c r="M31" s="54"/>
    </row>
    <row r="32" spans="1:13" s="2" customFormat="1" ht="14.1" customHeight="1" x14ac:dyDescent="0.3">
      <c r="A32" s="19"/>
      <c r="B32" s="56"/>
      <c r="C32" s="57"/>
      <c r="D32" s="32"/>
      <c r="E32" s="33"/>
      <c r="F32" s="33"/>
      <c r="G32" s="34"/>
      <c r="H32" s="42"/>
      <c r="I32" s="26"/>
      <c r="J32" s="28"/>
      <c r="K32" s="28"/>
      <c r="L32" s="36"/>
      <c r="M32" s="55"/>
    </row>
    <row r="33" spans="1:13" s="2" customFormat="1" ht="14.1" customHeight="1" x14ac:dyDescent="0.3">
      <c r="A33" s="18">
        <v>16</v>
      </c>
      <c r="B33" s="66"/>
      <c r="C33" s="67"/>
      <c r="D33" s="68"/>
      <c r="E33" s="69"/>
      <c r="F33" s="69"/>
      <c r="G33" s="70"/>
      <c r="H33" s="41"/>
      <c r="I33" s="26"/>
      <c r="J33" s="28"/>
      <c r="K33" s="28"/>
      <c r="L33" s="36"/>
      <c r="M33" s="55"/>
    </row>
    <row r="34" spans="1:13" s="2" customFormat="1" ht="14.1" customHeight="1" thickBot="1" x14ac:dyDescent="0.35">
      <c r="A34" s="65"/>
      <c r="B34" s="60"/>
      <c r="C34" s="61"/>
      <c r="D34" s="62"/>
      <c r="E34" s="63"/>
      <c r="F34" s="63"/>
      <c r="G34" s="64"/>
      <c r="H34" s="71"/>
      <c r="I34" s="72"/>
      <c r="J34" s="58"/>
      <c r="K34" s="58"/>
      <c r="L34" s="58"/>
      <c r="M34" s="59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E263-DD21-4B26-AEA5-15F2434A797E}">
  <sheetPr>
    <tabColor rgb="FF7030A0"/>
    <pageSetUpPr fitToPage="1"/>
  </sheetPr>
  <dimension ref="A1:N51"/>
  <sheetViews>
    <sheetView zoomScale="110" zoomScaleNormal="110" workbookViewId="0">
      <selection activeCell="Q14" sqref="Q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66" t="s">
        <v>44</v>
      </c>
      <c r="C3" s="67"/>
      <c r="D3" s="77" t="s">
        <v>45</v>
      </c>
      <c r="E3" s="78"/>
      <c r="F3" s="78"/>
      <c r="G3" s="79"/>
      <c r="H3" s="23">
        <f>SUM(I3)-3.9</f>
        <v>44.800000000000004</v>
      </c>
      <c r="I3" s="25">
        <v>48.7</v>
      </c>
      <c r="J3" s="27">
        <f>SUM(I3)+3.9</f>
        <v>52.6</v>
      </c>
      <c r="K3" s="27">
        <f>SUM(J3)+3.9</f>
        <v>56.5</v>
      </c>
      <c r="L3" s="27"/>
      <c r="M3" s="29"/>
    </row>
    <row r="4" spans="1:14" s="2" customFormat="1" ht="14.1" customHeight="1" x14ac:dyDescent="0.3">
      <c r="A4" s="19"/>
      <c r="B4" s="31" t="s">
        <v>46</v>
      </c>
      <c r="C4" s="31"/>
      <c r="D4" s="32" t="s">
        <v>287</v>
      </c>
      <c r="E4" s="33"/>
      <c r="F4" s="33"/>
      <c r="G4" s="33"/>
      <c r="H4" s="24"/>
      <c r="I4" s="26"/>
      <c r="J4" s="28"/>
      <c r="K4" s="28"/>
      <c r="L4" s="28"/>
      <c r="M4" s="30"/>
    </row>
    <row r="5" spans="1:14" s="2" customFormat="1" ht="14.1" customHeight="1" x14ac:dyDescent="0.3">
      <c r="A5" s="18">
        <v>2</v>
      </c>
      <c r="B5" s="39" t="s">
        <v>292</v>
      </c>
      <c r="C5" s="39"/>
      <c r="D5" s="40"/>
      <c r="E5" s="40"/>
      <c r="F5" s="40"/>
      <c r="G5" s="40"/>
      <c r="H5" s="41">
        <f>SUM(I5)-0.5</f>
        <v>6.8</v>
      </c>
      <c r="I5" s="43">
        <v>7.3</v>
      </c>
      <c r="J5" s="35">
        <f>SUM(I5)+0.5</f>
        <v>7.8</v>
      </c>
      <c r="K5" s="35">
        <f>SUM(J5)+0.5</f>
        <v>8.3000000000000007</v>
      </c>
      <c r="L5" s="35"/>
      <c r="M5" s="37"/>
    </row>
    <row r="6" spans="1:14" s="2" customFormat="1" ht="14.1" customHeight="1" x14ac:dyDescent="0.3">
      <c r="A6" s="19"/>
      <c r="B6" s="31" t="s">
        <v>119</v>
      </c>
      <c r="C6" s="31"/>
      <c r="D6" s="73" t="s">
        <v>293</v>
      </c>
      <c r="E6" s="73"/>
      <c r="F6" s="73"/>
      <c r="G6" s="73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8">
        <v>3</v>
      </c>
      <c r="B7" s="39" t="s">
        <v>294</v>
      </c>
      <c r="C7" s="39"/>
      <c r="D7" s="40"/>
      <c r="E7" s="40"/>
      <c r="F7" s="40"/>
      <c r="G7" s="40"/>
      <c r="H7" s="41">
        <f>SUM(I7)-0.7</f>
        <v>9.3000000000000007</v>
      </c>
      <c r="I7" s="43">
        <v>10</v>
      </c>
      <c r="J7" s="35">
        <f>SUM(I7)+0.7</f>
        <v>10.7</v>
      </c>
      <c r="K7" s="35">
        <f>SUM(J7)+0.7</f>
        <v>11.399999999999999</v>
      </c>
      <c r="L7" s="35"/>
      <c r="M7" s="37"/>
    </row>
    <row r="8" spans="1:14" s="2" customFormat="1" ht="14.1" customHeight="1" x14ac:dyDescent="0.3">
      <c r="A8" s="19"/>
      <c r="B8" s="31" t="s">
        <v>295</v>
      </c>
      <c r="C8" s="31"/>
      <c r="D8" s="73" t="s">
        <v>296</v>
      </c>
      <c r="E8" s="73"/>
      <c r="F8" s="73"/>
      <c r="G8" s="73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8">
        <v>4</v>
      </c>
      <c r="B9" s="39" t="s">
        <v>21</v>
      </c>
      <c r="C9" s="39"/>
      <c r="D9" s="40" t="s">
        <v>22</v>
      </c>
      <c r="E9" s="40"/>
      <c r="F9" s="40"/>
      <c r="G9" s="40"/>
      <c r="H9" s="41">
        <f>SUM(I9)-1.2</f>
        <v>20.100000000000001</v>
      </c>
      <c r="I9" s="43">
        <v>21.3</v>
      </c>
      <c r="J9" s="35">
        <f>SUM(I9)+1.2</f>
        <v>22.5</v>
      </c>
      <c r="K9" s="35">
        <f>SUM(J9)+1.2</f>
        <v>23.7</v>
      </c>
      <c r="L9" s="35"/>
      <c r="M9" s="37"/>
    </row>
    <row r="10" spans="1:14" s="2" customFormat="1" ht="14.1" customHeight="1" x14ac:dyDescent="0.3">
      <c r="A10" s="19"/>
      <c r="B10" s="31" t="s">
        <v>11</v>
      </c>
      <c r="C10" s="31"/>
      <c r="D10" s="32" t="s">
        <v>26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8">
        <v>5</v>
      </c>
      <c r="B11" s="39" t="s">
        <v>290</v>
      </c>
      <c r="C11" s="39"/>
      <c r="D11" s="40"/>
      <c r="E11" s="40"/>
      <c r="F11" s="40"/>
      <c r="G11" s="40"/>
      <c r="H11" s="41">
        <f>SUM(I11)-1.1</f>
        <v>20.2</v>
      </c>
      <c r="I11" s="43">
        <v>21.3</v>
      </c>
      <c r="J11" s="35">
        <f>SUM(I11)+1.1</f>
        <v>22.400000000000002</v>
      </c>
      <c r="K11" s="35">
        <f>SUM(J11)+1.1</f>
        <v>23.500000000000004</v>
      </c>
      <c r="L11" s="35"/>
      <c r="M11" s="37"/>
    </row>
    <row r="12" spans="1:14" s="2" customFormat="1" ht="14.1" customHeight="1" x14ac:dyDescent="0.3">
      <c r="A12" s="19"/>
      <c r="B12" s="31" t="s">
        <v>289</v>
      </c>
      <c r="C12" s="31"/>
      <c r="D12" s="73" t="s">
        <v>288</v>
      </c>
      <c r="E12" s="73"/>
      <c r="F12" s="73"/>
      <c r="G12" s="73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8">
        <v>6</v>
      </c>
      <c r="B13" s="39" t="s">
        <v>298</v>
      </c>
      <c r="C13" s="39"/>
      <c r="D13" s="40"/>
      <c r="E13" s="40"/>
      <c r="F13" s="40"/>
      <c r="G13" s="40"/>
      <c r="H13" s="41">
        <f>SUM(I13)-6.4</f>
        <v>102.6</v>
      </c>
      <c r="I13" s="43">
        <v>109</v>
      </c>
      <c r="J13" s="35">
        <f>SUM(I13)+6.4</f>
        <v>115.4</v>
      </c>
      <c r="K13" s="35">
        <f>SUM(J13)+6.4</f>
        <v>121.80000000000001</v>
      </c>
      <c r="L13" s="35"/>
      <c r="M13" s="37"/>
    </row>
    <row r="14" spans="1:14" s="2" customFormat="1" ht="14.1" customHeight="1" x14ac:dyDescent="0.3">
      <c r="A14" s="19"/>
      <c r="B14" s="31" t="s">
        <v>297</v>
      </c>
      <c r="C14" s="31"/>
      <c r="D14" s="32" t="s">
        <v>291</v>
      </c>
      <c r="E14" s="33"/>
      <c r="F14" s="33"/>
      <c r="G14" s="34"/>
      <c r="H14" s="42"/>
      <c r="I14" s="44"/>
      <c r="J14" s="36"/>
      <c r="K14" s="36"/>
      <c r="L14" s="36"/>
      <c r="M14" s="38"/>
    </row>
    <row r="15" spans="1:14" s="2" customFormat="1" ht="14.1" customHeight="1" x14ac:dyDescent="0.3">
      <c r="A15" s="18">
        <v>7</v>
      </c>
      <c r="B15" s="39" t="s">
        <v>10</v>
      </c>
      <c r="C15" s="39"/>
      <c r="D15" s="40" t="s">
        <v>0</v>
      </c>
      <c r="E15" s="40"/>
      <c r="F15" s="40"/>
      <c r="G15" s="40"/>
      <c r="H15" s="41">
        <f>SUM(I15)-0.8</f>
        <v>12.2</v>
      </c>
      <c r="I15" s="26">
        <v>13</v>
      </c>
      <c r="J15" s="28">
        <f>SUM(I15)+0.8</f>
        <v>13.8</v>
      </c>
      <c r="K15" s="28">
        <f>SUM(J15)+0.8</f>
        <v>14.600000000000001</v>
      </c>
      <c r="L15" s="28"/>
      <c r="M15" s="30"/>
    </row>
    <row r="16" spans="1:14" s="2" customFormat="1" ht="14.1" customHeight="1" x14ac:dyDescent="0.3">
      <c r="A16" s="19"/>
      <c r="B16" s="31" t="s">
        <v>13</v>
      </c>
      <c r="C16" s="31"/>
      <c r="D16" s="32" t="s">
        <v>29</v>
      </c>
      <c r="E16" s="33"/>
      <c r="F16" s="33"/>
      <c r="G16" s="34"/>
      <c r="H16" s="42"/>
      <c r="I16" s="26"/>
      <c r="J16" s="28"/>
      <c r="K16" s="28"/>
      <c r="L16" s="28"/>
      <c r="M16" s="30"/>
    </row>
    <row r="17" spans="1:13" s="2" customFormat="1" ht="14.1" customHeight="1" x14ac:dyDescent="0.3">
      <c r="A17" s="18">
        <v>8</v>
      </c>
      <c r="B17" s="39" t="s">
        <v>1</v>
      </c>
      <c r="C17" s="39"/>
      <c r="D17" s="40" t="s">
        <v>2</v>
      </c>
      <c r="E17" s="40"/>
      <c r="F17" s="40"/>
      <c r="G17" s="40"/>
      <c r="H17" s="41">
        <f>SUM(I17)-0.5</f>
        <v>12.5</v>
      </c>
      <c r="I17" s="26">
        <v>13</v>
      </c>
      <c r="J17" s="28">
        <f>SUM(I17)+0.5</f>
        <v>13.5</v>
      </c>
      <c r="K17" s="28">
        <f>SUM(J17)+0.5</f>
        <v>14</v>
      </c>
      <c r="L17" s="28"/>
      <c r="M17" s="30"/>
    </row>
    <row r="18" spans="1:13" s="2" customFormat="1" ht="14.1" customHeight="1" x14ac:dyDescent="0.3">
      <c r="A18" s="19"/>
      <c r="B18" s="31" t="s">
        <v>14</v>
      </c>
      <c r="C18" s="31"/>
      <c r="D18" s="32" t="s">
        <v>30</v>
      </c>
      <c r="E18" s="33"/>
      <c r="F18" s="33"/>
      <c r="G18" s="34"/>
      <c r="H18" s="42"/>
      <c r="I18" s="26"/>
      <c r="J18" s="28"/>
      <c r="K18" s="28"/>
      <c r="L18" s="28"/>
      <c r="M18" s="30"/>
    </row>
    <row r="19" spans="1:13" s="2" customFormat="1" ht="14.1" customHeight="1" x14ac:dyDescent="0.3">
      <c r="A19" s="18">
        <v>9</v>
      </c>
      <c r="B19" s="39" t="s">
        <v>3</v>
      </c>
      <c r="C19" s="39"/>
      <c r="D19" s="40" t="s">
        <v>4</v>
      </c>
      <c r="E19" s="40"/>
      <c r="F19" s="40"/>
      <c r="G19" s="40"/>
      <c r="H19" s="41">
        <f>SUM(I19)-0.3</f>
        <v>4.6000000000000005</v>
      </c>
      <c r="I19" s="26">
        <v>4.9000000000000004</v>
      </c>
      <c r="J19" s="28">
        <f>SUM(I19)+0.3</f>
        <v>5.2</v>
      </c>
      <c r="K19" s="28">
        <f>SUM(J19)+0.3</f>
        <v>5.5</v>
      </c>
      <c r="L19" s="28"/>
      <c r="M19" s="30"/>
    </row>
    <row r="20" spans="1:13" s="2" customFormat="1" ht="14.1" customHeight="1" x14ac:dyDescent="0.3">
      <c r="A20" s="19"/>
      <c r="B20" s="31" t="s">
        <v>15</v>
      </c>
      <c r="C20" s="31"/>
      <c r="D20" s="32" t="s">
        <v>160</v>
      </c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8">
        <v>10</v>
      </c>
      <c r="B21" s="49" t="s">
        <v>40</v>
      </c>
      <c r="C21" s="50"/>
      <c r="D21" s="45" t="s">
        <v>42</v>
      </c>
      <c r="E21" s="46"/>
      <c r="F21" s="46"/>
      <c r="G21" s="47"/>
      <c r="H21" s="41">
        <f>SUM(I21)-1.4</f>
        <v>30.800000000000004</v>
      </c>
      <c r="I21" s="26">
        <v>32.200000000000003</v>
      </c>
      <c r="J21" s="28">
        <f>SUM(I21)+1.4</f>
        <v>33.6</v>
      </c>
      <c r="K21" s="28">
        <f>SUM(J21)+1.4</f>
        <v>35</v>
      </c>
      <c r="L21" s="28"/>
      <c r="M21" s="30"/>
    </row>
    <row r="22" spans="1:13" s="2" customFormat="1" ht="14.1" customHeight="1" x14ac:dyDescent="0.3">
      <c r="A22" s="19"/>
      <c r="B22" s="31" t="s">
        <v>41</v>
      </c>
      <c r="C22" s="31"/>
      <c r="D22" s="32" t="s">
        <v>43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8">
        <v>11</v>
      </c>
      <c r="B23" s="39" t="s">
        <v>5</v>
      </c>
      <c r="C23" s="39"/>
      <c r="D23" s="40" t="s">
        <v>6</v>
      </c>
      <c r="E23" s="40"/>
      <c r="F23" s="40"/>
      <c r="G23" s="40"/>
      <c r="H23" s="41">
        <f>SUM(I23)-0.9</f>
        <v>8.9</v>
      </c>
      <c r="I23" s="26">
        <v>9.8000000000000007</v>
      </c>
      <c r="J23" s="28">
        <f>SUM(I23)+0.9</f>
        <v>10.700000000000001</v>
      </c>
      <c r="K23" s="28">
        <f>SUM(J23)+0.9</f>
        <v>11.600000000000001</v>
      </c>
      <c r="L23" s="28"/>
      <c r="M23" s="30"/>
    </row>
    <row r="24" spans="1:13" s="2" customFormat="1" ht="14.1" customHeight="1" x14ac:dyDescent="0.3">
      <c r="A24" s="19"/>
      <c r="B24" s="31" t="s">
        <v>16</v>
      </c>
      <c r="C24" s="31"/>
      <c r="D24" s="32" t="s">
        <v>32</v>
      </c>
      <c r="E24" s="33"/>
      <c r="F24" s="33"/>
      <c r="G24" s="34"/>
      <c r="H24" s="42"/>
      <c r="I24" s="26"/>
      <c r="J24" s="28"/>
      <c r="K24" s="28"/>
      <c r="L24" s="28"/>
      <c r="M24" s="30"/>
    </row>
    <row r="25" spans="1:13" s="2" customFormat="1" ht="14.1" customHeight="1" x14ac:dyDescent="0.3">
      <c r="A25" s="18">
        <v>12</v>
      </c>
      <c r="B25" s="39" t="s">
        <v>7</v>
      </c>
      <c r="C25" s="39"/>
      <c r="D25" s="45" t="s">
        <v>8</v>
      </c>
      <c r="E25" s="46"/>
      <c r="F25" s="46"/>
      <c r="G25" s="47"/>
      <c r="H25" s="41"/>
      <c r="I25" s="26"/>
      <c r="J25" s="28"/>
      <c r="K25" s="28"/>
      <c r="L25" s="28"/>
      <c r="M25" s="30"/>
    </row>
    <row r="26" spans="1:13" s="2" customFormat="1" ht="14.1" customHeight="1" x14ac:dyDescent="0.3">
      <c r="A26" s="19"/>
      <c r="B26" s="31" t="s">
        <v>17</v>
      </c>
      <c r="C26" s="31"/>
      <c r="D26" s="32" t="s">
        <v>36</v>
      </c>
      <c r="E26" s="33"/>
      <c r="F26" s="33"/>
      <c r="G26" s="34"/>
      <c r="H26" s="42"/>
      <c r="I26" s="26"/>
      <c r="J26" s="28"/>
      <c r="K26" s="28"/>
      <c r="L26" s="28"/>
      <c r="M26" s="30"/>
    </row>
    <row r="27" spans="1:13" s="2" customFormat="1" ht="14.1" customHeight="1" x14ac:dyDescent="0.3">
      <c r="A27" s="18">
        <v>13</v>
      </c>
      <c r="B27" s="49" t="s">
        <v>50</v>
      </c>
      <c r="C27" s="50"/>
      <c r="D27" s="40" t="s">
        <v>37</v>
      </c>
      <c r="E27" s="40"/>
      <c r="F27" s="40"/>
      <c r="G27" s="40"/>
      <c r="H27" s="41">
        <f>SUM(I27)-1</f>
        <v>20.6</v>
      </c>
      <c r="I27" s="26">
        <v>21.6</v>
      </c>
      <c r="J27" s="28">
        <f>SUM(I27)+1</f>
        <v>22.6</v>
      </c>
      <c r="K27" s="28">
        <f>SUM(J27)+1</f>
        <v>23.6</v>
      </c>
      <c r="L27" s="28"/>
      <c r="M27" s="30"/>
    </row>
    <row r="28" spans="1:13" s="2" customFormat="1" ht="14.1" customHeight="1" x14ac:dyDescent="0.3">
      <c r="A28" s="19"/>
      <c r="B28" s="31" t="s">
        <v>18</v>
      </c>
      <c r="C28" s="31"/>
      <c r="D28" s="32" t="s">
        <v>38</v>
      </c>
      <c r="E28" s="33"/>
      <c r="F28" s="33"/>
      <c r="G28" s="34"/>
      <c r="H28" s="42"/>
      <c r="I28" s="26"/>
      <c r="J28" s="28"/>
      <c r="K28" s="28"/>
      <c r="L28" s="28"/>
      <c r="M28" s="30"/>
    </row>
    <row r="29" spans="1:13" s="2" customFormat="1" ht="14.1" customHeight="1" x14ac:dyDescent="0.3">
      <c r="A29" s="18">
        <v>14</v>
      </c>
      <c r="B29" s="49" t="s">
        <v>146</v>
      </c>
      <c r="C29" s="50"/>
      <c r="D29" s="40"/>
      <c r="E29" s="40"/>
      <c r="F29" s="40"/>
      <c r="G29" s="40"/>
      <c r="H29" s="41">
        <f>SUM(I29)-3.2</f>
        <v>35.4</v>
      </c>
      <c r="I29" s="26">
        <v>38.6</v>
      </c>
      <c r="J29" s="28">
        <f>SUM(I29)+3.2</f>
        <v>41.800000000000004</v>
      </c>
      <c r="K29" s="28">
        <f>SUM(J29)+3.2</f>
        <v>45.000000000000007</v>
      </c>
      <c r="L29" s="36"/>
      <c r="M29" s="38"/>
    </row>
    <row r="30" spans="1:13" s="2" customFormat="1" ht="14.1" customHeight="1" x14ac:dyDescent="0.3">
      <c r="A30" s="19"/>
      <c r="B30" s="31" t="s">
        <v>147</v>
      </c>
      <c r="C30" s="31"/>
      <c r="D30" s="32" t="s">
        <v>286</v>
      </c>
      <c r="E30" s="33"/>
      <c r="F30" s="33"/>
      <c r="G30" s="34"/>
      <c r="H30" s="42"/>
      <c r="I30" s="26"/>
      <c r="J30" s="28"/>
      <c r="K30" s="28"/>
      <c r="L30" s="28"/>
      <c r="M30" s="30"/>
    </row>
    <row r="31" spans="1:13" s="2" customFormat="1" ht="14.1" customHeight="1" x14ac:dyDescent="0.3">
      <c r="A31" s="18">
        <v>15</v>
      </c>
      <c r="B31" s="49" t="s">
        <v>158</v>
      </c>
      <c r="C31" s="50"/>
      <c r="D31" s="51"/>
      <c r="E31" s="52"/>
      <c r="F31" s="52"/>
      <c r="G31" s="53"/>
      <c r="H31" s="41">
        <f>SUM(I31)-2.4</f>
        <v>22.900000000000002</v>
      </c>
      <c r="I31" s="26">
        <v>25.3</v>
      </c>
      <c r="J31" s="28">
        <f>SUM(I31)+2.4</f>
        <v>27.7</v>
      </c>
      <c r="K31" s="28">
        <f>SUM(J31)+2.4</f>
        <v>30.099999999999998</v>
      </c>
      <c r="L31" s="28"/>
      <c r="M31" s="30"/>
    </row>
    <row r="32" spans="1:13" s="2" customFormat="1" ht="14.1" customHeight="1" x14ac:dyDescent="0.3">
      <c r="A32" s="19"/>
      <c r="B32" s="31" t="s">
        <v>159</v>
      </c>
      <c r="C32" s="31"/>
      <c r="D32" s="32"/>
      <c r="E32" s="33"/>
      <c r="F32" s="33"/>
      <c r="G32" s="34"/>
      <c r="H32" s="42"/>
      <c r="I32" s="26"/>
      <c r="J32" s="28"/>
      <c r="K32" s="28"/>
      <c r="L32" s="28"/>
      <c r="M32" s="30"/>
    </row>
    <row r="33" spans="1:13" s="2" customFormat="1" ht="14.1" customHeight="1" x14ac:dyDescent="0.3">
      <c r="A33" s="18">
        <v>16</v>
      </c>
      <c r="B33" s="49"/>
      <c r="C33" s="50"/>
      <c r="D33" s="40"/>
      <c r="E33" s="40"/>
      <c r="F33" s="40"/>
      <c r="G33" s="40"/>
      <c r="H33" s="41"/>
      <c r="I33" s="26"/>
      <c r="J33" s="28"/>
      <c r="K33" s="28"/>
      <c r="L33" s="35"/>
      <c r="M33" s="54"/>
    </row>
    <row r="34" spans="1:13" s="2" customFormat="1" ht="14.1" customHeight="1" thickBot="1" x14ac:dyDescent="0.35">
      <c r="A34" s="65"/>
      <c r="B34" s="76"/>
      <c r="C34" s="76"/>
      <c r="D34" s="62"/>
      <c r="E34" s="63"/>
      <c r="F34" s="63"/>
      <c r="G34" s="64"/>
      <c r="H34" s="71"/>
      <c r="I34" s="72"/>
      <c r="J34" s="58"/>
      <c r="K34" s="58"/>
      <c r="L34" s="74"/>
      <c r="M34" s="75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A9:A10"/>
    <mergeCell ref="B9:C9"/>
    <mergeCell ref="D9:G9"/>
    <mergeCell ref="H9:H10"/>
    <mergeCell ref="I9:I10"/>
    <mergeCell ref="J9:J10"/>
    <mergeCell ref="B10:C10"/>
    <mergeCell ref="D10:G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7:J8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J5:J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C9A3-4466-481B-B1F0-B4438828E25B}">
  <sheetPr>
    <tabColor rgb="FF7030A0"/>
    <pageSetUpPr fitToPage="1"/>
  </sheetPr>
  <dimension ref="A1:N51"/>
  <sheetViews>
    <sheetView zoomScale="110" zoomScaleNormal="110" workbookViewId="0">
      <selection activeCell="O20" sqref="O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66" t="s">
        <v>44</v>
      </c>
      <c r="C3" s="67"/>
      <c r="D3" s="77" t="s">
        <v>45</v>
      </c>
      <c r="E3" s="78"/>
      <c r="F3" s="78"/>
      <c r="G3" s="79"/>
      <c r="H3" s="23">
        <f>SUM(I3)-3.9</f>
        <v>45.1</v>
      </c>
      <c r="I3" s="25">
        <v>49</v>
      </c>
      <c r="J3" s="27">
        <f>SUM(I3)+3.9</f>
        <v>52.9</v>
      </c>
      <c r="K3" s="27">
        <f>SUM(J3)+3.9</f>
        <v>56.8</v>
      </c>
      <c r="L3" s="27"/>
      <c r="M3" s="29"/>
    </row>
    <row r="4" spans="1:14" s="2" customFormat="1" ht="14.1" customHeight="1" x14ac:dyDescent="0.3">
      <c r="A4" s="19"/>
      <c r="B4" s="31" t="s">
        <v>46</v>
      </c>
      <c r="C4" s="31"/>
      <c r="D4" s="32" t="s">
        <v>47</v>
      </c>
      <c r="E4" s="33"/>
      <c r="F4" s="33"/>
      <c r="G4" s="33"/>
      <c r="H4" s="24"/>
      <c r="I4" s="26"/>
      <c r="J4" s="28"/>
      <c r="K4" s="28"/>
      <c r="L4" s="28"/>
      <c r="M4" s="30"/>
    </row>
    <row r="5" spans="1:14" s="2" customFormat="1" ht="14.1" customHeight="1" x14ac:dyDescent="0.3">
      <c r="A5" s="18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21.1</v>
      </c>
      <c r="I5" s="43">
        <v>22.3</v>
      </c>
      <c r="J5" s="35">
        <f>SUM(I5)+1.2</f>
        <v>23.5</v>
      </c>
      <c r="K5" s="35">
        <f>SUM(J5)+1.2</f>
        <v>24.7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8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28.5</v>
      </c>
      <c r="I7" s="43">
        <v>30</v>
      </c>
      <c r="J7" s="35">
        <f>SUM(I7)+1.5</f>
        <v>31.5</v>
      </c>
      <c r="K7" s="35">
        <f>SUM(J7)+1.5</f>
        <v>33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8">
        <v>4</v>
      </c>
      <c r="B9" s="39" t="s">
        <v>249</v>
      </c>
      <c r="C9" s="39"/>
      <c r="D9" s="40" t="s">
        <v>9</v>
      </c>
      <c r="E9" s="40"/>
      <c r="F9" s="40"/>
      <c r="G9" s="40"/>
      <c r="H9" s="41">
        <f>SUM(I9)-1.5</f>
        <v>28.7</v>
      </c>
      <c r="I9" s="43">
        <v>30.2</v>
      </c>
      <c r="J9" s="35">
        <f>SUM(I9)+1.5</f>
        <v>31.7</v>
      </c>
      <c r="K9" s="35">
        <f>SUM(J9)+1.5</f>
        <v>33.200000000000003</v>
      </c>
      <c r="L9" s="35"/>
      <c r="M9" s="37"/>
    </row>
    <row r="10" spans="1:14" s="2" customFormat="1" ht="14.1" customHeight="1" x14ac:dyDescent="0.3">
      <c r="A10" s="19"/>
      <c r="B10" s="31" t="s">
        <v>250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8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SUM(I11)-0.9</f>
        <v>12</v>
      </c>
      <c r="I11" s="26">
        <v>12.9</v>
      </c>
      <c r="J11" s="28">
        <f>SUM(I11)+0.9</f>
        <v>13.8</v>
      </c>
      <c r="K11" s="28">
        <f>SUM(J11)+0.9</f>
        <v>14.700000000000001</v>
      </c>
      <c r="L11" s="28"/>
      <c r="M11" s="30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26"/>
      <c r="J12" s="28"/>
      <c r="K12" s="28"/>
      <c r="L12" s="28"/>
      <c r="M12" s="30"/>
    </row>
    <row r="13" spans="1:14" s="2" customFormat="1" ht="14.1" customHeight="1" x14ac:dyDescent="0.3">
      <c r="A13" s="18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12.5</v>
      </c>
      <c r="I13" s="26">
        <v>13</v>
      </c>
      <c r="J13" s="28">
        <f>SUM(I13)+0.5</f>
        <v>13.5</v>
      </c>
      <c r="K13" s="28">
        <f>SUM(J13)+0.5</f>
        <v>14</v>
      </c>
      <c r="L13" s="28"/>
      <c r="M13" s="30"/>
    </row>
    <row r="14" spans="1:14" s="2" customFormat="1" ht="14.1" customHeight="1" x14ac:dyDescent="0.3">
      <c r="A14" s="19"/>
      <c r="B14" s="31" t="s">
        <v>14</v>
      </c>
      <c r="C14" s="31"/>
      <c r="D14" s="32" t="s">
        <v>30</v>
      </c>
      <c r="E14" s="33"/>
      <c r="F14" s="33"/>
      <c r="G14" s="34"/>
      <c r="H14" s="42"/>
      <c r="I14" s="26"/>
      <c r="J14" s="28"/>
      <c r="K14" s="28"/>
      <c r="L14" s="28"/>
      <c r="M14" s="30"/>
    </row>
    <row r="15" spans="1:14" s="2" customFormat="1" ht="14.1" customHeight="1" x14ac:dyDescent="0.3">
      <c r="A15" s="18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5.1000000000000005</v>
      </c>
      <c r="I15" s="26">
        <v>5.4</v>
      </c>
      <c r="J15" s="28">
        <f>SUM(I15)+0.3</f>
        <v>5.7</v>
      </c>
      <c r="K15" s="28">
        <f>SUM(J15)+0.3</f>
        <v>6</v>
      </c>
      <c r="L15" s="28"/>
      <c r="M15" s="30"/>
    </row>
    <row r="16" spans="1:14" s="2" customFormat="1" ht="14.1" customHeight="1" x14ac:dyDescent="0.3">
      <c r="A16" s="19"/>
      <c r="B16" s="31" t="s">
        <v>15</v>
      </c>
      <c r="C16" s="31"/>
      <c r="D16" s="32" t="s">
        <v>160</v>
      </c>
      <c r="E16" s="33"/>
      <c r="F16" s="33"/>
      <c r="G16" s="34"/>
      <c r="H16" s="42"/>
      <c r="I16" s="26"/>
      <c r="J16" s="28"/>
      <c r="K16" s="28"/>
      <c r="L16" s="28"/>
      <c r="M16" s="30"/>
    </row>
    <row r="17" spans="1:13" s="2" customFormat="1" ht="14.1" customHeight="1" x14ac:dyDescent="0.3">
      <c r="A17" s="18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31.4</v>
      </c>
      <c r="I17" s="26">
        <v>32.799999999999997</v>
      </c>
      <c r="J17" s="28">
        <f>SUM(I17)+1.4</f>
        <v>34.199999999999996</v>
      </c>
      <c r="K17" s="28">
        <f>SUM(J17)+1.4</f>
        <v>35.599999999999994</v>
      </c>
      <c r="L17" s="28"/>
      <c r="M17" s="30"/>
    </row>
    <row r="18" spans="1:13" s="2" customFormat="1" ht="14.1" customHeight="1" x14ac:dyDescent="0.3">
      <c r="A18" s="19"/>
      <c r="B18" s="31" t="s">
        <v>41</v>
      </c>
      <c r="C18" s="31"/>
      <c r="D18" s="32" t="s">
        <v>43</v>
      </c>
      <c r="E18" s="33"/>
      <c r="F18" s="33"/>
      <c r="G18" s="34"/>
      <c r="H18" s="42"/>
      <c r="I18" s="26"/>
      <c r="J18" s="28"/>
      <c r="K18" s="28"/>
      <c r="L18" s="28"/>
      <c r="M18" s="30"/>
    </row>
    <row r="19" spans="1:13" s="2" customFormat="1" ht="14.1" customHeight="1" x14ac:dyDescent="0.3">
      <c r="A19" s="18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SUM(I19)-1.4</f>
        <v>12.1</v>
      </c>
      <c r="I19" s="26">
        <v>13.5</v>
      </c>
      <c r="J19" s="28">
        <f>SUM(I19)+1.4</f>
        <v>14.9</v>
      </c>
      <c r="K19" s="28">
        <f>SUM(J19)+1.4</f>
        <v>16.3</v>
      </c>
      <c r="L19" s="28"/>
      <c r="M19" s="30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8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26"/>
      <c r="J21" s="28"/>
      <c r="K21" s="28"/>
      <c r="L21" s="28"/>
      <c r="M21" s="30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8">
        <v>11</v>
      </c>
      <c r="B23" s="49" t="s">
        <v>132</v>
      </c>
      <c r="C23" s="50"/>
      <c r="D23" s="40" t="s">
        <v>37</v>
      </c>
      <c r="E23" s="40"/>
      <c r="F23" s="40"/>
      <c r="G23" s="40"/>
      <c r="H23" s="41">
        <f>SUM(I23)-1.2</f>
        <v>20.8</v>
      </c>
      <c r="I23" s="26">
        <v>22</v>
      </c>
      <c r="J23" s="28">
        <f>SUM(I23)+1.2</f>
        <v>23.2</v>
      </c>
      <c r="K23" s="28">
        <f>SUM(J23)+1.2</f>
        <v>24.4</v>
      </c>
      <c r="L23" s="28"/>
      <c r="M23" s="30"/>
    </row>
    <row r="24" spans="1:13" s="2" customFormat="1" ht="14.1" customHeight="1" x14ac:dyDescent="0.3">
      <c r="A24" s="19"/>
      <c r="B24" s="31" t="s">
        <v>157</v>
      </c>
      <c r="C24" s="31"/>
      <c r="D24" s="32" t="s">
        <v>38</v>
      </c>
      <c r="E24" s="33"/>
      <c r="F24" s="33"/>
      <c r="G24" s="34"/>
      <c r="H24" s="42"/>
      <c r="I24" s="26"/>
      <c r="J24" s="28"/>
      <c r="K24" s="28"/>
      <c r="L24" s="28"/>
      <c r="M24" s="30"/>
    </row>
    <row r="25" spans="1:13" s="2" customFormat="1" ht="14.1" customHeight="1" x14ac:dyDescent="0.3">
      <c r="A25" s="18">
        <v>12</v>
      </c>
      <c r="B25" s="49" t="s">
        <v>146</v>
      </c>
      <c r="C25" s="50"/>
      <c r="D25" s="40"/>
      <c r="E25" s="40"/>
      <c r="F25" s="40"/>
      <c r="G25" s="40"/>
      <c r="H25" s="41">
        <f>SUM(I25)-2.3</f>
        <v>30.2</v>
      </c>
      <c r="I25" s="26">
        <v>32.5</v>
      </c>
      <c r="J25" s="28">
        <f>SUM(I25)+2.3</f>
        <v>34.799999999999997</v>
      </c>
      <c r="K25" s="28">
        <f>SUM(J25)+2.3</f>
        <v>37.099999999999994</v>
      </c>
      <c r="L25" s="36"/>
      <c r="M25" s="38"/>
    </row>
    <row r="26" spans="1:13" s="2" customFormat="1" ht="14.1" customHeight="1" x14ac:dyDescent="0.3">
      <c r="A26" s="19"/>
      <c r="B26" s="31" t="s">
        <v>147</v>
      </c>
      <c r="C26" s="31"/>
      <c r="D26" s="32"/>
      <c r="E26" s="33"/>
      <c r="F26" s="33"/>
      <c r="G26" s="34"/>
      <c r="H26" s="42"/>
      <c r="I26" s="26"/>
      <c r="J26" s="28"/>
      <c r="K26" s="28"/>
      <c r="L26" s="28"/>
      <c r="M26" s="30"/>
    </row>
    <row r="27" spans="1:13" s="2" customFormat="1" ht="14.1" customHeight="1" x14ac:dyDescent="0.3">
      <c r="A27" s="18">
        <v>13</v>
      </c>
      <c r="B27" s="49" t="s">
        <v>158</v>
      </c>
      <c r="C27" s="50"/>
      <c r="D27" s="51"/>
      <c r="E27" s="52"/>
      <c r="F27" s="52"/>
      <c r="G27" s="53"/>
      <c r="H27" s="41">
        <f>SUM(I27)-2.4</f>
        <v>22.400000000000002</v>
      </c>
      <c r="I27" s="26">
        <v>24.8</v>
      </c>
      <c r="J27" s="28">
        <f>SUM(I27)+2.4</f>
        <v>27.2</v>
      </c>
      <c r="K27" s="28">
        <f>SUM(J27)+2.4</f>
        <v>29.599999999999998</v>
      </c>
      <c r="L27" s="28"/>
      <c r="M27" s="30"/>
    </row>
    <row r="28" spans="1:13" s="2" customFormat="1" ht="14.1" customHeight="1" x14ac:dyDescent="0.3">
      <c r="A28" s="19"/>
      <c r="B28" s="31" t="s">
        <v>159</v>
      </c>
      <c r="C28" s="31"/>
      <c r="D28" s="32"/>
      <c r="E28" s="33"/>
      <c r="F28" s="33"/>
      <c r="G28" s="34"/>
      <c r="H28" s="42"/>
      <c r="I28" s="26"/>
      <c r="J28" s="28"/>
      <c r="K28" s="28"/>
      <c r="L28" s="28"/>
      <c r="M28" s="30"/>
    </row>
    <row r="29" spans="1:13" s="2" customFormat="1" ht="14.1" customHeight="1" x14ac:dyDescent="0.3">
      <c r="A29" s="18">
        <v>14</v>
      </c>
      <c r="B29" s="49"/>
      <c r="C29" s="50"/>
      <c r="D29" s="40"/>
      <c r="E29" s="40"/>
      <c r="F29" s="40"/>
      <c r="G29" s="40"/>
      <c r="H29" s="41"/>
      <c r="I29" s="26"/>
      <c r="J29" s="28"/>
      <c r="K29" s="28"/>
      <c r="L29" s="35"/>
      <c r="M29" s="54"/>
    </row>
    <row r="30" spans="1:13" s="2" customFormat="1" ht="14.1" customHeight="1" x14ac:dyDescent="0.3">
      <c r="A30" s="19"/>
      <c r="B30" s="31"/>
      <c r="C30" s="31"/>
      <c r="D30" s="32"/>
      <c r="E30" s="33"/>
      <c r="F30" s="33"/>
      <c r="G30" s="34"/>
      <c r="H30" s="42"/>
      <c r="I30" s="26"/>
      <c r="J30" s="28"/>
      <c r="K30" s="28"/>
      <c r="L30" s="36"/>
      <c r="M30" s="55"/>
    </row>
    <row r="31" spans="1:13" s="2" customFormat="1" ht="14.1" customHeight="1" x14ac:dyDescent="0.3">
      <c r="A31" s="18">
        <v>15</v>
      </c>
      <c r="B31" s="49"/>
      <c r="C31" s="50"/>
      <c r="D31" s="51"/>
      <c r="E31" s="52"/>
      <c r="F31" s="52"/>
      <c r="G31" s="53"/>
      <c r="H31" s="41"/>
      <c r="I31" s="26"/>
      <c r="J31" s="28"/>
      <c r="K31" s="28"/>
      <c r="L31" s="35"/>
      <c r="M31" s="54"/>
    </row>
    <row r="32" spans="1:13" s="2" customFormat="1" ht="14.1" customHeight="1" x14ac:dyDescent="0.3">
      <c r="A32" s="19"/>
      <c r="B32" s="56"/>
      <c r="C32" s="57"/>
      <c r="D32" s="32"/>
      <c r="E32" s="33"/>
      <c r="F32" s="33"/>
      <c r="G32" s="34"/>
      <c r="H32" s="42"/>
      <c r="I32" s="26"/>
      <c r="J32" s="28"/>
      <c r="K32" s="28"/>
      <c r="L32" s="36"/>
      <c r="M32" s="55"/>
    </row>
    <row r="33" spans="1:13" s="2" customFormat="1" ht="14.1" customHeight="1" x14ac:dyDescent="0.3">
      <c r="A33" s="18">
        <v>16</v>
      </c>
      <c r="B33" s="66"/>
      <c r="C33" s="67"/>
      <c r="D33" s="68"/>
      <c r="E33" s="69"/>
      <c r="F33" s="69"/>
      <c r="G33" s="70"/>
      <c r="H33" s="41"/>
      <c r="I33" s="26"/>
      <c r="J33" s="28"/>
      <c r="K33" s="28"/>
      <c r="L33" s="36"/>
      <c r="M33" s="55"/>
    </row>
    <row r="34" spans="1:13" s="2" customFormat="1" ht="14.1" customHeight="1" thickBot="1" x14ac:dyDescent="0.35">
      <c r="A34" s="65"/>
      <c r="B34" s="60"/>
      <c r="C34" s="61"/>
      <c r="D34" s="62"/>
      <c r="E34" s="63"/>
      <c r="F34" s="63"/>
      <c r="G34" s="64"/>
      <c r="H34" s="71"/>
      <c r="I34" s="72"/>
      <c r="J34" s="58"/>
      <c r="K34" s="58"/>
      <c r="L34" s="58"/>
      <c r="M34" s="59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2F34-CB22-43DD-9DAB-AFED85EC86F5}">
  <sheetPr>
    <tabColor rgb="FF7030A0"/>
    <pageSetUpPr fitToPage="1"/>
  </sheetPr>
  <dimension ref="A1:N51"/>
  <sheetViews>
    <sheetView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66" t="s">
        <v>44</v>
      </c>
      <c r="C3" s="67"/>
      <c r="D3" s="77" t="s">
        <v>45</v>
      </c>
      <c r="E3" s="78"/>
      <c r="F3" s="78"/>
      <c r="G3" s="79"/>
      <c r="H3" s="23">
        <f>SUM(I3)-3.9</f>
        <v>44.1</v>
      </c>
      <c r="I3" s="25">
        <v>48</v>
      </c>
      <c r="J3" s="27">
        <f>SUM(I3)+3.9</f>
        <v>51.9</v>
      </c>
      <c r="K3" s="27">
        <f>SUM(J3)+3.9</f>
        <v>55.8</v>
      </c>
      <c r="L3" s="27"/>
      <c r="M3" s="29"/>
    </row>
    <row r="4" spans="1:14" s="2" customFormat="1" ht="14.1" customHeight="1" x14ac:dyDescent="0.3">
      <c r="A4" s="19"/>
      <c r="B4" s="31" t="s">
        <v>46</v>
      </c>
      <c r="C4" s="31"/>
      <c r="D4" s="32" t="s">
        <v>47</v>
      </c>
      <c r="E4" s="33"/>
      <c r="F4" s="33"/>
      <c r="G4" s="33"/>
      <c r="H4" s="24"/>
      <c r="I4" s="26"/>
      <c r="J4" s="28"/>
      <c r="K4" s="28"/>
      <c r="L4" s="28"/>
      <c r="M4" s="30"/>
    </row>
    <row r="5" spans="1:14" s="2" customFormat="1" ht="14.1" customHeight="1" x14ac:dyDescent="0.3">
      <c r="A5" s="18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18.5</v>
      </c>
      <c r="I5" s="43">
        <v>19.7</v>
      </c>
      <c r="J5" s="35">
        <f>SUM(I5)+1.2</f>
        <v>20.9</v>
      </c>
      <c r="K5" s="35">
        <f>SUM(J5)+1.2</f>
        <v>22.099999999999998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8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27.7</v>
      </c>
      <c r="I7" s="43">
        <v>29.2</v>
      </c>
      <c r="J7" s="35">
        <f>SUM(I7)+1.5</f>
        <v>30.7</v>
      </c>
      <c r="K7" s="35">
        <f>SUM(J7)+1.5</f>
        <v>32.200000000000003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8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SUM(I9)-2.5</f>
        <v>45.8</v>
      </c>
      <c r="I9" s="43">
        <v>48.3</v>
      </c>
      <c r="J9" s="35">
        <f>SUM(I9)+2.5</f>
        <v>50.8</v>
      </c>
      <c r="K9" s="35">
        <f>SUM(J9)+2.5</f>
        <v>53.3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8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SUM(I11)-0.8</f>
        <v>17.099999999999998</v>
      </c>
      <c r="I11" s="26">
        <v>17.899999999999999</v>
      </c>
      <c r="J11" s="28">
        <f>SUM(I11)+0.8</f>
        <v>18.7</v>
      </c>
      <c r="K11" s="28">
        <f>SUM(J11)+0.8</f>
        <v>19.5</v>
      </c>
      <c r="L11" s="28"/>
      <c r="M11" s="30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26"/>
      <c r="J12" s="28"/>
      <c r="K12" s="28"/>
      <c r="L12" s="28"/>
      <c r="M12" s="30"/>
    </row>
    <row r="13" spans="1:14" s="2" customFormat="1" ht="14.1" customHeight="1" x14ac:dyDescent="0.3">
      <c r="A13" s="18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11.8</v>
      </c>
      <c r="I13" s="26">
        <v>12.3</v>
      </c>
      <c r="J13" s="28">
        <f>SUM(I13)+0.5</f>
        <v>12.8</v>
      </c>
      <c r="K13" s="28">
        <f>SUM(J13)+0.5</f>
        <v>13.3</v>
      </c>
      <c r="L13" s="28"/>
      <c r="M13" s="30"/>
    </row>
    <row r="14" spans="1:14" s="2" customFormat="1" ht="14.1" customHeight="1" x14ac:dyDescent="0.3">
      <c r="A14" s="19"/>
      <c r="B14" s="31" t="s">
        <v>14</v>
      </c>
      <c r="C14" s="31"/>
      <c r="D14" s="32" t="s">
        <v>30</v>
      </c>
      <c r="E14" s="33"/>
      <c r="F14" s="33"/>
      <c r="G14" s="34"/>
      <c r="H14" s="42"/>
      <c r="I14" s="26"/>
      <c r="J14" s="28"/>
      <c r="K14" s="28"/>
      <c r="L14" s="28"/>
      <c r="M14" s="30"/>
    </row>
    <row r="15" spans="1:14" s="2" customFormat="1" ht="14.1" customHeight="1" x14ac:dyDescent="0.3">
      <c r="A15" s="18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6.2</v>
      </c>
      <c r="I15" s="26">
        <v>6.5</v>
      </c>
      <c r="J15" s="28">
        <f>SUM(I15)+0.3</f>
        <v>6.8</v>
      </c>
      <c r="K15" s="28">
        <f>SUM(J15)+0.3</f>
        <v>7.1</v>
      </c>
      <c r="L15" s="28"/>
      <c r="M15" s="30"/>
    </row>
    <row r="16" spans="1:14" s="2" customFormat="1" ht="14.1" customHeight="1" x14ac:dyDescent="0.3">
      <c r="A16" s="19"/>
      <c r="B16" s="31" t="s">
        <v>15</v>
      </c>
      <c r="C16" s="31"/>
      <c r="D16" s="32" t="s">
        <v>160</v>
      </c>
      <c r="E16" s="33"/>
      <c r="F16" s="33"/>
      <c r="G16" s="34"/>
      <c r="H16" s="42"/>
      <c r="I16" s="26"/>
      <c r="J16" s="28"/>
      <c r="K16" s="28"/>
      <c r="L16" s="28"/>
      <c r="M16" s="30"/>
    </row>
    <row r="17" spans="1:13" s="2" customFormat="1" ht="14.1" customHeight="1" x14ac:dyDescent="0.3">
      <c r="A17" s="18">
        <v>8</v>
      </c>
      <c r="B17" s="49" t="s">
        <v>269</v>
      </c>
      <c r="C17" s="50"/>
      <c r="D17" s="45"/>
      <c r="E17" s="46"/>
      <c r="F17" s="46"/>
      <c r="G17" s="47"/>
      <c r="H17" s="41">
        <f>SUM(I17)</f>
        <v>5</v>
      </c>
      <c r="I17" s="26">
        <v>5</v>
      </c>
      <c r="J17" s="28">
        <f>SUM(I17)+1</f>
        <v>6</v>
      </c>
      <c r="K17" s="28">
        <f>SUM(J17)</f>
        <v>6</v>
      </c>
      <c r="L17" s="28"/>
      <c r="M17" s="30"/>
    </row>
    <row r="18" spans="1:13" s="2" customFormat="1" ht="14.1" customHeight="1" x14ac:dyDescent="0.3">
      <c r="A18" s="19"/>
      <c r="B18" s="31" t="s">
        <v>270</v>
      </c>
      <c r="C18" s="31"/>
      <c r="D18" s="32"/>
      <c r="E18" s="33"/>
      <c r="F18" s="33"/>
      <c r="G18" s="34"/>
      <c r="H18" s="42"/>
      <c r="I18" s="26"/>
      <c r="J18" s="28"/>
      <c r="K18" s="28"/>
      <c r="L18" s="28"/>
      <c r="M18" s="30"/>
    </row>
    <row r="19" spans="1:13" s="2" customFormat="1" ht="14.1" customHeight="1" x14ac:dyDescent="0.3">
      <c r="A19" s="18">
        <v>9</v>
      </c>
      <c r="B19" s="39" t="s">
        <v>271</v>
      </c>
      <c r="C19" s="39"/>
      <c r="D19" s="40"/>
      <c r="E19" s="40"/>
      <c r="F19" s="40"/>
      <c r="G19" s="40"/>
      <c r="H19" s="41">
        <f>SUM(I19)-1.1</f>
        <v>14.9</v>
      </c>
      <c r="I19" s="26">
        <v>16</v>
      </c>
      <c r="J19" s="28">
        <f>SUM(I19)+1.1</f>
        <v>17.100000000000001</v>
      </c>
      <c r="K19" s="28">
        <f>SUM(J19)+1.1</f>
        <v>18.200000000000003</v>
      </c>
      <c r="L19" s="28"/>
      <c r="M19" s="30"/>
    </row>
    <row r="20" spans="1:13" s="2" customFormat="1" ht="14.1" customHeight="1" x14ac:dyDescent="0.3">
      <c r="A20" s="19"/>
      <c r="B20" s="31" t="s">
        <v>272</v>
      </c>
      <c r="C20" s="31"/>
      <c r="D20" s="32"/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8">
        <v>10</v>
      </c>
      <c r="B21" s="39" t="s">
        <v>273</v>
      </c>
      <c r="C21" s="39"/>
      <c r="D21" s="45"/>
      <c r="E21" s="46"/>
      <c r="F21" s="46"/>
      <c r="G21" s="47"/>
      <c r="H21" s="41">
        <f>SUM(I21)-0.3</f>
        <v>5.7</v>
      </c>
      <c r="I21" s="26">
        <v>6</v>
      </c>
      <c r="J21" s="28">
        <f>SUM(I21)+0.3</f>
        <v>6.3</v>
      </c>
      <c r="K21" s="28">
        <f>SUM(J21)+0.3</f>
        <v>6.6</v>
      </c>
      <c r="L21" s="28"/>
      <c r="M21" s="30"/>
    </row>
    <row r="22" spans="1:13" s="2" customFormat="1" ht="14.1" customHeight="1" x14ac:dyDescent="0.3">
      <c r="A22" s="19"/>
      <c r="B22" s="31" t="s">
        <v>274</v>
      </c>
      <c r="C22" s="31"/>
      <c r="D22" s="32"/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8">
        <v>11</v>
      </c>
      <c r="B23" s="49" t="s">
        <v>275</v>
      </c>
      <c r="C23" s="50"/>
      <c r="D23" s="40"/>
      <c r="E23" s="40"/>
      <c r="F23" s="40"/>
      <c r="G23" s="40"/>
      <c r="H23" s="41">
        <f>SUM(I23)-0.4</f>
        <v>7.3</v>
      </c>
      <c r="I23" s="26">
        <v>7.7</v>
      </c>
      <c r="J23" s="28">
        <f>SUM(I23)+0.4</f>
        <v>8.1</v>
      </c>
      <c r="K23" s="28">
        <f>SUM(J23)+0.4</f>
        <v>8.5</v>
      </c>
      <c r="L23" s="28"/>
      <c r="M23" s="30"/>
    </row>
    <row r="24" spans="1:13" s="2" customFormat="1" ht="14.1" customHeight="1" x14ac:dyDescent="0.3">
      <c r="A24" s="19"/>
      <c r="B24" s="31" t="s">
        <v>276</v>
      </c>
      <c r="C24" s="31"/>
      <c r="D24" s="32" t="s">
        <v>277</v>
      </c>
      <c r="E24" s="33"/>
      <c r="F24" s="33"/>
      <c r="G24" s="34"/>
      <c r="H24" s="42"/>
      <c r="I24" s="26"/>
      <c r="J24" s="28"/>
      <c r="K24" s="28"/>
      <c r="L24" s="28"/>
      <c r="M24" s="30"/>
    </row>
    <row r="25" spans="1:13" s="2" customFormat="1" ht="14.1" customHeight="1" x14ac:dyDescent="0.3">
      <c r="A25" s="18">
        <v>12</v>
      </c>
      <c r="B25" s="49" t="s">
        <v>120</v>
      </c>
      <c r="C25" s="50"/>
      <c r="D25" s="40"/>
      <c r="E25" s="40"/>
      <c r="F25" s="40"/>
      <c r="G25" s="40"/>
      <c r="H25" s="41">
        <f>SUM(I25)-1</f>
        <v>11.5</v>
      </c>
      <c r="I25" s="26">
        <v>12.5</v>
      </c>
      <c r="J25" s="28">
        <f>SUM(I25)+1</f>
        <v>13.5</v>
      </c>
      <c r="K25" s="28">
        <f>SUM(J25)+1</f>
        <v>14.5</v>
      </c>
      <c r="L25" s="36"/>
      <c r="M25" s="38"/>
    </row>
    <row r="26" spans="1:13" s="2" customFormat="1" ht="14.1" customHeight="1" x14ac:dyDescent="0.3">
      <c r="A26" s="19"/>
      <c r="B26" s="31" t="s">
        <v>268</v>
      </c>
      <c r="C26" s="31"/>
      <c r="D26" s="32"/>
      <c r="E26" s="33"/>
      <c r="F26" s="33"/>
      <c r="G26" s="34"/>
      <c r="H26" s="42"/>
      <c r="I26" s="26"/>
      <c r="J26" s="28"/>
      <c r="K26" s="28"/>
      <c r="L26" s="28"/>
      <c r="M26" s="30"/>
    </row>
    <row r="27" spans="1:13" s="2" customFormat="1" ht="14.1" customHeight="1" x14ac:dyDescent="0.3">
      <c r="A27" s="18">
        <v>13</v>
      </c>
      <c r="B27" s="49" t="s">
        <v>158</v>
      </c>
      <c r="C27" s="50"/>
      <c r="D27" s="51"/>
      <c r="E27" s="52"/>
      <c r="F27" s="52"/>
      <c r="G27" s="53"/>
      <c r="H27" s="41">
        <f>SUM(I27)-2.4</f>
        <v>23.6</v>
      </c>
      <c r="I27" s="26">
        <v>26</v>
      </c>
      <c r="J27" s="28">
        <f>SUM(I27)+2.4</f>
        <v>28.4</v>
      </c>
      <c r="K27" s="28">
        <f>SUM(J27)+2.4</f>
        <v>30.799999999999997</v>
      </c>
      <c r="L27" s="28"/>
      <c r="M27" s="30"/>
    </row>
    <row r="28" spans="1:13" s="2" customFormat="1" ht="14.1" customHeight="1" x14ac:dyDescent="0.3">
      <c r="A28" s="19"/>
      <c r="B28" s="31" t="s">
        <v>159</v>
      </c>
      <c r="C28" s="31"/>
      <c r="D28" s="32"/>
      <c r="E28" s="33"/>
      <c r="F28" s="33"/>
      <c r="G28" s="34"/>
      <c r="H28" s="42"/>
      <c r="I28" s="26"/>
      <c r="J28" s="28"/>
      <c r="K28" s="28"/>
      <c r="L28" s="28"/>
      <c r="M28" s="30"/>
    </row>
    <row r="29" spans="1:13" s="2" customFormat="1" ht="14.1" customHeight="1" x14ac:dyDescent="0.3">
      <c r="A29" s="18">
        <v>14</v>
      </c>
      <c r="B29" s="49"/>
      <c r="C29" s="50"/>
      <c r="D29" s="40"/>
      <c r="E29" s="40"/>
      <c r="F29" s="40"/>
      <c r="G29" s="40"/>
      <c r="H29" s="41"/>
      <c r="I29" s="26"/>
      <c r="J29" s="28"/>
      <c r="K29" s="28"/>
      <c r="L29" s="35"/>
      <c r="M29" s="54"/>
    </row>
    <row r="30" spans="1:13" s="2" customFormat="1" ht="14.1" customHeight="1" x14ac:dyDescent="0.3">
      <c r="A30" s="19"/>
      <c r="B30" s="31"/>
      <c r="C30" s="31"/>
      <c r="D30" s="32"/>
      <c r="E30" s="33"/>
      <c r="F30" s="33"/>
      <c r="G30" s="34"/>
      <c r="H30" s="42"/>
      <c r="I30" s="26"/>
      <c r="J30" s="28"/>
      <c r="K30" s="28"/>
      <c r="L30" s="36"/>
      <c r="M30" s="55"/>
    </row>
    <row r="31" spans="1:13" s="2" customFormat="1" ht="14.1" customHeight="1" x14ac:dyDescent="0.3">
      <c r="A31" s="18">
        <v>15</v>
      </c>
      <c r="B31" s="49"/>
      <c r="C31" s="50"/>
      <c r="D31" s="51"/>
      <c r="E31" s="52"/>
      <c r="F31" s="52"/>
      <c r="G31" s="53"/>
      <c r="H31" s="41"/>
      <c r="I31" s="26"/>
      <c r="J31" s="28"/>
      <c r="K31" s="28"/>
      <c r="L31" s="35"/>
      <c r="M31" s="54"/>
    </row>
    <row r="32" spans="1:13" s="2" customFormat="1" ht="14.1" customHeight="1" x14ac:dyDescent="0.3">
      <c r="A32" s="19"/>
      <c r="B32" s="56"/>
      <c r="C32" s="57"/>
      <c r="D32" s="32"/>
      <c r="E32" s="33"/>
      <c r="F32" s="33"/>
      <c r="G32" s="34"/>
      <c r="H32" s="42"/>
      <c r="I32" s="26"/>
      <c r="J32" s="28"/>
      <c r="K32" s="28"/>
      <c r="L32" s="36"/>
      <c r="M32" s="55"/>
    </row>
    <row r="33" spans="1:13" s="2" customFormat="1" ht="14.1" customHeight="1" x14ac:dyDescent="0.3">
      <c r="A33" s="18">
        <v>16</v>
      </c>
      <c r="B33" s="66"/>
      <c r="C33" s="67"/>
      <c r="D33" s="68"/>
      <c r="E33" s="69"/>
      <c r="F33" s="69"/>
      <c r="G33" s="70"/>
      <c r="H33" s="41"/>
      <c r="I33" s="26"/>
      <c r="J33" s="28"/>
      <c r="K33" s="28"/>
      <c r="L33" s="36"/>
      <c r="M33" s="55"/>
    </row>
    <row r="34" spans="1:13" s="2" customFormat="1" ht="14.1" customHeight="1" thickBot="1" x14ac:dyDescent="0.35">
      <c r="A34" s="65"/>
      <c r="B34" s="60"/>
      <c r="C34" s="61"/>
      <c r="D34" s="62"/>
      <c r="E34" s="63"/>
      <c r="F34" s="63"/>
      <c r="G34" s="64"/>
      <c r="H34" s="71"/>
      <c r="I34" s="72"/>
      <c r="J34" s="58"/>
      <c r="K34" s="58"/>
      <c r="L34" s="58"/>
      <c r="M34" s="59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97B3-763A-4FD1-BE64-50962C56EF37}">
  <sheetPr>
    <tabColor rgb="FF7030A0"/>
    <pageSetUpPr fitToPage="1"/>
  </sheetPr>
  <dimension ref="A1:N51"/>
  <sheetViews>
    <sheetView zoomScale="110" zoomScaleNormal="110" workbookViewId="0">
      <selection activeCell="P24" sqref="P24:P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174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66" t="s">
        <v>44</v>
      </c>
      <c r="C3" s="67"/>
      <c r="D3" s="77" t="s">
        <v>45</v>
      </c>
      <c r="E3" s="78"/>
      <c r="F3" s="78"/>
      <c r="G3" s="79"/>
      <c r="H3" s="27">
        <f>SUM(I3)-2.9</f>
        <v>30.6</v>
      </c>
      <c r="I3" s="25">
        <v>33.5</v>
      </c>
      <c r="J3" s="27">
        <f>SUM(I3)+2.9</f>
        <v>36.4</v>
      </c>
      <c r="K3" s="27">
        <f>SUM(J3)+2.9</f>
        <v>39.299999999999997</v>
      </c>
      <c r="L3" s="27"/>
      <c r="M3" s="29"/>
    </row>
    <row r="4" spans="1:14" s="2" customFormat="1" ht="14.1" customHeight="1" x14ac:dyDescent="0.3">
      <c r="A4" s="19"/>
      <c r="B4" s="31" t="s">
        <v>46</v>
      </c>
      <c r="C4" s="31"/>
      <c r="D4" s="32" t="s">
        <v>47</v>
      </c>
      <c r="E4" s="33"/>
      <c r="F4" s="33"/>
      <c r="G4" s="33"/>
      <c r="H4" s="35"/>
      <c r="I4" s="43"/>
      <c r="J4" s="35"/>
      <c r="K4" s="35"/>
      <c r="L4" s="35"/>
      <c r="M4" s="37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35">
        <f>SUM(I5)-1.4</f>
        <v>34.9</v>
      </c>
      <c r="I5" s="43">
        <v>36.299999999999997</v>
      </c>
      <c r="J5" s="35">
        <f>SUM(I5)+1.4</f>
        <v>37.699999999999996</v>
      </c>
      <c r="K5" s="35">
        <f>SUM(J5)+1.4</f>
        <v>39.099999999999994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36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35">
        <f>SUM(I7)-1.5</f>
        <v>42</v>
      </c>
      <c r="I7" s="43">
        <v>43.5</v>
      </c>
      <c r="J7" s="35">
        <f>SUM(I7)+1.5</f>
        <v>45</v>
      </c>
      <c r="K7" s="35">
        <f>SUM(J7)+1.5</f>
        <v>46.5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36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175</v>
      </c>
      <c r="C9" s="39"/>
      <c r="D9" s="40"/>
      <c r="E9" s="40"/>
      <c r="F9" s="40"/>
      <c r="G9" s="40"/>
      <c r="H9" s="35">
        <f>SUM(I9)-2.5</f>
        <v>57.5</v>
      </c>
      <c r="I9" s="43">
        <v>60</v>
      </c>
      <c r="J9" s="35">
        <f>SUM(I9)+2.5</f>
        <v>62.5</v>
      </c>
      <c r="K9" s="35">
        <f>SUM(J9)+2.5</f>
        <v>65</v>
      </c>
      <c r="L9" s="35"/>
      <c r="M9" s="37"/>
    </row>
    <row r="10" spans="1:14" s="2" customFormat="1" ht="14.1" customHeight="1" x14ac:dyDescent="0.3">
      <c r="A10" s="19"/>
      <c r="B10" s="31" t="s">
        <v>129</v>
      </c>
      <c r="C10" s="31"/>
      <c r="D10" s="32" t="s">
        <v>177</v>
      </c>
      <c r="E10" s="33"/>
      <c r="F10" s="33"/>
      <c r="G10" s="34"/>
      <c r="H10" s="36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28">
        <f>SUM(I11)-0.8</f>
        <v>14.2</v>
      </c>
      <c r="I11" s="26">
        <v>15</v>
      </c>
      <c r="J11" s="28">
        <f>SUM(I11)+0.8</f>
        <v>15.8</v>
      </c>
      <c r="K11" s="28">
        <f>SUM(J11)+0.8</f>
        <v>16.600000000000001</v>
      </c>
      <c r="L11" s="28"/>
      <c r="M11" s="30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28"/>
      <c r="I12" s="26"/>
      <c r="J12" s="28"/>
      <c r="K12" s="28"/>
      <c r="L12" s="28"/>
      <c r="M12" s="30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28">
        <f>SUM(I13)-0.5</f>
        <v>12.5</v>
      </c>
      <c r="I13" s="26">
        <v>13</v>
      </c>
      <c r="J13" s="28">
        <f>SUM(I13)+0.5</f>
        <v>13.5</v>
      </c>
      <c r="K13" s="28">
        <f>SUM(J13)+0.5</f>
        <v>14</v>
      </c>
      <c r="L13" s="28"/>
      <c r="M13" s="30"/>
    </row>
    <row r="14" spans="1:14" s="2" customFormat="1" ht="14.1" customHeight="1" x14ac:dyDescent="0.3">
      <c r="A14" s="19"/>
      <c r="B14" s="31" t="s">
        <v>14</v>
      </c>
      <c r="C14" s="31"/>
      <c r="D14" s="32" t="s">
        <v>30</v>
      </c>
      <c r="E14" s="33"/>
      <c r="F14" s="33"/>
      <c r="G14" s="34"/>
      <c r="H14" s="28"/>
      <c r="I14" s="26"/>
      <c r="J14" s="28"/>
      <c r="K14" s="28"/>
      <c r="L14" s="28"/>
      <c r="M14" s="30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28">
        <f>SUM(I15)-0.3</f>
        <v>5.6000000000000005</v>
      </c>
      <c r="I15" s="26">
        <v>5.9</v>
      </c>
      <c r="J15" s="28">
        <f>SUM(I15)+0.3</f>
        <v>6.2</v>
      </c>
      <c r="K15" s="28">
        <f>SUM(J15)+0.3</f>
        <v>6.5</v>
      </c>
      <c r="L15" s="28"/>
      <c r="M15" s="30"/>
    </row>
    <row r="16" spans="1:14" s="2" customFormat="1" ht="14.1" customHeight="1" x14ac:dyDescent="0.3">
      <c r="A16" s="19"/>
      <c r="B16" s="31" t="s">
        <v>15</v>
      </c>
      <c r="C16" s="31"/>
      <c r="D16" s="32" t="s">
        <v>31</v>
      </c>
      <c r="E16" s="33"/>
      <c r="F16" s="33"/>
      <c r="G16" s="34"/>
      <c r="H16" s="28"/>
      <c r="I16" s="26"/>
      <c r="J16" s="28"/>
      <c r="K16" s="28"/>
      <c r="L16" s="28"/>
      <c r="M16" s="30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28">
        <f>SUM(I17)-1.4</f>
        <v>31.200000000000003</v>
      </c>
      <c r="I17" s="26">
        <v>32.6</v>
      </c>
      <c r="J17" s="28">
        <f>SUM(I17)+1.4</f>
        <v>34</v>
      </c>
      <c r="K17" s="28">
        <f>SUM(J17)+1.4</f>
        <v>35.4</v>
      </c>
      <c r="L17" s="28"/>
      <c r="M17" s="30"/>
    </row>
    <row r="18" spans="1:13" s="2" customFormat="1" ht="14.1" customHeight="1" x14ac:dyDescent="0.3">
      <c r="A18" s="19"/>
      <c r="B18" s="31" t="s">
        <v>41</v>
      </c>
      <c r="C18" s="31"/>
      <c r="D18" s="32" t="s">
        <v>130</v>
      </c>
      <c r="E18" s="33"/>
      <c r="F18" s="33"/>
      <c r="G18" s="34"/>
      <c r="H18" s="28"/>
      <c r="I18" s="26"/>
      <c r="J18" s="28"/>
      <c r="K18" s="28"/>
      <c r="L18" s="28"/>
      <c r="M18" s="30"/>
    </row>
    <row r="19" spans="1:13" s="2" customFormat="1" ht="14.1" customHeight="1" x14ac:dyDescent="0.3">
      <c r="A19" s="19">
        <v>9</v>
      </c>
      <c r="B19" s="49" t="s">
        <v>136</v>
      </c>
      <c r="C19" s="50"/>
      <c r="D19" s="45"/>
      <c r="E19" s="46"/>
      <c r="F19" s="46"/>
      <c r="G19" s="47"/>
      <c r="H19" s="28">
        <f>SUM(I19)-0.2</f>
        <v>2.2999999999999998</v>
      </c>
      <c r="I19" s="26">
        <v>2.5</v>
      </c>
      <c r="J19" s="28">
        <f>SUM(I19)+0.2</f>
        <v>2.7</v>
      </c>
      <c r="K19" s="28">
        <f>SUM(J19)+0.2</f>
        <v>2.9000000000000004</v>
      </c>
      <c r="L19" s="28"/>
      <c r="M19" s="30"/>
    </row>
    <row r="20" spans="1:13" s="2" customFormat="1" ht="14.1" customHeight="1" x14ac:dyDescent="0.3">
      <c r="A20" s="19"/>
      <c r="B20" s="31" t="s">
        <v>137</v>
      </c>
      <c r="C20" s="31"/>
      <c r="D20" s="32" t="s">
        <v>138</v>
      </c>
      <c r="E20" s="33"/>
      <c r="F20" s="33"/>
      <c r="G20" s="34"/>
      <c r="H20" s="28"/>
      <c r="I20" s="26"/>
      <c r="J20" s="28"/>
      <c r="K20" s="28"/>
      <c r="L20" s="28"/>
      <c r="M20" s="30"/>
    </row>
    <row r="21" spans="1:13" s="2" customFormat="1" ht="14.1" customHeight="1" x14ac:dyDescent="0.3">
      <c r="A21" s="19">
        <v>10</v>
      </c>
      <c r="B21" s="39" t="s">
        <v>5</v>
      </c>
      <c r="C21" s="39"/>
      <c r="D21" s="40" t="s">
        <v>6</v>
      </c>
      <c r="E21" s="40"/>
      <c r="F21" s="40"/>
      <c r="G21" s="40"/>
      <c r="H21" s="28">
        <f>SUM(I21)-2.8</f>
        <v>20.7</v>
      </c>
      <c r="I21" s="26">
        <v>23.5</v>
      </c>
      <c r="J21" s="28">
        <f>SUM(I21)+2.8</f>
        <v>26.3</v>
      </c>
      <c r="K21" s="28">
        <f>SUM(J21)+2.8</f>
        <v>29.1</v>
      </c>
      <c r="L21" s="28"/>
      <c r="M21" s="30"/>
    </row>
    <row r="22" spans="1:13" s="2" customFormat="1" ht="14.1" customHeight="1" x14ac:dyDescent="0.3">
      <c r="A22" s="19"/>
      <c r="B22" s="31" t="s">
        <v>16</v>
      </c>
      <c r="C22" s="31"/>
      <c r="D22" s="32" t="s">
        <v>32</v>
      </c>
      <c r="E22" s="33"/>
      <c r="F22" s="33"/>
      <c r="G22" s="34"/>
      <c r="H22" s="28"/>
      <c r="I22" s="26"/>
      <c r="J22" s="28"/>
      <c r="K22" s="28"/>
      <c r="L22" s="28"/>
      <c r="M22" s="30"/>
    </row>
    <row r="23" spans="1:13" s="2" customFormat="1" ht="14.1" customHeight="1" x14ac:dyDescent="0.3">
      <c r="A23" s="19">
        <v>11</v>
      </c>
      <c r="B23" s="39" t="s">
        <v>7</v>
      </c>
      <c r="C23" s="39"/>
      <c r="D23" s="45" t="s">
        <v>8</v>
      </c>
      <c r="E23" s="46"/>
      <c r="F23" s="46"/>
      <c r="G23" s="47"/>
      <c r="H23" s="28">
        <f>SUM(I23)-1.6</f>
        <v>28.4</v>
      </c>
      <c r="I23" s="26">
        <v>30</v>
      </c>
      <c r="J23" s="28">
        <f>SUM(I23)+1.6</f>
        <v>31.6</v>
      </c>
      <c r="K23" s="28">
        <f>SUM(J23)+1.6</f>
        <v>33.200000000000003</v>
      </c>
      <c r="L23" s="28"/>
      <c r="M23" s="30"/>
    </row>
    <row r="24" spans="1:13" s="2" customFormat="1" ht="14.1" customHeight="1" x14ac:dyDescent="0.3">
      <c r="A24" s="19"/>
      <c r="B24" s="31" t="s">
        <v>17</v>
      </c>
      <c r="C24" s="31"/>
      <c r="D24" s="32" t="s">
        <v>36</v>
      </c>
      <c r="E24" s="33"/>
      <c r="F24" s="33"/>
      <c r="G24" s="34"/>
      <c r="H24" s="28"/>
      <c r="I24" s="26"/>
      <c r="J24" s="28"/>
      <c r="K24" s="28"/>
      <c r="L24" s="28"/>
      <c r="M24" s="30"/>
    </row>
    <row r="25" spans="1:13" s="2" customFormat="1" ht="14.1" customHeight="1" x14ac:dyDescent="0.3">
      <c r="A25" s="19">
        <v>12</v>
      </c>
      <c r="B25" s="49" t="s">
        <v>176</v>
      </c>
      <c r="C25" s="50"/>
      <c r="D25" s="40"/>
      <c r="E25" s="40"/>
      <c r="F25" s="40"/>
      <c r="G25" s="40"/>
      <c r="H25" s="28">
        <f>SUM(I25)-0.5</f>
        <v>13.5</v>
      </c>
      <c r="I25" s="26">
        <v>14</v>
      </c>
      <c r="J25" s="28">
        <f>SUM(I25)+0.5</f>
        <v>14.5</v>
      </c>
      <c r="K25" s="28">
        <f>SUM(J25)+0.5</f>
        <v>15</v>
      </c>
      <c r="L25" s="28"/>
      <c r="M25" s="30"/>
    </row>
    <row r="26" spans="1:13" s="2" customFormat="1" ht="14.1" customHeight="1" x14ac:dyDescent="0.3">
      <c r="A26" s="19"/>
      <c r="B26" s="31" t="s">
        <v>131</v>
      </c>
      <c r="C26" s="31"/>
      <c r="D26" s="32" t="s">
        <v>156</v>
      </c>
      <c r="E26" s="33"/>
      <c r="F26" s="33"/>
      <c r="G26" s="34"/>
      <c r="H26" s="28"/>
      <c r="I26" s="26"/>
      <c r="J26" s="28"/>
      <c r="K26" s="28"/>
      <c r="L26" s="28"/>
      <c r="M26" s="30"/>
    </row>
    <row r="27" spans="1:13" s="2" customFormat="1" ht="14.1" customHeight="1" x14ac:dyDescent="0.3">
      <c r="A27" s="19">
        <v>13</v>
      </c>
      <c r="B27" s="49" t="s">
        <v>133</v>
      </c>
      <c r="C27" s="50"/>
      <c r="D27" s="51"/>
      <c r="E27" s="52"/>
      <c r="F27" s="52"/>
      <c r="G27" s="53"/>
      <c r="H27" s="28">
        <v>28.5</v>
      </c>
      <c r="I27" s="26">
        <v>31.5</v>
      </c>
      <c r="J27" s="35">
        <v>34.5</v>
      </c>
      <c r="K27" s="35">
        <v>37.5</v>
      </c>
      <c r="L27" s="28"/>
      <c r="M27" s="30"/>
    </row>
    <row r="28" spans="1:13" s="2" customFormat="1" ht="14.1" customHeight="1" x14ac:dyDescent="0.3">
      <c r="A28" s="19"/>
      <c r="B28" s="56" t="s">
        <v>134</v>
      </c>
      <c r="C28" s="57"/>
      <c r="D28" s="32" t="s">
        <v>135</v>
      </c>
      <c r="E28" s="33"/>
      <c r="F28" s="33"/>
      <c r="G28" s="34"/>
      <c r="H28" s="28"/>
      <c r="I28" s="26"/>
      <c r="J28" s="36"/>
      <c r="K28" s="36"/>
      <c r="L28" s="28"/>
      <c r="M28" s="30"/>
    </row>
    <row r="29" spans="1:13" s="2" customFormat="1" ht="14.1" customHeight="1" x14ac:dyDescent="0.3">
      <c r="A29" s="19">
        <v>14</v>
      </c>
      <c r="B29" s="49"/>
      <c r="C29" s="50"/>
      <c r="D29" s="51"/>
      <c r="E29" s="52"/>
      <c r="F29" s="52"/>
      <c r="G29" s="53"/>
      <c r="H29" s="28"/>
      <c r="I29" s="26"/>
      <c r="J29" s="35"/>
      <c r="K29" s="35"/>
      <c r="L29" s="35"/>
      <c r="M29" s="37"/>
    </row>
    <row r="30" spans="1:13" s="2" customFormat="1" ht="14.1" customHeight="1" x14ac:dyDescent="0.3">
      <c r="A30" s="19"/>
      <c r="B30" s="56"/>
      <c r="C30" s="57"/>
      <c r="D30" s="32"/>
      <c r="E30" s="33"/>
      <c r="F30" s="33"/>
      <c r="G30" s="34"/>
      <c r="H30" s="28"/>
      <c r="I30" s="26"/>
      <c r="J30" s="36"/>
      <c r="K30" s="36"/>
      <c r="L30" s="36"/>
      <c r="M30" s="38"/>
    </row>
    <row r="31" spans="1:13" s="2" customFormat="1" ht="14.1" customHeight="1" x14ac:dyDescent="0.3">
      <c r="A31" s="19">
        <v>15</v>
      </c>
      <c r="B31" s="49"/>
      <c r="C31" s="50"/>
      <c r="D31" s="51"/>
      <c r="E31" s="52"/>
      <c r="F31" s="52"/>
      <c r="G31" s="53"/>
      <c r="H31" s="28"/>
      <c r="I31" s="26"/>
      <c r="J31" s="35"/>
      <c r="K31" s="35"/>
      <c r="L31" s="35"/>
      <c r="M31" s="37"/>
    </row>
    <row r="32" spans="1:13" s="2" customFormat="1" ht="14.1" customHeight="1" x14ac:dyDescent="0.3">
      <c r="A32" s="19"/>
      <c r="B32" s="31"/>
      <c r="C32" s="31"/>
      <c r="D32" s="32"/>
      <c r="E32" s="33"/>
      <c r="F32" s="33"/>
      <c r="G32" s="34"/>
      <c r="H32" s="28"/>
      <c r="I32" s="26"/>
      <c r="J32" s="36"/>
      <c r="K32" s="36"/>
      <c r="L32" s="36"/>
      <c r="M32" s="38"/>
    </row>
    <row r="33" spans="1:13" s="2" customFormat="1" ht="14.1" customHeight="1" x14ac:dyDescent="0.3">
      <c r="A33" s="19">
        <v>16</v>
      </c>
      <c r="B33" s="49"/>
      <c r="C33" s="50"/>
      <c r="D33" s="45"/>
      <c r="E33" s="46"/>
      <c r="F33" s="46"/>
      <c r="G33" s="47"/>
      <c r="H33" s="28"/>
      <c r="I33" s="26"/>
      <c r="J33" s="35"/>
      <c r="K33" s="35"/>
      <c r="L33" s="35"/>
      <c r="M33" s="37"/>
    </row>
    <row r="34" spans="1:13" s="2" customFormat="1" ht="14.1" customHeight="1" thickBot="1" x14ac:dyDescent="0.35">
      <c r="A34" s="65"/>
      <c r="B34" s="60"/>
      <c r="C34" s="61"/>
      <c r="D34" s="62"/>
      <c r="E34" s="63"/>
      <c r="F34" s="63"/>
      <c r="G34" s="64"/>
      <c r="H34" s="58"/>
      <c r="I34" s="72"/>
      <c r="J34" s="74"/>
      <c r="K34" s="74"/>
      <c r="L34" s="74"/>
      <c r="M34" s="80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789B-F3B8-413A-AF21-4DD9DA7C79C3}">
  <sheetPr>
    <tabColor rgb="FF7030A0"/>
    <pageSetUpPr fitToPage="1"/>
  </sheetPr>
  <dimension ref="A1:N51"/>
  <sheetViews>
    <sheetView zoomScale="110" zoomScaleNormal="110" workbookViewId="0">
      <selection activeCell="P9" sqref="P9: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178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66" t="s">
        <v>44</v>
      </c>
      <c r="C3" s="67"/>
      <c r="D3" s="77" t="s">
        <v>45</v>
      </c>
      <c r="E3" s="78"/>
      <c r="F3" s="78"/>
      <c r="G3" s="79"/>
      <c r="H3" s="27">
        <f>SUM(I3)-2.9</f>
        <v>30.1</v>
      </c>
      <c r="I3" s="25">
        <v>33</v>
      </c>
      <c r="J3" s="27">
        <f>SUM(I3)+2.9</f>
        <v>35.9</v>
      </c>
      <c r="K3" s="27">
        <f>SUM(J3)+2.9</f>
        <v>38.799999999999997</v>
      </c>
      <c r="L3" s="27"/>
      <c r="M3" s="29"/>
    </row>
    <row r="4" spans="1:14" s="2" customFormat="1" ht="14.1" customHeight="1" x14ac:dyDescent="0.3">
      <c r="A4" s="19"/>
      <c r="B4" s="31" t="s">
        <v>46</v>
      </c>
      <c r="C4" s="31"/>
      <c r="D4" s="32" t="s">
        <v>47</v>
      </c>
      <c r="E4" s="33"/>
      <c r="F4" s="33"/>
      <c r="G4" s="33"/>
      <c r="H4" s="35"/>
      <c r="I4" s="43"/>
      <c r="J4" s="35"/>
      <c r="K4" s="35"/>
      <c r="L4" s="35"/>
      <c r="M4" s="37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35">
        <f>SUM(I5)-1.4</f>
        <v>34.6</v>
      </c>
      <c r="I5" s="43">
        <v>36</v>
      </c>
      <c r="J5" s="35">
        <f>SUM(I5)+1.4</f>
        <v>37.4</v>
      </c>
      <c r="K5" s="35">
        <f>SUM(J5)+1.4</f>
        <v>38.799999999999997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36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35">
        <f>SUM(I7)-1.5</f>
        <v>35.9</v>
      </c>
      <c r="I7" s="43">
        <v>37.4</v>
      </c>
      <c r="J7" s="35">
        <f>SUM(I7)+1.5</f>
        <v>38.9</v>
      </c>
      <c r="K7" s="35">
        <f>SUM(J7)+1.5</f>
        <v>40.4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36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175</v>
      </c>
      <c r="C9" s="39"/>
      <c r="D9" s="40"/>
      <c r="E9" s="40"/>
      <c r="F9" s="40"/>
      <c r="G9" s="40"/>
      <c r="H9" s="35">
        <f>SUM(I9)-2.5</f>
        <v>57.5</v>
      </c>
      <c r="I9" s="43">
        <v>60</v>
      </c>
      <c r="J9" s="35">
        <f>SUM(I9)+2.5</f>
        <v>62.5</v>
      </c>
      <c r="K9" s="35">
        <f>SUM(J9)+2.5</f>
        <v>65</v>
      </c>
      <c r="L9" s="35"/>
      <c r="M9" s="37"/>
    </row>
    <row r="10" spans="1:14" s="2" customFormat="1" ht="14.1" customHeight="1" x14ac:dyDescent="0.3">
      <c r="A10" s="19"/>
      <c r="B10" s="31" t="s">
        <v>129</v>
      </c>
      <c r="C10" s="31"/>
      <c r="D10" s="32" t="s">
        <v>192</v>
      </c>
      <c r="E10" s="33"/>
      <c r="F10" s="33"/>
      <c r="G10" s="34"/>
      <c r="H10" s="36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28">
        <f>SUM(I11)-0.8</f>
        <v>14.399999999999999</v>
      </c>
      <c r="I11" s="26">
        <v>15.2</v>
      </c>
      <c r="J11" s="28">
        <f>SUM(I11)+0.8</f>
        <v>16</v>
      </c>
      <c r="K11" s="28">
        <f>SUM(J11)+0.9</f>
        <v>16.899999999999999</v>
      </c>
      <c r="L11" s="28"/>
      <c r="M11" s="30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28"/>
      <c r="I12" s="26"/>
      <c r="J12" s="28"/>
      <c r="K12" s="28"/>
      <c r="L12" s="28"/>
      <c r="M12" s="30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28">
        <f>SUM(I13)-0.5</f>
        <v>14.1</v>
      </c>
      <c r="I13" s="26">
        <v>14.6</v>
      </c>
      <c r="J13" s="28">
        <f>SUM(I13)+0.5</f>
        <v>15.1</v>
      </c>
      <c r="K13" s="28">
        <f>SUM(J13)+0.5</f>
        <v>15.6</v>
      </c>
      <c r="L13" s="28"/>
      <c r="M13" s="30"/>
    </row>
    <row r="14" spans="1:14" s="2" customFormat="1" ht="14.1" customHeight="1" x14ac:dyDescent="0.3">
      <c r="A14" s="19"/>
      <c r="B14" s="31" t="s">
        <v>14</v>
      </c>
      <c r="C14" s="31"/>
      <c r="D14" s="32" t="s">
        <v>30</v>
      </c>
      <c r="E14" s="33"/>
      <c r="F14" s="33"/>
      <c r="G14" s="34"/>
      <c r="H14" s="28"/>
      <c r="I14" s="26"/>
      <c r="J14" s="28"/>
      <c r="K14" s="28"/>
      <c r="L14" s="28"/>
      <c r="M14" s="30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28">
        <f>SUM(I15)-0.3</f>
        <v>5.7</v>
      </c>
      <c r="I15" s="26">
        <v>6</v>
      </c>
      <c r="J15" s="28">
        <f>SUM(I15)+0.3</f>
        <v>6.3</v>
      </c>
      <c r="K15" s="28">
        <f>SUM(J15)+0.3</f>
        <v>6.6</v>
      </c>
      <c r="L15" s="28"/>
      <c r="M15" s="30"/>
    </row>
    <row r="16" spans="1:14" s="2" customFormat="1" ht="14.1" customHeight="1" x14ac:dyDescent="0.3">
      <c r="A16" s="19"/>
      <c r="B16" s="31" t="s">
        <v>15</v>
      </c>
      <c r="C16" s="31"/>
      <c r="D16" s="32" t="s">
        <v>31</v>
      </c>
      <c r="E16" s="33"/>
      <c r="F16" s="33"/>
      <c r="G16" s="34"/>
      <c r="H16" s="28"/>
      <c r="I16" s="26"/>
      <c r="J16" s="28"/>
      <c r="K16" s="28"/>
      <c r="L16" s="28"/>
      <c r="M16" s="30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28">
        <f>SUM(I17)-1.4</f>
        <v>35.200000000000003</v>
      </c>
      <c r="I17" s="26">
        <v>36.6</v>
      </c>
      <c r="J17" s="28">
        <f>SUM(I17)+1.4</f>
        <v>38</v>
      </c>
      <c r="K17" s="28">
        <f>SUM(J17)+1.4</f>
        <v>39.4</v>
      </c>
      <c r="L17" s="28"/>
      <c r="M17" s="30"/>
    </row>
    <row r="18" spans="1:13" s="2" customFormat="1" ht="14.1" customHeight="1" x14ac:dyDescent="0.3">
      <c r="A18" s="19"/>
      <c r="B18" s="31" t="s">
        <v>41</v>
      </c>
      <c r="C18" s="31"/>
      <c r="D18" s="32" t="s">
        <v>130</v>
      </c>
      <c r="E18" s="33"/>
      <c r="F18" s="33"/>
      <c r="G18" s="34"/>
      <c r="H18" s="28"/>
      <c r="I18" s="26"/>
      <c r="J18" s="28"/>
      <c r="K18" s="28"/>
      <c r="L18" s="28"/>
      <c r="M18" s="30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28">
        <f>SUM(I19)-2.8</f>
        <v>21.2</v>
      </c>
      <c r="I19" s="26">
        <v>24</v>
      </c>
      <c r="J19" s="28">
        <f>SUM(I19)+2.8</f>
        <v>26.8</v>
      </c>
      <c r="K19" s="28">
        <f>SUM(J19)+2.8</f>
        <v>29.6</v>
      </c>
      <c r="L19" s="28"/>
      <c r="M19" s="30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28"/>
      <c r="I20" s="26"/>
      <c r="J20" s="28"/>
      <c r="K20" s="28"/>
      <c r="L20" s="28"/>
      <c r="M20" s="30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28">
        <f>SUM(I21)-1.7</f>
        <v>28.7</v>
      </c>
      <c r="I21" s="26">
        <v>30.4</v>
      </c>
      <c r="J21" s="28">
        <f>SUM(I21)+1.7</f>
        <v>32.1</v>
      </c>
      <c r="K21" s="28">
        <f>SUM(J21)+1.7</f>
        <v>33.800000000000004</v>
      </c>
      <c r="L21" s="28"/>
      <c r="M21" s="30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28"/>
      <c r="I22" s="26"/>
      <c r="J22" s="28"/>
      <c r="K22" s="28"/>
      <c r="L22" s="28"/>
      <c r="M22" s="30"/>
    </row>
    <row r="23" spans="1:13" s="2" customFormat="1" ht="14.1" customHeight="1" x14ac:dyDescent="0.3">
      <c r="A23" s="19">
        <v>11</v>
      </c>
      <c r="B23" s="49" t="s">
        <v>176</v>
      </c>
      <c r="C23" s="50"/>
      <c r="D23" s="40"/>
      <c r="E23" s="40"/>
      <c r="F23" s="40"/>
      <c r="G23" s="40"/>
      <c r="H23" s="28">
        <f>SUM(I23)-0.5</f>
        <v>15.5</v>
      </c>
      <c r="I23" s="26">
        <v>16</v>
      </c>
      <c r="J23" s="28">
        <f>SUM(I23)+0.5</f>
        <v>16.5</v>
      </c>
      <c r="K23" s="28">
        <f>SUM(J23)+0.5</f>
        <v>17</v>
      </c>
      <c r="L23" s="28"/>
      <c r="M23" s="30"/>
    </row>
    <row r="24" spans="1:13" s="2" customFormat="1" ht="14.1" customHeight="1" x14ac:dyDescent="0.3">
      <c r="A24" s="19"/>
      <c r="B24" s="31" t="s">
        <v>131</v>
      </c>
      <c r="C24" s="31"/>
      <c r="D24" s="32" t="s">
        <v>193</v>
      </c>
      <c r="E24" s="33"/>
      <c r="F24" s="33"/>
      <c r="G24" s="34"/>
      <c r="H24" s="28"/>
      <c r="I24" s="26"/>
      <c r="J24" s="28"/>
      <c r="K24" s="28"/>
      <c r="L24" s="28"/>
      <c r="M24" s="30"/>
    </row>
    <row r="25" spans="1:13" s="2" customFormat="1" ht="14.1" customHeight="1" x14ac:dyDescent="0.3">
      <c r="A25" s="19">
        <v>12</v>
      </c>
      <c r="B25" s="49" t="s">
        <v>133</v>
      </c>
      <c r="C25" s="50"/>
      <c r="D25" s="51"/>
      <c r="E25" s="52"/>
      <c r="F25" s="52"/>
      <c r="G25" s="53"/>
      <c r="H25" s="28">
        <v>25.5</v>
      </c>
      <c r="I25" s="26">
        <v>28</v>
      </c>
      <c r="J25" s="35">
        <v>31</v>
      </c>
      <c r="K25" s="35">
        <v>33.5</v>
      </c>
      <c r="L25" s="28"/>
      <c r="M25" s="30"/>
    </row>
    <row r="26" spans="1:13" s="2" customFormat="1" ht="14.1" customHeight="1" x14ac:dyDescent="0.3">
      <c r="A26" s="19"/>
      <c r="B26" s="56" t="s">
        <v>134</v>
      </c>
      <c r="C26" s="57"/>
      <c r="D26" s="32" t="s">
        <v>135</v>
      </c>
      <c r="E26" s="33"/>
      <c r="F26" s="33"/>
      <c r="G26" s="34"/>
      <c r="H26" s="28"/>
      <c r="I26" s="26"/>
      <c r="J26" s="36"/>
      <c r="K26" s="36"/>
      <c r="L26" s="28"/>
      <c r="M26" s="30"/>
    </row>
    <row r="27" spans="1:13" s="2" customFormat="1" ht="14.1" customHeight="1" x14ac:dyDescent="0.3">
      <c r="A27" s="19">
        <v>13</v>
      </c>
      <c r="B27" s="39" t="s">
        <v>179</v>
      </c>
      <c r="C27" s="39"/>
      <c r="D27" s="45" t="s">
        <v>180</v>
      </c>
      <c r="E27" s="46"/>
      <c r="F27" s="46"/>
      <c r="G27" s="47"/>
      <c r="H27" s="28">
        <f>SUM(I27)-0.8</f>
        <v>25.2</v>
      </c>
      <c r="I27" s="26">
        <v>26</v>
      </c>
      <c r="J27" s="35">
        <f>SUM(I27)+0.8</f>
        <v>26.8</v>
      </c>
      <c r="K27" s="35">
        <f>SUM(J27)+0.8</f>
        <v>27.6</v>
      </c>
      <c r="L27" s="35"/>
      <c r="M27" s="37"/>
    </row>
    <row r="28" spans="1:13" s="2" customFormat="1" ht="14.1" customHeight="1" x14ac:dyDescent="0.3">
      <c r="A28" s="19"/>
      <c r="B28" s="31" t="s">
        <v>181</v>
      </c>
      <c r="C28" s="31"/>
      <c r="D28" s="32" t="s">
        <v>182</v>
      </c>
      <c r="E28" s="33"/>
      <c r="F28" s="33"/>
      <c r="G28" s="34"/>
      <c r="H28" s="28"/>
      <c r="I28" s="26"/>
      <c r="J28" s="36"/>
      <c r="K28" s="36"/>
      <c r="L28" s="36"/>
      <c r="M28" s="38"/>
    </row>
    <row r="29" spans="1:13" s="2" customFormat="1" ht="14.1" customHeight="1" x14ac:dyDescent="0.3">
      <c r="A29" s="19">
        <v>14</v>
      </c>
      <c r="B29" s="39" t="s">
        <v>183</v>
      </c>
      <c r="C29" s="39"/>
      <c r="D29" s="45" t="s">
        <v>184</v>
      </c>
      <c r="E29" s="46"/>
      <c r="F29" s="46"/>
      <c r="G29" s="47"/>
      <c r="H29" s="28">
        <f>SUM(I29)-0.8</f>
        <v>19.7</v>
      </c>
      <c r="I29" s="26">
        <v>20.5</v>
      </c>
      <c r="J29" s="35">
        <f>SUM(I29)+0.8</f>
        <v>21.3</v>
      </c>
      <c r="K29" s="35">
        <f>SUM(J29)+0.8</f>
        <v>22.1</v>
      </c>
      <c r="L29" s="35"/>
      <c r="M29" s="37"/>
    </row>
    <row r="30" spans="1:13" s="2" customFormat="1" ht="14.1" customHeight="1" x14ac:dyDescent="0.3">
      <c r="A30" s="19"/>
      <c r="B30" s="31" t="s">
        <v>185</v>
      </c>
      <c r="C30" s="31"/>
      <c r="D30" s="32" t="s">
        <v>186</v>
      </c>
      <c r="E30" s="33"/>
      <c r="F30" s="33"/>
      <c r="G30" s="34"/>
      <c r="H30" s="28"/>
      <c r="I30" s="26"/>
      <c r="J30" s="36"/>
      <c r="K30" s="36"/>
      <c r="L30" s="36"/>
      <c r="M30" s="38"/>
    </row>
    <row r="31" spans="1:13" s="2" customFormat="1" ht="14.1" customHeight="1" x14ac:dyDescent="0.3">
      <c r="A31" s="19">
        <v>15</v>
      </c>
      <c r="B31" s="49" t="s">
        <v>190</v>
      </c>
      <c r="C31" s="50"/>
      <c r="D31" s="40"/>
      <c r="E31" s="40"/>
      <c r="F31" s="40"/>
      <c r="G31" s="40"/>
      <c r="H31" s="28">
        <f>SUM(I31)-0.2</f>
        <v>5.8</v>
      </c>
      <c r="I31" s="26">
        <v>6</v>
      </c>
      <c r="J31" s="28">
        <f>SUM(I31)+0.2</f>
        <v>6.2</v>
      </c>
      <c r="K31" s="28">
        <f>SUM(J31)+0.2</f>
        <v>6.4</v>
      </c>
      <c r="L31" s="28"/>
      <c r="M31" s="30"/>
    </row>
    <row r="32" spans="1:13" s="2" customFormat="1" ht="14.1" customHeight="1" x14ac:dyDescent="0.3">
      <c r="A32" s="19"/>
      <c r="B32" s="31" t="s">
        <v>191</v>
      </c>
      <c r="C32" s="31"/>
      <c r="D32" s="32" t="s">
        <v>193</v>
      </c>
      <c r="E32" s="33"/>
      <c r="F32" s="33"/>
      <c r="G32" s="34"/>
      <c r="H32" s="28"/>
      <c r="I32" s="26"/>
      <c r="J32" s="28"/>
      <c r="K32" s="28"/>
      <c r="L32" s="28"/>
      <c r="M32" s="30"/>
    </row>
    <row r="33" spans="1:13" s="2" customFormat="1" ht="14.1" customHeight="1" x14ac:dyDescent="0.3">
      <c r="A33" s="19">
        <v>16</v>
      </c>
      <c r="B33" s="49" t="s">
        <v>187</v>
      </c>
      <c r="C33" s="50"/>
      <c r="D33" s="45"/>
      <c r="E33" s="46"/>
      <c r="F33" s="46"/>
      <c r="G33" s="47"/>
      <c r="H33" s="28">
        <f>SUM(I33)-0.5</f>
        <v>10</v>
      </c>
      <c r="I33" s="26">
        <v>10.5</v>
      </c>
      <c r="J33" s="35">
        <f>SUM(I33)+0.5</f>
        <v>11</v>
      </c>
      <c r="K33" s="35">
        <f>SUM(J33)+0.5</f>
        <v>11.5</v>
      </c>
      <c r="L33" s="35"/>
      <c r="M33" s="37"/>
    </row>
    <row r="34" spans="1:13" s="2" customFormat="1" ht="14.1" customHeight="1" x14ac:dyDescent="0.3">
      <c r="A34" s="19"/>
      <c r="B34" s="56" t="s">
        <v>188</v>
      </c>
      <c r="C34" s="57"/>
      <c r="D34" s="32"/>
      <c r="E34" s="33"/>
      <c r="F34" s="33"/>
      <c r="G34" s="34"/>
      <c r="H34" s="28"/>
      <c r="I34" s="26"/>
      <c r="J34" s="36"/>
      <c r="K34" s="36"/>
      <c r="L34" s="36"/>
      <c r="M34" s="38"/>
    </row>
    <row r="35" spans="1:13" ht="14.1" customHeight="1" x14ac:dyDescent="0.3">
      <c r="A35" s="19">
        <v>17</v>
      </c>
      <c r="B35" s="49" t="s">
        <v>57</v>
      </c>
      <c r="C35" s="50"/>
      <c r="D35" s="68"/>
      <c r="E35" s="69"/>
      <c r="F35" s="69"/>
      <c r="G35" s="70"/>
      <c r="H35" s="28">
        <f>SUM(I35)-0.6</f>
        <v>8.7000000000000011</v>
      </c>
      <c r="I35" s="26">
        <v>9.3000000000000007</v>
      </c>
      <c r="J35" s="35">
        <f>SUM(I35)+0.6</f>
        <v>9.9</v>
      </c>
      <c r="K35" s="35">
        <f>SUM(J35)+0.6</f>
        <v>10.5</v>
      </c>
      <c r="L35" s="35"/>
      <c r="M35" s="37"/>
    </row>
    <row r="36" spans="1:13" ht="14.1" customHeight="1" x14ac:dyDescent="0.3">
      <c r="A36" s="19"/>
      <c r="B36" s="56" t="s">
        <v>58</v>
      </c>
      <c r="C36" s="57"/>
      <c r="D36" s="32" t="s">
        <v>148</v>
      </c>
      <c r="E36" s="33"/>
      <c r="F36" s="33"/>
      <c r="G36" s="34"/>
      <c r="H36" s="28"/>
      <c r="I36" s="26"/>
      <c r="J36" s="36"/>
      <c r="K36" s="36"/>
      <c r="L36" s="36"/>
      <c r="M36" s="38"/>
    </row>
    <row r="37" spans="1:13" ht="14.1" customHeight="1" x14ac:dyDescent="0.3">
      <c r="A37" s="19">
        <v>18</v>
      </c>
      <c r="B37" s="66" t="s">
        <v>59</v>
      </c>
      <c r="C37" s="67"/>
      <c r="D37" s="68"/>
      <c r="E37" s="69"/>
      <c r="F37" s="69"/>
      <c r="G37" s="70"/>
      <c r="H37" s="28">
        <f>SUM(I37)-0.2</f>
        <v>3.3</v>
      </c>
      <c r="I37" s="26">
        <v>3.5</v>
      </c>
      <c r="J37" s="35">
        <f>SUM(I37)+0.2</f>
        <v>3.7</v>
      </c>
      <c r="K37" s="35">
        <f>SUM(J37)+0.2</f>
        <v>3.9000000000000004</v>
      </c>
      <c r="L37" s="35"/>
      <c r="M37" s="37"/>
    </row>
    <row r="38" spans="1:13" ht="14.1" customHeight="1" thickBot="1" x14ac:dyDescent="0.35">
      <c r="A38" s="65"/>
      <c r="B38" s="60" t="s">
        <v>60</v>
      </c>
      <c r="C38" s="61"/>
      <c r="D38" s="62" t="s">
        <v>189</v>
      </c>
      <c r="E38" s="63"/>
      <c r="F38" s="63"/>
      <c r="G38" s="64"/>
      <c r="H38" s="58"/>
      <c r="I38" s="72"/>
      <c r="J38" s="74"/>
      <c r="K38" s="74"/>
      <c r="L38" s="74"/>
      <c r="M38" s="80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L35:L36"/>
    <mergeCell ref="M35:M36"/>
    <mergeCell ref="B37:C37"/>
    <mergeCell ref="D37:G37"/>
    <mergeCell ref="K37:K38"/>
    <mergeCell ref="L37:L38"/>
    <mergeCell ref="M37:M38"/>
    <mergeCell ref="A35:A36"/>
    <mergeCell ref="B35:C35"/>
    <mergeCell ref="B36:C36"/>
    <mergeCell ref="D35:G35"/>
    <mergeCell ref="D36:G36"/>
    <mergeCell ref="H35:H36"/>
    <mergeCell ref="B38:C38"/>
    <mergeCell ref="D38:G38"/>
    <mergeCell ref="A37:A38"/>
    <mergeCell ref="H37:H38"/>
    <mergeCell ref="I37:I38"/>
    <mergeCell ref="J37:J38"/>
    <mergeCell ref="I35:I36"/>
    <mergeCell ref="J35:J36"/>
    <mergeCell ref="K35:K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A0D6-45BA-43C5-8845-70EAEC4B0D23}">
  <sheetPr>
    <tabColor rgb="FF7030A0"/>
    <pageSetUpPr fitToPage="1"/>
  </sheetPr>
  <dimension ref="A1:M51"/>
  <sheetViews>
    <sheetView zoomScale="110" zoomScaleNormal="110" workbookViewId="0">
      <selection activeCell="O11" sqref="O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194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62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>
        <f>SUM(J3)+2</f>
        <v>46</v>
      </c>
      <c r="L3" s="111"/>
      <c r="M3" s="112"/>
    </row>
    <row r="4" spans="1:13" s="2" customFormat="1" ht="14.1" customHeight="1" x14ac:dyDescent="0.3">
      <c r="A4" s="89"/>
      <c r="B4" s="81" t="s">
        <v>64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59.2</v>
      </c>
      <c r="I11" s="100">
        <v>62</v>
      </c>
      <c r="J11" s="95">
        <f>SUM(I11)+2.8</f>
        <v>64.8</v>
      </c>
      <c r="K11" s="95">
        <f>SUM(J11)+2.8</f>
        <v>67.599999999999994</v>
      </c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63.2</v>
      </c>
      <c r="I13" s="43">
        <v>66.2</v>
      </c>
      <c r="J13" s="35">
        <f>SUM(I13)+3</f>
        <v>69.2</v>
      </c>
      <c r="K13" s="35">
        <f>SUM(J13)+3</f>
        <v>72.2</v>
      </c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10.9</v>
      </c>
      <c r="I15" s="43">
        <v>11.4</v>
      </c>
      <c r="J15" s="35">
        <f>SUM(I15)+0.5</f>
        <v>11.9</v>
      </c>
      <c r="K15" s="35">
        <f>SUM(J15)+0.5</f>
        <v>12.4</v>
      </c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SUM(I19)-1</f>
        <v>22.5</v>
      </c>
      <c r="I19" s="43">
        <v>23.5</v>
      </c>
      <c r="J19" s="35">
        <f>SUM(I19)+1.5</f>
        <v>25</v>
      </c>
      <c r="K19" s="35">
        <f>SUM(J19)+1.5</f>
        <v>26.5</v>
      </c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SUM(I21)-1.7</f>
        <v>39.199999999999996</v>
      </c>
      <c r="I21" s="43">
        <v>40.9</v>
      </c>
      <c r="J21" s="35">
        <f>SUM(I21)+1.7</f>
        <v>42.6</v>
      </c>
      <c r="K21" s="35">
        <f>SUM(J21)+1.8</f>
        <v>44.4</v>
      </c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18.8</v>
      </c>
      <c r="I23" s="43">
        <v>19.600000000000001</v>
      </c>
      <c r="J23" s="35">
        <f>SUM(I23)+0.8</f>
        <v>20.400000000000002</v>
      </c>
      <c r="K23" s="35">
        <f>SUM(J23)+0.8</f>
        <v>21.200000000000003</v>
      </c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24.4</v>
      </c>
      <c r="I25" s="43">
        <v>25.4</v>
      </c>
      <c r="J25" s="35">
        <f>SUM(I25)+1</f>
        <v>26.4</v>
      </c>
      <c r="K25" s="35">
        <f>SUM(J25)+1</f>
        <v>27.4</v>
      </c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111</v>
      </c>
      <c r="C35" s="50"/>
      <c r="D35" s="45" t="s">
        <v>112</v>
      </c>
      <c r="E35" s="46"/>
      <c r="F35" s="46"/>
      <c r="G35" s="47"/>
      <c r="H35" s="90">
        <f>SUM(I35)-0.2</f>
        <v>3.8</v>
      </c>
      <c r="I35" s="43">
        <v>4</v>
      </c>
      <c r="J35" s="35">
        <f>SUM(I35)+0.2</f>
        <v>4.2</v>
      </c>
      <c r="K35" s="35">
        <f>SUM(J35)+0.2</f>
        <v>4.4000000000000004</v>
      </c>
      <c r="L35" s="35"/>
      <c r="M35" s="37"/>
    </row>
    <row r="36" spans="1:13" s="2" customFormat="1" ht="14.1" customHeight="1" x14ac:dyDescent="0.3">
      <c r="A36" s="89"/>
      <c r="B36" s="81" t="s">
        <v>113</v>
      </c>
      <c r="C36" s="82"/>
      <c r="D36" s="83" t="s">
        <v>114</v>
      </c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 t="s">
        <v>115</v>
      </c>
      <c r="C37" s="50"/>
      <c r="D37" s="45" t="s">
        <v>116</v>
      </c>
      <c r="E37" s="46"/>
      <c r="F37" s="46"/>
      <c r="G37" s="47"/>
      <c r="H37" s="90">
        <f>SUM(I37)-0.6</f>
        <v>6.6000000000000005</v>
      </c>
      <c r="I37" s="43">
        <v>7.2</v>
      </c>
      <c r="J37" s="35">
        <f>SUM(I37)+0.6</f>
        <v>7.8</v>
      </c>
      <c r="K37" s="35">
        <f>SUM(J37)+0.6</f>
        <v>8.4</v>
      </c>
      <c r="L37" s="35"/>
      <c r="M37" s="37"/>
    </row>
    <row r="38" spans="1:13" ht="14.1" customHeight="1" x14ac:dyDescent="0.3">
      <c r="A38" s="89"/>
      <c r="B38" s="81" t="s">
        <v>117</v>
      </c>
      <c r="C38" s="82"/>
      <c r="D38" s="83" t="s">
        <v>118</v>
      </c>
      <c r="E38" s="84"/>
      <c r="F38" s="84"/>
      <c r="G38" s="85"/>
      <c r="H38" s="42"/>
      <c r="I38" s="44"/>
      <c r="J38" s="36"/>
      <c r="K38" s="36"/>
      <c r="L38" s="36"/>
      <c r="M38" s="38"/>
    </row>
    <row r="39" spans="1:13" ht="14.1" customHeight="1" x14ac:dyDescent="0.3">
      <c r="A39" s="86">
        <v>19</v>
      </c>
      <c r="B39" s="49" t="s">
        <v>123</v>
      </c>
      <c r="C39" s="50"/>
      <c r="D39" s="45"/>
      <c r="E39" s="46"/>
      <c r="F39" s="46"/>
      <c r="G39" s="47"/>
      <c r="H39" s="41">
        <f>SUM(I39)-0.5</f>
        <v>8.5</v>
      </c>
      <c r="I39" s="43">
        <v>9</v>
      </c>
      <c r="J39" s="35">
        <f>SUM(I39)+0.5</f>
        <v>9.5</v>
      </c>
      <c r="K39" s="35">
        <f>SUM(J39)+0.5</f>
        <v>10</v>
      </c>
      <c r="L39" s="35"/>
      <c r="M39" s="37"/>
    </row>
    <row r="40" spans="1:13" ht="14.1" customHeight="1" x14ac:dyDescent="0.3">
      <c r="A40" s="89"/>
      <c r="B40" s="81" t="s">
        <v>125</v>
      </c>
      <c r="C40" s="82"/>
      <c r="D40" s="83" t="s">
        <v>145</v>
      </c>
      <c r="E40" s="84"/>
      <c r="F40" s="84"/>
      <c r="G40" s="85"/>
      <c r="H40" s="42"/>
      <c r="I40" s="44"/>
      <c r="J40" s="36"/>
      <c r="K40" s="36"/>
      <c r="L40" s="36"/>
      <c r="M40" s="38"/>
    </row>
    <row r="41" spans="1:13" s="2" customFormat="1" ht="14.1" customHeight="1" x14ac:dyDescent="0.3">
      <c r="A41" s="86">
        <v>20</v>
      </c>
      <c r="B41" s="49" t="s">
        <v>124</v>
      </c>
      <c r="C41" s="50"/>
      <c r="D41" s="45"/>
      <c r="E41" s="46"/>
      <c r="F41" s="46"/>
      <c r="G41" s="47"/>
      <c r="H41" s="41">
        <f>SUM(I41)-0.5</f>
        <v>8.5</v>
      </c>
      <c r="I41" s="43">
        <v>9</v>
      </c>
      <c r="J41" s="35">
        <f>SUM(I41)+0.5</f>
        <v>9.5</v>
      </c>
      <c r="K41" s="35">
        <f>SUM(J41)+0.5</f>
        <v>10</v>
      </c>
      <c r="L41" s="35"/>
      <c r="M41" s="37"/>
    </row>
    <row r="42" spans="1:13" s="2" customFormat="1" ht="14.1" customHeight="1" x14ac:dyDescent="0.3">
      <c r="A42" s="89"/>
      <c r="B42" s="81" t="s">
        <v>126</v>
      </c>
      <c r="C42" s="82"/>
      <c r="D42" s="83"/>
      <c r="E42" s="84"/>
      <c r="F42" s="84"/>
      <c r="G42" s="85"/>
      <c r="H42" s="42"/>
      <c r="I42" s="44"/>
      <c r="J42" s="36"/>
      <c r="K42" s="36"/>
      <c r="L42" s="36"/>
      <c r="M42" s="38"/>
    </row>
    <row r="43" spans="1:13" ht="14.1" customHeight="1" x14ac:dyDescent="0.3">
      <c r="A43" s="86">
        <v>21</v>
      </c>
      <c r="B43" s="49" t="s">
        <v>57</v>
      </c>
      <c r="C43" s="50"/>
      <c r="D43" s="51"/>
      <c r="E43" s="52"/>
      <c r="F43" s="52"/>
      <c r="G43" s="53"/>
      <c r="H43" s="41">
        <f>SUM(I43)-0.1</f>
        <v>1.4</v>
      </c>
      <c r="I43" s="43">
        <v>1.5</v>
      </c>
      <c r="J43" s="35">
        <f>SUM(I43)+0.1</f>
        <v>1.6</v>
      </c>
      <c r="K43" s="35">
        <f>SUM(J43)+0.1</f>
        <v>1.7000000000000002</v>
      </c>
      <c r="L43" s="35"/>
      <c r="M43" s="54"/>
    </row>
    <row r="44" spans="1:13" ht="14.1" customHeight="1" thickBot="1" x14ac:dyDescent="0.35">
      <c r="A44" s="87"/>
      <c r="B44" s="60" t="s">
        <v>58</v>
      </c>
      <c r="C44" s="61"/>
      <c r="D44" s="62" t="s">
        <v>196</v>
      </c>
      <c r="E44" s="63"/>
      <c r="F44" s="63"/>
      <c r="G44" s="64"/>
      <c r="H44" s="71"/>
      <c r="I44" s="88"/>
      <c r="J44" s="74"/>
      <c r="K44" s="74"/>
      <c r="L44" s="74"/>
      <c r="M44" s="7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7279-8A1A-4DDC-ABC3-BF620EA3586F}">
  <sheetPr>
    <tabColor rgb="FF7030A0"/>
    <pageSetUpPr fitToPage="1"/>
  </sheetPr>
  <dimension ref="A1:M51"/>
  <sheetViews>
    <sheetView zoomScale="110" zoomScaleNormal="110" workbookViewId="0">
      <selection activeCell="H13" sqref="H13:H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62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>
        <f>SUM(J3)+2</f>
        <v>46</v>
      </c>
      <c r="L3" s="111"/>
      <c r="M3" s="112"/>
    </row>
    <row r="4" spans="1:13" s="2" customFormat="1" ht="14.1" customHeight="1" x14ac:dyDescent="0.3">
      <c r="A4" s="89"/>
      <c r="B4" s="81" t="s">
        <v>64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59.2</v>
      </c>
      <c r="I11" s="100">
        <v>62</v>
      </c>
      <c r="J11" s="95">
        <f>SUM(I11)+2.8</f>
        <v>64.8</v>
      </c>
      <c r="K11" s="95">
        <f>SUM(J11)+2.8</f>
        <v>67.599999999999994</v>
      </c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63.2</v>
      </c>
      <c r="I13" s="43">
        <v>66.2</v>
      </c>
      <c r="J13" s="35">
        <f>SUM(I13)+3</f>
        <v>69.2</v>
      </c>
      <c r="K13" s="35">
        <f>SUM(J13)+3</f>
        <v>72.2</v>
      </c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10.9</v>
      </c>
      <c r="I15" s="43">
        <v>11.4</v>
      </c>
      <c r="J15" s="35">
        <f>SUM(I15)+0.5</f>
        <v>11.9</v>
      </c>
      <c r="K15" s="35">
        <f>SUM(J15)+0.5</f>
        <v>12.4</v>
      </c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SUM(I19)-1.5</f>
        <v>24.5</v>
      </c>
      <c r="I19" s="43">
        <v>26</v>
      </c>
      <c r="J19" s="35">
        <f>SUM(I19)+1.8</f>
        <v>27.8</v>
      </c>
      <c r="K19" s="35">
        <f>SUM(J19)+1.8</f>
        <v>29.6</v>
      </c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SUM(I21)-1.6</f>
        <v>38.699999999999996</v>
      </c>
      <c r="I21" s="43">
        <v>40.299999999999997</v>
      </c>
      <c r="J21" s="35">
        <f>SUM(I21)+1.6</f>
        <v>41.9</v>
      </c>
      <c r="K21" s="35">
        <f>SUM(J21)+1.6</f>
        <v>43.5</v>
      </c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18.8</v>
      </c>
      <c r="I23" s="43">
        <v>19.600000000000001</v>
      </c>
      <c r="J23" s="35">
        <f>SUM(I23)+0.8</f>
        <v>20.400000000000002</v>
      </c>
      <c r="K23" s="35">
        <f>SUM(J23)+0.8</f>
        <v>21.200000000000003</v>
      </c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24.4</v>
      </c>
      <c r="I25" s="43">
        <v>25.4</v>
      </c>
      <c r="J25" s="35">
        <f>SUM(I25)+1</f>
        <v>26.4</v>
      </c>
      <c r="K25" s="35">
        <f>SUM(J25)+1</f>
        <v>27.4</v>
      </c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111</v>
      </c>
      <c r="C35" s="50"/>
      <c r="D35" s="45" t="s">
        <v>112</v>
      </c>
      <c r="E35" s="46"/>
      <c r="F35" s="46"/>
      <c r="G35" s="47"/>
      <c r="H35" s="90">
        <f>SUM(I35)-0.2</f>
        <v>3.8</v>
      </c>
      <c r="I35" s="43">
        <v>4</v>
      </c>
      <c r="J35" s="35">
        <f>SUM(I35)+0.2</f>
        <v>4.2</v>
      </c>
      <c r="K35" s="35">
        <f>SUM(J35)+0.2</f>
        <v>4.4000000000000004</v>
      </c>
      <c r="L35" s="35"/>
      <c r="M35" s="37"/>
    </row>
    <row r="36" spans="1:13" s="2" customFormat="1" ht="14.1" customHeight="1" x14ac:dyDescent="0.3">
      <c r="A36" s="89"/>
      <c r="B36" s="81" t="s">
        <v>113</v>
      </c>
      <c r="C36" s="82"/>
      <c r="D36" s="83" t="s">
        <v>114</v>
      </c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 t="s">
        <v>115</v>
      </c>
      <c r="C37" s="50"/>
      <c r="D37" s="45" t="s">
        <v>116</v>
      </c>
      <c r="E37" s="46"/>
      <c r="F37" s="46"/>
      <c r="G37" s="47"/>
      <c r="H37" s="90">
        <f>SUM(I37)-0.6</f>
        <v>6.6000000000000005</v>
      </c>
      <c r="I37" s="43">
        <v>7.2</v>
      </c>
      <c r="J37" s="35">
        <f>SUM(I37)+0.6</f>
        <v>7.8</v>
      </c>
      <c r="K37" s="35">
        <f>SUM(J37)+0.6</f>
        <v>8.4</v>
      </c>
      <c r="L37" s="35"/>
      <c r="M37" s="37"/>
    </row>
    <row r="38" spans="1:13" ht="14.1" customHeight="1" x14ac:dyDescent="0.3">
      <c r="A38" s="89"/>
      <c r="B38" s="81" t="s">
        <v>117</v>
      </c>
      <c r="C38" s="82"/>
      <c r="D38" s="83" t="s">
        <v>118</v>
      </c>
      <c r="E38" s="84"/>
      <c r="F38" s="84"/>
      <c r="G38" s="85"/>
      <c r="H38" s="42"/>
      <c r="I38" s="44"/>
      <c r="J38" s="36"/>
      <c r="K38" s="36"/>
      <c r="L38" s="36"/>
      <c r="M38" s="38"/>
    </row>
    <row r="39" spans="1:13" ht="14.1" customHeight="1" x14ac:dyDescent="0.3">
      <c r="A39" s="86">
        <v>19</v>
      </c>
      <c r="B39" s="49" t="s">
        <v>123</v>
      </c>
      <c r="C39" s="50"/>
      <c r="D39" s="45"/>
      <c r="E39" s="46"/>
      <c r="F39" s="46"/>
      <c r="G39" s="47"/>
      <c r="H39" s="41">
        <f>SUM(I39)-0.5</f>
        <v>8.5</v>
      </c>
      <c r="I39" s="43">
        <v>9</v>
      </c>
      <c r="J39" s="35">
        <f>SUM(I39)+0.5</f>
        <v>9.5</v>
      </c>
      <c r="K39" s="35">
        <f>SUM(J39)+0.5</f>
        <v>10</v>
      </c>
      <c r="L39" s="35"/>
      <c r="M39" s="37"/>
    </row>
    <row r="40" spans="1:13" ht="14.1" customHeight="1" x14ac:dyDescent="0.3">
      <c r="A40" s="89"/>
      <c r="B40" s="81" t="s">
        <v>125</v>
      </c>
      <c r="C40" s="82"/>
      <c r="D40" s="83" t="s">
        <v>196</v>
      </c>
      <c r="E40" s="84"/>
      <c r="F40" s="84"/>
      <c r="G40" s="85"/>
      <c r="H40" s="42"/>
      <c r="I40" s="44"/>
      <c r="J40" s="36"/>
      <c r="K40" s="36"/>
      <c r="L40" s="36"/>
      <c r="M40" s="38"/>
    </row>
    <row r="41" spans="1:13" s="2" customFormat="1" ht="14.1" customHeight="1" x14ac:dyDescent="0.3">
      <c r="A41" s="86">
        <v>20</v>
      </c>
      <c r="B41" s="49" t="s">
        <v>124</v>
      </c>
      <c r="C41" s="50"/>
      <c r="D41" s="45"/>
      <c r="E41" s="46"/>
      <c r="F41" s="46"/>
      <c r="G41" s="47"/>
      <c r="H41" s="41">
        <f>SUM(I41)-0.5</f>
        <v>8.5</v>
      </c>
      <c r="I41" s="43">
        <v>9</v>
      </c>
      <c r="J41" s="35">
        <f>SUM(I41)+0.5</f>
        <v>9.5</v>
      </c>
      <c r="K41" s="35">
        <f>SUM(J41)+0.5</f>
        <v>10</v>
      </c>
      <c r="L41" s="35"/>
      <c r="M41" s="37"/>
    </row>
    <row r="42" spans="1:13" s="2" customFormat="1" ht="14.1" customHeight="1" x14ac:dyDescent="0.3">
      <c r="A42" s="89"/>
      <c r="B42" s="81" t="s">
        <v>126</v>
      </c>
      <c r="C42" s="82"/>
      <c r="D42" s="83"/>
      <c r="E42" s="84"/>
      <c r="F42" s="84"/>
      <c r="G42" s="85"/>
      <c r="H42" s="42"/>
      <c r="I42" s="44"/>
      <c r="J42" s="36"/>
      <c r="K42" s="36"/>
      <c r="L42" s="36"/>
      <c r="M42" s="38"/>
    </row>
    <row r="43" spans="1:13" ht="14.1" customHeight="1" x14ac:dyDescent="0.3">
      <c r="A43" s="86">
        <v>21</v>
      </c>
      <c r="B43" s="49" t="s">
        <v>57</v>
      </c>
      <c r="C43" s="50"/>
      <c r="D43" s="51"/>
      <c r="E43" s="52"/>
      <c r="F43" s="52"/>
      <c r="G43" s="53"/>
      <c r="H43" s="41">
        <f>SUM(I43)-0.1</f>
        <v>2.1</v>
      </c>
      <c r="I43" s="43">
        <v>2.2000000000000002</v>
      </c>
      <c r="J43" s="35">
        <f>SUM(I43)+0.1</f>
        <v>2.3000000000000003</v>
      </c>
      <c r="K43" s="35">
        <f>SUM(J43)+0.1</f>
        <v>2.4000000000000004</v>
      </c>
      <c r="L43" s="35"/>
      <c r="M43" s="54"/>
    </row>
    <row r="44" spans="1:13" ht="14.1" customHeight="1" thickBot="1" x14ac:dyDescent="0.35">
      <c r="A44" s="87"/>
      <c r="B44" s="60" t="s">
        <v>58</v>
      </c>
      <c r="C44" s="61"/>
      <c r="D44" s="62" t="s">
        <v>196</v>
      </c>
      <c r="E44" s="63"/>
      <c r="F44" s="63"/>
      <c r="G44" s="64"/>
      <c r="H44" s="71"/>
      <c r="I44" s="88"/>
      <c r="J44" s="74"/>
      <c r="K44" s="74"/>
      <c r="L44" s="74"/>
      <c r="M44" s="7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AC76-E79C-40BF-A5D5-8038A297FCB5}">
  <sheetPr>
    <tabColor rgb="FF7030A0"/>
    <pageSetUpPr fitToPage="1"/>
  </sheetPr>
  <dimension ref="A1:M51"/>
  <sheetViews>
    <sheetView zoomScale="110" zoomScaleNormal="110" workbookViewId="0">
      <selection activeCell="H13" sqref="H13:H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62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>
        <f>SUM(J3)+2</f>
        <v>46</v>
      </c>
      <c r="L3" s="111"/>
      <c r="M3" s="112"/>
    </row>
    <row r="4" spans="1:13" s="2" customFormat="1" ht="14.1" customHeight="1" x14ac:dyDescent="0.3">
      <c r="A4" s="89"/>
      <c r="B4" s="81" t="s">
        <v>64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59.2</v>
      </c>
      <c r="I11" s="100">
        <v>62</v>
      </c>
      <c r="J11" s="95">
        <f>SUM(I11)+2.8</f>
        <v>64.8</v>
      </c>
      <c r="K11" s="95">
        <f>SUM(J11)+2.8</f>
        <v>67.599999999999994</v>
      </c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62.3</v>
      </c>
      <c r="I13" s="43">
        <v>65.3</v>
      </c>
      <c r="J13" s="35">
        <f>SUM(I13)+3</f>
        <v>68.3</v>
      </c>
      <c r="K13" s="35">
        <f>SUM(J13)+3</f>
        <v>71.3</v>
      </c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10.9</v>
      </c>
      <c r="I15" s="43">
        <v>11.4</v>
      </c>
      <c r="J15" s="35">
        <f>SUM(I15)+0.5</f>
        <v>11.9</v>
      </c>
      <c r="K15" s="35">
        <f>SUM(J15)+0.5</f>
        <v>12.4</v>
      </c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SUM(I19)-0.9</f>
        <v>20.700000000000003</v>
      </c>
      <c r="I19" s="43">
        <v>21.6</v>
      </c>
      <c r="J19" s="35">
        <f>SUM(I19)+1.1</f>
        <v>22.700000000000003</v>
      </c>
      <c r="K19" s="35">
        <f>SUM(J19)+1.1</f>
        <v>23.800000000000004</v>
      </c>
      <c r="L19" s="35"/>
      <c r="M19" s="37"/>
    </row>
    <row r="20" spans="1:13" s="2" customFormat="1" ht="14.1" customHeight="1" x14ac:dyDescent="0.3">
      <c r="A20" s="89"/>
      <c r="B20" s="81" t="s">
        <v>247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SUM(I21)-1.7</f>
        <v>39.099999999999994</v>
      </c>
      <c r="I21" s="43">
        <v>40.799999999999997</v>
      </c>
      <c r="J21" s="35">
        <f>SUM(I21)+1.7</f>
        <v>42.5</v>
      </c>
      <c r="K21" s="35">
        <f>SUM(J21)+1.7</f>
        <v>44.2</v>
      </c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18.8</v>
      </c>
      <c r="I23" s="43">
        <v>19.600000000000001</v>
      </c>
      <c r="J23" s="35">
        <f>SUM(I23)+0.8</f>
        <v>20.400000000000002</v>
      </c>
      <c r="K23" s="35">
        <f>SUM(J23)+0.8</f>
        <v>21.200000000000003</v>
      </c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24.5</v>
      </c>
      <c r="I25" s="43">
        <v>25.5</v>
      </c>
      <c r="J25" s="35">
        <f>SUM(I25)+1</f>
        <v>26.5</v>
      </c>
      <c r="K25" s="35">
        <f>SUM(J25)+1</f>
        <v>27.5</v>
      </c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123</v>
      </c>
      <c r="C35" s="50"/>
      <c r="D35" s="45"/>
      <c r="E35" s="46"/>
      <c r="F35" s="46"/>
      <c r="G35" s="47"/>
      <c r="H35" s="41">
        <f>SUM(I35)-0.5</f>
        <v>8.5</v>
      </c>
      <c r="I35" s="43">
        <v>9</v>
      </c>
      <c r="J35" s="35">
        <f>SUM(I35)+0.5</f>
        <v>9.5</v>
      </c>
      <c r="K35" s="35">
        <f>SUM(J35)+0.5</f>
        <v>10</v>
      </c>
      <c r="L35" s="35"/>
      <c r="M35" s="37"/>
    </row>
    <row r="36" spans="1:13" s="2" customFormat="1" ht="14.1" customHeight="1" x14ac:dyDescent="0.3">
      <c r="A36" s="89"/>
      <c r="B36" s="81" t="s">
        <v>125</v>
      </c>
      <c r="C36" s="82"/>
      <c r="D36" s="83"/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 t="s">
        <v>124</v>
      </c>
      <c r="C37" s="50"/>
      <c r="D37" s="45"/>
      <c r="E37" s="46"/>
      <c r="F37" s="46"/>
      <c r="G37" s="47"/>
      <c r="H37" s="41">
        <f>SUM(I37)-0.5</f>
        <v>8.5</v>
      </c>
      <c r="I37" s="43">
        <v>9</v>
      </c>
      <c r="J37" s="35">
        <f>SUM(I37)+0.5</f>
        <v>9.5</v>
      </c>
      <c r="K37" s="35">
        <f>SUM(J37)+0.5</f>
        <v>10</v>
      </c>
      <c r="L37" s="35"/>
      <c r="M37" s="37"/>
    </row>
    <row r="38" spans="1:13" ht="14.1" customHeight="1" x14ac:dyDescent="0.3">
      <c r="A38" s="89"/>
      <c r="B38" s="81" t="s">
        <v>126</v>
      </c>
      <c r="C38" s="82"/>
      <c r="D38" s="83"/>
      <c r="E38" s="84"/>
      <c r="F38" s="84"/>
      <c r="G38" s="85"/>
      <c r="H38" s="42"/>
      <c r="I38" s="44"/>
      <c r="J38" s="36"/>
      <c r="K38" s="36"/>
      <c r="L38" s="36"/>
      <c r="M38" s="38"/>
    </row>
    <row r="39" spans="1:13" ht="14.1" customHeight="1" x14ac:dyDescent="0.3">
      <c r="A39" s="86">
        <v>19</v>
      </c>
      <c r="B39" s="49"/>
      <c r="C39" s="50"/>
      <c r="D39" s="45"/>
      <c r="E39" s="46"/>
      <c r="F39" s="46"/>
      <c r="G39" s="47"/>
      <c r="H39" s="41"/>
      <c r="I39" s="43"/>
      <c r="J39" s="35"/>
      <c r="K39" s="35"/>
      <c r="L39" s="35"/>
      <c r="M39" s="37"/>
    </row>
    <row r="40" spans="1:13" ht="14.1" customHeight="1" x14ac:dyDescent="0.3">
      <c r="A40" s="89"/>
      <c r="B40" s="81"/>
      <c r="C40" s="82"/>
      <c r="D40" s="83"/>
      <c r="E40" s="84"/>
      <c r="F40" s="84"/>
      <c r="G40" s="85"/>
      <c r="H40" s="42"/>
      <c r="I40" s="44"/>
      <c r="J40" s="36"/>
      <c r="K40" s="36"/>
      <c r="L40" s="36"/>
      <c r="M40" s="38"/>
    </row>
    <row r="41" spans="1:13" s="2" customFormat="1" ht="14.1" customHeight="1" x14ac:dyDescent="0.3">
      <c r="A41" s="86">
        <v>20</v>
      </c>
      <c r="B41" s="49"/>
      <c r="C41" s="50"/>
      <c r="D41" s="45"/>
      <c r="E41" s="46"/>
      <c r="F41" s="46"/>
      <c r="G41" s="47"/>
      <c r="H41" s="41"/>
      <c r="I41" s="43"/>
      <c r="J41" s="35"/>
      <c r="K41" s="35"/>
      <c r="L41" s="35"/>
      <c r="M41" s="37"/>
    </row>
    <row r="42" spans="1:13" s="2" customFormat="1" ht="14.1" customHeight="1" x14ac:dyDescent="0.3">
      <c r="A42" s="89"/>
      <c r="B42" s="81"/>
      <c r="C42" s="82"/>
      <c r="D42" s="83"/>
      <c r="E42" s="84"/>
      <c r="F42" s="84"/>
      <c r="G42" s="85"/>
      <c r="H42" s="42"/>
      <c r="I42" s="44"/>
      <c r="J42" s="36"/>
      <c r="K42" s="36"/>
      <c r="L42" s="36"/>
      <c r="M42" s="38"/>
    </row>
    <row r="43" spans="1:13" ht="14.1" customHeight="1" x14ac:dyDescent="0.3">
      <c r="A43" s="86">
        <v>21</v>
      </c>
      <c r="B43" s="49"/>
      <c r="C43" s="50"/>
      <c r="D43" s="51"/>
      <c r="E43" s="52"/>
      <c r="F43" s="52"/>
      <c r="G43" s="53"/>
      <c r="H43" s="41"/>
      <c r="I43" s="43"/>
      <c r="J43" s="35"/>
      <c r="K43" s="35"/>
      <c r="L43" s="35"/>
      <c r="M43" s="54"/>
    </row>
    <row r="44" spans="1:13" ht="14.1" customHeight="1" thickBot="1" x14ac:dyDescent="0.35">
      <c r="A44" s="87"/>
      <c r="B44" s="60"/>
      <c r="C44" s="61"/>
      <c r="D44" s="62"/>
      <c r="E44" s="63"/>
      <c r="F44" s="63"/>
      <c r="G44" s="64"/>
      <c r="H44" s="71"/>
      <c r="I44" s="88"/>
      <c r="J44" s="74"/>
      <c r="K44" s="74"/>
      <c r="L44" s="74"/>
      <c r="M44" s="7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02DB-ADBB-4295-9377-3A7FB608C440}">
  <sheetPr>
    <tabColor rgb="FF7030A0"/>
    <pageSetUpPr fitToPage="1"/>
  </sheetPr>
  <dimension ref="A1:M51"/>
  <sheetViews>
    <sheetView zoomScale="110" zoomScaleNormal="110" workbookViewId="0">
      <selection activeCell="Q13" sqref="Q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62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>
        <f>SUM(J3)+2</f>
        <v>46</v>
      </c>
      <c r="L3" s="111"/>
      <c r="M3" s="112"/>
    </row>
    <row r="4" spans="1:13" s="2" customFormat="1" ht="14.1" customHeight="1" x14ac:dyDescent="0.3">
      <c r="A4" s="89"/>
      <c r="B4" s="81" t="s">
        <v>64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59.2</v>
      </c>
      <c r="I11" s="100">
        <v>62</v>
      </c>
      <c r="J11" s="95">
        <f>SUM(I11)+2.8</f>
        <v>64.8</v>
      </c>
      <c r="K11" s="95">
        <f>SUM(J11)+2.8</f>
        <v>67.599999999999994</v>
      </c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65</v>
      </c>
      <c r="I13" s="43">
        <v>68</v>
      </c>
      <c r="J13" s="35">
        <f>SUM(I13)+3</f>
        <v>71</v>
      </c>
      <c r="K13" s="35">
        <f>SUM(J13)+3</f>
        <v>74</v>
      </c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10.9</v>
      </c>
      <c r="I15" s="43">
        <v>11.4</v>
      </c>
      <c r="J15" s="35">
        <f>SUM(I15)+0.5</f>
        <v>11.9</v>
      </c>
      <c r="K15" s="35">
        <f>SUM(J15)+0.5</f>
        <v>12.4</v>
      </c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SUM(I19)-1</f>
        <v>22</v>
      </c>
      <c r="I19" s="43">
        <v>23</v>
      </c>
      <c r="J19" s="35">
        <f>SUM(I19)+1.5</f>
        <v>24.5</v>
      </c>
      <c r="K19" s="35">
        <f>SUM(J19)+1.5</f>
        <v>26</v>
      </c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SUM(I21)-1.8</f>
        <v>40.200000000000003</v>
      </c>
      <c r="I21" s="43">
        <v>42</v>
      </c>
      <c r="J21" s="35">
        <f>SUM(I21)+1.8</f>
        <v>43.8</v>
      </c>
      <c r="K21" s="35">
        <f>SUM(J21)+1.8</f>
        <v>45.599999999999994</v>
      </c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20.2</v>
      </c>
      <c r="I23" s="43">
        <v>21</v>
      </c>
      <c r="J23" s="35">
        <f>SUM(I23)+0.8</f>
        <v>21.8</v>
      </c>
      <c r="K23" s="35">
        <f>SUM(J23)+0.8</f>
        <v>22.6</v>
      </c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25.5</v>
      </c>
      <c r="I25" s="43">
        <v>26.5</v>
      </c>
      <c r="J25" s="35">
        <f>SUM(I25)+1</f>
        <v>27.5</v>
      </c>
      <c r="K25" s="35">
        <f>SUM(J25)+1</f>
        <v>28.5</v>
      </c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111</v>
      </c>
      <c r="C35" s="50"/>
      <c r="D35" s="45" t="s">
        <v>112</v>
      </c>
      <c r="E35" s="46"/>
      <c r="F35" s="46"/>
      <c r="G35" s="47"/>
      <c r="H35" s="90">
        <f>SUM(I35)-0.2</f>
        <v>3.8</v>
      </c>
      <c r="I35" s="43">
        <v>4</v>
      </c>
      <c r="J35" s="35">
        <f>SUM(I35)+0.2</f>
        <v>4.2</v>
      </c>
      <c r="K35" s="35">
        <f>SUM(J35)+0.2</f>
        <v>4.4000000000000004</v>
      </c>
      <c r="L35" s="35"/>
      <c r="M35" s="37"/>
    </row>
    <row r="36" spans="1:13" s="2" customFormat="1" ht="14.1" customHeight="1" x14ac:dyDescent="0.3">
      <c r="A36" s="89"/>
      <c r="B36" s="81" t="s">
        <v>113</v>
      </c>
      <c r="C36" s="82"/>
      <c r="D36" s="83" t="s">
        <v>114</v>
      </c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 t="s">
        <v>115</v>
      </c>
      <c r="C37" s="50"/>
      <c r="D37" s="45" t="s">
        <v>116</v>
      </c>
      <c r="E37" s="46"/>
      <c r="F37" s="46"/>
      <c r="G37" s="47"/>
      <c r="H37" s="90">
        <f>SUM(I37)-0.6</f>
        <v>6.6000000000000005</v>
      </c>
      <c r="I37" s="43">
        <v>7.2</v>
      </c>
      <c r="J37" s="35">
        <f>SUM(I37)+0.6</f>
        <v>7.8</v>
      </c>
      <c r="K37" s="35">
        <f>SUM(J37)+0.6</f>
        <v>8.4</v>
      </c>
      <c r="L37" s="35"/>
      <c r="M37" s="37"/>
    </row>
    <row r="38" spans="1:13" ht="14.1" customHeight="1" x14ac:dyDescent="0.3">
      <c r="A38" s="89"/>
      <c r="B38" s="81" t="s">
        <v>117</v>
      </c>
      <c r="C38" s="82"/>
      <c r="D38" s="83" t="s">
        <v>118</v>
      </c>
      <c r="E38" s="84"/>
      <c r="F38" s="84"/>
      <c r="G38" s="85"/>
      <c r="H38" s="42"/>
      <c r="I38" s="44"/>
      <c r="J38" s="36"/>
      <c r="K38" s="36"/>
      <c r="L38" s="36"/>
      <c r="M38" s="38"/>
    </row>
    <row r="39" spans="1:13" ht="14.1" customHeight="1" x14ac:dyDescent="0.3">
      <c r="A39" s="86">
        <v>19</v>
      </c>
      <c r="B39" s="49" t="s">
        <v>57</v>
      </c>
      <c r="C39" s="50"/>
      <c r="D39" s="45"/>
      <c r="E39" s="46"/>
      <c r="F39" s="46"/>
      <c r="G39" s="47"/>
      <c r="H39" s="41"/>
      <c r="I39" s="43">
        <v>1.8</v>
      </c>
      <c r="J39" s="35"/>
      <c r="K39" s="35"/>
      <c r="L39" s="35"/>
      <c r="M39" s="37"/>
    </row>
    <row r="40" spans="1:13" ht="14.1" customHeight="1" x14ac:dyDescent="0.3">
      <c r="A40" s="89"/>
      <c r="B40" s="56" t="s">
        <v>58</v>
      </c>
      <c r="C40" s="57"/>
      <c r="D40" s="83"/>
      <c r="E40" s="84"/>
      <c r="F40" s="84"/>
      <c r="G40" s="85"/>
      <c r="H40" s="42"/>
      <c r="I40" s="44"/>
      <c r="J40" s="36"/>
      <c r="K40" s="36"/>
      <c r="L40" s="36"/>
      <c r="M40" s="38"/>
    </row>
    <row r="41" spans="1:13" s="2" customFormat="1" ht="14.1" customHeight="1" x14ac:dyDescent="0.3">
      <c r="A41" s="86">
        <v>20</v>
      </c>
      <c r="B41" s="49" t="s">
        <v>59</v>
      </c>
      <c r="C41" s="50"/>
      <c r="D41" s="45"/>
      <c r="E41" s="46"/>
      <c r="F41" s="46"/>
      <c r="G41" s="47"/>
      <c r="H41" s="41"/>
      <c r="I41" s="43">
        <v>3.3</v>
      </c>
      <c r="J41" s="35"/>
      <c r="K41" s="35"/>
      <c r="L41" s="35"/>
      <c r="M41" s="37"/>
    </row>
    <row r="42" spans="1:13" s="2" customFormat="1" ht="14.1" customHeight="1" x14ac:dyDescent="0.3">
      <c r="A42" s="89"/>
      <c r="B42" s="56" t="s">
        <v>60</v>
      </c>
      <c r="C42" s="57"/>
      <c r="D42" s="83"/>
      <c r="E42" s="84"/>
      <c r="F42" s="84"/>
      <c r="G42" s="85"/>
      <c r="H42" s="42"/>
      <c r="I42" s="44"/>
      <c r="J42" s="36"/>
      <c r="K42" s="36"/>
      <c r="L42" s="36"/>
      <c r="M42" s="38"/>
    </row>
    <row r="43" spans="1:13" ht="14.1" customHeight="1" x14ac:dyDescent="0.3">
      <c r="A43" s="86">
        <v>21</v>
      </c>
      <c r="B43" s="49" t="s">
        <v>227</v>
      </c>
      <c r="C43" s="50"/>
      <c r="D43" s="45"/>
      <c r="E43" s="46"/>
      <c r="F43" s="46"/>
      <c r="G43" s="47"/>
      <c r="H43" s="41"/>
      <c r="I43" s="43">
        <v>1</v>
      </c>
      <c r="J43" s="35"/>
      <c r="K43" s="35"/>
      <c r="L43" s="35"/>
      <c r="M43" s="37"/>
    </row>
    <row r="44" spans="1:13" ht="14.1" customHeight="1" x14ac:dyDescent="0.3">
      <c r="A44" s="89"/>
      <c r="B44" s="56" t="s">
        <v>228</v>
      </c>
      <c r="C44" s="57"/>
      <c r="D44" s="83"/>
      <c r="E44" s="84"/>
      <c r="F44" s="84"/>
      <c r="G44" s="85"/>
      <c r="H44" s="42"/>
      <c r="I44" s="44"/>
      <c r="J44" s="36"/>
      <c r="K44" s="36"/>
      <c r="L44" s="36"/>
      <c r="M44" s="38"/>
    </row>
    <row r="45" spans="1:13" ht="14.1" customHeight="1" x14ac:dyDescent="0.3">
      <c r="A45" s="86">
        <v>22</v>
      </c>
      <c r="B45" s="49" t="s">
        <v>229</v>
      </c>
      <c r="C45" s="50"/>
      <c r="D45" s="45"/>
      <c r="E45" s="46"/>
      <c r="F45" s="46"/>
      <c r="G45" s="47"/>
      <c r="H45" s="41"/>
      <c r="I45" s="43">
        <v>4.2</v>
      </c>
      <c r="J45" s="35"/>
      <c r="K45" s="35"/>
      <c r="L45" s="35"/>
      <c r="M45" s="37"/>
    </row>
    <row r="46" spans="1:13" ht="14.1" customHeight="1" x14ac:dyDescent="0.3">
      <c r="A46" s="89"/>
      <c r="B46" s="56" t="s">
        <v>230</v>
      </c>
      <c r="C46" s="57"/>
      <c r="D46" s="83"/>
      <c r="E46" s="84"/>
      <c r="F46" s="84"/>
      <c r="G46" s="85"/>
      <c r="H46" s="42"/>
      <c r="I46" s="44"/>
      <c r="J46" s="36"/>
      <c r="K46" s="36"/>
      <c r="L46" s="36"/>
      <c r="M46" s="38"/>
    </row>
    <row r="47" spans="1:13" ht="14.1" customHeight="1" x14ac:dyDescent="0.3">
      <c r="A47" s="86">
        <v>23</v>
      </c>
      <c r="B47" s="49"/>
      <c r="C47" s="50"/>
      <c r="D47" s="51"/>
      <c r="E47" s="52"/>
      <c r="F47" s="52"/>
      <c r="G47" s="53"/>
      <c r="H47" s="41"/>
      <c r="I47" s="43"/>
      <c r="J47" s="35"/>
      <c r="K47" s="35"/>
      <c r="L47" s="35"/>
      <c r="M47" s="54"/>
    </row>
    <row r="48" spans="1:13" ht="14.1" customHeight="1" thickBot="1" x14ac:dyDescent="0.35">
      <c r="A48" s="87"/>
      <c r="B48" s="60"/>
      <c r="C48" s="61"/>
      <c r="D48" s="62"/>
      <c r="E48" s="63"/>
      <c r="F48" s="63"/>
      <c r="G48" s="64"/>
      <c r="H48" s="71"/>
      <c r="I48" s="88"/>
      <c r="J48" s="74"/>
      <c r="K48" s="74"/>
      <c r="L48" s="74"/>
      <c r="M48" s="75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1:A42"/>
    <mergeCell ref="B41:C41"/>
    <mergeCell ref="D41:G41"/>
    <mergeCell ref="H41:H42"/>
    <mergeCell ref="I41:I42"/>
    <mergeCell ref="A45:A46"/>
    <mergeCell ref="A43:A44"/>
    <mergeCell ref="B46:C46"/>
    <mergeCell ref="D46:G46"/>
    <mergeCell ref="A47:A48"/>
    <mergeCell ref="B47:C47"/>
    <mergeCell ref="D47:G47"/>
    <mergeCell ref="H47:H48"/>
    <mergeCell ref="I47:I48"/>
    <mergeCell ref="J47:J48"/>
    <mergeCell ref="K47:K48"/>
    <mergeCell ref="L47:L48"/>
    <mergeCell ref="M47:M48"/>
    <mergeCell ref="B48:C48"/>
    <mergeCell ref="D48:G48"/>
    <mergeCell ref="K41:K42"/>
    <mergeCell ref="L41:L42"/>
    <mergeCell ref="M41:M42"/>
    <mergeCell ref="B42:C42"/>
    <mergeCell ref="D42:G42"/>
    <mergeCell ref="J41:J42"/>
    <mergeCell ref="B45:C45"/>
    <mergeCell ref="D45:G45"/>
    <mergeCell ref="H45:H46"/>
    <mergeCell ref="I45:I46"/>
    <mergeCell ref="B43:C43"/>
    <mergeCell ref="D43:G43"/>
    <mergeCell ref="H43:H44"/>
    <mergeCell ref="I43:I44"/>
    <mergeCell ref="J45:J46"/>
    <mergeCell ref="K45:K46"/>
    <mergeCell ref="L45:L46"/>
    <mergeCell ref="M45:M46"/>
    <mergeCell ref="K43:K44"/>
    <mergeCell ref="L43:L44"/>
    <mergeCell ref="M43:M44"/>
    <mergeCell ref="B44:C44"/>
    <mergeCell ref="D44:G44"/>
    <mergeCell ref="J43:J4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37BC-BC42-414D-B818-8BEE70CC9D32}">
  <sheetPr>
    <tabColor rgb="FF7030A0"/>
    <pageSetUpPr fitToPage="1"/>
  </sheetPr>
  <dimension ref="A1:M51"/>
  <sheetViews>
    <sheetView zoomScale="110" zoomScaleNormal="110" workbookViewId="0">
      <selection activeCell="P7" sqref="P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62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>
        <f>SUM(J3)+2</f>
        <v>46</v>
      </c>
      <c r="L3" s="111"/>
      <c r="M3" s="112"/>
    </row>
    <row r="4" spans="1:13" s="2" customFormat="1" ht="14.1" customHeight="1" x14ac:dyDescent="0.3">
      <c r="A4" s="89"/>
      <c r="B4" s="81" t="s">
        <v>64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63.2</v>
      </c>
      <c r="I11" s="100">
        <v>66</v>
      </c>
      <c r="J11" s="95">
        <f>SUM(I11)+2.8</f>
        <v>68.8</v>
      </c>
      <c r="K11" s="95">
        <f>SUM(J11)+2.8</f>
        <v>71.599999999999994</v>
      </c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SUM(I13)-3.6</f>
        <v>80.600000000000009</v>
      </c>
      <c r="I13" s="43">
        <v>84.2</v>
      </c>
      <c r="J13" s="35">
        <f>SUM(I13)+3.6</f>
        <v>87.8</v>
      </c>
      <c r="K13" s="35">
        <f>SUM(J13)+3.6</f>
        <v>91.399999999999991</v>
      </c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11</v>
      </c>
      <c r="I15" s="43">
        <v>11.5</v>
      </c>
      <c r="J15" s="35">
        <f>SUM(I15)+0.5</f>
        <v>12</v>
      </c>
      <c r="K15" s="35">
        <f>SUM(J15)+0.5</f>
        <v>12.5</v>
      </c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SUM(I19)-1</f>
        <v>21</v>
      </c>
      <c r="I19" s="43">
        <v>22</v>
      </c>
      <c r="J19" s="35">
        <f>SUM(I19)+1.5</f>
        <v>23.5</v>
      </c>
      <c r="K19" s="35">
        <f>SUM(J19)+1.5</f>
        <v>25</v>
      </c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SUM(I21)-2.6</f>
        <v>64.300000000000011</v>
      </c>
      <c r="I21" s="43">
        <v>66.900000000000006</v>
      </c>
      <c r="J21" s="35">
        <f>SUM(I21)+2.7</f>
        <v>69.600000000000009</v>
      </c>
      <c r="K21" s="35">
        <f>SUM(J21)+2.7</f>
        <v>72.300000000000011</v>
      </c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19.7</v>
      </c>
      <c r="I23" s="43">
        <v>20.5</v>
      </c>
      <c r="J23" s="35">
        <f>SUM(I23)+0.8</f>
        <v>21.3</v>
      </c>
      <c r="K23" s="35">
        <f>SUM(J23)+0.8</f>
        <v>22.1</v>
      </c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25.4</v>
      </c>
      <c r="I25" s="43">
        <v>26.4</v>
      </c>
      <c r="J25" s="35">
        <f>SUM(I25)+1</f>
        <v>27.4</v>
      </c>
      <c r="K25" s="35">
        <f>SUM(J25)+1</f>
        <v>28.4</v>
      </c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120</v>
      </c>
      <c r="C35" s="50"/>
      <c r="D35" s="45"/>
      <c r="E35" s="46"/>
      <c r="F35" s="46"/>
      <c r="G35" s="47"/>
      <c r="H35" s="90">
        <f>SUM(I35)-0.6</f>
        <v>12.4</v>
      </c>
      <c r="I35" s="43">
        <v>13</v>
      </c>
      <c r="J35" s="35">
        <f>SUM(I35)+1.1</f>
        <v>14.1</v>
      </c>
      <c r="K35" s="35">
        <f>SUM(J35)+1.1</f>
        <v>15.2</v>
      </c>
      <c r="L35" s="35"/>
      <c r="M35" s="37"/>
    </row>
    <row r="36" spans="1:13" s="2" customFormat="1" ht="14.1" customHeight="1" x14ac:dyDescent="0.3">
      <c r="A36" s="89"/>
      <c r="B36" s="81" t="s">
        <v>121</v>
      </c>
      <c r="C36" s="82"/>
      <c r="D36" s="83" t="s">
        <v>233</v>
      </c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 t="s">
        <v>120</v>
      </c>
      <c r="C37" s="50"/>
      <c r="D37" s="45"/>
      <c r="E37" s="46"/>
      <c r="F37" s="46"/>
      <c r="G37" s="47"/>
      <c r="H37" s="90">
        <f>SUM(I37)-0.4</f>
        <v>6.6</v>
      </c>
      <c r="I37" s="43">
        <v>7</v>
      </c>
      <c r="J37" s="35">
        <f>SUM(I37)+0.6</f>
        <v>7.6</v>
      </c>
      <c r="K37" s="35">
        <f>SUM(J37)+0.6</f>
        <v>8.1999999999999993</v>
      </c>
      <c r="L37" s="35"/>
      <c r="M37" s="37"/>
    </row>
    <row r="38" spans="1:13" ht="14.1" customHeight="1" x14ac:dyDescent="0.3">
      <c r="A38" s="89"/>
      <c r="B38" s="81" t="s">
        <v>121</v>
      </c>
      <c r="C38" s="82"/>
      <c r="D38" s="83" t="s">
        <v>232</v>
      </c>
      <c r="E38" s="84"/>
      <c r="F38" s="84"/>
      <c r="G38" s="85"/>
      <c r="H38" s="42"/>
      <c r="I38" s="44"/>
      <c r="J38" s="36"/>
      <c r="K38" s="36"/>
      <c r="L38" s="36"/>
      <c r="M38" s="38"/>
    </row>
    <row r="39" spans="1:13" ht="14.1" customHeight="1" x14ac:dyDescent="0.3">
      <c r="A39" s="86">
        <v>19</v>
      </c>
      <c r="B39" s="49"/>
      <c r="C39" s="50"/>
      <c r="D39" s="45"/>
      <c r="E39" s="46"/>
      <c r="F39" s="46"/>
      <c r="G39" s="47"/>
      <c r="H39" s="41"/>
      <c r="I39" s="43"/>
      <c r="J39" s="35"/>
      <c r="K39" s="35"/>
      <c r="L39" s="35"/>
      <c r="M39" s="37"/>
    </row>
    <row r="40" spans="1:13" ht="14.1" customHeight="1" x14ac:dyDescent="0.3">
      <c r="A40" s="89"/>
      <c r="B40" s="81"/>
      <c r="C40" s="82"/>
      <c r="D40" s="83"/>
      <c r="E40" s="84"/>
      <c r="F40" s="84"/>
      <c r="G40" s="85"/>
      <c r="H40" s="42"/>
      <c r="I40" s="44"/>
      <c r="J40" s="36"/>
      <c r="K40" s="36"/>
      <c r="L40" s="36"/>
      <c r="M40" s="38"/>
    </row>
    <row r="41" spans="1:13" s="2" customFormat="1" ht="14.1" customHeight="1" x14ac:dyDescent="0.3">
      <c r="A41" s="86">
        <v>20</v>
      </c>
      <c r="B41" s="49"/>
      <c r="C41" s="50"/>
      <c r="D41" s="45"/>
      <c r="E41" s="46"/>
      <c r="F41" s="46"/>
      <c r="G41" s="47"/>
      <c r="H41" s="41"/>
      <c r="I41" s="43"/>
      <c r="J41" s="35"/>
      <c r="K41" s="35"/>
      <c r="L41" s="35"/>
      <c r="M41" s="37"/>
    </row>
    <row r="42" spans="1:13" s="2" customFormat="1" ht="14.1" customHeight="1" x14ac:dyDescent="0.3">
      <c r="A42" s="89"/>
      <c r="B42" s="81"/>
      <c r="C42" s="82"/>
      <c r="D42" s="83"/>
      <c r="E42" s="84"/>
      <c r="F42" s="84"/>
      <c r="G42" s="85"/>
      <c r="H42" s="42"/>
      <c r="I42" s="44"/>
      <c r="J42" s="36"/>
      <c r="K42" s="36"/>
      <c r="L42" s="36"/>
      <c r="M42" s="38"/>
    </row>
    <row r="43" spans="1:13" ht="14.1" customHeight="1" x14ac:dyDescent="0.3">
      <c r="A43" s="86">
        <v>21</v>
      </c>
      <c r="B43" s="49"/>
      <c r="C43" s="50"/>
      <c r="D43" s="51"/>
      <c r="E43" s="52"/>
      <c r="F43" s="52"/>
      <c r="G43" s="53"/>
      <c r="H43" s="41"/>
      <c r="I43" s="43"/>
      <c r="J43" s="35"/>
      <c r="K43" s="35"/>
      <c r="L43" s="35"/>
      <c r="M43" s="54"/>
    </row>
    <row r="44" spans="1:13" ht="14.1" customHeight="1" thickBot="1" x14ac:dyDescent="0.35">
      <c r="A44" s="87"/>
      <c r="B44" s="60"/>
      <c r="C44" s="61"/>
      <c r="D44" s="62"/>
      <c r="E44" s="63"/>
      <c r="F44" s="63"/>
      <c r="G44" s="64"/>
      <c r="H44" s="71"/>
      <c r="I44" s="88"/>
      <c r="J44" s="74"/>
      <c r="K44" s="74"/>
      <c r="L44" s="74"/>
      <c r="M44" s="7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5A92-02F8-46AE-827A-1FCFAB4A4982}">
  <sheetPr>
    <tabColor rgb="FF7030A0"/>
    <pageSetUpPr fitToPage="1"/>
  </sheetPr>
  <dimension ref="A1:M51"/>
  <sheetViews>
    <sheetView zoomScale="110" zoomScaleNormal="110" workbookViewId="0">
      <selection activeCell="P11" sqref="P11: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300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303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/>
      <c r="L3" s="111"/>
      <c r="M3" s="112"/>
    </row>
    <row r="4" spans="1:13" s="2" customFormat="1" ht="14.1" customHeight="1" x14ac:dyDescent="0.3">
      <c r="A4" s="89"/>
      <c r="B4" s="81" t="s">
        <v>304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64.2</v>
      </c>
      <c r="I11" s="100">
        <v>67</v>
      </c>
      <c r="J11" s="95">
        <f>SUM(I11)+2.8</f>
        <v>69.8</v>
      </c>
      <c r="K11" s="95"/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68.599999999999994</v>
      </c>
      <c r="I13" s="43">
        <v>71.599999999999994</v>
      </c>
      <c r="J13" s="35">
        <f>SUM(I13)+3</f>
        <v>74.599999999999994</v>
      </c>
      <c r="K13" s="35"/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10.9</v>
      </c>
      <c r="I15" s="43">
        <v>11.4</v>
      </c>
      <c r="J15" s="35">
        <f>SUM(I15)+0.5</f>
        <v>11.9</v>
      </c>
      <c r="K15" s="35"/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SUM(I19)-0.8</f>
        <v>19.7</v>
      </c>
      <c r="I19" s="43">
        <v>20.5</v>
      </c>
      <c r="J19" s="35">
        <f>SUM(I19)+1.2</f>
        <v>21.7</v>
      </c>
      <c r="K19" s="35"/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SUM(I21)-1.7</f>
        <v>44.099999999999994</v>
      </c>
      <c r="I21" s="43">
        <v>45.8</v>
      </c>
      <c r="J21" s="35">
        <f>SUM(I21)+1.7</f>
        <v>47.5</v>
      </c>
      <c r="K21" s="35"/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19.099999999999998</v>
      </c>
      <c r="I23" s="43">
        <v>19.899999999999999</v>
      </c>
      <c r="J23" s="35">
        <f>SUM(I23)+0.8</f>
        <v>20.7</v>
      </c>
      <c r="K23" s="35"/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24.1</v>
      </c>
      <c r="I25" s="43">
        <v>25.1</v>
      </c>
      <c r="J25" s="35">
        <f>SUM(I25)+1</f>
        <v>26.1</v>
      </c>
      <c r="K25" s="35"/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301</v>
      </c>
      <c r="C35" s="50"/>
      <c r="D35" s="45"/>
      <c r="E35" s="46"/>
      <c r="F35" s="46"/>
      <c r="G35" s="47"/>
      <c r="H35" s="90">
        <f>SUM(I35)-1.2</f>
        <v>29.8</v>
      </c>
      <c r="I35" s="43">
        <v>31</v>
      </c>
      <c r="J35" s="35">
        <f>SUM(I35)+1.2</f>
        <v>32.200000000000003</v>
      </c>
      <c r="K35" s="35"/>
      <c r="L35" s="35"/>
      <c r="M35" s="37"/>
    </row>
    <row r="36" spans="1:13" s="2" customFormat="1" ht="14.1" customHeight="1" x14ac:dyDescent="0.3">
      <c r="A36" s="89"/>
      <c r="B36" s="81" t="s">
        <v>302</v>
      </c>
      <c r="C36" s="82"/>
      <c r="D36" s="83"/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/>
      <c r="C37" s="50"/>
      <c r="D37" s="45"/>
      <c r="E37" s="46"/>
      <c r="F37" s="46"/>
      <c r="G37" s="47"/>
      <c r="H37" s="90"/>
      <c r="I37" s="43"/>
      <c r="J37" s="35"/>
      <c r="K37" s="35"/>
      <c r="L37" s="35"/>
      <c r="M37" s="37"/>
    </row>
    <row r="38" spans="1:13" ht="14.1" customHeight="1" thickBot="1" x14ac:dyDescent="0.35">
      <c r="A38" s="87"/>
      <c r="B38" s="113"/>
      <c r="C38" s="114"/>
      <c r="D38" s="115"/>
      <c r="E38" s="116"/>
      <c r="F38" s="116"/>
      <c r="G38" s="117"/>
      <c r="H38" s="71"/>
      <c r="I38" s="88"/>
      <c r="J38" s="74"/>
      <c r="K38" s="74"/>
      <c r="L38" s="74"/>
      <c r="M38" s="80"/>
    </row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3A46-061B-4BFD-8128-4100DF97C7E7}">
  <sheetPr>
    <tabColor rgb="FF7030A0"/>
    <pageSetUpPr fitToPage="1"/>
  </sheetPr>
  <dimension ref="A1:M51"/>
  <sheetViews>
    <sheetView zoomScale="110" zoomScaleNormal="110" workbookViewId="0">
      <selection activeCell="P11" sqref="P11: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305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7" t="s">
        <v>150</v>
      </c>
      <c r="L2" s="7"/>
      <c r="M2" s="4"/>
    </row>
    <row r="3" spans="1:13" s="2" customFormat="1" ht="14.1" customHeight="1" x14ac:dyDescent="0.3">
      <c r="A3" s="104">
        <v>1</v>
      </c>
      <c r="B3" s="105" t="s">
        <v>303</v>
      </c>
      <c r="C3" s="106"/>
      <c r="D3" s="22" t="s">
        <v>63</v>
      </c>
      <c r="E3" s="107"/>
      <c r="F3" s="107"/>
      <c r="G3" s="108"/>
      <c r="H3" s="109">
        <f>SUM(I3)-2</f>
        <v>40</v>
      </c>
      <c r="I3" s="110">
        <v>42</v>
      </c>
      <c r="J3" s="111">
        <f>SUM(I3)+2</f>
        <v>44</v>
      </c>
      <c r="K3" s="111"/>
      <c r="L3" s="111"/>
      <c r="M3" s="112"/>
    </row>
    <row r="4" spans="1:13" s="2" customFormat="1" ht="14.1" customHeight="1" x14ac:dyDescent="0.3">
      <c r="A4" s="89"/>
      <c r="B4" s="81" t="s">
        <v>306</v>
      </c>
      <c r="C4" s="82"/>
      <c r="D4" s="83" t="s">
        <v>65</v>
      </c>
      <c r="E4" s="84"/>
      <c r="F4" s="84"/>
      <c r="G4" s="85"/>
      <c r="H4" s="42"/>
      <c r="I4" s="44"/>
      <c r="J4" s="36"/>
      <c r="K4" s="36"/>
      <c r="L4" s="36"/>
      <c r="M4" s="38"/>
    </row>
    <row r="5" spans="1:13" s="2" customFormat="1" ht="14.1" customHeight="1" x14ac:dyDescent="0.3">
      <c r="A5" s="86">
        <v>2</v>
      </c>
      <c r="B5" s="66" t="s">
        <v>66</v>
      </c>
      <c r="C5" s="67"/>
      <c r="D5" s="77"/>
      <c r="E5" s="78"/>
      <c r="F5" s="78"/>
      <c r="G5" s="79"/>
      <c r="H5" s="90"/>
      <c r="I5" s="100"/>
      <c r="J5" s="95"/>
      <c r="K5" s="95"/>
      <c r="L5" s="95"/>
      <c r="M5" s="96"/>
    </row>
    <row r="6" spans="1:13" s="2" customFormat="1" ht="14.1" customHeight="1" x14ac:dyDescent="0.3">
      <c r="A6" s="89"/>
      <c r="B6" s="81" t="s">
        <v>67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86">
        <v>3</v>
      </c>
      <c r="B7" s="66" t="s">
        <v>68</v>
      </c>
      <c r="C7" s="67"/>
      <c r="D7" s="77"/>
      <c r="E7" s="78"/>
      <c r="F7" s="78"/>
      <c r="G7" s="79"/>
      <c r="H7" s="90"/>
      <c r="I7" s="100"/>
      <c r="J7" s="95"/>
      <c r="K7" s="95"/>
      <c r="L7" s="95"/>
      <c r="M7" s="96"/>
    </row>
    <row r="8" spans="1:13" s="2" customFormat="1" ht="14.1" customHeight="1" x14ac:dyDescent="0.3">
      <c r="A8" s="89"/>
      <c r="B8" s="81" t="s">
        <v>69</v>
      </c>
      <c r="C8" s="82"/>
      <c r="D8" s="83"/>
      <c r="E8" s="84"/>
      <c r="F8" s="84"/>
      <c r="G8" s="85"/>
      <c r="H8" s="42"/>
      <c r="I8" s="44"/>
      <c r="J8" s="36"/>
      <c r="K8" s="36"/>
      <c r="L8" s="36"/>
      <c r="M8" s="38"/>
    </row>
    <row r="9" spans="1:13" s="2" customFormat="1" ht="14.1" customHeight="1" x14ac:dyDescent="0.3">
      <c r="A9" s="86">
        <v>4</v>
      </c>
      <c r="B9" s="49" t="s">
        <v>70</v>
      </c>
      <c r="C9" s="50"/>
      <c r="D9" s="101"/>
      <c r="E9" s="102"/>
      <c r="F9" s="102"/>
      <c r="G9" s="103"/>
      <c r="H9" s="90"/>
      <c r="I9" s="100"/>
      <c r="J9" s="95"/>
      <c r="K9" s="95"/>
      <c r="L9" s="95"/>
      <c r="M9" s="96"/>
    </row>
    <row r="10" spans="1:13" s="2" customFormat="1" ht="14.1" customHeight="1" x14ac:dyDescent="0.3">
      <c r="A10" s="89"/>
      <c r="B10" s="81" t="s">
        <v>71</v>
      </c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3" s="2" customFormat="1" ht="14.1" customHeight="1" x14ac:dyDescent="0.3">
      <c r="A11" s="86">
        <v>5</v>
      </c>
      <c r="B11" s="49" t="s">
        <v>72</v>
      </c>
      <c r="C11" s="50"/>
      <c r="D11" s="77"/>
      <c r="E11" s="78"/>
      <c r="F11" s="78"/>
      <c r="G11" s="79"/>
      <c r="H11" s="90">
        <f>SUM(I11)-2.8</f>
        <v>64.3</v>
      </c>
      <c r="I11" s="100">
        <v>67.099999999999994</v>
      </c>
      <c r="J11" s="95">
        <f>SUM(I11)+2.8</f>
        <v>69.899999999999991</v>
      </c>
      <c r="K11" s="95"/>
      <c r="L11" s="95"/>
      <c r="M11" s="96"/>
    </row>
    <row r="12" spans="1:13" s="2" customFormat="1" ht="14.1" customHeight="1" x14ac:dyDescent="0.3">
      <c r="A12" s="89"/>
      <c r="B12" s="81" t="s">
        <v>73</v>
      </c>
      <c r="C12" s="82"/>
      <c r="D12" s="83"/>
      <c r="E12" s="84"/>
      <c r="F12" s="84"/>
      <c r="G12" s="85"/>
      <c r="H12" s="42"/>
      <c r="I12" s="44"/>
      <c r="J12" s="36"/>
      <c r="K12" s="36"/>
      <c r="L12" s="36"/>
      <c r="M12" s="38"/>
    </row>
    <row r="13" spans="1:13" s="2" customFormat="1" ht="14.1" customHeight="1" x14ac:dyDescent="0.3">
      <c r="A13" s="86">
        <v>6</v>
      </c>
      <c r="B13" s="49" t="s">
        <v>74</v>
      </c>
      <c r="C13" s="50"/>
      <c r="D13" s="45" t="s">
        <v>75</v>
      </c>
      <c r="E13" s="46"/>
      <c r="F13" s="46"/>
      <c r="G13" s="47"/>
      <c r="H13" s="90">
        <f>SUM(I13)-3</f>
        <v>68.900000000000006</v>
      </c>
      <c r="I13" s="43">
        <v>71.900000000000006</v>
      </c>
      <c r="J13" s="35">
        <f>SUM(I13)+3</f>
        <v>74.900000000000006</v>
      </c>
      <c r="K13" s="35"/>
      <c r="L13" s="35"/>
      <c r="M13" s="37"/>
    </row>
    <row r="14" spans="1:13" s="2" customFormat="1" ht="14.1" customHeight="1" x14ac:dyDescent="0.3">
      <c r="A14" s="89"/>
      <c r="B14" s="81" t="s">
        <v>76</v>
      </c>
      <c r="C14" s="82"/>
      <c r="D14" s="83" t="s">
        <v>77</v>
      </c>
      <c r="E14" s="84"/>
      <c r="F14" s="84"/>
      <c r="G14" s="85"/>
      <c r="H14" s="42"/>
      <c r="I14" s="44"/>
      <c r="J14" s="36"/>
      <c r="K14" s="36"/>
      <c r="L14" s="36"/>
      <c r="M14" s="38"/>
    </row>
    <row r="15" spans="1:13" s="2" customFormat="1" ht="14.1" customHeight="1" x14ac:dyDescent="0.3">
      <c r="A15" s="86">
        <v>7</v>
      </c>
      <c r="B15" s="49" t="s">
        <v>78</v>
      </c>
      <c r="C15" s="50"/>
      <c r="D15" s="45"/>
      <c r="E15" s="46"/>
      <c r="F15" s="46"/>
      <c r="G15" s="47"/>
      <c r="H15" s="90">
        <f>SUM(I15)-0.5</f>
        <v>9.9</v>
      </c>
      <c r="I15" s="43">
        <v>10.4</v>
      </c>
      <c r="J15" s="35">
        <f>SUM(I15)+0.5</f>
        <v>10.9</v>
      </c>
      <c r="K15" s="35"/>
      <c r="L15" s="39"/>
      <c r="M15" s="91"/>
    </row>
    <row r="16" spans="1:13" s="2" customFormat="1" ht="14.1" customHeight="1" x14ac:dyDescent="0.3">
      <c r="A16" s="89"/>
      <c r="B16" s="81" t="s">
        <v>79</v>
      </c>
      <c r="C16" s="82"/>
      <c r="D16" s="48" t="s">
        <v>80</v>
      </c>
      <c r="E16" s="93"/>
      <c r="F16" s="93"/>
      <c r="G16" s="94"/>
      <c r="H16" s="42"/>
      <c r="I16" s="44"/>
      <c r="J16" s="36"/>
      <c r="K16" s="36"/>
      <c r="L16" s="31"/>
      <c r="M16" s="92"/>
    </row>
    <row r="17" spans="1:13" s="2" customFormat="1" ht="14.1" customHeight="1" x14ac:dyDescent="0.3">
      <c r="A17" s="86">
        <v>8</v>
      </c>
      <c r="B17" s="49" t="s">
        <v>81</v>
      </c>
      <c r="C17" s="50"/>
      <c r="D17" s="45"/>
      <c r="E17" s="46"/>
      <c r="F17" s="46"/>
      <c r="G17" s="47"/>
      <c r="H17" s="41"/>
      <c r="I17" s="43"/>
      <c r="J17" s="35"/>
      <c r="K17" s="35"/>
      <c r="L17" s="39"/>
      <c r="M17" s="91"/>
    </row>
    <row r="18" spans="1:13" s="2" customFormat="1" ht="14.1" customHeight="1" x14ac:dyDescent="0.3">
      <c r="A18" s="89"/>
      <c r="B18" s="81" t="s">
        <v>82</v>
      </c>
      <c r="C18" s="82"/>
      <c r="D18" s="48" t="s">
        <v>83</v>
      </c>
      <c r="E18" s="93"/>
      <c r="F18" s="93"/>
      <c r="G18" s="94"/>
      <c r="H18" s="42"/>
      <c r="I18" s="44"/>
      <c r="J18" s="36"/>
      <c r="K18" s="36"/>
      <c r="L18" s="31"/>
      <c r="M18" s="92"/>
    </row>
    <row r="19" spans="1:13" s="2" customFormat="1" ht="14.1" customHeight="1" x14ac:dyDescent="0.3">
      <c r="A19" s="86">
        <v>9</v>
      </c>
      <c r="B19" s="49" t="s">
        <v>84</v>
      </c>
      <c r="C19" s="50"/>
      <c r="D19" s="45" t="s">
        <v>49</v>
      </c>
      <c r="E19" s="46"/>
      <c r="F19" s="46"/>
      <c r="G19" s="47"/>
      <c r="H19" s="90">
        <f>SUM(I19)-0.8</f>
        <v>19.2</v>
      </c>
      <c r="I19" s="43">
        <v>20</v>
      </c>
      <c r="J19" s="35">
        <f>SUM(I19)+1.2</f>
        <v>21.2</v>
      </c>
      <c r="K19" s="35"/>
      <c r="L19" s="35"/>
      <c r="M19" s="37"/>
    </row>
    <row r="20" spans="1:13" s="2" customFormat="1" ht="14.1" customHeight="1" x14ac:dyDescent="0.3">
      <c r="A20" s="89"/>
      <c r="B20" s="81" t="s">
        <v>85</v>
      </c>
      <c r="C20" s="82"/>
      <c r="D20" s="83" t="s">
        <v>86</v>
      </c>
      <c r="E20" s="84"/>
      <c r="F20" s="84"/>
      <c r="G20" s="85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86">
        <v>10</v>
      </c>
      <c r="B21" s="49" t="s">
        <v>87</v>
      </c>
      <c r="C21" s="50"/>
      <c r="D21" s="45" t="s">
        <v>88</v>
      </c>
      <c r="E21" s="46"/>
      <c r="F21" s="46"/>
      <c r="G21" s="47"/>
      <c r="H21" s="90">
        <f>SUM(I21)-1.7</f>
        <v>43.8</v>
      </c>
      <c r="I21" s="43">
        <v>45.5</v>
      </c>
      <c r="J21" s="35">
        <f>SUM(I21)+1.7</f>
        <v>47.2</v>
      </c>
      <c r="K21" s="35"/>
      <c r="L21" s="35"/>
      <c r="M21" s="37"/>
    </row>
    <row r="22" spans="1:13" s="2" customFormat="1" ht="14.1" customHeight="1" x14ac:dyDescent="0.3">
      <c r="A22" s="89"/>
      <c r="B22" s="81" t="s">
        <v>89</v>
      </c>
      <c r="C22" s="82"/>
      <c r="D22" s="32" t="s">
        <v>195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86">
        <v>11</v>
      </c>
      <c r="B23" s="49" t="s">
        <v>91</v>
      </c>
      <c r="C23" s="50"/>
      <c r="D23" s="45" t="s">
        <v>92</v>
      </c>
      <c r="E23" s="46"/>
      <c r="F23" s="46"/>
      <c r="G23" s="47"/>
      <c r="H23" s="90">
        <f>SUM(I23)-0.8</f>
        <v>18.2</v>
      </c>
      <c r="I23" s="43">
        <v>19</v>
      </c>
      <c r="J23" s="35">
        <f>SUM(I23)+0.8</f>
        <v>19.8</v>
      </c>
      <c r="K23" s="35"/>
      <c r="L23" s="35"/>
      <c r="M23" s="91"/>
    </row>
    <row r="24" spans="1:13" s="2" customFormat="1" ht="14.1" customHeight="1" x14ac:dyDescent="0.3">
      <c r="A24" s="89"/>
      <c r="B24" s="81" t="s">
        <v>93</v>
      </c>
      <c r="C24" s="82"/>
      <c r="D24" s="83" t="s">
        <v>94</v>
      </c>
      <c r="E24" s="84"/>
      <c r="F24" s="84"/>
      <c r="G24" s="85"/>
      <c r="H24" s="42"/>
      <c r="I24" s="44"/>
      <c r="J24" s="36"/>
      <c r="K24" s="36"/>
      <c r="L24" s="36"/>
      <c r="M24" s="92"/>
    </row>
    <row r="25" spans="1:13" s="2" customFormat="1" ht="14.1" customHeight="1" x14ac:dyDescent="0.3">
      <c r="A25" s="86">
        <v>12</v>
      </c>
      <c r="B25" s="49" t="s">
        <v>95</v>
      </c>
      <c r="C25" s="50"/>
      <c r="D25" s="45" t="s">
        <v>92</v>
      </c>
      <c r="E25" s="46"/>
      <c r="F25" s="46"/>
      <c r="G25" s="47"/>
      <c r="H25" s="90">
        <f>SUM(I25)-1</f>
        <v>23.1</v>
      </c>
      <c r="I25" s="43">
        <v>24.1</v>
      </c>
      <c r="J25" s="35">
        <f>SUM(I25)+1</f>
        <v>25.1</v>
      </c>
      <c r="K25" s="35"/>
      <c r="L25" s="35"/>
      <c r="M25" s="91"/>
    </row>
    <row r="26" spans="1:13" s="2" customFormat="1" ht="14.1" customHeight="1" x14ac:dyDescent="0.3">
      <c r="A26" s="89"/>
      <c r="B26" s="81" t="s">
        <v>96</v>
      </c>
      <c r="C26" s="82"/>
      <c r="D26" s="83" t="s">
        <v>94</v>
      </c>
      <c r="E26" s="84"/>
      <c r="F26" s="84"/>
      <c r="G26" s="85"/>
      <c r="H26" s="42"/>
      <c r="I26" s="44"/>
      <c r="J26" s="36"/>
      <c r="K26" s="36"/>
      <c r="L26" s="36"/>
      <c r="M26" s="92"/>
    </row>
    <row r="27" spans="1:13" s="2" customFormat="1" ht="14.1" customHeight="1" x14ac:dyDescent="0.3">
      <c r="A27" s="86">
        <v>13</v>
      </c>
      <c r="B27" s="49" t="s">
        <v>97</v>
      </c>
      <c r="C27" s="50"/>
      <c r="D27" s="45" t="s">
        <v>98</v>
      </c>
      <c r="E27" s="46"/>
      <c r="F27" s="46"/>
      <c r="G27" s="47"/>
      <c r="H27" s="90"/>
      <c r="I27" s="43"/>
      <c r="J27" s="35"/>
      <c r="K27" s="35"/>
      <c r="L27" s="35"/>
      <c r="M27" s="37"/>
    </row>
    <row r="28" spans="1:13" s="2" customFormat="1" ht="14.1" customHeight="1" x14ac:dyDescent="0.3">
      <c r="A28" s="89"/>
      <c r="B28" s="81" t="s">
        <v>99</v>
      </c>
      <c r="C28" s="82"/>
      <c r="D28" s="83" t="s">
        <v>100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3" s="2" customFormat="1" ht="14.1" customHeight="1" x14ac:dyDescent="0.3">
      <c r="A29" s="86">
        <v>14</v>
      </c>
      <c r="B29" s="49" t="s">
        <v>101</v>
      </c>
      <c r="C29" s="50"/>
      <c r="D29" s="45" t="s">
        <v>102</v>
      </c>
      <c r="E29" s="46"/>
      <c r="F29" s="46"/>
      <c r="G29" s="47"/>
      <c r="H29" s="90"/>
      <c r="I29" s="43"/>
      <c r="J29" s="35"/>
      <c r="K29" s="35"/>
      <c r="L29" s="35"/>
      <c r="M29" s="37"/>
    </row>
    <row r="30" spans="1:13" s="2" customFormat="1" ht="14.1" customHeight="1" x14ac:dyDescent="0.3">
      <c r="A30" s="89"/>
      <c r="B30" s="81" t="s">
        <v>103</v>
      </c>
      <c r="C30" s="82"/>
      <c r="D30" s="83" t="s">
        <v>104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86">
        <v>15</v>
      </c>
      <c r="B31" s="49" t="s">
        <v>105</v>
      </c>
      <c r="C31" s="50"/>
      <c r="D31" s="45" t="s">
        <v>48</v>
      </c>
      <c r="E31" s="46"/>
      <c r="F31" s="46"/>
      <c r="G31" s="47"/>
      <c r="H31" s="90"/>
      <c r="I31" s="43"/>
      <c r="J31" s="35"/>
      <c r="K31" s="35"/>
      <c r="L31" s="35"/>
      <c r="M31" s="37"/>
    </row>
    <row r="32" spans="1:13" s="2" customFormat="1" ht="14.1" customHeight="1" x14ac:dyDescent="0.3">
      <c r="A32" s="89"/>
      <c r="B32" s="81" t="s">
        <v>106</v>
      </c>
      <c r="C32" s="82"/>
      <c r="D32" s="83" t="s">
        <v>48</v>
      </c>
      <c r="E32" s="84"/>
      <c r="F32" s="84"/>
      <c r="G32" s="85"/>
      <c r="H32" s="42"/>
      <c r="I32" s="44"/>
      <c r="J32" s="36"/>
      <c r="K32" s="36"/>
      <c r="L32" s="36"/>
      <c r="M32" s="38"/>
    </row>
    <row r="33" spans="1:13" s="2" customFormat="1" ht="14.1" customHeight="1" x14ac:dyDescent="0.3">
      <c r="A33" s="86">
        <v>16</v>
      </c>
      <c r="B33" s="49" t="s">
        <v>107</v>
      </c>
      <c r="C33" s="50"/>
      <c r="D33" s="45" t="s">
        <v>108</v>
      </c>
      <c r="E33" s="46"/>
      <c r="F33" s="46"/>
      <c r="G33" s="47"/>
      <c r="H33" s="90"/>
      <c r="I33" s="43"/>
      <c r="J33" s="35"/>
      <c r="K33" s="35"/>
      <c r="L33" s="35"/>
      <c r="M33" s="37"/>
    </row>
    <row r="34" spans="1:13" s="2" customFormat="1" ht="14.1" customHeight="1" x14ac:dyDescent="0.3">
      <c r="A34" s="89"/>
      <c r="B34" s="81" t="s">
        <v>109</v>
      </c>
      <c r="C34" s="82"/>
      <c r="D34" s="83" t="s">
        <v>110</v>
      </c>
      <c r="E34" s="84"/>
      <c r="F34" s="84"/>
      <c r="G34" s="85"/>
      <c r="H34" s="42"/>
      <c r="I34" s="44"/>
      <c r="J34" s="36"/>
      <c r="K34" s="36"/>
      <c r="L34" s="36"/>
      <c r="M34" s="38"/>
    </row>
    <row r="35" spans="1:13" s="2" customFormat="1" ht="14.1" customHeight="1" x14ac:dyDescent="0.3">
      <c r="A35" s="86">
        <v>17</v>
      </c>
      <c r="B35" s="49" t="s">
        <v>301</v>
      </c>
      <c r="C35" s="50"/>
      <c r="D35" s="45"/>
      <c r="E35" s="46"/>
      <c r="F35" s="46"/>
      <c r="G35" s="47"/>
      <c r="H35" s="90">
        <f>SUM(I35)-1.2</f>
        <v>29.8</v>
      </c>
      <c r="I35" s="43">
        <v>31</v>
      </c>
      <c r="J35" s="35">
        <f>SUM(I35)+1.2</f>
        <v>32.200000000000003</v>
      </c>
      <c r="K35" s="35"/>
      <c r="L35" s="35"/>
      <c r="M35" s="37"/>
    </row>
    <row r="36" spans="1:13" s="2" customFormat="1" ht="14.1" customHeight="1" x14ac:dyDescent="0.3">
      <c r="A36" s="89"/>
      <c r="B36" s="81" t="s">
        <v>302</v>
      </c>
      <c r="C36" s="82"/>
      <c r="D36" s="83"/>
      <c r="E36" s="84"/>
      <c r="F36" s="84"/>
      <c r="G36" s="85"/>
      <c r="H36" s="42"/>
      <c r="I36" s="44"/>
      <c r="J36" s="36"/>
      <c r="K36" s="36"/>
      <c r="L36" s="36"/>
      <c r="M36" s="38"/>
    </row>
    <row r="37" spans="1:13" ht="14.1" customHeight="1" x14ac:dyDescent="0.3">
      <c r="A37" s="86">
        <v>18</v>
      </c>
      <c r="B37" s="49"/>
      <c r="C37" s="50"/>
      <c r="D37" s="45"/>
      <c r="E37" s="46"/>
      <c r="F37" s="46"/>
      <c r="G37" s="47"/>
      <c r="H37" s="90"/>
      <c r="I37" s="43"/>
      <c r="J37" s="35"/>
      <c r="K37" s="35"/>
      <c r="L37" s="35"/>
      <c r="M37" s="37"/>
    </row>
    <row r="38" spans="1:13" ht="14.1" customHeight="1" thickBot="1" x14ac:dyDescent="0.35">
      <c r="A38" s="87"/>
      <c r="B38" s="113"/>
      <c r="C38" s="114"/>
      <c r="D38" s="115"/>
      <c r="E38" s="116"/>
      <c r="F38" s="116"/>
      <c r="G38" s="117"/>
      <c r="H38" s="71"/>
      <c r="I38" s="88"/>
      <c r="J38" s="74"/>
      <c r="K38" s="74"/>
      <c r="L38" s="74"/>
      <c r="M38" s="80"/>
    </row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8CF7-1D05-46B4-8CAF-5075121FC67E}">
  <sheetPr>
    <tabColor rgb="FF7030A0"/>
    <pageSetUpPr fitToPage="1"/>
  </sheetPr>
  <dimension ref="A1:O79"/>
  <sheetViews>
    <sheetView zoomScale="110" zoomScaleNormal="110" workbookViewId="0">
      <selection activeCell="O10" sqref="O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161</v>
      </c>
      <c r="L2" s="7"/>
      <c r="M2" s="4"/>
    </row>
    <row r="3" spans="1:13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23">
        <f>SUM(I3)-3</f>
        <v>32</v>
      </c>
      <c r="I3" s="25">
        <v>35</v>
      </c>
      <c r="J3" s="27">
        <f>SUM(I3)+3</f>
        <v>38</v>
      </c>
      <c r="K3" s="27">
        <f>SUM(J3)+3</f>
        <v>41</v>
      </c>
      <c r="L3" s="130"/>
      <c r="M3" s="112"/>
    </row>
    <row r="4" spans="1:13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24"/>
      <c r="I4" s="26"/>
      <c r="J4" s="35"/>
      <c r="K4" s="35"/>
      <c r="L4" s="39"/>
      <c r="M4" s="38"/>
    </row>
    <row r="5" spans="1:13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26.3</v>
      </c>
      <c r="I5" s="43">
        <v>27.5</v>
      </c>
      <c r="J5" s="35">
        <f>SUM(I5)+1.2</f>
        <v>28.7</v>
      </c>
      <c r="K5" s="35">
        <f>SUM(J5)+1.2</f>
        <v>29.9</v>
      </c>
      <c r="L5" s="35"/>
      <c r="M5" s="37"/>
    </row>
    <row r="6" spans="1:13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31.5</v>
      </c>
      <c r="I7" s="43">
        <v>33</v>
      </c>
      <c r="J7" s="35">
        <f>SUM(I7)+1.5</f>
        <v>34.5</v>
      </c>
      <c r="K7" s="35">
        <f>SUM(J7)+1.5</f>
        <v>36</v>
      </c>
      <c r="L7" s="35"/>
      <c r="M7" s="30"/>
    </row>
    <row r="8" spans="1:13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0"/>
    </row>
    <row r="9" spans="1:13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31.5</v>
      </c>
      <c r="I9" s="43">
        <v>33</v>
      </c>
      <c r="J9" s="35">
        <f>SUM(I9)+1.5</f>
        <v>34.5</v>
      </c>
      <c r="K9" s="35">
        <f>SUM(J9)+1.5</f>
        <v>36</v>
      </c>
      <c r="L9" s="35"/>
      <c r="M9" s="30"/>
    </row>
    <row r="10" spans="1:13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0"/>
    </row>
    <row r="11" spans="1:13" s="2" customFormat="1" ht="14.1" customHeight="1" x14ac:dyDescent="0.3">
      <c r="A11" s="19">
        <v>5</v>
      </c>
      <c r="B11" s="39" t="s">
        <v>10</v>
      </c>
      <c r="C11" s="39"/>
      <c r="D11" s="40" t="s">
        <v>61</v>
      </c>
      <c r="E11" s="40"/>
      <c r="F11" s="40"/>
      <c r="G11" s="40"/>
      <c r="H11" s="41">
        <f>SUM(I11)-0.8</f>
        <v>11.799999999999999</v>
      </c>
      <c r="I11" s="26">
        <v>12.6</v>
      </c>
      <c r="J11" s="28">
        <f>SUM(I11)+0.8</f>
        <v>13.4</v>
      </c>
      <c r="K11" s="28">
        <f>SUM(J11)+0.8</f>
        <v>14.200000000000001</v>
      </c>
      <c r="L11" s="28"/>
      <c r="M11" s="30"/>
    </row>
    <row r="12" spans="1:13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26"/>
      <c r="J12" s="28"/>
      <c r="K12" s="28"/>
      <c r="L12" s="28"/>
      <c r="M12" s="30"/>
    </row>
    <row r="13" spans="1:13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13.5</v>
      </c>
      <c r="I13" s="26">
        <v>14</v>
      </c>
      <c r="J13" s="28">
        <f>SUM(I13)+0.5</f>
        <v>14.5</v>
      </c>
      <c r="K13" s="28">
        <f>SUM(J13)+0.5</f>
        <v>15</v>
      </c>
      <c r="L13" s="125"/>
      <c r="M13" s="30"/>
    </row>
    <row r="14" spans="1:13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26"/>
      <c r="J14" s="28"/>
      <c r="K14" s="28"/>
      <c r="L14" s="125"/>
      <c r="M14" s="30"/>
    </row>
    <row r="15" spans="1:13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</v>
      </c>
      <c r="I15" s="26">
        <v>6.3</v>
      </c>
      <c r="J15" s="28">
        <f>SUM(I15)+0.3</f>
        <v>6.6</v>
      </c>
      <c r="K15" s="28">
        <f>SUM(J15)+0.3</f>
        <v>6.8999999999999995</v>
      </c>
      <c r="L15" s="125"/>
      <c r="M15" s="30"/>
    </row>
    <row r="16" spans="1:13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26"/>
      <c r="J16" s="28"/>
      <c r="K16" s="28"/>
      <c r="L16" s="125"/>
      <c r="M16" s="30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35.1</v>
      </c>
      <c r="I17" s="26">
        <v>36.5</v>
      </c>
      <c r="J17" s="28">
        <f>SUM(I17)+1.4</f>
        <v>37.9</v>
      </c>
      <c r="K17" s="28">
        <f>SUM(J17)+1.4</f>
        <v>39.299999999999997</v>
      </c>
      <c r="L17" s="125"/>
      <c r="M17" s="30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26"/>
      <c r="J18" s="28"/>
      <c r="K18" s="28"/>
      <c r="L18" s="125"/>
      <c r="M18" s="30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/>
      <c r="I19" s="26"/>
      <c r="J19" s="28"/>
      <c r="K19" s="28"/>
      <c r="L19" s="28"/>
      <c r="M19" s="30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26"/>
      <c r="J21" s="28"/>
      <c r="K21" s="28"/>
      <c r="L21" s="28"/>
      <c r="M21" s="30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/>
      <c r="I23" s="26"/>
      <c r="J23" s="28"/>
      <c r="K23" s="28"/>
      <c r="L23" s="125"/>
      <c r="M23" s="30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26"/>
      <c r="J24" s="28"/>
      <c r="K24" s="28"/>
      <c r="L24" s="125"/>
      <c r="M24" s="30"/>
    </row>
    <row r="25" spans="1:13" s="2" customFormat="1" ht="14.1" customHeight="1" x14ac:dyDescent="0.3">
      <c r="A25" s="19">
        <v>12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SUM(I25)-0.3</f>
        <v>3</v>
      </c>
      <c r="I25" s="26">
        <v>3.3</v>
      </c>
      <c r="J25" s="28">
        <f>SUM(I25)+0.3</f>
        <v>3.5999999999999996</v>
      </c>
      <c r="K25" s="28">
        <f>SUM(J25)+0.3</f>
        <v>3.8999999999999995</v>
      </c>
      <c r="L25" s="125"/>
      <c r="M25" s="30"/>
    </row>
    <row r="26" spans="1:13" s="2" customFormat="1" ht="14.1" customHeight="1" x14ac:dyDescent="0.3">
      <c r="A26" s="129"/>
      <c r="B26" s="56" t="s">
        <v>58</v>
      </c>
      <c r="C26" s="57"/>
      <c r="D26" s="32" t="s">
        <v>52</v>
      </c>
      <c r="E26" s="33"/>
      <c r="F26" s="33"/>
      <c r="G26" s="34"/>
      <c r="H26" s="42"/>
      <c r="I26" s="26"/>
      <c r="J26" s="28"/>
      <c r="K26" s="28"/>
      <c r="L26" s="39"/>
      <c r="M26" s="37"/>
    </row>
    <row r="27" spans="1:13" s="2" customFormat="1" ht="14.1" customHeight="1" x14ac:dyDescent="0.3">
      <c r="A27" s="19">
        <v>13</v>
      </c>
      <c r="B27" s="49"/>
      <c r="C27" s="50"/>
      <c r="D27" s="51"/>
      <c r="E27" s="52"/>
      <c r="F27" s="52"/>
      <c r="G27" s="53"/>
      <c r="H27" s="24"/>
      <c r="I27" s="26"/>
      <c r="J27" s="28"/>
      <c r="K27" s="28"/>
      <c r="L27" s="28"/>
      <c r="M27" s="37"/>
    </row>
    <row r="28" spans="1:13" s="2" customFormat="1" ht="14.1" customHeight="1" thickBot="1" x14ac:dyDescent="0.35">
      <c r="A28" s="126"/>
      <c r="B28" s="120"/>
      <c r="C28" s="121"/>
      <c r="D28" s="122"/>
      <c r="E28" s="123"/>
      <c r="F28" s="123"/>
      <c r="G28" s="124"/>
      <c r="H28" s="127"/>
      <c r="I28" s="128"/>
      <c r="J28" s="118"/>
      <c r="K28" s="118"/>
      <c r="L28" s="118"/>
      <c r="M28" s="119"/>
    </row>
    <row r="29" spans="1:13" s="2" customFormat="1" ht="14.1" customHeight="1" thickTop="1" x14ac:dyDescent="0.3">
      <c r="A29" s="18">
        <v>14</v>
      </c>
      <c r="B29" s="66" t="s">
        <v>62</v>
      </c>
      <c r="C29" s="67"/>
      <c r="D29" s="77" t="s">
        <v>63</v>
      </c>
      <c r="E29" s="78"/>
      <c r="F29" s="78"/>
      <c r="G29" s="79"/>
      <c r="H29" s="90">
        <f>SUM(I29)-2</f>
        <v>40</v>
      </c>
      <c r="I29" s="100">
        <v>42</v>
      </c>
      <c r="J29" s="95">
        <f>SUM(I29)+2</f>
        <v>44</v>
      </c>
      <c r="K29" s="95">
        <f>SUM(J29)+2</f>
        <v>46</v>
      </c>
      <c r="L29" s="95"/>
      <c r="M29" s="96"/>
    </row>
    <row r="30" spans="1:13" s="2" customFormat="1" ht="14.1" customHeight="1" x14ac:dyDescent="0.3">
      <c r="A30" s="19"/>
      <c r="B30" s="81" t="s">
        <v>64</v>
      </c>
      <c r="C30" s="82"/>
      <c r="D30" s="83" t="s">
        <v>65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19">
        <v>15</v>
      </c>
      <c r="B31" s="49" t="s">
        <v>72</v>
      </c>
      <c r="C31" s="50"/>
      <c r="D31" s="77"/>
      <c r="E31" s="78"/>
      <c r="F31" s="78"/>
      <c r="G31" s="79"/>
      <c r="H31" s="90">
        <f>SUM(I31)-2.8</f>
        <v>61.2</v>
      </c>
      <c r="I31" s="100">
        <v>64</v>
      </c>
      <c r="J31" s="95">
        <f>SUM(I31)+2.8</f>
        <v>66.8</v>
      </c>
      <c r="K31" s="95">
        <f>SUM(J31)+2.8</f>
        <v>69.599999999999994</v>
      </c>
      <c r="L31" s="95"/>
      <c r="M31" s="96"/>
    </row>
    <row r="32" spans="1:13" s="2" customFormat="1" ht="14.1" customHeight="1" x14ac:dyDescent="0.3">
      <c r="A32" s="19"/>
      <c r="B32" s="81" t="s">
        <v>73</v>
      </c>
      <c r="C32" s="82"/>
      <c r="D32" s="83"/>
      <c r="E32" s="84"/>
      <c r="F32" s="84"/>
      <c r="G32" s="85"/>
      <c r="H32" s="42"/>
      <c r="I32" s="44"/>
      <c r="J32" s="36"/>
      <c r="K32" s="36"/>
      <c r="L32" s="36"/>
      <c r="M32" s="38"/>
    </row>
    <row r="33" spans="1:15" s="2" customFormat="1" ht="14.1" customHeight="1" x14ac:dyDescent="0.3">
      <c r="A33" s="19">
        <v>16</v>
      </c>
      <c r="B33" s="49" t="s">
        <v>74</v>
      </c>
      <c r="C33" s="50"/>
      <c r="D33" s="45" t="s">
        <v>75</v>
      </c>
      <c r="E33" s="46"/>
      <c r="F33" s="46"/>
      <c r="G33" s="47"/>
      <c r="H33" s="90">
        <f>SUM(I33)-3</f>
        <v>65.8</v>
      </c>
      <c r="I33" s="100">
        <v>68.8</v>
      </c>
      <c r="J33" s="95">
        <f>SUM(I33)+3</f>
        <v>71.8</v>
      </c>
      <c r="K33" s="95">
        <f>SUM(J33)+3</f>
        <v>74.8</v>
      </c>
      <c r="L33" s="35"/>
      <c r="M33" s="37"/>
    </row>
    <row r="34" spans="1:15" s="2" customFormat="1" ht="14.1" customHeight="1" x14ac:dyDescent="0.3">
      <c r="A34" s="19"/>
      <c r="B34" s="81" t="s">
        <v>76</v>
      </c>
      <c r="C34" s="82"/>
      <c r="D34" s="83" t="s">
        <v>77</v>
      </c>
      <c r="E34" s="84"/>
      <c r="F34" s="84"/>
      <c r="G34" s="85"/>
      <c r="H34" s="42"/>
      <c r="I34" s="44"/>
      <c r="J34" s="36"/>
      <c r="K34" s="36"/>
      <c r="L34" s="36"/>
      <c r="M34" s="38"/>
      <c r="O34" s="2" t="s">
        <v>122</v>
      </c>
    </row>
    <row r="35" spans="1:15" s="2" customFormat="1" ht="14.1" customHeight="1" x14ac:dyDescent="0.3">
      <c r="A35" s="19">
        <v>17</v>
      </c>
      <c r="B35" s="49" t="s">
        <v>78</v>
      </c>
      <c r="C35" s="50"/>
      <c r="D35" s="45"/>
      <c r="E35" s="46"/>
      <c r="F35" s="46"/>
      <c r="G35" s="47"/>
      <c r="H35" s="90">
        <f>SUM(I35)-0.5</f>
        <v>10.8</v>
      </c>
      <c r="I35" s="43">
        <v>11.3</v>
      </c>
      <c r="J35" s="35">
        <f>SUM(I35)+0.5</f>
        <v>11.8</v>
      </c>
      <c r="K35" s="35">
        <f>SUM(J35)+0.5</f>
        <v>12.3</v>
      </c>
      <c r="L35" s="39"/>
      <c r="M35" s="91"/>
    </row>
    <row r="36" spans="1:15" s="2" customFormat="1" ht="14.1" customHeight="1" x14ac:dyDescent="0.3">
      <c r="A36" s="19"/>
      <c r="B36" s="81" t="s">
        <v>79</v>
      </c>
      <c r="C36" s="82"/>
      <c r="D36" s="48" t="s">
        <v>80</v>
      </c>
      <c r="E36" s="93"/>
      <c r="F36" s="93"/>
      <c r="G36" s="94"/>
      <c r="H36" s="42"/>
      <c r="I36" s="44"/>
      <c r="J36" s="36"/>
      <c r="K36" s="36"/>
      <c r="L36" s="31"/>
      <c r="M36" s="92"/>
    </row>
    <row r="37" spans="1:15" s="2" customFormat="1" ht="14.1" customHeight="1" x14ac:dyDescent="0.3">
      <c r="A37" s="19">
        <v>18</v>
      </c>
      <c r="B37" s="49" t="s">
        <v>81</v>
      </c>
      <c r="C37" s="50"/>
      <c r="D37" s="45"/>
      <c r="E37" s="46"/>
      <c r="F37" s="46"/>
      <c r="G37" s="47"/>
      <c r="H37" s="41"/>
      <c r="I37" s="43"/>
      <c r="J37" s="35"/>
      <c r="K37" s="35"/>
      <c r="L37" s="39"/>
      <c r="M37" s="91"/>
    </row>
    <row r="38" spans="1:15" s="2" customFormat="1" ht="14.1" customHeight="1" x14ac:dyDescent="0.3">
      <c r="A38" s="19"/>
      <c r="B38" s="81" t="s">
        <v>82</v>
      </c>
      <c r="C38" s="82"/>
      <c r="D38" s="48" t="s">
        <v>83</v>
      </c>
      <c r="E38" s="93"/>
      <c r="F38" s="93"/>
      <c r="G38" s="94"/>
      <c r="H38" s="42"/>
      <c r="I38" s="44"/>
      <c r="J38" s="36"/>
      <c r="K38" s="36"/>
      <c r="L38" s="31"/>
      <c r="M38" s="92"/>
    </row>
    <row r="39" spans="1:15" ht="14.1" customHeight="1" x14ac:dyDescent="0.3">
      <c r="A39" s="19">
        <v>19</v>
      </c>
      <c r="B39" s="49" t="s">
        <v>84</v>
      </c>
      <c r="C39" s="50"/>
      <c r="D39" s="45" t="s">
        <v>49</v>
      </c>
      <c r="E39" s="46"/>
      <c r="F39" s="46"/>
      <c r="G39" s="47"/>
      <c r="H39" s="90">
        <f>SUM(I39)-1.5</f>
        <v>24.5</v>
      </c>
      <c r="I39" s="43">
        <v>26</v>
      </c>
      <c r="J39" s="35">
        <f>SUM(I39)+1.8</f>
        <v>27.8</v>
      </c>
      <c r="K39" s="35">
        <f>SUM(J39)+1.8</f>
        <v>29.6</v>
      </c>
      <c r="L39" s="35"/>
      <c r="M39" s="37"/>
    </row>
    <row r="40" spans="1:15" ht="14.1" customHeight="1" x14ac:dyDescent="0.3">
      <c r="A40" s="19"/>
      <c r="B40" s="81" t="s">
        <v>85</v>
      </c>
      <c r="C40" s="82"/>
      <c r="D40" s="83" t="s">
        <v>86</v>
      </c>
      <c r="E40" s="84"/>
      <c r="F40" s="84"/>
      <c r="G40" s="85"/>
      <c r="H40" s="42"/>
      <c r="I40" s="44"/>
      <c r="J40" s="36"/>
      <c r="K40" s="36"/>
      <c r="L40" s="36"/>
      <c r="M40" s="38"/>
    </row>
    <row r="41" spans="1:15" ht="14.1" customHeight="1" x14ac:dyDescent="0.3">
      <c r="A41" s="19">
        <v>20</v>
      </c>
      <c r="B41" s="49" t="s">
        <v>87</v>
      </c>
      <c r="C41" s="50"/>
      <c r="D41" s="45" t="s">
        <v>88</v>
      </c>
      <c r="E41" s="46"/>
      <c r="F41" s="46"/>
      <c r="G41" s="47"/>
      <c r="H41" s="90">
        <f>SUM(I41)-1.6</f>
        <v>41.199999999999996</v>
      </c>
      <c r="I41" s="43">
        <v>42.8</v>
      </c>
      <c r="J41" s="35">
        <f>SUM(I41)+1.6</f>
        <v>44.4</v>
      </c>
      <c r="K41" s="35">
        <f>SUM(J41)+1.6</f>
        <v>46</v>
      </c>
      <c r="L41" s="35"/>
      <c r="M41" s="37"/>
    </row>
    <row r="42" spans="1:15" ht="14.1" customHeight="1" x14ac:dyDescent="0.3">
      <c r="A42" s="19"/>
      <c r="B42" s="81" t="s">
        <v>89</v>
      </c>
      <c r="C42" s="82"/>
      <c r="D42" s="32" t="s">
        <v>90</v>
      </c>
      <c r="E42" s="33"/>
      <c r="F42" s="33"/>
      <c r="G42" s="34"/>
      <c r="H42" s="42"/>
      <c r="I42" s="44"/>
      <c r="J42" s="36"/>
      <c r="K42" s="36"/>
      <c r="L42" s="36"/>
      <c r="M42" s="38"/>
    </row>
    <row r="43" spans="1:15" s="2" customFormat="1" ht="14.1" customHeight="1" x14ac:dyDescent="0.3">
      <c r="A43" s="19">
        <v>21</v>
      </c>
      <c r="B43" s="49" t="s">
        <v>91</v>
      </c>
      <c r="C43" s="50"/>
      <c r="D43" s="45" t="s">
        <v>92</v>
      </c>
      <c r="E43" s="46"/>
      <c r="F43" s="46"/>
      <c r="G43" s="47"/>
      <c r="H43" s="90">
        <f>SUM(I43)-0.8</f>
        <v>18.7</v>
      </c>
      <c r="I43" s="43">
        <v>19.5</v>
      </c>
      <c r="J43" s="35">
        <f>SUM(I43)+0.8</f>
        <v>20.3</v>
      </c>
      <c r="K43" s="35">
        <f>SUM(J43)+0.8</f>
        <v>21.1</v>
      </c>
      <c r="L43" s="35"/>
      <c r="M43" s="91"/>
    </row>
    <row r="44" spans="1:15" s="2" customFormat="1" ht="14.1" customHeight="1" x14ac:dyDescent="0.3">
      <c r="A44" s="19"/>
      <c r="B44" s="81" t="s">
        <v>93</v>
      </c>
      <c r="C44" s="82"/>
      <c r="D44" s="83" t="s">
        <v>94</v>
      </c>
      <c r="E44" s="84"/>
      <c r="F44" s="84"/>
      <c r="G44" s="85"/>
      <c r="H44" s="42"/>
      <c r="I44" s="44"/>
      <c r="J44" s="36"/>
      <c r="K44" s="36"/>
      <c r="L44" s="36"/>
      <c r="M44" s="92"/>
    </row>
    <row r="45" spans="1:15" ht="14.1" customHeight="1" x14ac:dyDescent="0.3">
      <c r="A45" s="19">
        <v>22</v>
      </c>
      <c r="B45" s="49" t="s">
        <v>95</v>
      </c>
      <c r="C45" s="50"/>
      <c r="D45" s="45" t="s">
        <v>92</v>
      </c>
      <c r="E45" s="46"/>
      <c r="F45" s="46"/>
      <c r="G45" s="47"/>
      <c r="H45" s="90">
        <f>SUM(I45)-1</f>
        <v>24.4</v>
      </c>
      <c r="I45" s="43">
        <v>25.4</v>
      </c>
      <c r="J45" s="35">
        <f>SUM(I45)+1</f>
        <v>26.4</v>
      </c>
      <c r="K45" s="35">
        <f>SUM(J45)+1</f>
        <v>27.4</v>
      </c>
      <c r="L45" s="35"/>
      <c r="M45" s="91"/>
    </row>
    <row r="46" spans="1:15" ht="14.1" customHeight="1" x14ac:dyDescent="0.3">
      <c r="A46" s="19"/>
      <c r="B46" s="81" t="s">
        <v>96</v>
      </c>
      <c r="C46" s="82"/>
      <c r="D46" s="83" t="s">
        <v>94</v>
      </c>
      <c r="E46" s="84"/>
      <c r="F46" s="84"/>
      <c r="G46" s="85"/>
      <c r="H46" s="42"/>
      <c r="I46" s="44"/>
      <c r="J46" s="36"/>
      <c r="K46" s="36"/>
      <c r="L46" s="36"/>
      <c r="M46" s="92"/>
    </row>
    <row r="47" spans="1:15" ht="14.1" customHeight="1" x14ac:dyDescent="0.3">
      <c r="A47" s="19">
        <v>23</v>
      </c>
      <c r="B47" s="49" t="s">
        <v>111</v>
      </c>
      <c r="C47" s="50"/>
      <c r="D47" s="45" t="s">
        <v>112</v>
      </c>
      <c r="E47" s="46"/>
      <c r="F47" s="46"/>
      <c r="G47" s="47"/>
      <c r="H47" s="90">
        <f>SUM(I47)-0.2</f>
        <v>3.5999999999999996</v>
      </c>
      <c r="I47" s="43">
        <v>3.8</v>
      </c>
      <c r="J47" s="35">
        <f>SUM(I47)+0.2</f>
        <v>4</v>
      </c>
      <c r="K47" s="35">
        <f>SUM(J47)+0.2</f>
        <v>4.2</v>
      </c>
      <c r="L47" s="35"/>
      <c r="M47" s="37"/>
    </row>
    <row r="48" spans="1:15" ht="14.1" customHeight="1" x14ac:dyDescent="0.3">
      <c r="A48" s="19"/>
      <c r="B48" s="81" t="s">
        <v>113</v>
      </c>
      <c r="C48" s="82"/>
      <c r="D48" s="83" t="s">
        <v>114</v>
      </c>
      <c r="E48" s="84"/>
      <c r="F48" s="84"/>
      <c r="G48" s="85"/>
      <c r="H48" s="42"/>
      <c r="I48" s="44"/>
      <c r="J48" s="36"/>
      <c r="K48" s="36"/>
      <c r="L48" s="36"/>
      <c r="M48" s="38"/>
    </row>
    <row r="49" spans="1:13" ht="14.1" customHeight="1" x14ac:dyDescent="0.3">
      <c r="A49" s="19">
        <v>24</v>
      </c>
      <c r="B49" s="49" t="s">
        <v>115</v>
      </c>
      <c r="C49" s="50"/>
      <c r="D49" s="45" t="s">
        <v>116</v>
      </c>
      <c r="E49" s="46"/>
      <c r="F49" s="46"/>
      <c r="G49" s="47"/>
      <c r="H49" s="90">
        <f>SUM(I49)-0.6</f>
        <v>6.6000000000000005</v>
      </c>
      <c r="I49" s="43">
        <v>7.2</v>
      </c>
      <c r="J49" s="35">
        <f>SUM(I49)+0.6</f>
        <v>7.8</v>
      </c>
      <c r="K49" s="35">
        <f>SUM(J49)+0.6</f>
        <v>8.4</v>
      </c>
      <c r="L49" s="35"/>
      <c r="M49" s="37"/>
    </row>
    <row r="50" spans="1:13" ht="14.1" customHeight="1" x14ac:dyDescent="0.3">
      <c r="A50" s="19"/>
      <c r="B50" s="81" t="s">
        <v>117</v>
      </c>
      <c r="C50" s="82"/>
      <c r="D50" s="83" t="s">
        <v>118</v>
      </c>
      <c r="E50" s="84"/>
      <c r="F50" s="84"/>
      <c r="G50" s="85"/>
      <c r="H50" s="42"/>
      <c r="I50" s="44"/>
      <c r="J50" s="36"/>
      <c r="K50" s="36"/>
      <c r="L50" s="36"/>
      <c r="M50" s="38"/>
    </row>
    <row r="51" spans="1:13" ht="14.1" customHeight="1" x14ac:dyDescent="0.3">
      <c r="A51" s="19">
        <v>25</v>
      </c>
      <c r="B51" s="49" t="s">
        <v>123</v>
      </c>
      <c r="C51" s="50"/>
      <c r="D51" s="45"/>
      <c r="E51" s="46"/>
      <c r="F51" s="46"/>
      <c r="G51" s="47"/>
      <c r="H51" s="90">
        <f>SUM(I51)-0.5</f>
        <v>8.5</v>
      </c>
      <c r="I51" s="43">
        <v>9</v>
      </c>
      <c r="J51" s="35">
        <f>SUM(I51)+0.5</f>
        <v>9.5</v>
      </c>
      <c r="K51" s="35">
        <f>SUM(J51)+0.5</f>
        <v>10</v>
      </c>
      <c r="L51" s="35"/>
      <c r="M51" s="37"/>
    </row>
    <row r="52" spans="1:13" ht="14.1" customHeight="1" x14ac:dyDescent="0.3">
      <c r="A52" s="19"/>
      <c r="B52" s="81" t="s">
        <v>125</v>
      </c>
      <c r="C52" s="82"/>
      <c r="D52" s="83"/>
      <c r="E52" s="84"/>
      <c r="F52" s="84"/>
      <c r="G52" s="85"/>
      <c r="H52" s="42"/>
      <c r="I52" s="44"/>
      <c r="J52" s="36"/>
      <c r="K52" s="36"/>
      <c r="L52" s="36"/>
      <c r="M52" s="38"/>
    </row>
    <row r="53" spans="1:13" ht="14.1" customHeight="1" x14ac:dyDescent="0.3">
      <c r="A53" s="19">
        <v>26</v>
      </c>
      <c r="B53" s="49" t="s">
        <v>124</v>
      </c>
      <c r="C53" s="50"/>
      <c r="D53" s="45"/>
      <c r="E53" s="46"/>
      <c r="F53" s="46"/>
      <c r="G53" s="47"/>
      <c r="H53" s="90">
        <f>SUM(I53)-0.5</f>
        <v>9</v>
      </c>
      <c r="I53" s="43">
        <v>9.5</v>
      </c>
      <c r="J53" s="35">
        <f>SUM(I53)+0.5</f>
        <v>10</v>
      </c>
      <c r="K53" s="35">
        <f>SUM(J53)+0.5</f>
        <v>10.5</v>
      </c>
      <c r="L53" s="35"/>
      <c r="M53" s="37"/>
    </row>
    <row r="54" spans="1:13" ht="14.1" customHeight="1" x14ac:dyDescent="0.3">
      <c r="A54" s="19"/>
      <c r="B54" s="81" t="s">
        <v>126</v>
      </c>
      <c r="C54" s="82"/>
      <c r="D54" s="83"/>
      <c r="E54" s="84"/>
      <c r="F54" s="84"/>
      <c r="G54" s="85"/>
      <c r="H54" s="42"/>
      <c r="I54" s="44"/>
      <c r="J54" s="36"/>
      <c r="K54" s="36"/>
      <c r="L54" s="36"/>
      <c r="M54" s="38"/>
    </row>
    <row r="55" spans="1:13" ht="14.1" customHeight="1" x14ac:dyDescent="0.3">
      <c r="A55" s="19">
        <v>27</v>
      </c>
      <c r="B55" s="49" t="s">
        <v>59</v>
      </c>
      <c r="C55" s="50"/>
      <c r="D55" s="45"/>
      <c r="E55" s="46"/>
      <c r="F55" s="46"/>
      <c r="G55" s="47"/>
      <c r="H55" s="41">
        <v>1</v>
      </c>
      <c r="I55" s="43">
        <v>1</v>
      </c>
      <c r="J55" s="35">
        <v>1</v>
      </c>
      <c r="K55" s="35">
        <v>1</v>
      </c>
      <c r="L55" s="35"/>
      <c r="M55" s="37"/>
    </row>
    <row r="56" spans="1:13" ht="14.1" customHeight="1" thickBot="1" x14ac:dyDescent="0.35">
      <c r="A56" s="65"/>
      <c r="B56" s="60" t="s">
        <v>60</v>
      </c>
      <c r="C56" s="61"/>
      <c r="D56" s="115"/>
      <c r="E56" s="116"/>
      <c r="F56" s="116"/>
      <c r="G56" s="117"/>
      <c r="H56" s="71"/>
      <c r="I56" s="88"/>
      <c r="J56" s="74"/>
      <c r="K56" s="74"/>
      <c r="L56" s="74"/>
      <c r="M56" s="80"/>
    </row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0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3:A54"/>
    <mergeCell ref="B53:C53"/>
    <mergeCell ref="D53:G53"/>
    <mergeCell ref="H53:H54"/>
    <mergeCell ref="I53:I54"/>
    <mergeCell ref="J55:J56"/>
    <mergeCell ref="K55:K56"/>
    <mergeCell ref="K53:K54"/>
    <mergeCell ref="A55:A56"/>
    <mergeCell ref="L53:L54"/>
    <mergeCell ref="M53:M54"/>
    <mergeCell ref="B54:C54"/>
    <mergeCell ref="D54:G54"/>
    <mergeCell ref="J53:J54"/>
    <mergeCell ref="L55:L56"/>
    <mergeCell ref="M55:M56"/>
    <mergeCell ref="B56:C56"/>
    <mergeCell ref="D56:G56"/>
    <mergeCell ref="B55:C55"/>
    <mergeCell ref="D55:G55"/>
    <mergeCell ref="H55:H56"/>
    <mergeCell ref="I55:I56"/>
  </mergeCells>
  <phoneticPr fontId="10" type="noConversion"/>
  <printOptions horizontalCentered="1"/>
  <pageMargins left="0.7" right="0.7" top="0.75" bottom="0.75" header="0.3" footer="0.3"/>
  <pageSetup paperSize="9" scale="9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8F9F-2BB9-4D32-AD84-9282A1E9CB1E}">
  <sheetPr>
    <tabColor rgb="FF7030A0"/>
    <pageSetUpPr fitToPage="1"/>
  </sheetPr>
  <dimension ref="A1:O79"/>
  <sheetViews>
    <sheetView zoomScale="110" zoomScaleNormal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161</v>
      </c>
      <c r="L2" s="7"/>
      <c r="M2" s="4"/>
    </row>
    <row r="3" spans="1:13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23">
        <f>SUM(I3)-3</f>
        <v>31.5</v>
      </c>
      <c r="I3" s="25">
        <v>34.5</v>
      </c>
      <c r="J3" s="27">
        <f>SUM(I3)+3</f>
        <v>37.5</v>
      </c>
      <c r="K3" s="27">
        <f>SUM(J3)+3</f>
        <v>40.5</v>
      </c>
      <c r="L3" s="130"/>
      <c r="M3" s="112"/>
    </row>
    <row r="4" spans="1:13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24"/>
      <c r="I4" s="26"/>
      <c r="J4" s="35"/>
      <c r="K4" s="35"/>
      <c r="L4" s="39"/>
      <c r="M4" s="38"/>
    </row>
    <row r="5" spans="1:13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</f>
        <v>19.8</v>
      </c>
      <c r="I5" s="43">
        <v>20.8</v>
      </c>
      <c r="J5" s="35">
        <f>SUM(I5)+1</f>
        <v>21.8</v>
      </c>
      <c r="K5" s="35">
        <f>SUM(J5)+1</f>
        <v>22.8</v>
      </c>
      <c r="L5" s="35"/>
      <c r="M5" s="37"/>
    </row>
    <row r="6" spans="1:13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28.5</v>
      </c>
      <c r="I7" s="43">
        <v>30</v>
      </c>
      <c r="J7" s="35">
        <f>SUM(I7)+1.5</f>
        <v>31.5</v>
      </c>
      <c r="K7" s="35">
        <f>SUM(J7)+1.5</f>
        <v>33</v>
      </c>
      <c r="L7" s="35"/>
      <c r="M7" s="30"/>
    </row>
    <row r="8" spans="1:13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0"/>
    </row>
    <row r="9" spans="1:13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28.5</v>
      </c>
      <c r="I9" s="43">
        <v>30</v>
      </c>
      <c r="J9" s="35">
        <f>SUM(I9)+1.5</f>
        <v>31.5</v>
      </c>
      <c r="K9" s="35">
        <f>SUM(J9)+1.5</f>
        <v>33</v>
      </c>
      <c r="L9" s="35"/>
      <c r="M9" s="30"/>
    </row>
    <row r="10" spans="1:13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0"/>
    </row>
    <row r="11" spans="1:13" s="2" customFormat="1" ht="14.1" customHeight="1" x14ac:dyDescent="0.3">
      <c r="A11" s="19">
        <v>5</v>
      </c>
      <c r="B11" s="39" t="s">
        <v>10</v>
      </c>
      <c r="C11" s="39"/>
      <c r="D11" s="40" t="s">
        <v>61</v>
      </c>
      <c r="E11" s="40"/>
      <c r="F11" s="40"/>
      <c r="G11" s="40"/>
      <c r="H11" s="41">
        <f>SUM(I11)-0.9</f>
        <v>12.299999999999999</v>
      </c>
      <c r="I11" s="26">
        <v>13.2</v>
      </c>
      <c r="J11" s="28">
        <f>SUM(I11)+0.9</f>
        <v>14.1</v>
      </c>
      <c r="K11" s="28">
        <f>SUM(J11)+0.9</f>
        <v>15</v>
      </c>
      <c r="L11" s="28"/>
      <c r="M11" s="30"/>
    </row>
    <row r="12" spans="1:13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26"/>
      <c r="J12" s="28"/>
      <c r="K12" s="28"/>
      <c r="L12" s="28"/>
      <c r="M12" s="30"/>
    </row>
    <row r="13" spans="1:13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12</v>
      </c>
      <c r="I13" s="26">
        <v>12.5</v>
      </c>
      <c r="J13" s="28">
        <f>SUM(I13)+0.5</f>
        <v>13</v>
      </c>
      <c r="K13" s="28">
        <f>SUM(J13)+0.5</f>
        <v>13.5</v>
      </c>
      <c r="L13" s="125"/>
      <c r="M13" s="30"/>
    </row>
    <row r="14" spans="1:13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26"/>
      <c r="J14" s="28"/>
      <c r="K14" s="28"/>
      <c r="L14" s="125"/>
      <c r="M14" s="30"/>
    </row>
    <row r="15" spans="1:13" s="2" customFormat="1" ht="14.1" customHeight="1" x14ac:dyDescent="0.3">
      <c r="A15" s="19">
        <v>7</v>
      </c>
      <c r="B15" s="39" t="s">
        <v>221</v>
      </c>
      <c r="C15" s="39"/>
      <c r="D15" s="40" t="s">
        <v>223</v>
      </c>
      <c r="E15" s="40"/>
      <c r="F15" s="40"/>
      <c r="G15" s="40"/>
      <c r="H15" s="41">
        <f>SUM(I15)-0.3</f>
        <v>8.1999999999999993</v>
      </c>
      <c r="I15" s="26">
        <v>8.5</v>
      </c>
      <c r="J15" s="28">
        <f>SUM(I15)+0.3</f>
        <v>8.8000000000000007</v>
      </c>
      <c r="K15" s="28">
        <f>SUM(J15)+0.3</f>
        <v>9.1000000000000014</v>
      </c>
      <c r="L15" s="125"/>
      <c r="M15" s="30"/>
    </row>
    <row r="16" spans="1:13" s="2" customFormat="1" ht="14.1" customHeight="1" x14ac:dyDescent="0.3">
      <c r="A16" s="19"/>
      <c r="B16" s="31" t="s">
        <v>222</v>
      </c>
      <c r="C16" s="31"/>
      <c r="D16" s="32" t="s">
        <v>224</v>
      </c>
      <c r="E16" s="33"/>
      <c r="F16" s="33"/>
      <c r="G16" s="34"/>
      <c r="H16" s="42"/>
      <c r="I16" s="26"/>
      <c r="J16" s="28"/>
      <c r="K16" s="28"/>
      <c r="L16" s="125"/>
      <c r="M16" s="30"/>
    </row>
    <row r="17" spans="1:13" s="2" customFormat="1" ht="14.1" customHeight="1" x14ac:dyDescent="0.3">
      <c r="A17" s="19">
        <v>8</v>
      </c>
      <c r="B17" s="39" t="s">
        <v>3</v>
      </c>
      <c r="C17" s="39"/>
      <c r="D17" s="40" t="s">
        <v>4</v>
      </c>
      <c r="E17" s="40"/>
      <c r="F17" s="40"/>
      <c r="G17" s="40"/>
      <c r="H17" s="41">
        <f>SUM(I17)-0.2</f>
        <v>4.8</v>
      </c>
      <c r="I17" s="26">
        <v>5</v>
      </c>
      <c r="J17" s="28">
        <f>SUM(I17)+0.2</f>
        <v>5.2</v>
      </c>
      <c r="K17" s="28">
        <f>SUM(J17)+0.2</f>
        <v>5.4</v>
      </c>
      <c r="L17" s="125"/>
      <c r="M17" s="30"/>
    </row>
    <row r="18" spans="1:13" s="2" customFormat="1" ht="14.1" customHeight="1" x14ac:dyDescent="0.3">
      <c r="A18" s="19"/>
      <c r="B18" s="31" t="s">
        <v>15</v>
      </c>
      <c r="C18" s="31"/>
      <c r="D18" s="32" t="s">
        <v>55</v>
      </c>
      <c r="E18" s="33"/>
      <c r="F18" s="33"/>
      <c r="G18" s="34"/>
      <c r="H18" s="42"/>
      <c r="I18" s="26"/>
      <c r="J18" s="28"/>
      <c r="K18" s="28"/>
      <c r="L18" s="125"/>
      <c r="M18" s="30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</f>
        <v>8.5</v>
      </c>
      <c r="I19" s="26">
        <v>9.5</v>
      </c>
      <c r="J19" s="28">
        <f>SUM(I19)+1</f>
        <v>10.5</v>
      </c>
      <c r="K19" s="28">
        <f>SUM(J19)+1</f>
        <v>11.5</v>
      </c>
      <c r="L19" s="28"/>
      <c r="M19" s="30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26"/>
      <c r="J21" s="28"/>
      <c r="K21" s="28"/>
      <c r="L21" s="28"/>
      <c r="M21" s="30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SUM(I23)-1.6</f>
        <v>25.099999999999998</v>
      </c>
      <c r="I23" s="26">
        <v>26.7</v>
      </c>
      <c r="J23" s="28">
        <f>SUM(I23)+1.6</f>
        <v>28.3</v>
      </c>
      <c r="K23" s="28">
        <f>SUM(J23)+1.6</f>
        <v>29.900000000000002</v>
      </c>
      <c r="L23" s="125"/>
      <c r="M23" s="30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26"/>
      <c r="J24" s="28"/>
      <c r="K24" s="28"/>
      <c r="L24" s="125"/>
      <c r="M24" s="30"/>
    </row>
    <row r="25" spans="1:13" s="2" customFormat="1" ht="14.1" customHeight="1" x14ac:dyDescent="0.3">
      <c r="A25" s="19">
        <v>12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SUM(I25)-0.3</f>
        <v>3.7</v>
      </c>
      <c r="I25" s="26">
        <v>4</v>
      </c>
      <c r="J25" s="28">
        <f>SUM(I25)+0.3</f>
        <v>4.3</v>
      </c>
      <c r="K25" s="28">
        <f>SUM(J25)+0.3</f>
        <v>4.5999999999999996</v>
      </c>
      <c r="L25" s="125"/>
      <c r="M25" s="30"/>
    </row>
    <row r="26" spans="1:13" s="2" customFormat="1" ht="14.1" customHeight="1" x14ac:dyDescent="0.3">
      <c r="A26" s="129"/>
      <c r="B26" s="56" t="s">
        <v>58</v>
      </c>
      <c r="C26" s="57"/>
      <c r="D26" s="32" t="s">
        <v>52</v>
      </c>
      <c r="E26" s="33"/>
      <c r="F26" s="33"/>
      <c r="G26" s="34"/>
      <c r="H26" s="42"/>
      <c r="I26" s="26"/>
      <c r="J26" s="28"/>
      <c r="K26" s="28"/>
      <c r="L26" s="39"/>
      <c r="M26" s="37"/>
    </row>
    <row r="27" spans="1:13" s="2" customFormat="1" ht="14.1" customHeight="1" x14ac:dyDescent="0.3">
      <c r="A27" s="19">
        <v>13</v>
      </c>
      <c r="B27" s="49"/>
      <c r="C27" s="50"/>
      <c r="D27" s="51"/>
      <c r="E27" s="52"/>
      <c r="F27" s="52"/>
      <c r="G27" s="53"/>
      <c r="H27" s="24"/>
      <c r="I27" s="26"/>
      <c r="J27" s="28"/>
      <c r="K27" s="28"/>
      <c r="L27" s="28"/>
      <c r="M27" s="37"/>
    </row>
    <row r="28" spans="1:13" s="2" customFormat="1" ht="14.1" customHeight="1" thickBot="1" x14ac:dyDescent="0.35">
      <c r="A28" s="126"/>
      <c r="B28" s="120"/>
      <c r="C28" s="121"/>
      <c r="D28" s="122"/>
      <c r="E28" s="123"/>
      <c r="F28" s="123"/>
      <c r="G28" s="124"/>
      <c r="H28" s="127"/>
      <c r="I28" s="128"/>
      <c r="J28" s="118"/>
      <c r="K28" s="118"/>
      <c r="L28" s="118"/>
      <c r="M28" s="119"/>
    </row>
    <row r="29" spans="1:13" s="2" customFormat="1" ht="14.1" customHeight="1" thickTop="1" x14ac:dyDescent="0.3">
      <c r="A29" s="18">
        <v>14</v>
      </c>
      <c r="B29" s="66" t="s">
        <v>62</v>
      </c>
      <c r="C29" s="67"/>
      <c r="D29" s="77" t="s">
        <v>63</v>
      </c>
      <c r="E29" s="78"/>
      <c r="F29" s="78"/>
      <c r="G29" s="79"/>
      <c r="H29" s="90">
        <f>SUM(I29)-2</f>
        <v>40</v>
      </c>
      <c r="I29" s="100">
        <v>42</v>
      </c>
      <c r="J29" s="95">
        <f>SUM(I29)+2</f>
        <v>44</v>
      </c>
      <c r="K29" s="95">
        <f>SUM(J29)+2</f>
        <v>46</v>
      </c>
      <c r="L29" s="95"/>
      <c r="M29" s="96"/>
    </row>
    <row r="30" spans="1:13" s="2" customFormat="1" ht="14.1" customHeight="1" x14ac:dyDescent="0.3">
      <c r="A30" s="19"/>
      <c r="B30" s="81" t="s">
        <v>64</v>
      </c>
      <c r="C30" s="82"/>
      <c r="D30" s="83" t="s">
        <v>65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19">
        <v>15</v>
      </c>
      <c r="B31" s="49" t="s">
        <v>72</v>
      </c>
      <c r="C31" s="50"/>
      <c r="D31" s="77"/>
      <c r="E31" s="78"/>
      <c r="F31" s="78"/>
      <c r="G31" s="79"/>
      <c r="H31" s="90">
        <f>SUM(I31)-2.8</f>
        <v>63.2</v>
      </c>
      <c r="I31" s="100">
        <v>66</v>
      </c>
      <c r="J31" s="95">
        <f>SUM(I31)+2.8</f>
        <v>68.8</v>
      </c>
      <c r="K31" s="95">
        <f>SUM(J31)+2.8</f>
        <v>71.599999999999994</v>
      </c>
      <c r="L31" s="95"/>
      <c r="M31" s="96"/>
    </row>
    <row r="32" spans="1:13" s="2" customFormat="1" ht="14.1" customHeight="1" x14ac:dyDescent="0.3">
      <c r="A32" s="19"/>
      <c r="B32" s="81" t="s">
        <v>73</v>
      </c>
      <c r="C32" s="82"/>
      <c r="D32" s="83"/>
      <c r="E32" s="84"/>
      <c r="F32" s="84"/>
      <c r="G32" s="85"/>
      <c r="H32" s="42"/>
      <c r="I32" s="44"/>
      <c r="J32" s="36"/>
      <c r="K32" s="36"/>
      <c r="L32" s="36"/>
      <c r="M32" s="38"/>
    </row>
    <row r="33" spans="1:15" s="2" customFormat="1" ht="14.1" customHeight="1" x14ac:dyDescent="0.3">
      <c r="A33" s="19">
        <v>16</v>
      </c>
      <c r="B33" s="49" t="s">
        <v>74</v>
      </c>
      <c r="C33" s="50"/>
      <c r="D33" s="45" t="s">
        <v>75</v>
      </c>
      <c r="E33" s="46"/>
      <c r="F33" s="46"/>
      <c r="G33" s="47"/>
      <c r="H33" s="90">
        <f>SUM(I33)-3</f>
        <v>67.5</v>
      </c>
      <c r="I33" s="100">
        <v>70.5</v>
      </c>
      <c r="J33" s="95">
        <f>SUM(I33)+3</f>
        <v>73.5</v>
      </c>
      <c r="K33" s="95">
        <f>SUM(J33)+3</f>
        <v>76.5</v>
      </c>
      <c r="L33" s="35"/>
      <c r="M33" s="37"/>
    </row>
    <row r="34" spans="1:15" s="2" customFormat="1" ht="14.1" customHeight="1" x14ac:dyDescent="0.3">
      <c r="A34" s="19"/>
      <c r="B34" s="81" t="s">
        <v>76</v>
      </c>
      <c r="C34" s="82"/>
      <c r="D34" s="83" t="s">
        <v>77</v>
      </c>
      <c r="E34" s="84"/>
      <c r="F34" s="84"/>
      <c r="G34" s="85"/>
      <c r="H34" s="42"/>
      <c r="I34" s="44"/>
      <c r="J34" s="36"/>
      <c r="K34" s="36"/>
      <c r="L34" s="36"/>
      <c r="M34" s="38"/>
      <c r="O34" s="2" t="s">
        <v>122</v>
      </c>
    </row>
    <row r="35" spans="1:15" s="2" customFormat="1" ht="14.1" customHeight="1" x14ac:dyDescent="0.3">
      <c r="A35" s="19">
        <v>17</v>
      </c>
      <c r="B35" s="49" t="s">
        <v>78</v>
      </c>
      <c r="C35" s="50"/>
      <c r="D35" s="45"/>
      <c r="E35" s="46"/>
      <c r="F35" s="46"/>
      <c r="G35" s="47"/>
      <c r="H35" s="90">
        <f>SUM(I35)-0.5</f>
        <v>10.4</v>
      </c>
      <c r="I35" s="43">
        <v>10.9</v>
      </c>
      <c r="J35" s="35">
        <f>SUM(I35)+0.5</f>
        <v>11.4</v>
      </c>
      <c r="K35" s="35">
        <f>SUM(J35)+0.5</f>
        <v>11.9</v>
      </c>
      <c r="L35" s="39"/>
      <c r="M35" s="91"/>
    </row>
    <row r="36" spans="1:15" s="2" customFormat="1" ht="14.1" customHeight="1" x14ac:dyDescent="0.3">
      <c r="A36" s="19"/>
      <c r="B36" s="81" t="s">
        <v>79</v>
      </c>
      <c r="C36" s="82"/>
      <c r="D36" s="48" t="s">
        <v>80</v>
      </c>
      <c r="E36" s="93"/>
      <c r="F36" s="93"/>
      <c r="G36" s="94"/>
      <c r="H36" s="42"/>
      <c r="I36" s="44"/>
      <c r="J36" s="36"/>
      <c r="K36" s="36"/>
      <c r="L36" s="31"/>
      <c r="M36" s="92"/>
    </row>
    <row r="37" spans="1:15" s="2" customFormat="1" ht="14.1" customHeight="1" x14ac:dyDescent="0.3">
      <c r="A37" s="19">
        <v>18</v>
      </c>
      <c r="B37" s="49" t="s">
        <v>81</v>
      </c>
      <c r="C37" s="50"/>
      <c r="D37" s="45"/>
      <c r="E37" s="46"/>
      <c r="F37" s="46"/>
      <c r="G37" s="47"/>
      <c r="H37" s="41"/>
      <c r="I37" s="43"/>
      <c r="J37" s="35"/>
      <c r="K37" s="35"/>
      <c r="L37" s="39"/>
      <c r="M37" s="91"/>
    </row>
    <row r="38" spans="1:15" s="2" customFormat="1" ht="14.1" customHeight="1" x14ac:dyDescent="0.3">
      <c r="A38" s="19"/>
      <c r="B38" s="81" t="s">
        <v>82</v>
      </c>
      <c r="C38" s="82"/>
      <c r="D38" s="48" t="s">
        <v>83</v>
      </c>
      <c r="E38" s="93"/>
      <c r="F38" s="93"/>
      <c r="G38" s="94"/>
      <c r="H38" s="42"/>
      <c r="I38" s="44"/>
      <c r="J38" s="36"/>
      <c r="K38" s="36"/>
      <c r="L38" s="31"/>
      <c r="M38" s="92"/>
    </row>
    <row r="39" spans="1:15" ht="14.1" customHeight="1" x14ac:dyDescent="0.3">
      <c r="A39" s="19">
        <v>19</v>
      </c>
      <c r="B39" s="49" t="s">
        <v>84</v>
      </c>
      <c r="C39" s="50"/>
      <c r="D39" s="45" t="s">
        <v>49</v>
      </c>
      <c r="E39" s="46"/>
      <c r="F39" s="46"/>
      <c r="G39" s="47"/>
      <c r="H39" s="90">
        <f>SUM(I39)-1</f>
        <v>22</v>
      </c>
      <c r="I39" s="43">
        <v>23</v>
      </c>
      <c r="J39" s="35">
        <f>SUM(I39)+1.5</f>
        <v>24.5</v>
      </c>
      <c r="K39" s="35">
        <f>SUM(J39)+1.5</f>
        <v>26</v>
      </c>
      <c r="L39" s="35"/>
      <c r="M39" s="37"/>
    </row>
    <row r="40" spans="1:15" ht="14.1" customHeight="1" x14ac:dyDescent="0.3">
      <c r="A40" s="19"/>
      <c r="B40" s="81" t="s">
        <v>85</v>
      </c>
      <c r="C40" s="82"/>
      <c r="D40" s="83" t="s">
        <v>86</v>
      </c>
      <c r="E40" s="84"/>
      <c r="F40" s="84"/>
      <c r="G40" s="85"/>
      <c r="H40" s="42"/>
      <c r="I40" s="44"/>
      <c r="J40" s="36"/>
      <c r="K40" s="36"/>
      <c r="L40" s="36"/>
      <c r="M40" s="38"/>
    </row>
    <row r="41" spans="1:15" ht="14.1" customHeight="1" x14ac:dyDescent="0.3">
      <c r="A41" s="19">
        <v>20</v>
      </c>
      <c r="B41" s="49" t="s">
        <v>87</v>
      </c>
      <c r="C41" s="50"/>
      <c r="D41" s="45" t="s">
        <v>88</v>
      </c>
      <c r="E41" s="46"/>
      <c r="F41" s="46"/>
      <c r="G41" s="47"/>
      <c r="H41" s="90">
        <f>SUM(I41)-1.6</f>
        <v>30.6</v>
      </c>
      <c r="I41" s="43">
        <v>32.200000000000003</v>
      </c>
      <c r="J41" s="35">
        <f>SUM(I41)+1.6</f>
        <v>33.800000000000004</v>
      </c>
      <c r="K41" s="35">
        <f>SUM(J41)+1.6</f>
        <v>35.400000000000006</v>
      </c>
      <c r="L41" s="35"/>
      <c r="M41" s="37"/>
    </row>
    <row r="42" spans="1:15" ht="14.1" customHeight="1" x14ac:dyDescent="0.3">
      <c r="A42" s="19"/>
      <c r="B42" s="81" t="s">
        <v>89</v>
      </c>
      <c r="C42" s="82"/>
      <c r="D42" s="32" t="s">
        <v>90</v>
      </c>
      <c r="E42" s="33"/>
      <c r="F42" s="33"/>
      <c r="G42" s="34"/>
      <c r="H42" s="42"/>
      <c r="I42" s="44"/>
      <c r="J42" s="36"/>
      <c r="K42" s="36"/>
      <c r="L42" s="36"/>
      <c r="M42" s="38"/>
    </row>
    <row r="43" spans="1:15" s="2" customFormat="1" ht="14.1" customHeight="1" x14ac:dyDescent="0.3">
      <c r="A43" s="19">
        <v>21</v>
      </c>
      <c r="B43" s="49" t="s">
        <v>91</v>
      </c>
      <c r="C43" s="50"/>
      <c r="D43" s="45" t="s">
        <v>92</v>
      </c>
      <c r="E43" s="46"/>
      <c r="F43" s="46"/>
      <c r="G43" s="47"/>
      <c r="H43" s="90">
        <f>SUM(I43)-0.8</f>
        <v>19.399999999999999</v>
      </c>
      <c r="I43" s="43">
        <v>20.2</v>
      </c>
      <c r="J43" s="35">
        <f>SUM(I43)+0.8</f>
        <v>21</v>
      </c>
      <c r="K43" s="35">
        <f>SUM(J43)+0.8</f>
        <v>21.8</v>
      </c>
      <c r="L43" s="35"/>
      <c r="M43" s="91"/>
    </row>
    <row r="44" spans="1:15" s="2" customFormat="1" ht="14.1" customHeight="1" x14ac:dyDescent="0.3">
      <c r="A44" s="19"/>
      <c r="B44" s="81" t="s">
        <v>93</v>
      </c>
      <c r="C44" s="82"/>
      <c r="D44" s="83" t="s">
        <v>94</v>
      </c>
      <c r="E44" s="84"/>
      <c r="F44" s="84"/>
      <c r="G44" s="85"/>
      <c r="H44" s="42"/>
      <c r="I44" s="44"/>
      <c r="J44" s="36"/>
      <c r="K44" s="36"/>
      <c r="L44" s="36"/>
      <c r="M44" s="92"/>
    </row>
    <row r="45" spans="1:15" ht="14.1" customHeight="1" x14ac:dyDescent="0.3">
      <c r="A45" s="19">
        <v>22</v>
      </c>
      <c r="B45" s="49" t="s">
        <v>95</v>
      </c>
      <c r="C45" s="50"/>
      <c r="D45" s="45" t="s">
        <v>92</v>
      </c>
      <c r="E45" s="46"/>
      <c r="F45" s="46"/>
      <c r="G45" s="47"/>
      <c r="H45" s="90">
        <f>SUM(I45)-1</f>
        <v>24.9</v>
      </c>
      <c r="I45" s="43">
        <v>25.9</v>
      </c>
      <c r="J45" s="35">
        <f>SUM(I45)+1</f>
        <v>26.9</v>
      </c>
      <c r="K45" s="35">
        <f>SUM(J45)+1</f>
        <v>27.9</v>
      </c>
      <c r="L45" s="35"/>
      <c r="M45" s="91"/>
    </row>
    <row r="46" spans="1:15" ht="14.1" customHeight="1" x14ac:dyDescent="0.3">
      <c r="A46" s="19"/>
      <c r="B46" s="81" t="s">
        <v>96</v>
      </c>
      <c r="C46" s="82"/>
      <c r="D46" s="83" t="s">
        <v>94</v>
      </c>
      <c r="E46" s="84"/>
      <c r="F46" s="84"/>
      <c r="G46" s="85"/>
      <c r="H46" s="42"/>
      <c r="I46" s="44"/>
      <c r="J46" s="36"/>
      <c r="K46" s="36"/>
      <c r="L46" s="36"/>
      <c r="M46" s="92"/>
    </row>
    <row r="47" spans="1:15" ht="14.1" customHeight="1" x14ac:dyDescent="0.3">
      <c r="A47" s="19">
        <v>23</v>
      </c>
      <c r="B47" s="49" t="s">
        <v>111</v>
      </c>
      <c r="C47" s="50"/>
      <c r="D47" s="45" t="s">
        <v>112</v>
      </c>
      <c r="E47" s="46"/>
      <c r="F47" s="46"/>
      <c r="G47" s="47"/>
      <c r="H47" s="90">
        <f>SUM(I47)-0.2</f>
        <v>3.5999999999999996</v>
      </c>
      <c r="I47" s="43">
        <v>3.8</v>
      </c>
      <c r="J47" s="35">
        <f>SUM(I47)+0.2</f>
        <v>4</v>
      </c>
      <c r="K47" s="35">
        <f>SUM(J47)+0.2</f>
        <v>4.2</v>
      </c>
      <c r="L47" s="35"/>
      <c r="M47" s="37"/>
    </row>
    <row r="48" spans="1:15" ht="14.1" customHeight="1" x14ac:dyDescent="0.3">
      <c r="A48" s="19"/>
      <c r="B48" s="81" t="s">
        <v>113</v>
      </c>
      <c r="C48" s="82"/>
      <c r="D48" s="83" t="s">
        <v>114</v>
      </c>
      <c r="E48" s="84"/>
      <c r="F48" s="84"/>
      <c r="G48" s="85"/>
      <c r="H48" s="42"/>
      <c r="I48" s="44"/>
      <c r="J48" s="36"/>
      <c r="K48" s="36"/>
      <c r="L48" s="36"/>
      <c r="M48" s="38"/>
    </row>
    <row r="49" spans="1:13" ht="14.1" customHeight="1" x14ac:dyDescent="0.3">
      <c r="A49" s="19">
        <v>24</v>
      </c>
      <c r="B49" s="49" t="s">
        <v>115</v>
      </c>
      <c r="C49" s="50"/>
      <c r="D49" s="45" t="s">
        <v>116</v>
      </c>
      <c r="E49" s="46"/>
      <c r="F49" s="46"/>
      <c r="G49" s="47"/>
      <c r="H49" s="90">
        <f>SUM(I49)-0.6</f>
        <v>7.1000000000000005</v>
      </c>
      <c r="I49" s="43">
        <v>7.7</v>
      </c>
      <c r="J49" s="35">
        <f>SUM(I49)+0.6</f>
        <v>8.3000000000000007</v>
      </c>
      <c r="K49" s="35">
        <f>SUM(J49)+0.6</f>
        <v>8.9</v>
      </c>
      <c r="L49" s="35"/>
      <c r="M49" s="37"/>
    </row>
    <row r="50" spans="1:13" ht="14.1" customHeight="1" x14ac:dyDescent="0.3">
      <c r="A50" s="19"/>
      <c r="B50" s="81" t="s">
        <v>117</v>
      </c>
      <c r="C50" s="82"/>
      <c r="D50" s="83" t="s">
        <v>118</v>
      </c>
      <c r="E50" s="84"/>
      <c r="F50" s="84"/>
      <c r="G50" s="85"/>
      <c r="H50" s="42"/>
      <c r="I50" s="44"/>
      <c r="J50" s="36"/>
      <c r="K50" s="36"/>
      <c r="L50" s="36"/>
      <c r="M50" s="38"/>
    </row>
    <row r="51" spans="1:13" ht="14.1" customHeight="1" x14ac:dyDescent="0.3">
      <c r="A51" s="19">
        <v>25</v>
      </c>
      <c r="B51" s="49"/>
      <c r="C51" s="50"/>
      <c r="D51" s="45"/>
      <c r="E51" s="46"/>
      <c r="F51" s="46"/>
      <c r="G51" s="47"/>
      <c r="H51" s="41"/>
      <c r="I51" s="43"/>
      <c r="J51" s="35"/>
      <c r="K51" s="35"/>
      <c r="L51" s="35"/>
      <c r="M51" s="37"/>
    </row>
    <row r="52" spans="1:13" ht="14.1" customHeight="1" thickBot="1" x14ac:dyDescent="0.35">
      <c r="A52" s="65"/>
      <c r="B52" s="60"/>
      <c r="C52" s="61"/>
      <c r="D52" s="115"/>
      <c r="E52" s="116"/>
      <c r="F52" s="116"/>
      <c r="G52" s="117"/>
      <c r="H52" s="71"/>
      <c r="I52" s="88"/>
      <c r="J52" s="74"/>
      <c r="K52" s="74"/>
      <c r="L52" s="74"/>
      <c r="M52" s="80"/>
    </row>
    <row r="53" spans="1:13" ht="14.1" customHeight="1" x14ac:dyDescent="0.3"/>
    <row r="54" spans="1:13" ht="14.1" customHeight="1" x14ac:dyDescent="0.3"/>
    <row r="55" spans="1:13" ht="14.1" customHeight="1" x14ac:dyDescent="0.3"/>
    <row r="56" spans="1:13" ht="14.1" customHeight="1" x14ac:dyDescent="0.3"/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278">
    <mergeCell ref="J51:J52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24E2-D68D-4E0A-99EB-DD839C48756D}">
  <sheetPr>
    <tabColor rgb="FF7030A0"/>
    <pageSetUpPr fitToPage="1"/>
  </sheetPr>
  <dimension ref="A1:O79"/>
  <sheetViews>
    <sheetView zoomScale="110" zoomScaleNormal="110" workbookViewId="0">
      <selection activeCell="Q28" sqref="Q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161</v>
      </c>
      <c r="L2" s="7"/>
      <c r="M2" s="4"/>
    </row>
    <row r="3" spans="1:13" s="2" customFormat="1" ht="14.1" customHeight="1" x14ac:dyDescent="0.3">
      <c r="A3" s="18">
        <v>1</v>
      </c>
      <c r="B3" s="20" t="s">
        <v>23</v>
      </c>
      <c r="C3" s="20"/>
      <c r="D3" s="21"/>
      <c r="E3" s="21"/>
      <c r="F3" s="21"/>
      <c r="G3" s="22"/>
      <c r="H3" s="23">
        <f>SUM(I3)-2.4</f>
        <v>24.900000000000002</v>
      </c>
      <c r="I3" s="25">
        <v>27.3</v>
      </c>
      <c r="J3" s="27">
        <f>SUM(I3)+2.4</f>
        <v>29.7</v>
      </c>
      <c r="K3" s="27">
        <f>SUM(J3)+2.4</f>
        <v>32.1</v>
      </c>
      <c r="L3" s="130"/>
      <c r="M3" s="112"/>
    </row>
    <row r="4" spans="1:13" s="2" customFormat="1" ht="14.1" customHeight="1" x14ac:dyDescent="0.3">
      <c r="A4" s="129"/>
      <c r="B4" s="131" t="s">
        <v>151</v>
      </c>
      <c r="C4" s="131"/>
      <c r="D4" s="77" t="s">
        <v>280</v>
      </c>
      <c r="E4" s="78"/>
      <c r="F4" s="78"/>
      <c r="G4" s="78"/>
      <c r="H4" s="41"/>
      <c r="I4" s="43"/>
      <c r="J4" s="35"/>
      <c r="K4" s="35"/>
      <c r="L4" s="39"/>
      <c r="M4" s="96"/>
    </row>
    <row r="5" spans="1:13" s="2" customFormat="1" ht="14.1" customHeight="1" x14ac:dyDescent="0.3">
      <c r="A5" s="19">
        <v>2</v>
      </c>
      <c r="B5" s="39" t="s">
        <v>23</v>
      </c>
      <c r="C5" s="39"/>
      <c r="D5" s="40"/>
      <c r="E5" s="40"/>
      <c r="F5" s="40"/>
      <c r="G5" s="45"/>
      <c r="H5" s="24">
        <f>SUM(I5)-2.5</f>
        <v>25.9</v>
      </c>
      <c r="I5" s="26">
        <v>28.4</v>
      </c>
      <c r="J5" s="28">
        <f>SUM(I5)+2.5</f>
        <v>30.9</v>
      </c>
      <c r="K5" s="28">
        <f>SUM(J5)+2.5</f>
        <v>33.4</v>
      </c>
      <c r="L5" s="125"/>
      <c r="M5" s="37"/>
    </row>
    <row r="6" spans="1:13" s="2" customFormat="1" ht="14.1" customHeight="1" x14ac:dyDescent="0.3">
      <c r="A6" s="19"/>
      <c r="B6" s="31" t="s">
        <v>279</v>
      </c>
      <c r="C6" s="31"/>
      <c r="D6" s="32" t="s">
        <v>280</v>
      </c>
      <c r="E6" s="33"/>
      <c r="F6" s="33"/>
      <c r="G6" s="33"/>
      <c r="H6" s="24"/>
      <c r="I6" s="26"/>
      <c r="J6" s="28"/>
      <c r="K6" s="28"/>
      <c r="L6" s="125"/>
      <c r="M6" s="38"/>
    </row>
    <row r="7" spans="1:13" s="2" customFormat="1" ht="14.1" customHeight="1" x14ac:dyDescent="0.3">
      <c r="A7" s="18">
        <v>3</v>
      </c>
      <c r="B7" s="39" t="s">
        <v>200</v>
      </c>
      <c r="C7" s="39"/>
      <c r="D7" s="40"/>
      <c r="E7" s="40"/>
      <c r="F7" s="40"/>
      <c r="G7" s="40"/>
      <c r="H7" s="42">
        <f>SUM(I7)-1.1</f>
        <v>14.1</v>
      </c>
      <c r="I7" s="100">
        <v>15.2</v>
      </c>
      <c r="J7" s="36">
        <f>SUM(I7)+1.1</f>
        <v>16.3</v>
      </c>
      <c r="K7" s="28">
        <f>SUM(J7)+1.1</f>
        <v>17.400000000000002</v>
      </c>
      <c r="L7" s="35"/>
      <c r="M7" s="37"/>
    </row>
    <row r="8" spans="1:13" s="2" customFormat="1" ht="14.1" customHeight="1" x14ac:dyDescent="0.3">
      <c r="A8" s="19"/>
      <c r="B8" s="31" t="s">
        <v>152</v>
      </c>
      <c r="C8" s="31"/>
      <c r="D8" s="32" t="s">
        <v>284</v>
      </c>
      <c r="E8" s="33"/>
      <c r="F8" s="33"/>
      <c r="G8" s="34"/>
      <c r="H8" s="41"/>
      <c r="I8" s="100"/>
      <c r="J8" s="35"/>
      <c r="K8" s="35"/>
      <c r="L8" s="36"/>
      <c r="M8" s="38"/>
    </row>
    <row r="9" spans="1:13" s="2" customFormat="1" ht="14.1" customHeight="1" x14ac:dyDescent="0.3">
      <c r="A9" s="18">
        <v>4</v>
      </c>
      <c r="B9" s="39" t="s">
        <v>200</v>
      </c>
      <c r="C9" s="39"/>
      <c r="D9" s="40"/>
      <c r="E9" s="40"/>
      <c r="F9" s="40"/>
      <c r="G9" s="40"/>
      <c r="H9" s="24">
        <f>SUM(I9)-1.1</f>
        <v>12.8</v>
      </c>
      <c r="I9" s="43">
        <v>13.9</v>
      </c>
      <c r="J9" s="28">
        <f>SUM(I9)+1.1</f>
        <v>15</v>
      </c>
      <c r="K9" s="28">
        <f>SUM(J9)+1.1</f>
        <v>16.100000000000001</v>
      </c>
      <c r="L9" s="35"/>
      <c r="M9" s="37"/>
    </row>
    <row r="10" spans="1:13" s="2" customFormat="1" ht="14.1" customHeight="1" x14ac:dyDescent="0.3">
      <c r="A10" s="19"/>
      <c r="B10" s="31" t="s">
        <v>152</v>
      </c>
      <c r="C10" s="31"/>
      <c r="D10" s="32" t="s">
        <v>283</v>
      </c>
      <c r="E10" s="33"/>
      <c r="F10" s="33"/>
      <c r="G10" s="34"/>
      <c r="H10" s="41"/>
      <c r="I10" s="100"/>
      <c r="J10" s="35"/>
      <c r="K10" s="35"/>
      <c r="L10" s="36"/>
      <c r="M10" s="38"/>
    </row>
    <row r="11" spans="1:13" s="2" customFormat="1" ht="14.1" customHeight="1" x14ac:dyDescent="0.3">
      <c r="A11" s="18">
        <v>5</v>
      </c>
      <c r="B11" s="39" t="s">
        <v>256</v>
      </c>
      <c r="C11" s="39"/>
      <c r="D11" s="40"/>
      <c r="E11" s="40"/>
      <c r="F11" s="40"/>
      <c r="G11" s="40"/>
      <c r="H11" s="24">
        <f>SUM(I11)</f>
        <v>2</v>
      </c>
      <c r="I11" s="43">
        <v>2</v>
      </c>
      <c r="J11" s="35">
        <f>SUM(I11)</f>
        <v>2</v>
      </c>
      <c r="K11" s="35">
        <f>SUM(J11)</f>
        <v>2</v>
      </c>
      <c r="L11" s="35"/>
      <c r="M11" s="37"/>
    </row>
    <row r="12" spans="1:13" s="2" customFormat="1" ht="14.1" customHeight="1" x14ac:dyDescent="0.3">
      <c r="A12" s="19"/>
      <c r="B12" s="31" t="s">
        <v>258</v>
      </c>
      <c r="C12" s="31"/>
      <c r="D12" s="32"/>
      <c r="E12" s="33"/>
      <c r="F12" s="33"/>
      <c r="G12" s="34"/>
      <c r="H12" s="24"/>
      <c r="I12" s="44"/>
      <c r="J12" s="36"/>
      <c r="K12" s="36"/>
      <c r="L12" s="36"/>
      <c r="M12" s="38"/>
    </row>
    <row r="13" spans="1:13" s="2" customFormat="1" ht="14.1" customHeight="1" x14ac:dyDescent="0.3">
      <c r="A13" s="18">
        <v>6</v>
      </c>
      <c r="B13" s="49" t="s">
        <v>154</v>
      </c>
      <c r="C13" s="50"/>
      <c r="D13" s="45"/>
      <c r="E13" s="46"/>
      <c r="F13" s="46"/>
      <c r="G13" s="47"/>
      <c r="H13" s="41">
        <f>SUM(I13)-0.7</f>
        <v>13.3</v>
      </c>
      <c r="I13" s="43">
        <v>14</v>
      </c>
      <c r="J13" s="35">
        <f>SUM(I13)+0.7</f>
        <v>14.7</v>
      </c>
      <c r="K13" s="35">
        <f>SUM(J13)+0.7</f>
        <v>15.399999999999999</v>
      </c>
      <c r="L13" s="35"/>
      <c r="M13" s="30"/>
    </row>
    <row r="14" spans="1:13" s="2" customFormat="1" ht="14.1" customHeight="1" x14ac:dyDescent="0.3">
      <c r="A14" s="19"/>
      <c r="B14" s="31" t="s">
        <v>281</v>
      </c>
      <c r="C14" s="31"/>
      <c r="D14" s="32" t="s">
        <v>153</v>
      </c>
      <c r="E14" s="33"/>
      <c r="F14" s="33"/>
      <c r="G14" s="34"/>
      <c r="H14" s="42"/>
      <c r="I14" s="44"/>
      <c r="J14" s="36"/>
      <c r="K14" s="36"/>
      <c r="L14" s="36"/>
      <c r="M14" s="30"/>
    </row>
    <row r="15" spans="1:13" s="2" customFormat="1" ht="14.1" customHeight="1" x14ac:dyDescent="0.3">
      <c r="A15" s="18">
        <v>7</v>
      </c>
      <c r="B15" s="49" t="s">
        <v>155</v>
      </c>
      <c r="C15" s="50"/>
      <c r="D15" s="45"/>
      <c r="E15" s="46"/>
      <c r="F15" s="46"/>
      <c r="G15" s="47"/>
      <c r="H15" s="41">
        <f>SUM(I15)-0.7</f>
        <v>13</v>
      </c>
      <c r="I15" s="43">
        <v>13.7</v>
      </c>
      <c r="J15" s="35">
        <f>SUM(I15)+0.7</f>
        <v>14.399999999999999</v>
      </c>
      <c r="K15" s="35">
        <f>SUM(J15)+0.7</f>
        <v>15.099999999999998</v>
      </c>
      <c r="L15" s="35"/>
      <c r="M15" s="30"/>
    </row>
    <row r="16" spans="1:13" s="2" customFormat="1" ht="14.1" customHeight="1" x14ac:dyDescent="0.3">
      <c r="A16" s="19"/>
      <c r="B16" s="31" t="s">
        <v>282</v>
      </c>
      <c r="C16" s="31"/>
      <c r="D16" s="32" t="s">
        <v>153</v>
      </c>
      <c r="E16" s="33"/>
      <c r="F16" s="33"/>
      <c r="G16" s="34"/>
      <c r="H16" s="42"/>
      <c r="I16" s="44"/>
      <c r="J16" s="36"/>
      <c r="K16" s="36"/>
      <c r="L16" s="36"/>
      <c r="M16" s="30"/>
    </row>
    <row r="17" spans="1:14" s="2" customFormat="1" ht="14.1" customHeight="1" x14ac:dyDescent="0.3">
      <c r="A17" s="18">
        <v>8</v>
      </c>
      <c r="B17" s="39" t="s">
        <v>19</v>
      </c>
      <c r="C17" s="39"/>
      <c r="D17" s="40" t="s">
        <v>49</v>
      </c>
      <c r="E17" s="40"/>
      <c r="F17" s="40"/>
      <c r="G17" s="40"/>
      <c r="H17" s="41">
        <f>SUM(I17)-1.5</f>
        <v>28.5</v>
      </c>
      <c r="I17" s="43">
        <v>30</v>
      </c>
      <c r="J17" s="35">
        <f>SUM(I17)+1.5</f>
        <v>31.5</v>
      </c>
      <c r="K17" s="35">
        <f>SUM(J17)+1.5</f>
        <v>33</v>
      </c>
      <c r="L17" s="35"/>
      <c r="M17" s="30"/>
    </row>
    <row r="18" spans="1:14" s="2" customFormat="1" ht="14.1" customHeight="1" x14ac:dyDescent="0.3">
      <c r="A18" s="19"/>
      <c r="B18" s="31" t="s">
        <v>24</v>
      </c>
      <c r="C18" s="31"/>
      <c r="D18" s="32" t="s">
        <v>27</v>
      </c>
      <c r="E18" s="33"/>
      <c r="F18" s="33"/>
      <c r="G18" s="34"/>
      <c r="H18" s="42"/>
      <c r="I18" s="44"/>
      <c r="J18" s="36"/>
      <c r="K18" s="36"/>
      <c r="L18" s="36"/>
      <c r="M18" s="30"/>
    </row>
    <row r="19" spans="1:14" s="2" customFormat="1" ht="14.1" customHeight="1" x14ac:dyDescent="0.3">
      <c r="A19" s="18">
        <v>9</v>
      </c>
      <c r="B19" s="39" t="s">
        <v>25</v>
      </c>
      <c r="C19" s="39"/>
      <c r="D19" s="40" t="s">
        <v>9</v>
      </c>
      <c r="E19" s="40"/>
      <c r="F19" s="40"/>
      <c r="G19" s="40"/>
      <c r="H19" s="41">
        <f>SUM(I19)-1.5</f>
        <v>28.5</v>
      </c>
      <c r="I19" s="43">
        <v>30</v>
      </c>
      <c r="J19" s="35">
        <f>SUM(I19)+1.5</f>
        <v>31.5</v>
      </c>
      <c r="K19" s="35">
        <f>SUM(J19)+1.5</f>
        <v>33</v>
      </c>
      <c r="L19" s="35"/>
      <c r="M19" s="30"/>
    </row>
    <row r="20" spans="1:14" s="2" customFormat="1" ht="14.1" customHeight="1" x14ac:dyDescent="0.3">
      <c r="A20" s="19"/>
      <c r="B20" s="31" t="s">
        <v>12</v>
      </c>
      <c r="C20" s="31"/>
      <c r="D20" s="32" t="s">
        <v>28</v>
      </c>
      <c r="E20" s="33"/>
      <c r="F20" s="33"/>
      <c r="G20" s="34"/>
      <c r="H20" s="42"/>
      <c r="I20" s="44"/>
      <c r="J20" s="36"/>
      <c r="K20" s="36"/>
      <c r="L20" s="36"/>
      <c r="M20" s="30"/>
    </row>
    <row r="21" spans="1:14" s="2" customFormat="1" ht="14.1" customHeight="1" x14ac:dyDescent="0.3">
      <c r="A21" s="18">
        <v>10</v>
      </c>
      <c r="B21" s="49" t="s">
        <v>57</v>
      </c>
      <c r="C21" s="50"/>
      <c r="D21" s="51" t="s">
        <v>53</v>
      </c>
      <c r="E21" s="52"/>
      <c r="F21" s="52"/>
      <c r="G21" s="53"/>
      <c r="H21" s="41">
        <f>SUM(I21)-0.4</f>
        <v>4.5999999999999996</v>
      </c>
      <c r="I21" s="26">
        <v>5</v>
      </c>
      <c r="J21" s="28">
        <f>SUM(I21)+0.4</f>
        <v>5.4</v>
      </c>
      <c r="K21" s="28">
        <f>SUM(J21)+0.4</f>
        <v>5.8000000000000007</v>
      </c>
      <c r="L21" s="125"/>
      <c r="M21" s="30"/>
    </row>
    <row r="22" spans="1:14" s="2" customFormat="1" ht="14.1" customHeight="1" x14ac:dyDescent="0.3">
      <c r="A22" s="19"/>
      <c r="B22" s="56" t="s">
        <v>58</v>
      </c>
      <c r="C22" s="57"/>
      <c r="D22" s="32" t="s">
        <v>52</v>
      </c>
      <c r="E22" s="33"/>
      <c r="F22" s="33"/>
      <c r="G22" s="34"/>
      <c r="H22" s="42"/>
      <c r="I22" s="26"/>
      <c r="J22" s="28"/>
      <c r="K22" s="28"/>
      <c r="L22" s="39"/>
      <c r="M22" s="37"/>
    </row>
    <row r="23" spans="1:14" s="2" customFormat="1" ht="14.1" customHeight="1" x14ac:dyDescent="0.3">
      <c r="A23" s="19">
        <v>11</v>
      </c>
      <c r="B23" s="49"/>
      <c r="C23" s="50"/>
      <c r="D23" s="40"/>
      <c r="E23" s="40"/>
      <c r="F23" s="40"/>
      <c r="G23" s="40"/>
      <c r="H23" s="41"/>
      <c r="I23" s="26"/>
      <c r="J23" s="28"/>
      <c r="K23" s="28"/>
      <c r="L23" s="125"/>
      <c r="M23" s="30"/>
    </row>
    <row r="24" spans="1:14" s="2" customFormat="1" ht="14.1" customHeight="1" thickBot="1" x14ac:dyDescent="0.35">
      <c r="A24" s="129"/>
      <c r="B24" s="131"/>
      <c r="C24" s="131"/>
      <c r="D24" s="77"/>
      <c r="E24" s="78"/>
      <c r="F24" s="78"/>
      <c r="G24" s="79"/>
      <c r="H24" s="90"/>
      <c r="I24" s="43"/>
      <c r="J24" s="35"/>
      <c r="K24" s="35"/>
      <c r="L24" s="39"/>
      <c r="M24" s="37"/>
      <c r="N24" s="13"/>
    </row>
    <row r="25" spans="1:14" s="2" customFormat="1" ht="14.1" customHeight="1" thickTop="1" x14ac:dyDescent="0.3">
      <c r="A25" s="132">
        <v>12</v>
      </c>
      <c r="B25" s="133" t="s">
        <v>62</v>
      </c>
      <c r="C25" s="134"/>
      <c r="D25" s="135" t="s">
        <v>63</v>
      </c>
      <c r="E25" s="136"/>
      <c r="F25" s="136"/>
      <c r="G25" s="137"/>
      <c r="H25" s="138">
        <f>SUM(I25)-2</f>
        <v>40</v>
      </c>
      <c r="I25" s="139">
        <v>42</v>
      </c>
      <c r="J25" s="140">
        <f>SUM(I25)+2</f>
        <v>44</v>
      </c>
      <c r="K25" s="140">
        <f>SUM(J25)+2</f>
        <v>46</v>
      </c>
      <c r="L25" s="140"/>
      <c r="M25" s="141"/>
      <c r="N25" s="13"/>
    </row>
    <row r="26" spans="1:14" s="2" customFormat="1" ht="14.1" customHeight="1" x14ac:dyDescent="0.3">
      <c r="A26" s="19"/>
      <c r="B26" s="81" t="s">
        <v>64</v>
      </c>
      <c r="C26" s="82"/>
      <c r="D26" s="83" t="s">
        <v>65</v>
      </c>
      <c r="E26" s="84"/>
      <c r="F26" s="84"/>
      <c r="G26" s="85"/>
      <c r="H26" s="42"/>
      <c r="I26" s="44"/>
      <c r="J26" s="36"/>
      <c r="K26" s="36"/>
      <c r="L26" s="36"/>
      <c r="M26" s="38"/>
      <c r="N26" s="13"/>
    </row>
    <row r="27" spans="1:14" s="2" customFormat="1" ht="14.1" customHeight="1" x14ac:dyDescent="0.3">
      <c r="A27" s="19">
        <v>13</v>
      </c>
      <c r="B27" s="49" t="s">
        <v>72</v>
      </c>
      <c r="C27" s="50"/>
      <c r="D27" s="77"/>
      <c r="E27" s="78"/>
      <c r="F27" s="78"/>
      <c r="G27" s="79"/>
      <c r="H27" s="90">
        <f>SUM(I27)-2.8</f>
        <v>60.2</v>
      </c>
      <c r="I27" s="100">
        <v>63</v>
      </c>
      <c r="J27" s="95">
        <f>SUM(I27)+2.8</f>
        <v>65.8</v>
      </c>
      <c r="K27" s="95">
        <f>SUM(J27)+2.8</f>
        <v>68.599999999999994</v>
      </c>
      <c r="L27" s="95"/>
      <c r="M27" s="96"/>
      <c r="N27" s="173"/>
    </row>
    <row r="28" spans="1:14" s="2" customFormat="1" ht="14.1" customHeight="1" x14ac:dyDescent="0.3">
      <c r="A28" s="19"/>
      <c r="B28" s="81" t="s">
        <v>73</v>
      </c>
      <c r="C28" s="82"/>
      <c r="D28" s="83"/>
      <c r="E28" s="84"/>
      <c r="F28" s="84"/>
      <c r="G28" s="85"/>
      <c r="H28" s="42"/>
      <c r="I28" s="44"/>
      <c r="J28" s="36"/>
      <c r="K28" s="36"/>
      <c r="L28" s="36"/>
      <c r="M28" s="38"/>
    </row>
    <row r="29" spans="1:14" s="2" customFormat="1" ht="14.1" customHeight="1" x14ac:dyDescent="0.3">
      <c r="A29" s="19">
        <v>14</v>
      </c>
      <c r="B29" s="49" t="s">
        <v>74</v>
      </c>
      <c r="C29" s="50"/>
      <c r="D29" s="45" t="s">
        <v>75</v>
      </c>
      <c r="E29" s="46"/>
      <c r="F29" s="46"/>
      <c r="G29" s="47"/>
      <c r="H29" s="90">
        <f>SUM(I29)-3</f>
        <v>63.599999999999994</v>
      </c>
      <c r="I29" s="100">
        <v>66.599999999999994</v>
      </c>
      <c r="J29" s="95">
        <f>SUM(I29)+3</f>
        <v>69.599999999999994</v>
      </c>
      <c r="K29" s="95">
        <f>SUM(J29)+3</f>
        <v>72.599999999999994</v>
      </c>
      <c r="L29" s="35"/>
      <c r="M29" s="37"/>
    </row>
    <row r="30" spans="1:14" s="2" customFormat="1" ht="14.1" customHeight="1" x14ac:dyDescent="0.3">
      <c r="A30" s="19"/>
      <c r="B30" s="81" t="s">
        <v>76</v>
      </c>
      <c r="C30" s="82"/>
      <c r="D30" s="83" t="s">
        <v>77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4" s="2" customFormat="1" ht="14.1" customHeight="1" x14ac:dyDescent="0.3">
      <c r="A31" s="19">
        <v>15</v>
      </c>
      <c r="B31" s="49" t="s">
        <v>78</v>
      </c>
      <c r="C31" s="50"/>
      <c r="D31" s="45"/>
      <c r="E31" s="46"/>
      <c r="F31" s="46"/>
      <c r="G31" s="47"/>
      <c r="H31" s="90">
        <f>SUM(I31)-0.5</f>
        <v>10.3</v>
      </c>
      <c r="I31" s="43">
        <v>10.8</v>
      </c>
      <c r="J31" s="35">
        <f>SUM(I31)+0.5</f>
        <v>11.3</v>
      </c>
      <c r="K31" s="35">
        <f>SUM(J31)+0.5</f>
        <v>11.8</v>
      </c>
      <c r="L31" s="39"/>
      <c r="M31" s="91"/>
    </row>
    <row r="32" spans="1:14" s="2" customFormat="1" ht="14.1" customHeight="1" x14ac:dyDescent="0.3">
      <c r="A32" s="19"/>
      <c r="B32" s="81" t="s">
        <v>79</v>
      </c>
      <c r="C32" s="82"/>
      <c r="D32" s="48" t="s">
        <v>80</v>
      </c>
      <c r="E32" s="93"/>
      <c r="F32" s="93"/>
      <c r="G32" s="94"/>
      <c r="H32" s="42"/>
      <c r="I32" s="44"/>
      <c r="J32" s="36"/>
      <c r="K32" s="36"/>
      <c r="L32" s="31"/>
      <c r="M32" s="92"/>
    </row>
    <row r="33" spans="1:15" s="2" customFormat="1" ht="14.1" customHeight="1" x14ac:dyDescent="0.3">
      <c r="A33" s="19">
        <v>16</v>
      </c>
      <c r="B33" s="49" t="s">
        <v>81</v>
      </c>
      <c r="C33" s="50"/>
      <c r="D33" s="45"/>
      <c r="E33" s="46"/>
      <c r="F33" s="46"/>
      <c r="G33" s="47"/>
      <c r="H33" s="41"/>
      <c r="I33" s="43"/>
      <c r="J33" s="35"/>
      <c r="K33" s="35"/>
      <c r="L33" s="39"/>
      <c r="M33" s="91"/>
    </row>
    <row r="34" spans="1:15" s="2" customFormat="1" ht="14.1" customHeight="1" x14ac:dyDescent="0.3">
      <c r="A34" s="19"/>
      <c r="B34" s="81" t="s">
        <v>82</v>
      </c>
      <c r="C34" s="82"/>
      <c r="D34" s="48" t="s">
        <v>83</v>
      </c>
      <c r="E34" s="93"/>
      <c r="F34" s="93"/>
      <c r="G34" s="94"/>
      <c r="H34" s="42"/>
      <c r="I34" s="44"/>
      <c r="J34" s="36"/>
      <c r="K34" s="36"/>
      <c r="L34" s="31"/>
      <c r="M34" s="92"/>
      <c r="O34" s="2" t="s">
        <v>122</v>
      </c>
    </row>
    <row r="35" spans="1:15" s="2" customFormat="1" ht="14.1" customHeight="1" x14ac:dyDescent="0.3">
      <c r="A35" s="19">
        <v>17</v>
      </c>
      <c r="B35" s="49" t="s">
        <v>84</v>
      </c>
      <c r="C35" s="50"/>
      <c r="D35" s="45" t="s">
        <v>49</v>
      </c>
      <c r="E35" s="46"/>
      <c r="F35" s="46"/>
      <c r="G35" s="47"/>
      <c r="H35" s="90">
        <f>SUM(I35)-0.8</f>
        <v>21.4</v>
      </c>
      <c r="I35" s="43">
        <v>22.2</v>
      </c>
      <c r="J35" s="35">
        <f>SUM(I35)+1.2</f>
        <v>23.4</v>
      </c>
      <c r="K35" s="35">
        <f>SUM(J35)+1.2</f>
        <v>24.599999999999998</v>
      </c>
      <c r="L35" s="35"/>
      <c r="M35" s="37"/>
    </row>
    <row r="36" spans="1:15" s="2" customFormat="1" ht="14.1" customHeight="1" x14ac:dyDescent="0.3">
      <c r="A36" s="19"/>
      <c r="B36" s="81" t="s">
        <v>85</v>
      </c>
      <c r="C36" s="82"/>
      <c r="D36" s="83" t="s">
        <v>86</v>
      </c>
      <c r="E36" s="84"/>
      <c r="F36" s="84"/>
      <c r="G36" s="85"/>
      <c r="H36" s="42"/>
      <c r="I36" s="44"/>
      <c r="J36" s="36"/>
      <c r="K36" s="36"/>
      <c r="L36" s="36"/>
      <c r="M36" s="38"/>
    </row>
    <row r="37" spans="1:15" s="2" customFormat="1" ht="14.1" customHeight="1" x14ac:dyDescent="0.3">
      <c r="A37" s="19">
        <v>18</v>
      </c>
      <c r="B37" s="49" t="s">
        <v>87</v>
      </c>
      <c r="C37" s="50"/>
      <c r="D37" s="45" t="s">
        <v>88</v>
      </c>
      <c r="E37" s="46"/>
      <c r="F37" s="46"/>
      <c r="G37" s="47"/>
      <c r="H37" s="90">
        <f>SUM(I37)-1.7</f>
        <v>38.799999999999997</v>
      </c>
      <c r="I37" s="43">
        <v>40.5</v>
      </c>
      <c r="J37" s="35">
        <f>SUM(I37)+1.7</f>
        <v>42.2</v>
      </c>
      <c r="K37" s="35">
        <f>SUM(J37)+1.7</f>
        <v>43.900000000000006</v>
      </c>
      <c r="L37" s="35"/>
      <c r="M37" s="37"/>
    </row>
    <row r="38" spans="1:15" s="2" customFormat="1" ht="14.1" customHeight="1" x14ac:dyDescent="0.3">
      <c r="A38" s="19"/>
      <c r="B38" s="81" t="s">
        <v>89</v>
      </c>
      <c r="C38" s="82"/>
      <c r="D38" s="32" t="s">
        <v>90</v>
      </c>
      <c r="E38" s="33"/>
      <c r="F38" s="33"/>
      <c r="G38" s="34"/>
      <c r="H38" s="42"/>
      <c r="I38" s="44"/>
      <c r="J38" s="36"/>
      <c r="K38" s="36"/>
      <c r="L38" s="36"/>
      <c r="M38" s="38"/>
    </row>
    <row r="39" spans="1:15" ht="14.1" customHeight="1" x14ac:dyDescent="0.3">
      <c r="A39" s="19">
        <v>19</v>
      </c>
      <c r="B39" s="49" t="s">
        <v>91</v>
      </c>
      <c r="C39" s="50"/>
      <c r="D39" s="45" t="s">
        <v>92</v>
      </c>
      <c r="E39" s="46"/>
      <c r="F39" s="46"/>
      <c r="G39" s="47"/>
      <c r="H39" s="90">
        <f>SUM(I39)-0.8</f>
        <v>18.3</v>
      </c>
      <c r="I39" s="43">
        <v>19.100000000000001</v>
      </c>
      <c r="J39" s="35">
        <f>SUM(I39)+0.8</f>
        <v>19.900000000000002</v>
      </c>
      <c r="K39" s="35">
        <f>SUM(J39)+0.8</f>
        <v>20.700000000000003</v>
      </c>
      <c r="L39" s="35"/>
      <c r="M39" s="91"/>
    </row>
    <row r="40" spans="1:15" ht="14.1" customHeight="1" x14ac:dyDescent="0.3">
      <c r="A40" s="19"/>
      <c r="B40" s="81" t="s">
        <v>93</v>
      </c>
      <c r="C40" s="82"/>
      <c r="D40" s="83" t="s">
        <v>94</v>
      </c>
      <c r="E40" s="84"/>
      <c r="F40" s="84"/>
      <c r="G40" s="85"/>
      <c r="H40" s="42"/>
      <c r="I40" s="44"/>
      <c r="J40" s="36"/>
      <c r="K40" s="36"/>
      <c r="L40" s="36"/>
      <c r="M40" s="92"/>
    </row>
    <row r="41" spans="1:15" ht="14.1" customHeight="1" x14ac:dyDescent="0.3">
      <c r="A41" s="19">
        <v>20</v>
      </c>
      <c r="B41" s="49" t="s">
        <v>95</v>
      </c>
      <c r="C41" s="50"/>
      <c r="D41" s="45" t="s">
        <v>92</v>
      </c>
      <c r="E41" s="46"/>
      <c r="F41" s="46"/>
      <c r="G41" s="47"/>
      <c r="H41" s="90">
        <f>SUM(I41)-1</f>
        <v>24</v>
      </c>
      <c r="I41" s="43">
        <v>25</v>
      </c>
      <c r="J41" s="35">
        <f>SUM(I41)+1</f>
        <v>26</v>
      </c>
      <c r="K41" s="35">
        <f>SUM(J41)+1</f>
        <v>27</v>
      </c>
      <c r="L41" s="35"/>
      <c r="M41" s="91"/>
    </row>
    <row r="42" spans="1:15" ht="14.1" customHeight="1" x14ac:dyDescent="0.3">
      <c r="A42" s="19"/>
      <c r="B42" s="81" t="s">
        <v>96</v>
      </c>
      <c r="C42" s="82"/>
      <c r="D42" s="83" t="s">
        <v>94</v>
      </c>
      <c r="E42" s="84"/>
      <c r="F42" s="84"/>
      <c r="G42" s="85"/>
      <c r="H42" s="42"/>
      <c r="I42" s="44"/>
      <c r="J42" s="36"/>
      <c r="K42" s="36"/>
      <c r="L42" s="36"/>
      <c r="M42" s="92"/>
    </row>
    <row r="43" spans="1:15" s="2" customFormat="1" ht="14.1" customHeight="1" x14ac:dyDescent="0.3">
      <c r="A43" s="19">
        <v>21</v>
      </c>
      <c r="B43" s="49" t="s">
        <v>123</v>
      </c>
      <c r="C43" s="50"/>
      <c r="D43" s="45"/>
      <c r="E43" s="46"/>
      <c r="F43" s="46"/>
      <c r="G43" s="47"/>
      <c r="H43" s="90">
        <f>SUM(I43)-0.4</f>
        <v>9.1</v>
      </c>
      <c r="I43" s="43">
        <v>9.5</v>
      </c>
      <c r="J43" s="35">
        <f>SUM(I43)+0.4</f>
        <v>9.9</v>
      </c>
      <c r="K43" s="35">
        <f>SUM(J43)+0.4</f>
        <v>10.3</v>
      </c>
      <c r="L43" s="35"/>
      <c r="M43" s="37"/>
    </row>
    <row r="44" spans="1:15" s="2" customFormat="1" ht="14.1" customHeight="1" x14ac:dyDescent="0.3">
      <c r="A44" s="19"/>
      <c r="B44" s="81" t="s">
        <v>125</v>
      </c>
      <c r="C44" s="82"/>
      <c r="D44" s="83"/>
      <c r="E44" s="84"/>
      <c r="F44" s="84"/>
      <c r="G44" s="85"/>
      <c r="H44" s="42"/>
      <c r="I44" s="44"/>
      <c r="J44" s="36"/>
      <c r="K44" s="36"/>
      <c r="L44" s="36"/>
      <c r="M44" s="38"/>
    </row>
    <row r="45" spans="1:15" ht="14.1" customHeight="1" x14ac:dyDescent="0.3">
      <c r="A45" s="19">
        <v>22</v>
      </c>
      <c r="B45" s="49" t="s">
        <v>124</v>
      </c>
      <c r="C45" s="50"/>
      <c r="D45" s="45"/>
      <c r="E45" s="46"/>
      <c r="F45" s="46"/>
      <c r="G45" s="47"/>
      <c r="H45" s="90">
        <f>SUM(I45)-0.4</f>
        <v>9.1</v>
      </c>
      <c r="I45" s="43">
        <v>9.5</v>
      </c>
      <c r="J45" s="35">
        <f>SUM(I45)+0.4</f>
        <v>9.9</v>
      </c>
      <c r="K45" s="35">
        <f>SUM(J45)+0.4</f>
        <v>10.3</v>
      </c>
      <c r="L45" s="35"/>
      <c r="M45" s="37"/>
    </row>
    <row r="46" spans="1:15" ht="14.1" customHeight="1" x14ac:dyDescent="0.3">
      <c r="A46" s="19"/>
      <c r="B46" s="81" t="s">
        <v>126</v>
      </c>
      <c r="C46" s="82"/>
      <c r="D46" s="83"/>
      <c r="E46" s="84"/>
      <c r="F46" s="84"/>
      <c r="G46" s="85"/>
      <c r="H46" s="42"/>
      <c r="I46" s="44"/>
      <c r="J46" s="36"/>
      <c r="K46" s="36"/>
      <c r="L46" s="36"/>
      <c r="M46" s="38"/>
    </row>
    <row r="47" spans="1:15" ht="14.1" customHeight="1" x14ac:dyDescent="0.3">
      <c r="A47" s="19">
        <v>23</v>
      </c>
      <c r="B47" s="49"/>
      <c r="C47" s="50"/>
      <c r="D47" s="45"/>
      <c r="E47" s="46"/>
      <c r="F47" s="46"/>
      <c r="G47" s="47"/>
      <c r="H47" s="41"/>
      <c r="I47" s="43"/>
      <c r="J47" s="35"/>
      <c r="K47" s="35"/>
      <c r="L47" s="35"/>
      <c r="M47" s="37"/>
    </row>
    <row r="48" spans="1:15" ht="14.1" customHeight="1" thickBot="1" x14ac:dyDescent="0.35">
      <c r="A48" s="65"/>
      <c r="B48" s="60"/>
      <c r="C48" s="61"/>
      <c r="D48" s="115"/>
      <c r="E48" s="116"/>
      <c r="F48" s="116"/>
      <c r="G48" s="117"/>
      <c r="H48" s="71"/>
      <c r="I48" s="88"/>
      <c r="J48" s="74"/>
      <c r="K48" s="74"/>
      <c r="L48" s="74"/>
      <c r="M48" s="80"/>
    </row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256">
    <mergeCell ref="B20:C20"/>
    <mergeCell ref="D20:G20"/>
    <mergeCell ref="A19:A20"/>
    <mergeCell ref="B19:C19"/>
    <mergeCell ref="D19:G19"/>
    <mergeCell ref="H19:H20"/>
    <mergeCell ref="I19:I20"/>
    <mergeCell ref="J19:J20"/>
    <mergeCell ref="L13:L14"/>
    <mergeCell ref="B14:C14"/>
    <mergeCell ref="D14:G14"/>
    <mergeCell ref="J13:J14"/>
    <mergeCell ref="L17:L18"/>
    <mergeCell ref="L15:L16"/>
    <mergeCell ref="A17:A18"/>
    <mergeCell ref="A15:A16"/>
    <mergeCell ref="A7:A8"/>
    <mergeCell ref="B7:C7"/>
    <mergeCell ref="D7:G7"/>
    <mergeCell ref="H7:H8"/>
    <mergeCell ref="I7:I8"/>
    <mergeCell ref="A13:A14"/>
    <mergeCell ref="B13:C13"/>
    <mergeCell ref="D13:G13"/>
    <mergeCell ref="H13:H14"/>
    <mergeCell ref="I13:I14"/>
    <mergeCell ref="B12:C12"/>
    <mergeCell ref="D12:G12"/>
    <mergeCell ref="B10:C10"/>
    <mergeCell ref="D10:G10"/>
    <mergeCell ref="A11:A12"/>
    <mergeCell ref="B11:C11"/>
    <mergeCell ref="D11:G11"/>
    <mergeCell ref="H11:H12"/>
    <mergeCell ref="I11:I12"/>
    <mergeCell ref="B8:C8"/>
    <mergeCell ref="D8:G8"/>
    <mergeCell ref="A9:A10"/>
    <mergeCell ref="B9:C9"/>
    <mergeCell ref="D9:G9"/>
    <mergeCell ref="K43:K44"/>
    <mergeCell ref="L43:L44"/>
    <mergeCell ref="M43:M44"/>
    <mergeCell ref="J43:J44"/>
    <mergeCell ref="J41:J42"/>
    <mergeCell ref="K41:K42"/>
    <mergeCell ref="L41:L42"/>
    <mergeCell ref="M41:M42"/>
    <mergeCell ref="J7:J8"/>
    <mergeCell ref="K7:K8"/>
    <mergeCell ref="L7:L8"/>
    <mergeCell ref="M7:M8"/>
    <mergeCell ref="K13:K14"/>
    <mergeCell ref="L9:L10"/>
    <mergeCell ref="M9:M10"/>
    <mergeCell ref="K19:K20"/>
    <mergeCell ref="L19:L20"/>
    <mergeCell ref="M19:M20"/>
    <mergeCell ref="M13:M14"/>
    <mergeCell ref="J11:J12"/>
    <mergeCell ref="K11:K12"/>
    <mergeCell ref="L11:L12"/>
    <mergeCell ref="M11:M12"/>
    <mergeCell ref="M17:M18"/>
    <mergeCell ref="K47:K48"/>
    <mergeCell ref="L47:L48"/>
    <mergeCell ref="M47:M48"/>
    <mergeCell ref="B48:C48"/>
    <mergeCell ref="D48:G48"/>
    <mergeCell ref="J47:J48"/>
    <mergeCell ref="J45:J46"/>
    <mergeCell ref="K45:K46"/>
    <mergeCell ref="L45:L46"/>
    <mergeCell ref="M45:M46"/>
    <mergeCell ref="A47:A48"/>
    <mergeCell ref="B47:C47"/>
    <mergeCell ref="D47:G47"/>
    <mergeCell ref="H47:H48"/>
    <mergeCell ref="I47:I48"/>
    <mergeCell ref="B46:C46"/>
    <mergeCell ref="D46:G46"/>
    <mergeCell ref="B44:C44"/>
    <mergeCell ref="D44:G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B42:C42"/>
    <mergeCell ref="D42:G42"/>
    <mergeCell ref="K39:K40"/>
    <mergeCell ref="L39:L40"/>
    <mergeCell ref="M39:M40"/>
    <mergeCell ref="B40:C40"/>
    <mergeCell ref="D40:G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22:C22"/>
    <mergeCell ref="D22:G22"/>
    <mergeCell ref="A21:A22"/>
    <mergeCell ref="B21:C21"/>
    <mergeCell ref="D21:G21"/>
    <mergeCell ref="H21:H22"/>
    <mergeCell ref="I21:I22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H9:H10"/>
    <mergeCell ref="I9:I10"/>
    <mergeCell ref="J9:J10"/>
    <mergeCell ref="D4:G4"/>
    <mergeCell ref="K9:K10"/>
    <mergeCell ref="J21:J22"/>
    <mergeCell ref="K21:K22"/>
    <mergeCell ref="L21:L22"/>
    <mergeCell ref="M21:M22"/>
    <mergeCell ref="M15:M16"/>
    <mergeCell ref="B16:C16"/>
    <mergeCell ref="D16:G16"/>
    <mergeCell ref="B17:C17"/>
    <mergeCell ref="D17:G17"/>
    <mergeCell ref="H17:H18"/>
    <mergeCell ref="I17:I18"/>
    <mergeCell ref="B15:C15"/>
    <mergeCell ref="D15:G15"/>
    <mergeCell ref="H15:H16"/>
    <mergeCell ref="I15:I16"/>
    <mergeCell ref="J15:J16"/>
    <mergeCell ref="J17:J18"/>
    <mergeCell ref="K17:K18"/>
    <mergeCell ref="B18:C18"/>
    <mergeCell ref="D18:G18"/>
    <mergeCell ref="K15:K16"/>
    <mergeCell ref="A1:M1"/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</mergeCells>
  <phoneticPr fontId="10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647D-C29A-4E39-ADE0-87F2CDC9091B}">
  <sheetPr>
    <tabColor rgb="FF7030A0"/>
    <pageSetUpPr fitToPage="1"/>
  </sheetPr>
  <dimension ref="A1:O79"/>
  <sheetViews>
    <sheetView zoomScale="110" zoomScaleNormal="110" workbookViewId="0">
      <selection activeCell="D31" sqref="D31:G3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161</v>
      </c>
      <c r="L2" s="7"/>
      <c r="M2" s="4"/>
    </row>
    <row r="3" spans="1:13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23">
        <f>SUM(I3)-3</f>
        <v>30.200000000000003</v>
      </c>
      <c r="I3" s="25">
        <v>33.200000000000003</v>
      </c>
      <c r="J3" s="27">
        <f>SUM(I3)+3</f>
        <v>36.200000000000003</v>
      </c>
      <c r="K3" s="27">
        <f>SUM(J3)+3</f>
        <v>39.200000000000003</v>
      </c>
      <c r="L3" s="130"/>
      <c r="M3" s="112"/>
    </row>
    <row r="4" spans="1:13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24"/>
      <c r="I4" s="26"/>
      <c r="J4" s="35"/>
      <c r="K4" s="35"/>
      <c r="L4" s="39"/>
      <c r="M4" s="38"/>
    </row>
    <row r="5" spans="1:13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20.7</v>
      </c>
      <c r="I5" s="43">
        <v>21.9</v>
      </c>
      <c r="J5" s="35">
        <f>SUM(I5)+1.2</f>
        <v>23.099999999999998</v>
      </c>
      <c r="K5" s="35">
        <f>SUM(J5)+1.2</f>
        <v>24.299999999999997</v>
      </c>
      <c r="L5" s="35"/>
      <c r="M5" s="37"/>
    </row>
    <row r="6" spans="1:13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3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25</v>
      </c>
      <c r="I7" s="43">
        <v>26.5</v>
      </c>
      <c r="J7" s="35">
        <f>SUM(I7)+1.5</f>
        <v>28</v>
      </c>
      <c r="K7" s="35">
        <f>SUM(J7)+1.5</f>
        <v>29.5</v>
      </c>
      <c r="L7" s="35"/>
      <c r="M7" s="30"/>
    </row>
    <row r="8" spans="1:13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0"/>
    </row>
    <row r="9" spans="1:13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25</v>
      </c>
      <c r="I9" s="43">
        <v>26.5</v>
      </c>
      <c r="J9" s="35">
        <f>SUM(I9)+1.5</f>
        <v>28</v>
      </c>
      <c r="K9" s="35">
        <f>SUM(J9)+1.5</f>
        <v>29.5</v>
      </c>
      <c r="L9" s="35"/>
      <c r="M9" s="30"/>
    </row>
    <row r="10" spans="1:13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0"/>
    </row>
    <row r="11" spans="1:13" s="2" customFormat="1" ht="14.1" customHeight="1" x14ac:dyDescent="0.3">
      <c r="A11" s="19">
        <v>5</v>
      </c>
      <c r="B11" s="39" t="s">
        <v>10</v>
      </c>
      <c r="C11" s="39"/>
      <c r="D11" s="40" t="s">
        <v>61</v>
      </c>
      <c r="E11" s="40"/>
      <c r="F11" s="40"/>
      <c r="G11" s="40"/>
      <c r="H11" s="41">
        <f>SUM(I11)-0.9</f>
        <v>10.7</v>
      </c>
      <c r="I11" s="26">
        <v>11.6</v>
      </c>
      <c r="J11" s="28">
        <f>SUM(I11)+0.9</f>
        <v>12.5</v>
      </c>
      <c r="K11" s="28">
        <f>SUM(J11)+0.9</f>
        <v>13.4</v>
      </c>
      <c r="L11" s="28"/>
      <c r="M11" s="30"/>
    </row>
    <row r="12" spans="1:13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26"/>
      <c r="J12" s="28"/>
      <c r="K12" s="28"/>
      <c r="L12" s="28"/>
      <c r="M12" s="30"/>
    </row>
    <row r="13" spans="1:13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10</v>
      </c>
      <c r="I13" s="26">
        <v>10.5</v>
      </c>
      <c r="J13" s="28">
        <f>SUM(I13)+0.5</f>
        <v>11</v>
      </c>
      <c r="K13" s="28">
        <f>SUM(J13)+0.5</f>
        <v>11.5</v>
      </c>
      <c r="L13" s="125"/>
      <c r="M13" s="30"/>
    </row>
    <row r="14" spans="1:13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26"/>
      <c r="J14" s="28"/>
      <c r="K14" s="28"/>
      <c r="L14" s="125"/>
      <c r="M14" s="30"/>
    </row>
    <row r="15" spans="1:13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4.8</v>
      </c>
      <c r="I15" s="26">
        <v>5.0999999999999996</v>
      </c>
      <c r="J15" s="28">
        <f>SUM(I15)+0.3</f>
        <v>5.3999999999999995</v>
      </c>
      <c r="K15" s="28">
        <f>SUM(J15)+0.3</f>
        <v>5.6999999999999993</v>
      </c>
      <c r="L15" s="125"/>
      <c r="M15" s="30"/>
    </row>
    <row r="16" spans="1:13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26"/>
      <c r="J16" s="28"/>
      <c r="K16" s="28"/>
      <c r="L16" s="125"/>
      <c r="M16" s="30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34.6</v>
      </c>
      <c r="I17" s="26">
        <v>36</v>
      </c>
      <c r="J17" s="28">
        <f>SUM(I17)+1.4</f>
        <v>37.4</v>
      </c>
      <c r="K17" s="28">
        <f>SUM(J17)+1.4</f>
        <v>38.799999999999997</v>
      </c>
      <c r="L17" s="125"/>
      <c r="M17" s="30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26"/>
      <c r="J18" s="28"/>
      <c r="K18" s="28"/>
      <c r="L18" s="125"/>
      <c r="M18" s="30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SUM(I19)-0.9</f>
        <v>8.1</v>
      </c>
      <c r="I19" s="26">
        <v>9</v>
      </c>
      <c r="J19" s="28">
        <f>SUM(I19)+0.9</f>
        <v>9.9</v>
      </c>
      <c r="K19" s="28">
        <f>SUM(J19)+0.9</f>
        <v>10.8</v>
      </c>
      <c r="L19" s="28"/>
      <c r="M19" s="30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26"/>
      <c r="J20" s="28"/>
      <c r="K20" s="28"/>
      <c r="L20" s="28"/>
      <c r="M20" s="30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26"/>
      <c r="J21" s="28"/>
      <c r="K21" s="28"/>
      <c r="L21" s="28"/>
      <c r="M21" s="30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SUM(I23)-1.4</f>
        <v>17.600000000000001</v>
      </c>
      <c r="I23" s="26">
        <v>19</v>
      </c>
      <c r="J23" s="28">
        <f>SUM(I23)+1.4</f>
        <v>20.399999999999999</v>
      </c>
      <c r="K23" s="28">
        <f>SUM(J23)+1.4</f>
        <v>21.799999999999997</v>
      </c>
      <c r="L23" s="125"/>
      <c r="M23" s="30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26"/>
      <c r="J24" s="28"/>
      <c r="K24" s="28"/>
      <c r="L24" s="125"/>
      <c r="M24" s="30"/>
    </row>
    <row r="25" spans="1:13" s="2" customFormat="1" ht="14.1" customHeight="1" x14ac:dyDescent="0.3">
      <c r="A25" s="19">
        <v>12</v>
      </c>
      <c r="B25" s="49" t="s">
        <v>57</v>
      </c>
      <c r="C25" s="50"/>
      <c r="D25" s="68"/>
      <c r="E25" s="69"/>
      <c r="F25" s="69"/>
      <c r="G25" s="70"/>
      <c r="H25" s="41">
        <f>SUM(I25)-0.8</f>
        <v>9.1999999999999993</v>
      </c>
      <c r="I25" s="26">
        <v>10</v>
      </c>
      <c r="J25" s="28">
        <f>SUM(I25)+0.8</f>
        <v>10.8</v>
      </c>
      <c r="K25" s="28">
        <f>SUM(J25)+0.8</f>
        <v>11.600000000000001</v>
      </c>
      <c r="L25" s="125"/>
      <c r="M25" s="30"/>
    </row>
    <row r="26" spans="1:13" s="2" customFormat="1" ht="14.1" customHeight="1" x14ac:dyDescent="0.3">
      <c r="A26" s="129"/>
      <c r="B26" s="56" t="s">
        <v>58</v>
      </c>
      <c r="C26" s="57"/>
      <c r="D26" s="32" t="s">
        <v>148</v>
      </c>
      <c r="E26" s="33"/>
      <c r="F26" s="33"/>
      <c r="G26" s="34"/>
      <c r="H26" s="42"/>
      <c r="I26" s="26"/>
      <c r="J26" s="28"/>
      <c r="K26" s="28"/>
      <c r="L26" s="39"/>
      <c r="M26" s="37"/>
    </row>
    <row r="27" spans="1:13" s="2" customFormat="1" ht="14.1" customHeight="1" x14ac:dyDescent="0.3">
      <c r="A27" s="19">
        <v>13</v>
      </c>
      <c r="B27" s="66" t="s">
        <v>59</v>
      </c>
      <c r="C27" s="67"/>
      <c r="D27" s="68"/>
      <c r="E27" s="69"/>
      <c r="F27" s="69"/>
      <c r="G27" s="70"/>
      <c r="H27" s="41">
        <f>SUM(I27)-0.3</f>
        <v>4.2</v>
      </c>
      <c r="I27" s="26">
        <v>4.5</v>
      </c>
      <c r="J27" s="28">
        <f>SUM(I27)+0.3</f>
        <v>4.8</v>
      </c>
      <c r="K27" s="28">
        <f>SUM(J27)+0.3</f>
        <v>5.0999999999999996</v>
      </c>
      <c r="L27" s="28"/>
      <c r="M27" s="37"/>
    </row>
    <row r="28" spans="1:13" s="2" customFormat="1" ht="14.1" customHeight="1" thickBot="1" x14ac:dyDescent="0.35">
      <c r="A28" s="126"/>
      <c r="B28" s="120" t="s">
        <v>60</v>
      </c>
      <c r="C28" s="121"/>
      <c r="D28" s="122" t="s">
        <v>149</v>
      </c>
      <c r="E28" s="123"/>
      <c r="F28" s="123"/>
      <c r="G28" s="124"/>
      <c r="H28" s="142"/>
      <c r="I28" s="128"/>
      <c r="J28" s="118"/>
      <c r="K28" s="118"/>
      <c r="L28" s="118"/>
      <c r="M28" s="119"/>
    </row>
    <row r="29" spans="1:13" s="2" customFormat="1" ht="14.1" customHeight="1" thickTop="1" x14ac:dyDescent="0.3">
      <c r="A29" s="18">
        <v>14</v>
      </c>
      <c r="B29" s="66" t="s">
        <v>62</v>
      </c>
      <c r="C29" s="67"/>
      <c r="D29" s="77" t="s">
        <v>63</v>
      </c>
      <c r="E29" s="78"/>
      <c r="F29" s="78"/>
      <c r="G29" s="79"/>
      <c r="H29" s="90">
        <f>SUM(I29)-2</f>
        <v>40</v>
      </c>
      <c r="I29" s="100">
        <v>42</v>
      </c>
      <c r="J29" s="95">
        <f>SUM(I29)+2</f>
        <v>44</v>
      </c>
      <c r="K29" s="95">
        <f>SUM(J29)+2</f>
        <v>46</v>
      </c>
      <c r="L29" s="95"/>
      <c r="M29" s="96"/>
    </row>
    <row r="30" spans="1:13" s="2" customFormat="1" ht="14.1" customHeight="1" x14ac:dyDescent="0.3">
      <c r="A30" s="19"/>
      <c r="B30" s="81" t="s">
        <v>64</v>
      </c>
      <c r="C30" s="82"/>
      <c r="D30" s="83" t="s">
        <v>65</v>
      </c>
      <c r="E30" s="84"/>
      <c r="F30" s="84"/>
      <c r="G30" s="85"/>
      <c r="H30" s="42"/>
      <c r="I30" s="44"/>
      <c r="J30" s="36"/>
      <c r="K30" s="36"/>
      <c r="L30" s="36"/>
      <c r="M30" s="38"/>
    </row>
    <row r="31" spans="1:13" s="2" customFormat="1" ht="14.1" customHeight="1" x14ac:dyDescent="0.3">
      <c r="A31" s="19">
        <v>15</v>
      </c>
      <c r="B31" s="49" t="s">
        <v>72</v>
      </c>
      <c r="C31" s="50"/>
      <c r="D31" s="77"/>
      <c r="E31" s="78"/>
      <c r="F31" s="78"/>
      <c r="G31" s="79"/>
      <c r="H31" s="90">
        <f>SUM(I31)-2.8</f>
        <v>55.300000000000004</v>
      </c>
      <c r="I31" s="100">
        <v>58.1</v>
      </c>
      <c r="J31" s="95">
        <f>SUM(I31)+2.8</f>
        <v>60.9</v>
      </c>
      <c r="K31" s="95">
        <f>SUM(J31)+2.8</f>
        <v>63.699999999999996</v>
      </c>
      <c r="L31" s="95"/>
      <c r="M31" s="96"/>
    </row>
    <row r="32" spans="1:13" s="2" customFormat="1" ht="14.1" customHeight="1" x14ac:dyDescent="0.3">
      <c r="A32" s="19"/>
      <c r="B32" s="81" t="s">
        <v>73</v>
      </c>
      <c r="C32" s="82"/>
      <c r="D32" s="83"/>
      <c r="E32" s="84"/>
      <c r="F32" s="84"/>
      <c r="G32" s="85"/>
      <c r="H32" s="42"/>
      <c r="I32" s="44"/>
      <c r="J32" s="36"/>
      <c r="K32" s="36"/>
      <c r="L32" s="36"/>
      <c r="M32" s="38"/>
    </row>
    <row r="33" spans="1:15" s="2" customFormat="1" ht="14.1" customHeight="1" x14ac:dyDescent="0.3">
      <c r="A33" s="19">
        <v>16</v>
      </c>
      <c r="B33" s="49" t="s">
        <v>74</v>
      </c>
      <c r="C33" s="50"/>
      <c r="D33" s="45" t="s">
        <v>75</v>
      </c>
      <c r="E33" s="46"/>
      <c r="F33" s="46"/>
      <c r="G33" s="47"/>
      <c r="H33" s="90">
        <f>SUM(I33)-3</f>
        <v>60.1</v>
      </c>
      <c r="I33" s="100">
        <v>63.1</v>
      </c>
      <c r="J33" s="95">
        <f>SUM(I33)+3</f>
        <v>66.099999999999994</v>
      </c>
      <c r="K33" s="95">
        <f>SUM(J33)+3</f>
        <v>69.099999999999994</v>
      </c>
      <c r="L33" s="35"/>
      <c r="M33" s="37"/>
    </row>
    <row r="34" spans="1:15" s="2" customFormat="1" ht="14.1" customHeight="1" x14ac:dyDescent="0.3">
      <c r="A34" s="19"/>
      <c r="B34" s="81" t="s">
        <v>76</v>
      </c>
      <c r="C34" s="82"/>
      <c r="D34" s="83" t="s">
        <v>77</v>
      </c>
      <c r="E34" s="84"/>
      <c r="F34" s="84"/>
      <c r="G34" s="85"/>
      <c r="H34" s="42"/>
      <c r="I34" s="44"/>
      <c r="J34" s="36"/>
      <c r="K34" s="36"/>
      <c r="L34" s="36"/>
      <c r="M34" s="38"/>
      <c r="O34" s="2" t="s">
        <v>122</v>
      </c>
    </row>
    <row r="35" spans="1:15" s="2" customFormat="1" ht="14.1" customHeight="1" x14ac:dyDescent="0.3">
      <c r="A35" s="19">
        <v>17</v>
      </c>
      <c r="B35" s="49" t="s">
        <v>78</v>
      </c>
      <c r="C35" s="50"/>
      <c r="D35" s="45"/>
      <c r="E35" s="46"/>
      <c r="F35" s="46"/>
      <c r="G35" s="47"/>
      <c r="H35" s="90">
        <f>SUM(I35)-0.5</f>
        <v>11.1</v>
      </c>
      <c r="I35" s="43">
        <v>11.6</v>
      </c>
      <c r="J35" s="35">
        <f>SUM(I35)+0.5</f>
        <v>12.1</v>
      </c>
      <c r="K35" s="35">
        <f>SUM(J35)+0.5</f>
        <v>12.6</v>
      </c>
      <c r="L35" s="39"/>
      <c r="M35" s="91"/>
    </row>
    <row r="36" spans="1:15" s="2" customFormat="1" ht="14.1" customHeight="1" x14ac:dyDescent="0.3">
      <c r="A36" s="19"/>
      <c r="B36" s="81" t="s">
        <v>79</v>
      </c>
      <c r="C36" s="82"/>
      <c r="D36" s="48" t="s">
        <v>80</v>
      </c>
      <c r="E36" s="93"/>
      <c r="F36" s="93"/>
      <c r="G36" s="94"/>
      <c r="H36" s="42"/>
      <c r="I36" s="44"/>
      <c r="J36" s="36"/>
      <c r="K36" s="36"/>
      <c r="L36" s="31"/>
      <c r="M36" s="92"/>
    </row>
    <row r="37" spans="1:15" s="2" customFormat="1" ht="14.1" customHeight="1" x14ac:dyDescent="0.3">
      <c r="A37" s="19">
        <v>18</v>
      </c>
      <c r="B37" s="49" t="s">
        <v>81</v>
      </c>
      <c r="C37" s="50"/>
      <c r="D37" s="45"/>
      <c r="E37" s="46"/>
      <c r="F37" s="46"/>
      <c r="G37" s="47"/>
      <c r="H37" s="41"/>
      <c r="I37" s="43"/>
      <c r="J37" s="35"/>
      <c r="K37" s="35"/>
      <c r="L37" s="39"/>
      <c r="M37" s="91"/>
    </row>
    <row r="38" spans="1:15" s="2" customFormat="1" ht="14.1" customHeight="1" x14ac:dyDescent="0.3">
      <c r="A38" s="19"/>
      <c r="B38" s="81" t="s">
        <v>82</v>
      </c>
      <c r="C38" s="82"/>
      <c r="D38" s="48" t="s">
        <v>83</v>
      </c>
      <c r="E38" s="93"/>
      <c r="F38" s="93"/>
      <c r="G38" s="94"/>
      <c r="H38" s="42"/>
      <c r="I38" s="44"/>
      <c r="J38" s="36"/>
      <c r="K38" s="36"/>
      <c r="L38" s="31"/>
      <c r="M38" s="92"/>
    </row>
    <row r="39" spans="1:15" ht="14.1" customHeight="1" x14ac:dyDescent="0.3">
      <c r="A39" s="19">
        <v>19</v>
      </c>
      <c r="B39" s="49" t="s">
        <v>84</v>
      </c>
      <c r="C39" s="50"/>
      <c r="D39" s="45" t="s">
        <v>49</v>
      </c>
      <c r="E39" s="46"/>
      <c r="F39" s="46"/>
      <c r="G39" s="47"/>
      <c r="H39" s="90">
        <f>SUM(I39)-1</f>
        <v>22.2</v>
      </c>
      <c r="I39" s="43">
        <v>23.2</v>
      </c>
      <c r="J39" s="35">
        <f>SUM(I39)+1.5</f>
        <v>24.7</v>
      </c>
      <c r="K39" s="35">
        <f>SUM(J39)+1.5</f>
        <v>26.2</v>
      </c>
      <c r="L39" s="35"/>
      <c r="M39" s="37"/>
    </row>
    <row r="40" spans="1:15" ht="14.1" customHeight="1" x14ac:dyDescent="0.3">
      <c r="A40" s="19"/>
      <c r="B40" s="81" t="s">
        <v>85</v>
      </c>
      <c r="C40" s="82"/>
      <c r="D40" s="83" t="s">
        <v>86</v>
      </c>
      <c r="E40" s="84"/>
      <c r="F40" s="84"/>
      <c r="G40" s="85"/>
      <c r="H40" s="42"/>
      <c r="I40" s="44"/>
      <c r="J40" s="36"/>
      <c r="K40" s="36"/>
      <c r="L40" s="36"/>
      <c r="M40" s="38"/>
    </row>
    <row r="41" spans="1:15" ht="14.1" customHeight="1" x14ac:dyDescent="0.3">
      <c r="A41" s="19">
        <v>20</v>
      </c>
      <c r="B41" s="49" t="s">
        <v>87</v>
      </c>
      <c r="C41" s="50"/>
      <c r="D41" s="45" t="s">
        <v>88</v>
      </c>
      <c r="E41" s="46"/>
      <c r="F41" s="46"/>
      <c r="G41" s="47"/>
      <c r="H41" s="90">
        <f>SUM(I41)-1.6</f>
        <v>37.4</v>
      </c>
      <c r="I41" s="43">
        <v>39</v>
      </c>
      <c r="J41" s="35">
        <f>SUM(I41)+1.6</f>
        <v>40.6</v>
      </c>
      <c r="K41" s="35">
        <f>SUM(J41)+1.6</f>
        <v>42.2</v>
      </c>
      <c r="L41" s="35"/>
      <c r="M41" s="37"/>
    </row>
    <row r="42" spans="1:15" ht="14.1" customHeight="1" x14ac:dyDescent="0.3">
      <c r="A42" s="19"/>
      <c r="B42" s="81" t="s">
        <v>89</v>
      </c>
      <c r="C42" s="82"/>
      <c r="D42" s="32" t="s">
        <v>90</v>
      </c>
      <c r="E42" s="33"/>
      <c r="F42" s="33"/>
      <c r="G42" s="34"/>
      <c r="H42" s="42"/>
      <c r="I42" s="44"/>
      <c r="J42" s="36"/>
      <c r="K42" s="36"/>
      <c r="L42" s="36"/>
      <c r="M42" s="38"/>
    </row>
    <row r="43" spans="1:15" s="2" customFormat="1" ht="14.1" customHeight="1" x14ac:dyDescent="0.3">
      <c r="A43" s="19">
        <v>21</v>
      </c>
      <c r="B43" s="49" t="s">
        <v>91</v>
      </c>
      <c r="C43" s="50"/>
      <c r="D43" s="45" t="s">
        <v>92</v>
      </c>
      <c r="E43" s="46"/>
      <c r="F43" s="46"/>
      <c r="G43" s="47"/>
      <c r="H43" s="90">
        <f>SUM(I43)-0.8</f>
        <v>19.2</v>
      </c>
      <c r="I43" s="43">
        <v>20</v>
      </c>
      <c r="J43" s="35">
        <f>SUM(I43)+0.8</f>
        <v>20.8</v>
      </c>
      <c r="K43" s="35">
        <f>SUM(J43)+0.8</f>
        <v>21.6</v>
      </c>
      <c r="L43" s="35"/>
      <c r="M43" s="91"/>
    </row>
    <row r="44" spans="1:15" s="2" customFormat="1" ht="14.1" customHeight="1" x14ac:dyDescent="0.3">
      <c r="A44" s="19"/>
      <c r="B44" s="81" t="s">
        <v>93</v>
      </c>
      <c r="C44" s="82"/>
      <c r="D44" s="83" t="s">
        <v>94</v>
      </c>
      <c r="E44" s="84"/>
      <c r="F44" s="84"/>
      <c r="G44" s="85"/>
      <c r="H44" s="42"/>
      <c r="I44" s="44"/>
      <c r="J44" s="36"/>
      <c r="K44" s="36"/>
      <c r="L44" s="36"/>
      <c r="M44" s="92"/>
    </row>
    <row r="45" spans="1:15" ht="14.1" customHeight="1" x14ac:dyDescent="0.3">
      <c r="A45" s="19">
        <v>22</v>
      </c>
      <c r="B45" s="49" t="s">
        <v>95</v>
      </c>
      <c r="C45" s="50"/>
      <c r="D45" s="45" t="s">
        <v>92</v>
      </c>
      <c r="E45" s="46"/>
      <c r="F45" s="46"/>
      <c r="G45" s="47"/>
      <c r="H45" s="90">
        <f>SUM(I45)-1</f>
        <v>24.7</v>
      </c>
      <c r="I45" s="43">
        <v>25.7</v>
      </c>
      <c r="J45" s="35">
        <f>SUM(I45)+1</f>
        <v>26.7</v>
      </c>
      <c r="K45" s="35">
        <f>SUM(J45)+1</f>
        <v>27.7</v>
      </c>
      <c r="L45" s="35"/>
      <c r="M45" s="91"/>
    </row>
    <row r="46" spans="1:15" ht="14.1" customHeight="1" x14ac:dyDescent="0.3">
      <c r="A46" s="19"/>
      <c r="B46" s="81" t="s">
        <v>96</v>
      </c>
      <c r="C46" s="82"/>
      <c r="D46" s="83" t="s">
        <v>94</v>
      </c>
      <c r="E46" s="84"/>
      <c r="F46" s="84"/>
      <c r="G46" s="85"/>
      <c r="H46" s="42"/>
      <c r="I46" s="44"/>
      <c r="J46" s="36"/>
      <c r="K46" s="36"/>
      <c r="L46" s="36"/>
      <c r="M46" s="92"/>
    </row>
    <row r="47" spans="1:15" ht="14.1" customHeight="1" x14ac:dyDescent="0.3">
      <c r="A47" s="19">
        <v>23</v>
      </c>
      <c r="B47" s="49" t="s">
        <v>237</v>
      </c>
      <c r="C47" s="50"/>
      <c r="D47" s="45"/>
      <c r="E47" s="46"/>
      <c r="F47" s="46"/>
      <c r="G47" s="47"/>
      <c r="H47" s="90">
        <f>SUM(I47)</f>
        <v>1.5</v>
      </c>
      <c r="I47" s="43">
        <v>1.5</v>
      </c>
      <c r="J47" s="35">
        <f>SUM(I47)</f>
        <v>1.5</v>
      </c>
      <c r="K47" s="35">
        <f>SUM(J47)</f>
        <v>1.5</v>
      </c>
      <c r="L47" s="35"/>
      <c r="M47" s="37"/>
    </row>
    <row r="48" spans="1:15" ht="14.1" customHeight="1" x14ac:dyDescent="0.3">
      <c r="A48" s="19"/>
      <c r="B48" s="81" t="s">
        <v>238</v>
      </c>
      <c r="C48" s="82"/>
      <c r="D48" s="32" t="s">
        <v>239</v>
      </c>
      <c r="E48" s="33"/>
      <c r="F48" s="33"/>
      <c r="G48" s="34"/>
      <c r="H48" s="42"/>
      <c r="I48" s="44"/>
      <c r="J48" s="36"/>
      <c r="K48" s="36"/>
      <c r="L48" s="36"/>
      <c r="M48" s="38"/>
    </row>
    <row r="49" spans="1:13" ht="14.1" customHeight="1" x14ac:dyDescent="0.3">
      <c r="A49" s="19"/>
      <c r="B49" s="49"/>
      <c r="C49" s="50"/>
      <c r="D49" s="45"/>
      <c r="E49" s="46"/>
      <c r="F49" s="46"/>
      <c r="G49" s="47"/>
      <c r="H49" s="90"/>
      <c r="I49" s="43"/>
      <c r="J49" s="35"/>
      <c r="K49" s="35"/>
      <c r="L49" s="35"/>
      <c r="M49" s="37"/>
    </row>
    <row r="50" spans="1:13" ht="14.1" customHeight="1" x14ac:dyDescent="0.3">
      <c r="A50" s="19"/>
      <c r="B50" s="81"/>
      <c r="C50" s="82"/>
      <c r="D50" s="83"/>
      <c r="E50" s="84"/>
      <c r="F50" s="84"/>
      <c r="G50" s="85"/>
      <c r="H50" s="42"/>
      <c r="I50" s="44"/>
      <c r="J50" s="36"/>
      <c r="K50" s="36"/>
      <c r="L50" s="36"/>
      <c r="M50" s="38"/>
    </row>
    <row r="51" spans="1:13" ht="14.1" customHeight="1" x14ac:dyDescent="0.3">
      <c r="A51" s="19"/>
      <c r="B51" s="49"/>
      <c r="C51" s="50"/>
      <c r="D51" s="45"/>
      <c r="E51" s="46"/>
      <c r="F51" s="46"/>
      <c r="G51" s="47"/>
      <c r="H51" s="90"/>
      <c r="I51" s="43"/>
      <c r="J51" s="35"/>
      <c r="K51" s="35"/>
      <c r="L51" s="35"/>
      <c r="M51" s="37"/>
    </row>
    <row r="52" spans="1:13" ht="14.1" customHeight="1" x14ac:dyDescent="0.3">
      <c r="A52" s="19"/>
      <c r="B52" s="81"/>
      <c r="C52" s="82"/>
      <c r="D52" s="83"/>
      <c r="E52" s="84"/>
      <c r="F52" s="84"/>
      <c r="G52" s="85"/>
      <c r="H52" s="42"/>
      <c r="I52" s="44"/>
      <c r="J52" s="36"/>
      <c r="K52" s="36"/>
      <c r="L52" s="36"/>
      <c r="M52" s="38"/>
    </row>
    <row r="53" spans="1:13" ht="14.1" customHeight="1" x14ac:dyDescent="0.3">
      <c r="A53" s="19"/>
      <c r="B53" s="49"/>
      <c r="C53" s="50"/>
      <c r="D53" s="45"/>
      <c r="E53" s="46"/>
      <c r="F53" s="46"/>
      <c r="G53" s="47"/>
      <c r="H53" s="90"/>
      <c r="I53" s="43"/>
      <c r="J53" s="35"/>
      <c r="K53" s="35"/>
      <c r="L53" s="35"/>
      <c r="M53" s="37"/>
    </row>
    <row r="54" spans="1:13" ht="14.1" customHeight="1" x14ac:dyDescent="0.3">
      <c r="A54" s="19"/>
      <c r="B54" s="81"/>
      <c r="C54" s="82"/>
      <c r="D54" s="83"/>
      <c r="E54" s="84"/>
      <c r="F54" s="84"/>
      <c r="G54" s="85"/>
      <c r="H54" s="42"/>
      <c r="I54" s="44"/>
      <c r="J54" s="36"/>
      <c r="K54" s="36"/>
      <c r="L54" s="36"/>
      <c r="M54" s="38"/>
    </row>
    <row r="55" spans="1:13" ht="14.1" customHeight="1" x14ac:dyDescent="0.3">
      <c r="A55" s="19"/>
      <c r="B55" s="49"/>
      <c r="C55" s="50"/>
      <c r="D55" s="45"/>
      <c r="E55" s="46"/>
      <c r="F55" s="46"/>
      <c r="G55" s="47"/>
      <c r="H55" s="41"/>
      <c r="I55" s="43"/>
      <c r="J55" s="35"/>
      <c r="K55" s="35"/>
      <c r="L55" s="35"/>
      <c r="M55" s="37"/>
    </row>
    <row r="56" spans="1:13" ht="14.1" customHeight="1" thickBot="1" x14ac:dyDescent="0.35">
      <c r="A56" s="65"/>
      <c r="B56" s="60"/>
      <c r="C56" s="61"/>
      <c r="D56" s="115"/>
      <c r="E56" s="116"/>
      <c r="F56" s="116"/>
      <c r="G56" s="117"/>
      <c r="H56" s="71"/>
      <c r="I56" s="88"/>
      <c r="J56" s="74"/>
      <c r="K56" s="74"/>
      <c r="L56" s="74"/>
      <c r="M56" s="80"/>
    </row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00"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7" right="0.7" top="0.75" bottom="0.75" header="0.3" footer="0.3"/>
  <pageSetup paperSize="9" scale="9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5394-A815-420D-A645-1624DB6326BC}">
  <sheetPr>
    <tabColor rgb="FF7030A0"/>
    <pageSetUpPr fitToPage="1"/>
  </sheetPr>
  <dimension ref="A1:O79"/>
  <sheetViews>
    <sheetView zoomScale="110" zoomScaleNormal="110" workbookViewId="0">
      <selection activeCell="P21" sqref="P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4" t="s">
        <v>253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6.5" customHeight="1" thickBot="1" x14ac:dyDescent="0.35">
      <c r="A2" s="6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142</v>
      </c>
      <c r="I2" s="3" t="s">
        <v>143</v>
      </c>
      <c r="J2" s="4" t="s">
        <v>144</v>
      </c>
      <c r="K2" s="4" t="s">
        <v>161</v>
      </c>
      <c r="L2" s="7"/>
      <c r="M2" s="4"/>
    </row>
    <row r="3" spans="1:13" s="2" customFormat="1" ht="14.1" customHeight="1" x14ac:dyDescent="0.3">
      <c r="A3" s="18">
        <v>1</v>
      </c>
      <c r="B3" s="20" t="s">
        <v>23</v>
      </c>
      <c r="C3" s="20"/>
      <c r="D3" s="21"/>
      <c r="E3" s="21"/>
      <c r="F3" s="21"/>
      <c r="G3" s="22"/>
      <c r="H3" s="23">
        <f>SUM(I3)-2.4</f>
        <v>23.900000000000002</v>
      </c>
      <c r="I3" s="25">
        <v>26.3</v>
      </c>
      <c r="J3" s="27">
        <f>SUM(I3)+2.4</f>
        <v>28.7</v>
      </c>
      <c r="K3" s="27">
        <f>SUM(J3)+2.4</f>
        <v>31.099999999999998</v>
      </c>
      <c r="L3" s="130"/>
      <c r="M3" s="112"/>
    </row>
    <row r="4" spans="1:13" s="2" customFormat="1" ht="14.1" customHeight="1" x14ac:dyDescent="0.3">
      <c r="A4" s="19"/>
      <c r="B4" s="31" t="s">
        <v>151</v>
      </c>
      <c r="C4" s="31"/>
      <c r="D4" s="32" t="s">
        <v>260</v>
      </c>
      <c r="E4" s="33"/>
      <c r="F4" s="33"/>
      <c r="G4" s="33"/>
      <c r="H4" s="24"/>
      <c r="I4" s="26"/>
      <c r="J4" s="28"/>
      <c r="K4" s="28"/>
      <c r="L4" s="39"/>
      <c r="M4" s="38"/>
    </row>
    <row r="5" spans="1:13" s="2" customFormat="1" ht="14.1" customHeight="1" x14ac:dyDescent="0.3">
      <c r="A5" s="18">
        <v>2</v>
      </c>
      <c r="B5" s="39" t="s">
        <v>200</v>
      </c>
      <c r="C5" s="39"/>
      <c r="D5" s="40"/>
      <c r="E5" s="40"/>
      <c r="F5" s="40"/>
      <c r="G5" s="40"/>
      <c r="H5" s="42">
        <f>SUM(I5)-1.2</f>
        <v>13.600000000000001</v>
      </c>
      <c r="I5" s="100">
        <v>14.8</v>
      </c>
      <c r="J5" s="36">
        <f>SUM(I5)+1.2</f>
        <v>16</v>
      </c>
      <c r="K5" s="28">
        <f>SUM(J5)+1.2</f>
        <v>17.2</v>
      </c>
      <c r="L5" s="35"/>
      <c r="M5" s="37"/>
    </row>
    <row r="6" spans="1:13" s="2" customFormat="1" ht="14.1" customHeight="1" x14ac:dyDescent="0.3">
      <c r="A6" s="19"/>
      <c r="B6" s="31" t="s">
        <v>152</v>
      </c>
      <c r="C6" s="31"/>
      <c r="D6" s="32" t="s">
        <v>257</v>
      </c>
      <c r="E6" s="33"/>
      <c r="F6" s="33"/>
      <c r="G6" s="34"/>
      <c r="H6" s="24"/>
      <c r="I6" s="44"/>
      <c r="J6" s="35"/>
      <c r="K6" s="28"/>
      <c r="L6" s="36"/>
      <c r="M6" s="38"/>
    </row>
    <row r="7" spans="1:13" s="2" customFormat="1" ht="14.1" customHeight="1" x14ac:dyDescent="0.3">
      <c r="A7" s="18">
        <v>3</v>
      </c>
      <c r="B7" s="39" t="s">
        <v>256</v>
      </c>
      <c r="C7" s="39"/>
      <c r="D7" s="40"/>
      <c r="E7" s="40"/>
      <c r="F7" s="40"/>
      <c r="G7" s="40"/>
      <c r="H7" s="42">
        <f>SUM(I7)</f>
        <v>3.5</v>
      </c>
      <c r="I7" s="100">
        <v>3.5</v>
      </c>
      <c r="J7" s="35">
        <f>SUM(I7)</f>
        <v>3.5</v>
      </c>
      <c r="K7" s="35">
        <f>SUM(J7)</f>
        <v>3.5</v>
      </c>
      <c r="L7" s="35"/>
      <c r="M7" s="37"/>
    </row>
    <row r="8" spans="1:13" s="2" customFormat="1" ht="14.1" customHeight="1" x14ac:dyDescent="0.3">
      <c r="A8" s="19"/>
      <c r="B8" s="31" t="s">
        <v>258</v>
      </c>
      <c r="C8" s="31"/>
      <c r="D8" s="32"/>
      <c r="E8" s="33"/>
      <c r="F8" s="33"/>
      <c r="G8" s="34"/>
      <c r="H8" s="24"/>
      <c r="I8" s="44"/>
      <c r="J8" s="36"/>
      <c r="K8" s="36"/>
      <c r="L8" s="36"/>
      <c r="M8" s="38"/>
    </row>
    <row r="9" spans="1:13" s="2" customFormat="1" ht="14.1" customHeight="1" x14ac:dyDescent="0.3">
      <c r="A9" s="18">
        <v>4</v>
      </c>
      <c r="B9" s="49" t="s">
        <v>255</v>
      </c>
      <c r="C9" s="50"/>
      <c r="D9" s="45"/>
      <c r="E9" s="46"/>
      <c r="F9" s="46"/>
      <c r="G9" s="47"/>
      <c r="H9" s="41">
        <f>SUM(I9)-0.8</f>
        <v>14.1</v>
      </c>
      <c r="I9" s="43">
        <v>14.9</v>
      </c>
      <c r="J9" s="35">
        <f>SUM(I9)+0.8</f>
        <v>15.700000000000001</v>
      </c>
      <c r="K9" s="35">
        <f>SUM(J9)+0.8</f>
        <v>16.5</v>
      </c>
      <c r="L9" s="35"/>
      <c r="M9" s="30"/>
    </row>
    <row r="10" spans="1:13" s="2" customFormat="1" ht="14.1" customHeight="1" x14ac:dyDescent="0.3">
      <c r="A10" s="19"/>
      <c r="B10" s="31" t="s">
        <v>254</v>
      </c>
      <c r="C10" s="31"/>
      <c r="D10" s="32" t="s">
        <v>153</v>
      </c>
      <c r="E10" s="33"/>
      <c r="F10" s="33"/>
      <c r="G10" s="34"/>
      <c r="H10" s="42"/>
      <c r="I10" s="44"/>
      <c r="J10" s="36"/>
      <c r="K10" s="36"/>
      <c r="L10" s="36"/>
      <c r="M10" s="30"/>
    </row>
    <row r="11" spans="1:13" s="2" customFormat="1" ht="14.1" customHeight="1" x14ac:dyDescent="0.3">
      <c r="A11" s="18">
        <v>5</v>
      </c>
      <c r="B11" s="39" t="s">
        <v>19</v>
      </c>
      <c r="C11" s="39"/>
      <c r="D11" s="40" t="s">
        <v>49</v>
      </c>
      <c r="E11" s="40"/>
      <c r="F11" s="40"/>
      <c r="G11" s="40"/>
      <c r="H11" s="41">
        <f>SUM(I11)-1.5</f>
        <v>26.5</v>
      </c>
      <c r="I11" s="43">
        <v>28</v>
      </c>
      <c r="J11" s="35">
        <f>SUM(I11)+1.5</f>
        <v>29.5</v>
      </c>
      <c r="K11" s="35">
        <f>SUM(J11)+1.5</f>
        <v>31</v>
      </c>
      <c r="L11" s="35"/>
      <c r="M11" s="30"/>
    </row>
    <row r="12" spans="1:13" s="2" customFormat="1" ht="14.1" customHeight="1" x14ac:dyDescent="0.3">
      <c r="A12" s="19"/>
      <c r="B12" s="31" t="s">
        <v>24</v>
      </c>
      <c r="C12" s="31"/>
      <c r="D12" s="32" t="s">
        <v>27</v>
      </c>
      <c r="E12" s="33"/>
      <c r="F12" s="33"/>
      <c r="G12" s="34"/>
      <c r="H12" s="42"/>
      <c r="I12" s="44"/>
      <c r="J12" s="36"/>
      <c r="K12" s="36"/>
      <c r="L12" s="36"/>
      <c r="M12" s="30"/>
    </row>
    <row r="13" spans="1:13" s="2" customFormat="1" ht="14.1" customHeight="1" x14ac:dyDescent="0.3">
      <c r="A13" s="18">
        <v>6</v>
      </c>
      <c r="B13" s="39" t="s">
        <v>203</v>
      </c>
      <c r="C13" s="39"/>
      <c r="D13" s="40"/>
      <c r="E13" s="40"/>
      <c r="F13" s="40"/>
      <c r="G13" s="40"/>
      <c r="H13" s="41">
        <f>SUM(I13)-0.9</f>
        <v>8.1</v>
      </c>
      <c r="I13" s="43">
        <v>9</v>
      </c>
      <c r="J13" s="35">
        <f>SUM(I13)+0.9</f>
        <v>9.9</v>
      </c>
      <c r="K13" s="35">
        <f>SUM(J13)+0.9</f>
        <v>10.8</v>
      </c>
      <c r="L13" s="35"/>
      <c r="M13" s="30"/>
    </row>
    <row r="14" spans="1:13" s="2" customFormat="1" ht="14.1" customHeight="1" x14ac:dyDescent="0.3">
      <c r="A14" s="19"/>
      <c r="B14" s="31" t="s">
        <v>204</v>
      </c>
      <c r="C14" s="31"/>
      <c r="D14" s="32" t="s">
        <v>259</v>
      </c>
      <c r="E14" s="33"/>
      <c r="F14" s="33"/>
      <c r="G14" s="34"/>
      <c r="H14" s="42"/>
      <c r="I14" s="44"/>
      <c r="J14" s="36"/>
      <c r="K14" s="36"/>
      <c r="L14" s="36"/>
      <c r="M14" s="30"/>
    </row>
    <row r="15" spans="1:13" s="2" customFormat="1" ht="14.1" customHeight="1" x14ac:dyDescent="0.3">
      <c r="A15" s="18">
        <v>7</v>
      </c>
      <c r="B15" s="39" t="s">
        <v>1</v>
      </c>
      <c r="C15" s="39"/>
      <c r="D15" s="40" t="s">
        <v>2</v>
      </c>
      <c r="E15" s="40"/>
      <c r="F15" s="40"/>
      <c r="G15" s="40"/>
      <c r="H15" s="41"/>
      <c r="I15" s="26"/>
      <c r="J15" s="28"/>
      <c r="K15" s="28"/>
      <c r="L15" s="125"/>
      <c r="M15" s="30"/>
    </row>
    <row r="16" spans="1:13" s="2" customFormat="1" ht="14.1" customHeight="1" x14ac:dyDescent="0.3">
      <c r="A16" s="19"/>
      <c r="B16" s="31" t="s">
        <v>14</v>
      </c>
      <c r="C16" s="31"/>
      <c r="D16" s="32" t="s">
        <v>56</v>
      </c>
      <c r="E16" s="33"/>
      <c r="F16" s="33"/>
      <c r="G16" s="34"/>
      <c r="H16" s="42"/>
      <c r="I16" s="26"/>
      <c r="J16" s="28"/>
      <c r="K16" s="28"/>
      <c r="L16" s="125"/>
      <c r="M16" s="30"/>
    </row>
    <row r="17" spans="1:14" s="2" customFormat="1" ht="14.1" customHeight="1" x14ac:dyDescent="0.3">
      <c r="A17" s="18">
        <v>8</v>
      </c>
      <c r="B17" s="39" t="s">
        <v>221</v>
      </c>
      <c r="C17" s="39"/>
      <c r="D17" s="40" t="s">
        <v>223</v>
      </c>
      <c r="E17" s="40"/>
      <c r="F17" s="40"/>
      <c r="G17" s="40"/>
      <c r="H17" s="41"/>
      <c r="I17" s="26"/>
      <c r="J17" s="28"/>
      <c r="K17" s="28"/>
      <c r="L17" s="125"/>
      <c r="M17" s="30"/>
    </row>
    <row r="18" spans="1:14" s="2" customFormat="1" ht="14.1" customHeight="1" x14ac:dyDescent="0.3">
      <c r="A18" s="19"/>
      <c r="B18" s="31" t="s">
        <v>222</v>
      </c>
      <c r="C18" s="31"/>
      <c r="D18" s="32" t="s">
        <v>224</v>
      </c>
      <c r="E18" s="33"/>
      <c r="F18" s="33"/>
      <c r="G18" s="34"/>
      <c r="H18" s="42"/>
      <c r="I18" s="26"/>
      <c r="J18" s="28"/>
      <c r="K18" s="28"/>
      <c r="L18" s="125"/>
      <c r="M18" s="30"/>
    </row>
    <row r="19" spans="1:14" s="2" customFormat="1" ht="14.1" customHeight="1" x14ac:dyDescent="0.3">
      <c r="A19" s="18">
        <v>9</v>
      </c>
      <c r="B19" s="39" t="s">
        <v>3</v>
      </c>
      <c r="C19" s="39"/>
      <c r="D19" s="40" t="s">
        <v>4</v>
      </c>
      <c r="E19" s="40"/>
      <c r="F19" s="40"/>
      <c r="G19" s="40"/>
      <c r="H19" s="41"/>
      <c r="I19" s="26"/>
      <c r="J19" s="28"/>
      <c r="K19" s="28"/>
      <c r="L19" s="125"/>
      <c r="M19" s="30"/>
    </row>
    <row r="20" spans="1:14" s="2" customFormat="1" ht="14.1" customHeight="1" x14ac:dyDescent="0.3">
      <c r="A20" s="19"/>
      <c r="B20" s="31" t="s">
        <v>15</v>
      </c>
      <c r="C20" s="31"/>
      <c r="D20" s="32" t="s">
        <v>55</v>
      </c>
      <c r="E20" s="33"/>
      <c r="F20" s="33"/>
      <c r="G20" s="34"/>
      <c r="H20" s="42"/>
      <c r="I20" s="26"/>
      <c r="J20" s="28"/>
      <c r="K20" s="28"/>
      <c r="L20" s="125"/>
      <c r="M20" s="30"/>
    </row>
    <row r="21" spans="1:14" s="2" customFormat="1" ht="14.1" customHeight="1" x14ac:dyDescent="0.3">
      <c r="A21" s="19">
        <v>10</v>
      </c>
      <c r="B21" s="49"/>
      <c r="C21" s="50"/>
      <c r="D21" s="40"/>
      <c r="E21" s="40"/>
      <c r="F21" s="40"/>
      <c r="G21" s="40"/>
      <c r="H21" s="41"/>
      <c r="I21" s="26"/>
      <c r="J21" s="28"/>
      <c r="K21" s="28"/>
      <c r="L21" s="125"/>
      <c r="M21" s="30"/>
    </row>
    <row r="22" spans="1:14" s="2" customFormat="1" ht="14.1" customHeight="1" thickBot="1" x14ac:dyDescent="0.35">
      <c r="A22" s="129"/>
      <c r="B22" s="131"/>
      <c r="C22" s="131"/>
      <c r="D22" s="77"/>
      <c r="E22" s="78"/>
      <c r="F22" s="78"/>
      <c r="G22" s="79"/>
      <c r="H22" s="90"/>
      <c r="I22" s="43"/>
      <c r="J22" s="35"/>
      <c r="K22" s="35"/>
      <c r="L22" s="39"/>
      <c r="M22" s="37"/>
    </row>
    <row r="23" spans="1:14" s="2" customFormat="1" ht="14.1" customHeight="1" thickTop="1" x14ac:dyDescent="0.3">
      <c r="A23" s="132">
        <v>11</v>
      </c>
      <c r="B23" s="133" t="s">
        <v>62</v>
      </c>
      <c r="C23" s="134"/>
      <c r="D23" s="135" t="s">
        <v>63</v>
      </c>
      <c r="E23" s="136"/>
      <c r="F23" s="136"/>
      <c r="G23" s="137"/>
      <c r="H23" s="138">
        <f>SUM(I23)-2</f>
        <v>40</v>
      </c>
      <c r="I23" s="139">
        <v>42</v>
      </c>
      <c r="J23" s="140">
        <f>SUM(I23)+2</f>
        <v>44</v>
      </c>
      <c r="K23" s="140">
        <f>SUM(J23)+2</f>
        <v>46</v>
      </c>
      <c r="L23" s="140"/>
      <c r="M23" s="141"/>
    </row>
    <row r="24" spans="1:14" s="2" customFormat="1" ht="14.1" customHeight="1" x14ac:dyDescent="0.3">
      <c r="A24" s="19"/>
      <c r="B24" s="81" t="s">
        <v>64</v>
      </c>
      <c r="C24" s="82"/>
      <c r="D24" s="83" t="s">
        <v>65</v>
      </c>
      <c r="E24" s="84"/>
      <c r="F24" s="84"/>
      <c r="G24" s="85"/>
      <c r="H24" s="42"/>
      <c r="I24" s="44"/>
      <c r="J24" s="36"/>
      <c r="K24" s="36"/>
      <c r="L24" s="36"/>
      <c r="M24" s="38"/>
    </row>
    <row r="25" spans="1:14" s="2" customFormat="1" ht="14.1" customHeight="1" x14ac:dyDescent="0.3">
      <c r="A25" s="19">
        <v>12</v>
      </c>
      <c r="B25" s="49" t="s">
        <v>72</v>
      </c>
      <c r="C25" s="50"/>
      <c r="D25" s="77"/>
      <c r="E25" s="78"/>
      <c r="F25" s="78"/>
      <c r="G25" s="79"/>
      <c r="H25" s="90">
        <f>SUM(I25)-2.8</f>
        <v>59.2</v>
      </c>
      <c r="I25" s="100">
        <v>62</v>
      </c>
      <c r="J25" s="95">
        <f>SUM(I25)+2.8</f>
        <v>64.8</v>
      </c>
      <c r="K25" s="95">
        <f>SUM(J25)+2.8</f>
        <v>67.599999999999994</v>
      </c>
      <c r="L25" s="95"/>
      <c r="M25" s="96"/>
    </row>
    <row r="26" spans="1:14" s="2" customFormat="1" ht="14.1" customHeight="1" x14ac:dyDescent="0.3">
      <c r="A26" s="19"/>
      <c r="B26" s="81" t="s">
        <v>73</v>
      </c>
      <c r="C26" s="82"/>
      <c r="D26" s="83"/>
      <c r="E26" s="84"/>
      <c r="F26" s="84"/>
      <c r="G26" s="85"/>
      <c r="H26" s="42"/>
      <c r="I26" s="44"/>
      <c r="J26" s="36"/>
      <c r="K26" s="36"/>
      <c r="L26" s="36"/>
      <c r="M26" s="38"/>
      <c r="N26" s="13"/>
    </row>
    <row r="27" spans="1:14" s="2" customFormat="1" ht="14.1" customHeight="1" x14ac:dyDescent="0.3">
      <c r="A27" s="19">
        <v>13</v>
      </c>
      <c r="B27" s="49" t="s">
        <v>74</v>
      </c>
      <c r="C27" s="50"/>
      <c r="D27" s="45" t="s">
        <v>75</v>
      </c>
      <c r="E27" s="46"/>
      <c r="F27" s="46"/>
      <c r="G27" s="47"/>
      <c r="H27" s="90">
        <f>SUM(I27)-3</f>
        <v>63.7</v>
      </c>
      <c r="I27" s="100">
        <v>66.7</v>
      </c>
      <c r="J27" s="95">
        <f>SUM(I27)+3</f>
        <v>69.7</v>
      </c>
      <c r="K27" s="95">
        <f>SUM(J27)+3</f>
        <v>72.7</v>
      </c>
      <c r="L27" s="35"/>
      <c r="M27" s="37"/>
    </row>
    <row r="28" spans="1:14" s="2" customFormat="1" ht="14.1" customHeight="1" x14ac:dyDescent="0.3">
      <c r="A28" s="19"/>
      <c r="B28" s="81" t="s">
        <v>76</v>
      </c>
      <c r="C28" s="82"/>
      <c r="D28" s="83" t="s">
        <v>77</v>
      </c>
      <c r="E28" s="84"/>
      <c r="F28" s="84"/>
      <c r="G28" s="85"/>
      <c r="H28" s="42"/>
      <c r="I28" s="44"/>
      <c r="J28" s="36"/>
      <c r="K28" s="36"/>
      <c r="L28" s="36"/>
      <c r="M28" s="38"/>
    </row>
    <row r="29" spans="1:14" s="2" customFormat="1" ht="14.1" customHeight="1" x14ac:dyDescent="0.3">
      <c r="A29" s="19">
        <v>14</v>
      </c>
      <c r="B29" s="49" t="s">
        <v>78</v>
      </c>
      <c r="C29" s="50"/>
      <c r="D29" s="45"/>
      <c r="E29" s="46"/>
      <c r="F29" s="46"/>
      <c r="G29" s="47"/>
      <c r="H29" s="90">
        <f>SUM(I29)-0.5</f>
        <v>10.5</v>
      </c>
      <c r="I29" s="43">
        <v>11</v>
      </c>
      <c r="J29" s="35">
        <f>SUM(I29)+0.5</f>
        <v>11.5</v>
      </c>
      <c r="K29" s="35">
        <f>SUM(J29)+0.5</f>
        <v>12</v>
      </c>
      <c r="L29" s="39"/>
      <c r="M29" s="91"/>
    </row>
    <row r="30" spans="1:14" s="2" customFormat="1" ht="14.1" customHeight="1" x14ac:dyDescent="0.3">
      <c r="A30" s="19"/>
      <c r="B30" s="81" t="s">
        <v>79</v>
      </c>
      <c r="C30" s="82"/>
      <c r="D30" s="48" t="s">
        <v>80</v>
      </c>
      <c r="E30" s="93"/>
      <c r="F30" s="93"/>
      <c r="G30" s="94"/>
      <c r="H30" s="42"/>
      <c r="I30" s="44"/>
      <c r="J30" s="36"/>
      <c r="K30" s="36"/>
      <c r="L30" s="31"/>
      <c r="M30" s="92"/>
    </row>
    <row r="31" spans="1:14" s="2" customFormat="1" ht="14.1" customHeight="1" x14ac:dyDescent="0.3">
      <c r="A31" s="19">
        <v>15</v>
      </c>
      <c r="B31" s="49" t="s">
        <v>81</v>
      </c>
      <c r="C31" s="50"/>
      <c r="D31" s="45"/>
      <c r="E31" s="46"/>
      <c r="F31" s="46"/>
      <c r="G31" s="47"/>
      <c r="H31" s="41"/>
      <c r="I31" s="43"/>
      <c r="J31" s="35"/>
      <c r="K31" s="35"/>
      <c r="L31" s="39"/>
      <c r="M31" s="91"/>
    </row>
    <row r="32" spans="1:14" s="2" customFormat="1" ht="14.1" customHeight="1" x14ac:dyDescent="0.3">
      <c r="A32" s="19"/>
      <c r="B32" s="81" t="s">
        <v>82</v>
      </c>
      <c r="C32" s="82"/>
      <c r="D32" s="48" t="s">
        <v>83</v>
      </c>
      <c r="E32" s="93"/>
      <c r="F32" s="93"/>
      <c r="G32" s="94"/>
      <c r="H32" s="42"/>
      <c r="I32" s="44"/>
      <c r="J32" s="36"/>
      <c r="K32" s="36"/>
      <c r="L32" s="31"/>
      <c r="M32" s="92"/>
    </row>
    <row r="33" spans="1:15" s="2" customFormat="1" ht="14.1" customHeight="1" x14ac:dyDescent="0.3">
      <c r="A33" s="19">
        <v>16</v>
      </c>
      <c r="B33" s="49" t="s">
        <v>84</v>
      </c>
      <c r="C33" s="50"/>
      <c r="D33" s="45" t="s">
        <v>49</v>
      </c>
      <c r="E33" s="46"/>
      <c r="F33" s="46"/>
      <c r="G33" s="47"/>
      <c r="H33" s="90">
        <f>SUM(I33)-2.3</f>
        <v>30.7</v>
      </c>
      <c r="I33" s="43">
        <v>33</v>
      </c>
      <c r="J33" s="35">
        <f>SUM(I33)+3.9</f>
        <v>36.9</v>
      </c>
      <c r="K33" s="35">
        <f>SUM(J33)+3.9</f>
        <v>40.799999999999997</v>
      </c>
      <c r="L33" s="35"/>
      <c r="M33" s="37"/>
    </row>
    <row r="34" spans="1:15" s="2" customFormat="1" ht="14.1" customHeight="1" x14ac:dyDescent="0.3">
      <c r="A34" s="19"/>
      <c r="B34" s="81" t="s">
        <v>299</v>
      </c>
      <c r="C34" s="82"/>
      <c r="D34" s="83" t="s">
        <v>86</v>
      </c>
      <c r="E34" s="84"/>
      <c r="F34" s="84"/>
      <c r="G34" s="85"/>
      <c r="H34" s="42"/>
      <c r="I34" s="44"/>
      <c r="J34" s="36"/>
      <c r="K34" s="36"/>
      <c r="L34" s="36"/>
      <c r="M34" s="38"/>
      <c r="O34" s="2" t="s">
        <v>122</v>
      </c>
    </row>
    <row r="35" spans="1:15" s="2" customFormat="1" ht="14.1" customHeight="1" x14ac:dyDescent="0.3">
      <c r="A35" s="19">
        <v>17</v>
      </c>
      <c r="B35" s="49" t="s">
        <v>87</v>
      </c>
      <c r="C35" s="50"/>
      <c r="D35" s="45" t="s">
        <v>88</v>
      </c>
      <c r="E35" s="46"/>
      <c r="F35" s="46"/>
      <c r="G35" s="47"/>
      <c r="H35" s="90">
        <f>SUM(I35)-1.4</f>
        <v>37.6</v>
      </c>
      <c r="I35" s="43">
        <v>39</v>
      </c>
      <c r="J35" s="35">
        <f>SUM(I35)+1.4</f>
        <v>40.4</v>
      </c>
      <c r="K35" s="35">
        <f>SUM(J35)+1.4</f>
        <v>41.8</v>
      </c>
      <c r="L35" s="35"/>
      <c r="M35" s="37"/>
    </row>
    <row r="36" spans="1:15" s="2" customFormat="1" ht="14.1" customHeight="1" x14ac:dyDescent="0.3">
      <c r="A36" s="19"/>
      <c r="B36" s="81" t="s">
        <v>89</v>
      </c>
      <c r="C36" s="82"/>
      <c r="D36" s="32" t="s">
        <v>261</v>
      </c>
      <c r="E36" s="33"/>
      <c r="F36" s="33"/>
      <c r="G36" s="34"/>
      <c r="H36" s="42"/>
      <c r="I36" s="44"/>
      <c r="J36" s="36"/>
      <c r="K36" s="36"/>
      <c r="L36" s="36"/>
      <c r="M36" s="38"/>
    </row>
    <row r="37" spans="1:15" s="2" customFormat="1" ht="14.1" customHeight="1" x14ac:dyDescent="0.3">
      <c r="A37" s="19">
        <v>18</v>
      </c>
      <c r="B37" s="49" t="s">
        <v>91</v>
      </c>
      <c r="C37" s="50"/>
      <c r="D37" s="45" t="s">
        <v>92</v>
      </c>
      <c r="E37" s="46"/>
      <c r="F37" s="46"/>
      <c r="G37" s="47"/>
      <c r="H37" s="90">
        <f>SUM(I37)-0.8</f>
        <v>18.599999999999998</v>
      </c>
      <c r="I37" s="43">
        <v>19.399999999999999</v>
      </c>
      <c r="J37" s="35">
        <f>SUM(I37)+0.8</f>
        <v>20.2</v>
      </c>
      <c r="K37" s="35">
        <f>SUM(J37)+0.8</f>
        <v>21</v>
      </c>
      <c r="L37" s="35"/>
      <c r="M37" s="91"/>
    </row>
    <row r="38" spans="1:15" s="2" customFormat="1" ht="14.1" customHeight="1" x14ac:dyDescent="0.3">
      <c r="A38" s="19"/>
      <c r="B38" s="81" t="s">
        <v>93</v>
      </c>
      <c r="C38" s="82"/>
      <c r="D38" s="83" t="s">
        <v>94</v>
      </c>
      <c r="E38" s="84"/>
      <c r="F38" s="84"/>
      <c r="G38" s="85"/>
      <c r="H38" s="42"/>
      <c r="I38" s="44"/>
      <c r="J38" s="36"/>
      <c r="K38" s="36"/>
      <c r="L38" s="36"/>
      <c r="M38" s="92"/>
    </row>
    <row r="39" spans="1:15" ht="14.1" customHeight="1" x14ac:dyDescent="0.3">
      <c r="A39" s="19">
        <v>19</v>
      </c>
      <c r="B39" s="49" t="s">
        <v>95</v>
      </c>
      <c r="C39" s="50"/>
      <c r="D39" s="45" t="s">
        <v>92</v>
      </c>
      <c r="E39" s="46"/>
      <c r="F39" s="46"/>
      <c r="G39" s="47"/>
      <c r="H39" s="90">
        <f>SUM(I39)-1</f>
        <v>24.2</v>
      </c>
      <c r="I39" s="43">
        <v>25.2</v>
      </c>
      <c r="J39" s="35">
        <f>SUM(I39)+1</f>
        <v>26.2</v>
      </c>
      <c r="K39" s="35">
        <f>SUM(J39)+1</f>
        <v>27.2</v>
      </c>
      <c r="L39" s="35"/>
      <c r="M39" s="91"/>
    </row>
    <row r="40" spans="1:15" ht="14.1" customHeight="1" x14ac:dyDescent="0.3">
      <c r="A40" s="19"/>
      <c r="B40" s="81" t="s">
        <v>96</v>
      </c>
      <c r="C40" s="82"/>
      <c r="D40" s="83" t="s">
        <v>94</v>
      </c>
      <c r="E40" s="84"/>
      <c r="F40" s="84"/>
      <c r="G40" s="85"/>
      <c r="H40" s="42"/>
      <c r="I40" s="44"/>
      <c r="J40" s="36"/>
      <c r="K40" s="36"/>
      <c r="L40" s="36"/>
      <c r="M40" s="92"/>
    </row>
    <row r="41" spans="1:15" ht="14.1" customHeight="1" x14ac:dyDescent="0.3">
      <c r="A41" s="19">
        <v>20</v>
      </c>
      <c r="B41" s="49" t="s">
        <v>111</v>
      </c>
      <c r="C41" s="50"/>
      <c r="D41" s="45" t="s">
        <v>112</v>
      </c>
      <c r="E41" s="46"/>
      <c r="F41" s="46"/>
      <c r="G41" s="47"/>
      <c r="H41" s="90">
        <f>SUM(I41)-0.2</f>
        <v>3.5999999999999996</v>
      </c>
      <c r="I41" s="43">
        <v>3.8</v>
      </c>
      <c r="J41" s="35">
        <f>SUM(I41)+0.2</f>
        <v>4</v>
      </c>
      <c r="K41" s="35">
        <f>SUM(J41)+0.2</f>
        <v>4.2</v>
      </c>
      <c r="L41" s="35"/>
      <c r="M41" s="37"/>
    </row>
    <row r="42" spans="1:15" ht="14.1" customHeight="1" x14ac:dyDescent="0.3">
      <c r="A42" s="19"/>
      <c r="B42" s="81" t="s">
        <v>113</v>
      </c>
      <c r="C42" s="82"/>
      <c r="D42" s="83" t="s">
        <v>114</v>
      </c>
      <c r="E42" s="84"/>
      <c r="F42" s="84"/>
      <c r="G42" s="85"/>
      <c r="H42" s="42"/>
      <c r="I42" s="44"/>
      <c r="J42" s="36"/>
      <c r="K42" s="36"/>
      <c r="L42" s="36"/>
      <c r="M42" s="38"/>
    </row>
    <row r="43" spans="1:15" s="2" customFormat="1" ht="14.1" customHeight="1" x14ac:dyDescent="0.3">
      <c r="A43" s="19">
        <v>21</v>
      </c>
      <c r="B43" s="49" t="s">
        <v>115</v>
      </c>
      <c r="C43" s="50"/>
      <c r="D43" s="45" t="s">
        <v>116</v>
      </c>
      <c r="E43" s="46"/>
      <c r="F43" s="46"/>
      <c r="G43" s="47"/>
      <c r="H43" s="90">
        <f>SUM(I43)-0.6</f>
        <v>6.6000000000000005</v>
      </c>
      <c r="I43" s="43">
        <v>7.2</v>
      </c>
      <c r="J43" s="35">
        <f>SUM(I43)+0.6</f>
        <v>7.8</v>
      </c>
      <c r="K43" s="35">
        <f>SUM(J43)+0.6</f>
        <v>8.4</v>
      </c>
      <c r="L43" s="35"/>
      <c r="M43" s="37"/>
    </row>
    <row r="44" spans="1:15" s="2" customFormat="1" ht="14.1" customHeight="1" x14ac:dyDescent="0.3">
      <c r="A44" s="19"/>
      <c r="B44" s="81" t="s">
        <v>117</v>
      </c>
      <c r="C44" s="82"/>
      <c r="D44" s="83" t="s">
        <v>118</v>
      </c>
      <c r="E44" s="84"/>
      <c r="F44" s="84"/>
      <c r="G44" s="85"/>
      <c r="H44" s="42"/>
      <c r="I44" s="44"/>
      <c r="J44" s="36"/>
      <c r="K44" s="36"/>
      <c r="L44" s="36"/>
      <c r="M44" s="38"/>
    </row>
    <row r="45" spans="1:15" ht="14.1" customHeight="1" x14ac:dyDescent="0.3">
      <c r="A45" s="19">
        <v>22</v>
      </c>
      <c r="B45" s="49"/>
      <c r="C45" s="50"/>
      <c r="D45" s="45"/>
      <c r="E45" s="46"/>
      <c r="F45" s="46"/>
      <c r="G45" s="47"/>
      <c r="H45" s="41"/>
      <c r="I45" s="43"/>
      <c r="J45" s="35"/>
      <c r="K45" s="35"/>
      <c r="L45" s="35"/>
      <c r="M45" s="37"/>
    </row>
    <row r="46" spans="1:15" ht="14.1" customHeight="1" thickBot="1" x14ac:dyDescent="0.35">
      <c r="A46" s="65"/>
      <c r="B46" s="60"/>
      <c r="C46" s="61"/>
      <c r="D46" s="115"/>
      <c r="E46" s="116"/>
      <c r="F46" s="116"/>
      <c r="G46" s="117"/>
      <c r="H46" s="71"/>
      <c r="I46" s="88"/>
      <c r="J46" s="74"/>
      <c r="K46" s="74"/>
      <c r="L46" s="74"/>
      <c r="M46" s="80"/>
    </row>
    <row r="47" spans="1:15" ht="14.1" customHeight="1" x14ac:dyDescent="0.3"/>
    <row r="48" spans="1:15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245">
    <mergeCell ref="J5:J6"/>
    <mergeCell ref="K5:K6"/>
    <mergeCell ref="L5:L6"/>
    <mergeCell ref="M5:M6"/>
    <mergeCell ref="B6:C6"/>
    <mergeCell ref="D6:G6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A9:A10"/>
    <mergeCell ref="B9:C9"/>
    <mergeCell ref="D9:G9"/>
    <mergeCell ref="H9:H10"/>
    <mergeCell ref="I9:I10"/>
    <mergeCell ref="B8:C8"/>
    <mergeCell ref="D8:G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19:A20"/>
    <mergeCell ref="B19:C19"/>
    <mergeCell ref="D19:G19"/>
    <mergeCell ref="H19:H20"/>
    <mergeCell ref="I19:I20"/>
    <mergeCell ref="K19:K20"/>
    <mergeCell ref="L19:L20"/>
    <mergeCell ref="M19:M20"/>
    <mergeCell ref="B20:C20"/>
    <mergeCell ref="D20:G20"/>
    <mergeCell ref="J19:J20"/>
    <mergeCell ref="L13:L14"/>
    <mergeCell ref="M13:M14"/>
    <mergeCell ref="B14:C14"/>
    <mergeCell ref="D14:G14"/>
    <mergeCell ref="J13:J14"/>
    <mergeCell ref="A17:A18"/>
    <mergeCell ref="B17:C17"/>
    <mergeCell ref="D17:G17"/>
    <mergeCell ref="H17:H18"/>
    <mergeCell ref="I17:I18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A15:A16"/>
    <mergeCell ref="A13:A14"/>
    <mergeCell ref="B13:C13"/>
    <mergeCell ref="D13:G13"/>
    <mergeCell ref="H13:H14"/>
    <mergeCell ref="I13:I14"/>
    <mergeCell ref="K13:K14"/>
    <mergeCell ref="D16:G16"/>
    <mergeCell ref="J15:J16"/>
    <mergeCell ref="A11:A12"/>
    <mergeCell ref="B11:C11"/>
    <mergeCell ref="D11:G11"/>
    <mergeCell ref="H11:H12"/>
    <mergeCell ref="I11:I12"/>
    <mergeCell ref="L3:L4"/>
    <mergeCell ref="M3:M4"/>
    <mergeCell ref="B4:C4"/>
    <mergeCell ref="D4:G4"/>
    <mergeCell ref="A7:A8"/>
    <mergeCell ref="B7:C7"/>
    <mergeCell ref="D7:G7"/>
    <mergeCell ref="H7:H8"/>
    <mergeCell ref="I7:I8"/>
    <mergeCell ref="J7:J8"/>
    <mergeCell ref="J11:J12"/>
    <mergeCell ref="K11:K12"/>
    <mergeCell ref="L11:L12"/>
    <mergeCell ref="M11:M12"/>
    <mergeCell ref="B12:C12"/>
    <mergeCell ref="D12:G12"/>
    <mergeCell ref="K7:K8"/>
    <mergeCell ref="L7:L8"/>
    <mergeCell ref="M7:M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0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A9C8-39E5-4CC2-81B8-1F1E2F804880}">
  <sheetPr>
    <tabColor rgb="FF7030A0"/>
    <pageSetUpPr fitToPage="1"/>
  </sheetPr>
  <dimension ref="A1:O57"/>
  <sheetViews>
    <sheetView zoomScale="110" zoomScaleNormal="110" workbookViewId="0">
      <selection activeCell="B7" sqref="B7:G8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14" t="s">
        <v>166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5" ht="16.5" customHeight="1" thickBot="1" x14ac:dyDescent="0.25">
      <c r="A2" s="9" t="s">
        <v>33</v>
      </c>
      <c r="B2" s="158" t="s">
        <v>34</v>
      </c>
      <c r="C2" s="159"/>
      <c r="D2" s="158" t="s">
        <v>35</v>
      </c>
      <c r="E2" s="160"/>
      <c r="F2" s="160"/>
      <c r="G2" s="159"/>
      <c r="H2" s="8" t="s">
        <v>142</v>
      </c>
      <c r="I2" s="3" t="s">
        <v>143</v>
      </c>
      <c r="J2" s="4" t="s">
        <v>144</v>
      </c>
      <c r="K2" s="4" t="s">
        <v>150</v>
      </c>
      <c r="L2" s="4"/>
      <c r="M2" s="4"/>
    </row>
    <row r="3" spans="1:15" s="2" customFormat="1" ht="14.1" customHeight="1" x14ac:dyDescent="0.3">
      <c r="A3" s="161">
        <v>1</v>
      </c>
      <c r="B3" s="105" t="s">
        <v>62</v>
      </c>
      <c r="C3" s="106"/>
      <c r="D3" s="163" t="s">
        <v>63</v>
      </c>
      <c r="E3" s="164"/>
      <c r="F3" s="164"/>
      <c r="G3" s="165"/>
      <c r="H3" s="23">
        <f>SUM(I3)-2</f>
        <v>40</v>
      </c>
      <c r="I3" s="25">
        <v>42</v>
      </c>
      <c r="J3" s="27">
        <f>SUM(I3)+2</f>
        <v>44</v>
      </c>
      <c r="K3" s="27">
        <f>SUM(J3)+2</f>
        <v>46</v>
      </c>
      <c r="L3" s="27"/>
      <c r="M3" s="29"/>
    </row>
    <row r="4" spans="1:15" s="2" customFormat="1" ht="14.1" customHeight="1" x14ac:dyDescent="0.3">
      <c r="A4" s="162"/>
      <c r="B4" s="81" t="s">
        <v>64</v>
      </c>
      <c r="C4" s="82"/>
      <c r="D4" s="97" t="s">
        <v>65</v>
      </c>
      <c r="E4" s="98"/>
      <c r="F4" s="98"/>
      <c r="G4" s="99"/>
      <c r="H4" s="24"/>
      <c r="I4" s="26"/>
      <c r="J4" s="28"/>
      <c r="K4" s="28"/>
      <c r="L4" s="28"/>
      <c r="M4" s="30"/>
    </row>
    <row r="5" spans="1:15" s="2" customFormat="1" ht="14.1" customHeight="1" x14ac:dyDescent="0.3">
      <c r="A5" s="129">
        <v>2</v>
      </c>
      <c r="B5" s="49" t="s">
        <v>162</v>
      </c>
      <c r="C5" s="50"/>
      <c r="D5" s="45"/>
      <c r="E5" s="46"/>
      <c r="F5" s="46"/>
      <c r="G5" s="47"/>
      <c r="H5" s="41">
        <f>SUM(I5)-2.8</f>
        <v>59.6</v>
      </c>
      <c r="I5" s="43">
        <v>62.4</v>
      </c>
      <c r="J5" s="35">
        <f>SUM(I5)+2.8</f>
        <v>65.2</v>
      </c>
      <c r="K5" s="35">
        <f>SUM(J5)+2.8</f>
        <v>68</v>
      </c>
      <c r="L5" s="35"/>
      <c r="M5" s="37"/>
    </row>
    <row r="6" spans="1:15" s="2" customFormat="1" ht="14.1" customHeight="1" x14ac:dyDescent="0.3">
      <c r="A6" s="18"/>
      <c r="B6" s="81" t="s">
        <v>163</v>
      </c>
      <c r="C6" s="82"/>
      <c r="D6" s="83"/>
      <c r="E6" s="84"/>
      <c r="F6" s="84"/>
      <c r="G6" s="85"/>
      <c r="H6" s="42"/>
      <c r="I6" s="44"/>
      <c r="J6" s="36"/>
      <c r="K6" s="36"/>
      <c r="L6" s="36"/>
      <c r="M6" s="38"/>
    </row>
    <row r="7" spans="1:15" s="2" customFormat="1" ht="14.1" customHeight="1" x14ac:dyDescent="0.3">
      <c r="A7" s="129">
        <v>3</v>
      </c>
      <c r="B7" s="49" t="s">
        <v>167</v>
      </c>
      <c r="C7" s="50"/>
      <c r="D7" s="152" t="s">
        <v>49</v>
      </c>
      <c r="E7" s="153"/>
      <c r="F7" s="153"/>
      <c r="G7" s="154"/>
      <c r="H7" s="41">
        <f>SUM(I7)-1</f>
        <v>19.399999999999999</v>
      </c>
      <c r="I7" s="43">
        <v>20.399999999999999</v>
      </c>
      <c r="J7" s="35">
        <f>SUM(I7)+1.5</f>
        <v>21.9</v>
      </c>
      <c r="K7" s="35">
        <f>SUM(J7)+1.5</f>
        <v>23.4</v>
      </c>
      <c r="L7" s="35"/>
      <c r="M7" s="37"/>
    </row>
    <row r="8" spans="1:15" s="2" customFormat="1" ht="14.1" customHeight="1" x14ac:dyDescent="0.3">
      <c r="A8" s="18"/>
      <c r="B8" s="81" t="s">
        <v>168</v>
      </c>
      <c r="C8" s="82"/>
      <c r="D8" s="97" t="s">
        <v>164</v>
      </c>
      <c r="E8" s="98"/>
      <c r="F8" s="98"/>
      <c r="G8" s="99"/>
      <c r="H8" s="42"/>
      <c r="I8" s="44"/>
      <c r="J8" s="36"/>
      <c r="K8" s="36"/>
      <c r="L8" s="36"/>
      <c r="M8" s="38"/>
    </row>
    <row r="9" spans="1:15" s="2" customFormat="1" ht="14.1" customHeight="1" x14ac:dyDescent="0.3">
      <c r="A9" s="129">
        <v>4</v>
      </c>
      <c r="B9" s="49"/>
      <c r="C9" s="50"/>
      <c r="D9" s="152"/>
      <c r="E9" s="153"/>
      <c r="F9" s="153"/>
      <c r="G9" s="154"/>
      <c r="H9" s="41"/>
      <c r="I9" s="43"/>
      <c r="J9" s="35"/>
      <c r="K9" s="35"/>
      <c r="L9" s="35"/>
      <c r="M9" s="37"/>
    </row>
    <row r="10" spans="1:15" s="2" customFormat="1" ht="14.1" customHeight="1" x14ac:dyDescent="0.3">
      <c r="A10" s="18"/>
      <c r="B10" s="81"/>
      <c r="C10" s="82"/>
      <c r="D10" s="97"/>
      <c r="E10" s="98"/>
      <c r="F10" s="98"/>
      <c r="G10" s="99"/>
      <c r="H10" s="42"/>
      <c r="I10" s="44"/>
      <c r="J10" s="36"/>
      <c r="K10" s="36"/>
      <c r="L10" s="36"/>
      <c r="M10" s="38"/>
    </row>
    <row r="11" spans="1:15" s="2" customFormat="1" ht="14.1" customHeight="1" x14ac:dyDescent="0.3">
      <c r="A11" s="129">
        <v>5</v>
      </c>
      <c r="B11" s="49"/>
      <c r="C11" s="50"/>
      <c r="D11" s="152"/>
      <c r="E11" s="153"/>
      <c r="F11" s="153"/>
      <c r="G11" s="154"/>
      <c r="H11" s="41"/>
      <c r="I11" s="26"/>
      <c r="J11" s="28"/>
      <c r="K11" s="28"/>
      <c r="L11" s="28"/>
      <c r="M11" s="30"/>
    </row>
    <row r="12" spans="1:15" s="2" customFormat="1" ht="14.1" customHeight="1" x14ac:dyDescent="0.3">
      <c r="A12" s="150"/>
      <c r="B12" s="81"/>
      <c r="C12" s="82"/>
      <c r="D12" s="155"/>
      <c r="E12" s="156"/>
      <c r="F12" s="156"/>
      <c r="G12" s="157"/>
      <c r="H12" s="42"/>
      <c r="I12" s="26"/>
      <c r="J12" s="28"/>
      <c r="K12" s="28"/>
      <c r="L12" s="28"/>
      <c r="M12" s="30"/>
    </row>
    <row r="13" spans="1:15" s="2" customFormat="1" ht="14.1" customHeight="1" x14ac:dyDescent="0.3">
      <c r="A13" s="129">
        <v>6</v>
      </c>
      <c r="B13" s="49"/>
      <c r="C13" s="50"/>
      <c r="D13" s="152"/>
      <c r="E13" s="153"/>
      <c r="F13" s="153"/>
      <c r="G13" s="154"/>
      <c r="H13" s="41"/>
      <c r="I13" s="26"/>
      <c r="J13" s="28"/>
      <c r="K13" s="28"/>
      <c r="L13" s="28"/>
      <c r="M13" s="30"/>
    </row>
    <row r="14" spans="1:15" s="2" customFormat="1" ht="14.1" customHeight="1" thickBot="1" x14ac:dyDescent="0.35">
      <c r="A14" s="151"/>
      <c r="B14" s="145"/>
      <c r="C14" s="146"/>
      <c r="D14" s="147"/>
      <c r="E14" s="148"/>
      <c r="F14" s="148"/>
      <c r="G14" s="149"/>
      <c r="H14" s="142"/>
      <c r="I14" s="128"/>
      <c r="J14" s="118"/>
      <c r="K14" s="118"/>
      <c r="L14" s="118"/>
      <c r="M14" s="144"/>
    </row>
    <row r="15" spans="1:15" s="2" customFormat="1" ht="14.1" customHeight="1" thickTop="1" x14ac:dyDescent="0.3">
      <c r="A15" s="150">
        <v>7</v>
      </c>
      <c r="B15" s="66" t="s">
        <v>74</v>
      </c>
      <c r="C15" s="67"/>
      <c r="D15" s="77" t="s">
        <v>165</v>
      </c>
      <c r="E15" s="78"/>
      <c r="F15" s="78"/>
      <c r="G15" s="79"/>
      <c r="H15" s="90">
        <f>SUM(I15)-3</f>
        <v>66.5</v>
      </c>
      <c r="I15" s="44">
        <v>69.5</v>
      </c>
      <c r="J15" s="36">
        <f>SUM(I15)+3</f>
        <v>72.5</v>
      </c>
      <c r="K15" s="36">
        <f>SUM(J15)+3</f>
        <v>75.5</v>
      </c>
      <c r="L15" s="36"/>
      <c r="M15" s="38"/>
      <c r="O15" s="10" t="s">
        <v>173</v>
      </c>
    </row>
    <row r="16" spans="1:15" s="2" customFormat="1" ht="14.1" customHeight="1" x14ac:dyDescent="0.3">
      <c r="A16" s="18"/>
      <c r="B16" s="81" t="s">
        <v>76</v>
      </c>
      <c r="C16" s="82"/>
      <c r="D16" s="83" t="s">
        <v>77</v>
      </c>
      <c r="E16" s="84"/>
      <c r="F16" s="84"/>
      <c r="G16" s="85"/>
      <c r="H16" s="42"/>
      <c r="I16" s="26"/>
      <c r="J16" s="28"/>
      <c r="K16" s="28"/>
      <c r="L16" s="28"/>
      <c r="M16" s="30"/>
      <c r="O16" s="11">
        <f>SUM(H21+H21+I21+I21+J21+J21+K21+K21)</f>
        <v>228.79999999999998</v>
      </c>
    </row>
    <row r="17" spans="1:15" s="2" customFormat="1" ht="14.1" customHeight="1" thickBot="1" x14ac:dyDescent="0.35">
      <c r="A17" s="129">
        <v>8</v>
      </c>
      <c r="B17" s="49" t="s">
        <v>78</v>
      </c>
      <c r="C17" s="50"/>
      <c r="D17" s="45"/>
      <c r="E17" s="46"/>
      <c r="F17" s="46"/>
      <c r="G17" s="47"/>
      <c r="H17" s="41">
        <f>SUM(I17)-0.5</f>
        <v>9</v>
      </c>
      <c r="I17" s="26">
        <v>9.5</v>
      </c>
      <c r="J17" s="28">
        <f>SUM(I17)+0.5</f>
        <v>10</v>
      </c>
      <c r="K17" s="28">
        <f>SUM(J17)+0.5</f>
        <v>10.5</v>
      </c>
      <c r="L17" s="28"/>
      <c r="M17" s="30"/>
      <c r="O17" s="12">
        <f>SUM(O16/91.44/4*1.08)</f>
        <v>0.67559055118110234</v>
      </c>
    </row>
    <row r="18" spans="1:15" s="2" customFormat="1" ht="14.1" customHeight="1" x14ac:dyDescent="0.3">
      <c r="A18" s="18"/>
      <c r="B18" s="81" t="s">
        <v>79</v>
      </c>
      <c r="C18" s="82"/>
      <c r="D18" s="48" t="s">
        <v>171</v>
      </c>
      <c r="E18" s="93"/>
      <c r="F18" s="93"/>
      <c r="G18" s="94"/>
      <c r="H18" s="42"/>
      <c r="I18" s="26"/>
      <c r="J18" s="28"/>
      <c r="K18" s="28"/>
      <c r="L18" s="28"/>
      <c r="M18" s="30"/>
    </row>
    <row r="19" spans="1:15" s="2" customFormat="1" ht="14.1" customHeight="1" x14ac:dyDescent="0.3">
      <c r="A19" s="129">
        <v>9</v>
      </c>
      <c r="B19" s="49" t="s">
        <v>84</v>
      </c>
      <c r="C19" s="50"/>
      <c r="D19" s="45" t="s">
        <v>49</v>
      </c>
      <c r="E19" s="46"/>
      <c r="F19" s="46"/>
      <c r="G19" s="47"/>
      <c r="H19" s="41">
        <f>SUM(I19)-1</f>
        <v>22.4</v>
      </c>
      <c r="I19" s="26">
        <v>23.4</v>
      </c>
      <c r="J19" s="28">
        <f>SUM(I19)+1.5</f>
        <v>24.9</v>
      </c>
      <c r="K19" s="28">
        <f>SUM(J19)+1.5</f>
        <v>26.4</v>
      </c>
      <c r="L19" s="28"/>
      <c r="M19" s="30"/>
    </row>
    <row r="20" spans="1:15" s="2" customFormat="1" ht="14.1" customHeight="1" x14ac:dyDescent="0.3">
      <c r="A20" s="18"/>
      <c r="B20" s="81" t="s">
        <v>85</v>
      </c>
      <c r="C20" s="82"/>
      <c r="D20" s="83" t="s">
        <v>86</v>
      </c>
      <c r="E20" s="84"/>
      <c r="F20" s="84"/>
      <c r="G20" s="85"/>
      <c r="H20" s="42"/>
      <c r="I20" s="26"/>
      <c r="J20" s="28"/>
      <c r="K20" s="28"/>
      <c r="L20" s="28"/>
      <c r="M20" s="30"/>
    </row>
    <row r="21" spans="1:15" s="2" customFormat="1" ht="14.1" customHeight="1" x14ac:dyDescent="0.3">
      <c r="A21" s="129">
        <v>10</v>
      </c>
      <c r="B21" s="49" t="s">
        <v>170</v>
      </c>
      <c r="C21" s="50"/>
      <c r="D21" s="45" t="s">
        <v>88</v>
      </c>
      <c r="E21" s="46"/>
      <c r="F21" s="46"/>
      <c r="G21" s="47"/>
      <c r="H21" s="41">
        <f>SUM(I21)-1.2</f>
        <v>26.8</v>
      </c>
      <c r="I21" s="26">
        <v>28</v>
      </c>
      <c r="J21" s="28">
        <f>SUM(I21)+1.2</f>
        <v>29.2</v>
      </c>
      <c r="K21" s="28">
        <f>SUM(J21)+1.2</f>
        <v>30.4</v>
      </c>
      <c r="L21" s="28"/>
      <c r="M21" s="30"/>
    </row>
    <row r="22" spans="1:15" ht="14.1" customHeight="1" x14ac:dyDescent="0.3">
      <c r="A22" s="18"/>
      <c r="B22" s="81" t="s">
        <v>169</v>
      </c>
      <c r="C22" s="82"/>
      <c r="D22" s="32" t="s">
        <v>90</v>
      </c>
      <c r="E22" s="33"/>
      <c r="F22" s="33"/>
      <c r="G22" s="34"/>
      <c r="H22" s="42"/>
      <c r="I22" s="26"/>
      <c r="J22" s="28"/>
      <c r="K22" s="28"/>
      <c r="L22" s="28"/>
      <c r="M22" s="30"/>
    </row>
    <row r="23" spans="1:15" ht="14.1" customHeight="1" x14ac:dyDescent="0.3">
      <c r="A23" s="129">
        <v>11</v>
      </c>
      <c r="B23" s="49" t="s">
        <v>91</v>
      </c>
      <c r="C23" s="50"/>
      <c r="D23" s="45" t="s">
        <v>92</v>
      </c>
      <c r="E23" s="46"/>
      <c r="F23" s="46"/>
      <c r="G23" s="47"/>
      <c r="H23" s="41">
        <f>SUM(I23)-0.8</f>
        <v>20.599999999999998</v>
      </c>
      <c r="I23" s="26">
        <v>21.4</v>
      </c>
      <c r="J23" s="28">
        <f>SUM(I23)+0.8</f>
        <v>22.2</v>
      </c>
      <c r="K23" s="28">
        <f>SUM(J23)+0.8</f>
        <v>23</v>
      </c>
      <c r="L23" s="28"/>
      <c r="M23" s="30"/>
    </row>
    <row r="24" spans="1:15" ht="14.1" customHeight="1" x14ac:dyDescent="0.3">
      <c r="A24" s="18"/>
      <c r="B24" s="81" t="s">
        <v>93</v>
      </c>
      <c r="C24" s="82"/>
      <c r="D24" s="83" t="s">
        <v>172</v>
      </c>
      <c r="E24" s="84"/>
      <c r="F24" s="84"/>
      <c r="G24" s="85"/>
      <c r="H24" s="42"/>
      <c r="I24" s="26"/>
      <c r="J24" s="28"/>
      <c r="K24" s="28"/>
      <c r="L24" s="28"/>
      <c r="M24" s="30"/>
    </row>
    <row r="25" spans="1:15" ht="14.1" customHeight="1" x14ac:dyDescent="0.3">
      <c r="A25" s="129">
        <v>12</v>
      </c>
      <c r="B25" s="49" t="s">
        <v>95</v>
      </c>
      <c r="C25" s="50"/>
      <c r="D25" s="45" t="s">
        <v>92</v>
      </c>
      <c r="E25" s="46"/>
      <c r="F25" s="46"/>
      <c r="G25" s="47"/>
      <c r="H25" s="41">
        <f>SUM(I25)-1</f>
        <v>22</v>
      </c>
      <c r="I25" s="26">
        <v>23</v>
      </c>
      <c r="J25" s="28">
        <f>SUM(I25)+1</f>
        <v>24</v>
      </c>
      <c r="K25" s="28">
        <f>SUM(J25)+1</f>
        <v>25</v>
      </c>
      <c r="L25" s="36"/>
      <c r="M25" s="38"/>
    </row>
    <row r="26" spans="1:15" ht="14.1" customHeight="1" x14ac:dyDescent="0.3">
      <c r="A26" s="18"/>
      <c r="B26" s="81" t="s">
        <v>96</v>
      </c>
      <c r="C26" s="82"/>
      <c r="D26" s="83" t="s">
        <v>172</v>
      </c>
      <c r="E26" s="84"/>
      <c r="F26" s="84"/>
      <c r="G26" s="85"/>
      <c r="H26" s="42"/>
      <c r="I26" s="26"/>
      <c r="J26" s="28"/>
      <c r="K26" s="28"/>
      <c r="L26" s="28"/>
      <c r="M26" s="30"/>
    </row>
    <row r="27" spans="1:15" ht="14.1" customHeight="1" x14ac:dyDescent="0.3">
      <c r="A27" s="129">
        <v>13</v>
      </c>
      <c r="B27" s="49" t="s">
        <v>97</v>
      </c>
      <c r="C27" s="50"/>
      <c r="D27" s="45" t="s">
        <v>98</v>
      </c>
      <c r="E27" s="46"/>
      <c r="F27" s="46"/>
      <c r="G27" s="47"/>
      <c r="H27" s="41"/>
      <c r="I27" s="26"/>
      <c r="J27" s="28"/>
      <c r="K27" s="28"/>
      <c r="L27" s="28"/>
      <c r="M27" s="30"/>
    </row>
    <row r="28" spans="1:15" ht="14.1" customHeight="1" x14ac:dyDescent="0.3">
      <c r="A28" s="18"/>
      <c r="B28" s="81" t="s">
        <v>99</v>
      </c>
      <c r="C28" s="82"/>
      <c r="D28" s="83" t="s">
        <v>100</v>
      </c>
      <c r="E28" s="84"/>
      <c r="F28" s="84"/>
      <c r="G28" s="85"/>
      <c r="H28" s="42"/>
      <c r="I28" s="26"/>
      <c r="J28" s="28"/>
      <c r="K28" s="28"/>
      <c r="L28" s="28"/>
      <c r="M28" s="30"/>
    </row>
    <row r="29" spans="1:15" ht="14.1" customHeight="1" x14ac:dyDescent="0.3">
      <c r="A29" s="129">
        <v>14</v>
      </c>
      <c r="B29" s="49" t="s">
        <v>101</v>
      </c>
      <c r="C29" s="50"/>
      <c r="D29" s="45" t="s">
        <v>102</v>
      </c>
      <c r="E29" s="46"/>
      <c r="F29" s="46"/>
      <c r="G29" s="47"/>
      <c r="H29" s="41"/>
      <c r="I29" s="26"/>
      <c r="J29" s="28"/>
      <c r="K29" s="28"/>
      <c r="L29" s="35"/>
      <c r="M29" s="54"/>
    </row>
    <row r="30" spans="1:15" ht="14.1" customHeight="1" x14ac:dyDescent="0.3">
      <c r="A30" s="18"/>
      <c r="B30" s="81" t="s">
        <v>103</v>
      </c>
      <c r="C30" s="82"/>
      <c r="D30" s="83" t="s">
        <v>104</v>
      </c>
      <c r="E30" s="84"/>
      <c r="F30" s="84"/>
      <c r="G30" s="85"/>
      <c r="H30" s="42"/>
      <c r="I30" s="26"/>
      <c r="J30" s="28"/>
      <c r="K30" s="28"/>
      <c r="L30" s="36"/>
      <c r="M30" s="55"/>
    </row>
    <row r="31" spans="1:15" ht="14.1" customHeight="1" x14ac:dyDescent="0.3">
      <c r="A31" s="129">
        <v>15</v>
      </c>
      <c r="B31" s="49"/>
      <c r="C31" s="50"/>
      <c r="D31" s="45"/>
      <c r="E31" s="46"/>
      <c r="F31" s="46"/>
      <c r="G31" s="47"/>
      <c r="H31" s="41"/>
      <c r="I31" s="26"/>
      <c r="J31" s="28"/>
      <c r="K31" s="28"/>
      <c r="L31" s="35"/>
      <c r="M31" s="54"/>
    </row>
    <row r="32" spans="1:15" ht="14.1" customHeight="1" x14ac:dyDescent="0.3">
      <c r="A32" s="18"/>
      <c r="B32" s="81"/>
      <c r="C32" s="82"/>
      <c r="D32" s="83"/>
      <c r="E32" s="84"/>
      <c r="F32" s="84"/>
      <c r="G32" s="85"/>
      <c r="H32" s="42"/>
      <c r="I32" s="26"/>
      <c r="J32" s="28"/>
      <c r="K32" s="28"/>
      <c r="L32" s="36"/>
      <c r="M32" s="55"/>
    </row>
    <row r="33" spans="1:13" ht="14.1" customHeight="1" x14ac:dyDescent="0.3">
      <c r="A33" s="129">
        <v>16</v>
      </c>
      <c r="B33" s="49"/>
      <c r="C33" s="50"/>
      <c r="D33" s="45"/>
      <c r="E33" s="46"/>
      <c r="F33" s="46"/>
      <c r="G33" s="47"/>
      <c r="H33" s="41"/>
      <c r="I33" s="26"/>
      <c r="J33" s="28"/>
      <c r="K33" s="28"/>
      <c r="L33" s="36"/>
      <c r="M33" s="55"/>
    </row>
    <row r="34" spans="1:13" ht="14.1" customHeight="1" thickBot="1" x14ac:dyDescent="0.35">
      <c r="A34" s="143"/>
      <c r="B34" s="113"/>
      <c r="C34" s="114"/>
      <c r="D34" s="115"/>
      <c r="E34" s="116"/>
      <c r="F34" s="116"/>
      <c r="G34" s="117"/>
      <c r="H34" s="71"/>
      <c r="I34" s="72"/>
      <c r="J34" s="58"/>
      <c r="K34" s="58"/>
      <c r="L34" s="58"/>
      <c r="M34" s="59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531C-29A1-496D-9E21-D47C3B849C09}">
  <sheetPr>
    <tabColor rgb="FF7030A0"/>
    <pageSetUpPr fitToPage="1"/>
  </sheetPr>
  <dimension ref="A1:N51"/>
  <sheetViews>
    <sheetView zoomScale="110" zoomScaleNormal="110" workbookViewId="0">
      <selection activeCell="P4" sqref="P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32.5</v>
      </c>
      <c r="I3" s="110">
        <v>35.5</v>
      </c>
      <c r="J3" s="111">
        <f>SUM(I3)+3</f>
        <v>38.5</v>
      </c>
      <c r="K3" s="111">
        <f>SUM(J3)+3</f>
        <v>41.5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SUM(I5)-1.4</f>
        <v>30.6</v>
      </c>
      <c r="I5" s="43">
        <v>32</v>
      </c>
      <c r="J5" s="35">
        <f>SUM(I5)+1.4</f>
        <v>33.4</v>
      </c>
      <c r="K5" s="35">
        <f>SUM(J5)+1.4</f>
        <v>34.799999999999997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30</v>
      </c>
      <c r="I7" s="43">
        <v>31.5</v>
      </c>
      <c r="J7" s="35">
        <f>SUM(I7)+1.5</f>
        <v>33</v>
      </c>
      <c r="K7" s="35">
        <f>SUM(J7)+1.5</f>
        <v>34.5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30</v>
      </c>
      <c r="I9" s="43">
        <v>31.5</v>
      </c>
      <c r="J9" s="35">
        <f>SUM(I9)+1.5</f>
        <v>33</v>
      </c>
      <c r="K9" s="35">
        <f>SUM(J9)+1.5</f>
        <v>34.5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SUM(I11)-0.8</f>
        <v>12.399999999999999</v>
      </c>
      <c r="I11" s="43">
        <v>13.2</v>
      </c>
      <c r="J11" s="35">
        <f t="shared" ref="J11" si="0">SUM(I11)+0.8</f>
        <v>14</v>
      </c>
      <c r="K11" s="35">
        <f>SUM(J11)+0.9</f>
        <v>14.9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14</v>
      </c>
      <c r="I13" s="43">
        <v>14.5</v>
      </c>
      <c r="J13" s="35">
        <f>SUM(I13)+0.5</f>
        <v>15</v>
      </c>
      <c r="K13" s="35">
        <f>SUM(J13)+0.5</f>
        <v>15.5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6.2</v>
      </c>
      <c r="I15" s="43">
        <v>6.5</v>
      </c>
      <c r="J15" s="35">
        <f>SUM(I15)+0.3</f>
        <v>6.8</v>
      </c>
      <c r="K15" s="35">
        <f>SUM(J15)+0.3</f>
        <v>7.1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36.6</v>
      </c>
      <c r="I17" s="43">
        <v>38</v>
      </c>
      <c r="J17" s="35">
        <f>SUM(I17)+1.4</f>
        <v>39.4</v>
      </c>
      <c r="K17" s="35">
        <f>SUM(J17)+1.4</f>
        <v>40.799999999999997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SUM(I19)-1.3</f>
        <v>7.7</v>
      </c>
      <c r="I19" s="43">
        <v>9</v>
      </c>
      <c r="J19" s="35">
        <f>SUM(I19)+1.3</f>
        <v>10.3</v>
      </c>
      <c r="K19" s="35">
        <f>SUM(J19)+1.3</f>
        <v>11.600000000000001</v>
      </c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23.8</v>
      </c>
      <c r="I23" s="43">
        <v>25</v>
      </c>
      <c r="J23" s="35">
        <f>SUM(I23)+1.2</f>
        <v>26.2</v>
      </c>
      <c r="K23" s="35">
        <f>SUM(J23)+1.2</f>
        <v>27.4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13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SUM(I25)-0.2</f>
        <v>2.8</v>
      </c>
      <c r="I25" s="43">
        <v>3</v>
      </c>
      <c r="J25" s="35">
        <f>SUM(I25)+0.2</f>
        <v>3.2</v>
      </c>
      <c r="K25" s="35">
        <f>SUM(J25)+0.2</f>
        <v>3.4000000000000004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52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8">
        <v>14</v>
      </c>
      <c r="B27" s="66"/>
      <c r="C27" s="67"/>
      <c r="D27" s="68"/>
      <c r="E27" s="69"/>
      <c r="F27" s="69"/>
      <c r="G27" s="70"/>
      <c r="H27" s="41"/>
      <c r="I27" s="43"/>
      <c r="J27" s="35"/>
      <c r="K27" s="35"/>
      <c r="L27" s="35"/>
      <c r="M27" s="37"/>
    </row>
    <row r="28" spans="1:13" s="2" customFormat="1" ht="14.1" customHeight="1" thickBot="1" x14ac:dyDescent="0.35">
      <c r="A28" s="65"/>
      <c r="B28" s="60"/>
      <c r="C28" s="61"/>
      <c r="D28" s="62"/>
      <c r="E28" s="63"/>
      <c r="F28" s="63"/>
      <c r="G28" s="64"/>
      <c r="H28" s="71"/>
      <c r="I28" s="88"/>
      <c r="J28" s="74"/>
      <c r="K28" s="74"/>
      <c r="L28" s="74"/>
      <c r="M28" s="8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7D5-A89E-4C93-A2A7-C7453CC9AC2C}">
  <sheetPr>
    <tabColor rgb="FF7030A0"/>
    <pageSetUpPr fitToPage="1"/>
  </sheetPr>
  <dimension ref="A1:N51"/>
  <sheetViews>
    <sheetView zoomScale="110" zoomScaleNormal="110" workbookViewId="0">
      <selection activeCell="O17" sqref="O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30.799999999999997</v>
      </c>
      <c r="I3" s="110">
        <v>33.799999999999997</v>
      </c>
      <c r="J3" s="111">
        <f>SUM(I3)+3</f>
        <v>36.799999999999997</v>
      </c>
      <c r="K3" s="111">
        <f>SUM(J3)+3</f>
        <v>39.799999999999997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21.3</v>
      </c>
      <c r="I5" s="43">
        <v>22.5</v>
      </c>
      <c r="J5" s="35">
        <f>SUM(I5)+1.2</f>
        <v>23.7</v>
      </c>
      <c r="K5" s="35">
        <f>SUM(J5)+1.2</f>
        <v>24.9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28.5</v>
      </c>
      <c r="I7" s="43">
        <v>30</v>
      </c>
      <c r="J7" s="35">
        <f>SUM(I7)+1.5</f>
        <v>31.5</v>
      </c>
      <c r="K7" s="35">
        <f>SUM(J7)+1.5</f>
        <v>33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28.5</v>
      </c>
      <c r="I9" s="43">
        <v>30</v>
      </c>
      <c r="J9" s="35">
        <f>SUM(I9)+1.5</f>
        <v>31.5</v>
      </c>
      <c r="K9" s="35">
        <f>SUM(J9)+1.5</f>
        <v>33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SUM(I11)-0.9</f>
        <v>12.799999999999999</v>
      </c>
      <c r="I11" s="43">
        <v>13.7</v>
      </c>
      <c r="J11" s="35">
        <f>SUM(I11)+0.9</f>
        <v>14.6</v>
      </c>
      <c r="K11" s="35">
        <f>SUM(J11)+0.9</f>
        <v>15.5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13.9</v>
      </c>
      <c r="I13" s="43">
        <v>14.4</v>
      </c>
      <c r="J13" s="35">
        <f>SUM(I13)+0.5</f>
        <v>14.9</v>
      </c>
      <c r="K13" s="35">
        <f>SUM(J13)+0.5</f>
        <v>15.4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6.1000000000000005</v>
      </c>
      <c r="I15" s="43">
        <v>6.4</v>
      </c>
      <c r="J15" s="35">
        <f>SUM(I15)+0.3</f>
        <v>6.7</v>
      </c>
      <c r="K15" s="35">
        <f>SUM(J15)+0.3</f>
        <v>7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36.300000000000004</v>
      </c>
      <c r="I17" s="43">
        <v>37.700000000000003</v>
      </c>
      <c r="J17" s="35">
        <f>SUM(I17)+1.4</f>
        <v>39.1</v>
      </c>
      <c r="K17" s="35">
        <f>SUM(J17)+1.4</f>
        <v>40.5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SUM(I19)-1.4</f>
        <v>11.1</v>
      </c>
      <c r="I19" s="43">
        <v>12.5</v>
      </c>
      <c r="J19" s="35">
        <f>SUM(I19)+1.4</f>
        <v>13.9</v>
      </c>
      <c r="K19" s="35">
        <f>SUM(J19)+1.4</f>
        <v>15.3</v>
      </c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20.8</v>
      </c>
      <c r="I23" s="43">
        <v>22</v>
      </c>
      <c r="J23" s="35">
        <f>SUM(I23)+1.2</f>
        <v>23.2</v>
      </c>
      <c r="K23" s="35">
        <f>SUM(J23)+1.2</f>
        <v>24.4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13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SUM(I25)-0.3</f>
        <v>2.7</v>
      </c>
      <c r="I25" s="43">
        <v>3</v>
      </c>
      <c r="J25" s="35">
        <f>SUM(I25)+0.3</f>
        <v>3.3</v>
      </c>
      <c r="K25" s="35">
        <f>SUM(J25)+0.3</f>
        <v>3.5999999999999996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52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8">
        <v>14</v>
      </c>
      <c r="B27" s="66"/>
      <c r="C27" s="67"/>
      <c r="D27" s="68"/>
      <c r="E27" s="69"/>
      <c r="F27" s="69"/>
      <c r="G27" s="70"/>
      <c r="H27" s="41"/>
      <c r="I27" s="43"/>
      <c r="J27" s="35"/>
      <c r="K27" s="35"/>
      <c r="L27" s="35"/>
      <c r="M27" s="37"/>
    </row>
    <row r="28" spans="1:13" s="2" customFormat="1" ht="14.1" customHeight="1" thickBot="1" x14ac:dyDescent="0.35">
      <c r="A28" s="65"/>
      <c r="B28" s="60"/>
      <c r="C28" s="61"/>
      <c r="D28" s="62"/>
      <c r="E28" s="63"/>
      <c r="F28" s="63"/>
      <c r="G28" s="64"/>
      <c r="H28" s="71"/>
      <c r="I28" s="88"/>
      <c r="J28" s="74"/>
      <c r="K28" s="74"/>
      <c r="L28" s="74"/>
      <c r="M28" s="8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D909-3D40-4368-9DC9-0610C305C37F}">
  <sheetPr>
    <tabColor rgb="FF7030A0"/>
    <pageSetUpPr fitToPage="1"/>
  </sheetPr>
  <dimension ref="A1:N51"/>
  <sheetViews>
    <sheetView zoomScale="110" zoomScaleNormal="110" workbookViewId="0">
      <selection activeCell="P17" sqref="P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32.200000000000003</v>
      </c>
      <c r="I3" s="110">
        <v>35.200000000000003</v>
      </c>
      <c r="J3" s="111">
        <f>SUM(I3)+3</f>
        <v>38.200000000000003</v>
      </c>
      <c r="K3" s="111">
        <f>SUM(J3)+3</f>
        <v>41.2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SUM(I5)-1.4</f>
        <v>26.1</v>
      </c>
      <c r="I5" s="43">
        <v>27.5</v>
      </c>
      <c r="J5" s="35">
        <f>SUM(I5)+1.4</f>
        <v>28.9</v>
      </c>
      <c r="K5" s="35">
        <f>SUM(J5)+1.4</f>
        <v>30.299999999999997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30.5</v>
      </c>
      <c r="I7" s="43">
        <v>32</v>
      </c>
      <c r="J7" s="35">
        <f>SUM(I7)+1.5</f>
        <v>33.5</v>
      </c>
      <c r="K7" s="35">
        <f>SUM(J7)+1.5</f>
        <v>35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30.5</v>
      </c>
      <c r="I9" s="43">
        <v>32</v>
      </c>
      <c r="J9" s="35">
        <f>SUM(I9)+1.5</f>
        <v>33.5</v>
      </c>
      <c r="K9" s="35">
        <f>SUM(J9)+1.5</f>
        <v>35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SUM(I11)-0.8</f>
        <v>13.399999999999999</v>
      </c>
      <c r="I11" s="43">
        <v>14.2</v>
      </c>
      <c r="J11" s="35">
        <f t="shared" ref="J11" si="0">SUM(I11)+0.8</f>
        <v>15</v>
      </c>
      <c r="K11" s="35">
        <f>SUM(J11)+0.9</f>
        <v>15.9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12.5</v>
      </c>
      <c r="I13" s="43">
        <v>13</v>
      </c>
      <c r="J13" s="35">
        <f>SUM(I13)+0.5</f>
        <v>13.5</v>
      </c>
      <c r="K13" s="35">
        <f>SUM(J13)+0.5</f>
        <v>14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6.2</v>
      </c>
      <c r="I15" s="43">
        <v>6.5</v>
      </c>
      <c r="J15" s="35">
        <f>SUM(I15)+0.3</f>
        <v>6.8</v>
      </c>
      <c r="K15" s="35">
        <f>SUM(J15)+0.3</f>
        <v>7.1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37.6</v>
      </c>
      <c r="I17" s="43">
        <v>39</v>
      </c>
      <c r="J17" s="35">
        <f>SUM(I17)+1.4</f>
        <v>40.4</v>
      </c>
      <c r="K17" s="35">
        <f>SUM(J17)+1.4</f>
        <v>41.8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SUM(I19)-1.3</f>
        <v>8.6</v>
      </c>
      <c r="I19" s="43">
        <v>9.9</v>
      </c>
      <c r="J19" s="35">
        <f>SUM(I19)+1.3</f>
        <v>11.200000000000001</v>
      </c>
      <c r="K19" s="35">
        <f>SUM(J19)+1.3</f>
        <v>12.500000000000002</v>
      </c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23.8</v>
      </c>
      <c r="I23" s="43">
        <v>25</v>
      </c>
      <c r="J23" s="35">
        <f>SUM(I23)+1.2</f>
        <v>26.2</v>
      </c>
      <c r="K23" s="35">
        <f>SUM(J23)+1.2</f>
        <v>27.4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13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SUM(I25)-0.3</f>
        <v>4.2</v>
      </c>
      <c r="I25" s="43">
        <v>4.5</v>
      </c>
      <c r="J25" s="35">
        <f>SUM(I25)+0.3</f>
        <v>4.8</v>
      </c>
      <c r="K25" s="35">
        <f>SUM(J25)+0.3</f>
        <v>5.0999999999999996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52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8">
        <v>14</v>
      </c>
      <c r="B27" s="66"/>
      <c r="C27" s="67"/>
      <c r="D27" s="68"/>
      <c r="E27" s="69"/>
      <c r="F27" s="69"/>
      <c r="G27" s="70"/>
      <c r="H27" s="41"/>
      <c r="I27" s="43"/>
      <c r="J27" s="35"/>
      <c r="K27" s="35"/>
      <c r="L27" s="35"/>
      <c r="M27" s="37"/>
    </row>
    <row r="28" spans="1:13" s="2" customFormat="1" ht="14.1" customHeight="1" thickBot="1" x14ac:dyDescent="0.35">
      <c r="A28" s="65"/>
      <c r="B28" s="60"/>
      <c r="C28" s="61"/>
      <c r="D28" s="62"/>
      <c r="E28" s="63"/>
      <c r="F28" s="63"/>
      <c r="G28" s="64"/>
      <c r="H28" s="71"/>
      <c r="I28" s="88"/>
      <c r="J28" s="74"/>
      <c r="K28" s="74"/>
      <c r="L28" s="74"/>
      <c r="M28" s="8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A834-D5DD-409C-AB6A-A308EC436AE9}">
  <sheetPr>
    <tabColor rgb="FF7030A0"/>
    <pageSetUpPr fitToPage="1"/>
  </sheetPr>
  <dimension ref="A1:N51"/>
  <sheetViews>
    <sheetView zoomScale="110" zoomScaleNormal="110" workbookViewId="0">
      <selection activeCell="P21" sqref="P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31.4</v>
      </c>
      <c r="I3" s="110">
        <v>34.4</v>
      </c>
      <c r="J3" s="111">
        <f>SUM(I3)+3</f>
        <v>37.4</v>
      </c>
      <c r="K3" s="111">
        <f>SUM(J3)+3</f>
        <v>40.4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18.8</v>
      </c>
      <c r="I5" s="43">
        <v>20</v>
      </c>
      <c r="J5" s="35">
        <f>SUM(I5)+1.2</f>
        <v>21.2</v>
      </c>
      <c r="K5" s="35">
        <f>SUM(J5)+1.2</f>
        <v>22.4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27.5</v>
      </c>
      <c r="I7" s="43">
        <v>29</v>
      </c>
      <c r="J7" s="35">
        <f>SUM(I7)+1.5</f>
        <v>30.5</v>
      </c>
      <c r="K7" s="35">
        <f>SUM(J7)+1.5</f>
        <v>32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/>
      <c r="I9" s="43"/>
      <c r="J9" s="35"/>
      <c r="K9" s="35"/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SUM(I11)-0.9</f>
        <v>12.6</v>
      </c>
      <c r="I11" s="43">
        <v>13.5</v>
      </c>
      <c r="J11" s="35">
        <f t="shared" ref="J11" si="0">SUM(I11)+0.8</f>
        <v>14.3</v>
      </c>
      <c r="K11" s="35">
        <f>SUM(J11)+0.9</f>
        <v>15.200000000000001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11.8</v>
      </c>
      <c r="I13" s="43">
        <v>12.3</v>
      </c>
      <c r="J13" s="35">
        <f>SUM(I13)+0.5</f>
        <v>12.8</v>
      </c>
      <c r="K13" s="35">
        <f>SUM(J13)+0.5</f>
        <v>13.3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5.7</v>
      </c>
      <c r="I15" s="43">
        <v>6</v>
      </c>
      <c r="J15" s="35">
        <f>SUM(I15)+0.3</f>
        <v>6.3</v>
      </c>
      <c r="K15" s="35">
        <f>SUM(J15)+0.3</f>
        <v>6.6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35.6</v>
      </c>
      <c r="I17" s="43">
        <v>37</v>
      </c>
      <c r="J17" s="35">
        <f>SUM(I17)+1.4</f>
        <v>38.4</v>
      </c>
      <c r="K17" s="35">
        <f>SUM(J17)+1.4</f>
        <v>39.799999999999997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SUM(I19)-0.9</f>
        <v>9.1</v>
      </c>
      <c r="I19" s="43">
        <v>10</v>
      </c>
      <c r="J19" s="35">
        <f>SUM(I19)+0.9</f>
        <v>10.9</v>
      </c>
      <c r="K19" s="35">
        <f>SUM(J19)+0.9</f>
        <v>11.8</v>
      </c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19.8</v>
      </c>
      <c r="I23" s="43">
        <v>21</v>
      </c>
      <c r="J23" s="35">
        <f>SUM(I23)+1.2</f>
        <v>22.2</v>
      </c>
      <c r="K23" s="35">
        <f>SUM(J23)+1.2</f>
        <v>23.4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12</v>
      </c>
      <c r="B25" s="49" t="s">
        <v>57</v>
      </c>
      <c r="C25" s="50"/>
      <c r="D25" s="68"/>
      <c r="E25" s="69"/>
      <c r="F25" s="69"/>
      <c r="G25" s="70"/>
      <c r="H25" s="41">
        <f>SUM(I25)-0.6</f>
        <v>7.4</v>
      </c>
      <c r="I25" s="43">
        <v>8</v>
      </c>
      <c r="J25" s="35">
        <f>SUM(I25)+0.6</f>
        <v>8.6</v>
      </c>
      <c r="K25" s="35">
        <f>SUM(J25)+0.6</f>
        <v>9.1999999999999993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148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9">
        <v>13</v>
      </c>
      <c r="B27" s="66" t="s">
        <v>59</v>
      </c>
      <c r="C27" s="67"/>
      <c r="D27" s="68"/>
      <c r="E27" s="69"/>
      <c r="F27" s="69"/>
      <c r="G27" s="70"/>
      <c r="H27" s="41">
        <f>SUM(I27)-0.3</f>
        <v>3.2</v>
      </c>
      <c r="I27" s="43">
        <v>3.5</v>
      </c>
      <c r="J27" s="35">
        <f>SUM(I27)+0.3</f>
        <v>3.8</v>
      </c>
      <c r="K27" s="35">
        <f>SUM(J27)+0.3</f>
        <v>4.0999999999999996</v>
      </c>
      <c r="L27" s="35"/>
      <c r="M27" s="37"/>
    </row>
    <row r="28" spans="1:13" s="2" customFormat="1" ht="14.1" customHeight="1" x14ac:dyDescent="0.3">
      <c r="A28" s="19"/>
      <c r="B28" s="66" t="s">
        <v>60</v>
      </c>
      <c r="C28" s="67"/>
      <c r="D28" s="77" t="s">
        <v>149</v>
      </c>
      <c r="E28" s="78"/>
      <c r="F28" s="78"/>
      <c r="G28" s="79"/>
      <c r="H28" s="90"/>
      <c r="I28" s="100"/>
      <c r="J28" s="95"/>
      <c r="K28" s="95"/>
      <c r="L28" s="95"/>
      <c r="M28" s="96"/>
    </row>
    <row r="29" spans="1:13" ht="14.1" customHeight="1" x14ac:dyDescent="0.3">
      <c r="A29" s="19">
        <v>14</v>
      </c>
      <c r="B29" s="49" t="s">
        <v>242</v>
      </c>
      <c r="C29" s="50"/>
      <c r="D29" s="152"/>
      <c r="E29" s="153"/>
      <c r="F29" s="153"/>
      <c r="G29" s="154"/>
      <c r="H29" s="41">
        <f>SUM(I29)-0.7</f>
        <v>7.7</v>
      </c>
      <c r="I29" s="43">
        <v>8.4</v>
      </c>
      <c r="J29" s="35">
        <f>SUM(I29)+0.7</f>
        <v>9.1</v>
      </c>
      <c r="K29" s="35">
        <f>SUM(J29)+0.7</f>
        <v>9.7999999999999989</v>
      </c>
      <c r="L29" s="35"/>
      <c r="M29" s="37"/>
    </row>
    <row r="30" spans="1:13" ht="14.1" customHeight="1" x14ac:dyDescent="0.3">
      <c r="A30" s="19"/>
      <c r="B30" s="169" t="s">
        <v>243</v>
      </c>
      <c r="C30" s="170"/>
      <c r="D30" s="155" t="s">
        <v>241</v>
      </c>
      <c r="E30" s="156"/>
      <c r="F30" s="156"/>
      <c r="G30" s="157"/>
      <c r="H30" s="90"/>
      <c r="I30" s="100"/>
      <c r="J30" s="95"/>
      <c r="K30" s="95"/>
      <c r="L30" s="95"/>
      <c r="M30" s="96"/>
    </row>
    <row r="31" spans="1:13" ht="14.1" customHeight="1" x14ac:dyDescent="0.3">
      <c r="A31" s="19">
        <v>15</v>
      </c>
      <c r="B31" s="49" t="s">
        <v>245</v>
      </c>
      <c r="C31" s="50"/>
      <c r="D31" s="152"/>
      <c r="E31" s="153"/>
      <c r="F31" s="153"/>
      <c r="G31" s="154"/>
      <c r="H31" s="41">
        <f>SUM(I31)-0.8</f>
        <v>8.6</v>
      </c>
      <c r="I31" s="43">
        <v>9.4</v>
      </c>
      <c r="J31" s="35">
        <f>SUM(I31)+0.8</f>
        <v>10.200000000000001</v>
      </c>
      <c r="K31" s="35">
        <f>SUM(J31)+0.8</f>
        <v>11.000000000000002</v>
      </c>
      <c r="L31" s="35"/>
      <c r="M31" s="37"/>
    </row>
    <row r="32" spans="1:13" ht="14.1" customHeight="1" thickBot="1" x14ac:dyDescent="0.35">
      <c r="A32" s="65"/>
      <c r="B32" s="113" t="s">
        <v>244</v>
      </c>
      <c r="C32" s="114"/>
      <c r="D32" s="166" t="s">
        <v>241</v>
      </c>
      <c r="E32" s="167"/>
      <c r="F32" s="167"/>
      <c r="G32" s="168"/>
      <c r="H32" s="71"/>
      <c r="I32" s="88"/>
      <c r="J32" s="74"/>
      <c r="K32" s="74"/>
      <c r="L32" s="74"/>
      <c r="M32" s="80"/>
    </row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932E-381D-4FF7-A755-AD568C965FC2}">
  <sheetPr>
    <tabColor rgb="FF7030A0"/>
    <pageSetUpPr fitToPage="1"/>
  </sheetPr>
  <dimension ref="A1:N51"/>
  <sheetViews>
    <sheetView zoomScale="110" zoomScaleNormal="110" workbookViewId="0">
      <selection activeCell="K25" sqref="K25:K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31</v>
      </c>
      <c r="I3" s="110">
        <v>34</v>
      </c>
      <c r="J3" s="111">
        <f>SUM(I3)+3</f>
        <v>37</v>
      </c>
      <c r="K3" s="111">
        <f>SUM(J3)+3</f>
        <v>40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22.2</v>
      </c>
      <c r="I5" s="43">
        <v>23.4</v>
      </c>
      <c r="J5" s="35">
        <f>SUM(I5)+1.2</f>
        <v>24.599999999999998</v>
      </c>
      <c r="K5" s="35">
        <f>SUM(J5)+1.2</f>
        <v>25.799999999999997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27.1</v>
      </c>
      <c r="I7" s="43">
        <v>28.6</v>
      </c>
      <c r="J7" s="35">
        <f>SUM(I7)+1.5</f>
        <v>30.1</v>
      </c>
      <c r="K7" s="35">
        <f>SUM(J7)+1.5</f>
        <v>31.6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SUM(I9)-1.6</f>
        <v>28</v>
      </c>
      <c r="I9" s="43">
        <v>29.6</v>
      </c>
      <c r="J9" s="35">
        <f>SUM(I9)+1.6</f>
        <v>31.200000000000003</v>
      </c>
      <c r="K9" s="35">
        <f>SUM(J9)+1.6</f>
        <v>32.800000000000004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SUM(I11)-0.8</f>
        <v>11.799999999999999</v>
      </c>
      <c r="I11" s="43">
        <v>12.6</v>
      </c>
      <c r="J11" s="35">
        <f t="shared" ref="J11:K11" si="0">SUM(I11)+0.8</f>
        <v>13.4</v>
      </c>
      <c r="K11" s="35">
        <f t="shared" si="0"/>
        <v>14.200000000000001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12.5</v>
      </c>
      <c r="I13" s="43">
        <v>13</v>
      </c>
      <c r="J13" s="35">
        <f>SUM(I13)+0.5</f>
        <v>13.5</v>
      </c>
      <c r="K13" s="35">
        <f>SUM(J13)+0.5</f>
        <v>14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5.1000000000000005</v>
      </c>
      <c r="I15" s="43">
        <v>5.4</v>
      </c>
      <c r="J15" s="35">
        <f>SUM(I15)+0.3</f>
        <v>5.7</v>
      </c>
      <c r="K15" s="35">
        <f>SUM(J15)+0.3</f>
        <v>6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35.6</v>
      </c>
      <c r="I17" s="43">
        <v>37</v>
      </c>
      <c r="J17" s="35">
        <f>SUM(I17)+1.4</f>
        <v>38.4</v>
      </c>
      <c r="K17" s="35">
        <f>SUM(J17)+1.4</f>
        <v>39.799999999999997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213</v>
      </c>
      <c r="C19" s="39"/>
      <c r="D19" s="40" t="s">
        <v>6</v>
      </c>
      <c r="E19" s="40"/>
      <c r="F19" s="40"/>
      <c r="G19" s="40"/>
      <c r="H19" s="41">
        <f>SUM(I19)-0.2</f>
        <v>3.8</v>
      </c>
      <c r="I19" s="43">
        <v>4</v>
      </c>
      <c r="J19" s="35">
        <f>SUM(I19)+0.2</f>
        <v>4.2</v>
      </c>
      <c r="K19" s="35">
        <f>SUM(J19)+0.2</f>
        <v>4.4000000000000004</v>
      </c>
      <c r="L19" s="35"/>
      <c r="M19" s="37"/>
    </row>
    <row r="20" spans="1:13" s="2" customFormat="1" ht="14.1" customHeight="1" x14ac:dyDescent="0.3">
      <c r="A20" s="19"/>
      <c r="B20" s="31" t="s">
        <v>214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/>
      <c r="I23" s="43"/>
      <c r="J23" s="35"/>
      <c r="K23" s="35"/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12</v>
      </c>
      <c r="B25" s="49" t="s">
        <v>215</v>
      </c>
      <c r="C25" s="50"/>
      <c r="D25" s="51"/>
      <c r="E25" s="52"/>
      <c r="F25" s="52"/>
      <c r="G25" s="53"/>
      <c r="H25" s="41">
        <f>SUM(I25)-0.2</f>
        <v>4.8</v>
      </c>
      <c r="I25" s="43">
        <v>5</v>
      </c>
      <c r="J25" s="35">
        <f>SUM(I25)+0.2</f>
        <v>5.2</v>
      </c>
      <c r="K25" s="35">
        <f>SUM(J25)+0.2</f>
        <v>5.4</v>
      </c>
      <c r="L25" s="39"/>
      <c r="M25" s="37"/>
    </row>
    <row r="26" spans="1:13" s="2" customFormat="1" ht="14.1" customHeight="1" x14ac:dyDescent="0.3">
      <c r="A26" s="19"/>
      <c r="B26" s="56" t="s">
        <v>216</v>
      </c>
      <c r="C26" s="57"/>
      <c r="D26" s="32"/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9">
        <v>13</v>
      </c>
      <c r="B27" s="49" t="s">
        <v>57</v>
      </c>
      <c r="C27" s="50"/>
      <c r="D27" s="51" t="s">
        <v>53</v>
      </c>
      <c r="E27" s="52"/>
      <c r="F27" s="52"/>
      <c r="G27" s="53"/>
      <c r="H27" s="41">
        <f>SUM(I27)-0.3</f>
        <v>3.7</v>
      </c>
      <c r="I27" s="43">
        <v>4</v>
      </c>
      <c r="J27" s="35">
        <f>SUM(I27)+0.3</f>
        <v>4.3</v>
      </c>
      <c r="K27" s="35">
        <f>SUM(J27)+0.3</f>
        <v>4.5999999999999996</v>
      </c>
      <c r="L27" s="39"/>
      <c r="M27" s="37"/>
    </row>
    <row r="28" spans="1:13" s="2" customFormat="1" ht="14.1" customHeight="1" x14ac:dyDescent="0.3">
      <c r="A28" s="19"/>
      <c r="B28" s="56" t="s">
        <v>58</v>
      </c>
      <c r="C28" s="57"/>
      <c r="D28" s="32" t="s">
        <v>52</v>
      </c>
      <c r="E28" s="33"/>
      <c r="F28" s="33"/>
      <c r="G28" s="34"/>
      <c r="H28" s="42"/>
      <c r="I28" s="44"/>
      <c r="J28" s="36"/>
      <c r="K28" s="36"/>
      <c r="L28" s="31"/>
      <c r="M28" s="38"/>
    </row>
    <row r="29" spans="1:13" ht="14.1" customHeight="1" x14ac:dyDescent="0.3">
      <c r="A29" s="18">
        <v>14</v>
      </c>
      <c r="B29" s="66"/>
      <c r="C29" s="67"/>
      <c r="D29" s="68"/>
      <c r="E29" s="69"/>
      <c r="F29" s="69"/>
      <c r="G29" s="70"/>
      <c r="H29" s="41"/>
      <c r="I29" s="43"/>
      <c r="J29" s="35"/>
      <c r="K29" s="35"/>
      <c r="L29" s="35"/>
      <c r="M29" s="37"/>
    </row>
    <row r="30" spans="1:13" ht="14.1" customHeight="1" thickBot="1" x14ac:dyDescent="0.35">
      <c r="A30" s="65"/>
      <c r="B30" s="60"/>
      <c r="C30" s="61"/>
      <c r="D30" s="62"/>
      <c r="E30" s="63"/>
      <c r="F30" s="63"/>
      <c r="G30" s="64"/>
      <c r="H30" s="71"/>
      <c r="I30" s="88"/>
      <c r="J30" s="74"/>
      <c r="K30" s="74"/>
      <c r="L30" s="74"/>
      <c r="M30" s="80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/>
    <row r="35" spans="2:7" ht="14.1" customHeight="1" x14ac:dyDescent="0.3"/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>
      <c r="B38" s="1"/>
      <c r="C38" s="1"/>
      <c r="D38" s="1"/>
      <c r="E38" s="1"/>
      <c r="F38" s="1"/>
      <c r="G38" s="1"/>
    </row>
    <row r="39" spans="2:7" ht="14.1" customHeight="1" x14ac:dyDescent="0.3">
      <c r="B39" s="1"/>
      <c r="C39" s="1"/>
      <c r="D39" s="1"/>
      <c r="E39" s="1"/>
      <c r="F39" s="1"/>
      <c r="G39" s="1"/>
    </row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A27:A28"/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J25:J26"/>
    <mergeCell ref="K27:K28"/>
    <mergeCell ref="L27:L28"/>
    <mergeCell ref="M27:M28"/>
    <mergeCell ref="B28:C28"/>
    <mergeCell ref="D28:G28"/>
    <mergeCell ref="B27:C27"/>
    <mergeCell ref="D27:G27"/>
    <mergeCell ref="H27:H28"/>
    <mergeCell ref="I27:I28"/>
    <mergeCell ref="J27:J2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F7A0-5BAF-4DD7-A637-27DCAA709AB0}">
  <sheetPr>
    <tabColor rgb="FF7030A0"/>
    <pageSetUpPr fitToPage="1"/>
  </sheetPr>
  <dimension ref="A1:N51"/>
  <sheetViews>
    <sheetView zoomScale="110" zoomScaleNormal="110" workbookViewId="0">
      <selection activeCell="P14" sqref="P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31.299999999999997</v>
      </c>
      <c r="I3" s="110">
        <v>34.299999999999997</v>
      </c>
      <c r="J3" s="111">
        <f>SUM(I3)+3</f>
        <v>37.299999999999997</v>
      </c>
      <c r="K3" s="111">
        <f>SUM(J3)+3</f>
        <v>40.299999999999997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20.7</v>
      </c>
      <c r="I5" s="43">
        <v>21.9</v>
      </c>
      <c r="J5" s="35">
        <f>SUM(I5)+1.2</f>
        <v>23.099999999999998</v>
      </c>
      <c r="K5" s="35">
        <f>SUM(J5)+1.2</f>
        <v>24.299999999999997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28.5</v>
      </c>
      <c r="I7" s="43">
        <v>30</v>
      </c>
      <c r="J7" s="35">
        <f>SUM(I7)+1.5</f>
        <v>31.5</v>
      </c>
      <c r="K7" s="35">
        <f>SUM(J7)+1.5</f>
        <v>33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28.5</v>
      </c>
      <c r="I9" s="43">
        <v>30</v>
      </c>
      <c r="J9" s="35">
        <f>SUM(I9)+1.5</f>
        <v>31.5</v>
      </c>
      <c r="K9" s="35">
        <f>SUM(J9)+1.5</f>
        <v>33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SUM(I11)-0.9</f>
        <v>12.1</v>
      </c>
      <c r="I11" s="43">
        <v>13</v>
      </c>
      <c r="J11" s="35">
        <f>SUM(I11)+0.9</f>
        <v>13.9</v>
      </c>
      <c r="K11" s="35">
        <f>SUM(J11)+0.9</f>
        <v>14.8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10.5</v>
      </c>
      <c r="I13" s="43">
        <v>11</v>
      </c>
      <c r="J13" s="35">
        <f>SUM(I13)+0.5</f>
        <v>11.5</v>
      </c>
      <c r="K13" s="35">
        <f>SUM(J13)+0.5</f>
        <v>12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6</v>
      </c>
      <c r="I15" s="43">
        <v>6.3</v>
      </c>
      <c r="J15" s="35">
        <f>SUM(I15)+0.3</f>
        <v>6.6</v>
      </c>
      <c r="K15" s="35">
        <f>SUM(J15)+0.3</f>
        <v>6.8999999999999995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33.700000000000003</v>
      </c>
      <c r="I17" s="43">
        <v>35.1</v>
      </c>
      <c r="J17" s="35">
        <f>SUM(I17)+1.4</f>
        <v>36.5</v>
      </c>
      <c r="K17" s="35">
        <f>SUM(J17)+1.4</f>
        <v>37.9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>
        <f>SUM(I19)-1.4</f>
        <v>9.7999999999999989</v>
      </c>
      <c r="I19" s="43">
        <v>11.2</v>
      </c>
      <c r="J19" s="35">
        <f>SUM(I19)+1.4</f>
        <v>12.6</v>
      </c>
      <c r="K19" s="35">
        <f>SUM(J19)+1.4</f>
        <v>14</v>
      </c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20.8</v>
      </c>
      <c r="I23" s="43">
        <v>22</v>
      </c>
      <c r="J23" s="35">
        <f>SUM(I23)+1.2</f>
        <v>23.2</v>
      </c>
      <c r="K23" s="35">
        <f>SUM(J23)+1.2</f>
        <v>24.4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13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SUM(I25)-0.4</f>
        <v>4.0999999999999996</v>
      </c>
      <c r="I25" s="43">
        <v>4.5</v>
      </c>
      <c r="J25" s="35">
        <f>SUM(I25)+0.4</f>
        <v>4.9000000000000004</v>
      </c>
      <c r="K25" s="35">
        <f>SUM(J25)+0.4</f>
        <v>5.3000000000000007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52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8">
        <v>14</v>
      </c>
      <c r="B27" s="66"/>
      <c r="C27" s="67"/>
      <c r="D27" s="68"/>
      <c r="E27" s="69"/>
      <c r="F27" s="69"/>
      <c r="G27" s="70"/>
      <c r="H27" s="41"/>
      <c r="I27" s="43"/>
      <c r="J27" s="35"/>
      <c r="K27" s="35"/>
      <c r="L27" s="35"/>
      <c r="M27" s="37"/>
    </row>
    <row r="28" spans="1:13" s="2" customFormat="1" ht="14.1" customHeight="1" thickBot="1" x14ac:dyDescent="0.35">
      <c r="A28" s="65"/>
      <c r="B28" s="60"/>
      <c r="C28" s="61"/>
      <c r="D28" s="62"/>
      <c r="E28" s="63"/>
      <c r="F28" s="63"/>
      <c r="G28" s="64"/>
      <c r="H28" s="71"/>
      <c r="I28" s="88"/>
      <c r="J28" s="74"/>
      <c r="K28" s="74"/>
      <c r="L28" s="74"/>
      <c r="M28" s="8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1F2F-452F-4857-BCD9-08ECAD1DE272}">
  <sheetPr>
    <tabColor rgb="FF7030A0"/>
    <pageSetUpPr fitToPage="1"/>
  </sheetPr>
  <dimension ref="A1:N51"/>
  <sheetViews>
    <sheetView zoomScale="110" zoomScaleNormal="110" workbookViewId="0">
      <selection activeCell="P8" sqref="P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33</v>
      </c>
      <c r="I3" s="110">
        <v>36</v>
      </c>
      <c r="J3" s="111">
        <f>SUM(I3)+3</f>
        <v>39</v>
      </c>
      <c r="K3" s="111">
        <f>SUM(J3)+3</f>
        <v>42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171" t="s">
        <v>263</v>
      </c>
      <c r="C5" s="172"/>
      <c r="D5" s="77" t="s">
        <v>264</v>
      </c>
      <c r="E5" s="78"/>
      <c r="F5" s="78"/>
      <c r="G5" s="79"/>
      <c r="H5" s="41">
        <f>SUM(I5)-2</f>
        <v>21</v>
      </c>
      <c r="I5" s="43">
        <v>23</v>
      </c>
      <c r="J5" s="35">
        <f>SUM(I5)+2</f>
        <v>25</v>
      </c>
      <c r="K5" s="35">
        <f>SUM(J5)+2</f>
        <v>27</v>
      </c>
      <c r="L5" s="35"/>
      <c r="M5" s="37"/>
    </row>
    <row r="6" spans="1:14" s="2" customFormat="1" ht="14.1" customHeight="1" x14ac:dyDescent="0.3">
      <c r="A6" s="19"/>
      <c r="B6" s="56" t="s">
        <v>265</v>
      </c>
      <c r="C6" s="57"/>
      <c r="D6" s="32" t="s">
        <v>266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31.5</v>
      </c>
      <c r="I7" s="43">
        <v>33</v>
      </c>
      <c r="J7" s="35">
        <f>SUM(I7)+1.5</f>
        <v>34.5</v>
      </c>
      <c r="K7" s="35">
        <f>SUM(J7)+1.5</f>
        <v>36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31.5</v>
      </c>
      <c r="I9" s="43">
        <v>33</v>
      </c>
      <c r="J9" s="35">
        <f>SUM(I9)+1.5</f>
        <v>34.5</v>
      </c>
      <c r="K9" s="35">
        <f>SUM(J9)+1.5</f>
        <v>36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/>
      <c r="I11" s="43"/>
      <c r="J11" s="35"/>
      <c r="K11" s="35"/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12</v>
      </c>
      <c r="I13" s="43">
        <v>12.5</v>
      </c>
      <c r="J13" s="35">
        <f>SUM(I13)+0.5</f>
        <v>13</v>
      </c>
      <c r="K13" s="35">
        <f>SUM(J13)+0.5</f>
        <v>13.5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5.7</v>
      </c>
      <c r="I15" s="43">
        <v>6</v>
      </c>
      <c r="J15" s="35">
        <f>SUM(I15)+0.3</f>
        <v>6.3</v>
      </c>
      <c r="K15" s="35">
        <f>SUM(J15)+0.3</f>
        <v>6.6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35.6</v>
      </c>
      <c r="I17" s="43">
        <v>37</v>
      </c>
      <c r="J17" s="35">
        <f>SUM(I17)+1.4</f>
        <v>38.4</v>
      </c>
      <c r="K17" s="35">
        <f>SUM(J17)+1.4</f>
        <v>39.799999999999997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5</v>
      </c>
      <c r="C19" s="39"/>
      <c r="D19" s="40" t="s">
        <v>6</v>
      </c>
      <c r="E19" s="40"/>
      <c r="F19" s="40"/>
      <c r="G19" s="40"/>
      <c r="H19" s="41"/>
      <c r="I19" s="43"/>
      <c r="J19" s="35"/>
      <c r="K19" s="35"/>
      <c r="L19" s="35"/>
      <c r="M19" s="37"/>
    </row>
    <row r="20" spans="1:13" s="2" customFormat="1" ht="14.1" customHeight="1" x14ac:dyDescent="0.3">
      <c r="A20" s="19"/>
      <c r="B20" s="31" t="s">
        <v>16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SUM(I23)-1.4</f>
        <v>25.400000000000002</v>
      </c>
      <c r="I23" s="43">
        <v>26.8</v>
      </c>
      <c r="J23" s="35">
        <f>SUM(I23)+1.4</f>
        <v>28.2</v>
      </c>
      <c r="K23" s="35">
        <f>SUM(J23)+1.4</f>
        <v>29.599999999999998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13</v>
      </c>
      <c r="B25" s="49" t="s">
        <v>57</v>
      </c>
      <c r="C25" s="50"/>
      <c r="D25" s="51" t="s">
        <v>53</v>
      </c>
      <c r="E25" s="52"/>
      <c r="F25" s="52"/>
      <c r="G25" s="53"/>
      <c r="H25" s="41">
        <f>SUM(I25)-0.3</f>
        <v>4.2</v>
      </c>
      <c r="I25" s="43">
        <v>4.5</v>
      </c>
      <c r="J25" s="35">
        <f>SUM(I25)+0.3</f>
        <v>4.8</v>
      </c>
      <c r="K25" s="35">
        <f>SUM(J25)+0.3</f>
        <v>5.0999999999999996</v>
      </c>
      <c r="L25" s="39"/>
      <c r="M25" s="37"/>
    </row>
    <row r="26" spans="1:13" s="2" customFormat="1" ht="14.1" customHeight="1" x14ac:dyDescent="0.3">
      <c r="A26" s="19"/>
      <c r="B26" s="56" t="s">
        <v>58</v>
      </c>
      <c r="C26" s="57"/>
      <c r="D26" s="32" t="s">
        <v>52</v>
      </c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8">
        <v>14</v>
      </c>
      <c r="B27" s="66"/>
      <c r="C27" s="67"/>
      <c r="D27" s="68"/>
      <c r="E27" s="69"/>
      <c r="F27" s="69"/>
      <c r="G27" s="70"/>
      <c r="H27" s="41"/>
      <c r="I27" s="43"/>
      <c r="J27" s="35"/>
      <c r="K27" s="35"/>
      <c r="L27" s="35"/>
      <c r="M27" s="37"/>
    </row>
    <row r="28" spans="1:13" s="2" customFormat="1" ht="14.1" customHeight="1" thickBot="1" x14ac:dyDescent="0.35">
      <c r="A28" s="65"/>
      <c r="B28" s="60"/>
      <c r="C28" s="61"/>
      <c r="D28" s="62"/>
      <c r="E28" s="63"/>
      <c r="F28" s="63"/>
      <c r="G28" s="64"/>
      <c r="H28" s="71"/>
      <c r="I28" s="88"/>
      <c r="J28" s="74"/>
      <c r="K28" s="74"/>
      <c r="L28" s="74"/>
      <c r="M28" s="8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FCE1-20B7-46FB-9BD3-3893ECBD0BA5}">
  <sheetPr>
    <tabColor rgb="FF7030A0"/>
    <pageSetUpPr fitToPage="1"/>
  </sheetPr>
  <dimension ref="A1:N51"/>
  <sheetViews>
    <sheetView zoomScale="110" zoomScaleNormal="110" workbookViewId="0">
      <selection activeCell="O24" sqref="O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4" t="s">
        <v>251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4" ht="16.5" customHeight="1" thickBot="1" x14ac:dyDescent="0.35">
      <c r="A2" s="5" t="s">
        <v>33</v>
      </c>
      <c r="B2" s="17" t="s">
        <v>34</v>
      </c>
      <c r="C2" s="17"/>
      <c r="D2" s="17" t="s">
        <v>35</v>
      </c>
      <c r="E2" s="17"/>
      <c r="F2" s="17"/>
      <c r="G2" s="17"/>
      <c r="H2" s="8" t="s">
        <v>139</v>
      </c>
      <c r="I2" s="3" t="s">
        <v>140</v>
      </c>
      <c r="J2" s="4" t="s">
        <v>141</v>
      </c>
      <c r="K2" s="4" t="s">
        <v>150</v>
      </c>
      <c r="L2" s="4"/>
      <c r="M2" s="4"/>
      <c r="N2" t="s">
        <v>48</v>
      </c>
    </row>
    <row r="3" spans="1:14" s="2" customFormat="1" ht="14.1" customHeight="1" x14ac:dyDescent="0.3">
      <c r="A3" s="18">
        <v>1</v>
      </c>
      <c r="B3" s="20" t="s">
        <v>23</v>
      </c>
      <c r="C3" s="20"/>
      <c r="D3" s="21" t="s">
        <v>51</v>
      </c>
      <c r="E3" s="21"/>
      <c r="F3" s="21"/>
      <c r="G3" s="22"/>
      <c r="H3" s="109">
        <f>SUM(I3)-3</f>
        <v>30.9</v>
      </c>
      <c r="I3" s="110">
        <v>33.9</v>
      </c>
      <c r="J3" s="111">
        <f>SUM(I3)+3</f>
        <v>36.9</v>
      </c>
      <c r="K3" s="111">
        <f>SUM(J3)+3</f>
        <v>39.9</v>
      </c>
      <c r="L3" s="20"/>
      <c r="M3" s="112"/>
    </row>
    <row r="4" spans="1:14" s="2" customFormat="1" ht="14.1" customHeight="1" x14ac:dyDescent="0.3">
      <c r="A4" s="19"/>
      <c r="B4" s="31" t="s">
        <v>20</v>
      </c>
      <c r="C4" s="31"/>
      <c r="D4" s="32" t="s">
        <v>39</v>
      </c>
      <c r="E4" s="33"/>
      <c r="F4" s="33"/>
      <c r="G4" s="33"/>
      <c r="H4" s="90"/>
      <c r="I4" s="44"/>
      <c r="J4" s="36"/>
      <c r="K4" s="36"/>
      <c r="L4" s="31"/>
      <c r="M4" s="38"/>
    </row>
    <row r="5" spans="1:14" s="2" customFormat="1" ht="14.1" customHeight="1" x14ac:dyDescent="0.3">
      <c r="A5" s="19">
        <v>2</v>
      </c>
      <c r="B5" s="39" t="s">
        <v>21</v>
      </c>
      <c r="C5" s="39"/>
      <c r="D5" s="40" t="s">
        <v>22</v>
      </c>
      <c r="E5" s="40"/>
      <c r="F5" s="40"/>
      <c r="G5" s="40"/>
      <c r="H5" s="41">
        <f>SUM(I5)-1.2</f>
        <v>18.8</v>
      </c>
      <c r="I5" s="43">
        <v>20</v>
      </c>
      <c r="J5" s="35">
        <f>SUM(I5)+1.2</f>
        <v>21.2</v>
      </c>
      <c r="K5" s="35">
        <f>SUM(J5)+1.2</f>
        <v>22.4</v>
      </c>
      <c r="L5" s="35"/>
      <c r="M5" s="37"/>
    </row>
    <row r="6" spans="1:14" s="2" customFormat="1" ht="14.1" customHeight="1" x14ac:dyDescent="0.3">
      <c r="A6" s="19"/>
      <c r="B6" s="31" t="s">
        <v>11</v>
      </c>
      <c r="C6" s="31"/>
      <c r="D6" s="32" t="s">
        <v>26</v>
      </c>
      <c r="E6" s="33"/>
      <c r="F6" s="33"/>
      <c r="G6" s="34"/>
      <c r="H6" s="42"/>
      <c r="I6" s="44"/>
      <c r="J6" s="36"/>
      <c r="K6" s="36"/>
      <c r="L6" s="36"/>
      <c r="M6" s="38"/>
    </row>
    <row r="7" spans="1:14" s="2" customFormat="1" ht="14.1" customHeight="1" x14ac:dyDescent="0.3">
      <c r="A7" s="19">
        <v>3</v>
      </c>
      <c r="B7" s="39" t="s">
        <v>19</v>
      </c>
      <c r="C7" s="39"/>
      <c r="D7" s="40" t="s">
        <v>49</v>
      </c>
      <c r="E7" s="40"/>
      <c r="F7" s="40"/>
      <c r="G7" s="40"/>
      <c r="H7" s="41">
        <f>SUM(I7)-1.5</f>
        <v>26.5</v>
      </c>
      <c r="I7" s="43">
        <v>28</v>
      </c>
      <c r="J7" s="35">
        <f>SUM(I7)+1.5</f>
        <v>29.5</v>
      </c>
      <c r="K7" s="35">
        <f>SUM(J7)+1.5</f>
        <v>31</v>
      </c>
      <c r="L7" s="35"/>
      <c r="M7" s="37"/>
    </row>
    <row r="8" spans="1:14" s="2" customFormat="1" ht="14.1" customHeight="1" x14ac:dyDescent="0.3">
      <c r="A8" s="19"/>
      <c r="B8" s="31" t="s">
        <v>24</v>
      </c>
      <c r="C8" s="31"/>
      <c r="D8" s="32" t="s">
        <v>27</v>
      </c>
      <c r="E8" s="33"/>
      <c r="F8" s="33"/>
      <c r="G8" s="34"/>
      <c r="H8" s="42"/>
      <c r="I8" s="44"/>
      <c r="J8" s="36"/>
      <c r="K8" s="36"/>
      <c r="L8" s="36"/>
      <c r="M8" s="38"/>
    </row>
    <row r="9" spans="1:14" s="2" customFormat="1" ht="14.1" customHeight="1" x14ac:dyDescent="0.3">
      <c r="A9" s="19">
        <v>4</v>
      </c>
      <c r="B9" s="39" t="s">
        <v>25</v>
      </c>
      <c r="C9" s="39"/>
      <c r="D9" s="40" t="s">
        <v>9</v>
      </c>
      <c r="E9" s="40"/>
      <c r="F9" s="40"/>
      <c r="G9" s="40"/>
      <c r="H9" s="41">
        <f>SUM(I9)-1.5</f>
        <v>27.5</v>
      </c>
      <c r="I9" s="43">
        <v>29</v>
      </c>
      <c r="J9" s="35">
        <f>SUM(I9)+1.5</f>
        <v>30.5</v>
      </c>
      <c r="K9" s="35">
        <f>SUM(J9)+1.5</f>
        <v>32</v>
      </c>
      <c r="L9" s="35"/>
      <c r="M9" s="37"/>
    </row>
    <row r="10" spans="1:14" s="2" customFormat="1" ht="14.1" customHeight="1" x14ac:dyDescent="0.3">
      <c r="A10" s="19"/>
      <c r="B10" s="31" t="s">
        <v>12</v>
      </c>
      <c r="C10" s="31"/>
      <c r="D10" s="32" t="s">
        <v>28</v>
      </c>
      <c r="E10" s="33"/>
      <c r="F10" s="33"/>
      <c r="G10" s="34"/>
      <c r="H10" s="42"/>
      <c r="I10" s="44"/>
      <c r="J10" s="36"/>
      <c r="K10" s="36"/>
      <c r="L10" s="36"/>
      <c r="M10" s="38"/>
    </row>
    <row r="11" spans="1:14" s="2" customFormat="1" ht="14.1" customHeight="1" x14ac:dyDescent="0.3">
      <c r="A11" s="19">
        <v>5</v>
      </c>
      <c r="B11" s="39" t="s">
        <v>10</v>
      </c>
      <c r="C11" s="39"/>
      <c r="D11" s="40" t="s">
        <v>0</v>
      </c>
      <c r="E11" s="40"/>
      <c r="F11" s="40"/>
      <c r="G11" s="40"/>
      <c r="H11" s="41">
        <f>SUM(I11)-0.8</f>
        <v>12.2</v>
      </c>
      <c r="I11" s="43">
        <v>13</v>
      </c>
      <c r="J11" s="35">
        <f t="shared" ref="J11:K11" si="0">SUM(I11)+0.8</f>
        <v>13.8</v>
      </c>
      <c r="K11" s="35">
        <f t="shared" si="0"/>
        <v>14.600000000000001</v>
      </c>
      <c r="L11" s="35"/>
      <c r="M11" s="37"/>
    </row>
    <row r="12" spans="1:14" s="2" customFormat="1" ht="14.1" customHeight="1" x14ac:dyDescent="0.3">
      <c r="A12" s="19"/>
      <c r="B12" s="31" t="s">
        <v>13</v>
      </c>
      <c r="C12" s="31"/>
      <c r="D12" s="32" t="s">
        <v>29</v>
      </c>
      <c r="E12" s="33"/>
      <c r="F12" s="33"/>
      <c r="G12" s="34"/>
      <c r="H12" s="42"/>
      <c r="I12" s="44"/>
      <c r="J12" s="36"/>
      <c r="K12" s="36"/>
      <c r="L12" s="36"/>
      <c r="M12" s="38"/>
    </row>
    <row r="13" spans="1:14" s="2" customFormat="1" ht="14.1" customHeight="1" x14ac:dyDescent="0.3">
      <c r="A13" s="19">
        <v>6</v>
      </c>
      <c r="B13" s="39" t="s">
        <v>1</v>
      </c>
      <c r="C13" s="39"/>
      <c r="D13" s="40" t="s">
        <v>2</v>
      </c>
      <c r="E13" s="40"/>
      <c r="F13" s="40"/>
      <c r="G13" s="40"/>
      <c r="H13" s="41">
        <f>SUM(I13)-0.5</f>
        <v>13</v>
      </c>
      <c r="I13" s="43">
        <v>13.5</v>
      </c>
      <c r="J13" s="35">
        <f>SUM(I13)+0.5</f>
        <v>14</v>
      </c>
      <c r="K13" s="35">
        <f>SUM(J13)+0.5</f>
        <v>14.5</v>
      </c>
      <c r="L13" s="39"/>
      <c r="M13" s="37"/>
    </row>
    <row r="14" spans="1:14" s="2" customFormat="1" ht="14.1" customHeight="1" x14ac:dyDescent="0.3">
      <c r="A14" s="19"/>
      <c r="B14" s="31" t="s">
        <v>14</v>
      </c>
      <c r="C14" s="31"/>
      <c r="D14" s="32" t="s">
        <v>56</v>
      </c>
      <c r="E14" s="33"/>
      <c r="F14" s="33"/>
      <c r="G14" s="34"/>
      <c r="H14" s="42"/>
      <c r="I14" s="44"/>
      <c r="J14" s="36"/>
      <c r="K14" s="36"/>
      <c r="L14" s="31"/>
      <c r="M14" s="38"/>
    </row>
    <row r="15" spans="1:14" s="2" customFormat="1" ht="14.1" customHeight="1" x14ac:dyDescent="0.3">
      <c r="A15" s="19">
        <v>7</v>
      </c>
      <c r="B15" s="39" t="s">
        <v>3</v>
      </c>
      <c r="C15" s="39"/>
      <c r="D15" s="40" t="s">
        <v>4</v>
      </c>
      <c r="E15" s="40"/>
      <c r="F15" s="40"/>
      <c r="G15" s="40"/>
      <c r="H15" s="41">
        <f>SUM(I15)-0.3</f>
        <v>5.7</v>
      </c>
      <c r="I15" s="43">
        <v>6</v>
      </c>
      <c r="J15" s="35">
        <f>SUM(I15)+0.3</f>
        <v>6.3</v>
      </c>
      <c r="K15" s="35">
        <f>SUM(J15)+0.3</f>
        <v>6.6</v>
      </c>
      <c r="L15" s="39"/>
      <c r="M15" s="37"/>
    </row>
    <row r="16" spans="1:14" s="2" customFormat="1" ht="14.1" customHeight="1" x14ac:dyDescent="0.3">
      <c r="A16" s="19"/>
      <c r="B16" s="31" t="s">
        <v>15</v>
      </c>
      <c r="C16" s="31"/>
      <c r="D16" s="32" t="s">
        <v>55</v>
      </c>
      <c r="E16" s="33"/>
      <c r="F16" s="33"/>
      <c r="G16" s="34"/>
      <c r="H16" s="42"/>
      <c r="I16" s="44"/>
      <c r="J16" s="36"/>
      <c r="K16" s="36"/>
      <c r="L16" s="31"/>
      <c r="M16" s="38"/>
    </row>
    <row r="17" spans="1:13" s="2" customFormat="1" ht="14.1" customHeight="1" x14ac:dyDescent="0.3">
      <c r="A17" s="19">
        <v>8</v>
      </c>
      <c r="B17" s="49" t="s">
        <v>40</v>
      </c>
      <c r="C17" s="50"/>
      <c r="D17" s="45" t="s">
        <v>42</v>
      </c>
      <c r="E17" s="46"/>
      <c r="F17" s="46"/>
      <c r="G17" s="47"/>
      <c r="H17" s="41">
        <f>SUM(I17)-1.4</f>
        <v>35.6</v>
      </c>
      <c r="I17" s="43">
        <v>37</v>
      </c>
      <c r="J17" s="35">
        <f>SUM(I17)+1.4</f>
        <v>38.4</v>
      </c>
      <c r="K17" s="35">
        <f>SUM(J17)+1.4</f>
        <v>39.799999999999997</v>
      </c>
      <c r="L17" s="39"/>
      <c r="M17" s="37"/>
    </row>
    <row r="18" spans="1:13" s="2" customFormat="1" ht="14.1" customHeight="1" x14ac:dyDescent="0.3">
      <c r="A18" s="19"/>
      <c r="B18" s="31" t="s">
        <v>41</v>
      </c>
      <c r="C18" s="31"/>
      <c r="D18" s="32" t="s">
        <v>54</v>
      </c>
      <c r="E18" s="33"/>
      <c r="F18" s="33"/>
      <c r="G18" s="34"/>
      <c r="H18" s="42"/>
      <c r="I18" s="44"/>
      <c r="J18" s="36"/>
      <c r="K18" s="36"/>
      <c r="L18" s="31"/>
      <c r="M18" s="38"/>
    </row>
    <row r="19" spans="1:13" s="2" customFormat="1" ht="14.1" customHeight="1" x14ac:dyDescent="0.3">
      <c r="A19" s="19">
        <v>9</v>
      </c>
      <c r="B19" s="39" t="s">
        <v>213</v>
      </c>
      <c r="C19" s="39"/>
      <c r="D19" s="40" t="s">
        <v>6</v>
      </c>
      <c r="E19" s="40"/>
      <c r="F19" s="40"/>
      <c r="G19" s="40"/>
      <c r="H19" s="41">
        <f>SUM(I19)-0.4</f>
        <v>5.6999999999999993</v>
      </c>
      <c r="I19" s="43">
        <v>6.1</v>
      </c>
      <c r="J19" s="35">
        <f>SUM(I19)+0.4</f>
        <v>6.5</v>
      </c>
      <c r="K19" s="35">
        <f>SUM(J19)+0.4</f>
        <v>6.9</v>
      </c>
      <c r="L19" s="35"/>
      <c r="M19" s="37"/>
    </row>
    <row r="20" spans="1:13" s="2" customFormat="1" ht="14.1" customHeight="1" x14ac:dyDescent="0.3">
      <c r="A20" s="19"/>
      <c r="B20" s="31" t="s">
        <v>214</v>
      </c>
      <c r="C20" s="31"/>
      <c r="D20" s="32" t="s">
        <v>32</v>
      </c>
      <c r="E20" s="33"/>
      <c r="F20" s="33"/>
      <c r="G20" s="34"/>
      <c r="H20" s="42"/>
      <c r="I20" s="44"/>
      <c r="J20" s="36"/>
      <c r="K20" s="36"/>
      <c r="L20" s="36"/>
      <c r="M20" s="38"/>
    </row>
    <row r="21" spans="1:13" s="2" customFormat="1" ht="14.1" customHeight="1" x14ac:dyDescent="0.3">
      <c r="A21" s="19">
        <v>10</v>
      </c>
      <c r="B21" s="39" t="s">
        <v>7</v>
      </c>
      <c r="C21" s="39"/>
      <c r="D21" s="45" t="s">
        <v>8</v>
      </c>
      <c r="E21" s="46"/>
      <c r="F21" s="46"/>
      <c r="G21" s="47"/>
      <c r="H21" s="41"/>
      <c r="I21" s="43"/>
      <c r="J21" s="35"/>
      <c r="K21" s="35"/>
      <c r="L21" s="35"/>
      <c r="M21" s="37"/>
    </row>
    <row r="22" spans="1:13" s="2" customFormat="1" ht="14.1" customHeight="1" x14ac:dyDescent="0.3">
      <c r="A22" s="19"/>
      <c r="B22" s="31" t="s">
        <v>17</v>
      </c>
      <c r="C22" s="31"/>
      <c r="D22" s="32" t="s">
        <v>36</v>
      </c>
      <c r="E22" s="33"/>
      <c r="F22" s="33"/>
      <c r="G22" s="34"/>
      <c r="H22" s="42"/>
      <c r="I22" s="44"/>
      <c r="J22" s="36"/>
      <c r="K22" s="36"/>
      <c r="L22" s="36"/>
      <c r="M22" s="38"/>
    </row>
    <row r="23" spans="1:13" s="2" customFormat="1" ht="14.1" customHeight="1" x14ac:dyDescent="0.3">
      <c r="A23" s="19">
        <v>11</v>
      </c>
      <c r="B23" s="49" t="s">
        <v>50</v>
      </c>
      <c r="C23" s="50"/>
      <c r="D23" s="40" t="s">
        <v>37</v>
      </c>
      <c r="E23" s="40"/>
      <c r="F23" s="40"/>
      <c r="G23" s="40"/>
      <c r="H23" s="41">
        <f>SUM(I23)-1.2</f>
        <v>18.900000000000002</v>
      </c>
      <c r="I23" s="43">
        <v>20.100000000000001</v>
      </c>
      <c r="J23" s="35">
        <f>SUM(I23)+1.2</f>
        <v>21.3</v>
      </c>
      <c r="K23" s="35">
        <f>SUM(J23)+1.2</f>
        <v>22.5</v>
      </c>
      <c r="L23" s="35"/>
      <c r="M23" s="37"/>
    </row>
    <row r="24" spans="1:13" s="2" customFormat="1" ht="14.1" customHeight="1" x14ac:dyDescent="0.3">
      <c r="A24" s="19"/>
      <c r="B24" s="31" t="s">
        <v>18</v>
      </c>
      <c r="C24" s="31"/>
      <c r="D24" s="32" t="s">
        <v>38</v>
      </c>
      <c r="E24" s="33"/>
      <c r="F24" s="33"/>
      <c r="G24" s="34"/>
      <c r="H24" s="42"/>
      <c r="I24" s="44"/>
      <c r="J24" s="36"/>
      <c r="K24" s="36"/>
      <c r="L24" s="36"/>
      <c r="M24" s="38"/>
    </row>
    <row r="25" spans="1:13" s="2" customFormat="1" ht="14.1" customHeight="1" x14ac:dyDescent="0.3">
      <c r="A25" s="19">
        <v>12</v>
      </c>
      <c r="B25" s="49" t="s">
        <v>215</v>
      </c>
      <c r="C25" s="50"/>
      <c r="D25" s="51"/>
      <c r="E25" s="52"/>
      <c r="F25" s="52"/>
      <c r="G25" s="53"/>
      <c r="H25" s="41">
        <f>SUM(I25)-0.2</f>
        <v>7.8</v>
      </c>
      <c r="I25" s="43">
        <v>8</v>
      </c>
      <c r="J25" s="35">
        <f>SUM(I25)+0.2</f>
        <v>8.1999999999999993</v>
      </c>
      <c r="K25" s="35">
        <f>SUM(J25)+0.2</f>
        <v>8.3999999999999986</v>
      </c>
      <c r="L25" s="39"/>
      <c r="M25" s="37"/>
    </row>
    <row r="26" spans="1:13" s="2" customFormat="1" ht="14.1" customHeight="1" x14ac:dyDescent="0.3">
      <c r="A26" s="19"/>
      <c r="B26" s="56" t="s">
        <v>216</v>
      </c>
      <c r="C26" s="57"/>
      <c r="D26" s="32"/>
      <c r="E26" s="33"/>
      <c r="F26" s="33"/>
      <c r="G26" s="34"/>
      <c r="H26" s="42"/>
      <c r="I26" s="44"/>
      <c r="J26" s="36"/>
      <c r="K26" s="36"/>
      <c r="L26" s="31"/>
      <c r="M26" s="38"/>
    </row>
    <row r="27" spans="1:13" s="2" customFormat="1" ht="14.1" customHeight="1" x14ac:dyDescent="0.3">
      <c r="A27" s="19">
        <v>13</v>
      </c>
      <c r="B27" s="49" t="s">
        <v>57</v>
      </c>
      <c r="C27" s="50"/>
      <c r="D27" s="68"/>
      <c r="E27" s="69"/>
      <c r="F27" s="69"/>
      <c r="G27" s="70"/>
      <c r="H27" s="41">
        <f>SUM(I27)-0.5</f>
        <v>7</v>
      </c>
      <c r="I27" s="43">
        <v>7.5</v>
      </c>
      <c r="J27" s="35">
        <f>SUM(I27)+0.5</f>
        <v>8</v>
      </c>
      <c r="K27" s="35">
        <f>SUM(J27)+0.5</f>
        <v>8.5</v>
      </c>
      <c r="L27" s="39"/>
      <c r="M27" s="37"/>
    </row>
    <row r="28" spans="1:13" s="2" customFormat="1" ht="14.1" customHeight="1" x14ac:dyDescent="0.3">
      <c r="A28" s="19"/>
      <c r="B28" s="56" t="s">
        <v>58</v>
      </c>
      <c r="C28" s="57"/>
      <c r="D28" s="32" t="s">
        <v>252</v>
      </c>
      <c r="E28" s="33"/>
      <c r="F28" s="33"/>
      <c r="G28" s="34"/>
      <c r="H28" s="42"/>
      <c r="I28" s="44"/>
      <c r="J28" s="36"/>
      <c r="K28" s="36"/>
      <c r="L28" s="31"/>
      <c r="M28" s="38"/>
    </row>
    <row r="29" spans="1:13" ht="14.1" customHeight="1" x14ac:dyDescent="0.3">
      <c r="A29" s="18">
        <v>14</v>
      </c>
      <c r="B29" s="66" t="s">
        <v>59</v>
      </c>
      <c r="C29" s="67"/>
      <c r="D29" s="68"/>
      <c r="E29" s="69"/>
      <c r="F29" s="69"/>
      <c r="G29" s="70"/>
      <c r="H29" s="41">
        <f>SUM(I29)-0.3</f>
        <v>4.7</v>
      </c>
      <c r="I29" s="43">
        <v>5</v>
      </c>
      <c r="J29" s="35">
        <f>SUM(I29)+0.3</f>
        <v>5.3</v>
      </c>
      <c r="K29" s="35">
        <f>SUM(J29)+0.3</f>
        <v>5.6</v>
      </c>
      <c r="L29" s="35"/>
      <c r="M29" s="37"/>
    </row>
    <row r="30" spans="1:13" ht="14.1" customHeight="1" thickBot="1" x14ac:dyDescent="0.35">
      <c r="A30" s="65"/>
      <c r="B30" s="60" t="s">
        <v>60</v>
      </c>
      <c r="C30" s="61"/>
      <c r="D30" s="62" t="s">
        <v>149</v>
      </c>
      <c r="E30" s="63"/>
      <c r="F30" s="63"/>
      <c r="G30" s="64"/>
      <c r="H30" s="71"/>
      <c r="I30" s="88"/>
      <c r="J30" s="74"/>
      <c r="K30" s="74"/>
      <c r="L30" s="74"/>
      <c r="M30" s="80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/>
    <row r="35" spans="2:7" ht="14.1" customHeight="1" x14ac:dyDescent="0.3"/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>
      <c r="B38" s="1"/>
      <c r="C38" s="1"/>
      <c r="D38" s="1"/>
      <c r="E38" s="1"/>
      <c r="F38" s="1"/>
      <c r="G38" s="1"/>
    </row>
    <row r="39" spans="2:7" ht="14.1" customHeight="1" x14ac:dyDescent="0.3">
      <c r="B39" s="1"/>
      <c r="C39" s="1"/>
      <c r="D39" s="1"/>
      <c r="E39" s="1"/>
      <c r="F39" s="1"/>
      <c r="G39" s="1"/>
    </row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27</vt:i4>
      </vt:variant>
    </vt:vector>
  </HeadingPairs>
  <TitlesOfParts>
    <vt:vector size="54" baseType="lpstr">
      <vt:lpstr>OP01</vt:lpstr>
      <vt:lpstr>OP02</vt:lpstr>
      <vt:lpstr>OP03</vt:lpstr>
      <vt:lpstr>OP04</vt:lpstr>
      <vt:lpstr>OU01</vt:lpstr>
      <vt:lpstr>OU02</vt:lpstr>
      <vt:lpstr>PT01</vt:lpstr>
      <vt:lpstr>PT02</vt:lpstr>
      <vt:lpstr>PT03</vt:lpstr>
      <vt:lpstr>PT04(완사입)</vt:lpstr>
      <vt:lpstr>PT05</vt:lpstr>
      <vt:lpstr>PT06</vt:lpstr>
      <vt:lpstr>PT07</vt:lpstr>
      <vt:lpstr>SE01</vt:lpstr>
      <vt:lpstr>SE02</vt:lpstr>
      <vt:lpstr>SE03</vt:lpstr>
      <vt:lpstr>SE04</vt:lpstr>
      <vt:lpstr>SE05</vt:lpstr>
      <vt:lpstr>SK01</vt:lpstr>
      <vt:lpstr>TO01</vt:lpstr>
      <vt:lpstr>TO02</vt:lpstr>
      <vt:lpstr>TO03</vt:lpstr>
      <vt:lpstr>TO05</vt:lpstr>
      <vt:lpstr>TO04</vt:lpstr>
      <vt:lpstr>TO06</vt:lpstr>
      <vt:lpstr>TO07</vt:lpstr>
      <vt:lpstr>TO08</vt:lpstr>
      <vt:lpstr>'OP01'!Print_Area</vt:lpstr>
      <vt:lpstr>'OP02'!Print_Area</vt:lpstr>
      <vt:lpstr>'OP03'!Print_Area</vt:lpstr>
      <vt:lpstr>'OP04'!Print_Area</vt:lpstr>
      <vt:lpstr>'OU01'!Print_Area</vt:lpstr>
      <vt:lpstr>'OU02'!Print_Area</vt:lpstr>
      <vt:lpstr>'PT01'!Print_Area</vt:lpstr>
      <vt:lpstr>'PT02'!Print_Area</vt:lpstr>
      <vt:lpstr>'PT03'!Print_Area</vt:lpstr>
      <vt:lpstr>'PT04(완사입)'!Print_Area</vt:lpstr>
      <vt:lpstr>'PT05'!Print_Area</vt:lpstr>
      <vt:lpstr>'PT06'!Print_Area</vt:lpstr>
      <vt:lpstr>'PT07'!Print_Area</vt:lpstr>
      <vt:lpstr>'SE01'!Print_Area</vt:lpstr>
      <vt:lpstr>'SE02'!Print_Area</vt:lpstr>
      <vt:lpstr>'SE03'!Print_Area</vt:lpstr>
      <vt:lpstr>'SE04'!Print_Area</vt:lpstr>
      <vt:lpstr>'SE05'!Print_Area</vt:lpstr>
      <vt:lpstr>'SK01'!Print_Area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2026-03-16T08:47:40Z</cp:lastPrinted>
  <dcterms:created xsi:type="dcterms:W3CDTF">2018-05-14T06:17:18Z</dcterms:created>
  <dcterms:modified xsi:type="dcterms:W3CDTF">2026-03-17T01:17:45Z</dcterms:modified>
</cp:coreProperties>
</file>